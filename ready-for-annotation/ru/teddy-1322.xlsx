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<sst xmlns="http://schemas.openxmlformats.org/spreadsheetml/2006/main" count="7417" uniqueCount="2425">
  <si>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</si>
  <si>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</si>
  <si>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</si>
  <si>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</si>
  <si>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</si>
  <si>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</si>
  <si>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</si>
  <si>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</si>
  <si>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</si>
  <si>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</si>
  <si>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</si>
  <si>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11</t>
  </si>
  <si>
    <t>_</t>
  </si>
  <si>
    <t>извращение</t>
  </si>
  <si>
    <t>«Даже если абстрагироваться от религии , гомосексуализм — это сексуальное извращение .</t>
  </si>
  <si>
    <t>file://conllu/ru/teddy-1322.conllu#s1_0</t>
  </si>
  <si>
    <t>2</t>
  </si>
  <si>
    <t>7</t>
  </si>
  <si>
    <t>подмена</t>
  </si>
  <si>
    <t>Это жалкая , ничтожная , второсортная подмена реальности , презренная попытка бегства от жизни .</t>
  </si>
  <si>
    <t>file://conllu/ru/teddy-1322.conllu#s2_0</t>
  </si>
  <si>
    <t>3</t>
  </si>
  <si>
    <t>5</t>
  </si>
  <si>
    <t>заслуживать</t>
  </si>
  <si>
    <t>Поэтому , он не заслуживает сострадания , не заслуживает лечения , так как не является мученичеством , и относиться к нему стоит не иначе как к смертельной болезни» .</t>
  </si>
  <si>
    <t>file://conllu/ru/teddy-1322.conllu#s3_0</t>
  </si>
  <si>
    <t>4</t>
  </si>
  <si>
    <t>печатать</t>
  </si>
  <si>
    <t>Это было напечатано в журнале «Тайм» в 1966 году , когда мне было три года .</t>
  </si>
  <si>
    <t>file://conllu/ru/teddy-1322.conllu#s4_0</t>
  </si>
  <si>
    <t>6</t>
  </si>
  <si>
    <t>объявить</t>
  </si>
  <si>
    <t>А год назад Президент США объявил о своей благосклонности по отношению к однополым бракам .</t>
  </si>
  <si>
    <t>file://conllu/ru/teddy-1322.conllu#s5_0</t>
  </si>
  <si>
    <t>вопрос</t>
  </si>
  <si>
    <t>( Аплодисменты ) Вопрос в том , как мы пришли от того , что было к тому , что есть ?</t>
  </si>
  <si>
    <t>file://conllu/ru/teddy-1322.conllu#s6_0</t>
  </si>
  <si>
    <t>превратиться</t>
  </si>
  <si>
    <t>Как недуг превратился в особенность ?</t>
  </si>
  <si>
    <t>file://conllu/ru/teddy-1322.conllu#s7_0</t>
  </si>
  <si>
    <t>8</t>
  </si>
  <si>
    <t>14</t>
  </si>
  <si>
    <t>отправиться</t>
  </si>
  <si>
    <t>Когда мне было шесть лет , мы с моим братом и нашей матерью отправились в обувной магазин .</t>
  </si>
  <si>
    <t>file://conllu/ru/teddy-1322.conllu#s8_0</t>
  </si>
  <si>
    <t>9</t>
  </si>
  <si>
    <t>10</t>
  </si>
  <si>
    <t>сказать</t>
  </si>
  <si>
    <t>После того , как покупки были сделаны , продавец сказал , что каждый из нас может взять с собой по воздушному шарику .</t>
  </si>
  <si>
    <t>file://conllu/ru/teddy-1322.conllu#s9_0</t>
  </si>
  <si>
    <t>понравиться</t>
  </si>
  <si>
    <t>Моему брату понравился красный шарик , а мне — розовый .</t>
  </si>
  <si>
    <t>file://conllu/ru/teddy-1322.conllu#s10_0</t>
  </si>
  <si>
    <t>Мама сказала , что мне следует выбрать синий шарик .</t>
  </si>
  <si>
    <t>file://conllu/ru/teddy-1322.conllu#s11_0</t>
  </si>
  <si>
    <t>12</t>
  </si>
  <si>
    <t>Но я сказал , что мне действительно нравится розовый , а она напомнила , что мой любимый цвет — синий .</t>
  </si>
  <si>
    <t>file://conllu/ru/teddy-1322.conllu#s12_0</t>
  </si>
  <si>
    <t>13</t>
  </si>
  <si>
    <t>то</t>
  </si>
  <si>
    <t>То , что мой любимый цвет — синий , и то , что я всё равно гей — ( Смех ) свидетельство как влияния моей матери , так и его пределов .</t>
  </si>
  <si>
    <t>file://conllu/ru/teddy-1322.conllu#s13_0</t>
  </si>
  <si>
    <t>говорить</t>
  </si>
  <si>
    <t>Когда я был ребёнком , моя мать говорила : «Любовь к своему ребёнку , не похожа ни на одно другое чувство .</t>
  </si>
  <si>
    <t>file://conllu/ru/teddy-1322.conllu#s14_0</t>
  </si>
  <si>
    <t>15</t>
  </si>
  <si>
    <t>Пока?</t>
  </si>
  <si>
    <t>поймёть</t>
  </si>
  <si>
    <t>И ты не поймёшь этого , пока у тебя не появятся собственные дети» .</t>
  </si>
  <si>
    <t>file://conllu/ru/teddy-1322.conllu#s15_0</t>
  </si>
  <si>
    <t>16</t>
  </si>
  <si>
    <t>быть (быть ребёнок)</t>
  </si>
  <si>
    <t>И будучи ребёнком , я воспринимал это как лучший комплимент в мире , ведь она говорила это обо мне и моём брате .</t>
  </si>
  <si>
    <t>file://conllu/ru/teddy-1322.conllu#s16_0</t>
  </si>
  <si>
    <t>17</t>
  </si>
  <si>
    <t>думать</t>
  </si>
  <si>
    <t>Когда я был подростком , я думал , что я гей и не смогу иметь семью .</t>
  </si>
  <si>
    <t>file://conllu/ru/teddy-1322.conllu#s17_0</t>
  </si>
  <si>
    <t>18</t>
  </si>
  <si>
    <t>повторять</t>
  </si>
  <si>
    <t>Мать повторяла свои слова и это раздражало меня .</t>
  </si>
  <si>
    <t>file://conllu/ru/teddy-1322.conllu#s18_0</t>
  </si>
  <si>
    <t>19</t>
  </si>
  <si>
    <t>перестать</t>
  </si>
  <si>
    <t>После того как я открылся , она не перестала этого говорить и это вызывало во мне ярость .</t>
  </si>
  <si>
    <t>file://conllu/ru/teddy-1322.conllu#s19_0</t>
  </si>
  <si>
    <t>20</t>
  </si>
  <si>
    <t>Я говорил : «Я — гей .</t>
  </si>
  <si>
    <t>file://conllu/ru/teddy-1322.conllu#s20_0</t>
  </si>
  <si>
    <t>21</t>
  </si>
  <si>
    <t>стремиться</t>
  </si>
  <si>
    <t>Я не стремлюсь завести семью .</t>
  </si>
  <si>
    <t>file://conllu/ru/teddy-1322.conllu#s21_0</t>
  </si>
  <si>
    <t>22</t>
  </si>
  <si>
    <t>говорить»</t>
  </si>
  <si>
    <t>Прекрати это говорить» .</t>
  </si>
  <si>
    <t>file://conllu/ru/teddy-1322.conllu#s22_0</t>
  </si>
  <si>
    <t>23</t>
  </si>
  <si>
    <t>писать (писать просить)</t>
  </si>
  <si>
    <t>Около 20-ти лет назад , редактор журнала «Нью-Йорк Таймс» попросил меня написать статью о культуре глухих людей .</t>
  </si>
  <si>
    <t>file://conllu/ru/teddy-1322.conllu#s23_0</t>
  </si>
  <si>
    <t>24</t>
  </si>
  <si>
    <t>застигнуть</t>
  </si>
  <si>
    <t>Я был застигнут врасплох .</t>
  </si>
  <si>
    <t>file://conllu/ru/teddy-1322.conllu#s24_0</t>
  </si>
  <si>
    <t>25</t>
  </si>
  <si>
    <t>рассматривать</t>
  </si>
  <si>
    <t>Я рассматривал глухоту как заболевание .</t>
  </si>
  <si>
    <t>file://conllu/ru/teddy-1322.conllu#s25_0</t>
  </si>
  <si>
    <t>26</t>
  </si>
  <si>
    <t>человек</t>
  </si>
  <si>
    <t>Несчастные люди , они не слышат .</t>
  </si>
  <si>
    <t>file://conllu/ru/teddy-1322.conllu#s26_0</t>
  </si>
  <si>
    <t>27</t>
  </si>
  <si>
    <t>глухой</t>
  </si>
  <si>
    <t>Они глухи , что мы можем с этим поделать ?</t>
  </si>
  <si>
    <t>file://conllu/ru/teddy-1322.conllu#s27_0</t>
  </si>
  <si>
    <t>28</t>
  </si>
  <si>
    <t>знакомиться</t>
  </si>
  <si>
    <t>А затем я познакомился с миром глухих .</t>
  </si>
  <si>
    <t>file://conllu/ru/teddy-1322.conllu#s28_0</t>
  </si>
  <si>
    <t>29</t>
  </si>
  <si>
    <t>ходить</t>
  </si>
  <si>
    <t>Я ходил в клубы для глухих .</t>
  </si>
  <si>
    <t>file://conllu/ru/teddy-1322.conllu#s29_0</t>
  </si>
  <si>
    <t>30</t>
  </si>
  <si>
    <t>видеть</t>
  </si>
  <si>
    <t>Я видел представления в театре для глухих и узнал о поэзии глухих .</t>
  </si>
  <si>
    <t>file://conllu/ru/teddy-1322.conllu#s30_0</t>
  </si>
  <si>
    <t>31</t>
  </si>
  <si>
    <t>посетить</t>
  </si>
  <si>
    <t>Я даже посетил конкурс красоты среди глухих в Нэшвилле , штат Теннесси , где , как говорят , язык жестов загрязнён южным «акцентом» .</t>
  </si>
  <si>
    <t>file://conllu/ru/teddy-1322.conllu#s31_0</t>
  </si>
  <si>
    <t>32</t>
  </si>
  <si>
    <t>увериться</t>
  </si>
  <si>
    <t>Знакомясь с миром глухих всё ближе , я уверился в том , что глухота — это культура , что люди , принадлежащие этому миру , и говорящие : «У нас нет проблем со слухом , мы принадлежим культуре» говорят правду .</t>
  </si>
  <si>
    <t>file://conllu/ru/teddy-1322.conllu#s32_0</t>
  </si>
  <si>
    <t>33</t>
  </si>
  <si>
    <t>быть (быть культура)</t>
  </si>
  <si>
    <t>Это была не моя культура , и я вовсе не спешил присоединиться к ней , но ценил её именно как культуру людей , принадлежавших ей .</t>
  </si>
  <si>
    <t>file://conllu/ru/teddy-1322.conllu#s33_0</t>
  </si>
  <si>
    <t>34</t>
  </si>
  <si>
    <t>ощущать</t>
  </si>
  <si>
    <t>Я ощущал её такой же значимой , как латино американская культура , еврейская или культура гей -сообщества .</t>
  </si>
  <si>
    <t>file://conllu/ru/teddy-1322.conllu#s34_0</t>
  </si>
  <si>
    <t>35</t>
  </si>
  <si>
    <t>важный</t>
  </si>
  <si>
    <t>Возможно , она важна не менее , чем вся американская культура .</t>
  </si>
  <si>
    <t>file://conllu/ru/teddy-1322.conllu#s35_0</t>
  </si>
  <si>
    <t>36</t>
  </si>
  <si>
    <t>быть (быть карлик)</t>
  </si>
  <si>
    <t>Дочь одной моей знакомой была карликом .</t>
  </si>
  <si>
    <t>file://conllu/ru/teddy-1322.conllu#s36_0</t>
  </si>
  <si>
    <t>37</t>
  </si>
  <si>
    <t>задать</t>
  </si>
  <si>
    <t>Когда девочка родилась , моя знакомая задалась вопросом , который сейчас начинает волновать и меня .</t>
  </si>
  <si>
    <t>file://conllu/ru/teddy-1322.conllu#s37_0</t>
  </si>
  <si>
    <t>38</t>
  </si>
  <si>
    <t>размышлять</t>
  </si>
  <si>
    <t>Она размышляла о том , что сказать ребёнку .</t>
  </si>
  <si>
    <t>file://conllu/ru/teddy-1322.conllu#s38_0</t>
  </si>
  <si>
    <t>39</t>
  </si>
  <si>
    <t>Сказать : «Ты такая же , как все , но немного ниже ростом» ?</t>
  </si>
  <si>
    <t>file://conllu/ru/teddy-1322.conllu#s39_0</t>
  </si>
  <si>
    <t>40</t>
  </si>
  <si>
    <t>следовать</t>
  </si>
  <si>
    <t>Или ей следовало воспитать в дочери особую индивидуальность , вступить в организацию «Маленькие люди Америки» , начать интересоваться всем , что происходит в мире карликов ?</t>
  </si>
  <si>
    <t>file://conllu/ru/teddy-1322.conllu#s40_0</t>
  </si>
  <si>
    <t>41</t>
  </si>
  <si>
    <t>прийти</t>
  </si>
  <si>
    <t>И мне пришло в голову , что большинство глухих детей рождается у слышащих родителей .</t>
  </si>
  <si>
    <t>file://conllu/ru/teddy-1322.conllu#s41_0</t>
  </si>
  <si>
    <t>42</t>
  </si>
  <si>
    <t>стараться</t>
  </si>
  <si>
    <t>И родители стараются вылечить их .</t>
  </si>
  <si>
    <t>file://conllu/ru/teddy-1322.conllu#s42_0</t>
  </si>
  <si>
    <t>43</t>
  </si>
  <si>
    <t>находить</t>
  </si>
  <si>
    <t>Только к подростковому возрасту глухие люди находят сообщества себе подобных .</t>
  </si>
  <si>
    <t>file://conllu/ru/teddy-1322.conllu#s43_0</t>
  </si>
  <si>
    <t>44</t>
  </si>
  <si>
    <t>рождать</t>
  </si>
  <si>
    <t>Большинство геев рождены в семьях родителей натуралов .</t>
  </si>
  <si>
    <t>file://conllu/ru/teddy-1322.conllu#s44_0</t>
  </si>
  <si>
    <t>45</t>
  </si>
  <si>
    <t>хотеть</t>
  </si>
  <si>
    <t>Эти родители хотят , чтобы их дети не отличались от остального большинства людей , из-за чего геи позже осознают свою индивидуальность .</t>
  </si>
  <si>
    <t>file://conllu/ru/teddy-1322.conllu#s45_0</t>
  </si>
  <si>
    <t>46</t>
  </si>
  <si>
    <t>И вот , моя знакомая , размышляла об особенностях своей дочери .</t>
  </si>
  <si>
    <t>file://conllu/ru/teddy-1322.conllu#s46_0</t>
  </si>
  <si>
    <t>47</t>
  </si>
  <si>
    <t>подумать</t>
  </si>
  <si>
    <t>И я вновь подумал : семья претендует на звание обыкновенной , при том , что их ребёнок необычен .</t>
  </si>
  <si>
    <t>file://conllu/ru/teddy-1322.conllu#s47_0</t>
  </si>
  <si>
    <t>48</t>
  </si>
  <si>
    <t>И я пришёл к мысли о том , что есть два типа самоосознания .</t>
  </si>
  <si>
    <t>file://conllu/ru/teddy-1322.conllu#s48_0</t>
  </si>
  <si>
    <t>49</t>
  </si>
  <si>
    <t>тип</t>
  </si>
  <si>
    <t>Вертикальный тип , при котором от родителей к детям передаётся этническая принадлежность , национальность , язык , религиозные убеждения .</t>
  </si>
  <si>
    <t>file://conllu/ru/teddy-1322.conllu#s49_0</t>
  </si>
  <si>
    <t>50</t>
  </si>
  <si>
    <t>То есть?</t>
  </si>
  <si>
    <t>То есть то , что является общим для детей и родителей .</t>
  </si>
  <si>
    <t>file://conllu/ru/teddy-1322.conllu#s50_0</t>
  </si>
  <si>
    <t>51</t>
  </si>
  <si>
    <t>мочь</t>
  </si>
  <si>
    <t>Это наследие может быть нелёгкой ношей , но попыток излечить от этого не предпринимается .</t>
  </si>
  <si>
    <t>file://conllu/ru/teddy-1322.conllu#s51_0</t>
  </si>
  <si>
    <t>52</t>
  </si>
  <si>
    <t>сложный</t>
  </si>
  <si>
    <t>Возможно что людям не белой расы в США — несмотря на то , что у нас темнокожий президент — живётся сложнее .</t>
  </si>
  <si>
    <t>file://conllu/ru/teddy-1322.conllu#s52_0</t>
  </si>
  <si>
    <t>53</t>
  </si>
  <si>
    <t>берваться</t>
  </si>
  <si>
    <t>Но ведь при этом , никто не берётся утверждать , что следующее поколение афроамериканских и азиатских детей будет иметь светлую кожу и волосы .</t>
  </si>
  <si>
    <t>file://conllu/ru/teddy-1322.conllu#s53_0</t>
  </si>
  <si>
    <t>54</t>
  </si>
  <si>
    <t>быть</t>
  </si>
  <si>
    <t>Но есть такой тип самоосознания , который происходит благодаря равным тебе людям .</t>
  </si>
  <si>
    <t>file://conllu/ru/teddy-1322.conllu#s54_0</t>
  </si>
  <si>
    <t>55</t>
  </si>
  <si>
    <t>называть</t>
  </si>
  <si>
    <t>Я называю такой тип горизонтальным самоосознанием , так как этот опыт мы получаем от равных нам людей .</t>
  </si>
  <si>
    <t>file://conllu/ru/teddy-1322.conllu#s55_0</t>
  </si>
  <si>
    <t>56</t>
  </si>
  <si>
    <t>обзаводиться</t>
  </si>
  <si>
    <t>Эти элементы чужды нашим родителям , мы обзаводимся ими , замечая их у наших сверстников .</t>
  </si>
  <si>
    <t>file://conllu/ru/teddy-1322.conllu#s56_0</t>
  </si>
  <si>
    <t>57</t>
  </si>
  <si>
    <t>И эти отличительные особенности горизонтального типа люди обычно стараются излечить .</t>
  </si>
  <si>
    <t>file://conllu/ru/teddy-1322.conllu#s57_0</t>
  </si>
  <si>
    <t>58</t>
  </si>
  <si>
    <t>И я хотел ознакомиться с процессом того , как люди , обретая эти особенности , устанавливают крепкие взаимоотношения друг с другом .</t>
  </si>
  <si>
    <t>file://conllu/ru/teddy-1322.conllu#s58_0</t>
  </si>
  <si>
    <t>59</t>
  </si>
  <si>
    <t>необходимый</t>
  </si>
  <si>
    <t>Я выделил три уровня восприятия через которые необходимо пройти .</t>
  </si>
  <si>
    <t>file://conllu/ru/teddy-1322.conllu#s59_0</t>
  </si>
  <si>
    <t>60</t>
  </si>
  <si>
    <t>Самовосприятие</t>
  </si>
  <si>
    <t>Самовосприятие , принятие своей семьёй и принятие обществом .</t>
  </si>
  <si>
    <t>file://conllu/ru/teddy-1322.conllu#s60_0</t>
  </si>
  <si>
    <t>61</t>
  </si>
  <si>
    <t>проходить</t>
  </si>
  <si>
    <t>И они не всегда проходят одновременно .</t>
  </si>
  <si>
    <t>file://conllu/ru/teddy-1322.conllu#s61_0</t>
  </si>
  <si>
    <t>62</t>
  </si>
  <si>
    <t>посещать</t>
  </si>
  <si>
    <t>Очень часто , людей в таких ситуациях посещает злость , им кажется , что родители их не любят , в то время как родители просто их не принимают .</t>
  </si>
  <si>
    <t>file://conllu/ru/teddy-1322.conllu#s62_0</t>
  </si>
  <si>
    <t>63</t>
  </si>
  <si>
    <t>существовать</t>
  </si>
  <si>
    <t>В идеале , любовь между родителями и детьми существует вне зависимости от каких-либо условий .</t>
  </si>
  <si>
    <t>file://conllu/ru/teddy-1322.conllu#s63_0</t>
  </si>
  <si>
    <t>64</t>
  </si>
  <si>
    <t>требовать</t>
  </si>
  <si>
    <t>Но принятие иногда требует времени .</t>
  </si>
  <si>
    <t>file://conllu/ru/teddy-1322.conllu#s64_0</t>
  </si>
  <si>
    <t>65</t>
  </si>
  <si>
    <t>Всегда требует времени .</t>
  </si>
  <si>
    <t>file://conllu/ru/teddy-1322.conllu#s65_0</t>
  </si>
  <si>
    <t>66</t>
  </si>
  <si>
    <t>быть (быть парень)</t>
  </si>
  <si>
    <t>Один из карликов , которых я знал , был парень по имени Клинтон Браун .</t>
  </si>
  <si>
    <t>file://conllu/ru/teddy-1322.conllu#s66_0</t>
  </si>
  <si>
    <t>67</t>
  </si>
  <si>
    <t>ставить</t>
  </si>
  <si>
    <t>При рождении ему был поставлен диагноз диастрофическая дисплазия — тяжёлая инвалидность .</t>
  </si>
  <si>
    <t>file://conllu/ru/teddy-1322.conllu#s67_0</t>
  </si>
  <si>
    <t>68</t>
  </si>
  <si>
    <t>Его родителям сказали , что сын никогда не сможет ходить и говорить , будет интеллектуально ограниченным , и возможно даже не будет их узнавать .</t>
  </si>
  <si>
    <t>file://conllu/ru/teddy-1322.conllu#s68_0</t>
  </si>
  <si>
    <t>69</t>
  </si>
  <si>
    <t>предложить</t>
  </si>
  <si>
    <t>Им предложили оставить ребёнка в больнице , чтобы он мог спокойно умереть .</t>
  </si>
  <si>
    <t>file://conllu/ru/teddy-1322.conllu#s69_0</t>
  </si>
  <si>
    <t>70</t>
  </si>
  <si>
    <t>отказаться</t>
  </si>
  <si>
    <t>Но его мать отказалась от этого .</t>
  </si>
  <si>
    <t>file://conllu/ru/teddy-1322.conllu#s70_0</t>
  </si>
  <si>
    <t>71</t>
  </si>
  <si>
    <t>брать</t>
  </si>
  <si>
    <t>Она забрала сына домой .</t>
  </si>
  <si>
    <t>file://conllu/ru/teddy-1322.conllu#s71_0</t>
  </si>
  <si>
    <t>72</t>
  </si>
  <si>
    <t>быть (быть образованный)</t>
  </si>
  <si>
    <t>Да , она не была достаточно образованной и не имела больших финансовых возможностей , но она нашла лучшего специалиста по лечению диастрофической дисплазии и начала лечить Клинтона у него .</t>
  </si>
  <si>
    <t>file://conllu/ru/teddy-1322.conllu#s72_0</t>
  </si>
  <si>
    <t>73</t>
  </si>
  <si>
    <t>Ещё будучи ребёнком , он перенёс 30 крупных операций .</t>
  </si>
  <si>
    <t>file://conllu/ru/teddy-1322.conllu#s73_0</t>
  </si>
  <si>
    <t>74</t>
  </si>
  <si>
    <t>покидать</t>
  </si>
  <si>
    <t>Всё это время , пока ему делали операции , он не покидал стен больницы и как результат — он может ходить .</t>
  </si>
  <si>
    <t>file://conllu/ru/teddy-1322.conllu#s74_0</t>
  </si>
  <si>
    <t>75</t>
  </si>
  <si>
    <t>В больнице его посещали репетиторы , чтобы помогать с учёбой .</t>
  </si>
  <si>
    <t>file://conllu/ru/teddy-1322.conllu#s75_0</t>
  </si>
  <si>
    <t>76</t>
  </si>
  <si>
    <t>учиться</t>
  </si>
  <si>
    <t>Он учился прилежно , ведь ему больше нечем было заняться .</t>
  </si>
  <si>
    <t>file://conllu/ru/teddy-1322.conllu#s76_0</t>
  </si>
  <si>
    <t>77</t>
  </si>
  <si>
    <t>достичь</t>
  </si>
  <si>
    <t>В итоге он достиг того , чего не удавалось достичь ещё никому из его семьи .</t>
  </si>
  <si>
    <t>file://conllu/ru/teddy-1322.conllu#s77_0</t>
  </si>
  <si>
    <t>78</t>
  </si>
  <si>
    <t>Кто?</t>
  </si>
  <si>
    <t>быть (быть первый)</t>
  </si>
  <si>
    <t>Он был первым в семье , кто поступил в колледж , где он жил в кампусе и водил автомобиль , специально сконструированный для его необычного тела .</t>
  </si>
  <si>
    <t>file://conllu/ru/teddy-1322.conllu#s78_0</t>
  </si>
  <si>
    <t>79</t>
  </si>
  <si>
    <t>рассказать</t>
  </si>
  <si>
    <t>Однажды его мать рассказала историю , о том , как шла домой , в то время как сын был в колледже неподалёку .</t>
  </si>
  <si>
    <t>file://conllu/ru/teddy-1322.conllu#s79_0</t>
  </si>
  <si>
    <t>80</t>
  </si>
  <si>
    <t>видеть (видеть сказать)</t>
  </si>
  <si>
    <t>Она сказала : «Я увидела машину , которую трудно не заметить на парковке у бара» .</t>
  </si>
  <si>
    <t>file://conllu/ru/teddy-1322.conllu#s80_0</t>
  </si>
  <si>
    <t>81</t>
  </si>
  <si>
    <t>( Смех ) «Я подумала , рост его друзей — 182 см , а его — 91 .</t>
  </si>
  <si>
    <t>file://conllu/ru/teddy-1322.conllu#s81_0</t>
  </si>
  <si>
    <t>82</t>
  </si>
  <si>
    <t>он</t>
  </si>
  <si>
    <t>Две бутылки пива для них — это четыре для него .</t>
  </si>
  <si>
    <t>file://conllu/ru/teddy-1322.conllu#s82_0</t>
  </si>
  <si>
    <t>83</t>
  </si>
  <si>
    <t>знать</t>
  </si>
  <si>
    <t>Я знала , что не могу просто пойти и вытащить его оттуда .</t>
  </si>
  <si>
    <t>file://conllu/ru/teddy-1322.conllu#s83_0</t>
  </si>
  <si>
    <t>84</t>
  </si>
  <si>
    <t>пойти</t>
  </si>
  <si>
    <t>Я пошла домой и отправила ему 8 сообщений на мобильный .</t>
  </si>
  <si>
    <t>file://conllu/ru/teddy-1322.conllu#s84_0</t>
  </si>
  <si>
    <t>85</t>
  </si>
  <si>
    <t>А ведь в тот день , когда он родился , я и подумать не могла , что в будущем мне придётся переживать , что он будет выпивать и кататься на машине с сокурсниками» .</t>
  </si>
  <si>
    <t>file://conllu/ru/teddy-1322.conllu#s85_0</t>
  </si>
  <si>
    <t>86</t>
  </si>
  <si>
    <t>спросить</t>
  </si>
  <si>
    <t>Я спросил её : «Как по-твоему , что ты сделала , для того , чтобы он стал таким чудесным , воспитанным , прекрасным человеком ? » Она ответила : «Что я сделала ?</t>
  </si>
  <si>
    <t>file://conllu/ru/teddy-1322.conllu#s86_0</t>
  </si>
  <si>
    <t>87</t>
  </si>
  <si>
    <t>любить</t>
  </si>
  <si>
    <t>Просто любила его .</t>
  </si>
  <si>
    <t>file://conllu/ru/teddy-1322.conllu#s87_0</t>
  </si>
  <si>
    <t>88</t>
  </si>
  <si>
    <t>быть (быть чудесный)</t>
  </si>
  <si>
    <t>Клинтон всегда был чудесным , а его отцу и мне просто повезло быть первыми , кто это увидел .</t>
  </si>
  <si>
    <t>file://conllu/ru/teddy-1322.conllu#s88_0</t>
  </si>
  <si>
    <t>89</t>
  </si>
  <si>
    <t>цитировать</t>
  </si>
  <si>
    <t>Я процитирую ещё один журнал 60-х годов .</t>
  </si>
  <si>
    <t>file://conllu/ru/teddy-1322.conllu#s89_0</t>
  </si>
  <si>
    <t>90</t>
  </si>
  <si>
    <t>статья</t>
  </si>
  <si>
    <t>1968-й , статья в «Атлантик Мансли» , голосе либеральной Америки , написанная известным специалистом по биоэтике .</t>
  </si>
  <si>
    <t>file://conllu/ru/teddy-1322.conllu#s90_0</t>
  </si>
  <si>
    <t>91</t>
  </si>
  <si>
    <t>Он говорил : «Нет смысла испытывать чувство вины , избавляясь от ребёнка с синдромом Дауна , вне зависимости от того , отдаёшь ли ты его в дом инвалидов или прощаешься с ним на веки .</t>
  </si>
  <si>
    <t>file://conllu/ru/teddy-1322.conllu#s91_0</t>
  </si>
  <si>
    <t>92</t>
  </si>
  <si>
    <t>грустный</t>
  </si>
  <si>
    <t>Да , это грустно и ужасно .</t>
  </si>
  <si>
    <t>file://conllu/ru/teddy-1322.conllu#s92_0</t>
  </si>
  <si>
    <t>93</t>
  </si>
  <si>
    <t>должен</t>
  </si>
  <si>
    <t>Но тут не должно быть вины .</t>
  </si>
  <si>
    <t>file://conllu/ru/teddy-1322.conllu#s93_0</t>
  </si>
  <si>
    <t>94</t>
  </si>
  <si>
    <t>возникать</t>
  </si>
  <si>
    <t>Чувство вины возникает , только если ты действуешь против личности , а люди с синдромом Дауна — не личности» .</t>
  </si>
  <si>
    <t>file://conllu/ru/teddy-1322.conllu#s94_0</t>
  </si>
  <si>
    <t>95</t>
  </si>
  <si>
    <t>писать</t>
  </si>
  <si>
    <t>Очень многое написано о том , какого невероятного прогресса мы добились в улучшении отношения к геям .</t>
  </si>
  <si>
    <t>file://conllu/ru/teddy-1322.conllu#s95_0</t>
  </si>
  <si>
    <t>96</t>
  </si>
  <si>
    <t>кричать</t>
  </si>
  <si>
    <t>Об этом ежедневно кричат все заголовки новостей .</t>
  </si>
  <si>
    <t>file://conllu/ru/teddy-1322.conllu#s96_0</t>
  </si>
  <si>
    <t>97</t>
  </si>
  <si>
    <t>забыть</t>
  </si>
  <si>
    <t>Но мы забыли , как относились к людям с другими отличительными особенностями , как мы относились к инвалидам , какими бесчеловечными мы были .</t>
  </si>
  <si>
    <t>file://conllu/ru/teddy-1322.conllu#s97_0</t>
  </si>
  <si>
    <t>98</t>
  </si>
  <si>
    <t>уделять</t>
  </si>
  <si>
    <t>Но произошедшим переменам , которые можно назвать радикальными , мы не уделяем достаточно внимания .</t>
  </si>
  <si>
    <t>file://conllu/ru/teddy-1322.conllu#s98_0</t>
  </si>
  <si>
    <t>99</t>
  </si>
  <si>
    <t>один</t>
  </si>
  <si>
    <t>Одна из семей , у которых я брал интервью , — семья Тома и Карен Робардс .</t>
  </si>
  <si>
    <t>file://conllu/ru/teddy-1322.conllu#s99_0</t>
  </si>
  <si>
    <t>100</t>
  </si>
  <si>
    <t>житель</t>
  </si>
  <si>
    <t>Молодые и успешные жители Нью-Йорка , они были поражены , когда у их первенца обнаружили синдром Дауна .</t>
  </si>
  <si>
    <t>file://conllu/ru/teddy-1322.conllu#s100_0</t>
  </si>
  <si>
    <t>101</t>
  </si>
  <si>
    <t>давать (давать казаться)</t>
  </si>
  <si>
    <t>Им показалось , что система образования не даёт их ребёнку того , что они ожидали , и они решили построить небольшой образовательный центр — всего две классные комнаты в доле с несколькими другими родителями — для обучения детей с синдромом Дауна .</t>
  </si>
  <si>
    <t>file://conllu/ru/teddy-1322.conllu#s101_0</t>
  </si>
  <si>
    <t>102</t>
  </si>
  <si>
    <t>вырасти</t>
  </si>
  <si>
    <t>За годы существования центр вырос и получил название «Кук Центр» .</t>
  </si>
  <si>
    <t>file://conllu/ru/teddy-1322.conllu#s102_0</t>
  </si>
  <si>
    <t>103</t>
  </si>
  <si>
    <t>обучаться</t>
  </si>
  <si>
    <t>Сейчас здесь обучаются тысячи детей , имеющих умственные отклонения .</t>
  </si>
  <si>
    <t>file://conllu/ru/teddy-1322.conllu#s103_0</t>
  </si>
  <si>
    <t>104</t>
  </si>
  <si>
    <t>увеличиться</t>
  </si>
  <si>
    <t>Со времён той статьи в «Атлантик Мансли» средняя продолжительность жизни людей с синдромом Дауна увеличилась втрое .</t>
  </si>
  <si>
    <t>file://conllu/ru/teddy-1322.conllu#s104_0</t>
  </si>
  <si>
    <t>105</t>
  </si>
  <si>
    <t>можно</t>
  </si>
  <si>
    <t>Среди людей с синдромом Дауна можно встретить актёров писателей и тех , кто полностью живёт самостоятельной жизнью .</t>
  </si>
  <si>
    <t>file://conllu/ru/teddy-1322.conllu#s105_0</t>
  </si>
  <si>
    <t>106</t>
  </si>
  <si>
    <t>приложить</t>
  </si>
  <si>
    <t>Робардсы приложили к этому немало усилий .</t>
  </si>
  <si>
    <t>file://conllu/ru/teddy-1322.conllu#s106_0</t>
  </si>
  <si>
    <t>107</t>
  </si>
  <si>
    <t>Я спросил их : «Больно ли вам ?</t>
  </si>
  <si>
    <t>file://conllu/ru/teddy-1322.conllu#s107_0</t>
  </si>
  <si>
    <t>108</t>
  </si>
  <si>
    <t>Хотели бы вы , чтобы у вашего ребёнка не было синдрома Дауна ?</t>
  </si>
  <si>
    <t>file://conllu/ru/teddy-1322.conllu#s108_0</t>
  </si>
  <si>
    <t>109</t>
  </si>
  <si>
    <t>знать (знать хотеть)</t>
  </si>
  <si>
    <t>Хотели бы вы никогда не знать об этом заболевании ? » И вот , что ответил отец : «Да , мне больно за Дэвида , нашего сына , потому что ему непросто жить в этом мире .</t>
  </si>
  <si>
    <t>file://conllu/ru/teddy-1322.conllu#s109_0</t>
  </si>
  <si>
    <t>110</t>
  </si>
  <si>
    <t>Я бы хотел , чтобы его жизнь была легче .</t>
  </si>
  <si>
    <t>file://conllu/ru/teddy-1322.conllu#s110_0</t>
  </si>
  <si>
    <t>111</t>
  </si>
  <si>
    <t>быть (быть потеря»)</t>
  </si>
  <si>
    <t>Но если бы мы потеряли каждого с синдромом Дауна , то это была бы гибельная потеря» .</t>
  </si>
  <si>
    <t>file://conllu/ru/teddy-1322.conllu#s111_0</t>
  </si>
  <si>
    <t>112</t>
  </si>
  <si>
    <t>добавить</t>
  </si>
  <si>
    <t>Карен Робардс добавила : «Я согласна с Томом .</t>
  </si>
  <si>
    <t>file://conllu/ru/teddy-1322.conllu#s112_0</t>
  </si>
  <si>
    <t>113</t>
  </si>
  <si>
    <t>мечтать</t>
  </si>
  <si>
    <t>Я мечтаю о мгновенном излечении для Дэвида , для облегчения его жизни .</t>
  </si>
  <si>
    <t>file://conllu/ru/teddy-1322.conllu#s113_0</t>
  </si>
  <si>
    <t>114</t>
  </si>
  <si>
    <t>себя</t>
  </si>
  <si>
    <t>Но для себя . . .</t>
  </si>
  <si>
    <t>file://conllu/ru/teddy-1322.conllu#s114_0</t>
  </si>
  <si>
    <t>115</t>
  </si>
  <si>
    <t>поверить</t>
  </si>
  <si>
    <t>23 года назад , когда он родился , я бы и не поверила , что однажды буду размышлять подобным образом .</t>
  </si>
  <si>
    <t>file://conllu/ru/teddy-1322.conllu#s115_0</t>
  </si>
  <si>
    <t>116</t>
  </si>
  <si>
    <t>делать</t>
  </si>
  <si>
    <t>Случившееся сделало меня лучше , добрее и целеустремлённее .</t>
  </si>
  <si>
    <t>file://conllu/ru/teddy-1322.conllu#s116_0</t>
  </si>
  <si>
    <t>117</t>
  </si>
  <si>
    <t>менять</t>
  </si>
  <si>
    <t>Говоря о себе , я бы не променяла произошедшее ни на что другое» .</t>
  </si>
  <si>
    <t>file://conllu/ru/teddy-1322.conllu#s117_0</t>
  </si>
  <si>
    <t>118</t>
  </si>
  <si>
    <t>живь</t>
  </si>
  <si>
    <t>Мы живём во времена , когда отношение к необычным людям постоянно улучшается .</t>
  </si>
  <si>
    <t>file://conllu/ru/teddy-1322.conllu#s118_0</t>
  </si>
  <si>
    <t>119</t>
  </si>
  <si>
    <t>Но так же , мы живём во времена , когда наши способности к устранению человеческих особенностей возросли как никогда ранее .</t>
  </si>
  <si>
    <t>file://conllu/ru/teddy-1322.conllu#s119_0</t>
  </si>
  <si>
    <t>120</t>
  </si>
  <si>
    <t>устанавливать</t>
  </si>
  <si>
    <t>Большинству глухих детей , рождающихся в США , теперь устанавливают кохлеарные имплантаты .</t>
  </si>
  <si>
    <t>file://conllu/ru/teddy-1322.conllu#s120_0</t>
  </si>
  <si>
    <t>121</t>
  </si>
  <si>
    <t>позволять (позволять устанавливать)</t>
  </si>
  <si>
    <t>Его устанавливают в височной доле мозга и соединяют с внешним микрофоном , что позволяет им обрести некое подобие слуха и дар речи .</t>
  </si>
  <si>
    <t>file://conllu/ru/teddy-1322.conllu#s121_0</t>
  </si>
  <si>
    <t>122</t>
  </si>
  <si>
    <t>блокировать</t>
  </si>
  <si>
    <t>Соединение BMN 111 , протестированное на мышах , блокирует ген вызывающий ахондроплазию .</t>
  </si>
  <si>
    <t>file://conllu/ru/teddy-1322.conllu#s122_0</t>
  </si>
  <si>
    <t>123</t>
  </si>
  <si>
    <t>Ахондроплазия</t>
  </si>
  <si>
    <t>Ахондроплазия — наиболее распространённая форма карликовости .</t>
  </si>
  <si>
    <t>file://conllu/ru/teddy-1322.conllu#s123_0</t>
  </si>
  <si>
    <t>124</t>
  </si>
  <si>
    <t>Мыши , имевшие ген этого заболевания , и получившие препарат , выросли до своего полного размера .</t>
  </si>
  <si>
    <t>file://conllu/ru/teddy-1322.conllu#s124_0</t>
  </si>
  <si>
    <t>125</t>
  </si>
  <si>
    <t>начнваться</t>
  </si>
  <si>
    <t>Вскоре начнётся тестирование на людях .</t>
  </si>
  <si>
    <t>file://conllu/ru/teddy-1322.conllu#s125_0</t>
  </si>
  <si>
    <t>126</t>
  </si>
  <si>
    <t>появляться</t>
  </si>
  <si>
    <t>Появляются такие виды тестов крови , которые позволяют выявить у эмбриона синдром Дауна на более ранних сроках беременности и с большей точностью .</t>
  </si>
  <si>
    <t>file://conllu/ru/teddy-1322.conllu#s126_0</t>
  </si>
  <si>
    <t>127</t>
  </si>
  <si>
    <t>дать</t>
  </si>
  <si>
    <t>Это даст возможность своевременно прервать такую беременность .</t>
  </si>
  <si>
    <t>file://conllu/ru/teddy-1322.conllu#s127_0</t>
  </si>
  <si>
    <t>128</t>
  </si>
  <si>
    <t>наблюдать</t>
  </si>
  <si>
    <t>Таким образом , мы наблюдаем развитие общества и развитие медицины .</t>
  </si>
  <si>
    <t>file://conllu/ru/teddy-1322.conllu#s128_0</t>
  </si>
  <si>
    <t>129</t>
  </si>
  <si>
    <t>верить</t>
  </si>
  <si>
    <t>Я верю и в то и в другое .</t>
  </si>
  <si>
    <t>file://conllu/ru/teddy-1322.conllu#s129_0</t>
  </si>
  <si>
    <t>130</t>
  </si>
  <si>
    <t>То же самое?</t>
  </si>
  <si>
    <t>считать</t>
  </si>
  <si>
    <t>Я считаю , что социальное развитие — потрясающий , значительный , великолепный процесс и думаю то же самое о медицинском развитии .</t>
  </si>
  <si>
    <t>file://conllu/ru/teddy-1322.conllu#s130_0</t>
  </si>
  <si>
    <t>131</t>
  </si>
  <si>
    <t>Но так же считаю трагедией , что эти процессы не находят точек соприкосновения .</t>
  </si>
  <si>
    <t>file://conllu/ru/teddy-1322.conllu#s131_0</t>
  </si>
  <si>
    <t>132</t>
  </si>
  <si>
    <t>похожий</t>
  </si>
  <si>
    <t>Когда я всё же вижу то , каким образом они пересекаются , например , в ситуации , которую я только что описал , это похоже на сцену из оперной постановки , когда герой понимает , что влюблён в героиню , которая в этот момент испускает дух , лёжа на тахте .</t>
  </si>
  <si>
    <t>file://conllu/ru/teddy-1322.conllu#s132_0</t>
  </si>
  <si>
    <t>133</t>
  </si>
  <si>
    <t>Мы должны задуматься о нашем отношении к излечению .</t>
  </si>
  <si>
    <t>file://conllu/ru/teddy-1322.conllu#s133_0</t>
  </si>
  <si>
    <t>134</t>
  </si>
  <si>
    <t>И родители должны ответить на вопросы о том , что они готовы принять в своих детях , а что они хотели бы излечить .</t>
  </si>
  <si>
    <t>file://conllu/ru/teddy-1322.conllu#s134_0</t>
  </si>
  <si>
    <t>135</t>
  </si>
  <si>
    <t>хотеть (хотеть говорить сказать)</t>
  </si>
  <si>
    <t>Джим Синклер , борец за права людей страдающих аутизмом , сказал : «Когда родители говорят : “Я бы хотел , чтобы у моего ребёнка не было аутизма” , они имеют в виду : “Я бы хотел , чтобы мой ребёнок никогда не был рождён , а у меня был другой , не страдающий аутизмом ребёнок”» .</t>
  </si>
  <si>
    <t>file://conllu/ru/teddy-1322.conllu#s135_0</t>
  </si>
  <si>
    <t>136</t>
  </si>
  <si>
    <t>Вслушаться</t>
  </si>
  <si>
    <t>Вслушайтесь в это .</t>
  </si>
  <si>
    <t>file://conllu/ru/teddy-1322.conllu#s136_0</t>
  </si>
  <si>
    <t>137</t>
  </si>
  <si>
    <t>Это то , что мы слышим , когда вы оплакиваете наше существование .</t>
  </si>
  <si>
    <t>file://conllu/ru/teddy-1322.conllu#s137_0</t>
  </si>
  <si>
    <t>138</t>
  </si>
  <si>
    <t>молить (молить понимать)</t>
  </si>
  <si>
    <t>И когда вы молите об излечении , мы понимаем , что вы молите о том , чтобы однажды нас не стало , а наше место в ваших сердцах заняли те , кого вы сможете полюбить» .</t>
  </si>
  <si>
    <t>file://conllu/ru/teddy-1322.conllu#s138_0</t>
  </si>
  <si>
    <t>139</t>
  </si>
  <si>
    <t>отражать (отражать казаться)</t>
  </si>
  <si>
    <t>Возможно такая точка зрения покажется вам вздорной , но она отражает тот факт , что люди вовлекаются в свою жизнь , и не хотят , чтобы их лечили , пытались изменить или отбраковать .</t>
  </si>
  <si>
    <t>file://conllu/ru/teddy-1322.conllu#s139_0</t>
  </si>
  <si>
    <t>140</t>
  </si>
  <si>
    <t>Они хотят быть теми , кем им предначертано быть .</t>
  </si>
  <si>
    <t>file://conllu/ru/teddy-1322.conllu#s140_0</t>
  </si>
  <si>
    <t>141</t>
  </si>
  <si>
    <t>встретиться</t>
  </si>
  <si>
    <t>Работая над этим проектом , я встретился с семьёй Дилана Клиболда — одного из организаторов массового убийства в школе «Колумбайн» .</t>
  </si>
  <si>
    <t>file://conllu/ru/teddy-1322.conllu#s141_0</t>
  </si>
  <si>
    <t>142</t>
  </si>
  <si>
    <t>просить</t>
  </si>
  <si>
    <t>Я долгое время просил их о встрече , и когда они согласились , они были настолько переполнены эмоциями от произошедшего , что без остановки говорили об этом .</t>
  </si>
  <si>
    <t>file://conllu/ru/teddy-1322.conllu#s142_0</t>
  </si>
  <si>
    <t>143</t>
  </si>
  <si>
    <t>За первую неделю с ними — а таких недель было много — я записал более 20-ти часов наших бесед .</t>
  </si>
  <si>
    <t>file://conllu/ru/teddy-1322.conllu#s143_0</t>
  </si>
  <si>
    <t>144</t>
  </si>
  <si>
    <t>обессиить</t>
  </si>
  <si>
    <t>К воскресенью мы были обессилены .</t>
  </si>
  <si>
    <t>file://conllu/ru/teddy-1322.conllu#s144_0</t>
  </si>
  <si>
    <t>145</t>
  </si>
  <si>
    <t>сидеть</t>
  </si>
  <si>
    <t>Мы сидели на кухне .</t>
  </si>
  <si>
    <t>file://conllu/ru/teddy-1322.conllu#s145_0</t>
  </si>
  <si>
    <t>146</t>
  </si>
  <si>
    <t>готовить</t>
  </si>
  <si>
    <t>Сью Клиболд готовила ужин .</t>
  </si>
  <si>
    <t>file://conllu/ru/teddy-1322.conllu#s146_0</t>
  </si>
  <si>
    <t>147</t>
  </si>
  <si>
    <t>думать (думать спросить)</t>
  </si>
  <si>
    <t>И я спросил : «Если бы Дилан был сейчас здесь , как думаете , о чём бы вы его спросили ? » Его отец ответил : «Я бы спросил , о чём он , чёрт побери , думал» .</t>
  </si>
  <si>
    <t>file://conllu/ru/teddy-1322.conllu#s147_0</t>
  </si>
  <si>
    <t>148</t>
  </si>
  <si>
    <t>опустить</t>
  </si>
  <si>
    <t>Сью опустила взгляд и на минуту задумалась .</t>
  </si>
  <si>
    <t>file://conllu/ru/teddy-1322.conllu#s148_0</t>
  </si>
  <si>
    <t>149</t>
  </si>
  <si>
    <t>Занять</t>
  </si>
  <si>
    <t>Замет она подняла глаза и сказала : «Я бы попросила у него прощения , за то что я , его мать , даже не догадывалась о том , что творилось у него в голове» .</t>
  </si>
  <si>
    <t>file://conllu/ru/teddy-1322.conllu#s149_0</t>
  </si>
  <si>
    <t>150</t>
  </si>
  <si>
    <t>Пару лет спустя , за ужином — это был один из многих совместных ужинов — она сказала : «Узнав о случившемся , я пожалела , что когда-то вышла замуж , что завела детей .</t>
  </si>
  <si>
    <t>file://conllu/ru/teddy-1322.conllu#s150_0</t>
  </si>
  <si>
    <t>151</t>
  </si>
  <si>
    <t>быть (быть рождя)</t>
  </si>
  <si>
    <t>Если бы я не переехала в Огайо и не встретилась с Томом , то этот ребёнок не был бы рождён , и не случилось бы этой ужасной трагедии .</t>
  </si>
  <si>
    <t>file://conllu/ru/teddy-1322.conllu#s151_0</t>
  </si>
  <si>
    <t>152</t>
  </si>
  <si>
    <t>понять</t>
  </si>
  <si>
    <t>Но потом я поняла , что так сильно люблю своих детей , что даже не хочу представлять себе жизни без них .</t>
  </si>
  <si>
    <t>file://conllu/ru/teddy-1322.conllu#s152_0</t>
  </si>
  <si>
    <t>153</t>
  </si>
  <si>
    <t>Я вижу боль , которую они причинили людям , и этому нет прощения , но боль , причинённая мне , уже прощена .</t>
  </si>
  <si>
    <t>file://conllu/ru/teddy-1322.conllu#s153_0</t>
  </si>
  <si>
    <t>154</t>
  </si>
  <si>
    <t>понимать (понимать понимать)</t>
  </si>
  <si>
    <t>Поэтому понимая , что для мира было бы лучше , если бы Дилан не появился на свет , я так же понимаю , что это не было бы лучше для меня» .</t>
  </si>
  <si>
    <t>file://conllu/ru/teddy-1322.conllu#s154_0</t>
  </si>
  <si>
    <t>155</t>
  </si>
  <si>
    <t>удивительный</t>
  </si>
  <si>
    <t>Удивительно то , что все эти родители детей с огромными проблемами , которые хотелось бы избежать любым доступным способом , нашли в пережитом опыте так много смысла .</t>
  </si>
  <si>
    <t>file://conllu/ru/teddy-1322.conllu#s155_0</t>
  </si>
  <si>
    <t>156</t>
  </si>
  <si>
    <t>Потом я подумал что все мы , у кого есть дети , любим их со всеми недостатками .</t>
  </si>
  <si>
    <t>file://conllu/ru/teddy-1322.conllu#s156_0</t>
  </si>
  <si>
    <t>157</t>
  </si>
  <si>
    <t>спуститься</t>
  </si>
  <si>
    <t>И если некий ангел неожиданно спустился бы прямо в мою гостиную и предложил забрать у меня моего ребёнка , дав в замен другого , — более вежливого , забавного , милого и умного — я бы приник к своему ребёнку , моля , чтобы это ужасное явление исчезло .</t>
  </si>
  <si>
    <t>file://conllu/ru/teddy-1322.conllu#s157_0</t>
  </si>
  <si>
    <t>158</t>
  </si>
  <si>
    <t>проверять (проверять понимать)</t>
  </si>
  <si>
    <t>И я понимаю , что , точно так же как мы проверяем материал пижам на огнеустойчивость , чтобы быть уверенными , что он не загорится , когда наш малыш возится у плиты так же и истории этих семей , принимающих особенности своих детей , отражают сущность родительского опыта всего человечества , при котором ты иногда смотришь на своего ребёнка и думаешь : «Откуда ты взялся такой?» .</t>
  </si>
  <si>
    <t>file://conllu/ru/teddy-1322.conllu#s158_0</t>
  </si>
  <si>
    <t>159</t>
  </si>
  <si>
    <t>выходить</t>
  </si>
  <si>
    <t>Выходит , что несмотря на то , что все эти особенности так отличны друг от друга — многие семьи столкнулись с шизофренией , в других семьях дети стали транссексуалами , а в третьих родились вундеркинды — что тоже представляет немалые трудности — и так много семей , в каждой из этих категорий .</t>
  </si>
  <si>
    <t>file://conllu/ru/teddy-1322.conllu#s159_0</t>
  </si>
  <si>
    <t>160</t>
  </si>
  <si>
    <t>Но если вы задумаетесь о том , что преодоление отличий внутри вашей собственной семьи эти и есть то , к чему стремятся люди , вы поймёте , что это почти вселенское явление .</t>
  </si>
  <si>
    <t>file://conllu/ru/teddy-1322.conllu#s160_0</t>
  </si>
  <si>
    <t>161</t>
  </si>
  <si>
    <t>Ирония в том , что именно наши особенности и их преодоление объединяют нас .</t>
  </si>
  <si>
    <t>file://conllu/ru/teddy-1322.conllu#s161_0</t>
  </si>
  <si>
    <t>162</t>
  </si>
  <si>
    <t>решить</t>
  </si>
  <si>
    <t>Я решил завести ребёнка в то время , когда работал над этим проектом .</t>
  </si>
  <si>
    <t>file://conllu/ru/teddy-1322.conllu#s162_0</t>
  </si>
  <si>
    <t>163</t>
  </si>
  <si>
    <t>удивить</t>
  </si>
  <si>
    <t>Многие были удивлены и спрашивали : «Как ты мог решиться завести ребёнка , проводя исследование о том , что всё может пойти не так как хотелось ? » Я отвечал : «Я исследую не то , что может пойти не так как хотелось .</t>
  </si>
  <si>
    <t>file://conllu/ru/teddy-1322.conllu#s163_0</t>
  </si>
  <si>
    <t>164</t>
  </si>
  <si>
    <t>исследой</t>
  </si>
  <si>
    <t>Я исследую вопрос о том , как много любви потребуется в момент , когда кажется , что всё идёт не так» .</t>
  </si>
  <si>
    <t>file://conllu/ru/teddy-1322.conllu#s164_0</t>
  </si>
  <si>
    <t>165</t>
  </si>
  <si>
    <t>Я много думал о матери одного ребёнка инвалида , которого мне довелось встретить .</t>
  </si>
  <si>
    <t>file://conllu/ru/teddy-1322.conllu#s165_0</t>
  </si>
  <si>
    <t>166</t>
  </si>
  <si>
    <t>быть (быть он)</t>
  </si>
  <si>
    <t>У него была тяжёлая степень инвалидности .</t>
  </si>
  <si>
    <t>file://conllu/ru/teddy-1322.conllu#s166_0</t>
  </si>
  <si>
    <t>167</t>
  </si>
  <si>
    <t>умереть</t>
  </si>
  <si>
    <t>Он умер он недостатка ухода .</t>
  </si>
  <si>
    <t>file://conllu/ru/teddy-1322.conllu#s167_0</t>
  </si>
  <si>
    <t>168</t>
  </si>
  <si>
    <t>Во время похорон его мать сказала : «Я молю о прощении за то , чего дважды была лишена — такого ребёнка как я хотела и сына , которого любила» .</t>
  </si>
  <si>
    <t>file://conllu/ru/teddy-1322.conllu#s168_0</t>
  </si>
  <si>
    <t>169</t>
  </si>
  <si>
    <t>осознать</t>
  </si>
  <si>
    <t>И я осознал , что любой человек может любить любого ребёнка , если у него достаточно силы духа для этого .</t>
  </si>
  <si>
    <t>file://conllu/ru/teddy-1322.conllu#s169_0</t>
  </si>
  <si>
    <t>170</t>
  </si>
  <si>
    <t>отец</t>
  </si>
  <si>
    <t>Мой муж — биологический отец двух детей рождённых лесбиянками в Минеаполисе .</t>
  </si>
  <si>
    <t>file://conllu/ru/teddy-1322.conllu#s170_0</t>
  </si>
  <si>
    <t>171</t>
  </si>
  <si>
    <t>У меня была подруга по колледжу , в разводе , желавшая иметь детей .</t>
  </si>
  <si>
    <t>file://conllu/ru/teddy-1322.conllu#s171_0</t>
  </si>
  <si>
    <t>172</t>
  </si>
  <si>
    <t>У нас с ней есть дочь .</t>
  </si>
  <si>
    <t>file://conllu/ru/teddy-1322.conllu#s172_0</t>
  </si>
  <si>
    <t>173</t>
  </si>
  <si>
    <t>жить</t>
  </si>
  <si>
    <t>Они живут в Техасе .</t>
  </si>
  <si>
    <t>file://conllu/ru/teddy-1322.conllu#s173_0</t>
  </si>
  <si>
    <t>174</t>
  </si>
  <si>
    <t>А у нас с мужем есть сын , живущий с нами постоянно .</t>
  </si>
  <si>
    <t>file://conllu/ru/teddy-1322.conllu#s174_0</t>
  </si>
  <si>
    <t>175</t>
  </si>
  <si>
    <t>Я его биологический отец , а суррогатной матерью стала Лора — лесбиянка , мать Оливера и Люси живущая в Минеаполисе .</t>
  </si>
  <si>
    <t>file://conllu/ru/teddy-1322.conllu#s175_0</t>
  </si>
  <si>
    <t>176</t>
  </si>
  <si>
    <t>итог</t>
  </si>
  <si>
    <t>Итог : пять родителей , четверо детей , три штата .</t>
  </si>
  <si>
    <t>file://conllu/ru/teddy-1322.conllu#s176_0</t>
  </si>
  <si>
    <t>177</t>
  </si>
  <si>
    <t>Есть люди , которые считают , что существование моей семьи подрывает , ослабляет или разрушает авторитет их семей .</t>
  </si>
  <si>
    <t>file://conllu/ru/teddy-1322.conllu#s177_0</t>
  </si>
  <si>
    <t>178</t>
  </si>
  <si>
    <t>А есть те , кто считает , что семьи вроде моей не должны существовать .</t>
  </si>
  <si>
    <t>file://conllu/ru/teddy-1322.conllu#s178_0</t>
  </si>
  <si>
    <t>179</t>
  </si>
  <si>
    <t>принимать</t>
  </si>
  <si>
    <t>Я не принимаю исключающий вид любви .</t>
  </si>
  <si>
    <t>file://conllu/ru/teddy-1322.conllu#s179_0</t>
  </si>
  <si>
    <t>180</t>
  </si>
  <si>
    <t>Только принимающий .</t>
  </si>
  <si>
    <t>file://conllu/ru/teddy-1322.conllu#s180_0</t>
  </si>
  <si>
    <t>181</t>
  </si>
  <si>
    <t>И я верю , что так же как нам необходимо разнообразие видов , чтобы знать , что наша планета способна развиваться , так же нам нужно разнообразие любви , разнообразие семей для укрепления экосферы добра .</t>
  </si>
  <si>
    <t>file://conllu/ru/teddy-1322.conllu#s181_0</t>
  </si>
  <si>
    <t>182</t>
  </si>
  <si>
    <t>На следующий день после рождения нашего сына , в палату пришёл встревоженный педиатр .</t>
  </si>
  <si>
    <t>file://conllu/ru/teddy-1322.conllu#s182_0</t>
  </si>
  <si>
    <t>183</t>
  </si>
  <si>
    <t>вытягивать</t>
  </si>
  <si>
    <t>Сын не вытягивал ноги должным образом .</t>
  </si>
  <si>
    <t>file://conllu/ru/teddy-1322.conllu#s183_0</t>
  </si>
  <si>
    <t>184</t>
  </si>
  <si>
    <t>Врач сказала , что возможно у него повреждён мозг .</t>
  </si>
  <si>
    <t>file://conllu/ru/teddy-1322.conllu#s184_0</t>
  </si>
  <si>
    <t>185</t>
  </si>
  <si>
    <t>Он вытягивал ноги , но не симметрично , что по её мнению могло указывать на опухоль в определённой стадии .</t>
  </si>
  <si>
    <t>file://conllu/ru/teddy-1322.conllu#s185_0</t>
  </si>
  <si>
    <t>186</t>
  </si>
  <si>
    <t>быть (быть голова)</t>
  </si>
  <si>
    <t>Так же у него была очень большая голова , что могло указывать на гидроцефалию .</t>
  </si>
  <si>
    <t>file://conllu/ru/teddy-1322.conllu#s186_0</t>
  </si>
  <si>
    <t>187</t>
  </si>
  <si>
    <t>Когда она всё это сказала , а почувствовал , что что-то внутри меня оборвалось .</t>
  </si>
  <si>
    <t>file://conllu/ru/teddy-1322.conllu#s187_0</t>
  </si>
  <si>
    <t>188</t>
  </si>
  <si>
    <t>Я подумал , что годами работал над книгой о том , как много смысла нашли родители в том , что их дети были инвалидами и я не хочу пополнить их ряды .</t>
  </si>
  <si>
    <t>file://conllu/ru/teddy-1322.conllu#s188_0</t>
  </si>
  <si>
    <t>189</t>
  </si>
  <si>
    <t>болезнь</t>
  </si>
  <si>
    <t>То , с чем мне пришлось столкнуться — это болезнь , и как все родители с незапамятных времён я хотел защитить своего ребёнка от болезни .</t>
  </si>
  <si>
    <t>file://conllu/ru/teddy-1322.conllu#s189_0</t>
  </si>
  <si>
    <t>190</t>
  </si>
  <si>
    <t>Я так же хотел защитить и себя от болезни .</t>
  </si>
  <si>
    <t>file://conllu/ru/teddy-1322.conllu#s190_0</t>
  </si>
  <si>
    <t>191</t>
  </si>
  <si>
    <t>стать</t>
  </si>
  <si>
    <t>Из проведённых исследований , я знал , если обнаружится , что он болен чем-то из этого , то это станет его отличительной особенностью , которая станет так же и моей особенностью , что развиваясь , болезнь станет чем-то большим .</t>
  </si>
  <si>
    <t>file://conllu/ru/teddy-1322.conllu#s191_0</t>
  </si>
  <si>
    <t>192</t>
  </si>
  <si>
    <t>Мы сделали ему МРТ , компьютерное сканирование , позволили взять у новорождённого кровь на анализы .</t>
  </si>
  <si>
    <t>file://conllu/ru/teddy-1322.conllu#s192_0</t>
  </si>
  <si>
    <t>193</t>
  </si>
  <si>
    <t>чувствовать</t>
  </si>
  <si>
    <t>Мы чувствовали себя беспомощными .</t>
  </si>
  <si>
    <t>file://conllu/ru/teddy-1322.conllu#s193_0</t>
  </si>
  <si>
    <t>194</t>
  </si>
  <si>
    <t>Пять часов спустя , нам сказали , что с его мозгом всё в порядке , и что он начал вытягивать ножки как следует .</t>
  </si>
  <si>
    <t>file://conllu/ru/teddy-1322.conllu#s194_0</t>
  </si>
  <si>
    <t>195</t>
  </si>
  <si>
    <t>Я спросил педиатра , в чём же было дело , на что она ответила , что тем утром у него , возможно , были колики .</t>
  </si>
  <si>
    <t>file://conllu/ru/teddy-1322.conllu#s195_0</t>
  </si>
  <si>
    <t>196</t>
  </si>
  <si>
    <t>И я подумал , что моя мама была права .</t>
  </si>
  <si>
    <t>file://conllu/ru/teddy-1322.conllu#s196_0</t>
  </si>
  <si>
    <t>197</t>
  </si>
  <si>
    <t>Любовь к своему ребёнку не похожа ни на одно другое чувство , и пока у тебя нет детей , ты не знаешь что это за чувство .</t>
  </si>
  <si>
    <t>file://conllu/ru/teddy-1322.conllu#s197_0</t>
  </si>
  <si>
    <t>198</t>
  </si>
  <si>
    <t>привязать</t>
  </si>
  <si>
    <t>Думаю , дети привязали меня к себе в тот момент , когда отцовство граничило с потерей .</t>
  </si>
  <si>
    <t>file://conllu/ru/teddy-1322.conllu#s198_0</t>
  </si>
  <si>
    <t>199</t>
  </si>
  <si>
    <t>Но не думаю , что заметил бы это , если бы не был погружён с головой в своё исследование .</t>
  </si>
  <si>
    <t>file://conllu/ru/teddy-1322.conllu#s199_0</t>
  </si>
  <si>
    <t>200</t>
  </si>
  <si>
    <t>чувствовать (чувствовать видеть)</t>
  </si>
  <si>
    <t>Я увидел так много странной любви , но чувствовал себя естественно , очарованный ей .</t>
  </si>
  <si>
    <t>file://conllu/ru/teddy-1322.conllu#s200_0</t>
  </si>
  <si>
    <t>201</t>
  </si>
  <si>
    <t>Я видел , как её сияние озаряет даже самых израненных .</t>
  </si>
  <si>
    <t>file://conllu/ru/teddy-1322.conllu#s201_0</t>
  </si>
  <si>
    <t>202</t>
  </si>
  <si>
    <t>лицезреть</t>
  </si>
  <si>
    <t>За эти 10 лет , я лицезрел и проникся устрашающей радостью невыносимой ответственности , которая , как я убедился , помогает превозмочь всё остальное .</t>
  </si>
  <si>
    <t>file://conllu/ru/teddy-1322.conllu#s202_0</t>
  </si>
  <si>
    <t>203</t>
  </si>
  <si>
    <t>Иногда , глядя на родителей , с которыми мне приходилось встречаться , я считал их глупцами , отдавшими всю свою жизнь детям неспособным на благодарность , ищущими особенности в невзгодах .</t>
  </si>
  <si>
    <t>file://conllu/ru/teddy-1322.conllu#s203_0</t>
  </si>
  <si>
    <t>204</t>
  </si>
  <si>
    <t>Но в тот день я понял , что моё исследование стало для меня опорой и я готов пополнить ряды тех родителей .</t>
  </si>
  <si>
    <t>file://conllu/ru/teddy-1322.conllu#s204_0</t>
  </si>
  <si>
    <t>205</t>
  </si>
  <si>
    <t>спасибо</t>
  </si>
  <si>
    <t>Спасибо .</t>
  </si>
  <si>
    <t>file://conllu/ru/teddy-1322.conllu#s205_0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</si>
  <si>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</si>
  <si>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</si>
  <si>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</si>
  <si>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</si>
  <si>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</si>
  <si>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</si>
  <si>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</si>
  <si>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</si>
  <si>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</si>
  <si>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</si>
  <si>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</si>
  <si>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«Даже если абстрагироваться от религии, гомосексуализм — это сексуальное извращение.</t>
  </si>
  <si>
    <t>«Даже</t>
  </si>
  <si>
    <t>если</t>
  </si>
  <si>
    <t>абстрагироваться</t>
  </si>
  <si>
    <t>от</t>
  </si>
  <si>
    <t>религии</t>
  </si>
  <si>
    <t>,</t>
  </si>
  <si>
    <t>гомосексуализм</t>
  </si>
  <si>
    <t>—</t>
  </si>
  <si>
    <t>это</t>
  </si>
  <si>
    <t>SBJ</t>
  </si>
  <si>
    <t>pron.pds</t>
  </si>
  <si>
    <t>?OLD</t>
  </si>
  <si>
    <t>сексуальное</t>
  </si>
  <si>
    <t>.</t>
  </si>
  <si>
    <t># text = Это жалкая, ничтожная, второсортная подмена реальности, презренная попытка бегства от жизни.</t>
  </si>
  <si>
    <t>Это</t>
  </si>
  <si>
    <t>жалкая</t>
  </si>
  <si>
    <t>ничтожная</t>
  </si>
  <si>
    <t>второсортная</t>
  </si>
  <si>
    <t>реальности</t>
  </si>
  <si>
    <t>презренная</t>
  </si>
  <si>
    <t>попытка</t>
  </si>
  <si>
    <t>бегства</t>
  </si>
  <si>
    <t>жизни</t>
  </si>
  <si>
    <t># text = Поэтому, он не заслуживает сострадания, не заслуживает лечения, так как не является мученичеством, и относиться к нему стоит не иначе как к смертельной болезни».</t>
  </si>
  <si>
    <t>Поэтому</t>
  </si>
  <si>
    <t>pron</t>
  </si>
  <si>
    <t>не</t>
  </si>
  <si>
    <t>заслуживает</t>
  </si>
  <si>
    <t>сострадания</t>
  </si>
  <si>
    <t>лечения</t>
  </si>
  <si>
    <t>так</t>
  </si>
  <si>
    <t>как</t>
  </si>
  <si>
    <t>является</t>
  </si>
  <si>
    <t>мученичеством</t>
  </si>
  <si>
    <t>и</t>
  </si>
  <si>
    <t>относиться</t>
  </si>
  <si>
    <t>к</t>
  </si>
  <si>
    <t>нему</t>
  </si>
  <si>
    <t>other_5</t>
  </si>
  <si>
    <t>стоит</t>
  </si>
  <si>
    <t>иначе</t>
  </si>
  <si>
    <t>смертельной</t>
  </si>
  <si>
    <t>болезни»</t>
  </si>
  <si>
    <t># text = Это было напечатано в журнале «Тайм» в 1966 году, когда мне было три года.</t>
  </si>
  <si>
    <t>было</t>
  </si>
  <si>
    <t>напечатано</t>
  </si>
  <si>
    <t>в</t>
  </si>
  <si>
    <t>журнале</t>
  </si>
  <si>
    <t>«Тайм»</t>
  </si>
  <si>
    <t>1966</t>
  </si>
  <si>
    <t>году</t>
  </si>
  <si>
    <t>other</t>
  </si>
  <si>
    <t>indef-np.quant</t>
  </si>
  <si>
    <t>когда</t>
  </si>
  <si>
    <t>мне</t>
  </si>
  <si>
    <t>other_3</t>
  </si>
  <si>
    <t>три</t>
  </si>
  <si>
    <t>года</t>
  </si>
  <si>
    <t>SBJ_2</t>
  </si>
  <si>
    <t># text = А год назад Президент США объявил о своей благосклонности по отношению к однополым бракам.</t>
  </si>
  <si>
    <t>А</t>
  </si>
  <si>
    <t>год</t>
  </si>
  <si>
    <t>назад</t>
  </si>
  <si>
    <t>Президент</t>
  </si>
  <si>
    <t>def-np.poss</t>
  </si>
  <si>
    <t>США</t>
  </si>
  <si>
    <t>other_2</t>
  </si>
  <si>
    <t>ne</t>
  </si>
  <si>
    <t>объявил</t>
  </si>
  <si>
    <t>о</t>
  </si>
  <si>
    <t>своей</t>
  </si>
  <si>
    <t>благосклонности</t>
  </si>
  <si>
    <t>по</t>
  </si>
  <si>
    <t>отношению</t>
  </si>
  <si>
    <t>однополым</t>
  </si>
  <si>
    <t>бракам</t>
  </si>
  <si>
    <t># text = (Аплодисменты) Вопрос в том, как мы пришли от того, что было к тому, что есть?</t>
  </si>
  <si>
    <t>(</t>
  </si>
  <si>
    <t>Аплодисменты</t>
  </si>
  <si>
    <t>)</t>
  </si>
  <si>
    <t>Вопрос</t>
  </si>
  <si>
    <t>том</t>
  </si>
  <si>
    <t>мы</t>
  </si>
  <si>
    <t>SBJ_3</t>
  </si>
  <si>
    <t>пришли</t>
  </si>
  <si>
    <t>того</t>
  </si>
  <si>
    <t>что</t>
  </si>
  <si>
    <t>SBJ_5</t>
  </si>
  <si>
    <t>pron.pint</t>
  </si>
  <si>
    <t>тому</t>
  </si>
  <si>
    <t>SBJ_7</t>
  </si>
  <si>
    <t>есть</t>
  </si>
  <si>
    <t>?</t>
  </si>
  <si>
    <t># text = Как недуг превратился в особенность?</t>
  </si>
  <si>
    <t>Как</t>
  </si>
  <si>
    <t>недуг</t>
  </si>
  <si>
    <t>превратился</t>
  </si>
  <si>
    <t>особенность</t>
  </si>
  <si>
    <t># text = Когда мне было шесть лет, мы с моим братом и нашей матерью отправились в обувной магазин.</t>
  </si>
  <si>
    <t>Когда</t>
  </si>
  <si>
    <t>OBJ_2</t>
  </si>
  <si>
    <t>шесть</t>
  </si>
  <si>
    <t>лет</t>
  </si>
  <si>
    <t>с</t>
  </si>
  <si>
    <t>моим</t>
  </si>
  <si>
    <t>pron.ppos</t>
  </si>
  <si>
    <t>братом</t>
  </si>
  <si>
    <t>нашей</t>
  </si>
  <si>
    <t>матерью</t>
  </si>
  <si>
    <t>отправились</t>
  </si>
  <si>
    <t>обувной</t>
  </si>
  <si>
    <t>магазин</t>
  </si>
  <si>
    <t># text = После того, как покупки были сделаны, продавец сказал, что каждый из нас может взять с собой по воздушному шарику.</t>
  </si>
  <si>
    <t>После</t>
  </si>
  <si>
    <t>покупки</t>
  </si>
  <si>
    <t>были</t>
  </si>
  <si>
    <t>сделаны</t>
  </si>
  <si>
    <t>продавец</t>
  </si>
  <si>
    <t>сказал</t>
  </si>
  <si>
    <t>каждый</t>
  </si>
  <si>
    <t>из</t>
  </si>
  <si>
    <t>нас</t>
  </si>
  <si>
    <t>может</t>
  </si>
  <si>
    <t>взять</t>
  </si>
  <si>
    <t>собой</t>
  </si>
  <si>
    <t>воздушному</t>
  </si>
  <si>
    <t>шарику</t>
  </si>
  <si>
    <t># text = Моему брату понравился красный шарик, а мне — розовый.</t>
  </si>
  <si>
    <t>Моему</t>
  </si>
  <si>
    <t>брату</t>
  </si>
  <si>
    <t>OBJ</t>
  </si>
  <si>
    <t>понравился</t>
  </si>
  <si>
    <t>красный</t>
  </si>
  <si>
    <t>шарик</t>
  </si>
  <si>
    <t>а</t>
  </si>
  <si>
    <t>розовый</t>
  </si>
  <si>
    <t># text = Мама сказала, что мне следует выбрать синий шарик.</t>
  </si>
  <si>
    <t>Мама</t>
  </si>
  <si>
    <t>сказала</t>
  </si>
  <si>
    <t>следует</t>
  </si>
  <si>
    <t>выбрать</t>
  </si>
  <si>
    <t>синий</t>
  </si>
  <si>
    <t># text = Но я сказал, что мне действительно нравится розовый, а она напомнила, что мой любимый цвет — синий.</t>
  </si>
  <si>
    <t>Но</t>
  </si>
  <si>
    <t>я</t>
  </si>
  <si>
    <t>действительно</t>
  </si>
  <si>
    <t>нравится</t>
  </si>
  <si>
    <t>она</t>
  </si>
  <si>
    <t>напомнила</t>
  </si>
  <si>
    <t>мой</t>
  </si>
  <si>
    <t>любимый</t>
  </si>
  <si>
    <t>цвет</t>
  </si>
  <si>
    <t>SBJ_4</t>
  </si>
  <si>
    <t># text = То, что мой любимый цвет — синий, и то, что я всё равно гей — (Смех) свидетельство как влияния моей матери, так и его пределов.</t>
  </si>
  <si>
    <t>То</t>
  </si>
  <si>
    <t>всё</t>
  </si>
  <si>
    <t>равно</t>
  </si>
  <si>
    <t>гей</t>
  </si>
  <si>
    <t>Смех</t>
  </si>
  <si>
    <t>свидетельство</t>
  </si>
  <si>
    <t>влияния</t>
  </si>
  <si>
    <t>моей</t>
  </si>
  <si>
    <t>other_6</t>
  </si>
  <si>
    <t>матери</t>
  </si>
  <si>
    <t>его</t>
  </si>
  <si>
    <t>пределов</t>
  </si>
  <si>
    <t>other_4</t>
  </si>
  <si>
    <t># text = Когда я был ребёнком, моя мать говорила: «Любовь к своему ребёнку, не похожа ни на одно другое чувство.</t>
  </si>
  <si>
    <t>был</t>
  </si>
  <si>
    <t>ребёнком</t>
  </si>
  <si>
    <t>моя</t>
  </si>
  <si>
    <t>мать</t>
  </si>
  <si>
    <t>говорила</t>
  </si>
  <si>
    <t>:</t>
  </si>
  <si>
    <t>«Любовь</t>
  </si>
  <si>
    <t>своему</t>
  </si>
  <si>
    <t>ребёнку</t>
  </si>
  <si>
    <t>похожа</t>
  </si>
  <si>
    <t>ни</t>
  </si>
  <si>
    <t>на</t>
  </si>
  <si>
    <t>одно</t>
  </si>
  <si>
    <t>другое</t>
  </si>
  <si>
    <t>чувство</t>
  </si>
  <si>
    <t># text = И ты не поймёшь этого, пока у тебя не появятся собственные дети».</t>
  </si>
  <si>
    <t>И</t>
  </si>
  <si>
    <t>ты</t>
  </si>
  <si>
    <t>поймёшь</t>
  </si>
  <si>
    <t>этого</t>
  </si>
  <si>
    <t>пока</t>
  </si>
  <si>
    <t>у</t>
  </si>
  <si>
    <t>тебя</t>
  </si>
  <si>
    <t>появятся</t>
  </si>
  <si>
    <t>собственные</t>
  </si>
  <si>
    <t>дети»</t>
  </si>
  <si>
    <t># text = И будучи ребёнком, я воспринимал это как лучший комплимент в мире, ведь она говорила это обо мне и моём брате.</t>
  </si>
  <si>
    <t>будучи</t>
  </si>
  <si>
    <t>воспринимал</t>
  </si>
  <si>
    <t>лучший</t>
  </si>
  <si>
    <t>комплимент</t>
  </si>
  <si>
    <t>мире</t>
  </si>
  <si>
    <t>ведь</t>
  </si>
  <si>
    <t>обо</t>
  </si>
  <si>
    <t>моём</t>
  </si>
  <si>
    <t>брате</t>
  </si>
  <si>
    <t># text = Когда я был подростком, я думал, что я гей и не смогу иметь семью.</t>
  </si>
  <si>
    <t>подростком</t>
  </si>
  <si>
    <t>думал</t>
  </si>
  <si>
    <t>смогу</t>
  </si>
  <si>
    <t>иметь</t>
  </si>
  <si>
    <t>семью</t>
  </si>
  <si>
    <t>OBJ_4</t>
  </si>
  <si>
    <t># text = Мать повторяла свои слова и это раздражало меня.</t>
  </si>
  <si>
    <t>Мать</t>
  </si>
  <si>
    <t>повторяла</t>
  </si>
  <si>
    <t>свои</t>
  </si>
  <si>
    <t>слова</t>
  </si>
  <si>
    <t>раздражало</t>
  </si>
  <si>
    <t>меня</t>
  </si>
  <si>
    <t># text = После того как я открылся, она не перестала этого говорить и это вызывало во мне ярость.</t>
  </si>
  <si>
    <t>открылся</t>
  </si>
  <si>
    <t>перестала</t>
  </si>
  <si>
    <t>вызывало</t>
  </si>
  <si>
    <t>во</t>
  </si>
  <si>
    <t>ярость</t>
  </si>
  <si>
    <t># text = Я говорил: «Я — гей.</t>
  </si>
  <si>
    <t>Я</t>
  </si>
  <si>
    <t>говорил</t>
  </si>
  <si>
    <t>«Я</t>
  </si>
  <si>
    <t># text = Я не стремлюсь завести семью.</t>
  </si>
  <si>
    <t>стремлюсь</t>
  </si>
  <si>
    <t>завести</t>
  </si>
  <si>
    <t># text = Прекрати это говорить».</t>
  </si>
  <si>
    <t>Прекрати</t>
  </si>
  <si>
    <t># text = Около 20-ти лет назад, редактор журнала «Нью-Йорк Таймс» попросил меня написать статью о культуре глухих людей.</t>
  </si>
  <si>
    <t>Около</t>
  </si>
  <si>
    <t>20-ти</t>
  </si>
  <si>
    <t>редактор</t>
  </si>
  <si>
    <t>журнала</t>
  </si>
  <si>
    <t>«Нью-Йорк</t>
  </si>
  <si>
    <t>Таймс»</t>
  </si>
  <si>
    <t>попросил</t>
  </si>
  <si>
    <t>написать</t>
  </si>
  <si>
    <t>статью</t>
  </si>
  <si>
    <t>культуре</t>
  </si>
  <si>
    <t>глухих</t>
  </si>
  <si>
    <t>людей</t>
  </si>
  <si>
    <t># text = Я был застигнут врасплох.</t>
  </si>
  <si>
    <t>застигнут</t>
  </si>
  <si>
    <t>врасплох</t>
  </si>
  <si>
    <t># text = Я рассматривал глухоту как заболевание.</t>
  </si>
  <si>
    <t>рассматривал</t>
  </si>
  <si>
    <t>глухоту</t>
  </si>
  <si>
    <t>заболевание</t>
  </si>
  <si>
    <t># text = Несчастные люди, они не слышат.</t>
  </si>
  <si>
    <t>Несчастные</t>
  </si>
  <si>
    <t>люди</t>
  </si>
  <si>
    <t>они</t>
  </si>
  <si>
    <t>слышат</t>
  </si>
  <si>
    <t># text = Они глухи, что мы можем с этим поделать?</t>
  </si>
  <si>
    <t>Они</t>
  </si>
  <si>
    <t>глухи</t>
  </si>
  <si>
    <t>можем</t>
  </si>
  <si>
    <t>этим</t>
  </si>
  <si>
    <t>поделать</t>
  </si>
  <si>
    <t># text = А затем я познакомился с миром глухих.</t>
  </si>
  <si>
    <t>затем</t>
  </si>
  <si>
    <t>познакомился</t>
  </si>
  <si>
    <t>миром</t>
  </si>
  <si>
    <t># text = Я ходил в клубы для глухих.</t>
  </si>
  <si>
    <t>ходил</t>
  </si>
  <si>
    <t>клубы</t>
  </si>
  <si>
    <t>для</t>
  </si>
  <si>
    <t># text = Я видел представления в театре для глухих и узнал о поэзии глухих.</t>
  </si>
  <si>
    <t>видел</t>
  </si>
  <si>
    <t>представления</t>
  </si>
  <si>
    <t>театре</t>
  </si>
  <si>
    <t>узнал</t>
  </si>
  <si>
    <t>поэзии</t>
  </si>
  <si>
    <t># text = Я даже посетил конкурс красоты среди глухих в Нэшвилле, штат Теннесси, где, как говорят, язык жестов загрязнён южным «акцентом».</t>
  </si>
  <si>
    <t>даже</t>
  </si>
  <si>
    <t>посетил</t>
  </si>
  <si>
    <t>конкурс</t>
  </si>
  <si>
    <t>красоты</t>
  </si>
  <si>
    <t>среди</t>
  </si>
  <si>
    <t>Нэшвилле</t>
  </si>
  <si>
    <t>штат</t>
  </si>
  <si>
    <t>Теннесси</t>
  </si>
  <si>
    <t>где</t>
  </si>
  <si>
    <t>говорят</t>
  </si>
  <si>
    <t>язык</t>
  </si>
  <si>
    <t>жестов</t>
  </si>
  <si>
    <t>загрязнён</t>
  </si>
  <si>
    <t>южным</t>
  </si>
  <si>
    <t>«акцентом»</t>
  </si>
  <si>
    <t># text = Знакомясь с миром глухих всё ближе, я уверился в том, что глухота — это культура, что люди, принадлежащие этому миру, и говорящие: «У нас нет проблем со слухом, мы принадлежим культуре» говорят правду.</t>
  </si>
  <si>
    <t>Знакомясь</t>
  </si>
  <si>
    <t>ближе</t>
  </si>
  <si>
    <t>уверился</t>
  </si>
  <si>
    <t>глухота</t>
  </si>
  <si>
    <t>культура</t>
  </si>
  <si>
    <t>принадлежащие</t>
  </si>
  <si>
    <t>этому</t>
  </si>
  <si>
    <t>миру</t>
  </si>
  <si>
    <t>OBJ_6</t>
  </si>
  <si>
    <t>def-np.dem</t>
  </si>
  <si>
    <t>говорящие</t>
  </si>
  <si>
    <t>«У</t>
  </si>
  <si>
    <t>OBJ_8</t>
  </si>
  <si>
    <t>SBJ_8</t>
  </si>
  <si>
    <t>нет</t>
  </si>
  <si>
    <t>проблем</t>
  </si>
  <si>
    <t>со</t>
  </si>
  <si>
    <t>слухом</t>
  </si>
  <si>
    <t>SBJ_9</t>
  </si>
  <si>
    <t>принадлежим</t>
  </si>
  <si>
    <t>культуре»</t>
  </si>
  <si>
    <t>правду</t>
  </si>
  <si>
    <t># text = Это была не моя культура, и я вовсе не спешил присоединиться к ней, но ценил её именно как культуру людей, принадлежавших ей.</t>
  </si>
  <si>
    <t>была</t>
  </si>
  <si>
    <t>вовсе</t>
  </si>
  <si>
    <t>спешил</t>
  </si>
  <si>
    <t>присоединиться</t>
  </si>
  <si>
    <t>ней</t>
  </si>
  <si>
    <t>но</t>
  </si>
  <si>
    <t>ценил</t>
  </si>
  <si>
    <t>её</t>
  </si>
  <si>
    <t>именно</t>
  </si>
  <si>
    <t>культуру</t>
  </si>
  <si>
    <t>принадлежавших</t>
  </si>
  <si>
    <t>ей</t>
  </si>
  <si>
    <t>OBJ_5</t>
  </si>
  <si>
    <t># text = Я ощущал её такой же значимой, как латино-американская культура, еврейская или культура гей-сообщества.</t>
  </si>
  <si>
    <t>ощущал</t>
  </si>
  <si>
    <t>такой</t>
  </si>
  <si>
    <t>же</t>
  </si>
  <si>
    <t>значимой</t>
  </si>
  <si>
    <t>латино</t>
  </si>
  <si>
    <t>американская</t>
  </si>
  <si>
    <t>еврейская</t>
  </si>
  <si>
    <t>или</t>
  </si>
  <si>
    <t>-сообщества</t>
  </si>
  <si>
    <t># text = Возможно, она важна не менее, чем вся американская культура.</t>
  </si>
  <si>
    <t>Возможно</t>
  </si>
  <si>
    <t>важна</t>
  </si>
  <si>
    <t>менее</t>
  </si>
  <si>
    <t>чем</t>
  </si>
  <si>
    <t>вся</t>
  </si>
  <si>
    <t># text = Дочь одной моей знакомой была карликом.</t>
  </si>
  <si>
    <t>Дочь</t>
  </si>
  <si>
    <t>одной</t>
  </si>
  <si>
    <t>знакомой</t>
  </si>
  <si>
    <t>карликом</t>
  </si>
  <si>
    <t># text = Когда девочка родилась, моя знакомая задалась вопросом, который сейчас начинает волновать и меня.</t>
  </si>
  <si>
    <t>девочка</t>
  </si>
  <si>
    <t>родилась</t>
  </si>
  <si>
    <t>знакомая</t>
  </si>
  <si>
    <t>задалась</t>
  </si>
  <si>
    <t>вопросом</t>
  </si>
  <si>
    <t>который</t>
  </si>
  <si>
    <t>сейчас</t>
  </si>
  <si>
    <t>начинает</t>
  </si>
  <si>
    <t>волновать</t>
  </si>
  <si>
    <t># text = Она размышляла о том, что сказать ребёнку.</t>
  </si>
  <si>
    <t>Она</t>
  </si>
  <si>
    <t>размышляла</t>
  </si>
  <si>
    <t>OBJ_3</t>
  </si>
  <si>
    <t># text = Сказать: «Ты такая же, как все, но немного ниже ростом»?</t>
  </si>
  <si>
    <t>Сказать</t>
  </si>
  <si>
    <t>«Ты</t>
  </si>
  <si>
    <t>такая</t>
  </si>
  <si>
    <t>все</t>
  </si>
  <si>
    <t>немного</t>
  </si>
  <si>
    <t>ниже</t>
  </si>
  <si>
    <t>ростом»</t>
  </si>
  <si>
    <t># text = Или ей следовало воспитать в дочери особую индивидуальность, вступить в организацию «Маленькие люди Америки», начать интересоваться всем, что происходит в мире карликов?</t>
  </si>
  <si>
    <t>Или</t>
  </si>
  <si>
    <t>следовало</t>
  </si>
  <si>
    <t>воспитать</t>
  </si>
  <si>
    <t>дочери</t>
  </si>
  <si>
    <t>особую</t>
  </si>
  <si>
    <t>индивидуальность</t>
  </si>
  <si>
    <t>вступить</t>
  </si>
  <si>
    <t>организацию</t>
  </si>
  <si>
    <t>«Маленькие</t>
  </si>
  <si>
    <t>Америки»</t>
  </si>
  <si>
    <t>начать</t>
  </si>
  <si>
    <t>интересоваться</t>
  </si>
  <si>
    <t>всем</t>
  </si>
  <si>
    <t>SBJ_6</t>
  </si>
  <si>
    <t>происходит</t>
  </si>
  <si>
    <t>карликов</t>
  </si>
  <si>
    <t># text = И мне пришло в голову, что большинство глухих детей рождается у слышащих родителей.</t>
  </si>
  <si>
    <t>пришло</t>
  </si>
  <si>
    <t>голову</t>
  </si>
  <si>
    <t>большинство</t>
  </si>
  <si>
    <t>детей</t>
  </si>
  <si>
    <t>рождается</t>
  </si>
  <si>
    <t>слышащих</t>
  </si>
  <si>
    <t>родителей</t>
  </si>
  <si>
    <t># text = И родители стараются вылечить их.</t>
  </si>
  <si>
    <t>родители</t>
  </si>
  <si>
    <t>стараются</t>
  </si>
  <si>
    <t>вылечить</t>
  </si>
  <si>
    <t>их</t>
  </si>
  <si>
    <t># text = Только к подростковому возрасту глухие люди находят сообщества себе подобных.</t>
  </si>
  <si>
    <t>Только</t>
  </si>
  <si>
    <t>подростковому</t>
  </si>
  <si>
    <t>возрасту</t>
  </si>
  <si>
    <t>глухие</t>
  </si>
  <si>
    <t>находят</t>
  </si>
  <si>
    <t>сообщества</t>
  </si>
  <si>
    <t>себе</t>
  </si>
  <si>
    <t>подобных</t>
  </si>
  <si>
    <t># text = Большинство геев рождены в семьях родителей-натуралов.</t>
  </si>
  <si>
    <t>Большинство</t>
  </si>
  <si>
    <t>геев</t>
  </si>
  <si>
    <t>рождены</t>
  </si>
  <si>
    <t>семьях</t>
  </si>
  <si>
    <t>натуралов</t>
  </si>
  <si>
    <t># text = Эти родители хотят, чтобы их дети не отличались от остального большинства людей, из-за чего геи позже осознают свою индивидуальность.</t>
  </si>
  <si>
    <t>Эти</t>
  </si>
  <si>
    <t>хотят</t>
  </si>
  <si>
    <t>чтобы</t>
  </si>
  <si>
    <t>дети</t>
  </si>
  <si>
    <t>отличались</t>
  </si>
  <si>
    <t>остального</t>
  </si>
  <si>
    <t>большинства</t>
  </si>
  <si>
    <t>из-за</t>
  </si>
  <si>
    <t>чего</t>
  </si>
  <si>
    <t>геи</t>
  </si>
  <si>
    <t>позже</t>
  </si>
  <si>
    <t>осознают</t>
  </si>
  <si>
    <t>свою</t>
  </si>
  <si>
    <t># text = И вот, моя знакомая, размышляла об особенностях своей дочери.</t>
  </si>
  <si>
    <t>вот</t>
  </si>
  <si>
    <t>об</t>
  </si>
  <si>
    <t>особенностях</t>
  </si>
  <si>
    <t># text = И я вновь подумал: семья претендует на звание обыкновенной, при том, что их ребёнок необычен.</t>
  </si>
  <si>
    <t>вновь</t>
  </si>
  <si>
    <t>подумал</t>
  </si>
  <si>
    <t>семья</t>
  </si>
  <si>
    <t>претендует</t>
  </si>
  <si>
    <t>звание</t>
  </si>
  <si>
    <t>обыкновенной</t>
  </si>
  <si>
    <t>при</t>
  </si>
  <si>
    <t>ребёнок</t>
  </si>
  <si>
    <t>необычен</t>
  </si>
  <si>
    <t># text = И я пришёл к мысли о том, что есть два типа самоосознания.</t>
  </si>
  <si>
    <t>пришёл</t>
  </si>
  <si>
    <t>мысли</t>
  </si>
  <si>
    <t>два</t>
  </si>
  <si>
    <t>типа</t>
  </si>
  <si>
    <t>самоосознания</t>
  </si>
  <si>
    <t># text = Вертикальный тип, при котором от родителей к детям передаётся этническая принадлежность, национальность, язык, религиозные убеждения.</t>
  </si>
  <si>
    <t>Вертикальный</t>
  </si>
  <si>
    <t>котором</t>
  </si>
  <si>
    <t>детям</t>
  </si>
  <si>
    <t>передаётся</t>
  </si>
  <si>
    <t>этническая</t>
  </si>
  <si>
    <t>принадлежность</t>
  </si>
  <si>
    <t>национальность</t>
  </si>
  <si>
    <t>религиозные</t>
  </si>
  <si>
    <t>убеждения</t>
  </si>
  <si>
    <t># text = То есть то, что является общим для детей и родителей.</t>
  </si>
  <si>
    <t>общим</t>
  </si>
  <si>
    <t># text = Это наследие может быть нелёгкой ношей, но попыток излечить от этого не предпринимается.</t>
  </si>
  <si>
    <t>наследие</t>
  </si>
  <si>
    <t>нелёгкой</t>
  </si>
  <si>
    <t>ношей</t>
  </si>
  <si>
    <t>попыток</t>
  </si>
  <si>
    <t>излечить</t>
  </si>
  <si>
    <t>предпринимается</t>
  </si>
  <si>
    <t># text = Возможно что людям не белой расы в США — несмотря на то, что у нас темнокожий президент — живётся сложнее.</t>
  </si>
  <si>
    <t>людям</t>
  </si>
  <si>
    <t>белой</t>
  </si>
  <si>
    <t>расы</t>
  </si>
  <si>
    <t>несмотря</t>
  </si>
  <si>
    <t>темнокожий</t>
  </si>
  <si>
    <t>президент</t>
  </si>
  <si>
    <t>живётся</t>
  </si>
  <si>
    <t>сложнее</t>
  </si>
  <si>
    <t># text = Но ведь при этом, никто не берётся утверждать, что следующее поколение афроамериканских и азиатских детей будет иметь светлую кожу и волосы.</t>
  </si>
  <si>
    <t>этом</t>
  </si>
  <si>
    <t>никто</t>
  </si>
  <si>
    <t>pron.pind</t>
  </si>
  <si>
    <t>берётся</t>
  </si>
  <si>
    <t>утверждать</t>
  </si>
  <si>
    <t>следующее</t>
  </si>
  <si>
    <t>поколение</t>
  </si>
  <si>
    <t>афроамериканских</t>
  </si>
  <si>
    <t>азиатских</t>
  </si>
  <si>
    <t>будет</t>
  </si>
  <si>
    <t>светлую</t>
  </si>
  <si>
    <t>кожу</t>
  </si>
  <si>
    <t>волосы</t>
  </si>
  <si>
    <t># text = Но есть такой тип самоосознания, который происходит благодаря равным тебе людям.</t>
  </si>
  <si>
    <t>благодаря</t>
  </si>
  <si>
    <t>равным</t>
  </si>
  <si>
    <t>тебе</t>
  </si>
  <si>
    <t># text = Я называю такой тип горизонтальным самоосознанием, так как этот опыт мы получаем от равных нам людей.</t>
  </si>
  <si>
    <t>называю</t>
  </si>
  <si>
    <t>горизонтальным</t>
  </si>
  <si>
    <t>самоосознанием</t>
  </si>
  <si>
    <t>этот</t>
  </si>
  <si>
    <t>опыт</t>
  </si>
  <si>
    <t>получаем</t>
  </si>
  <si>
    <t>равных</t>
  </si>
  <si>
    <t>нам</t>
  </si>
  <si>
    <t># text = Эти элементы чужды нашим родителям, мы обзаводимся ими, замечая их у наших сверстников.</t>
  </si>
  <si>
    <t>элементы</t>
  </si>
  <si>
    <t>чужды</t>
  </si>
  <si>
    <t>нашим</t>
  </si>
  <si>
    <t>родителям</t>
  </si>
  <si>
    <t>обзаводимся</t>
  </si>
  <si>
    <t>ими</t>
  </si>
  <si>
    <t>замечая</t>
  </si>
  <si>
    <t>наших</t>
  </si>
  <si>
    <t>сверстников</t>
  </si>
  <si>
    <t># text = И эти отличительные особенности горизонтального типа люди обычно стараются излечить.</t>
  </si>
  <si>
    <t>эти</t>
  </si>
  <si>
    <t>отличительные</t>
  </si>
  <si>
    <t>особенности</t>
  </si>
  <si>
    <t>горизонтального</t>
  </si>
  <si>
    <t>обычно</t>
  </si>
  <si>
    <t># text = И я хотел ознакомиться с процессом того, как люди, обретая эти особенности, устанавливают крепкие взаимоотношения друг с другом.</t>
  </si>
  <si>
    <t>хотел</t>
  </si>
  <si>
    <t>ознакомиться</t>
  </si>
  <si>
    <t>процессом</t>
  </si>
  <si>
    <t>обретая</t>
  </si>
  <si>
    <t>устанавливают</t>
  </si>
  <si>
    <t>крепкие</t>
  </si>
  <si>
    <t>взаимоотношения</t>
  </si>
  <si>
    <t>друг</t>
  </si>
  <si>
    <t>другом</t>
  </si>
  <si>
    <t># text = Я выделил три уровня восприятия через которые необходимо пройти.</t>
  </si>
  <si>
    <t>выделил</t>
  </si>
  <si>
    <t>уровня</t>
  </si>
  <si>
    <t>восприятия</t>
  </si>
  <si>
    <t>через</t>
  </si>
  <si>
    <t>которые</t>
  </si>
  <si>
    <t>необходимо</t>
  </si>
  <si>
    <t>пройти</t>
  </si>
  <si>
    <t># text = Самовосприятие, принятие своей семьёй и принятие обществом.</t>
  </si>
  <si>
    <t>принятие</t>
  </si>
  <si>
    <t>семьёй</t>
  </si>
  <si>
    <t>обществом</t>
  </si>
  <si>
    <t># text = И они не всегда проходят одновременно.</t>
  </si>
  <si>
    <t>всегда</t>
  </si>
  <si>
    <t>проходят</t>
  </si>
  <si>
    <t>одновременно</t>
  </si>
  <si>
    <t># text = Очень часто, людей в таких ситуациях посещает злость, им кажется, что родители их не любят, в то время как родители просто их не принимают.</t>
  </si>
  <si>
    <t>Очень</t>
  </si>
  <si>
    <t>часто</t>
  </si>
  <si>
    <t>таких</t>
  </si>
  <si>
    <t>ситуациях</t>
  </si>
  <si>
    <t>посещает</t>
  </si>
  <si>
    <t>злость</t>
  </si>
  <si>
    <t>им</t>
  </si>
  <si>
    <t>кажется</t>
  </si>
  <si>
    <t>любят</t>
  </si>
  <si>
    <t>время</t>
  </si>
  <si>
    <t>просто</t>
  </si>
  <si>
    <t>принимают</t>
  </si>
  <si>
    <t># text = В идеале, любовь между родителями и детьми существует вне зависимости от каких-либо условий.</t>
  </si>
  <si>
    <t>В</t>
  </si>
  <si>
    <t>идеале</t>
  </si>
  <si>
    <t>любовь</t>
  </si>
  <si>
    <t>между</t>
  </si>
  <si>
    <t>родителями</t>
  </si>
  <si>
    <t>детьми</t>
  </si>
  <si>
    <t>существует</t>
  </si>
  <si>
    <t>вне</t>
  </si>
  <si>
    <t>зависимости</t>
  </si>
  <si>
    <t>каких-либо</t>
  </si>
  <si>
    <t>условий</t>
  </si>
  <si>
    <t>indef-np</t>
  </si>
  <si>
    <t># text = Но принятие иногда требует времени.</t>
  </si>
  <si>
    <t>иногда</t>
  </si>
  <si>
    <t>требует</t>
  </si>
  <si>
    <t>времени</t>
  </si>
  <si>
    <t># text = Всегда требует времени.</t>
  </si>
  <si>
    <t>Всегда</t>
  </si>
  <si>
    <t># text = Один из карликов, которых я знал, был парень по имени Клинтон Браун.</t>
  </si>
  <si>
    <t>Один</t>
  </si>
  <si>
    <t>которых</t>
  </si>
  <si>
    <t>знал</t>
  </si>
  <si>
    <t>парень</t>
  </si>
  <si>
    <t>имени</t>
  </si>
  <si>
    <t>Клинтон</t>
  </si>
  <si>
    <t>Браун</t>
  </si>
  <si>
    <t># text = При рождении ему был поставлен диагноз диастрофическая дисплазия — тяжёлая инвалидность.</t>
  </si>
  <si>
    <t>При</t>
  </si>
  <si>
    <t>рождении</t>
  </si>
  <si>
    <t>ему</t>
  </si>
  <si>
    <t>поставлен</t>
  </si>
  <si>
    <t>диагноз</t>
  </si>
  <si>
    <t>диастрофическая</t>
  </si>
  <si>
    <t>дисплазия</t>
  </si>
  <si>
    <t>тяжёлая</t>
  </si>
  <si>
    <t>инвалидность</t>
  </si>
  <si>
    <t># text = Его родителям сказали, что сын никогда не сможет ходить и говорить, будет интеллектуально ограниченным, и возможно даже не будет их узнавать.</t>
  </si>
  <si>
    <t>Его</t>
  </si>
  <si>
    <t>сказали</t>
  </si>
  <si>
    <t>сын</t>
  </si>
  <si>
    <t>никогда</t>
  </si>
  <si>
    <t>сможет</t>
  </si>
  <si>
    <t>интеллектуально</t>
  </si>
  <si>
    <t>ограниченным</t>
  </si>
  <si>
    <t>возможно</t>
  </si>
  <si>
    <t>узнавать</t>
  </si>
  <si>
    <t># text = Им предложили оставить ребёнка в больнице, чтобы он мог спокойно умереть.</t>
  </si>
  <si>
    <t>Им</t>
  </si>
  <si>
    <t>предложили</t>
  </si>
  <si>
    <t>оставить</t>
  </si>
  <si>
    <t>ребёнка</t>
  </si>
  <si>
    <t>больнице</t>
  </si>
  <si>
    <t>мог</t>
  </si>
  <si>
    <t>спокойно</t>
  </si>
  <si>
    <t># text = Но его мать отказалась от этого.</t>
  </si>
  <si>
    <t>отказалась</t>
  </si>
  <si>
    <t># text = Она забрала сына домой.</t>
  </si>
  <si>
    <t>забрала</t>
  </si>
  <si>
    <t>сына</t>
  </si>
  <si>
    <t>домой</t>
  </si>
  <si>
    <t># text = Да, она не была достаточно образованной и не имела больших финансовых возможностей, но она нашла лучшего специалиста по лечению диастрофической дисплазии и начала лечить Клинтона у него.</t>
  </si>
  <si>
    <t>Да</t>
  </si>
  <si>
    <t>достаточно</t>
  </si>
  <si>
    <t>образованной</t>
  </si>
  <si>
    <t>имела</t>
  </si>
  <si>
    <t>больших</t>
  </si>
  <si>
    <t>финансовых</t>
  </si>
  <si>
    <t>возможностей</t>
  </si>
  <si>
    <t>нашла</t>
  </si>
  <si>
    <t>лучшего</t>
  </si>
  <si>
    <t>специалиста</t>
  </si>
  <si>
    <t>лечению</t>
  </si>
  <si>
    <t>диастрофической</t>
  </si>
  <si>
    <t>дисплазии</t>
  </si>
  <si>
    <t>начала</t>
  </si>
  <si>
    <t>лечить</t>
  </si>
  <si>
    <t>Клинтона</t>
  </si>
  <si>
    <t>него</t>
  </si>
  <si>
    <t># text = Ещё будучи ребёнком, он перенёс 30 крупных операций.</t>
  </si>
  <si>
    <t>Ещё</t>
  </si>
  <si>
    <t>перенёс</t>
  </si>
  <si>
    <t>крупных</t>
  </si>
  <si>
    <t>операций</t>
  </si>
  <si>
    <t># text = Всё это время, пока ему делали операции, он не покидал стен больницы и как результат — он может ходить.</t>
  </si>
  <si>
    <t>Всё</t>
  </si>
  <si>
    <t>делали</t>
  </si>
  <si>
    <t>операции</t>
  </si>
  <si>
    <t>покидал</t>
  </si>
  <si>
    <t>стен</t>
  </si>
  <si>
    <t>больницы</t>
  </si>
  <si>
    <t>результат</t>
  </si>
  <si>
    <t># text = В больнице его посещали репетиторы, чтобы помогать с учёбой.</t>
  </si>
  <si>
    <t>посещали</t>
  </si>
  <si>
    <t>репетиторы</t>
  </si>
  <si>
    <t>помогать</t>
  </si>
  <si>
    <t>учёбой</t>
  </si>
  <si>
    <t># text = Он учился прилежно, ведь ему больше нечем было заняться.</t>
  </si>
  <si>
    <t>Он</t>
  </si>
  <si>
    <t>учился</t>
  </si>
  <si>
    <t>прилежно</t>
  </si>
  <si>
    <t>больше</t>
  </si>
  <si>
    <t>нечем</t>
  </si>
  <si>
    <t>заняться</t>
  </si>
  <si>
    <t># text = В итоге он достиг того, чего не удавалось достичь ещё никому из его семьи.</t>
  </si>
  <si>
    <t>итоге</t>
  </si>
  <si>
    <t>достиг</t>
  </si>
  <si>
    <t>удавалось</t>
  </si>
  <si>
    <t>ещё</t>
  </si>
  <si>
    <t>никому</t>
  </si>
  <si>
    <t>семьи</t>
  </si>
  <si>
    <t># text = Он был первым в семье, кто поступил в колледж, где он жил в кампусе и водил автомобиль, специально сконструированный для его необычного тела.</t>
  </si>
  <si>
    <t>первым</t>
  </si>
  <si>
    <t>семье</t>
  </si>
  <si>
    <t>кто</t>
  </si>
  <si>
    <t>поступил</t>
  </si>
  <si>
    <t>колледж</t>
  </si>
  <si>
    <t>жил</t>
  </si>
  <si>
    <t>кампусе</t>
  </si>
  <si>
    <t>водил</t>
  </si>
  <si>
    <t>автомобиль</t>
  </si>
  <si>
    <t>специально</t>
  </si>
  <si>
    <t>сконструированный</t>
  </si>
  <si>
    <t>other_8</t>
  </si>
  <si>
    <t>необычного</t>
  </si>
  <si>
    <t>тела</t>
  </si>
  <si>
    <t>other_7</t>
  </si>
  <si>
    <t># text = Однажды его мать рассказала историю, о том, как шла домой, в то время как сын был в колледже неподалёку.</t>
  </si>
  <si>
    <t>Однажды</t>
  </si>
  <si>
    <t>рассказала</t>
  </si>
  <si>
    <t>историю</t>
  </si>
  <si>
    <t>шла</t>
  </si>
  <si>
    <t>колледже</t>
  </si>
  <si>
    <t>неподалёку</t>
  </si>
  <si>
    <t># text = Она сказала: «Я увидела машину, которую трудно не заметить на парковке у бара».</t>
  </si>
  <si>
    <t>увидела</t>
  </si>
  <si>
    <t>машину</t>
  </si>
  <si>
    <t>которую</t>
  </si>
  <si>
    <t>трудно</t>
  </si>
  <si>
    <t>заметить</t>
  </si>
  <si>
    <t>парковке</t>
  </si>
  <si>
    <t>бара»</t>
  </si>
  <si>
    <t># text = (Смех) «Я подумала, рост его друзей — 182 см, а его — 91.</t>
  </si>
  <si>
    <t>подумала</t>
  </si>
  <si>
    <t>рост</t>
  </si>
  <si>
    <t>друзей</t>
  </si>
  <si>
    <t>см</t>
  </si>
  <si>
    <t># text = Две бутылки пива для них — это четыре для него.</t>
  </si>
  <si>
    <t>Две</t>
  </si>
  <si>
    <t>бутылки</t>
  </si>
  <si>
    <t>пива</t>
  </si>
  <si>
    <t>них</t>
  </si>
  <si>
    <t>четыре</t>
  </si>
  <si>
    <t># text = Я знала, что не могу просто пойти и вытащить его оттуда.</t>
  </si>
  <si>
    <t>знала</t>
  </si>
  <si>
    <t>могу</t>
  </si>
  <si>
    <t>вытащить</t>
  </si>
  <si>
    <t>оттуда</t>
  </si>
  <si>
    <t># text = Я пошла домой и отправила ему 8 сообщений на мобильный.</t>
  </si>
  <si>
    <t>пошла</t>
  </si>
  <si>
    <t>отправила</t>
  </si>
  <si>
    <t>сообщений</t>
  </si>
  <si>
    <t>мобильный</t>
  </si>
  <si>
    <t># text = А ведь в тот день, когда он родился, я и подумать не могла, что в будущем мне придётся переживать, что он будет выпивать и кататься на машине с сокурсниками».</t>
  </si>
  <si>
    <t>тот</t>
  </si>
  <si>
    <t>день</t>
  </si>
  <si>
    <t>родился</t>
  </si>
  <si>
    <t>могла</t>
  </si>
  <si>
    <t>будущем</t>
  </si>
  <si>
    <t>придётся</t>
  </si>
  <si>
    <t>переживать</t>
  </si>
  <si>
    <t>выпивать</t>
  </si>
  <si>
    <t>кататься</t>
  </si>
  <si>
    <t>машине</t>
  </si>
  <si>
    <t>сокурсниками»</t>
  </si>
  <si>
    <t># text = Я спросил её: «Как по-твоему, что ты сделала, для того, чтобы он стал таким чудесным, воспитанным, прекрасным человеком?» Она ответила: «Что я сделала?</t>
  </si>
  <si>
    <t>спросил</t>
  </si>
  <si>
    <t>«Как</t>
  </si>
  <si>
    <t>по-твоему</t>
  </si>
  <si>
    <t>сделала</t>
  </si>
  <si>
    <t>стал</t>
  </si>
  <si>
    <t>таким</t>
  </si>
  <si>
    <t>чудесным</t>
  </si>
  <si>
    <t>воспитанным</t>
  </si>
  <si>
    <t>прекрасным</t>
  </si>
  <si>
    <t>человеком</t>
  </si>
  <si>
    <t>»</t>
  </si>
  <si>
    <t>ответила</t>
  </si>
  <si>
    <t>«Что</t>
  </si>
  <si>
    <t>OBJ_7</t>
  </si>
  <si>
    <t># text = Просто любила его.</t>
  </si>
  <si>
    <t>Просто</t>
  </si>
  <si>
    <t>любила</t>
  </si>
  <si>
    <t># text = Клинтон всегда был чудесным, а его отцу и мне просто повезло быть первыми, кто это увидел.</t>
  </si>
  <si>
    <t>отцу</t>
  </si>
  <si>
    <t>повезло</t>
  </si>
  <si>
    <t>первыми</t>
  </si>
  <si>
    <t>увидел</t>
  </si>
  <si>
    <t># text = Я процитирую ещё один журнал 60-х годов.</t>
  </si>
  <si>
    <t>процитирую</t>
  </si>
  <si>
    <t>журнал</t>
  </si>
  <si>
    <t>60-х</t>
  </si>
  <si>
    <t>годов</t>
  </si>
  <si>
    <t># text = 1968-й, статья в «Атлантик Мансли», голосе либеральной Америки, написанная известным специалистом по биоэтике.</t>
  </si>
  <si>
    <t>1968-й</t>
  </si>
  <si>
    <t>«Атлантик</t>
  </si>
  <si>
    <t>Мансли»</t>
  </si>
  <si>
    <t>голосе</t>
  </si>
  <si>
    <t>либеральной</t>
  </si>
  <si>
    <t>Америки</t>
  </si>
  <si>
    <t>написанная</t>
  </si>
  <si>
    <t>известным</t>
  </si>
  <si>
    <t>специалистом</t>
  </si>
  <si>
    <t>биоэтике</t>
  </si>
  <si>
    <t># text = Он говорил: «Нет смысла испытывать чувство вины, избавляясь от ребёнка с синдромом Дауна, вне зависимости от того, отдаёшь ли ты его в дом инвалидов или прощаешься с ним на веки.</t>
  </si>
  <si>
    <t>«Нет</t>
  </si>
  <si>
    <t>смысла</t>
  </si>
  <si>
    <t>испытывать</t>
  </si>
  <si>
    <t>вины</t>
  </si>
  <si>
    <t>избавляясь</t>
  </si>
  <si>
    <t>синдромом</t>
  </si>
  <si>
    <t>Дауна</t>
  </si>
  <si>
    <t>отдаёшь</t>
  </si>
  <si>
    <t>ли</t>
  </si>
  <si>
    <t>дом</t>
  </si>
  <si>
    <t>инвалидов</t>
  </si>
  <si>
    <t>прощаешься</t>
  </si>
  <si>
    <t>ним</t>
  </si>
  <si>
    <t>веки</t>
  </si>
  <si>
    <t># text = Да, это грустно и ужасно.</t>
  </si>
  <si>
    <t>грустно</t>
  </si>
  <si>
    <t>ужасно</t>
  </si>
  <si>
    <t># text = Но тут не должно быть вины.</t>
  </si>
  <si>
    <t>тут</t>
  </si>
  <si>
    <t>должно</t>
  </si>
  <si>
    <t># text = Чувство вины возникает, только если ты действуешь против личности, а люди с синдромом Дауна — не личности».</t>
  </si>
  <si>
    <t>Чувство</t>
  </si>
  <si>
    <t>возникает</t>
  </si>
  <si>
    <t>только</t>
  </si>
  <si>
    <t>действуешь</t>
  </si>
  <si>
    <t>против</t>
  </si>
  <si>
    <t>личности</t>
  </si>
  <si>
    <t>личности»</t>
  </si>
  <si>
    <t># text = Очень многое написано о том, какого невероятного прогресса мы добились в улучшении отношения к геям.</t>
  </si>
  <si>
    <t>многое</t>
  </si>
  <si>
    <t>написано</t>
  </si>
  <si>
    <t>какого</t>
  </si>
  <si>
    <t>невероятного</t>
  </si>
  <si>
    <t>прогресса</t>
  </si>
  <si>
    <t>добились</t>
  </si>
  <si>
    <t>улучшении</t>
  </si>
  <si>
    <t>отношения</t>
  </si>
  <si>
    <t>геям</t>
  </si>
  <si>
    <t># text = Об этом ежедневно кричат все заголовки новостей.</t>
  </si>
  <si>
    <t>Об</t>
  </si>
  <si>
    <t>ежедневно</t>
  </si>
  <si>
    <t>кричат</t>
  </si>
  <si>
    <t>заголовки</t>
  </si>
  <si>
    <t>новостей</t>
  </si>
  <si>
    <t># text = Но мы забыли, как относились к людям с другими отличительными особенностями, как мы относились к инвалидам, какими бесчеловечными мы были.</t>
  </si>
  <si>
    <t>забыли</t>
  </si>
  <si>
    <t>относились</t>
  </si>
  <si>
    <t>другими</t>
  </si>
  <si>
    <t>отличительными</t>
  </si>
  <si>
    <t>особенностями</t>
  </si>
  <si>
    <t>инвалидам</t>
  </si>
  <si>
    <t>какими</t>
  </si>
  <si>
    <t>бесчеловечными</t>
  </si>
  <si>
    <t># text = Но произошедшим переменам, которые можно назвать радикальными, мы не уделяем достаточно внимания.</t>
  </si>
  <si>
    <t>произошедшим</t>
  </si>
  <si>
    <t>переменам</t>
  </si>
  <si>
    <t>назвать</t>
  </si>
  <si>
    <t>радикальными</t>
  </si>
  <si>
    <t>уделяем</t>
  </si>
  <si>
    <t>внимания</t>
  </si>
  <si>
    <t># text = Одна из семей, у которых я брал интервью, — семья Тома и Карен Робардс.</t>
  </si>
  <si>
    <t>Одна</t>
  </si>
  <si>
    <t>семей</t>
  </si>
  <si>
    <t>брал</t>
  </si>
  <si>
    <t>интервью</t>
  </si>
  <si>
    <t>Тома</t>
  </si>
  <si>
    <t>Карен</t>
  </si>
  <si>
    <t>Робардс</t>
  </si>
  <si>
    <t># text = Молодые и успешные жители Нью-Йорка, они были поражены, когда у их первенца обнаружили синдром Дауна.</t>
  </si>
  <si>
    <t>Молодые</t>
  </si>
  <si>
    <t>успешные</t>
  </si>
  <si>
    <t>жители</t>
  </si>
  <si>
    <t>Нью-Йорка</t>
  </si>
  <si>
    <t>поражены</t>
  </si>
  <si>
    <t>первенца</t>
  </si>
  <si>
    <t>обнаружили</t>
  </si>
  <si>
    <t>синдром</t>
  </si>
  <si>
    <t># text = Им показалось, что система образования не даёт их ребёнку того, что они ожидали, и они решили построить небольшой образовательный центр — всего две классные комнаты в доле с несколькими другими родителями — для обучения детей с синдромом Дауна.</t>
  </si>
  <si>
    <t>показалось</t>
  </si>
  <si>
    <t>система</t>
  </si>
  <si>
    <t>образования</t>
  </si>
  <si>
    <t>даёт</t>
  </si>
  <si>
    <t>ожидали</t>
  </si>
  <si>
    <t>решили</t>
  </si>
  <si>
    <t>построить</t>
  </si>
  <si>
    <t>небольшой</t>
  </si>
  <si>
    <t>образовательный</t>
  </si>
  <si>
    <t>центр</t>
  </si>
  <si>
    <t>всего</t>
  </si>
  <si>
    <t>две</t>
  </si>
  <si>
    <t>классные</t>
  </si>
  <si>
    <t>комнаты</t>
  </si>
  <si>
    <t>доле</t>
  </si>
  <si>
    <t>несколькими</t>
  </si>
  <si>
    <t>обучения</t>
  </si>
  <si>
    <t>other_9</t>
  </si>
  <si>
    <t>other_10</t>
  </si>
  <si>
    <t># text = За годы существования центр вырос и получил название «Кук Центр».</t>
  </si>
  <si>
    <t>За</t>
  </si>
  <si>
    <t>годы</t>
  </si>
  <si>
    <t>существования</t>
  </si>
  <si>
    <t>вырос</t>
  </si>
  <si>
    <t>получил</t>
  </si>
  <si>
    <t>название</t>
  </si>
  <si>
    <t>«Кук</t>
  </si>
  <si>
    <t>Центр»</t>
  </si>
  <si>
    <t># text = Сейчас здесь обучаются тысячи детей, имеющих умственные отклонения.</t>
  </si>
  <si>
    <t>Сейчас</t>
  </si>
  <si>
    <t>здесь</t>
  </si>
  <si>
    <t>обучаются</t>
  </si>
  <si>
    <t>тысячи</t>
  </si>
  <si>
    <t>имеющих</t>
  </si>
  <si>
    <t>умственные</t>
  </si>
  <si>
    <t>отклонения</t>
  </si>
  <si>
    <t># text = Со времён той статьи в «Атлантик Мансли» средняя продолжительность жизни людей с синдромом Дауна увеличилась втрое.</t>
  </si>
  <si>
    <t>Со</t>
  </si>
  <si>
    <t>времён</t>
  </si>
  <si>
    <t>той</t>
  </si>
  <si>
    <t>статьи</t>
  </si>
  <si>
    <t>средняя</t>
  </si>
  <si>
    <t>продолжительность</t>
  </si>
  <si>
    <t>увеличилась</t>
  </si>
  <si>
    <t>втрое</t>
  </si>
  <si>
    <t># text = Среди людей с синдромом Дауна можно встретить актёров писателей и тех, кто полностью живёт самостоятельной жизнью.</t>
  </si>
  <si>
    <t>Среди</t>
  </si>
  <si>
    <t>встретить</t>
  </si>
  <si>
    <t>актёров</t>
  </si>
  <si>
    <t>писателей</t>
  </si>
  <si>
    <t>тех</t>
  </si>
  <si>
    <t>полностью</t>
  </si>
  <si>
    <t>живёт</t>
  </si>
  <si>
    <t>самостоятельной</t>
  </si>
  <si>
    <t>жизнью</t>
  </si>
  <si>
    <t># text = Робардсы приложили к этому немало усилий.</t>
  </si>
  <si>
    <t>Робардсы</t>
  </si>
  <si>
    <t>приложили</t>
  </si>
  <si>
    <t>немало</t>
  </si>
  <si>
    <t>усилий</t>
  </si>
  <si>
    <t># text = Я спросил их: «Больно ли вам?</t>
  </si>
  <si>
    <t>«Больно</t>
  </si>
  <si>
    <t>вам</t>
  </si>
  <si>
    <t># text = Хотели бы вы, чтобы у вашего ребёнка не было синдрома Дауна?</t>
  </si>
  <si>
    <t>Хотели</t>
  </si>
  <si>
    <t>бы</t>
  </si>
  <si>
    <t>вы</t>
  </si>
  <si>
    <t>вашего</t>
  </si>
  <si>
    <t>синдрома</t>
  </si>
  <si>
    <t># text = Хотели бы вы никогда не знать об этом заболевании?» И вот, что ответил отец: «Да, мне больно за Дэвида, нашего сына, потому что ему непросто жить в этом мире.</t>
  </si>
  <si>
    <t>заболевании</t>
  </si>
  <si>
    <t>ответил</t>
  </si>
  <si>
    <t>«Да</t>
  </si>
  <si>
    <t>больно</t>
  </si>
  <si>
    <t>за</t>
  </si>
  <si>
    <t>Дэвида</t>
  </si>
  <si>
    <t>нашего</t>
  </si>
  <si>
    <t>потому</t>
  </si>
  <si>
    <t>непросто</t>
  </si>
  <si>
    <t># text = Я бы хотел, чтобы его жизнь была легче.</t>
  </si>
  <si>
    <t>жизнь</t>
  </si>
  <si>
    <t>легче</t>
  </si>
  <si>
    <t># text = Но если бы мы потеряли каждого с синдромом Дауна, то это была бы гибельная потеря».</t>
  </si>
  <si>
    <t>потеряли</t>
  </si>
  <si>
    <t>каждого</t>
  </si>
  <si>
    <t>гибельная</t>
  </si>
  <si>
    <t>потеря»</t>
  </si>
  <si>
    <t># text = Карен Робардс добавила: «Я согласна с Томом.</t>
  </si>
  <si>
    <t>добавила</t>
  </si>
  <si>
    <t>согласна</t>
  </si>
  <si>
    <t>Томом</t>
  </si>
  <si>
    <t># text = Я мечтаю о мгновенном излечении для Дэвида, для облегчения его жизни.</t>
  </si>
  <si>
    <t>мечтаю</t>
  </si>
  <si>
    <t>мгновенном</t>
  </si>
  <si>
    <t>излечении</t>
  </si>
  <si>
    <t>облегчения</t>
  </si>
  <si>
    <t># text = Но для себя...</t>
  </si>
  <si>
    <t># text = 23 года назад, когда он родился, я бы и не поверила, что однажды буду размышлять подобным образом.</t>
  </si>
  <si>
    <t>поверила</t>
  </si>
  <si>
    <t>однажды</t>
  </si>
  <si>
    <t>буду</t>
  </si>
  <si>
    <t>подобным</t>
  </si>
  <si>
    <t>образом</t>
  </si>
  <si>
    <t># text = Случившееся сделало меня лучше, добрее и целеустремлённее.</t>
  </si>
  <si>
    <t>Случившееся</t>
  </si>
  <si>
    <t>сделало</t>
  </si>
  <si>
    <t>лучше</t>
  </si>
  <si>
    <t>добрее</t>
  </si>
  <si>
    <t>целеустремлённее</t>
  </si>
  <si>
    <t># text = Говоря о себе, я бы не променяла произошедшее ни на что другое».</t>
  </si>
  <si>
    <t>Говоря</t>
  </si>
  <si>
    <t>променяла</t>
  </si>
  <si>
    <t>произошедшее</t>
  </si>
  <si>
    <t>другое»</t>
  </si>
  <si>
    <t># text = Мы живём во времена, когда отношение к необычным людям постоянно улучшается.</t>
  </si>
  <si>
    <t>Мы</t>
  </si>
  <si>
    <t>живём</t>
  </si>
  <si>
    <t>времена</t>
  </si>
  <si>
    <t>отношение</t>
  </si>
  <si>
    <t>необычным</t>
  </si>
  <si>
    <t>постоянно</t>
  </si>
  <si>
    <t>улучшается</t>
  </si>
  <si>
    <t># text = Но так же, мы живём во времена, когда наши способности к устранению человеческих особенностей возросли как никогда ранее.</t>
  </si>
  <si>
    <t>наши</t>
  </si>
  <si>
    <t>способности</t>
  </si>
  <si>
    <t>устранению</t>
  </si>
  <si>
    <t>человеческих</t>
  </si>
  <si>
    <t>особенностей</t>
  </si>
  <si>
    <t>возросли</t>
  </si>
  <si>
    <t>ранее</t>
  </si>
  <si>
    <t># text = Большинству глухих детей, рождающихся в США, теперь устанавливают кохлеарные имплантаты.</t>
  </si>
  <si>
    <t>Большинству</t>
  </si>
  <si>
    <t>рождающихся</t>
  </si>
  <si>
    <t>теперь</t>
  </si>
  <si>
    <t>кохлеарные</t>
  </si>
  <si>
    <t>имплантаты</t>
  </si>
  <si>
    <t># text = Его устанавливают в височной доле мозга и соединяют с внешним микрофоном, что позволяет им обрести некое подобие слуха и дар речи.</t>
  </si>
  <si>
    <t>височной</t>
  </si>
  <si>
    <t>мозга</t>
  </si>
  <si>
    <t>соединяют</t>
  </si>
  <si>
    <t>внешним</t>
  </si>
  <si>
    <t>микрофоном</t>
  </si>
  <si>
    <t>позволяет</t>
  </si>
  <si>
    <t>обрести</t>
  </si>
  <si>
    <t>некое</t>
  </si>
  <si>
    <t>подобие</t>
  </si>
  <si>
    <t>слуха</t>
  </si>
  <si>
    <t>дар</t>
  </si>
  <si>
    <t>речи</t>
  </si>
  <si>
    <t># text = Соединение BMN-111, протестированное на мышах, блокирует ген вызывающий ахондроплазию.</t>
  </si>
  <si>
    <t>Соединение</t>
  </si>
  <si>
    <t>BMN</t>
  </si>
  <si>
    <t>протестированное</t>
  </si>
  <si>
    <t>мышах</t>
  </si>
  <si>
    <t>блокирует</t>
  </si>
  <si>
    <t>ген</t>
  </si>
  <si>
    <t>вызывающий</t>
  </si>
  <si>
    <t>ахондроплазию</t>
  </si>
  <si>
    <t># text = Ахондроплазия — наиболее распространённая форма карликовости.</t>
  </si>
  <si>
    <t>наиболее</t>
  </si>
  <si>
    <t>распространённая</t>
  </si>
  <si>
    <t>форма</t>
  </si>
  <si>
    <t>карликовости</t>
  </si>
  <si>
    <t># text = Мыши, имевшие ген этого заболевания, и получившие препарат, выросли до своего полного размера.</t>
  </si>
  <si>
    <t>Мыши</t>
  </si>
  <si>
    <t>имевшие</t>
  </si>
  <si>
    <t>заболевания</t>
  </si>
  <si>
    <t>получившие</t>
  </si>
  <si>
    <t>препарат</t>
  </si>
  <si>
    <t>выросли</t>
  </si>
  <si>
    <t>до</t>
  </si>
  <si>
    <t>своего</t>
  </si>
  <si>
    <t>полного</t>
  </si>
  <si>
    <t>размера</t>
  </si>
  <si>
    <t># text = Вскоре начнётся тестирование на людях.</t>
  </si>
  <si>
    <t>Вскоре</t>
  </si>
  <si>
    <t>начнётся</t>
  </si>
  <si>
    <t>тестирование</t>
  </si>
  <si>
    <t>людях</t>
  </si>
  <si>
    <t># text = Появляются такие виды тестов крови, которые позволяют выявить у эмбриона синдром Дауна на более ранних сроках беременности и с большей точностью.</t>
  </si>
  <si>
    <t>Появляются</t>
  </si>
  <si>
    <t>такие</t>
  </si>
  <si>
    <t>виды</t>
  </si>
  <si>
    <t>тестов</t>
  </si>
  <si>
    <t>крови</t>
  </si>
  <si>
    <t>позволяют</t>
  </si>
  <si>
    <t>выявить</t>
  </si>
  <si>
    <t>эмбриона</t>
  </si>
  <si>
    <t>более</t>
  </si>
  <si>
    <t>ранних</t>
  </si>
  <si>
    <t>сроках</t>
  </si>
  <si>
    <t>беременности</t>
  </si>
  <si>
    <t>большей</t>
  </si>
  <si>
    <t>точностью</t>
  </si>
  <si>
    <t># text = Это даст возможность своевременно прервать такую беременность.</t>
  </si>
  <si>
    <t>даст</t>
  </si>
  <si>
    <t>возможность</t>
  </si>
  <si>
    <t>своевременно</t>
  </si>
  <si>
    <t>прервать</t>
  </si>
  <si>
    <t>такую</t>
  </si>
  <si>
    <t>беременность</t>
  </si>
  <si>
    <t># text = Таким образом, мы наблюдаем развитие общества и развитие медицины.</t>
  </si>
  <si>
    <t>Таким</t>
  </si>
  <si>
    <t>наблюдаем</t>
  </si>
  <si>
    <t>развитие</t>
  </si>
  <si>
    <t>общества</t>
  </si>
  <si>
    <t>медицины</t>
  </si>
  <si>
    <t># text = Я верю и в то и в другое.</t>
  </si>
  <si>
    <t>верю</t>
  </si>
  <si>
    <t># text = Я считаю, что социальное развитие — потрясающий, значительный, великолепный процесс и думаю то же самое о медицинском развитии.</t>
  </si>
  <si>
    <t>считаю</t>
  </si>
  <si>
    <t>социальное</t>
  </si>
  <si>
    <t>потрясающий</t>
  </si>
  <si>
    <t>значительный</t>
  </si>
  <si>
    <t>великолепный</t>
  </si>
  <si>
    <t>процесс</t>
  </si>
  <si>
    <t>думаю</t>
  </si>
  <si>
    <t>самое</t>
  </si>
  <si>
    <t>медицинском</t>
  </si>
  <si>
    <t>развитии</t>
  </si>
  <si>
    <t># text = Но так же считаю трагедией, что эти процессы не находят точек соприкосновения.</t>
  </si>
  <si>
    <t>трагедией</t>
  </si>
  <si>
    <t>процессы</t>
  </si>
  <si>
    <t>точек</t>
  </si>
  <si>
    <t>соприкосновения</t>
  </si>
  <si>
    <t># text = Когда я всё же вижу то, каким образом они пересекаются, например, в ситуации, которую я только что описал, это похоже на сцену из оперной постановки, когда герой понимает, что влюблён в героиню, которая в этот момент испускает дух, лёжа на тахте.</t>
  </si>
  <si>
    <t>вижу</t>
  </si>
  <si>
    <t>каким</t>
  </si>
  <si>
    <t>пересекаются</t>
  </si>
  <si>
    <t>например</t>
  </si>
  <si>
    <t>ситуации</t>
  </si>
  <si>
    <t>описал</t>
  </si>
  <si>
    <t>похоже</t>
  </si>
  <si>
    <t>сцену</t>
  </si>
  <si>
    <t>оперной</t>
  </si>
  <si>
    <t>постановки</t>
  </si>
  <si>
    <t>герой</t>
  </si>
  <si>
    <t>понимает</t>
  </si>
  <si>
    <t>влюблён</t>
  </si>
  <si>
    <t>героиню</t>
  </si>
  <si>
    <t>которая</t>
  </si>
  <si>
    <t>момент</t>
  </si>
  <si>
    <t>испускает</t>
  </si>
  <si>
    <t>дух</t>
  </si>
  <si>
    <t>лёжа</t>
  </si>
  <si>
    <t>тахте</t>
  </si>
  <si>
    <t># text = Мы должны задуматься о нашем отношении к излечению.</t>
  </si>
  <si>
    <t>должны</t>
  </si>
  <si>
    <t>задуматься</t>
  </si>
  <si>
    <t>нашем</t>
  </si>
  <si>
    <t>отношении</t>
  </si>
  <si>
    <t>излечению</t>
  </si>
  <si>
    <t># text = И родители должны ответить на вопросы о том, что они готовы принять в своих детях, а что они хотели бы излечить.</t>
  </si>
  <si>
    <t>ответить</t>
  </si>
  <si>
    <t>вопросы</t>
  </si>
  <si>
    <t>готовы</t>
  </si>
  <si>
    <t>принять</t>
  </si>
  <si>
    <t>своих</t>
  </si>
  <si>
    <t>детях</t>
  </si>
  <si>
    <t>хотели</t>
  </si>
  <si>
    <t># text = Джим Синклер, борец за права людей страдающих аутизмом, сказал: «Когда родители говорят: “Я бы хотел, чтобы у моего ребёнка не было аутизма”, они имеют в виду: “Я бы хотел, чтобы мой ребёнок никогда не был рождён, а у меня был другой, не страдающий аутизмом ребёнок”».</t>
  </si>
  <si>
    <t>Джим</t>
  </si>
  <si>
    <t>Синклер</t>
  </si>
  <si>
    <t>борец</t>
  </si>
  <si>
    <t>права</t>
  </si>
  <si>
    <t>страдающих</t>
  </si>
  <si>
    <t>аутизмом</t>
  </si>
  <si>
    <t>«Когда</t>
  </si>
  <si>
    <t>“Я</t>
  </si>
  <si>
    <t>моего</t>
  </si>
  <si>
    <t>аутизма”</t>
  </si>
  <si>
    <t>имеют</t>
  </si>
  <si>
    <t>виду</t>
  </si>
  <si>
    <t>рождён</t>
  </si>
  <si>
    <t>другой</t>
  </si>
  <si>
    <t>страдающий</t>
  </si>
  <si>
    <t>ребёнок”»</t>
  </si>
  <si>
    <t># text = Вслушайтесь в это.</t>
  </si>
  <si>
    <t>Вслушайтесь</t>
  </si>
  <si>
    <t># text = Это то, что мы слышим, когда вы оплакиваете наше существование.</t>
  </si>
  <si>
    <t>слышим</t>
  </si>
  <si>
    <t>оплакиваете</t>
  </si>
  <si>
    <t>наше</t>
  </si>
  <si>
    <t>существование</t>
  </si>
  <si>
    <t># text = И когда вы молите об излечении, мы понимаем, что вы молите о том, чтобы однажды нас не стало, а наше место в ваших сердцах заняли те, кого вы сможете полюбить».</t>
  </si>
  <si>
    <t>молите</t>
  </si>
  <si>
    <t>понимаем</t>
  </si>
  <si>
    <t>стало</t>
  </si>
  <si>
    <t>место</t>
  </si>
  <si>
    <t>ваших</t>
  </si>
  <si>
    <t>сердцах</t>
  </si>
  <si>
    <t>заняли</t>
  </si>
  <si>
    <t>те</t>
  </si>
  <si>
    <t>кого</t>
  </si>
  <si>
    <t>сможете</t>
  </si>
  <si>
    <t>полюбить»</t>
  </si>
  <si>
    <t># text = Возможно такая точка зрения покажется вам вздорной, но она отражает тот факт, что люди вовлекаются в свою жизнь, и не хотят, чтобы их лечили, пытались изменить или отбраковать.</t>
  </si>
  <si>
    <t>точка</t>
  </si>
  <si>
    <t>зрения</t>
  </si>
  <si>
    <t>покажется</t>
  </si>
  <si>
    <t>вздорной</t>
  </si>
  <si>
    <t>отражает</t>
  </si>
  <si>
    <t>факт</t>
  </si>
  <si>
    <t>вовлекаются</t>
  </si>
  <si>
    <t>лечили</t>
  </si>
  <si>
    <t>пытались</t>
  </si>
  <si>
    <t>изменить</t>
  </si>
  <si>
    <t>отбраковать</t>
  </si>
  <si>
    <t># text = Они хотят быть теми, кем им предначертано быть.</t>
  </si>
  <si>
    <t>теми</t>
  </si>
  <si>
    <t>кем</t>
  </si>
  <si>
    <t>предначертано</t>
  </si>
  <si>
    <t># text = Работая над этим проектом, я встретился с семьёй Дилана Клиболда — одного из организаторов массового убийства в школе «Колумбайн».</t>
  </si>
  <si>
    <t>Работая</t>
  </si>
  <si>
    <t>над</t>
  </si>
  <si>
    <t>проектом</t>
  </si>
  <si>
    <t>встретился</t>
  </si>
  <si>
    <t>Дилана</t>
  </si>
  <si>
    <t>Клиболда</t>
  </si>
  <si>
    <t>одного</t>
  </si>
  <si>
    <t>организаторов</t>
  </si>
  <si>
    <t>массового</t>
  </si>
  <si>
    <t>убийства</t>
  </si>
  <si>
    <t>школе</t>
  </si>
  <si>
    <t>«Колумбайн»</t>
  </si>
  <si>
    <t># text = Я долгое время просил их о встрече, и когда они согласились, они были настолько переполнены эмоциями от произошедшего, что без остановки говорили об этом.</t>
  </si>
  <si>
    <t>долгое</t>
  </si>
  <si>
    <t>просил</t>
  </si>
  <si>
    <t>встрече</t>
  </si>
  <si>
    <t>согласились</t>
  </si>
  <si>
    <t>настолько</t>
  </si>
  <si>
    <t>переполнены</t>
  </si>
  <si>
    <t>эмоциями</t>
  </si>
  <si>
    <t>произошедшего</t>
  </si>
  <si>
    <t>без</t>
  </si>
  <si>
    <t>остановки</t>
  </si>
  <si>
    <t>говорили</t>
  </si>
  <si>
    <t># text = За первую неделю с ними — а таких недель было много — я записал более 20-ти часов наших бесед.</t>
  </si>
  <si>
    <t>первую</t>
  </si>
  <si>
    <t>неделю</t>
  </si>
  <si>
    <t>ними</t>
  </si>
  <si>
    <t>недель</t>
  </si>
  <si>
    <t>много</t>
  </si>
  <si>
    <t>записал</t>
  </si>
  <si>
    <t>часов</t>
  </si>
  <si>
    <t>бесед</t>
  </si>
  <si>
    <t># text = К воскресенью мы были обессилены.</t>
  </si>
  <si>
    <t>К</t>
  </si>
  <si>
    <t>воскресенью</t>
  </si>
  <si>
    <t>обессилены</t>
  </si>
  <si>
    <t># text = Мы сидели на кухне.</t>
  </si>
  <si>
    <t>сидели</t>
  </si>
  <si>
    <t>кухне</t>
  </si>
  <si>
    <t># text = Сью Клиболд готовила ужин.</t>
  </si>
  <si>
    <t>Сью</t>
  </si>
  <si>
    <t>Клиболд</t>
  </si>
  <si>
    <t>готовила</t>
  </si>
  <si>
    <t>ужин</t>
  </si>
  <si>
    <t># text = И я спросил: «Если бы Дилан был сейчас здесь, как думаете, о чём бы вы его спросили?» Его отец ответил: «Я бы спросил, о чём он, чёрт побери, думал».</t>
  </si>
  <si>
    <t>«Если</t>
  </si>
  <si>
    <t>Дилан</t>
  </si>
  <si>
    <t>думаете</t>
  </si>
  <si>
    <t>чём</t>
  </si>
  <si>
    <t>спросили</t>
  </si>
  <si>
    <t>чёрт</t>
  </si>
  <si>
    <t>побери</t>
  </si>
  <si>
    <t>думал»</t>
  </si>
  <si>
    <t># text = Сью опустила взгляд и на минуту задумалась.</t>
  </si>
  <si>
    <t>опустила</t>
  </si>
  <si>
    <t>взгляд</t>
  </si>
  <si>
    <t>минуту</t>
  </si>
  <si>
    <t>задумалась</t>
  </si>
  <si>
    <t># text = Замет она подняла глаза и сказала: «Я бы попросила у него прощения, за то что я, его мать, даже не догадывалась о том, что творилось у него в голове».</t>
  </si>
  <si>
    <t>Замет</t>
  </si>
  <si>
    <t>подняла</t>
  </si>
  <si>
    <t>глаза</t>
  </si>
  <si>
    <t>попросила</t>
  </si>
  <si>
    <t>прощения</t>
  </si>
  <si>
    <t>догадывалась</t>
  </si>
  <si>
    <t>творилось</t>
  </si>
  <si>
    <t>голове»</t>
  </si>
  <si>
    <t># text = Пару лет спустя, за ужином — это был один из многих совместных ужинов — она сказала: «Узнав о случившемся, я пожалела, что когда-то вышла замуж, что завела детей.</t>
  </si>
  <si>
    <t>Пару</t>
  </si>
  <si>
    <t>спустя</t>
  </si>
  <si>
    <t>ужином</t>
  </si>
  <si>
    <t>многих</t>
  </si>
  <si>
    <t>совместных</t>
  </si>
  <si>
    <t>ужинов</t>
  </si>
  <si>
    <t>«Узнав</t>
  </si>
  <si>
    <t>случившемся</t>
  </si>
  <si>
    <t>пожалела</t>
  </si>
  <si>
    <t>когда-то</t>
  </si>
  <si>
    <t>вышла</t>
  </si>
  <si>
    <t>замуж</t>
  </si>
  <si>
    <t>завела</t>
  </si>
  <si>
    <t># text = Если бы я не переехала в Огайо и не встретилась с Томом, то этот ребёнок не был бы рождён, и не случилось бы этой ужасной трагедии.</t>
  </si>
  <si>
    <t>Если</t>
  </si>
  <si>
    <t>переехала</t>
  </si>
  <si>
    <t>Огайо</t>
  </si>
  <si>
    <t>встретилась</t>
  </si>
  <si>
    <t>случилось</t>
  </si>
  <si>
    <t>этой</t>
  </si>
  <si>
    <t>ужасной</t>
  </si>
  <si>
    <t>трагедии</t>
  </si>
  <si>
    <t># text = Но потом я поняла, что так сильно люблю своих детей, что даже не хочу представлять себе жизни без них.</t>
  </si>
  <si>
    <t>потом</t>
  </si>
  <si>
    <t>поняла</t>
  </si>
  <si>
    <t>сильно</t>
  </si>
  <si>
    <t>люблю</t>
  </si>
  <si>
    <t>хочу</t>
  </si>
  <si>
    <t>представлять</t>
  </si>
  <si>
    <t># text = Я вижу боль, которую они причинили людям, и этому нет прощения, но боль, причинённая мне, уже прощена.</t>
  </si>
  <si>
    <t>боль</t>
  </si>
  <si>
    <t>причинили</t>
  </si>
  <si>
    <t>причинённая</t>
  </si>
  <si>
    <t>уже</t>
  </si>
  <si>
    <t>прощена</t>
  </si>
  <si>
    <t># text = Поэтому понимая, что для мира было бы лучше, если бы Дилан не появился на свет, я так же понимаю, что это не было бы лучше для меня».</t>
  </si>
  <si>
    <t>понимая</t>
  </si>
  <si>
    <t>мира</t>
  </si>
  <si>
    <t>появился</t>
  </si>
  <si>
    <t>свет</t>
  </si>
  <si>
    <t>понимаю</t>
  </si>
  <si>
    <t>меня»</t>
  </si>
  <si>
    <t># text = Удивительно то, что все эти родители детей с огромными проблемами, которые хотелось бы избежать любым доступным способом, нашли в пережитом опыте так много смысла.</t>
  </si>
  <si>
    <t>Удивительно</t>
  </si>
  <si>
    <t>огромными</t>
  </si>
  <si>
    <t>проблемами</t>
  </si>
  <si>
    <t>хотелось</t>
  </si>
  <si>
    <t>избежать</t>
  </si>
  <si>
    <t>любым</t>
  </si>
  <si>
    <t>доступным</t>
  </si>
  <si>
    <t>способом</t>
  </si>
  <si>
    <t>нашли</t>
  </si>
  <si>
    <t>пережитом</t>
  </si>
  <si>
    <t>опыте</t>
  </si>
  <si>
    <t># text = Потом я подумал что все мы, у кого есть дети, любим их со всеми недостатками.</t>
  </si>
  <si>
    <t>Потом</t>
  </si>
  <si>
    <t>любим</t>
  </si>
  <si>
    <t>всеми</t>
  </si>
  <si>
    <t>недостатками</t>
  </si>
  <si>
    <t># text = И если некий ангел неожиданно спустился бы прямо в мою гостиную и предложил забрать у меня моего ребёнка, дав в замен другого, — более вежливого, забавного, милого и умного — я бы приник к своему ребёнку, моля, чтобы это ужасное явление исчезло.</t>
  </si>
  <si>
    <t>некий</t>
  </si>
  <si>
    <t>ангел</t>
  </si>
  <si>
    <t>неожиданно</t>
  </si>
  <si>
    <t>спустился</t>
  </si>
  <si>
    <t>прямо</t>
  </si>
  <si>
    <t>мою</t>
  </si>
  <si>
    <t>гостиную</t>
  </si>
  <si>
    <t>предложил</t>
  </si>
  <si>
    <t>забрать</t>
  </si>
  <si>
    <t>дав</t>
  </si>
  <si>
    <t>замен</t>
  </si>
  <si>
    <t>другого</t>
  </si>
  <si>
    <t>вежливого</t>
  </si>
  <si>
    <t>забавного</t>
  </si>
  <si>
    <t>милого</t>
  </si>
  <si>
    <t>умного</t>
  </si>
  <si>
    <t>приник</t>
  </si>
  <si>
    <t>моля</t>
  </si>
  <si>
    <t>ужасное</t>
  </si>
  <si>
    <t>явление</t>
  </si>
  <si>
    <t>исчезло</t>
  </si>
  <si>
    <t># text = И я понимаю, что, точно так же как мы проверяем материал пижам на огнеустойчивость, чтобы быть уверенными, что он не загорится, когда наш малыш возится у плиты так же и истории этих семей, принимающих особенности своих детей, отражают сущность родительского опыта всего человечества, при котором ты иногда смотришь на своего ребёнка и думаешь: «Откуда ты взялся такой?».</t>
  </si>
  <si>
    <t>точно</t>
  </si>
  <si>
    <t>проверяем</t>
  </si>
  <si>
    <t>материал</t>
  </si>
  <si>
    <t>пижам</t>
  </si>
  <si>
    <t>огнеустойчивость</t>
  </si>
  <si>
    <t>уверенными</t>
  </si>
  <si>
    <t>загорится</t>
  </si>
  <si>
    <t>наш</t>
  </si>
  <si>
    <t>малыш</t>
  </si>
  <si>
    <t>возится</t>
  </si>
  <si>
    <t>плиты</t>
  </si>
  <si>
    <t>истории</t>
  </si>
  <si>
    <t>этих</t>
  </si>
  <si>
    <t>принимающих</t>
  </si>
  <si>
    <t>OBJ_9</t>
  </si>
  <si>
    <t>отражают</t>
  </si>
  <si>
    <t>сущность</t>
  </si>
  <si>
    <t>родительского</t>
  </si>
  <si>
    <t>опыта</t>
  </si>
  <si>
    <t>человечества</t>
  </si>
  <si>
    <t>смотришь</t>
  </si>
  <si>
    <t>думаешь</t>
  </si>
  <si>
    <t>«Откуда</t>
  </si>
  <si>
    <t>SBJ_11</t>
  </si>
  <si>
    <t>взялся</t>
  </si>
  <si>
    <t>такой?»</t>
  </si>
  <si>
    <t># text = Выходит, что несмотря на то, что все эти особенности так отличны друг от друга — многие семьи столкнулись с шизофренией, в других семьях дети стали транссексуалами, а в третьих родились вундеркинды — что тоже представляет немалые трудности — и так много семей, в каждой из этих категорий.</t>
  </si>
  <si>
    <t>Выходит</t>
  </si>
  <si>
    <t>отличны</t>
  </si>
  <si>
    <t>друга</t>
  </si>
  <si>
    <t>многие</t>
  </si>
  <si>
    <t>столкнулись</t>
  </si>
  <si>
    <t>шизофренией</t>
  </si>
  <si>
    <t>других</t>
  </si>
  <si>
    <t>стали</t>
  </si>
  <si>
    <t>транссексуалами</t>
  </si>
  <si>
    <t>третьих</t>
  </si>
  <si>
    <t>родились</t>
  </si>
  <si>
    <t>вундеркинды</t>
  </si>
  <si>
    <t>тоже</t>
  </si>
  <si>
    <t>представляет</t>
  </si>
  <si>
    <t>немалые</t>
  </si>
  <si>
    <t>трудности</t>
  </si>
  <si>
    <t>каждой</t>
  </si>
  <si>
    <t>категорий</t>
  </si>
  <si>
    <t>other_12</t>
  </si>
  <si>
    <t># text = Но если вы задумаетесь о том, что преодоление отличий внутри вашей собственной семьи эти и есть то, к чему стремятся люди, вы поймёте, что это почти вселенское явление.</t>
  </si>
  <si>
    <t>задумаетесь</t>
  </si>
  <si>
    <t>преодоление</t>
  </si>
  <si>
    <t>отличий</t>
  </si>
  <si>
    <t>внутри</t>
  </si>
  <si>
    <t>вашей</t>
  </si>
  <si>
    <t>собственной</t>
  </si>
  <si>
    <t>чему</t>
  </si>
  <si>
    <t>стремятся</t>
  </si>
  <si>
    <t>поймёте</t>
  </si>
  <si>
    <t>почти</t>
  </si>
  <si>
    <t>вселенское</t>
  </si>
  <si>
    <t># text = Ирония в том, что именно наши особенности и их преодоление объединяют нас.</t>
  </si>
  <si>
    <t>Ирония</t>
  </si>
  <si>
    <t>объединяют</t>
  </si>
  <si>
    <t># text = Я решил завести ребёнка в то время, когда работал над этим проектом.</t>
  </si>
  <si>
    <t>решил</t>
  </si>
  <si>
    <t>работал</t>
  </si>
  <si>
    <t># text = Многие были удивлены и спрашивали: «Как ты мог решиться завести ребёнка, проводя исследование о том, что всё может пойти не так как хотелось?» Я отвечал: «Я исследую не то, что может пойти не так как хотелось.</t>
  </si>
  <si>
    <t>Многие</t>
  </si>
  <si>
    <t>удивлены</t>
  </si>
  <si>
    <t>спрашивали</t>
  </si>
  <si>
    <t>решиться</t>
  </si>
  <si>
    <t>проводя</t>
  </si>
  <si>
    <t>исследование</t>
  </si>
  <si>
    <t>OBJ_11</t>
  </si>
  <si>
    <t>отвечал</t>
  </si>
  <si>
    <t>исследую</t>
  </si>
  <si>
    <t>OBJ_12</t>
  </si>
  <si>
    <t>SBJ_14</t>
  </si>
  <si>
    <t># text = Я исследую вопрос о том, как много любви потребуется в момент, когда кажется, что всё идёт не так».</t>
  </si>
  <si>
    <t>любви</t>
  </si>
  <si>
    <t>потребуется</t>
  </si>
  <si>
    <t>идёт</t>
  </si>
  <si>
    <t>так»</t>
  </si>
  <si>
    <t># text = Я много думал о матери одного ребёнка-инвалида, которого мне довелось встретить.</t>
  </si>
  <si>
    <t>инвалида</t>
  </si>
  <si>
    <t>которого</t>
  </si>
  <si>
    <t>довелось</t>
  </si>
  <si>
    <t># text = У него была тяжёлая степень инвалидности.</t>
  </si>
  <si>
    <t>У</t>
  </si>
  <si>
    <t>степень</t>
  </si>
  <si>
    <t>инвалидности</t>
  </si>
  <si>
    <t># text = Он умер он недостатка ухода.</t>
  </si>
  <si>
    <t>умер</t>
  </si>
  <si>
    <t>недостатка</t>
  </si>
  <si>
    <t>ухода</t>
  </si>
  <si>
    <t># text = Во время похорон его мать сказала: «Я молю о прощении за то, чего дважды была лишена — такого ребёнка как я хотела и сына, которого любила».</t>
  </si>
  <si>
    <t>Во</t>
  </si>
  <si>
    <t>похорон</t>
  </si>
  <si>
    <t>молю</t>
  </si>
  <si>
    <t>прощении</t>
  </si>
  <si>
    <t>дважды</t>
  </si>
  <si>
    <t>лишена</t>
  </si>
  <si>
    <t>такого</t>
  </si>
  <si>
    <t>хотела</t>
  </si>
  <si>
    <t>OBJ_10</t>
  </si>
  <si>
    <t>любила»</t>
  </si>
  <si>
    <t># text = И я осознал, что любой человек может любить любого ребёнка, если у него достаточно силы духа для этого.</t>
  </si>
  <si>
    <t>осознал</t>
  </si>
  <si>
    <t>любой</t>
  </si>
  <si>
    <t>любого</t>
  </si>
  <si>
    <t>силы</t>
  </si>
  <si>
    <t>духа</t>
  </si>
  <si>
    <t># text = Мой муж — биологический отец двух детей рождённых лесбиянками в Минеаполисе.</t>
  </si>
  <si>
    <t>Мой</t>
  </si>
  <si>
    <t>муж</t>
  </si>
  <si>
    <t>биологический</t>
  </si>
  <si>
    <t>двух</t>
  </si>
  <si>
    <t>рождённых</t>
  </si>
  <si>
    <t>лесбиянками</t>
  </si>
  <si>
    <t>Минеаполисе</t>
  </si>
  <si>
    <t># text = У меня была подруга по колледжу, в разводе, желавшая иметь детей.</t>
  </si>
  <si>
    <t>подруга</t>
  </si>
  <si>
    <t>колледжу</t>
  </si>
  <si>
    <t>разводе</t>
  </si>
  <si>
    <t>желавшая</t>
  </si>
  <si>
    <t># text = У нас с ней есть дочь.</t>
  </si>
  <si>
    <t>дочь</t>
  </si>
  <si>
    <t># text = Они живут в Техасе.</t>
  </si>
  <si>
    <t>живут</t>
  </si>
  <si>
    <t>Техасе</t>
  </si>
  <si>
    <t># text = А у нас с мужем есть сын, живущий с нами постоянно.</t>
  </si>
  <si>
    <t>мужем</t>
  </si>
  <si>
    <t>живущий</t>
  </si>
  <si>
    <t>нами</t>
  </si>
  <si>
    <t># text = Я его биологический отец, а суррогатной матерью стала Лора — лесбиянка, мать Оливера и Люси живущая в Минеаполисе.</t>
  </si>
  <si>
    <t>суррогатной</t>
  </si>
  <si>
    <t>стала</t>
  </si>
  <si>
    <t>Лора</t>
  </si>
  <si>
    <t>лесбиянка</t>
  </si>
  <si>
    <t>Оливера</t>
  </si>
  <si>
    <t>Люси</t>
  </si>
  <si>
    <t>живущая</t>
  </si>
  <si>
    <t># text = Итог: пять родителей, четверо детей, три штата.</t>
  </si>
  <si>
    <t>Итог</t>
  </si>
  <si>
    <t>пять</t>
  </si>
  <si>
    <t>четверо</t>
  </si>
  <si>
    <t>штата</t>
  </si>
  <si>
    <t># text = Есть люди, которые считают, что существование моей семьи подрывает, ослабляет или разрушает авторитет их семей.</t>
  </si>
  <si>
    <t>Есть</t>
  </si>
  <si>
    <t>считают</t>
  </si>
  <si>
    <t>подрывает</t>
  </si>
  <si>
    <t>ослабляет</t>
  </si>
  <si>
    <t>разрушает</t>
  </si>
  <si>
    <t>авторитет</t>
  </si>
  <si>
    <t># text = А есть те, кто считает, что семьи вроде моей не должны существовать.</t>
  </si>
  <si>
    <t>считает</t>
  </si>
  <si>
    <t>вроде</t>
  </si>
  <si>
    <t># text = Я не принимаю исключающий вид любви.</t>
  </si>
  <si>
    <t>принимаю</t>
  </si>
  <si>
    <t>исключающий</t>
  </si>
  <si>
    <t>вид</t>
  </si>
  <si>
    <t># text = Только принимающий.</t>
  </si>
  <si>
    <t>принимающий</t>
  </si>
  <si>
    <t># text = И я верю, что так же как нам необходимо разнообразие видов, чтобы знать, что наша планета способна развиваться, так же нам нужно разнообразие любви, разнообразие семей для укрепления экосферы добра.</t>
  </si>
  <si>
    <t>разнообразие</t>
  </si>
  <si>
    <t>видов</t>
  </si>
  <si>
    <t>наша</t>
  </si>
  <si>
    <t>планета</t>
  </si>
  <si>
    <t>способна</t>
  </si>
  <si>
    <t>развиваться</t>
  </si>
  <si>
    <t>нужно</t>
  </si>
  <si>
    <t>укрепления</t>
  </si>
  <si>
    <t>экосферы</t>
  </si>
  <si>
    <t>добра</t>
  </si>
  <si>
    <t># text = На следующий день после рождения нашего сына, в палату пришёл встревоженный педиатр.</t>
  </si>
  <si>
    <t>На</t>
  </si>
  <si>
    <t>следующий</t>
  </si>
  <si>
    <t>после</t>
  </si>
  <si>
    <t>рождения</t>
  </si>
  <si>
    <t>палату</t>
  </si>
  <si>
    <t>встревоженный</t>
  </si>
  <si>
    <t>педиатр</t>
  </si>
  <si>
    <t># text = Сын не вытягивал ноги должным образом.</t>
  </si>
  <si>
    <t>Сын</t>
  </si>
  <si>
    <t>вытягивал</t>
  </si>
  <si>
    <t>ноги</t>
  </si>
  <si>
    <t>должным</t>
  </si>
  <si>
    <t># text = Врач сказала, что возможно у него повреждён мозг.</t>
  </si>
  <si>
    <t>Врач</t>
  </si>
  <si>
    <t>повреждён</t>
  </si>
  <si>
    <t>мозг</t>
  </si>
  <si>
    <t># text = Он вытягивал ноги, но не симметрично, что по её мнению могло указывать на опухоль в определённой стадии.</t>
  </si>
  <si>
    <t>симметрично</t>
  </si>
  <si>
    <t>мнению</t>
  </si>
  <si>
    <t>могло</t>
  </si>
  <si>
    <t>указывать</t>
  </si>
  <si>
    <t>опухоль</t>
  </si>
  <si>
    <t>определённой</t>
  </si>
  <si>
    <t>стадии</t>
  </si>
  <si>
    <t># text = Так же у него была очень большая голова, что могло указывать на гидроцефалию.</t>
  </si>
  <si>
    <t>Так</t>
  </si>
  <si>
    <t>очень</t>
  </si>
  <si>
    <t>большая</t>
  </si>
  <si>
    <t>голова</t>
  </si>
  <si>
    <t>гидроцефалию</t>
  </si>
  <si>
    <t># text = Когда она всё это сказала, а почувствовал, что что-то внутри меня оборвалось.</t>
  </si>
  <si>
    <t>почувствовал</t>
  </si>
  <si>
    <t>что-то</t>
  </si>
  <si>
    <t>оборвалось</t>
  </si>
  <si>
    <t># text = Я подумал, что годами работал над книгой о том, как много смысла нашли родители в том, что их дети были инвалидами и я не хочу пополнить их ряды.</t>
  </si>
  <si>
    <t>годами</t>
  </si>
  <si>
    <t>книгой</t>
  </si>
  <si>
    <t>инвалидами</t>
  </si>
  <si>
    <t>пополнить</t>
  </si>
  <si>
    <t>ряды</t>
  </si>
  <si>
    <t># text = То, с чем мне пришлось столкнуться — это болезнь, и как все родители с незапамятных времён я хотел защитить своего ребёнка от болезни.</t>
  </si>
  <si>
    <t>пришлось</t>
  </si>
  <si>
    <t>столкнуться</t>
  </si>
  <si>
    <t>незапамятных</t>
  </si>
  <si>
    <t>защитить</t>
  </si>
  <si>
    <t>болезни</t>
  </si>
  <si>
    <t># text = Я так же хотел защитить и себя от болезни.</t>
  </si>
  <si>
    <t># text = Из проведённых исследований, я знал, если обнаружится, что он болен чем-то из этого, то это станет его отличительной особенностью, которая станет так же и моей особенностью, что развиваясь, болезнь станет чем-то большим.</t>
  </si>
  <si>
    <t>Из</t>
  </si>
  <si>
    <t>проведённых</t>
  </si>
  <si>
    <t>исследований</t>
  </si>
  <si>
    <t>обнаружится</t>
  </si>
  <si>
    <t>болен</t>
  </si>
  <si>
    <t>чем-то</t>
  </si>
  <si>
    <t>станет</t>
  </si>
  <si>
    <t>отличительной</t>
  </si>
  <si>
    <t>особенностью</t>
  </si>
  <si>
    <t>развиваясь</t>
  </si>
  <si>
    <t>большим</t>
  </si>
  <si>
    <t># text = Мы сделали ему МРТ, компьютерное сканирование, позволили взять у новорождённого кровь на анализы.</t>
  </si>
  <si>
    <t>сделали</t>
  </si>
  <si>
    <t>МРТ</t>
  </si>
  <si>
    <t>компьютерное</t>
  </si>
  <si>
    <t>сканирование</t>
  </si>
  <si>
    <t>позволили</t>
  </si>
  <si>
    <t>новорождённого</t>
  </si>
  <si>
    <t>кровь</t>
  </si>
  <si>
    <t>анализы</t>
  </si>
  <si>
    <t># text = Мы чувствовали себя беспомощными.</t>
  </si>
  <si>
    <t>чувствовали</t>
  </si>
  <si>
    <t>беспомощными</t>
  </si>
  <si>
    <t># text = Пять часов спустя, нам сказали, что с его мозгом всё в порядке, и что он начал вытягивать ножки как следует.</t>
  </si>
  <si>
    <t>Пять</t>
  </si>
  <si>
    <t>мозгом</t>
  </si>
  <si>
    <t>порядке</t>
  </si>
  <si>
    <t>начал</t>
  </si>
  <si>
    <t>ножки</t>
  </si>
  <si>
    <t># text = Я спросил педиатра, в чём же было дело, на что она ответила, что тем утром у него, возможно, были колики.</t>
  </si>
  <si>
    <t>педиатра</t>
  </si>
  <si>
    <t>дело</t>
  </si>
  <si>
    <t>тем</t>
  </si>
  <si>
    <t>утром</t>
  </si>
  <si>
    <t>колики</t>
  </si>
  <si>
    <t># text = И я подумал, что моя мама была права.</t>
  </si>
  <si>
    <t>мама</t>
  </si>
  <si>
    <t># text = Любовь к своему ребёнку не похожа ни на одно другое чувство, и пока у тебя нет детей, ты не знаешь что это за чувство.</t>
  </si>
  <si>
    <t>Любовь</t>
  </si>
  <si>
    <t>знаешь</t>
  </si>
  <si>
    <t># text = Думаю, дети привязали меня к себе в тот момент, когда отцовство граничило с потерей.</t>
  </si>
  <si>
    <t>Думаю</t>
  </si>
  <si>
    <t>привязали</t>
  </si>
  <si>
    <t>отцовство</t>
  </si>
  <si>
    <t>граничило</t>
  </si>
  <si>
    <t>потерей</t>
  </si>
  <si>
    <t># text = Но не думаю, что заметил бы это, если бы не был погружён с головой в своё исследование.</t>
  </si>
  <si>
    <t>заметил</t>
  </si>
  <si>
    <t>погружён</t>
  </si>
  <si>
    <t>головой</t>
  </si>
  <si>
    <t>своё</t>
  </si>
  <si>
    <t># text = Я увидел так много странной любви, но чувствовал себя естественно, очарованный ей.</t>
  </si>
  <si>
    <t>странной</t>
  </si>
  <si>
    <t>чувствовал</t>
  </si>
  <si>
    <t>естественно</t>
  </si>
  <si>
    <t>очарованный</t>
  </si>
  <si>
    <t># text = Я видел, как её сияние озаряет даже самых израненных.</t>
  </si>
  <si>
    <t>сияние</t>
  </si>
  <si>
    <t>озаряет</t>
  </si>
  <si>
    <t>самых</t>
  </si>
  <si>
    <t>израненных</t>
  </si>
  <si>
    <t># text = За эти 10 лет, я лицезрел и проникся устрашающей радостью невыносимой ответственности, которая, как я убедился, помогает превозмочь всё остальное.</t>
  </si>
  <si>
    <t>лицезрел</t>
  </si>
  <si>
    <t>проникся</t>
  </si>
  <si>
    <t>устрашающей</t>
  </si>
  <si>
    <t>радостью</t>
  </si>
  <si>
    <t>невыносимой</t>
  </si>
  <si>
    <t>ответственности</t>
  </si>
  <si>
    <t>убедился</t>
  </si>
  <si>
    <t>помогает</t>
  </si>
  <si>
    <t>превозмочь</t>
  </si>
  <si>
    <t>остальное</t>
  </si>
  <si>
    <t># text = Иногда, глядя на родителей, с которыми мне приходилось встречаться, я считал их глупцами, отдавшими всю свою жизнь детям неспособным на благодарность, ищущими особенности в невзгодах.</t>
  </si>
  <si>
    <t>Иногда</t>
  </si>
  <si>
    <t>глядя</t>
  </si>
  <si>
    <t>которыми</t>
  </si>
  <si>
    <t>приходилось</t>
  </si>
  <si>
    <t>встречаться</t>
  </si>
  <si>
    <t>считал</t>
  </si>
  <si>
    <t>глупцами</t>
  </si>
  <si>
    <t>отдавшими</t>
  </si>
  <si>
    <t>всю</t>
  </si>
  <si>
    <t>неспособным</t>
  </si>
  <si>
    <t>благодарность</t>
  </si>
  <si>
    <t>ищущими</t>
  </si>
  <si>
    <t>невзгодах</t>
  </si>
  <si>
    <t># text = Но в тот день я понял, что моё исследование стало для меня опорой и я готов пополнить ряды тех родителей.</t>
  </si>
  <si>
    <t>понял</t>
  </si>
  <si>
    <t>моё</t>
  </si>
  <si>
    <t>опорой</t>
  </si>
  <si>
    <t>готов</t>
  </si>
  <si>
    <t># text = Спасибо.</t>
  </si>
  <si>
    <t>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</si>
</sst>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0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21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22</v>
      </c>
      <c r="B6" s="6" t="s">
        <v>30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30</v>
      </c>
      <c r="B7" s="6" t="s">
        <v>26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17</v>
      </c>
      <c r="B8" s="6" t="s">
        <v>21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41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46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21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11</v>
      </c>
      <c r="B12" s="6" t="s">
        <v>16</v>
      </c>
      <c r="C12" s="6" t="s">
        <v>12</v>
      </c>
      <c r="D12" s="7" t="s">
        <v>47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21</v>
      </c>
      <c r="C13" s="6" t="s">
        <v>12</v>
      </c>
      <c r="D13" s="7" t="s">
        <v>47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10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41</v>
      </c>
      <c r="B15" s="6" t="s">
        <v>40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26</v>
      </c>
      <c r="C16" s="6" t="s">
        <v>66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16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17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16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45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16</v>
      </c>
      <c r="C21" s="6" t="s">
        <v>12</v>
      </c>
      <c r="D21" s="7" t="s">
        <v>62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21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21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55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21</v>
      </c>
      <c r="C25" s="6" t="s">
        <v>12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16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16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16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26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16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16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21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45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16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16</v>
      </c>
      <c r="C35" s="6" t="s">
        <v>12</v>
      </c>
      <c r="D35" s="7" t="s">
        <v>142</v>
      </c>
      <c r="E35" s="8" t="s">
        <v>143</v>
      </c>
      <c r="F35" s="6" t="s">
        <v>144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145</v>
      </c>
      <c r="B36" s="6" t="s">
        <v>26</v>
      </c>
      <c r="C36" s="6" t="s">
        <v>12</v>
      </c>
      <c r="D36" s="7" t="s">
        <v>146</v>
      </c>
      <c r="E36" s="8" t="s">
        <v>147</v>
      </c>
      <c r="F36" s="6" t="s">
        <v>148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149</v>
      </c>
      <c r="B37" s="6" t="s">
        <v>22</v>
      </c>
      <c r="C37" s="6" t="s">
        <v>12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17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16</v>
      </c>
      <c r="C39" s="6" t="s">
        <v>12</v>
      </c>
      <c r="D39" s="7" t="s">
        <v>158</v>
      </c>
      <c r="E39" s="8" t="s">
        <v>159</v>
      </c>
      <c r="F39" s="6" t="s">
        <v>160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161</v>
      </c>
      <c r="B40" s="6" t="s">
        <v>10</v>
      </c>
      <c r="C40" s="6" t="s">
        <v>12</v>
      </c>
      <c r="D40" s="7" t="s">
        <v>47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21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21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21</v>
      </c>
      <c r="C43" s="6" t="s">
        <v>12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17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21</v>
      </c>
      <c r="C45" s="6" t="s">
        <v>12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21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17</v>
      </c>
      <c r="C47" s="6" t="s">
        <v>12</v>
      </c>
      <c r="D47" s="7" t="s">
        <v>158</v>
      </c>
      <c r="E47" s="8" t="s">
        <v>189</v>
      </c>
      <c r="F47" s="6" t="s">
        <v>190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191</v>
      </c>
      <c r="B48" s="6" t="s">
        <v>26</v>
      </c>
      <c r="C48" s="6" t="s">
        <v>12</v>
      </c>
      <c r="D48" s="7" t="s">
        <v>192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21</v>
      </c>
      <c r="C49" s="6" t="s">
        <v>12</v>
      </c>
      <c r="D49" s="7" t="s">
        <v>169</v>
      </c>
      <c r="E49" s="8" t="s">
        <v>196</v>
      </c>
      <c r="F49" s="6" t="s">
        <v>197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198</v>
      </c>
      <c r="B50" s="6" t="s">
        <v>16</v>
      </c>
      <c r="C50" s="6" t="s">
        <v>12</v>
      </c>
      <c r="D50" s="7" t="s">
        <v>199</v>
      </c>
      <c r="E50" s="8" t="s">
        <v>200</v>
      </c>
      <c r="F50" s="6" t="s">
        <v>201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202</v>
      </c>
      <c r="B51" s="6" t="s">
        <v>21</v>
      </c>
      <c r="C51" s="6" t="s">
        <v>203</v>
      </c>
      <c r="D51" s="7" t="s">
        <v>59</v>
      </c>
      <c r="E51" s="8" t="s">
        <v>204</v>
      </c>
      <c r="F51" s="6" t="s">
        <v>205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206</v>
      </c>
      <c r="B52" s="6" t="s">
        <v>21</v>
      </c>
      <c r="C52" s="6" t="s">
        <v>12</v>
      </c>
      <c r="D52" s="7" t="s">
        <v>207</v>
      </c>
      <c r="E52" s="8" t="s">
        <v>208</v>
      </c>
      <c r="F52" s="6" t="s">
        <v>209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210</v>
      </c>
      <c r="B53" s="6" t="s">
        <v>89</v>
      </c>
      <c r="C53" s="6" t="s">
        <v>12</v>
      </c>
      <c r="D53" s="7" t="s">
        <v>211</v>
      </c>
      <c r="E53" s="8" t="s">
        <v>212</v>
      </c>
      <c r="F53" s="6" t="s">
        <v>213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214</v>
      </c>
      <c r="B54" s="6" t="s">
        <v>40</v>
      </c>
      <c r="C54" s="6" t="s">
        <v>12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16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16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40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45</v>
      </c>
      <c r="C58" s="6" t="s">
        <v>12</v>
      </c>
      <c r="D58" s="7" t="s">
        <v>173</v>
      </c>
      <c r="E58" s="8" t="s">
        <v>231</v>
      </c>
      <c r="F58" s="6" t="s">
        <v>232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233</v>
      </c>
      <c r="B59" s="6" t="s">
        <v>21</v>
      </c>
      <c r="C59" s="6" t="s">
        <v>12</v>
      </c>
      <c r="D59" s="7" t="s">
        <v>185</v>
      </c>
      <c r="E59" s="8" t="s">
        <v>234</v>
      </c>
      <c r="F59" s="6" t="s">
        <v>235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236</v>
      </c>
      <c r="B60" s="6" t="s">
        <v>40</v>
      </c>
      <c r="C60" s="6" t="s">
        <v>12</v>
      </c>
      <c r="D60" s="7" t="s">
        <v>237</v>
      </c>
      <c r="E60" s="8" t="s">
        <v>238</v>
      </c>
      <c r="F60" s="6" t="s">
        <v>239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240</v>
      </c>
      <c r="B61" s="6" t="s">
        <v>10</v>
      </c>
      <c r="C61" s="6" t="s">
        <v>12</v>
      </c>
      <c r="D61" s="7" t="s">
        <v>241</v>
      </c>
      <c r="E61" s="8" t="s">
        <v>242</v>
      </c>
      <c r="F61" s="6" t="s">
        <v>243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244</v>
      </c>
      <c r="B62" s="6" t="s">
        <v>22</v>
      </c>
      <c r="C62" s="6" t="s">
        <v>12</v>
      </c>
      <c r="D62" s="7" t="s">
        <v>245</v>
      </c>
      <c r="E62" s="8" t="s">
        <v>246</v>
      </c>
      <c r="F62" s="6" t="s">
        <v>247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248</v>
      </c>
      <c r="B63" s="6" t="s">
        <v>40</v>
      </c>
      <c r="C63" s="6" t="s">
        <v>12</v>
      </c>
      <c r="D63" s="7" t="s">
        <v>249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45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26</v>
      </c>
      <c r="C65" s="6" t="s">
        <v>12</v>
      </c>
      <c r="D65" s="7" t="s">
        <v>257</v>
      </c>
      <c r="E65" s="8" t="s">
        <v>258</v>
      </c>
      <c r="F65" s="6" t="s">
        <v>259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260</v>
      </c>
      <c r="B66" s="6" t="s">
        <v>16</v>
      </c>
      <c r="C66" s="6" t="s">
        <v>12</v>
      </c>
      <c r="D66" s="7" t="s">
        <v>257</v>
      </c>
      <c r="E66" s="8" t="s">
        <v>261</v>
      </c>
      <c r="F66" s="6" t="s">
        <v>262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263</v>
      </c>
      <c r="B67" s="6" t="s">
        <v>45</v>
      </c>
      <c r="C67" s="6" t="s">
        <v>12</v>
      </c>
      <c r="D67" s="7" t="s">
        <v>264</v>
      </c>
      <c r="E67" s="8" t="s">
        <v>265</v>
      </c>
      <c r="F67" s="6" t="s">
        <v>266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267</v>
      </c>
      <c r="B68" s="6" t="s">
        <v>22</v>
      </c>
      <c r="C68" s="6" t="s">
        <v>12</v>
      </c>
      <c r="D68" s="7" t="s">
        <v>268</v>
      </c>
      <c r="E68" s="8" t="s">
        <v>269</v>
      </c>
      <c r="F68" s="6" t="s">
        <v>270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271</v>
      </c>
      <c r="B69" s="6" t="s">
        <v>21</v>
      </c>
      <c r="C69" s="6" t="s">
        <v>12</v>
      </c>
      <c r="D69" s="7" t="s">
        <v>47</v>
      </c>
      <c r="E69" s="8" t="s">
        <v>272</v>
      </c>
      <c r="F69" s="6" t="s">
        <v>273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274</v>
      </c>
      <c r="B70" s="6" t="s">
        <v>16</v>
      </c>
      <c r="C70" s="6" t="s">
        <v>12</v>
      </c>
      <c r="D70" s="7" t="s">
        <v>275</v>
      </c>
      <c r="E70" s="8" t="s">
        <v>276</v>
      </c>
      <c r="F70" s="6" t="s">
        <v>277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278</v>
      </c>
      <c r="B71" s="6" t="s">
        <v>26</v>
      </c>
      <c r="C71" s="6" t="s">
        <v>12</v>
      </c>
      <c r="D71" s="7" t="s">
        <v>279</v>
      </c>
      <c r="E71" s="8" t="s">
        <v>280</v>
      </c>
      <c r="F71" s="6" t="s">
        <v>281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282</v>
      </c>
      <c r="B72" s="6" t="s">
        <v>16</v>
      </c>
      <c r="C72" s="6" t="s">
        <v>12</v>
      </c>
      <c r="D72" s="7" t="s">
        <v>283</v>
      </c>
      <c r="E72" s="8" t="s">
        <v>284</v>
      </c>
      <c r="F72" s="6" t="s">
        <v>285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286</v>
      </c>
      <c r="B73" s="6" t="s">
        <v>22</v>
      </c>
      <c r="C73" s="6" t="s">
        <v>12</v>
      </c>
      <c r="D73" s="7" t="s">
        <v>287</v>
      </c>
      <c r="E73" s="8" t="s">
        <v>288</v>
      </c>
      <c r="F73" s="6" t="s">
        <v>289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290</v>
      </c>
      <c r="B74" s="6" t="s">
        <v>16</v>
      </c>
      <c r="C74" s="6" t="s">
        <v>12</v>
      </c>
      <c r="D74" s="7" t="s">
        <v>71</v>
      </c>
      <c r="E74" s="8" t="s">
        <v>291</v>
      </c>
      <c r="F74" s="6" t="s">
        <v>292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293</v>
      </c>
      <c r="B75" s="6" t="s">
        <v>55</v>
      </c>
      <c r="C75" s="6" t="s">
        <v>12</v>
      </c>
      <c r="D75" s="7" t="s">
        <v>294</v>
      </c>
      <c r="E75" s="8" t="s">
        <v>295</v>
      </c>
      <c r="F75" s="6" t="s">
        <v>296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297</v>
      </c>
      <c r="B76" s="6" t="s">
        <v>26</v>
      </c>
      <c r="C76" s="6" t="s">
        <v>12</v>
      </c>
      <c r="D76" s="7" t="s">
        <v>249</v>
      </c>
      <c r="E76" s="8" t="s">
        <v>298</v>
      </c>
      <c r="F76" s="6" t="s">
        <v>299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300</v>
      </c>
      <c r="B77" s="6" t="s">
        <v>16</v>
      </c>
      <c r="C77" s="6" t="s">
        <v>12</v>
      </c>
      <c r="D77" s="7" t="s">
        <v>301</v>
      </c>
      <c r="E77" s="8" t="s">
        <v>302</v>
      </c>
      <c r="F77" s="6" t="s">
        <v>303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304</v>
      </c>
      <c r="B78" s="6" t="s">
        <v>26</v>
      </c>
      <c r="C78" s="6" t="s">
        <v>12</v>
      </c>
      <c r="D78" s="7" t="s">
        <v>305</v>
      </c>
      <c r="E78" s="8" t="s">
        <v>306</v>
      </c>
      <c r="F78" s="6" t="s">
        <v>307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308</v>
      </c>
      <c r="B79" s="6" t="s">
        <v>16</v>
      </c>
      <c r="C79" s="6" t="s">
        <v>309</v>
      </c>
      <c r="D79" s="7" t="s">
        <v>310</v>
      </c>
      <c r="E79" s="8" t="s">
        <v>311</v>
      </c>
      <c r="F79" s="6" t="s">
        <v>312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313</v>
      </c>
      <c r="B80" s="6" t="s">
        <v>26</v>
      </c>
      <c r="C80" s="6" t="s">
        <v>12</v>
      </c>
      <c r="D80" s="7" t="s">
        <v>314</v>
      </c>
      <c r="E80" s="8" t="s">
        <v>315</v>
      </c>
      <c r="F80" s="6" t="s">
        <v>316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317</v>
      </c>
      <c r="B81" s="6" t="s">
        <v>22</v>
      </c>
      <c r="C81" s="6" t="s">
        <v>12</v>
      </c>
      <c r="D81" s="7" t="s">
        <v>318</v>
      </c>
      <c r="E81" s="8" t="s">
        <v>319</v>
      </c>
      <c r="F81" s="6" t="s">
        <v>320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321</v>
      </c>
      <c r="B82" s="6" t="s">
        <v>22</v>
      </c>
      <c r="C82" s="6" t="s">
        <v>12</v>
      </c>
      <c r="D82" s="7" t="s">
        <v>192</v>
      </c>
      <c r="E82" s="8" t="s">
        <v>322</v>
      </c>
      <c r="F82" s="6" t="s">
        <v>323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324</v>
      </c>
      <c r="B83" s="6" t="s">
        <v>46</v>
      </c>
      <c r="C83" s="6" t="s">
        <v>12</v>
      </c>
      <c r="D83" s="7" t="s">
        <v>325</v>
      </c>
      <c r="E83" s="8" t="s">
        <v>326</v>
      </c>
      <c r="F83" s="6" t="s">
        <v>327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328</v>
      </c>
      <c r="B84" s="6" t="s">
        <v>16</v>
      </c>
      <c r="C84" s="6" t="s">
        <v>12</v>
      </c>
      <c r="D84" s="7" t="s">
        <v>329</v>
      </c>
      <c r="E84" s="8" t="s">
        <v>330</v>
      </c>
      <c r="F84" s="6" t="s">
        <v>331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332</v>
      </c>
      <c r="B85" s="6" t="s">
        <v>16</v>
      </c>
      <c r="C85" s="6" t="s">
        <v>12</v>
      </c>
      <c r="D85" s="7" t="s">
        <v>333</v>
      </c>
      <c r="E85" s="8" t="s">
        <v>334</v>
      </c>
      <c r="F85" s="6" t="s">
        <v>335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336</v>
      </c>
      <c r="B86" s="6" t="s">
        <v>65</v>
      </c>
      <c r="C86" s="6" t="s">
        <v>12</v>
      </c>
      <c r="D86" s="7" t="s">
        <v>207</v>
      </c>
      <c r="E86" s="8" t="s">
        <v>337</v>
      </c>
      <c r="F86" s="6" t="s">
        <v>338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339</v>
      </c>
      <c r="B87" s="6" t="s">
        <v>16</v>
      </c>
      <c r="C87" s="6" t="s">
        <v>12</v>
      </c>
      <c r="D87" s="7" t="s">
        <v>340</v>
      </c>
      <c r="E87" s="8" t="s">
        <v>341</v>
      </c>
      <c r="F87" s="6" t="s">
        <v>342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343</v>
      </c>
      <c r="B88" s="6" t="s">
        <v>16</v>
      </c>
      <c r="C88" s="6" t="s">
        <v>12</v>
      </c>
      <c r="D88" s="7" t="s">
        <v>344</v>
      </c>
      <c r="E88" s="8" t="s">
        <v>345</v>
      </c>
      <c r="F88" s="6" t="s">
        <v>346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347</v>
      </c>
      <c r="B89" s="6" t="s">
        <v>21</v>
      </c>
      <c r="C89" s="6" t="s">
        <v>12</v>
      </c>
      <c r="D89" s="7" t="s">
        <v>348</v>
      </c>
      <c r="E89" s="8" t="s">
        <v>349</v>
      </c>
      <c r="F89" s="6" t="s">
        <v>350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351</v>
      </c>
      <c r="B90" s="6" t="s">
        <v>16</v>
      </c>
      <c r="C90" s="6" t="s">
        <v>12</v>
      </c>
      <c r="D90" s="7" t="s">
        <v>352</v>
      </c>
      <c r="E90" s="8" t="s">
        <v>353</v>
      </c>
      <c r="F90" s="6" t="s">
        <v>354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355</v>
      </c>
      <c r="B91" s="6" t="s">
        <v>21</v>
      </c>
      <c r="C91" s="6" t="s">
        <v>12</v>
      </c>
      <c r="D91" s="7" t="s">
        <v>356</v>
      </c>
      <c r="E91" s="8" t="s">
        <v>357</v>
      </c>
      <c r="F91" s="6" t="s">
        <v>358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359</v>
      </c>
      <c r="B92" s="6" t="s">
        <v>16</v>
      </c>
      <c r="C92" s="6" t="s">
        <v>12</v>
      </c>
      <c r="D92" s="7" t="s">
        <v>62</v>
      </c>
      <c r="E92" s="8" t="s">
        <v>360</v>
      </c>
      <c r="F92" s="6" t="s">
        <v>361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362</v>
      </c>
      <c r="B93" s="6" t="s">
        <v>26</v>
      </c>
      <c r="C93" s="6" t="s">
        <v>12</v>
      </c>
      <c r="D93" s="7" t="s">
        <v>363</v>
      </c>
      <c r="E93" s="8" t="s">
        <v>364</v>
      </c>
      <c r="F93" s="6" t="s">
        <v>365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366</v>
      </c>
      <c r="B94" s="6" t="s">
        <v>26</v>
      </c>
      <c r="C94" s="6" t="s">
        <v>12</v>
      </c>
      <c r="D94" s="7" t="s">
        <v>367</v>
      </c>
      <c r="E94" s="8" t="s">
        <v>368</v>
      </c>
      <c r="F94" s="6" t="s">
        <v>369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370</v>
      </c>
      <c r="B95" s="6" t="s">
        <v>21</v>
      </c>
      <c r="C95" s="6" t="s">
        <v>12</v>
      </c>
      <c r="D95" s="7" t="s">
        <v>371</v>
      </c>
      <c r="E95" s="8" t="s">
        <v>372</v>
      </c>
      <c r="F95" s="6" t="s">
        <v>373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374</v>
      </c>
      <c r="B96" s="6" t="s">
        <v>21</v>
      </c>
      <c r="C96" s="6" t="s">
        <v>12</v>
      </c>
      <c r="D96" s="7" t="s">
        <v>375</v>
      </c>
      <c r="E96" s="8" t="s">
        <v>376</v>
      </c>
      <c r="F96" s="6" t="s">
        <v>377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378</v>
      </c>
      <c r="B97" s="6" t="s">
        <v>26</v>
      </c>
      <c r="C97" s="6" t="s">
        <v>12</v>
      </c>
      <c r="D97" s="7" t="s">
        <v>379</v>
      </c>
      <c r="E97" s="8" t="s">
        <v>380</v>
      </c>
      <c r="F97" s="6" t="s">
        <v>381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382</v>
      </c>
      <c r="B98" s="6" t="s">
        <v>21</v>
      </c>
      <c r="C98" s="6" t="s">
        <v>12</v>
      </c>
      <c r="D98" s="7" t="s">
        <v>383</v>
      </c>
      <c r="E98" s="8" t="s">
        <v>384</v>
      </c>
      <c r="F98" s="6" t="s">
        <v>385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386</v>
      </c>
      <c r="B99" s="6" t="s">
        <v>55</v>
      </c>
      <c r="C99" s="6" t="s">
        <v>12</v>
      </c>
      <c r="D99" s="7" t="s">
        <v>387</v>
      </c>
      <c r="E99" s="8" t="s">
        <v>388</v>
      </c>
      <c r="F99" s="6" t="s">
        <v>389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390</v>
      </c>
      <c r="B100" s="6" t="s">
        <v>10</v>
      </c>
      <c r="C100" s="6" t="s">
        <v>12</v>
      </c>
      <c r="D100" s="7" t="s">
        <v>391</v>
      </c>
      <c r="E100" s="8" t="s">
        <v>392</v>
      </c>
      <c r="F100" s="6" t="s">
        <v>393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394</v>
      </c>
      <c r="B101" s="6" t="s">
        <v>26</v>
      </c>
      <c r="C101" s="6" t="s">
        <v>12</v>
      </c>
      <c r="D101" s="7" t="s">
        <v>395</v>
      </c>
      <c r="E101" s="8" t="s">
        <v>396</v>
      </c>
      <c r="F101" s="6" t="s">
        <v>397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398</v>
      </c>
      <c r="B102" s="6" t="s">
        <v>40</v>
      </c>
      <c r="C102" s="6" t="s">
        <v>12</v>
      </c>
      <c r="D102" s="7" t="s">
        <v>399</v>
      </c>
      <c r="E102" s="8" t="s">
        <v>400</v>
      </c>
      <c r="F102" s="6" t="s">
        <v>401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402</v>
      </c>
      <c r="B103" s="6" t="s">
        <v>22</v>
      </c>
      <c r="C103" s="6" t="s">
        <v>12</v>
      </c>
      <c r="D103" s="7" t="s">
        <v>403</v>
      </c>
      <c r="E103" s="8" t="s">
        <v>404</v>
      </c>
      <c r="F103" s="6" t="s">
        <v>405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406</v>
      </c>
      <c r="B104" s="6" t="s">
        <v>21</v>
      </c>
      <c r="C104" s="6" t="s">
        <v>12</v>
      </c>
      <c r="D104" s="7" t="s">
        <v>407</v>
      </c>
      <c r="E104" s="8" t="s">
        <v>408</v>
      </c>
      <c r="F104" s="6" t="s">
        <v>409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410</v>
      </c>
      <c r="B105" s="6" t="s">
        <v>65</v>
      </c>
      <c r="C105" s="6" t="s">
        <v>12</v>
      </c>
      <c r="D105" s="7" t="s">
        <v>411</v>
      </c>
      <c r="E105" s="8" t="s">
        <v>412</v>
      </c>
      <c r="F105" s="6" t="s">
        <v>413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414</v>
      </c>
      <c r="B106" s="6" t="s">
        <v>30</v>
      </c>
      <c r="C106" s="6" t="s">
        <v>12</v>
      </c>
      <c r="D106" s="7" t="s">
        <v>415</v>
      </c>
      <c r="E106" s="8" t="s">
        <v>416</v>
      </c>
      <c r="F106" s="6" t="s">
        <v>417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418</v>
      </c>
      <c r="B107" s="6" t="s">
        <v>16</v>
      </c>
      <c r="C107" s="6" t="s">
        <v>12</v>
      </c>
      <c r="D107" s="7" t="s">
        <v>419</v>
      </c>
      <c r="E107" s="8" t="s">
        <v>420</v>
      </c>
      <c r="F107" s="6" t="s">
        <v>421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422</v>
      </c>
      <c r="B108" s="6" t="s">
        <v>16</v>
      </c>
      <c r="C108" s="6" t="s">
        <v>12</v>
      </c>
      <c r="D108" s="7" t="s">
        <v>340</v>
      </c>
      <c r="E108" s="8" t="s">
        <v>423</v>
      </c>
      <c r="F108" s="6" t="s">
        <v>424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425</v>
      </c>
      <c r="B109" s="6" t="s">
        <v>10</v>
      </c>
      <c r="C109" s="6" t="s">
        <v>12</v>
      </c>
      <c r="D109" s="7" t="s">
        <v>185</v>
      </c>
      <c r="E109" s="8" t="s">
        <v>426</v>
      </c>
      <c r="F109" s="6" t="s">
        <v>427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428</v>
      </c>
      <c r="B110" s="6" t="s">
        <v>30</v>
      </c>
      <c r="C110" s="6" t="s">
        <v>12</v>
      </c>
      <c r="D110" s="7" t="s">
        <v>429</v>
      </c>
      <c r="E110" s="8" t="s">
        <v>430</v>
      </c>
      <c r="F110" s="6" t="s">
        <v>431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432</v>
      </c>
      <c r="B111" s="6" t="s">
        <v>21</v>
      </c>
      <c r="C111" s="6" t="s">
        <v>12</v>
      </c>
      <c r="D111" s="7" t="s">
        <v>185</v>
      </c>
      <c r="E111" s="8" t="s">
        <v>433</v>
      </c>
      <c r="F111" s="6" t="s">
        <v>434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435</v>
      </c>
      <c r="B112" s="6" t="s">
        <v>58</v>
      </c>
      <c r="C112" s="6" t="s">
        <v>12</v>
      </c>
      <c r="D112" s="7" t="s">
        <v>436</v>
      </c>
      <c r="E112" s="8" t="s">
        <v>437</v>
      </c>
      <c r="F112" s="6" t="s">
        <v>438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439</v>
      </c>
      <c r="B113" s="6" t="s">
        <v>21</v>
      </c>
      <c r="C113" s="6" t="s">
        <v>12</v>
      </c>
      <c r="D113" s="7" t="s">
        <v>440</v>
      </c>
      <c r="E113" s="8" t="s">
        <v>441</v>
      </c>
      <c r="F113" s="6" t="s">
        <v>442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443</v>
      </c>
      <c r="B114" s="6" t="s">
        <v>16</v>
      </c>
      <c r="C114" s="6" t="s">
        <v>12</v>
      </c>
      <c r="D114" s="7" t="s">
        <v>444</v>
      </c>
      <c r="E114" s="8" t="s">
        <v>445</v>
      </c>
      <c r="F114" s="6" t="s">
        <v>446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447</v>
      </c>
      <c r="B115" s="6" t="s">
        <v>21</v>
      </c>
      <c r="C115" s="6" t="s">
        <v>12</v>
      </c>
      <c r="D115" s="7" t="s">
        <v>448</v>
      </c>
      <c r="E115" s="8" t="s">
        <v>449</v>
      </c>
      <c r="F115" s="6" t="s">
        <v>450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451</v>
      </c>
      <c r="B116" s="6" t="s">
        <v>58</v>
      </c>
      <c r="C116" s="6" t="s">
        <v>12</v>
      </c>
      <c r="D116" s="7" t="s">
        <v>452</v>
      </c>
      <c r="E116" s="8" t="s">
        <v>453</v>
      </c>
      <c r="F116" s="6" t="s">
        <v>454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455</v>
      </c>
      <c r="B117" s="6" t="s">
        <v>16</v>
      </c>
      <c r="C117" s="6" t="s">
        <v>12</v>
      </c>
      <c r="D117" s="7" t="s">
        <v>456</v>
      </c>
      <c r="E117" s="8" t="s">
        <v>457</v>
      </c>
      <c r="F117" s="6" t="s">
        <v>458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459</v>
      </c>
      <c r="B118" s="6" t="s">
        <v>40</v>
      </c>
      <c r="C118" s="6" t="s">
        <v>12</v>
      </c>
      <c r="D118" s="7" t="s">
        <v>460</v>
      </c>
      <c r="E118" s="8" t="s">
        <v>461</v>
      </c>
      <c r="F118" s="6" t="s">
        <v>462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463</v>
      </c>
      <c r="B119" s="6" t="s">
        <v>16</v>
      </c>
      <c r="C119" s="6" t="s">
        <v>12</v>
      </c>
      <c r="D119" s="7" t="s">
        <v>464</v>
      </c>
      <c r="E119" s="8" t="s">
        <v>465</v>
      </c>
      <c r="F119" s="6" t="s">
        <v>466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467</v>
      </c>
      <c r="B120" s="6" t="s">
        <v>30</v>
      </c>
      <c r="C120" s="6" t="s">
        <v>12</v>
      </c>
      <c r="D120" s="7" t="s">
        <v>464</v>
      </c>
      <c r="E120" s="8" t="s">
        <v>468</v>
      </c>
      <c r="F120" s="6" t="s">
        <v>469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470</v>
      </c>
      <c r="B121" s="6" t="s">
        <v>46</v>
      </c>
      <c r="C121" s="6" t="s">
        <v>12</v>
      </c>
      <c r="D121" s="7" t="s">
        <v>471</v>
      </c>
      <c r="E121" s="8" t="s">
        <v>472</v>
      </c>
      <c r="F121" s="6" t="s">
        <v>473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474</v>
      </c>
      <c r="B122" s="6" t="s">
        <v>41</v>
      </c>
      <c r="C122" s="6" t="s">
        <v>12</v>
      </c>
      <c r="D122" s="7" t="s">
        <v>475</v>
      </c>
      <c r="E122" s="8" t="s">
        <v>476</v>
      </c>
      <c r="F122" s="6" t="s">
        <v>477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478</v>
      </c>
      <c r="B123" s="6" t="s">
        <v>46</v>
      </c>
      <c r="C123" s="6" t="s">
        <v>12</v>
      </c>
      <c r="D123" s="7" t="s">
        <v>479</v>
      </c>
      <c r="E123" s="8" t="s">
        <v>480</v>
      </c>
      <c r="F123" s="6" t="s">
        <v>481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482</v>
      </c>
      <c r="B124" s="6" t="s">
        <v>10</v>
      </c>
      <c r="C124" s="6" t="s">
        <v>12</v>
      </c>
      <c r="D124" s="7" t="s">
        <v>483</v>
      </c>
      <c r="E124" s="8" t="s">
        <v>484</v>
      </c>
      <c r="F124" s="6" t="s">
        <v>485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486</v>
      </c>
      <c r="B125" s="6" t="s">
        <v>55</v>
      </c>
      <c r="C125" s="6" t="s">
        <v>12</v>
      </c>
      <c r="D125" s="7" t="s">
        <v>403</v>
      </c>
      <c r="E125" s="8" t="s">
        <v>487</v>
      </c>
      <c r="F125" s="6" t="s">
        <v>488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489</v>
      </c>
      <c r="B126" s="6" t="s">
        <v>16</v>
      </c>
      <c r="C126" s="6" t="s">
        <v>12</v>
      </c>
      <c r="D126" s="7" t="s">
        <v>490</v>
      </c>
      <c r="E126" s="8" t="s">
        <v>491</v>
      </c>
      <c r="F126" s="6" t="s">
        <v>492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493</v>
      </c>
      <c r="B127" s="6" t="s">
        <v>10</v>
      </c>
      <c r="C127" s="6" t="s">
        <v>12</v>
      </c>
      <c r="D127" s="7" t="s">
        <v>494</v>
      </c>
      <c r="E127" s="8" t="s">
        <v>495</v>
      </c>
      <c r="F127" s="6" t="s">
        <v>496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497</v>
      </c>
      <c r="B128" s="6" t="s">
        <v>16</v>
      </c>
      <c r="C128" s="6" t="s">
        <v>12</v>
      </c>
      <c r="D128" s="7" t="s">
        <v>498</v>
      </c>
      <c r="E128" s="8" t="s">
        <v>499</v>
      </c>
      <c r="F128" s="6" t="s">
        <v>500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501</v>
      </c>
      <c r="B129" s="6" t="s">
        <v>22</v>
      </c>
      <c r="C129" s="6" t="s">
        <v>12</v>
      </c>
      <c r="D129" s="7" t="s">
        <v>502</v>
      </c>
      <c r="E129" s="8" t="s">
        <v>503</v>
      </c>
      <c r="F129" s="6" t="s">
        <v>504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505</v>
      </c>
      <c r="B130" s="6" t="s">
        <v>16</v>
      </c>
      <c r="C130" s="6" t="s">
        <v>12</v>
      </c>
      <c r="D130" s="7" t="s">
        <v>506</v>
      </c>
      <c r="E130" s="8" t="s">
        <v>507</v>
      </c>
      <c r="F130" s="6" t="s">
        <v>508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509</v>
      </c>
      <c r="B131" s="6" t="s">
        <v>16</v>
      </c>
      <c r="C131" s="6" t="s">
        <v>510</v>
      </c>
      <c r="D131" s="7" t="s">
        <v>511</v>
      </c>
      <c r="E131" s="8" t="s">
        <v>512</v>
      </c>
      <c r="F131" s="6" t="s">
        <v>513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514</v>
      </c>
      <c r="B132" s="6" t="s">
        <v>26</v>
      </c>
      <c r="C132" s="6" t="s">
        <v>12</v>
      </c>
      <c r="D132" s="7" t="s">
        <v>511</v>
      </c>
      <c r="E132" s="8" t="s">
        <v>515</v>
      </c>
      <c r="F132" s="6" t="s">
        <v>516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517</v>
      </c>
      <c r="B133" s="6" t="s">
        <v>105</v>
      </c>
      <c r="C133" s="6" t="s">
        <v>12</v>
      </c>
      <c r="D133" s="7" t="s">
        <v>518</v>
      </c>
      <c r="E133" s="8" t="s">
        <v>519</v>
      </c>
      <c r="F133" s="6" t="s">
        <v>520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521</v>
      </c>
      <c r="B134" s="6" t="s">
        <v>16</v>
      </c>
      <c r="C134" s="6" t="s">
        <v>12</v>
      </c>
      <c r="D134" s="7" t="s">
        <v>367</v>
      </c>
      <c r="E134" s="8" t="s">
        <v>522</v>
      </c>
      <c r="F134" s="6" t="s">
        <v>523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524</v>
      </c>
      <c r="B135" s="6" t="s">
        <v>21</v>
      </c>
      <c r="C135" s="6" t="s">
        <v>12</v>
      </c>
      <c r="D135" s="7" t="s">
        <v>367</v>
      </c>
      <c r="E135" s="8" t="s">
        <v>525</v>
      </c>
      <c r="F135" s="6" t="s">
        <v>526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527</v>
      </c>
      <c r="B136" s="6" t="s">
        <v>82</v>
      </c>
      <c r="C136" s="6" t="s">
        <v>12</v>
      </c>
      <c r="D136" s="7" t="s">
        <v>528</v>
      </c>
      <c r="E136" s="8" t="s">
        <v>529</v>
      </c>
      <c r="F136" s="6" t="s">
        <v>530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531</v>
      </c>
      <c r="B137" s="6" t="s">
        <v>10</v>
      </c>
      <c r="C137" s="6" t="s">
        <v>12</v>
      </c>
      <c r="D137" s="7" t="s">
        <v>532</v>
      </c>
      <c r="E137" s="8" t="s">
        <v>533</v>
      </c>
      <c r="F137" s="6" t="s">
        <v>534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535</v>
      </c>
      <c r="B138" s="6" t="s">
        <v>16</v>
      </c>
      <c r="C138" s="6" t="s">
        <v>12</v>
      </c>
      <c r="D138" s="7" t="s">
        <v>59</v>
      </c>
      <c r="E138" s="8" t="s">
        <v>536</v>
      </c>
      <c r="F138" s="6" t="s">
        <v>537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538</v>
      </c>
      <c r="B139" s="6" t="s">
        <v>26</v>
      </c>
      <c r="C139" s="6" t="s">
        <v>12</v>
      </c>
      <c r="D139" s="7" t="s">
        <v>539</v>
      </c>
      <c r="E139" s="8" t="s">
        <v>540</v>
      </c>
      <c r="F139" s="6" t="s">
        <v>541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542</v>
      </c>
      <c r="B140" s="6" t="s">
        <v>11</v>
      </c>
      <c r="C140" s="6" t="s">
        <v>12</v>
      </c>
      <c r="D140" s="7" t="s">
        <v>543</v>
      </c>
      <c r="E140" s="8" t="s">
        <v>544</v>
      </c>
      <c r="F140" s="6" t="s">
        <v>545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546</v>
      </c>
      <c r="B141" s="6" t="s">
        <v>16</v>
      </c>
      <c r="C141" s="6" t="s">
        <v>12</v>
      </c>
      <c r="D141" s="7" t="s">
        <v>185</v>
      </c>
      <c r="E141" s="8" t="s">
        <v>547</v>
      </c>
      <c r="F141" s="6" t="s">
        <v>548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549</v>
      </c>
      <c r="B142" s="6" t="s">
        <v>17</v>
      </c>
      <c r="C142" s="6" t="s">
        <v>12</v>
      </c>
      <c r="D142" s="7" t="s">
        <v>550</v>
      </c>
      <c r="E142" s="8" t="s">
        <v>551</v>
      </c>
      <c r="F142" s="6" t="s">
        <v>552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553</v>
      </c>
      <c r="B143" s="6" t="s">
        <v>26</v>
      </c>
      <c r="C143" s="6" t="s">
        <v>12</v>
      </c>
      <c r="D143" s="7" t="s">
        <v>554</v>
      </c>
      <c r="E143" s="8" t="s">
        <v>555</v>
      </c>
      <c r="F143" s="6" t="s">
        <v>556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557</v>
      </c>
      <c r="B144" s="6" t="s">
        <v>41</v>
      </c>
      <c r="C144" s="6" t="s">
        <v>12</v>
      </c>
      <c r="D144" s="7" t="s">
        <v>375</v>
      </c>
      <c r="E144" s="8" t="s">
        <v>558</v>
      </c>
      <c r="F144" s="6" t="s">
        <v>559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560</v>
      </c>
      <c r="B145" s="6" t="s">
        <v>22</v>
      </c>
      <c r="C145" s="6" t="s">
        <v>12</v>
      </c>
      <c r="D145" s="7" t="s">
        <v>561</v>
      </c>
      <c r="E145" s="8" t="s">
        <v>562</v>
      </c>
      <c r="F145" s="6" t="s">
        <v>563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564</v>
      </c>
      <c r="B146" s="6" t="s">
        <v>16</v>
      </c>
      <c r="C146" s="6" t="s">
        <v>12</v>
      </c>
      <c r="D146" s="7" t="s">
        <v>565</v>
      </c>
      <c r="E146" s="8" t="s">
        <v>566</v>
      </c>
      <c r="F146" s="6" t="s">
        <v>567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568</v>
      </c>
      <c r="B147" s="6" t="s">
        <v>21</v>
      </c>
      <c r="C147" s="6" t="s">
        <v>12</v>
      </c>
      <c r="D147" s="7" t="s">
        <v>569</v>
      </c>
      <c r="E147" s="8" t="s">
        <v>570</v>
      </c>
      <c r="F147" s="6" t="s">
        <v>571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572</v>
      </c>
      <c r="B148" s="6" t="s">
        <v>58</v>
      </c>
      <c r="C148" s="6" t="s">
        <v>12</v>
      </c>
      <c r="D148" s="7" t="s">
        <v>573</v>
      </c>
      <c r="E148" s="8" t="s">
        <v>574</v>
      </c>
      <c r="F148" s="6" t="s">
        <v>575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576</v>
      </c>
      <c r="B149" s="6" t="s">
        <v>16</v>
      </c>
      <c r="C149" s="6" t="s">
        <v>12</v>
      </c>
      <c r="D149" s="7" t="s">
        <v>577</v>
      </c>
      <c r="E149" s="8" t="s">
        <v>578</v>
      </c>
      <c r="F149" s="6" t="s">
        <v>579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580</v>
      </c>
      <c r="B150" s="6" t="s">
        <v>10</v>
      </c>
      <c r="C150" s="6" t="s">
        <v>12</v>
      </c>
      <c r="D150" s="7" t="s">
        <v>581</v>
      </c>
      <c r="E150" s="8" t="s">
        <v>582</v>
      </c>
      <c r="F150" s="6" t="s">
        <v>583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584</v>
      </c>
      <c r="B151" s="6" t="s">
        <v>74</v>
      </c>
      <c r="C151" s="6" t="s">
        <v>12</v>
      </c>
      <c r="D151" s="7" t="s">
        <v>47</v>
      </c>
      <c r="E151" s="8" t="s">
        <v>585</v>
      </c>
      <c r="F151" s="6" t="s">
        <v>586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587</v>
      </c>
      <c r="B152" s="6" t="s">
        <v>78</v>
      </c>
      <c r="C152" s="6" t="s">
        <v>12</v>
      </c>
      <c r="D152" s="7" t="s">
        <v>588</v>
      </c>
      <c r="E152" s="8" t="s">
        <v>589</v>
      </c>
      <c r="F152" s="6" t="s">
        <v>590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591</v>
      </c>
      <c r="B153" s="6" t="s">
        <v>26</v>
      </c>
      <c r="C153" s="6" t="s">
        <v>12</v>
      </c>
      <c r="D153" s="7" t="s">
        <v>592</v>
      </c>
      <c r="E153" s="8" t="s">
        <v>593</v>
      </c>
      <c r="F153" s="6" t="s">
        <v>594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595</v>
      </c>
      <c r="B154" s="6" t="s">
        <v>16</v>
      </c>
      <c r="C154" s="6" t="s">
        <v>12</v>
      </c>
      <c r="D154" s="7" t="s">
        <v>126</v>
      </c>
      <c r="E154" s="8" t="s">
        <v>596</v>
      </c>
      <c r="F154" s="6" t="s">
        <v>597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598</v>
      </c>
      <c r="B155" s="6" t="s">
        <v>16</v>
      </c>
      <c r="C155" s="6" t="s">
        <v>12</v>
      </c>
      <c r="D155" s="7" t="s">
        <v>599</v>
      </c>
      <c r="E155" s="8" t="s">
        <v>600</v>
      </c>
      <c r="F155" s="6" t="s">
        <v>601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602</v>
      </c>
      <c r="B156" s="6" t="s">
        <v>10</v>
      </c>
      <c r="C156" s="6" t="s">
        <v>12</v>
      </c>
      <c r="D156" s="7" t="s">
        <v>603</v>
      </c>
      <c r="E156" s="8" t="s">
        <v>604</v>
      </c>
      <c r="F156" s="6" t="s">
        <v>605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606</v>
      </c>
      <c r="B157" s="6" t="s">
        <v>21</v>
      </c>
      <c r="C157" s="6" t="s">
        <v>12</v>
      </c>
      <c r="D157" s="7" t="s">
        <v>192</v>
      </c>
      <c r="E157" s="8" t="s">
        <v>607</v>
      </c>
      <c r="F157" s="6" t="s">
        <v>608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609</v>
      </c>
      <c r="B158" s="6" t="s">
        <v>30</v>
      </c>
      <c r="C158" s="6" t="s">
        <v>12</v>
      </c>
      <c r="D158" s="7" t="s">
        <v>610</v>
      </c>
      <c r="E158" s="8" t="s">
        <v>611</v>
      </c>
      <c r="F158" s="6" t="s">
        <v>612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613</v>
      </c>
      <c r="B159" s="6" t="s">
        <v>55</v>
      </c>
      <c r="C159" s="6" t="s">
        <v>12</v>
      </c>
      <c r="D159" s="7" t="s">
        <v>614</v>
      </c>
      <c r="E159" s="8" t="s">
        <v>615</v>
      </c>
      <c r="F159" s="6" t="s">
        <v>616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617</v>
      </c>
      <c r="B160" s="6" t="s">
        <v>10</v>
      </c>
      <c r="C160" s="6" t="s">
        <v>12</v>
      </c>
      <c r="D160" s="7" t="s">
        <v>618</v>
      </c>
      <c r="E160" s="8" t="s">
        <v>619</v>
      </c>
      <c r="F160" s="6" t="s">
        <v>620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621</v>
      </c>
      <c r="B161" s="6" t="s">
        <v>109</v>
      </c>
      <c r="C161" s="6" t="s">
        <v>12</v>
      </c>
      <c r="D161" s="7" t="s">
        <v>67</v>
      </c>
      <c r="E161" s="8" t="s">
        <v>622</v>
      </c>
      <c r="F161" s="6" t="s">
        <v>623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624</v>
      </c>
      <c r="B162" s="6" t="s">
        <v>21</v>
      </c>
      <c r="C162" s="6" t="s">
        <v>12</v>
      </c>
      <c r="D162" s="7" t="s">
        <v>59</v>
      </c>
      <c r="E162" s="8" t="s">
        <v>625</v>
      </c>
      <c r="F162" s="6" t="s">
        <v>626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627</v>
      </c>
      <c r="B163" s="6" t="s">
        <v>16</v>
      </c>
      <c r="C163" s="6" t="s">
        <v>12</v>
      </c>
      <c r="D163" s="7" t="s">
        <v>628</v>
      </c>
      <c r="E163" s="8" t="s">
        <v>629</v>
      </c>
      <c r="F163" s="6" t="s">
        <v>630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631</v>
      </c>
      <c r="B164" s="6" t="s">
        <v>21</v>
      </c>
      <c r="C164" s="6" t="s">
        <v>12</v>
      </c>
      <c r="D164" s="7" t="s">
        <v>632</v>
      </c>
      <c r="E164" s="8" t="s">
        <v>633</v>
      </c>
      <c r="F164" s="6" t="s">
        <v>634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635</v>
      </c>
      <c r="B165" s="6" t="s">
        <v>16</v>
      </c>
      <c r="C165" s="6" t="s">
        <v>12</v>
      </c>
      <c r="D165" s="7" t="s">
        <v>636</v>
      </c>
      <c r="E165" s="8" t="s">
        <v>637</v>
      </c>
      <c r="F165" s="6" t="s">
        <v>638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639</v>
      </c>
      <c r="B166" s="6" t="s">
        <v>21</v>
      </c>
      <c r="C166" s="6" t="s">
        <v>12</v>
      </c>
      <c r="D166" s="7" t="s">
        <v>75</v>
      </c>
      <c r="E166" s="8" t="s">
        <v>640</v>
      </c>
      <c r="F166" s="6" t="s">
        <v>641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642</v>
      </c>
      <c r="B167" s="6" t="s">
        <v>21</v>
      </c>
      <c r="C167" s="6" t="s">
        <v>12</v>
      </c>
      <c r="D167" s="7" t="s">
        <v>643</v>
      </c>
      <c r="E167" s="8" t="s">
        <v>644</v>
      </c>
      <c r="F167" s="6" t="s">
        <v>645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646</v>
      </c>
      <c r="B168" s="6" t="s">
        <v>16</v>
      </c>
      <c r="C168" s="6" t="s">
        <v>12</v>
      </c>
      <c r="D168" s="7" t="s">
        <v>647</v>
      </c>
      <c r="E168" s="8" t="s">
        <v>648</v>
      </c>
      <c r="F168" s="6" t="s">
        <v>649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650</v>
      </c>
      <c r="B169" s="6" t="s">
        <v>30</v>
      </c>
      <c r="C169" s="6" t="s">
        <v>12</v>
      </c>
      <c r="D169" s="7" t="s">
        <v>47</v>
      </c>
      <c r="E169" s="8" t="s">
        <v>651</v>
      </c>
      <c r="F169" s="6" t="s">
        <v>652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653</v>
      </c>
      <c r="B170" s="6" t="s">
        <v>21</v>
      </c>
      <c r="C170" s="6" t="s">
        <v>12</v>
      </c>
      <c r="D170" s="7" t="s">
        <v>654</v>
      </c>
      <c r="E170" s="8" t="s">
        <v>655</v>
      </c>
      <c r="F170" s="6" t="s">
        <v>656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657</v>
      </c>
      <c r="B171" s="6" t="s">
        <v>22</v>
      </c>
      <c r="C171" s="6" t="s">
        <v>12</v>
      </c>
      <c r="D171" s="7" t="s">
        <v>658</v>
      </c>
      <c r="E171" s="8" t="s">
        <v>659</v>
      </c>
      <c r="F171" s="6" t="s">
        <v>660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661</v>
      </c>
      <c r="B172" s="6" t="s">
        <v>21</v>
      </c>
      <c r="C172" s="6" t="s">
        <v>12</v>
      </c>
      <c r="D172" s="7" t="s">
        <v>219</v>
      </c>
      <c r="E172" s="8" t="s">
        <v>662</v>
      </c>
      <c r="F172" s="6" t="s">
        <v>663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664</v>
      </c>
      <c r="B173" s="6" t="s">
        <v>22</v>
      </c>
      <c r="C173" s="6" t="s">
        <v>12</v>
      </c>
      <c r="D173" s="7" t="s">
        <v>219</v>
      </c>
      <c r="E173" s="8" t="s">
        <v>665</v>
      </c>
      <c r="F173" s="6" t="s">
        <v>666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667</v>
      </c>
      <c r="B174" s="6" t="s">
        <v>16</v>
      </c>
      <c r="C174" s="6" t="s">
        <v>12</v>
      </c>
      <c r="D174" s="7" t="s">
        <v>668</v>
      </c>
      <c r="E174" s="8" t="s">
        <v>669</v>
      </c>
      <c r="F174" s="6" t="s">
        <v>670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671</v>
      </c>
      <c r="B175" s="6" t="s">
        <v>30</v>
      </c>
      <c r="C175" s="6" t="s">
        <v>12</v>
      </c>
      <c r="D175" s="7" t="s">
        <v>219</v>
      </c>
      <c r="E175" s="8" t="s">
        <v>672</v>
      </c>
      <c r="F175" s="6" t="s">
        <v>673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674</v>
      </c>
      <c r="B176" s="6" t="s">
        <v>26</v>
      </c>
      <c r="C176" s="6" t="s">
        <v>12</v>
      </c>
      <c r="D176" s="7" t="s">
        <v>658</v>
      </c>
      <c r="E176" s="8" t="s">
        <v>675</v>
      </c>
      <c r="F176" s="6" t="s">
        <v>676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677</v>
      </c>
      <c r="B177" s="6" t="s">
        <v>10</v>
      </c>
      <c r="C177" s="6" t="s">
        <v>12</v>
      </c>
      <c r="D177" s="7" t="s">
        <v>678</v>
      </c>
      <c r="E177" s="8" t="s">
        <v>679</v>
      </c>
      <c r="F177" s="6" t="s">
        <v>680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681</v>
      </c>
      <c r="B178" s="6" t="s">
        <v>10</v>
      </c>
      <c r="C178" s="6" t="s">
        <v>12</v>
      </c>
      <c r="D178" s="7" t="s">
        <v>219</v>
      </c>
      <c r="E178" s="8" t="s">
        <v>682</v>
      </c>
      <c r="F178" s="6" t="s">
        <v>683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684</v>
      </c>
      <c r="B179" s="6" t="s">
        <v>16</v>
      </c>
      <c r="C179" s="6" t="s">
        <v>12</v>
      </c>
      <c r="D179" s="7" t="s">
        <v>219</v>
      </c>
      <c r="E179" s="8" t="s">
        <v>685</v>
      </c>
      <c r="F179" s="6" t="s">
        <v>686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687</v>
      </c>
      <c r="B180" s="6" t="s">
        <v>21</v>
      </c>
      <c r="C180" s="6" t="s">
        <v>12</v>
      </c>
      <c r="D180" s="7" t="s">
        <v>688</v>
      </c>
      <c r="E180" s="8" t="s">
        <v>689</v>
      </c>
      <c r="F180" s="6" t="s">
        <v>690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691</v>
      </c>
      <c r="B181" s="6" t="s">
        <v>16</v>
      </c>
      <c r="C181" s="6" t="s">
        <v>12</v>
      </c>
      <c r="D181" s="7" t="s">
        <v>688</v>
      </c>
      <c r="E181" s="8" t="s">
        <v>692</v>
      </c>
      <c r="F181" s="6" t="s">
        <v>693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694</v>
      </c>
      <c r="B182" s="6" t="s">
        <v>21</v>
      </c>
      <c r="C182" s="6" t="s">
        <v>12</v>
      </c>
      <c r="D182" s="7" t="s">
        <v>506</v>
      </c>
      <c r="E182" s="8" t="s">
        <v>695</v>
      </c>
      <c r="F182" s="6" t="s">
        <v>696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697</v>
      </c>
      <c r="B183" s="6" t="s">
        <v>11</v>
      </c>
      <c r="C183" s="6" t="s">
        <v>12</v>
      </c>
      <c r="D183" s="7" t="s">
        <v>169</v>
      </c>
      <c r="E183" s="8" t="s">
        <v>698</v>
      </c>
      <c r="F183" s="6" t="s">
        <v>699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700</v>
      </c>
      <c r="B184" s="6" t="s">
        <v>21</v>
      </c>
      <c r="C184" s="6" t="s">
        <v>12</v>
      </c>
      <c r="D184" s="7" t="s">
        <v>701</v>
      </c>
      <c r="E184" s="8" t="s">
        <v>702</v>
      </c>
      <c r="F184" s="6" t="s">
        <v>703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704</v>
      </c>
      <c r="B185" s="6" t="s">
        <v>16</v>
      </c>
      <c r="C185" s="6" t="s">
        <v>12</v>
      </c>
      <c r="D185" s="7" t="s">
        <v>47</v>
      </c>
      <c r="E185" s="8" t="s">
        <v>705</v>
      </c>
      <c r="F185" s="6" t="s">
        <v>706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707</v>
      </c>
      <c r="B186" s="6" t="s">
        <v>16</v>
      </c>
      <c r="C186" s="6" t="s">
        <v>12</v>
      </c>
      <c r="D186" s="7" t="s">
        <v>701</v>
      </c>
      <c r="E186" s="8" t="s">
        <v>708</v>
      </c>
      <c r="F186" s="6" t="s">
        <v>709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710</v>
      </c>
      <c r="B187" s="6" t="s">
        <v>22</v>
      </c>
      <c r="C187" s="6" t="s">
        <v>12</v>
      </c>
      <c r="D187" s="7" t="s">
        <v>711</v>
      </c>
      <c r="E187" s="8" t="s">
        <v>712</v>
      </c>
      <c r="F187" s="6" t="s">
        <v>713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714</v>
      </c>
      <c r="B188" s="6" t="s">
        <v>22</v>
      </c>
      <c r="C188" s="6" t="s">
        <v>12</v>
      </c>
      <c r="D188" s="7" t="s">
        <v>47</v>
      </c>
      <c r="E188" s="8" t="s">
        <v>715</v>
      </c>
      <c r="F188" s="6" t="s">
        <v>716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717</v>
      </c>
      <c r="B189" s="6" t="s">
        <v>16</v>
      </c>
      <c r="C189" s="6" t="s">
        <v>12</v>
      </c>
      <c r="D189" s="7" t="s">
        <v>192</v>
      </c>
      <c r="E189" s="8" t="s">
        <v>718</v>
      </c>
      <c r="F189" s="6" t="s">
        <v>719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720</v>
      </c>
      <c r="B190" s="6" t="s">
        <v>46</v>
      </c>
      <c r="C190" s="6" t="s">
        <v>12</v>
      </c>
      <c r="D190" s="7" t="s">
        <v>721</v>
      </c>
      <c r="E190" s="8" t="s">
        <v>722</v>
      </c>
      <c r="F190" s="6" t="s">
        <v>723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724</v>
      </c>
      <c r="B191" s="6" t="s">
        <v>26</v>
      </c>
      <c r="C191" s="6" t="s">
        <v>12</v>
      </c>
      <c r="D191" s="7" t="s">
        <v>185</v>
      </c>
      <c r="E191" s="8" t="s">
        <v>725</v>
      </c>
      <c r="F191" s="6" t="s">
        <v>726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727</v>
      </c>
      <c r="B192" s="6" t="s">
        <v>86</v>
      </c>
      <c r="C192" s="6" t="s">
        <v>12</v>
      </c>
      <c r="D192" s="7" t="s">
        <v>728</v>
      </c>
      <c r="E192" s="8" t="s">
        <v>729</v>
      </c>
      <c r="F192" s="6" t="s">
        <v>730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731</v>
      </c>
      <c r="B193" s="6" t="s">
        <v>16</v>
      </c>
      <c r="C193" s="6" t="s">
        <v>12</v>
      </c>
      <c r="D193" s="7" t="s">
        <v>456</v>
      </c>
      <c r="E193" s="8" t="s">
        <v>732</v>
      </c>
      <c r="F193" s="6" t="s">
        <v>733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734</v>
      </c>
      <c r="B194" s="6" t="s">
        <v>16</v>
      </c>
      <c r="C194" s="6" t="s">
        <v>12</v>
      </c>
      <c r="D194" s="7" t="s">
        <v>735</v>
      </c>
      <c r="E194" s="8" t="s">
        <v>736</v>
      </c>
      <c r="F194" s="6" t="s">
        <v>737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738</v>
      </c>
      <c r="B195" s="6" t="s">
        <v>30</v>
      </c>
      <c r="C195" s="6" t="s">
        <v>12</v>
      </c>
      <c r="D195" s="7" t="s">
        <v>47</v>
      </c>
      <c r="E195" s="8" t="s">
        <v>739</v>
      </c>
      <c r="F195" s="6" t="s">
        <v>740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741</v>
      </c>
      <c r="B196" s="6" t="s">
        <v>16</v>
      </c>
      <c r="C196" s="6" t="s">
        <v>12</v>
      </c>
      <c r="D196" s="7" t="s">
        <v>340</v>
      </c>
      <c r="E196" s="8" t="s">
        <v>742</v>
      </c>
      <c r="F196" s="6" t="s">
        <v>743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744</v>
      </c>
      <c r="B197" s="6" t="s">
        <v>21</v>
      </c>
      <c r="C197" s="6" t="s">
        <v>12</v>
      </c>
      <c r="D197" s="7" t="s">
        <v>192</v>
      </c>
      <c r="E197" s="8" t="s">
        <v>745</v>
      </c>
      <c r="F197" s="6" t="s">
        <v>746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747</v>
      </c>
      <c r="B198" s="6" t="s">
        <v>30</v>
      </c>
      <c r="C198" s="6" t="s">
        <v>66</v>
      </c>
      <c r="D198" s="7" t="s">
        <v>518</v>
      </c>
      <c r="E198" s="8" t="s">
        <v>748</v>
      </c>
      <c r="F198" s="6" t="s">
        <v>749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750</v>
      </c>
      <c r="B199" s="6" t="s">
        <v>26</v>
      </c>
      <c r="C199" s="6" t="s">
        <v>12</v>
      </c>
      <c r="D199" s="7" t="s">
        <v>751</v>
      </c>
      <c r="E199" s="8" t="s">
        <v>752</v>
      </c>
      <c r="F199" s="6" t="s">
        <v>753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754</v>
      </c>
      <c r="B200" s="6" t="s">
        <v>21</v>
      </c>
      <c r="C200" s="6" t="s">
        <v>12</v>
      </c>
      <c r="D200" s="7" t="s">
        <v>75</v>
      </c>
      <c r="E200" s="8" t="s">
        <v>755</v>
      </c>
      <c r="F200" s="6" t="s">
        <v>756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757</v>
      </c>
      <c r="B201" s="6" t="s">
        <v>45</v>
      </c>
      <c r="C201" s="6" t="s">
        <v>12</v>
      </c>
      <c r="D201" s="7" t="s">
        <v>758</v>
      </c>
      <c r="E201" s="8" t="s">
        <v>759</v>
      </c>
      <c r="F201" s="6" t="s">
        <v>760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761</v>
      </c>
      <c r="B202" s="6" t="s">
        <v>16</v>
      </c>
      <c r="C202" s="6" t="s">
        <v>12</v>
      </c>
      <c r="D202" s="7" t="s">
        <v>126</v>
      </c>
      <c r="E202" s="8" t="s">
        <v>762</v>
      </c>
      <c r="F202" s="6" t="s">
        <v>763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764</v>
      </c>
      <c r="B203" s="6" t="s">
        <v>17</v>
      </c>
      <c r="C203" s="6" t="s">
        <v>12</v>
      </c>
      <c r="D203" s="7" t="s">
        <v>765</v>
      </c>
      <c r="E203" s="8" t="s">
        <v>766</v>
      </c>
      <c r="F203" s="6" t="s">
        <v>767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768</v>
      </c>
      <c r="B204" s="6" t="s">
        <v>41</v>
      </c>
      <c r="C204" s="6" t="s">
        <v>12</v>
      </c>
      <c r="D204" s="7" t="s">
        <v>511</v>
      </c>
      <c r="E204" s="8" t="s">
        <v>769</v>
      </c>
      <c r="F204" s="6" t="s">
        <v>770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771</v>
      </c>
      <c r="B205" s="6" t="s">
        <v>30</v>
      </c>
      <c r="C205" s="6" t="s">
        <v>12</v>
      </c>
      <c r="D205" s="7" t="s">
        <v>592</v>
      </c>
      <c r="E205" s="8" t="s">
        <v>772</v>
      </c>
      <c r="F205" s="6" t="s">
        <v>773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774</v>
      </c>
      <c r="B206" s="6" t="s">
        <v>10</v>
      </c>
      <c r="C206" s="6" t="s">
        <v>12</v>
      </c>
      <c r="D206" s="7" t="s">
        <v>775</v>
      </c>
      <c r="E206" s="8" t="s">
        <v>776</v>
      </c>
      <c r="F206" s="6" t="s">
        <v>777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9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778</v>
      </c>
      <c r="B1" s="13" t="s">
        <v>779</v>
      </c>
      <c r="C1" s="13" t="s">
        <v>780</v>
      </c>
      <c r="D1" s="13" t="s">
        <v>781</v>
      </c>
      <c r="E1" s="14" t="s">
        <v>782</v>
      </c>
      <c r="F1" s="15" t="s">
        <v>783</v>
      </c>
      <c r="G1" s="16" t="s">
        <v>784</v>
      </c>
      <c r="H1" s="17" t="s">
        <v>785</v>
      </c>
      <c r="I1" s="18" t="s">
        <v>786</v>
      </c>
      <c r="J1" s="18" t="s">
        <v>787</v>
      </c>
      <c r="K1" s="18" t="s">
        <v>788</v>
      </c>
      <c r="L1" s="19" t="s">
        <v>9</v>
      </c>
    </row>
    <row r="2" spans="1:12">
      <c r="A2" s="20" t="s">
        <v>789</v>
      </c>
    </row>
    <row r="3" spans="1:12">
      <c r="A3" s="20" t="s">
        <v>790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791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792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793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794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795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796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797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798</v>
      </c>
      <c r="B11" s="27" t="s">
        <v>799</v>
      </c>
      <c r="C11" s="27" t="s">
        <v>800</v>
      </c>
      <c r="D11" s="27" t="s">
        <v>801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802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803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/>
    </row>
    <row r="16" spans="1:12">
      <c r="A16" s="20" t="s">
        <v>804</v>
      </c>
    </row>
    <row r="17" spans="1:12">
      <c r="A17" s="20" t="s">
        <v>805</v>
      </c>
      <c r="B17" s="27" t="s">
        <v>799</v>
      </c>
      <c r="C17" s="27" t="s">
        <v>800</v>
      </c>
      <c r="D17" s="27" t="s">
        <v>801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806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795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807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795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808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809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795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810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811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812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793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813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803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/>
    </row>
    <row r="33" spans="1:12">
      <c r="A33" s="20" t="s">
        <v>814</v>
      </c>
    </row>
    <row r="34" spans="1:12">
      <c r="A34" s="20" t="s">
        <v>815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795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325</v>
      </c>
      <c r="B36" s="27" t="s">
        <v>799</v>
      </c>
      <c r="C36" s="27" t="s">
        <v>816</v>
      </c>
      <c r="D36" s="27" t="s">
        <v>801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817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818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819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795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817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818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820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795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821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822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817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823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824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795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825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826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827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828</v>
      </c>
      <c r="B54" s="27" t="s">
        <v>829</v>
      </c>
      <c r="C54" s="27" t="s">
        <v>816</v>
      </c>
      <c r="D54" s="27" t="s">
        <v>801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830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817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831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822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827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832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833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803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834</v>
      </c>
    </row>
    <row r="65" spans="1:12">
      <c r="A65" s="20" t="s">
        <v>805</v>
      </c>
      <c r="B65" s="27" t="s">
        <v>799</v>
      </c>
      <c r="C65" s="27" t="s">
        <v>800</v>
      </c>
      <c r="D65" s="27" t="s">
        <v>801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835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836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837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838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839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837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840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841</v>
      </c>
      <c r="B73" s="27" t="s">
        <v>842</v>
      </c>
      <c r="C73" s="27" t="s">
        <v>843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795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844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845</v>
      </c>
      <c r="B76" s="27" t="s">
        <v>846</v>
      </c>
      <c r="C76" s="27" t="s">
        <v>816</v>
      </c>
      <c r="D76" s="27" t="s">
        <v>801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835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847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848</v>
      </c>
      <c r="B79" s="27" t="s">
        <v>849</v>
      </c>
      <c r="C79" s="27" t="s">
        <v>843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803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/>
    </row>
    <row r="82" spans="1:12">
      <c r="A82" s="20" t="s">
        <v>850</v>
      </c>
    </row>
    <row r="83" spans="1:12">
      <c r="A83" s="20" t="s">
        <v>851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852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853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854</v>
      </c>
      <c r="B86" s="27" t="s">
        <v>799</v>
      </c>
      <c r="C86" s="27" t="s">
        <v>855</v>
      </c>
      <c r="D86" s="27" t="s">
        <v>801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856</v>
      </c>
      <c r="B87" s="27" t="s">
        <v>857</v>
      </c>
      <c r="C87" s="27" t="s">
        <v>858</v>
      </c>
      <c r="D87" s="27" t="s">
        <v>801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859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860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861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862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863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864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827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865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866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803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867</v>
      </c>
    </row>
    <row r="100" spans="1:12">
      <c r="A100" s="20" t="s">
        <v>868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869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870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871</v>
      </c>
      <c r="B103" s="27" t="s">
        <v>842</v>
      </c>
      <c r="C103" s="27" t="s">
        <v>855</v>
      </c>
      <c r="D103" s="27" t="s">
        <v>801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837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872</v>
      </c>
      <c r="B105" s="27" t="s">
        <v>842</v>
      </c>
      <c r="C105" s="27" t="s">
        <v>800</v>
      </c>
      <c r="D105" s="27" t="s">
        <v>801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795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822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873</v>
      </c>
      <c r="B108" s="27" t="s">
        <v>874</v>
      </c>
      <c r="C108" s="27" t="s">
        <v>816</v>
      </c>
      <c r="D108" s="27" t="s">
        <v>801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875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793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876</v>
      </c>
      <c r="B111" s="27" t="s">
        <v>846</v>
      </c>
      <c r="C111" s="27" t="s">
        <v>800</v>
      </c>
      <c r="D111" s="27" t="s">
        <v>801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795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877</v>
      </c>
      <c r="B113" s="27" t="s">
        <v>878</v>
      </c>
      <c r="C113" s="27" t="s">
        <v>879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835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827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880</v>
      </c>
      <c r="B116" s="27" t="s">
        <v>829</v>
      </c>
      <c r="C116" s="27" t="s">
        <v>800</v>
      </c>
      <c r="D116" s="27" t="s">
        <v>801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795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877</v>
      </c>
      <c r="B118" s="27" t="s">
        <v>881</v>
      </c>
      <c r="C118" s="27" t="s">
        <v>879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882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883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/>
    </row>
    <row r="122" spans="1:12">
      <c r="A122" s="20" t="s">
        <v>884</v>
      </c>
    </row>
    <row r="123" spans="1:12">
      <c r="A123" s="20" t="s">
        <v>885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886</v>
      </c>
      <c r="B124" s="27" t="s">
        <v>799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887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837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888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883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889</v>
      </c>
    </row>
    <row r="131" spans="1:12">
      <c r="A131" s="20" t="s">
        <v>890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845</v>
      </c>
      <c r="B132" s="27" t="s">
        <v>891</v>
      </c>
      <c r="C132" s="27" t="s">
        <v>816</v>
      </c>
      <c r="D132" s="27" t="s">
        <v>801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835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892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893</v>
      </c>
      <c r="B135" s="27" t="s">
        <v>849</v>
      </c>
      <c r="C135" s="27" t="s">
        <v>843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795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873</v>
      </c>
      <c r="B137" s="27" t="s">
        <v>799</v>
      </c>
      <c r="C137" s="27" t="s">
        <v>816</v>
      </c>
      <c r="D137" s="27" t="s">
        <v>801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894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895</v>
      </c>
      <c r="B139" s="27" t="s">
        <v>857</v>
      </c>
      <c r="C139" s="27" t="s">
        <v>896</v>
      </c>
      <c r="D139" s="27" t="s">
        <v>801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897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825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898</v>
      </c>
      <c r="B142" s="27" t="s">
        <v>846</v>
      </c>
      <c r="C142" s="27" t="s">
        <v>896</v>
      </c>
      <c r="D142" s="27" t="s">
        <v>801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899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900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837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901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902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803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903</v>
      </c>
    </row>
    <row r="151" spans="1:12">
      <c r="A151" s="20" t="s">
        <v>904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876</v>
      </c>
      <c r="B152" s="27" t="s">
        <v>842</v>
      </c>
      <c r="C152" s="27" t="s">
        <v>800</v>
      </c>
      <c r="D152" s="27" t="s">
        <v>801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795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822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905</v>
      </c>
      <c r="B155" s="27" t="s">
        <v>874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906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907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795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908</v>
      </c>
      <c r="B159" s="27" t="s">
        <v>799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909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795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877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910</v>
      </c>
      <c r="B163" s="27" t="s">
        <v>849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911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912</v>
      </c>
      <c r="B165" s="27" t="s">
        <v>846</v>
      </c>
      <c r="C165" s="27" t="s">
        <v>816</v>
      </c>
      <c r="D165" s="27" t="s">
        <v>801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913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914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894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915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863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916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917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803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/>
    </row>
    <row r="175" spans="1:12">
      <c r="A175" s="20" t="s">
        <v>918</v>
      </c>
    </row>
    <row r="176" spans="1:12">
      <c r="A176" s="20" t="s">
        <v>919</v>
      </c>
      <c r="B176" s="27" t="s">
        <v>857</v>
      </c>
      <c r="C176" s="27" t="s">
        <v>896</v>
      </c>
      <c r="D176" s="27" t="s">
        <v>801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920</v>
      </c>
      <c r="B177" s="27" t="s">
        <v>921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922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923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924</v>
      </c>
      <c r="B180" s="27" t="s">
        <v>799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795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925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845</v>
      </c>
      <c r="B183" s="27" t="s">
        <v>891</v>
      </c>
      <c r="C183" s="27" t="s">
        <v>816</v>
      </c>
      <c r="D183" s="27" t="s">
        <v>801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797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926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803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927</v>
      </c>
    </row>
    <row r="189" spans="1:12">
      <c r="A189" s="20" t="s">
        <v>928</v>
      </c>
      <c r="B189" s="27" t="s">
        <v>799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929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795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877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845</v>
      </c>
      <c r="B193" s="27" t="s">
        <v>891</v>
      </c>
      <c r="C193" s="27" t="s">
        <v>816</v>
      </c>
      <c r="D193" s="27" t="s">
        <v>801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930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931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932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924</v>
      </c>
      <c r="B197" s="27" t="s">
        <v>874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803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933</v>
      </c>
    </row>
    <row r="201" spans="1:12">
      <c r="A201" s="20" t="s">
        <v>934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935</v>
      </c>
      <c r="B202" s="27" t="s">
        <v>799</v>
      </c>
      <c r="C202" s="27" t="s">
        <v>816</v>
      </c>
      <c r="D202" s="27" t="s">
        <v>801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909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795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877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845</v>
      </c>
      <c r="B206" s="27" t="s">
        <v>891</v>
      </c>
      <c r="C206" s="27" t="s">
        <v>816</v>
      </c>
      <c r="D206" s="27" t="s">
        <v>801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936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937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926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795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925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938</v>
      </c>
      <c r="B212" s="27" t="s">
        <v>874</v>
      </c>
      <c r="C212" s="27" t="s">
        <v>816</v>
      </c>
      <c r="D212" s="27" t="s">
        <v>801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939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795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877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940</v>
      </c>
      <c r="B216" s="27" t="s">
        <v>829</v>
      </c>
      <c r="C216" s="27" t="s">
        <v>896</v>
      </c>
      <c r="D216" s="27" t="s">
        <v>801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941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942</v>
      </c>
      <c r="B218" s="27" t="s">
        <v>943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797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932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803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944</v>
      </c>
    </row>
    <row r="224" spans="1:12">
      <c r="A224" s="20" t="s">
        <v>945</v>
      </c>
      <c r="B224" s="27" t="s">
        <v>842</v>
      </c>
      <c r="C224" s="27" t="s">
        <v>800</v>
      </c>
      <c r="D224" s="27" t="s">
        <v>801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795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877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940</v>
      </c>
      <c r="B227" s="27" t="s">
        <v>857</v>
      </c>
      <c r="C227" s="27" t="s">
        <v>896</v>
      </c>
      <c r="D227" s="27" t="s">
        <v>801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941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942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797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932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795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825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59</v>
      </c>
      <c r="B234" s="27" t="s">
        <v>842</v>
      </c>
      <c r="C234" s="27" t="s">
        <v>800</v>
      </c>
      <c r="D234" s="27" t="s">
        <v>801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795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877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935</v>
      </c>
      <c r="B237" s="27" t="s">
        <v>874</v>
      </c>
      <c r="C237" s="27" t="s">
        <v>816</v>
      </c>
      <c r="D237" s="27" t="s">
        <v>801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946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947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948</v>
      </c>
      <c r="B240" s="27" t="s">
        <v>857</v>
      </c>
      <c r="C240" s="27" t="s">
        <v>843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797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868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949</v>
      </c>
      <c r="B243" s="27" t="s">
        <v>846</v>
      </c>
      <c r="C243" s="27" t="s">
        <v>858</v>
      </c>
      <c r="D243" s="27" t="s">
        <v>801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870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950</v>
      </c>
      <c r="B245" s="27" t="s">
        <v>874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822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951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952</v>
      </c>
      <c r="B248" s="27" t="s">
        <v>953</v>
      </c>
      <c r="C248" s="27" t="s">
        <v>896</v>
      </c>
      <c r="D248" s="27" t="s">
        <v>801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954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795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821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825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955</v>
      </c>
      <c r="B253" s="27" t="s">
        <v>829</v>
      </c>
      <c r="C253" s="27" t="s">
        <v>816</v>
      </c>
      <c r="D253" s="27" t="s">
        <v>801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956</v>
      </c>
      <c r="B254" s="27" t="s">
        <v>957</v>
      </c>
      <c r="C254" s="27" t="s">
        <v>855</v>
      </c>
      <c r="D254" s="27" t="s">
        <v>801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803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958</v>
      </c>
    </row>
    <row r="258" spans="1:12">
      <c r="A258" s="20" t="s">
        <v>890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935</v>
      </c>
      <c r="B259" s="27" t="s">
        <v>849</v>
      </c>
      <c r="C259" s="27" t="s">
        <v>816</v>
      </c>
      <c r="D259" s="27" t="s">
        <v>801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959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960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795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961</v>
      </c>
      <c r="B263" s="27" t="s">
        <v>857</v>
      </c>
      <c r="C263" s="27" t="s">
        <v>896</v>
      </c>
      <c r="D263" s="27" t="s">
        <v>801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962</v>
      </c>
      <c r="B264" s="27" t="s">
        <v>799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963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964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965</v>
      </c>
      <c r="B267" s="27" t="s">
        <v>849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827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966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967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795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817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968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969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970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971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972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973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803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/>
    </row>
    <row r="281" spans="1:12">
      <c r="A281" s="20" t="s">
        <v>974</v>
      </c>
    </row>
    <row r="282" spans="1:12">
      <c r="A282" s="20" t="s">
        <v>975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976</v>
      </c>
      <c r="B283" s="27" t="s">
        <v>799</v>
      </c>
      <c r="C283" s="27" t="s">
        <v>816</v>
      </c>
      <c r="D283" s="27" t="s">
        <v>801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817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977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978</v>
      </c>
      <c r="B286" s="27" t="s">
        <v>842</v>
      </c>
      <c r="C286" s="27" t="s">
        <v>800</v>
      </c>
      <c r="D286" s="27" t="s">
        <v>801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795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979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980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981</v>
      </c>
      <c r="B290" s="27" t="s">
        <v>857</v>
      </c>
      <c r="C290" s="27" t="s">
        <v>816</v>
      </c>
      <c r="D290" s="27" t="s">
        <v>801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817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982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983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984</v>
      </c>
      <c r="B294" s="27" t="s">
        <v>849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803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985</v>
      </c>
    </row>
    <row r="298" spans="1:12">
      <c r="A298" s="20" t="s">
        <v>975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986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960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795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935</v>
      </c>
      <c r="B302" s="27" t="s">
        <v>849</v>
      </c>
      <c r="C302" s="27" t="s">
        <v>816</v>
      </c>
      <c r="D302" s="27" t="s">
        <v>801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987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798</v>
      </c>
      <c r="B304" s="27" t="s">
        <v>891</v>
      </c>
      <c r="C304" s="27" t="s">
        <v>800</v>
      </c>
      <c r="D304" s="27" t="s">
        <v>801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822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988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989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837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990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795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991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938</v>
      </c>
      <c r="B312" s="27" t="s">
        <v>849</v>
      </c>
      <c r="C312" s="27" t="s">
        <v>816</v>
      </c>
      <c r="D312" s="27" t="s">
        <v>801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963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798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992</v>
      </c>
      <c r="B315" s="27" t="s">
        <v>891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845</v>
      </c>
      <c r="B316" s="27" t="s">
        <v>891</v>
      </c>
      <c r="C316" s="27" t="s">
        <v>816</v>
      </c>
      <c r="D316" s="27" t="s">
        <v>801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825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993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994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803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995</v>
      </c>
    </row>
    <row r="323" spans="1:12">
      <c r="A323" s="20" t="s">
        <v>890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935</v>
      </c>
      <c r="B324" s="27" t="s">
        <v>849</v>
      </c>
      <c r="C324" s="27" t="s">
        <v>816</v>
      </c>
      <c r="D324" s="27" t="s">
        <v>801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959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996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795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935</v>
      </c>
      <c r="B328" s="27" t="s">
        <v>799</v>
      </c>
      <c r="C328" s="27" t="s">
        <v>816</v>
      </c>
      <c r="D328" s="27" t="s">
        <v>801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997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795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877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935</v>
      </c>
      <c r="B332" s="27" t="s">
        <v>849</v>
      </c>
      <c r="C332" s="27" t="s">
        <v>816</v>
      </c>
      <c r="D332" s="27" t="s">
        <v>801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948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825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817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998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999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1000</v>
      </c>
      <c r="B338" s="27" t="s">
        <v>1001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803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/>
    </row>
    <row r="341" spans="1:12">
      <c r="A341" s="20" t="s">
        <v>1002</v>
      </c>
    </row>
    <row r="342" spans="1:12">
      <c r="A342" s="20" t="s">
        <v>1003</v>
      </c>
      <c r="B342" s="27" t="s">
        <v>799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1004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1005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1006</v>
      </c>
      <c r="B345" s="27" t="s">
        <v>921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825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798</v>
      </c>
      <c r="B347" s="27" t="s">
        <v>849</v>
      </c>
      <c r="C347" s="27" t="s">
        <v>800</v>
      </c>
      <c r="D347" s="27" t="s">
        <v>801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1007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1008</v>
      </c>
      <c r="B349" s="27" t="s">
        <v>891</v>
      </c>
      <c r="C349" s="27" t="s">
        <v>816</v>
      </c>
      <c r="D349" s="27" t="s">
        <v>801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803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/>
    </row>
    <row r="352" spans="1:12">
      <c r="A352" s="20" t="s">
        <v>1009</v>
      </c>
    </row>
    <row r="353" spans="1:12">
      <c r="A353" s="20" t="s">
        <v>904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876</v>
      </c>
      <c r="B354" s="27" t="s">
        <v>842</v>
      </c>
      <c r="C354" s="27" t="s">
        <v>800</v>
      </c>
      <c r="D354" s="27" t="s">
        <v>801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822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935</v>
      </c>
      <c r="B356" s="27" t="s">
        <v>874</v>
      </c>
      <c r="C356" s="27" t="s">
        <v>816</v>
      </c>
      <c r="D356" s="27" t="s">
        <v>801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1010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795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938</v>
      </c>
      <c r="B359" s="27" t="s">
        <v>799</v>
      </c>
      <c r="C359" s="27" t="s">
        <v>816</v>
      </c>
      <c r="D359" s="27" t="s">
        <v>801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817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1011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978</v>
      </c>
      <c r="B362" s="27" t="s">
        <v>857</v>
      </c>
      <c r="C362" s="27" t="s">
        <v>800</v>
      </c>
      <c r="D362" s="27" t="s">
        <v>801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62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825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798</v>
      </c>
      <c r="B365" s="27" t="s">
        <v>849</v>
      </c>
      <c r="C365" s="27" t="s">
        <v>800</v>
      </c>
      <c r="D365" s="27" t="s">
        <v>801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1012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1013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845</v>
      </c>
      <c r="B368" s="27" t="s">
        <v>857</v>
      </c>
      <c r="C368" s="27" t="s">
        <v>816</v>
      </c>
      <c r="D368" s="27" t="s">
        <v>801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1014</v>
      </c>
      <c r="B369" s="27" t="s">
        <v>891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803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/>
    </row>
    <row r="372" spans="1:12">
      <c r="A372" s="20" t="s">
        <v>1015</v>
      </c>
    </row>
    <row r="373" spans="1:12">
      <c r="A373" s="20" t="s">
        <v>1016</v>
      </c>
      <c r="B373" s="27" t="s">
        <v>799</v>
      </c>
      <c r="C373" s="27" t="s">
        <v>816</v>
      </c>
      <c r="D373" s="27" t="s">
        <v>801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1017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964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1018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797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948</v>
      </c>
      <c r="B378" s="27" t="s">
        <v>891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803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/>
    </row>
    <row r="381" spans="1:12">
      <c r="A381" s="20" t="s">
        <v>1019</v>
      </c>
    </row>
    <row r="382" spans="1:12">
      <c r="A382" s="20" t="s">
        <v>1016</v>
      </c>
      <c r="B382" s="27" t="s">
        <v>799</v>
      </c>
      <c r="C382" s="27" t="s">
        <v>816</v>
      </c>
      <c r="D382" s="27" t="s">
        <v>801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817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1020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1021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1000</v>
      </c>
      <c r="B386" s="27" t="s">
        <v>891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803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1022</v>
      </c>
    </row>
    <row r="390" spans="1:12">
      <c r="A390" s="20" t="s">
        <v>1023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798</v>
      </c>
      <c r="B391" s="27" t="s">
        <v>799</v>
      </c>
      <c r="C391" s="27" t="s">
        <v>800</v>
      </c>
      <c r="D391" s="27" t="s">
        <v>801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803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1024</v>
      </c>
    </row>
    <row r="396" spans="1:12">
      <c r="A396" s="20" t="s">
        <v>1025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1026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893</v>
      </c>
      <c r="B398" s="27" t="s">
        <v>842</v>
      </c>
      <c r="C398" s="27" t="s">
        <v>843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853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795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1027</v>
      </c>
      <c r="B401" s="27" t="s">
        <v>799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1028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1029</v>
      </c>
      <c r="B403" s="27" t="s">
        <v>846</v>
      </c>
      <c r="C403" s="27" t="s">
        <v>858</v>
      </c>
      <c r="D403" s="27" t="s">
        <v>801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1030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1031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1008</v>
      </c>
      <c r="B406" s="27" t="s">
        <v>921</v>
      </c>
      <c r="C406" s="27" t="s">
        <v>816</v>
      </c>
      <c r="D406" s="27" t="s">
        <v>801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1032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1033</v>
      </c>
      <c r="B408" s="27" t="s">
        <v>891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860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1034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1035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1036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803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1037</v>
      </c>
    </row>
    <row r="416" spans="1:12">
      <c r="A416" s="20" t="s">
        <v>1016</v>
      </c>
      <c r="B416" s="27" t="s">
        <v>799</v>
      </c>
      <c r="C416" s="27" t="s">
        <v>816</v>
      </c>
      <c r="D416" s="27" t="s">
        <v>801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959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1038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1039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803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1040</v>
      </c>
    </row>
    <row r="423" spans="1:12">
      <c r="A423" s="20" t="s">
        <v>1016</v>
      </c>
      <c r="B423" s="27" t="s">
        <v>799</v>
      </c>
      <c r="C423" s="27" t="s">
        <v>816</v>
      </c>
      <c r="D423" s="27" t="s">
        <v>801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1041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1042</v>
      </c>
      <c r="B425" s="27" t="s">
        <v>921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822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1043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803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1044</v>
      </c>
    </row>
    <row r="431" spans="1:12">
      <c r="A431" s="20" t="s">
        <v>1045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1046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795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1047</v>
      </c>
      <c r="B434" s="27" t="s">
        <v>849</v>
      </c>
      <c r="C434" s="27" t="s">
        <v>816</v>
      </c>
      <c r="D434" s="27" t="s">
        <v>801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817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1048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803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/>
    </row>
    <row r="439" spans="1:12">
      <c r="A439" s="20" t="s">
        <v>1049</v>
      </c>
    </row>
    <row r="440" spans="1:12">
      <c r="A440" s="20" t="s">
        <v>1050</v>
      </c>
      <c r="B440" s="27" t="s">
        <v>799</v>
      </c>
      <c r="C440" s="27" t="s">
        <v>816</v>
      </c>
      <c r="D440" s="27" t="s">
        <v>801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1051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795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877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873</v>
      </c>
      <c r="B444" s="27" t="s">
        <v>849</v>
      </c>
      <c r="C444" s="27" t="s">
        <v>816</v>
      </c>
      <c r="D444" s="27" t="s">
        <v>801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1052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894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1053</v>
      </c>
      <c r="B447" s="27" t="s">
        <v>846</v>
      </c>
      <c r="C447" s="27" t="s">
        <v>800</v>
      </c>
      <c r="D447" s="27" t="s">
        <v>801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1054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883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/>
    </row>
    <row r="451" spans="1:12">
      <c r="A451" s="20" t="s">
        <v>1055</v>
      </c>
    </row>
    <row r="452" spans="1:12">
      <c r="A452" s="20" t="s">
        <v>851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1056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935</v>
      </c>
      <c r="B454" s="27" t="s">
        <v>799</v>
      </c>
      <c r="C454" s="27" t="s">
        <v>816</v>
      </c>
      <c r="D454" s="27" t="s">
        <v>801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1057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894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1058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1035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803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1059</v>
      </c>
    </row>
    <row r="462" spans="1:12">
      <c r="A462" s="20" t="s">
        <v>1016</v>
      </c>
      <c r="B462" s="27" t="s">
        <v>799</v>
      </c>
      <c r="C462" s="27" t="s">
        <v>816</v>
      </c>
      <c r="D462" s="27" t="s">
        <v>801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1060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837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1061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1062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1035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803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/>
    </row>
    <row r="470" spans="1:12">
      <c r="A470" s="20" t="s">
        <v>1063</v>
      </c>
    </row>
    <row r="471" spans="1:12">
      <c r="A471" s="20" t="s">
        <v>1016</v>
      </c>
      <c r="B471" s="27" t="s">
        <v>799</v>
      </c>
      <c r="C471" s="27" t="s">
        <v>816</v>
      </c>
      <c r="D471" s="27" t="s">
        <v>801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1064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1065</v>
      </c>
      <c r="B473" s="27" t="s">
        <v>921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837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1066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1062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1035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825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1067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860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1068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1035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803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/>
    </row>
    <row r="485" spans="1:12">
      <c r="A485" s="20" t="s">
        <v>1069</v>
      </c>
    </row>
    <row r="486" spans="1:12">
      <c r="A486" s="20" t="s">
        <v>1016</v>
      </c>
      <c r="B486" s="27" t="s">
        <v>799</v>
      </c>
      <c r="C486" s="27" t="s">
        <v>816</v>
      </c>
      <c r="D486" s="27" t="s">
        <v>801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1070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1071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1072</v>
      </c>
      <c r="B489" s="27" t="s">
        <v>799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1073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1074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1035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837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1075</v>
      </c>
      <c r="B494" s="27" t="s">
        <v>846</v>
      </c>
      <c r="C494" s="27" t="s">
        <v>858</v>
      </c>
      <c r="D494" s="27" t="s">
        <v>801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795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1076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1077</v>
      </c>
      <c r="B497" s="27" t="s">
        <v>957</v>
      </c>
      <c r="C497" s="27" t="s">
        <v>858</v>
      </c>
      <c r="D497" s="27" t="s">
        <v>801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795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1078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795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822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1079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795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1080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1081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1082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1083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1084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803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1085</v>
      </c>
    </row>
    <row r="512" spans="1:12">
      <c r="A512" s="20" t="s">
        <v>1086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894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1058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1035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946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1087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795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935</v>
      </c>
      <c r="B519" s="27" t="s">
        <v>799</v>
      </c>
      <c r="C519" s="27" t="s">
        <v>816</v>
      </c>
      <c r="D519" s="27" t="s">
        <v>801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1088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837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872</v>
      </c>
      <c r="B522" s="27" t="s">
        <v>842</v>
      </c>
      <c r="C522" s="27" t="s">
        <v>800</v>
      </c>
      <c r="D522" s="27" t="s">
        <v>801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795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877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1089</v>
      </c>
      <c r="B525" s="27" t="s">
        <v>874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797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798</v>
      </c>
      <c r="B527" s="27" t="s">
        <v>846</v>
      </c>
      <c r="C527" s="27" t="s">
        <v>800</v>
      </c>
      <c r="D527" s="27" t="s">
        <v>801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1090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795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877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1046</v>
      </c>
      <c r="B531" s="27" t="s">
        <v>943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795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1091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1092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1093</v>
      </c>
      <c r="B535" s="27" t="s">
        <v>1094</v>
      </c>
      <c r="C535" s="27" t="s">
        <v>1095</v>
      </c>
      <c r="D535" s="27" t="s">
        <v>801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795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825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1096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964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1097</v>
      </c>
      <c r="B540" s="27" t="s">
        <v>1098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912</v>
      </c>
      <c r="B541" s="27" t="s">
        <v>1099</v>
      </c>
      <c r="C541" s="27" t="s">
        <v>816</v>
      </c>
      <c r="D541" s="27" t="s">
        <v>801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1100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1101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1102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1103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795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873</v>
      </c>
      <c r="B547" s="27" t="s">
        <v>1104</v>
      </c>
      <c r="C547" s="27" t="s">
        <v>816</v>
      </c>
      <c r="D547" s="27" t="s">
        <v>801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1105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1106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1079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1107</v>
      </c>
      <c r="B551" s="27" t="s">
        <v>1001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803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/>
    </row>
    <row r="554" spans="1:12">
      <c r="A554" s="20" t="s">
        <v>1108</v>
      </c>
    </row>
    <row r="555" spans="1:12">
      <c r="A555" s="20" t="s">
        <v>805</v>
      </c>
      <c r="B555" s="27" t="s">
        <v>799</v>
      </c>
      <c r="C555" s="27" t="s">
        <v>800</v>
      </c>
      <c r="D555" s="27" t="s">
        <v>801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1109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817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961</v>
      </c>
      <c r="B558" s="27" t="s">
        <v>842</v>
      </c>
      <c r="C558" s="27" t="s">
        <v>896</v>
      </c>
      <c r="D558" s="27" t="s">
        <v>801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1090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795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825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935</v>
      </c>
      <c r="B562" s="27" t="s">
        <v>849</v>
      </c>
      <c r="C562" s="27" t="s">
        <v>816</v>
      </c>
      <c r="D562" s="27" t="s">
        <v>801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1110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817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1111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1112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827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1113</v>
      </c>
      <c r="B568" s="27" t="s">
        <v>846</v>
      </c>
      <c r="C568" s="27" t="s">
        <v>816</v>
      </c>
      <c r="D568" s="27" t="s">
        <v>801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795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1114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1115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1116</v>
      </c>
      <c r="B572" s="27" t="s">
        <v>891</v>
      </c>
      <c r="C572" s="27" t="s">
        <v>816</v>
      </c>
      <c r="D572" s="27" t="s">
        <v>801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1117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822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1118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1036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795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1119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1120</v>
      </c>
      <c r="B579" s="27" t="s">
        <v>1121</v>
      </c>
      <c r="C579" s="27" t="s">
        <v>816</v>
      </c>
      <c r="D579" s="27" t="s">
        <v>801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803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/>
    </row>
    <row r="582" spans="1:12">
      <c r="A582" s="20" t="s">
        <v>1122</v>
      </c>
    </row>
    <row r="583" spans="1:12">
      <c r="A583" s="20" t="s">
        <v>1016</v>
      </c>
      <c r="B583" s="27" t="s">
        <v>799</v>
      </c>
      <c r="C583" s="27" t="s">
        <v>816</v>
      </c>
      <c r="D583" s="27" t="s">
        <v>801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1123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1116</v>
      </c>
      <c r="B585" s="27" t="s">
        <v>921</v>
      </c>
      <c r="C585" s="27" t="s">
        <v>816</v>
      </c>
      <c r="D585" s="27" t="s">
        <v>801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1124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1125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1126</v>
      </c>
      <c r="B588" s="27" t="s">
        <v>842</v>
      </c>
      <c r="C588" s="27" t="s">
        <v>800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795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822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1127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12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1128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1090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795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1129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1130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1090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948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1131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803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/>
    </row>
    <row r="603" spans="1:12">
      <c r="A603" s="20" t="s">
        <v>1132</v>
      </c>
    </row>
    <row r="604" spans="1:12">
      <c r="A604" s="20" t="s">
        <v>1133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795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938</v>
      </c>
      <c r="B606" s="27" t="s">
        <v>799</v>
      </c>
      <c r="C606" s="27" t="s">
        <v>816</v>
      </c>
      <c r="D606" s="27" t="s">
        <v>801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1134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817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1135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795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1136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1137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1128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1090</v>
      </c>
      <c r="B614" s="27" t="s">
        <v>857</v>
      </c>
      <c r="C614" s="27" t="s">
        <v>843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803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/>
    </row>
    <row r="617" spans="1:12">
      <c r="A617" s="20" t="s">
        <v>1138</v>
      </c>
    </row>
    <row r="618" spans="1:12">
      <c r="A618" s="20" t="s">
        <v>1139</v>
      </c>
      <c r="B618" s="27" t="s">
        <v>799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1140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952</v>
      </c>
      <c r="B620" s="27" t="s">
        <v>846</v>
      </c>
      <c r="C620" s="27" t="s">
        <v>896</v>
      </c>
      <c r="D620" s="27" t="s">
        <v>801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1141</v>
      </c>
      <c r="B621" s="27" t="s">
        <v>857</v>
      </c>
      <c r="C621" s="27" t="s">
        <v>843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1109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1142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803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1143</v>
      </c>
    </row>
    <row r="627" spans="1:12">
      <c r="A627" s="20" t="s">
        <v>890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1144</v>
      </c>
      <c r="B628" s="27" t="s">
        <v>849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1145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795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961</v>
      </c>
      <c r="B631" s="27" t="s">
        <v>857</v>
      </c>
      <c r="C631" s="27" t="s">
        <v>896</v>
      </c>
      <c r="D631" s="27" t="s">
        <v>801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1146</v>
      </c>
      <c r="B632" s="27" t="s">
        <v>799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1147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1148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795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1149</v>
      </c>
      <c r="B636" s="27" t="s">
        <v>874</v>
      </c>
      <c r="C636" s="27" t="s">
        <v>879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1150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1151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1152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825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1008</v>
      </c>
      <c r="B641" s="27" t="s">
        <v>1001</v>
      </c>
      <c r="C641" s="27" t="s">
        <v>816</v>
      </c>
      <c r="D641" s="27" t="s">
        <v>801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803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/>
    </row>
    <row r="644" spans="1:12">
      <c r="A644" s="20" t="s">
        <v>1153</v>
      </c>
    </row>
    <row r="645" spans="1:12">
      <c r="A645" s="20" t="s">
        <v>1154</v>
      </c>
      <c r="B645" s="27" t="s">
        <v>799</v>
      </c>
      <c r="C645" s="27" t="s">
        <v>816</v>
      </c>
      <c r="D645" s="27" t="s">
        <v>801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1155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860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872</v>
      </c>
      <c r="B648" s="27" t="s">
        <v>842</v>
      </c>
      <c r="C648" s="27" t="s">
        <v>800</v>
      </c>
      <c r="D648" s="27" t="s">
        <v>801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795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877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47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967</v>
      </c>
      <c r="B652" s="27" t="s">
        <v>1156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803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/>
    </row>
    <row r="655" spans="1:12">
      <c r="A655" s="20" t="s">
        <v>1157</v>
      </c>
    </row>
    <row r="656" spans="1:12">
      <c r="A656" s="20" t="s">
        <v>1158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964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1159</v>
      </c>
      <c r="B658" s="27" t="s">
        <v>842</v>
      </c>
      <c r="C658" s="27" t="s">
        <v>800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1160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1125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795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822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1161</v>
      </c>
      <c r="B663" s="27" t="s">
        <v>846</v>
      </c>
      <c r="C663" s="27" t="s">
        <v>816</v>
      </c>
      <c r="D663" s="27" t="s">
        <v>801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795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1114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1162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1163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1164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883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/>
    </row>
    <row r="671" spans="1:12">
      <c r="A671" s="20" t="s">
        <v>1165</v>
      </c>
    </row>
    <row r="672" spans="1:12">
      <c r="A672" s="20" t="s">
        <v>1166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1120</v>
      </c>
      <c r="B673" s="27" t="s">
        <v>921</v>
      </c>
      <c r="C673" s="27" t="s">
        <v>816</v>
      </c>
      <c r="D673" s="27" t="s">
        <v>801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1167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1168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837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1169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1170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1171</v>
      </c>
      <c r="B679" s="27" t="s">
        <v>891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795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1172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837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1173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1174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1046</v>
      </c>
      <c r="B685" s="27" t="s">
        <v>874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1175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795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1176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1177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1178</v>
      </c>
      <c r="B690" s="27" t="s">
        <v>1001</v>
      </c>
      <c r="C690" s="27" t="s">
        <v>816</v>
      </c>
      <c r="D690" s="27" t="s">
        <v>801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795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877</v>
      </c>
      <c r="B692" s="27" t="s">
        <v>1179</v>
      </c>
      <c r="C692" s="27" t="s">
        <v>879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1180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837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990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1181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883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/>
    </row>
    <row r="699" spans="1:12">
      <c r="A699" s="20" t="s">
        <v>1182</v>
      </c>
    </row>
    <row r="700" spans="1:12">
      <c r="A700" s="20" t="s">
        <v>975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845</v>
      </c>
      <c r="B701" s="27" t="s">
        <v>921</v>
      </c>
      <c r="C701" s="27" t="s">
        <v>816</v>
      </c>
      <c r="D701" s="27" t="s">
        <v>801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1183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837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1184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795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877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1185</v>
      </c>
      <c r="B707" s="27" t="s">
        <v>849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1035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1186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1187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980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1188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1189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803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/>
    </row>
    <row r="716" spans="1:12">
      <c r="A716" s="20" t="s">
        <v>1190</v>
      </c>
    </row>
    <row r="717" spans="1:12">
      <c r="A717" s="20" t="s">
        <v>975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1191</v>
      </c>
      <c r="B718" s="27" t="s">
        <v>799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1192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1193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1194</v>
      </c>
      <c r="B721" s="27" t="s">
        <v>891</v>
      </c>
      <c r="C721" s="27" t="s">
        <v>816</v>
      </c>
      <c r="D721" s="27" t="s">
        <v>801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803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/>
    </row>
    <row r="724" spans="1:12">
      <c r="A724" s="20" t="s">
        <v>1195</v>
      </c>
    </row>
    <row r="725" spans="1:12">
      <c r="A725" s="20" t="s">
        <v>1196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827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1197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1198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1199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1046</v>
      </c>
      <c r="B730" s="27" t="s">
        <v>799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1200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1201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1202</v>
      </c>
      <c r="B733" s="27" t="s">
        <v>1156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1203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803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1204</v>
      </c>
    </row>
    <row r="738" spans="1:12">
      <c r="A738" s="20" t="s">
        <v>1205</v>
      </c>
      <c r="B738" s="27" t="s">
        <v>799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1206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1207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837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1208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1189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12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1209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803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/>
    </row>
    <row r="748" spans="1:12">
      <c r="A748" s="20" t="s">
        <v>1210</v>
      </c>
    </row>
    <row r="749" spans="1:12">
      <c r="A749" s="20" t="s">
        <v>1211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1191</v>
      </c>
      <c r="B750" s="27" t="s">
        <v>799</v>
      </c>
      <c r="C750" s="27" t="s">
        <v>1095</v>
      </c>
      <c r="D750" s="27" t="s">
        <v>801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1212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795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1213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1194</v>
      </c>
      <c r="B754" s="27" t="s">
        <v>857</v>
      </c>
      <c r="C754" s="27" t="s">
        <v>816</v>
      </c>
      <c r="D754" s="27" t="s">
        <v>801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1214</v>
      </c>
      <c r="B755" s="27" t="s">
        <v>849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817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1215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793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1216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1217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1036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795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1218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1219</v>
      </c>
      <c r="B764" s="27" t="s">
        <v>846</v>
      </c>
      <c r="C764" s="27" t="s">
        <v>879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1220</v>
      </c>
      <c r="B765" s="27" t="s">
        <v>874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1221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1222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1223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1171</v>
      </c>
      <c r="B769" s="27" t="s">
        <v>1156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803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1224</v>
      </c>
    </row>
    <row r="773" spans="1:12">
      <c r="A773" s="20" t="s">
        <v>975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1225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795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961</v>
      </c>
      <c r="B776" s="27" t="s">
        <v>857</v>
      </c>
      <c r="C776" s="27" t="s">
        <v>896</v>
      </c>
      <c r="D776" s="27" t="s">
        <v>801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1146</v>
      </c>
      <c r="B777" s="27" t="s">
        <v>799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795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1155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1226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1227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861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1169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803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/>
    </row>
    <row r="786" spans="1:12">
      <c r="A786" s="20" t="s">
        <v>1228</v>
      </c>
    </row>
    <row r="787" spans="1:12">
      <c r="A787" s="20" t="s">
        <v>975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935</v>
      </c>
      <c r="B788" s="27" t="s">
        <v>799</v>
      </c>
      <c r="C788" s="27" t="s">
        <v>816</v>
      </c>
      <c r="D788" s="27" t="s">
        <v>801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1229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1230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964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1231</v>
      </c>
      <c r="B792" s="27" t="s">
        <v>849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1232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970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1233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1234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795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1235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872</v>
      </c>
      <c r="B799" s="27" t="s">
        <v>857</v>
      </c>
      <c r="C799" s="27" t="s">
        <v>800</v>
      </c>
      <c r="D799" s="27" t="s">
        <v>801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795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877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1194</v>
      </c>
      <c r="B802" s="27" t="s">
        <v>829</v>
      </c>
      <c r="C802" s="27" t="s">
        <v>896</v>
      </c>
      <c r="D802" s="27" t="s">
        <v>801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1236</v>
      </c>
      <c r="B803" s="27" t="s">
        <v>943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1237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803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1238</v>
      </c>
    </row>
    <row r="808" spans="1:12">
      <c r="A808" s="20" t="s">
        <v>975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935</v>
      </c>
      <c r="B809" s="27" t="s">
        <v>799</v>
      </c>
      <c r="C809" s="27" t="s">
        <v>816</v>
      </c>
      <c r="D809" s="27" t="s">
        <v>801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1239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827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1240</v>
      </c>
      <c r="B812" s="27" t="s">
        <v>842</v>
      </c>
      <c r="C812" s="27" t="s">
        <v>855</v>
      </c>
      <c r="D812" s="27" t="s">
        <v>801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860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872</v>
      </c>
      <c r="B814" s="27" t="s">
        <v>857</v>
      </c>
      <c r="C814" s="27" t="s">
        <v>800</v>
      </c>
      <c r="D814" s="27" t="s">
        <v>801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795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877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882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1241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1242</v>
      </c>
      <c r="B819" s="27" t="s">
        <v>943</v>
      </c>
      <c r="C819" s="27" t="s">
        <v>843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1243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803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/>
    </row>
    <row r="823" spans="1:12">
      <c r="A823" s="20" t="s">
        <v>1244</v>
      </c>
    </row>
    <row r="824" spans="1:12">
      <c r="A824" s="20" t="s">
        <v>1245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199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795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1235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1246</v>
      </c>
      <c r="B828" s="27" t="s">
        <v>857</v>
      </c>
      <c r="C828" s="27" t="s">
        <v>879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793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1189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827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1247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1248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1249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1250</v>
      </c>
      <c r="B835" s="27" t="s">
        <v>849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795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1251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795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1080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795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1252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1253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803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/>
    </row>
    <row r="845" spans="1:12">
      <c r="A845" s="20" t="s">
        <v>1254</v>
      </c>
    </row>
    <row r="846" spans="1:12">
      <c r="A846" s="20" t="s">
        <v>945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882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59</v>
      </c>
      <c r="B848" s="27" t="s">
        <v>842</v>
      </c>
      <c r="C848" s="27" t="s">
        <v>800</v>
      </c>
      <c r="D848" s="27" t="s">
        <v>801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795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877</v>
      </c>
      <c r="B850" s="27" t="s">
        <v>849</v>
      </c>
      <c r="C850" s="27" t="s">
        <v>879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823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1255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1062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1186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825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1189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803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1256</v>
      </c>
    </row>
    <row r="860" spans="1:12">
      <c r="A860" s="20" t="s">
        <v>805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1257</v>
      </c>
      <c r="B861" s="27" t="s">
        <v>799</v>
      </c>
      <c r="C861" s="27" t="s">
        <v>1095</v>
      </c>
      <c r="D861" s="27" t="s">
        <v>801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913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219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1258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1259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795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1114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1260</v>
      </c>
      <c r="B868" s="27" t="s">
        <v>849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1261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793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978</v>
      </c>
      <c r="B871" s="27" t="s">
        <v>957</v>
      </c>
      <c r="C871" s="27" t="s">
        <v>800</v>
      </c>
      <c r="D871" s="27" t="s">
        <v>801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817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1262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803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/>
    </row>
    <row r="876" spans="1:12">
      <c r="A876" s="20" t="s">
        <v>1263</v>
      </c>
    </row>
    <row r="877" spans="1:12">
      <c r="A877" s="20" t="s">
        <v>1133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877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1264</v>
      </c>
      <c r="B879" s="27" t="s">
        <v>921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817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1265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1266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837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856</v>
      </c>
      <c r="B884" s="27" t="s">
        <v>846</v>
      </c>
      <c r="C884" s="27" t="s">
        <v>858</v>
      </c>
      <c r="D884" s="27" t="s">
        <v>801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797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1267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970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59</v>
      </c>
      <c r="B888" s="27" t="s">
        <v>842</v>
      </c>
      <c r="C888" s="27" t="s">
        <v>800</v>
      </c>
      <c r="D888" s="27" t="s">
        <v>801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795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877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980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912</v>
      </c>
      <c r="B892" s="27" t="s">
        <v>846</v>
      </c>
      <c r="C892" s="27" t="s">
        <v>816</v>
      </c>
      <c r="D892" s="27" t="s">
        <v>801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1268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1269</v>
      </c>
      <c r="B894" s="27" t="s">
        <v>874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797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1270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1271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803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/>
    </row>
    <row r="900" spans="1:12">
      <c r="A900" s="20" t="s">
        <v>1272</v>
      </c>
    </row>
    <row r="901" spans="1:12">
      <c r="A901" s="20" t="s">
        <v>934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991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1235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1273</v>
      </c>
      <c r="B904" s="27" t="s">
        <v>842</v>
      </c>
      <c r="C904" s="27" t="s">
        <v>800</v>
      </c>
      <c r="D904" s="27" t="s">
        <v>801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795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1274</v>
      </c>
      <c r="B906" s="27" t="s">
        <v>799</v>
      </c>
      <c r="C906" s="27" t="s">
        <v>1275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817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1276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1277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795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877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1278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1279</v>
      </c>
      <c r="B913" s="27" t="s">
        <v>874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1280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825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1281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1186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1282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999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1283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1284</v>
      </c>
      <c r="B921" s="27" t="s">
        <v>1156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825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1285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803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/>
    </row>
    <row r="926" spans="1:12">
      <c r="A926" s="20" t="s">
        <v>1286</v>
      </c>
    </row>
    <row r="927" spans="1:12">
      <c r="A927" s="20" t="s">
        <v>934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882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1124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199</v>
      </c>
      <c r="B930" s="27" t="s">
        <v>799</v>
      </c>
      <c r="C930" s="27" t="s">
        <v>800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1243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795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1149</v>
      </c>
      <c r="B933" s="27" t="s">
        <v>874</v>
      </c>
      <c r="C933" s="27" t="s">
        <v>879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1180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1287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1288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1289</v>
      </c>
      <c r="B937" s="27" t="s">
        <v>829</v>
      </c>
      <c r="C937" s="27" t="s">
        <v>816</v>
      </c>
      <c r="D937" s="27" t="s">
        <v>801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1264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803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/>
    </row>
    <row r="941" spans="1:12">
      <c r="A941" s="20" t="s">
        <v>1290</v>
      </c>
    </row>
    <row r="942" spans="1:12">
      <c r="A942" s="20" t="s">
        <v>1016</v>
      </c>
      <c r="B942" s="27" t="s">
        <v>799</v>
      </c>
      <c r="C942" s="27" t="s">
        <v>816</v>
      </c>
      <c r="D942" s="27" t="s">
        <v>801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1291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1124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199</v>
      </c>
      <c r="B945" s="27" t="s">
        <v>921</v>
      </c>
      <c r="C945" s="27" t="s">
        <v>800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1292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1293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795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821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822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1294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1295</v>
      </c>
      <c r="B952" s="27" t="s">
        <v>891</v>
      </c>
      <c r="C952" s="27" t="s">
        <v>1095</v>
      </c>
      <c r="D952" s="27" t="s">
        <v>801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873</v>
      </c>
      <c r="B953" s="27" t="s">
        <v>849</v>
      </c>
      <c r="C953" s="27" t="s">
        <v>816</v>
      </c>
      <c r="D953" s="27" t="s">
        <v>801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1296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793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1297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1298</v>
      </c>
      <c r="B957" s="27" t="s">
        <v>1001</v>
      </c>
      <c r="C957" s="27" t="s">
        <v>816</v>
      </c>
      <c r="D957" s="27" t="s">
        <v>801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1036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803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/>
    </row>
    <row r="961" spans="1:12">
      <c r="A961" s="20" t="s">
        <v>1299</v>
      </c>
    </row>
    <row r="962" spans="1:12">
      <c r="A962" s="20" t="s">
        <v>1211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1300</v>
      </c>
      <c r="B963" s="27" t="s">
        <v>799</v>
      </c>
      <c r="C963" s="27" t="s">
        <v>1095</v>
      </c>
      <c r="D963" s="27" t="s">
        <v>801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1301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1302</v>
      </c>
      <c r="B965" s="27" t="s">
        <v>857</v>
      </c>
      <c r="C965" s="27" t="s">
        <v>896</v>
      </c>
      <c r="D965" s="27" t="s">
        <v>801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1303</v>
      </c>
      <c r="B966" s="27" t="s">
        <v>921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795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873</v>
      </c>
      <c r="B968" s="27" t="s">
        <v>799</v>
      </c>
      <c r="C968" s="27" t="s">
        <v>816</v>
      </c>
      <c r="D968" s="27" t="s">
        <v>801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1304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1305</v>
      </c>
      <c r="B970" s="27" t="s">
        <v>842</v>
      </c>
      <c r="C970" s="27" t="s">
        <v>816</v>
      </c>
      <c r="D970" s="27" t="s">
        <v>801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795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1306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1194</v>
      </c>
      <c r="B973" s="27" t="s">
        <v>891</v>
      </c>
      <c r="C973" s="27" t="s">
        <v>816</v>
      </c>
      <c r="D973" s="27" t="s">
        <v>801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980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1307</v>
      </c>
      <c r="B975" s="27" t="s">
        <v>846</v>
      </c>
      <c r="C975" s="27" t="s">
        <v>896</v>
      </c>
      <c r="D975" s="27" t="s">
        <v>801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1308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803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1309</v>
      </c>
    </row>
    <row r="980" spans="1:12">
      <c r="A980" s="20" t="s">
        <v>975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1310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1311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1312</v>
      </c>
      <c r="B983" s="27" t="s">
        <v>799</v>
      </c>
      <c r="C983" s="27" t="s">
        <v>1095</v>
      </c>
      <c r="D983" s="27" t="s">
        <v>801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1313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1242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1046</v>
      </c>
      <c r="B986" s="27" t="s">
        <v>799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1314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1192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1261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803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/>
    </row>
    <row r="992" spans="1:12">
      <c r="A992" s="20" t="s">
        <v>1315</v>
      </c>
    </row>
    <row r="993" spans="1:12">
      <c r="A993" s="20" t="s">
        <v>975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935</v>
      </c>
      <c r="B994" s="27" t="s">
        <v>799</v>
      </c>
      <c r="C994" s="27" t="s">
        <v>816</v>
      </c>
      <c r="D994" s="27" t="s">
        <v>801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1316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1317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894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1318</v>
      </c>
      <c r="B998" s="27" t="s">
        <v>857</v>
      </c>
      <c r="C998" s="27" t="s">
        <v>855</v>
      </c>
      <c r="D998" s="27" t="s">
        <v>801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876</v>
      </c>
      <c r="B999" s="27" t="s">
        <v>846</v>
      </c>
      <c r="C999" s="27" t="s">
        <v>800</v>
      </c>
      <c r="D999" s="27" t="s">
        <v>801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795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822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1046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795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1319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1310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1312</v>
      </c>
      <c r="B1006" s="27" t="s">
        <v>1156</v>
      </c>
      <c r="C1006" s="27" t="s">
        <v>1095</v>
      </c>
      <c r="D1006" s="27" t="s">
        <v>801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795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1320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1321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1322</v>
      </c>
      <c r="B1010" s="27" t="s">
        <v>1156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1323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894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1324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803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/>
    </row>
    <row r="1016" spans="1:12">
      <c r="A1016" s="20" t="s">
        <v>1325</v>
      </c>
    </row>
    <row r="1017" spans="1:12">
      <c r="A1017" s="20" t="s">
        <v>1016</v>
      </c>
      <c r="B1017" s="27" t="s">
        <v>849</v>
      </c>
      <c r="C1017" s="27" t="s">
        <v>816</v>
      </c>
      <c r="D1017" s="27" t="s">
        <v>801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1326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847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1327</v>
      </c>
      <c r="B1020" s="27" t="s">
        <v>857</v>
      </c>
      <c r="C1020" s="27" t="s">
        <v>843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1328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1329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1330</v>
      </c>
      <c r="B1023" s="27" t="s">
        <v>957</v>
      </c>
      <c r="C1023" s="27" t="s">
        <v>879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1331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1332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803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1333</v>
      </c>
    </row>
    <row r="1029" spans="1:12">
      <c r="A1029" s="20" t="s">
        <v>241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795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1334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861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1335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825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1334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1336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803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/>
    </row>
    <row r="1039" spans="1:12">
      <c r="A1039" s="20" t="s">
        <v>1337</v>
      </c>
    </row>
    <row r="1040" spans="1:12">
      <c r="A1040" s="20" t="s">
        <v>975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1047</v>
      </c>
      <c r="B1041" s="27" t="s">
        <v>799</v>
      </c>
      <c r="C1041" s="27" t="s">
        <v>816</v>
      </c>
      <c r="D1041" s="27" t="s">
        <v>801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817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1338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1339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1340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803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/>
    </row>
    <row r="1048" spans="1:12">
      <c r="A1048" s="20" t="s">
        <v>1341</v>
      </c>
    </row>
    <row r="1049" spans="1:12">
      <c r="A1049" s="20" t="s">
        <v>1342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1343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795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1036</v>
      </c>
      <c r="B1052" s="27" t="s">
        <v>799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837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1344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1345</v>
      </c>
      <c r="B1055" s="27" t="s">
        <v>842</v>
      </c>
      <c r="C1055" s="27" t="s">
        <v>800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1346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1347</v>
      </c>
      <c r="B1057" s="27" t="s">
        <v>921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795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1348</v>
      </c>
      <c r="B1059" s="27" t="s">
        <v>891</v>
      </c>
      <c r="C1059" s="27" t="s">
        <v>816</v>
      </c>
      <c r="D1059" s="27" t="s">
        <v>801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1349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795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877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1191</v>
      </c>
      <c r="B1063" s="27" t="s">
        <v>874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1194</v>
      </c>
      <c r="B1064" s="27" t="s">
        <v>846</v>
      </c>
      <c r="C1064" s="27" t="s">
        <v>816</v>
      </c>
      <c r="D1064" s="27" t="s">
        <v>801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817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1350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795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837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59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1351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822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1191</v>
      </c>
      <c r="B1072" s="27" t="s">
        <v>943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1352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1194</v>
      </c>
      <c r="B1074" s="27" t="s">
        <v>957</v>
      </c>
      <c r="C1074" s="27" t="s">
        <v>816</v>
      </c>
      <c r="D1074" s="27" t="s">
        <v>801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817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1353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803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/>
    </row>
    <row r="1079" spans="1:12">
      <c r="A1079" s="20" t="s">
        <v>1354</v>
      </c>
    </row>
    <row r="1080" spans="1:12">
      <c r="A1080" s="20" t="s">
        <v>1355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1356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795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1357</v>
      </c>
      <c r="B1083" s="27" t="s">
        <v>799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1358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1359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825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1360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1361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1362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1363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793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1364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1365</v>
      </c>
      <c r="B1093" s="27" t="s">
        <v>857</v>
      </c>
      <c r="C1093" s="27" t="s">
        <v>1366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803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/>
    </row>
    <row r="1096" spans="1:12">
      <c r="A1096" s="20" t="s">
        <v>1367</v>
      </c>
    </row>
    <row r="1097" spans="1:12">
      <c r="A1097" s="20" t="s">
        <v>934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1334</v>
      </c>
      <c r="B1098" s="27" t="s">
        <v>799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1368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1369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1370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803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/>
    </row>
    <row r="1104" spans="1:12">
      <c r="A1104" s="20" t="s">
        <v>1371</v>
      </c>
    </row>
    <row r="1105" spans="1:12">
      <c r="A1105" s="20" t="s">
        <v>1372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1369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1370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803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1373</v>
      </c>
    </row>
    <row r="1111" spans="1:12">
      <c r="A1111" s="20" t="s">
        <v>1374</v>
      </c>
      <c r="B1111" s="27" t="s">
        <v>799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911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1181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795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1375</v>
      </c>
      <c r="B1115" s="27" t="s">
        <v>1001</v>
      </c>
      <c r="C1115" s="27" t="s">
        <v>879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935</v>
      </c>
      <c r="B1116" s="27" t="s">
        <v>943</v>
      </c>
      <c r="C1116" s="27" t="s">
        <v>816</v>
      </c>
      <c r="D1116" s="27" t="s">
        <v>801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1376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795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959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1377</v>
      </c>
      <c r="B1120" s="27" t="s">
        <v>842</v>
      </c>
      <c r="C1120" s="27" t="s">
        <v>843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863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1378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1379</v>
      </c>
      <c r="B1123" s="27" t="s">
        <v>857</v>
      </c>
      <c r="C1123" s="27" t="s">
        <v>858</v>
      </c>
      <c r="D1123" s="27" t="s">
        <v>801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1380</v>
      </c>
      <c r="B1124" s="27" t="s">
        <v>846</v>
      </c>
      <c r="C1124" s="27" t="s">
        <v>858</v>
      </c>
      <c r="D1124" s="27" t="s">
        <v>801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803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/>
    </row>
    <row r="1127" spans="1:12">
      <c r="A1127" s="20" t="s">
        <v>1381</v>
      </c>
    </row>
    <row r="1128" spans="1:12">
      <c r="A1128" s="20" t="s">
        <v>1382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1383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1384</v>
      </c>
      <c r="B1130" s="27" t="s">
        <v>921</v>
      </c>
      <c r="C1130" s="27" t="s">
        <v>816</v>
      </c>
      <c r="D1130" s="27" t="s">
        <v>801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959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1385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1386</v>
      </c>
      <c r="B1133" s="27" t="s">
        <v>799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1387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1388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797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1389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1390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803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/>
    </row>
    <row r="1141" spans="1:12">
      <c r="A1141" s="20" t="s">
        <v>1391</v>
      </c>
    </row>
    <row r="1142" spans="1:12">
      <c r="A1142" s="20" t="s">
        <v>1392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1303</v>
      </c>
      <c r="B1143" s="27" t="s">
        <v>921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1393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795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877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1394</v>
      </c>
      <c r="B1147" s="27" t="s">
        <v>849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1395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817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1396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122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825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62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795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1282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1397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1398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795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825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1399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1070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817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1282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1194</v>
      </c>
      <c r="B1164" s="27" t="s">
        <v>1001</v>
      </c>
      <c r="C1164" s="27" t="s">
        <v>816</v>
      </c>
      <c r="D1164" s="27" t="s">
        <v>801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1400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803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1401</v>
      </c>
    </row>
    <row r="1169" spans="1:12">
      <c r="A1169" s="20" t="s">
        <v>1402</v>
      </c>
      <c r="B1169" s="27" t="s">
        <v>921</v>
      </c>
      <c r="C1169" s="27" t="s">
        <v>816</v>
      </c>
      <c r="D1169" s="27" t="s">
        <v>801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1403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1404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1405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837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1406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795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1213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325</v>
      </c>
      <c r="B1177" s="27" t="s">
        <v>874</v>
      </c>
      <c r="C1177" s="27" t="s">
        <v>816</v>
      </c>
      <c r="D1177" s="27" t="s">
        <v>801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1407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1408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647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803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/>
    </row>
    <row r="1183" spans="1:12">
      <c r="A1183" s="20" t="s">
        <v>1409</v>
      </c>
    </row>
    <row r="1184" spans="1:12">
      <c r="A1184" s="20" t="s">
        <v>934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955</v>
      </c>
      <c r="B1185" s="27" t="s">
        <v>857</v>
      </c>
      <c r="C1185" s="27" t="s">
        <v>816</v>
      </c>
      <c r="D1185" s="27" t="s">
        <v>801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962</v>
      </c>
      <c r="B1186" s="27" t="s">
        <v>799</v>
      </c>
      <c r="C1186" s="27" t="s">
        <v>855</v>
      </c>
      <c r="D1186" s="27" t="s">
        <v>801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1410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793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978</v>
      </c>
      <c r="B1189" s="27" t="s">
        <v>842</v>
      </c>
      <c r="C1189" s="27" t="s">
        <v>800</v>
      </c>
      <c r="D1189" s="27" t="s">
        <v>801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803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/>
    </row>
    <row r="1192" spans="1:12">
      <c r="A1192" s="20" t="s">
        <v>1411</v>
      </c>
    </row>
    <row r="1193" spans="1:12">
      <c r="A1193" s="20" t="s">
        <v>1154</v>
      </c>
      <c r="B1193" s="27" t="s">
        <v>799</v>
      </c>
      <c r="C1193" s="27" t="s">
        <v>816</v>
      </c>
      <c r="D1193" s="27" t="s">
        <v>801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1412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1413</v>
      </c>
      <c r="B1195" s="27" t="s">
        <v>921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1414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803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/>
    </row>
    <row r="1199" spans="1:12">
      <c r="A1199" s="20" t="s">
        <v>1415</v>
      </c>
    </row>
    <row r="1200" spans="1:12">
      <c r="A1200" s="20" t="s">
        <v>1416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795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938</v>
      </c>
      <c r="B1202" s="27" t="s">
        <v>799</v>
      </c>
      <c r="C1202" s="27" t="s">
        <v>816</v>
      </c>
      <c r="D1202" s="27" t="s">
        <v>801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817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1109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1417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1418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825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817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1419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1420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1421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1422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795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1114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938</v>
      </c>
      <c r="B1215" s="27" t="s">
        <v>849</v>
      </c>
      <c r="C1215" s="27" t="s">
        <v>816</v>
      </c>
      <c r="D1215" s="27" t="s">
        <v>801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1423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1424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1425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863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1426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1427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1428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825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1429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1430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1431</v>
      </c>
      <c r="B1226" s="27" t="s">
        <v>1156</v>
      </c>
      <c r="C1226" s="27" t="s">
        <v>858</v>
      </c>
      <c r="D1226" s="27" t="s">
        <v>801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980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1432</v>
      </c>
      <c r="B1228" s="27" t="s">
        <v>857</v>
      </c>
      <c r="C1228" s="27" t="s">
        <v>816</v>
      </c>
      <c r="D1228" s="27" t="s">
        <v>801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803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/>
    </row>
    <row r="1231" spans="1:12">
      <c r="A1231" s="20" t="s">
        <v>1433</v>
      </c>
    </row>
    <row r="1232" spans="1:12">
      <c r="A1232" s="20" t="s">
        <v>1434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986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960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795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325</v>
      </c>
      <c r="B1236" s="27" t="s">
        <v>849</v>
      </c>
      <c r="C1236" s="27" t="s">
        <v>816</v>
      </c>
      <c r="D1236" s="27" t="s">
        <v>801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1435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125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1436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1437</v>
      </c>
      <c r="B1240" s="27" t="s">
        <v>857</v>
      </c>
      <c r="C1240" s="27" t="s">
        <v>843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803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/>
    </row>
    <row r="1243" spans="1:12">
      <c r="A1243" s="20" t="s">
        <v>1438</v>
      </c>
    </row>
    <row r="1244" spans="1:12">
      <c r="A1244" s="20" t="s">
        <v>1439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798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1351</v>
      </c>
      <c r="B1246" s="27" t="s">
        <v>842</v>
      </c>
      <c r="C1246" s="27" t="s">
        <v>1095</v>
      </c>
      <c r="D1246" s="27" t="s">
        <v>801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795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979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1384</v>
      </c>
      <c r="B1249" s="27" t="s">
        <v>1156</v>
      </c>
      <c r="C1249" s="27" t="s">
        <v>816</v>
      </c>
      <c r="D1249" s="27" t="s">
        <v>801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1440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1441</v>
      </c>
      <c r="B1251" s="27" t="s">
        <v>1156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795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325</v>
      </c>
      <c r="B1253" s="27" t="s">
        <v>799</v>
      </c>
      <c r="C1253" s="27" t="s">
        <v>816</v>
      </c>
      <c r="D1253" s="27" t="s">
        <v>801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817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1442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1443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1444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825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822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1445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797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325</v>
      </c>
      <c r="B1262" s="27" t="s">
        <v>874</v>
      </c>
      <c r="C1262" s="27" t="s">
        <v>816</v>
      </c>
      <c r="D1262" s="27" t="s">
        <v>801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913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122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803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/>
    </row>
    <row r="1267" spans="1:12">
      <c r="A1267" s="20" t="s">
        <v>1446</v>
      </c>
    </row>
    <row r="1268" spans="1:12">
      <c r="A1268" s="20" t="s">
        <v>1355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1406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955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1447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1448</v>
      </c>
      <c r="B1272" s="27" t="s">
        <v>921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795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1213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1449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894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1450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803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/>
    </row>
    <row r="1280" spans="1:12">
      <c r="A1280" s="20" t="s">
        <v>1451</v>
      </c>
    </row>
    <row r="1281" spans="1:12">
      <c r="A1281" s="20" t="s">
        <v>1452</v>
      </c>
      <c r="B1281" s="27" t="s">
        <v>799</v>
      </c>
      <c r="C1281" s="27" t="s">
        <v>816</v>
      </c>
      <c r="D1281" s="27" t="s">
        <v>801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1453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1454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795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991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1384</v>
      </c>
      <c r="B1286" s="27" t="s">
        <v>891</v>
      </c>
      <c r="C1286" s="27" t="s">
        <v>816</v>
      </c>
      <c r="D1286" s="27" t="s">
        <v>801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1455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1456</v>
      </c>
      <c r="B1288" s="27" t="s">
        <v>857</v>
      </c>
      <c r="C1288" s="27" t="s">
        <v>816</v>
      </c>
      <c r="D1288" s="27" t="s">
        <v>801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835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1457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803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1458</v>
      </c>
    </row>
    <row r="1294" spans="1:12">
      <c r="A1294" s="20" t="s">
        <v>1355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1459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325</v>
      </c>
      <c r="B1296" s="27" t="s">
        <v>799</v>
      </c>
      <c r="C1296" s="27" t="s">
        <v>816</v>
      </c>
      <c r="D1296" s="27" t="s">
        <v>801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1460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876</v>
      </c>
      <c r="B1298" s="27" t="s">
        <v>842</v>
      </c>
      <c r="C1298" s="27" t="s">
        <v>800</v>
      </c>
      <c r="D1298" s="27" t="s">
        <v>801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795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1219</v>
      </c>
      <c r="B1300" s="27" t="s">
        <v>957</v>
      </c>
      <c r="C1300" s="27" t="s">
        <v>879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817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1461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305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1462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1463</v>
      </c>
      <c r="B1305" s="27" t="s">
        <v>1001</v>
      </c>
      <c r="C1305" s="27" t="s">
        <v>1275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911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955</v>
      </c>
      <c r="B1307" s="27" t="s">
        <v>953</v>
      </c>
      <c r="C1307" s="27" t="s">
        <v>896</v>
      </c>
      <c r="D1307" s="27" t="s">
        <v>801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1464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803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/>
    </row>
    <row r="1311" spans="1:12">
      <c r="A1311" s="20" t="s">
        <v>1465</v>
      </c>
    </row>
    <row r="1312" spans="1:12">
      <c r="A1312" s="20" t="s">
        <v>1452</v>
      </c>
      <c r="B1312" s="27" t="s">
        <v>799</v>
      </c>
      <c r="C1312" s="27" t="s">
        <v>816</v>
      </c>
      <c r="D1312" s="27" t="s">
        <v>801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959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1466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837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1467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795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1468</v>
      </c>
      <c r="B1318" s="27" t="s">
        <v>849</v>
      </c>
      <c r="C1318" s="27" t="s">
        <v>879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1469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837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1470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795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1078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325</v>
      </c>
      <c r="B1324" s="27" t="s">
        <v>943</v>
      </c>
      <c r="C1324" s="27" t="s">
        <v>816</v>
      </c>
      <c r="D1324" s="27" t="s">
        <v>801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1471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837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1472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825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1473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1474</v>
      </c>
      <c r="B1330" s="27" t="s">
        <v>878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795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1475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1476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1062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955</v>
      </c>
      <c r="B1335" s="27" t="s">
        <v>1477</v>
      </c>
      <c r="C1335" s="27" t="s">
        <v>816</v>
      </c>
      <c r="D1335" s="27" t="s">
        <v>801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1478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1479</v>
      </c>
      <c r="B1337" s="27" t="s">
        <v>1480</v>
      </c>
      <c r="C1337" s="27" t="s">
        <v>855</v>
      </c>
      <c r="D1337" s="27" t="s">
        <v>801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803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/>
    </row>
    <row r="1340" spans="1:12">
      <c r="A1340" s="20" t="s">
        <v>1481</v>
      </c>
    </row>
    <row r="1341" spans="1:12">
      <c r="A1341" s="20" t="s">
        <v>1482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955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962</v>
      </c>
      <c r="B1343" s="27" t="s">
        <v>799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1483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1484</v>
      </c>
      <c r="B1345" s="27" t="s">
        <v>921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795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860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872</v>
      </c>
      <c r="B1348" s="27" t="s">
        <v>857</v>
      </c>
      <c r="C1348" s="27" t="s">
        <v>800</v>
      </c>
      <c r="D1348" s="27" t="s">
        <v>801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795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822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1485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1414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795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837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59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1351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822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1394</v>
      </c>
      <c r="B1358" s="27" t="s">
        <v>878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959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837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1486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1487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803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/>
    </row>
    <row r="1365" spans="1:12">
      <c r="A1365" s="20" t="s">
        <v>1488</v>
      </c>
    </row>
    <row r="1366" spans="1:12">
      <c r="A1366" s="20" t="s">
        <v>1154</v>
      </c>
      <c r="B1366" s="27" t="s">
        <v>799</v>
      </c>
      <c r="C1366" s="27" t="s">
        <v>816</v>
      </c>
      <c r="D1366" s="27" t="s">
        <v>801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929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964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1018</v>
      </c>
      <c r="B1369" s="27" t="s">
        <v>849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1489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1490</v>
      </c>
      <c r="B1371" s="27" t="s">
        <v>891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795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1491</v>
      </c>
      <c r="B1373" s="27" t="s">
        <v>1121</v>
      </c>
      <c r="C1373" s="27" t="s">
        <v>879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1492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817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1493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970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1494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980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1495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803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/>
    </row>
    <row r="1383" spans="1:12">
      <c r="A1383" s="20" t="s">
        <v>1496</v>
      </c>
    </row>
    <row r="1384" spans="1:12">
      <c r="A1384" s="20" t="s">
        <v>868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949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870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1018</v>
      </c>
      <c r="B1387" s="27" t="s">
        <v>799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1497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795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1498</v>
      </c>
      <c r="B1390" s="27" t="s">
        <v>921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955</v>
      </c>
      <c r="B1391" s="27" t="s">
        <v>846</v>
      </c>
      <c r="C1391" s="27" t="s">
        <v>816</v>
      </c>
      <c r="D1391" s="27" t="s">
        <v>801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1499</v>
      </c>
      <c r="B1392" s="27" t="s">
        <v>857</v>
      </c>
      <c r="C1392" s="27" t="s">
        <v>855</v>
      </c>
      <c r="D1392" s="27" t="s">
        <v>801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797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697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1500</v>
      </c>
      <c r="B1395" s="27" t="s">
        <v>891</v>
      </c>
      <c r="C1395" s="27" t="s">
        <v>843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795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925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955</v>
      </c>
      <c r="B1398" s="27" t="s">
        <v>846</v>
      </c>
      <c r="C1398" s="27" t="s">
        <v>816</v>
      </c>
      <c r="D1398" s="27" t="s">
        <v>801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797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359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803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/>
    </row>
    <row r="1403" spans="1:12">
      <c r="A1403" s="20" t="s">
        <v>1501</v>
      </c>
    </row>
    <row r="1404" spans="1:12">
      <c r="A1404" s="20" t="s">
        <v>1502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1503</v>
      </c>
      <c r="B1405" s="27" t="s">
        <v>799</v>
      </c>
      <c r="C1405" s="27" t="s">
        <v>843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1504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1062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1505</v>
      </c>
      <c r="B1408" s="27" t="s">
        <v>842</v>
      </c>
      <c r="C1408" s="27" t="s">
        <v>816</v>
      </c>
      <c r="D1408" s="27" t="s">
        <v>801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797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798</v>
      </c>
      <c r="B1410" s="27" t="s">
        <v>799</v>
      </c>
      <c r="C1410" s="27" t="s">
        <v>800</v>
      </c>
      <c r="D1410" s="27" t="s">
        <v>801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1506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1062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1432</v>
      </c>
      <c r="B1413" s="27" t="s">
        <v>842</v>
      </c>
      <c r="C1413" s="27" t="s">
        <v>816</v>
      </c>
      <c r="D1413" s="27" t="s">
        <v>801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803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1507</v>
      </c>
    </row>
    <row r="1417" spans="1:12">
      <c r="A1417" s="20" t="s">
        <v>1016</v>
      </c>
      <c r="B1417" s="27" t="s">
        <v>799</v>
      </c>
      <c r="C1417" s="27" t="s">
        <v>816</v>
      </c>
      <c r="D1417" s="27" t="s">
        <v>801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1508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795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877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817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1509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1352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333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825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1510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955</v>
      </c>
      <c r="B1427" s="27" t="s">
        <v>1001</v>
      </c>
      <c r="C1427" s="27" t="s">
        <v>816</v>
      </c>
      <c r="D1427" s="27" t="s">
        <v>801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1511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803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/>
    </row>
    <row r="1431" spans="1:12">
      <c r="A1431" s="20" t="s">
        <v>1512</v>
      </c>
    </row>
    <row r="1432" spans="1:12">
      <c r="A1432" s="20" t="s">
        <v>1016</v>
      </c>
      <c r="B1432" s="27" t="s">
        <v>799</v>
      </c>
      <c r="C1432" s="27" t="s">
        <v>816</v>
      </c>
      <c r="D1432" s="27" t="s">
        <v>801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1513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1414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825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1514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1384</v>
      </c>
      <c r="B1437" s="27" t="s">
        <v>891</v>
      </c>
      <c r="C1437" s="27" t="s">
        <v>816</v>
      </c>
      <c r="D1437" s="27" t="s">
        <v>801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40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1515</v>
      </c>
      <c r="B1439" s="27" t="s">
        <v>857</v>
      </c>
      <c r="C1439" s="27" t="s">
        <v>843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970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1516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803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/>
    </row>
    <row r="1444" spans="1:12">
      <c r="A1444" s="20" t="s">
        <v>1517</v>
      </c>
    </row>
    <row r="1445" spans="1:12">
      <c r="A1445" s="20" t="s">
        <v>851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991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837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1518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1519</v>
      </c>
      <c r="B1449" s="27" t="s">
        <v>842</v>
      </c>
      <c r="C1449" s="27" t="s">
        <v>1095</v>
      </c>
      <c r="D1449" s="27" t="s">
        <v>801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795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844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325</v>
      </c>
      <c r="B1452" s="27" t="s">
        <v>874</v>
      </c>
      <c r="C1452" s="27" t="s">
        <v>816</v>
      </c>
      <c r="D1452" s="27" t="s">
        <v>801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1520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795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935</v>
      </c>
      <c r="B1455" s="27" t="s">
        <v>799</v>
      </c>
      <c r="C1455" s="27" t="s">
        <v>816</v>
      </c>
      <c r="D1455" s="27" t="s">
        <v>801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825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192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817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1521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795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877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837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1522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845</v>
      </c>
      <c r="B1464" s="27" t="s">
        <v>891</v>
      </c>
      <c r="C1464" s="27" t="s">
        <v>816</v>
      </c>
      <c r="D1464" s="27" t="s">
        <v>801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1523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1524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795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877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325</v>
      </c>
      <c r="B1469" s="27" t="s">
        <v>943</v>
      </c>
      <c r="C1469" s="27" t="s">
        <v>816</v>
      </c>
      <c r="D1469" s="27" t="s">
        <v>801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1282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1525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825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1526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970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1527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894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1528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803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/>
    </row>
    <row r="1480" spans="1:12">
      <c r="A1480" s="20" t="s">
        <v>1529</v>
      </c>
    </row>
    <row r="1481" spans="1:12">
      <c r="A1481" s="20" t="s">
        <v>1016</v>
      </c>
      <c r="B1481" s="27" t="s">
        <v>799</v>
      </c>
      <c r="C1481" s="27" t="s">
        <v>816</v>
      </c>
      <c r="D1481" s="27" t="s">
        <v>801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1530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1116</v>
      </c>
      <c r="B1483" s="27" t="s">
        <v>921</v>
      </c>
      <c r="C1483" s="27" t="s">
        <v>816</v>
      </c>
      <c r="D1483" s="27" t="s">
        <v>801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964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1531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1532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795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877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976</v>
      </c>
      <c r="B1489" s="27" t="s">
        <v>874</v>
      </c>
      <c r="C1489" s="27" t="s">
        <v>816</v>
      </c>
      <c r="D1489" s="27" t="s">
        <v>801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1533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795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1062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876</v>
      </c>
      <c r="B1493" s="27" t="s">
        <v>846</v>
      </c>
      <c r="C1493" s="27" t="s">
        <v>800</v>
      </c>
      <c r="D1493" s="27" t="s">
        <v>801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795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1213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325</v>
      </c>
      <c r="B1496" s="27" t="s">
        <v>878</v>
      </c>
      <c r="C1496" s="27" t="s">
        <v>816</v>
      </c>
      <c r="D1496" s="27" t="s">
        <v>801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1534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1535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1536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795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1537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795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1538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1539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883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1540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1154</v>
      </c>
      <c r="B1507" s="27" t="s">
        <v>1179</v>
      </c>
      <c r="C1507" s="27" t="s">
        <v>816</v>
      </c>
      <c r="D1507" s="27" t="s">
        <v>801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1541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964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1542</v>
      </c>
      <c r="B1510" s="27" t="s">
        <v>1543</v>
      </c>
      <c r="C1510" s="27" t="s">
        <v>816</v>
      </c>
      <c r="D1510" s="27" t="s">
        <v>801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935</v>
      </c>
      <c r="B1511" s="27" t="s">
        <v>881</v>
      </c>
      <c r="C1511" s="27" t="s">
        <v>816</v>
      </c>
      <c r="D1511" s="27" t="s">
        <v>801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1533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883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/>
    </row>
    <row r="1515" spans="1:12">
      <c r="A1515" s="20" t="s">
        <v>1544</v>
      </c>
    </row>
    <row r="1516" spans="1:12">
      <c r="A1516" s="20" t="s">
        <v>1545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1546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955</v>
      </c>
      <c r="B1518" s="27" t="s">
        <v>921</v>
      </c>
      <c r="C1518" s="27" t="s">
        <v>816</v>
      </c>
      <c r="D1518" s="27" t="s">
        <v>801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803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/>
    </row>
    <row r="1521" spans="1:12">
      <c r="A1521" s="20" t="s">
        <v>1547</v>
      </c>
    </row>
    <row r="1522" spans="1:12">
      <c r="A1522" s="20" t="s">
        <v>1379</v>
      </c>
      <c r="B1522" s="27" t="s">
        <v>799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1338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959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1536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795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925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955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1548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825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845</v>
      </c>
      <c r="B1531" s="27" t="s">
        <v>891</v>
      </c>
      <c r="C1531" s="27" t="s">
        <v>816</v>
      </c>
      <c r="D1531" s="27" t="s">
        <v>801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1352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1549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219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1550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795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1468</v>
      </c>
      <c r="B1537" s="27" t="s">
        <v>943</v>
      </c>
      <c r="C1537" s="27" t="s">
        <v>879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798</v>
      </c>
      <c r="B1538" s="27" t="s">
        <v>1001</v>
      </c>
      <c r="C1538" s="27" t="s">
        <v>800</v>
      </c>
      <c r="D1538" s="27" t="s">
        <v>801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1551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803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/>
    </row>
    <row r="1542" spans="1:12">
      <c r="A1542" s="20" t="s">
        <v>1552</v>
      </c>
    </row>
    <row r="1543" spans="1:12">
      <c r="A1543" s="20" t="s">
        <v>1016</v>
      </c>
      <c r="B1543" s="27" t="s">
        <v>799</v>
      </c>
      <c r="C1543" s="27" t="s">
        <v>816</v>
      </c>
      <c r="D1543" s="27" t="s">
        <v>801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1553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1462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391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1554</v>
      </c>
      <c r="B1547" s="27" t="s">
        <v>921</v>
      </c>
      <c r="C1547" s="27" t="s">
        <v>843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1555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1556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803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/>
    </row>
    <row r="1552" spans="1:12">
      <c r="A1552" s="20" t="s">
        <v>1557</v>
      </c>
    </row>
    <row r="1553" spans="1:12">
      <c r="A1553" s="20" t="s">
        <v>1558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795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356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837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1559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1560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795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1561</v>
      </c>
      <c r="B1560" s="27" t="s">
        <v>857</v>
      </c>
      <c r="C1560" s="27" t="s">
        <v>855</v>
      </c>
      <c r="D1560" s="27" t="s">
        <v>801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1562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1563</v>
      </c>
      <c r="B1562" s="27" t="s">
        <v>846</v>
      </c>
      <c r="C1562" s="27" t="s">
        <v>858</v>
      </c>
      <c r="D1562" s="27" t="s">
        <v>801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795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1564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1565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1566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863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1567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803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  <row r="1571" spans="1:12">
      <c r="A1571" s="20" t="s">
        <v>1568</v>
      </c>
    </row>
    <row r="1572" spans="1:12">
      <c r="A1572" s="20" t="s">
        <v>1452</v>
      </c>
      <c r="B1572" s="27" t="s">
        <v>799</v>
      </c>
      <c r="C1572" s="27" t="s">
        <v>816</v>
      </c>
      <c r="D1572" s="27" t="s">
        <v>801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1017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964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1569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1570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1571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973</v>
      </c>
      <c r="B1578" s="27" t="s">
        <v>1001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1572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795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1573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793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1405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894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1574</v>
      </c>
      <c r="B1585" s="27" t="s">
        <v>953</v>
      </c>
      <c r="C1585" s="27" t="s">
        <v>855</v>
      </c>
      <c r="D1585" s="27" t="s">
        <v>801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1575</v>
      </c>
      <c r="B1586" s="27" t="s">
        <v>1480</v>
      </c>
      <c r="C1586" s="27" t="s">
        <v>858</v>
      </c>
      <c r="D1586" s="27" t="s">
        <v>801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795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1362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1363</v>
      </c>
      <c r="B1589" s="27" t="s">
        <v>957</v>
      </c>
      <c r="C1589" s="27" t="s">
        <v>855</v>
      </c>
      <c r="D1589" s="27" t="s">
        <v>801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793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876</v>
      </c>
      <c r="B1591" s="27" t="s">
        <v>829</v>
      </c>
      <c r="C1591" s="27" t="s">
        <v>800</v>
      </c>
      <c r="D1591" s="27" t="s">
        <v>801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795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1576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1577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976</v>
      </c>
      <c r="B1595" s="27" t="s">
        <v>881</v>
      </c>
      <c r="C1595" s="27" t="s">
        <v>816</v>
      </c>
      <c r="D1595" s="27" t="s">
        <v>801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955</v>
      </c>
      <c r="B1596" s="27" t="s">
        <v>1543</v>
      </c>
      <c r="C1596" s="27" t="s">
        <v>816</v>
      </c>
      <c r="D1596" s="27" t="s">
        <v>801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837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1578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1579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1130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1580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894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1581</v>
      </c>
      <c r="B1603" s="27" t="s">
        <v>1477</v>
      </c>
      <c r="C1603" s="27" t="s">
        <v>816</v>
      </c>
      <c r="D1603" s="27" t="s">
        <v>801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970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1582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803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/>
    </row>
    <row r="1608" spans="1:12">
      <c r="A1608" s="20" t="s">
        <v>1583</v>
      </c>
    </row>
    <row r="1609" spans="1:12">
      <c r="A1609" s="20" t="s">
        <v>1416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795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798</v>
      </c>
      <c r="B1611" s="27" t="s">
        <v>799</v>
      </c>
      <c r="C1611" s="27" t="s">
        <v>800</v>
      </c>
      <c r="D1611" s="27" t="s">
        <v>801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1584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825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1585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803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/>
    </row>
    <row r="1617" spans="1:12">
      <c r="A1617" s="20" t="s">
        <v>1586</v>
      </c>
    </row>
    <row r="1618" spans="1:12">
      <c r="A1618" s="20" t="s">
        <v>934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1587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817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1588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219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1572</v>
      </c>
      <c r="B1623" s="27" t="s">
        <v>799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803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/>
    </row>
    <row r="1626" spans="1:12">
      <c r="A1626" s="20" t="s">
        <v>1589</v>
      </c>
    </row>
    <row r="1627" spans="1:12">
      <c r="A1627" s="20" t="s">
        <v>1590</v>
      </c>
      <c r="B1627" s="27" t="s">
        <v>799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1572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1591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795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1592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791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976</v>
      </c>
      <c r="B1633" s="27" t="s">
        <v>849</v>
      </c>
      <c r="C1633" s="27" t="s">
        <v>816</v>
      </c>
      <c r="D1633" s="27" t="s">
        <v>801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1593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1594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1595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795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925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1046</v>
      </c>
      <c r="B1639" s="27" t="s">
        <v>849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894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1574</v>
      </c>
      <c r="B1641" s="27" t="s">
        <v>846</v>
      </c>
      <c r="C1641" s="27" t="s">
        <v>855</v>
      </c>
      <c r="D1641" s="27" t="s">
        <v>801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1575</v>
      </c>
      <c r="B1642" s="27" t="s">
        <v>957</v>
      </c>
      <c r="C1642" s="27" t="s">
        <v>858</v>
      </c>
      <c r="D1642" s="27" t="s">
        <v>801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797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817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1596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803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/>
    </row>
    <row r="1648" spans="1:12">
      <c r="A1648" s="20" t="s">
        <v>1597</v>
      </c>
    </row>
    <row r="1649" spans="1:12">
      <c r="A1649" s="20" t="s">
        <v>1342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1598</v>
      </c>
      <c r="B1650" s="27" t="s">
        <v>799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1599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860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872</v>
      </c>
      <c r="B1653" s="27" t="s">
        <v>842</v>
      </c>
      <c r="C1653" s="27" t="s">
        <v>800</v>
      </c>
      <c r="D1653" s="27" t="s">
        <v>801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795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1600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1601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1602</v>
      </c>
      <c r="B1657" s="27" t="s">
        <v>846</v>
      </c>
      <c r="C1657" s="27" t="s">
        <v>1366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873</v>
      </c>
      <c r="B1658" s="27" t="s">
        <v>874</v>
      </c>
      <c r="C1658" s="27" t="s">
        <v>816</v>
      </c>
      <c r="D1658" s="27" t="s">
        <v>801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1603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837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1604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1605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827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1606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803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/>
    </row>
    <row r="1667" spans="1:12">
      <c r="A1667" s="20" t="s">
        <v>1607</v>
      </c>
    </row>
    <row r="1668" spans="1:12">
      <c r="A1668" s="20" t="s">
        <v>1608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1273</v>
      </c>
      <c r="B1669" s="27" t="s">
        <v>842</v>
      </c>
      <c r="C1669" s="27" t="s">
        <v>800</v>
      </c>
      <c r="D1669" s="27" t="s">
        <v>801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1609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1610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1161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1611</v>
      </c>
      <c r="B1673" s="27" t="s">
        <v>799</v>
      </c>
      <c r="C1673" s="27" t="s">
        <v>843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1612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803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/>
    </row>
    <row r="1677" spans="1:12">
      <c r="A1677" s="20" t="s">
        <v>1613</v>
      </c>
    </row>
    <row r="1678" spans="1:12">
      <c r="A1678" s="20" t="s">
        <v>934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873</v>
      </c>
      <c r="B1679" s="27" t="s">
        <v>799</v>
      </c>
      <c r="C1679" s="27" t="s">
        <v>816</v>
      </c>
      <c r="D1679" s="27" t="s">
        <v>801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1614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795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822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1615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827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1264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894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1616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1617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1618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795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822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873</v>
      </c>
      <c r="B1692" s="27" t="s">
        <v>874</v>
      </c>
      <c r="C1692" s="27" t="s">
        <v>816</v>
      </c>
      <c r="D1692" s="27" t="s">
        <v>801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1615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827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1619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795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1620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1621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873</v>
      </c>
      <c r="B1699" s="27" t="s">
        <v>874</v>
      </c>
      <c r="C1699" s="27" t="s">
        <v>816</v>
      </c>
      <c r="D1699" s="27" t="s">
        <v>801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906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803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/>
    </row>
    <row r="1703" spans="1:12">
      <c r="A1703" s="20" t="s">
        <v>1622</v>
      </c>
    </row>
    <row r="1704" spans="1:12">
      <c r="A1704" s="20" t="s">
        <v>934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1623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1624</v>
      </c>
      <c r="B1706" s="27" t="s">
        <v>921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795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1330</v>
      </c>
      <c r="B1708" s="27" t="s">
        <v>1001</v>
      </c>
      <c r="C1708" s="27" t="s">
        <v>879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415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1625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1626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795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873</v>
      </c>
      <c r="B1713" s="27" t="s">
        <v>799</v>
      </c>
      <c r="C1713" s="27" t="s">
        <v>816</v>
      </c>
      <c r="D1713" s="27" t="s">
        <v>801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817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1627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1417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1628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803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/>
    </row>
    <row r="1720" spans="1:12">
      <c r="A1720" s="20" t="s">
        <v>1629</v>
      </c>
    </row>
    <row r="1721" spans="1:12">
      <c r="A1721" s="20" t="s">
        <v>1630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911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1631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795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980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1375</v>
      </c>
      <c r="B1726" s="27" t="s">
        <v>857</v>
      </c>
      <c r="C1726" s="27" t="s">
        <v>879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935</v>
      </c>
      <c r="B1727" s="27" t="s">
        <v>849</v>
      </c>
      <c r="C1727" s="27" t="s">
        <v>816</v>
      </c>
      <c r="D1727" s="27" t="s">
        <v>801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1632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1633</v>
      </c>
      <c r="B1729" s="27" t="s">
        <v>891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795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797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1231</v>
      </c>
      <c r="B1732" s="27" t="s">
        <v>846</v>
      </c>
      <c r="C1732" s="27" t="s">
        <v>855</v>
      </c>
      <c r="D1732" s="27" t="s">
        <v>801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1634</v>
      </c>
      <c r="B1733" s="27" t="s">
        <v>957</v>
      </c>
      <c r="C1733" s="27" t="s">
        <v>858</v>
      </c>
      <c r="D1733" s="27" t="s">
        <v>801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825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1635</v>
      </c>
      <c r="B1735" s="27" t="s">
        <v>957</v>
      </c>
      <c r="C1735" s="27" t="s">
        <v>858</v>
      </c>
      <c r="D1735" s="27" t="s">
        <v>801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1636</v>
      </c>
      <c r="B1736" s="27" t="s">
        <v>829</v>
      </c>
      <c r="C1736" s="27" t="s">
        <v>858</v>
      </c>
      <c r="D1736" s="27" t="s">
        <v>801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803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/>
    </row>
    <row r="1739" spans="1:12">
      <c r="A1739" s="20" t="s">
        <v>1637</v>
      </c>
    </row>
    <row r="1740" spans="1:12">
      <c r="A1740" s="20" t="s">
        <v>1638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825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1639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1640</v>
      </c>
      <c r="B1743" s="27" t="s">
        <v>842</v>
      </c>
      <c r="C1743" s="27" t="s">
        <v>855</v>
      </c>
      <c r="D1743" s="27" t="s">
        <v>801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1641</v>
      </c>
      <c r="B1744" s="27" t="s">
        <v>842</v>
      </c>
      <c r="C1744" s="27" t="s">
        <v>858</v>
      </c>
      <c r="D1744" s="27" t="s">
        <v>801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795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1047</v>
      </c>
      <c r="B1746" s="27" t="s">
        <v>849</v>
      </c>
      <c r="C1746" s="27" t="s">
        <v>816</v>
      </c>
      <c r="D1746" s="27" t="s">
        <v>801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906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1642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795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844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980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1194</v>
      </c>
      <c r="B1752" s="27" t="s">
        <v>957</v>
      </c>
      <c r="C1752" s="27" t="s">
        <v>896</v>
      </c>
      <c r="D1752" s="27" t="s">
        <v>801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1643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1644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1645</v>
      </c>
      <c r="B1755" s="27" t="s">
        <v>846</v>
      </c>
      <c r="C1755" s="27" t="s">
        <v>855</v>
      </c>
      <c r="D1755" s="27" t="s">
        <v>801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1575</v>
      </c>
      <c r="B1756" s="27" t="s">
        <v>957</v>
      </c>
      <c r="C1756" s="27" t="s">
        <v>858</v>
      </c>
      <c r="D1756" s="27" t="s">
        <v>801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803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/>
    </row>
    <row r="1759" spans="1:12">
      <c r="A1759" s="20" t="s">
        <v>1646</v>
      </c>
    </row>
    <row r="1760" spans="1:12">
      <c r="A1760" s="20" t="s">
        <v>1402</v>
      </c>
      <c r="B1760" s="27" t="s">
        <v>921</v>
      </c>
      <c r="C1760" s="27" t="s">
        <v>816</v>
      </c>
      <c r="D1760" s="27" t="s">
        <v>801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1647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795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877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1648</v>
      </c>
      <c r="B1764" s="27" t="s">
        <v>849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1649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817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1650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1194</v>
      </c>
      <c r="B1768" s="27" t="s">
        <v>846</v>
      </c>
      <c r="C1768" s="27" t="s">
        <v>896</v>
      </c>
      <c r="D1768" s="27" t="s">
        <v>801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967</v>
      </c>
      <c r="B1769" s="27" t="s">
        <v>891</v>
      </c>
      <c r="C1769" s="27" t="s">
        <v>855</v>
      </c>
      <c r="D1769" s="27" t="s">
        <v>801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876</v>
      </c>
      <c r="B1770" s="27" t="s">
        <v>846</v>
      </c>
      <c r="C1770" s="27" t="s">
        <v>800</v>
      </c>
      <c r="D1770" s="27" t="s">
        <v>801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795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877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1047</v>
      </c>
      <c r="B1773" s="27" t="s">
        <v>878</v>
      </c>
      <c r="C1773" s="27" t="s">
        <v>816</v>
      </c>
      <c r="D1773" s="27" t="s">
        <v>801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1651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795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825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1047</v>
      </c>
      <c r="B1777" s="27" t="s">
        <v>1179</v>
      </c>
      <c r="C1777" s="27" t="s">
        <v>816</v>
      </c>
      <c r="D1777" s="27" t="s">
        <v>801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1652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1653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1654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1655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1656</v>
      </c>
      <c r="B1782" s="27" t="s">
        <v>1543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797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1657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1658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1659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1660</v>
      </c>
      <c r="B1787" s="27" t="s">
        <v>953</v>
      </c>
      <c r="C1787" s="27" t="s">
        <v>843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837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1661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894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1662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1616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1359</v>
      </c>
      <c r="B1793" s="27" t="s">
        <v>1477</v>
      </c>
      <c r="C1793" s="27" t="s">
        <v>843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797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1062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1663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1186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894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1574</v>
      </c>
      <c r="B1799" s="27" t="s">
        <v>1664</v>
      </c>
      <c r="C1799" s="27" t="s">
        <v>855</v>
      </c>
      <c r="D1799" s="27" t="s">
        <v>801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1575</v>
      </c>
      <c r="B1800" s="27" t="s">
        <v>1665</v>
      </c>
      <c r="C1800" s="27" t="s">
        <v>858</v>
      </c>
      <c r="D1800" s="27" t="s">
        <v>801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803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/>
    </row>
    <row r="1803" spans="1:12">
      <c r="A1803" s="20" t="s">
        <v>1666</v>
      </c>
    </row>
    <row r="1804" spans="1:12">
      <c r="A1804" s="20" t="s">
        <v>1667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1668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1669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1656</v>
      </c>
      <c r="B1807" s="27" t="s">
        <v>799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1670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825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1671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1672</v>
      </c>
      <c r="B1811" s="27" t="s">
        <v>891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1673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1674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803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/>
    </row>
    <row r="1816" spans="1:12">
      <c r="A1816" s="20" t="s">
        <v>1675</v>
      </c>
    </row>
    <row r="1817" spans="1:12">
      <c r="A1817" s="20" t="s">
        <v>1676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1677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1678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1679</v>
      </c>
      <c r="B1820" s="27" t="s">
        <v>799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1186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795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1680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1681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1682</v>
      </c>
      <c r="B1825" s="27" t="s">
        <v>1001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803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/>
    </row>
    <row r="1828" spans="1:12">
      <c r="A1828" s="20" t="s">
        <v>1683</v>
      </c>
    </row>
    <row r="1829" spans="1:12">
      <c r="A1829" s="20" t="s">
        <v>1684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1685</v>
      </c>
      <c r="B1830" s="27" t="s">
        <v>842</v>
      </c>
      <c r="C1830" s="27" t="s">
        <v>855</v>
      </c>
      <c r="D1830" s="27" t="s">
        <v>801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1686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1687</v>
      </c>
      <c r="B1832" s="27" t="s">
        <v>857</v>
      </c>
      <c r="C1832" s="27" t="s">
        <v>1095</v>
      </c>
      <c r="D1832" s="27" t="s">
        <v>801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837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1559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1560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1688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1689</v>
      </c>
      <c r="B1837" s="27" t="s">
        <v>799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813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1036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894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1574</v>
      </c>
      <c r="B1841" s="27" t="s">
        <v>846</v>
      </c>
      <c r="C1841" s="27" t="s">
        <v>855</v>
      </c>
      <c r="D1841" s="27" t="s">
        <v>801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1575</v>
      </c>
      <c r="B1842" s="27" t="s">
        <v>957</v>
      </c>
      <c r="C1842" s="27" t="s">
        <v>858</v>
      </c>
      <c r="D1842" s="27" t="s">
        <v>801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1690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1691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803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/>
    </row>
    <row r="1847" spans="1:12">
      <c r="A1847" s="20" t="s">
        <v>1692</v>
      </c>
    </row>
    <row r="1848" spans="1:12">
      <c r="A1848" s="20" t="s">
        <v>1693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1036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894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1574</v>
      </c>
      <c r="B1851" s="27" t="s">
        <v>857</v>
      </c>
      <c r="C1851" s="27" t="s">
        <v>855</v>
      </c>
      <c r="D1851" s="27" t="s">
        <v>801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1575</v>
      </c>
      <c r="B1852" s="27" t="s">
        <v>846</v>
      </c>
      <c r="C1852" s="27" t="s">
        <v>858</v>
      </c>
      <c r="D1852" s="27" t="s">
        <v>801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415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1694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1695</v>
      </c>
      <c r="B1855" s="27" t="s">
        <v>891</v>
      </c>
      <c r="C1855" s="27" t="s">
        <v>855</v>
      </c>
      <c r="D1855" s="27" t="s">
        <v>801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1696</v>
      </c>
      <c r="B1856" s="27" t="s">
        <v>846</v>
      </c>
      <c r="C1856" s="27" t="s">
        <v>1095</v>
      </c>
      <c r="D1856" s="27" t="s">
        <v>801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825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1697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795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1468</v>
      </c>
      <c r="B1860" s="27" t="s">
        <v>1179</v>
      </c>
      <c r="C1860" s="27" t="s">
        <v>879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1698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1699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1700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1701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803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/>
    </row>
    <row r="1867" spans="1:12">
      <c r="A1867" s="20" t="s">
        <v>1702</v>
      </c>
    </row>
    <row r="1868" spans="1:12">
      <c r="A1868" s="20" t="s">
        <v>1703</v>
      </c>
      <c r="B1868" s="27" t="s">
        <v>799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1704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827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1092</v>
      </c>
      <c r="B1871" s="27" t="s">
        <v>842</v>
      </c>
      <c r="C1871" s="27" t="s">
        <v>800</v>
      </c>
      <c r="D1871" s="27" t="s">
        <v>801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1705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1706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803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/>
    </row>
    <row r="1876" spans="1:12">
      <c r="A1876" s="20" t="s">
        <v>1707</v>
      </c>
    </row>
    <row r="1877" spans="1:12">
      <c r="A1877" s="20" t="s">
        <v>1016</v>
      </c>
      <c r="B1877" s="27" t="s">
        <v>799</v>
      </c>
      <c r="C1877" s="27" t="s">
        <v>816</v>
      </c>
      <c r="D1877" s="27" t="s">
        <v>801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1530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1194</v>
      </c>
      <c r="B1879" s="27" t="s">
        <v>921</v>
      </c>
      <c r="C1879" s="27" t="s">
        <v>816</v>
      </c>
      <c r="D1879" s="27" t="s">
        <v>801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964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1708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1577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1709</v>
      </c>
      <c r="B1883" s="27" t="s">
        <v>891</v>
      </c>
      <c r="C1883" s="27" t="s">
        <v>816</v>
      </c>
      <c r="D1883" s="27" t="s">
        <v>801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883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/>
    </row>
    <row r="1886" spans="1:12">
      <c r="A1886" s="20" t="s">
        <v>1710</v>
      </c>
    </row>
    <row r="1887" spans="1:12">
      <c r="A1887" s="20" t="s">
        <v>1711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1712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1713</v>
      </c>
      <c r="B1889" s="27" t="s">
        <v>799</v>
      </c>
      <c r="C1889" s="27" t="s">
        <v>816</v>
      </c>
      <c r="D1889" s="27" t="s">
        <v>801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795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1213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980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1714</v>
      </c>
      <c r="B1893" s="27" t="s">
        <v>846</v>
      </c>
      <c r="C1893" s="27" t="s">
        <v>896</v>
      </c>
      <c r="D1893" s="27" t="s">
        <v>801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1405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817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835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1715</v>
      </c>
      <c r="B1897" s="27" t="s">
        <v>849</v>
      </c>
      <c r="C1897" s="27" t="s">
        <v>855</v>
      </c>
      <c r="D1897" s="27" t="s">
        <v>801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1575</v>
      </c>
      <c r="B1898" s="27" t="s">
        <v>846</v>
      </c>
      <c r="C1898" s="27" t="s">
        <v>858</v>
      </c>
      <c r="D1898" s="27" t="s">
        <v>801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883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/>
    </row>
    <row r="1901" spans="1:12">
      <c r="A1901" s="20" t="s">
        <v>1716</v>
      </c>
    </row>
    <row r="1902" spans="1:12">
      <c r="A1902" s="20" t="s">
        <v>1711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1712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1713</v>
      </c>
      <c r="B1904" s="27" t="s">
        <v>799</v>
      </c>
      <c r="C1904" s="27" t="s">
        <v>816</v>
      </c>
      <c r="D1904" s="27" t="s">
        <v>801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1395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817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329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1226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1273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1717</v>
      </c>
      <c r="B1910" s="27" t="s">
        <v>857</v>
      </c>
      <c r="C1910" s="27" t="s">
        <v>1095</v>
      </c>
      <c r="D1910" s="27" t="s">
        <v>801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883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1540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975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1225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795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877</v>
      </c>
      <c r="B1916" s="27" t="s">
        <v>1156</v>
      </c>
      <c r="C1916" s="27" t="s">
        <v>879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1718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658</v>
      </c>
      <c r="B1918" s="27" t="s">
        <v>874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964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1719</v>
      </c>
      <c r="B1920" s="27" t="s">
        <v>957</v>
      </c>
      <c r="C1920" s="27" t="s">
        <v>855</v>
      </c>
      <c r="D1920" s="27" t="s">
        <v>801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795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845</v>
      </c>
      <c r="B1922" s="27" t="s">
        <v>1094</v>
      </c>
      <c r="C1922" s="27" t="s">
        <v>816</v>
      </c>
      <c r="D1922" s="27" t="s">
        <v>801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1720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1721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1722</v>
      </c>
      <c r="B1925" s="27" t="s">
        <v>829</v>
      </c>
      <c r="C1925" s="27" t="s">
        <v>858</v>
      </c>
      <c r="D1925" s="27" t="s">
        <v>801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795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1723</v>
      </c>
      <c r="B1927" s="27" t="s">
        <v>1480</v>
      </c>
      <c r="C1927" s="27" t="s">
        <v>896</v>
      </c>
      <c r="D1927" s="27" t="s">
        <v>801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1413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795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1724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877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1384</v>
      </c>
      <c r="B1932" s="27" t="s">
        <v>1001</v>
      </c>
      <c r="C1932" s="27" t="s">
        <v>816</v>
      </c>
      <c r="D1932" s="27" t="s">
        <v>801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1725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668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837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1273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990</v>
      </c>
      <c r="B1937" s="27" t="s">
        <v>829</v>
      </c>
      <c r="C1937" s="27" t="s">
        <v>1095</v>
      </c>
      <c r="D1937" s="27" t="s">
        <v>801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803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/>
    </row>
    <row r="1940" spans="1:12">
      <c r="A1940" s="20" t="s">
        <v>1726</v>
      </c>
    </row>
    <row r="1941" spans="1:12">
      <c r="A1941" s="20" t="s">
        <v>1016</v>
      </c>
      <c r="B1941" s="27" t="s">
        <v>799</v>
      </c>
      <c r="C1941" s="27" t="s">
        <v>816</v>
      </c>
      <c r="D1941" s="27" t="s">
        <v>801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1712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1316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795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1213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955</v>
      </c>
      <c r="B1946" s="27" t="s">
        <v>846</v>
      </c>
      <c r="C1946" s="27" t="s">
        <v>896</v>
      </c>
      <c r="D1946" s="27" t="s">
        <v>801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1727</v>
      </c>
      <c r="B1947" s="27" t="s">
        <v>849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1109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1728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803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/>
    </row>
    <row r="1952" spans="1:12">
      <c r="A1952" s="20" t="s">
        <v>1729</v>
      </c>
    </row>
    <row r="1953" spans="1:12">
      <c r="A1953" s="20" t="s">
        <v>934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791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1712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873</v>
      </c>
      <c r="B1956" s="27" t="s">
        <v>849</v>
      </c>
      <c r="C1956" s="27" t="s">
        <v>816</v>
      </c>
      <c r="D1956" s="27" t="s">
        <v>801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1730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1731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894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1574</v>
      </c>
      <c r="B1960" s="27" t="s">
        <v>846</v>
      </c>
      <c r="C1960" s="27" t="s">
        <v>855</v>
      </c>
      <c r="D1960" s="27" t="s">
        <v>801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1575</v>
      </c>
      <c r="B1961" s="27" t="s">
        <v>957</v>
      </c>
      <c r="C1961" s="27" t="s">
        <v>858</v>
      </c>
      <c r="D1961" s="27" t="s">
        <v>801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795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59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798</v>
      </c>
      <c r="B1964" s="27" t="s">
        <v>799</v>
      </c>
      <c r="C1964" s="27" t="s">
        <v>800</v>
      </c>
      <c r="D1964" s="27" t="s">
        <v>801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1109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1712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1732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1733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803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/>
    </row>
    <row r="1971" spans="1:12">
      <c r="A1971" s="20" t="s">
        <v>1734</v>
      </c>
    </row>
    <row r="1972" spans="1:12">
      <c r="A1972" s="20" t="s">
        <v>1635</v>
      </c>
      <c r="B1972" s="27" t="s">
        <v>799</v>
      </c>
      <c r="C1972" s="27" t="s">
        <v>858</v>
      </c>
      <c r="D1972" s="27" t="s">
        <v>801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1636</v>
      </c>
      <c r="B1973" s="27" t="s">
        <v>857</v>
      </c>
      <c r="C1973" s="27" t="s">
        <v>858</v>
      </c>
      <c r="D1973" s="27" t="s">
        <v>801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1735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964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1018</v>
      </c>
      <c r="B1976" s="27" t="s">
        <v>849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1736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894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1737</v>
      </c>
      <c r="B1979" s="27" t="s">
        <v>857</v>
      </c>
      <c r="C1979" s="27" t="s">
        <v>858</v>
      </c>
      <c r="D1979" s="27" t="s">
        <v>801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803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/>
    </row>
    <row r="1982" spans="1:12">
      <c r="A1982" s="20" t="s">
        <v>1738</v>
      </c>
    </row>
    <row r="1983" spans="1:12">
      <c r="A1983" s="20" t="s">
        <v>1016</v>
      </c>
      <c r="B1983" s="27" t="s">
        <v>799</v>
      </c>
      <c r="C1983" s="27" t="s">
        <v>816</v>
      </c>
      <c r="D1983" s="27" t="s">
        <v>801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1739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860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1740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1741</v>
      </c>
      <c r="B1987" s="27" t="s">
        <v>842</v>
      </c>
      <c r="C1987" s="27" t="s">
        <v>855</v>
      </c>
      <c r="D1987" s="27" t="s">
        <v>801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1062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1722</v>
      </c>
      <c r="B1989" s="27" t="s">
        <v>857</v>
      </c>
      <c r="C1989" s="27" t="s">
        <v>858</v>
      </c>
      <c r="D1989" s="27" t="s">
        <v>801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795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1062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1742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955</v>
      </c>
      <c r="B1993" s="27" t="s">
        <v>957</v>
      </c>
      <c r="C1993" s="27" t="s">
        <v>896</v>
      </c>
      <c r="D1993" s="27" t="s">
        <v>801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813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803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/>
    </row>
    <row r="1997" spans="1:12">
      <c r="A1997" s="20" t="s">
        <v>1743</v>
      </c>
    </row>
    <row r="1998" spans="1:12">
      <c r="A1998" s="20" t="s">
        <v>934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1062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448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803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803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803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/>
    </row>
    <row r="2005" spans="1:12">
      <c r="A2005" s="20" t="s">
        <v>1744</v>
      </c>
    </row>
    <row r="2006" spans="1:12">
      <c r="A2006" s="20" t="s">
        <v>97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848</v>
      </c>
      <c r="B2007" s="27" t="s">
        <v>842</v>
      </c>
      <c r="C2007" s="27" t="s">
        <v>843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853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795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844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325</v>
      </c>
      <c r="B2011" s="27" t="s">
        <v>849</v>
      </c>
      <c r="C2011" s="27" t="s">
        <v>816</v>
      </c>
      <c r="D2011" s="27" t="s">
        <v>801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1520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795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935</v>
      </c>
      <c r="B2014" s="27" t="s">
        <v>799</v>
      </c>
      <c r="C2014" s="27" t="s">
        <v>816</v>
      </c>
      <c r="D2014" s="27" t="s">
        <v>801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1712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825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817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1745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795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877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1746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1747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158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1748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1749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803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/>
    </row>
    <row r="2028" spans="1:12">
      <c r="A2028" s="20" t="s">
        <v>1750</v>
      </c>
    </row>
    <row r="2029" spans="1:12">
      <c r="A2029" s="20" t="s">
        <v>1751</v>
      </c>
      <c r="B2029" s="27" t="s">
        <v>799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1752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1008</v>
      </c>
      <c r="B2031" s="27" t="s">
        <v>921</v>
      </c>
      <c r="C2031" s="27" t="s">
        <v>816</v>
      </c>
      <c r="D2031" s="27" t="s">
        <v>801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1753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795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1754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825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1755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803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/>
    </row>
    <row r="2039" spans="1:12">
      <c r="A2039" s="20" t="s">
        <v>1756</v>
      </c>
    </row>
    <row r="2040" spans="1:12">
      <c r="A2040" s="20" t="s">
        <v>1757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860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1202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795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935</v>
      </c>
      <c r="B2044" s="27" t="s">
        <v>799</v>
      </c>
      <c r="C2044" s="27" t="s">
        <v>816</v>
      </c>
      <c r="D2044" s="27" t="s">
        <v>801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1712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817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1758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1759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969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970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877</v>
      </c>
      <c r="B2051" s="27" t="s">
        <v>857</v>
      </c>
      <c r="C2051" s="27" t="s">
        <v>879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1760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803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/>
    </row>
    <row r="2055" spans="1:12">
      <c r="A2055" s="20" t="s">
        <v>1761</v>
      </c>
    </row>
    <row r="2056" spans="1:12">
      <c r="A2056" s="20" t="s">
        <v>1762</v>
      </c>
      <c r="B2056" s="27" t="s">
        <v>799</v>
      </c>
      <c r="C2056" s="27" t="s">
        <v>816</v>
      </c>
      <c r="D2056" s="27" t="s">
        <v>801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1763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1013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1764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795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844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1765</v>
      </c>
      <c r="B2062" s="27" t="s">
        <v>849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827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1766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1264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1767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1768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803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/>
    </row>
    <row r="2070" spans="1:12">
      <c r="A2070" s="20" t="s">
        <v>1769</v>
      </c>
    </row>
    <row r="2071" spans="1:12">
      <c r="A2071" s="20" t="s">
        <v>934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821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1125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795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873</v>
      </c>
      <c r="B2075" s="27" t="s">
        <v>799</v>
      </c>
      <c r="C2075" s="27" t="s">
        <v>816</v>
      </c>
      <c r="D2075" s="27" t="s">
        <v>801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1763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1013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1764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795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844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1770</v>
      </c>
      <c r="B2081" s="27" t="s">
        <v>957</v>
      </c>
      <c r="C2081" s="27" t="s">
        <v>896</v>
      </c>
      <c r="D2081" s="27" t="s">
        <v>801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1771</v>
      </c>
      <c r="B2082" s="27" t="s">
        <v>874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827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1772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1773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1774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1775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822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1395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1776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803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/>
    </row>
    <row r="2093" spans="1:12">
      <c r="A2093" s="20" t="s">
        <v>1777</v>
      </c>
    </row>
    <row r="2094" spans="1:12">
      <c r="A2094" s="20" t="s">
        <v>1778</v>
      </c>
      <c r="B2094" s="27" t="s">
        <v>921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1035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1186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795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1779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837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856</v>
      </c>
      <c r="B2100" s="27" t="s">
        <v>957</v>
      </c>
      <c r="C2100" s="27" t="s">
        <v>858</v>
      </c>
      <c r="D2100" s="27" t="s">
        <v>801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795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1780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1320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1781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1782</v>
      </c>
      <c r="B2105" s="27" t="s">
        <v>921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803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/>
    </row>
    <row r="2108" spans="1:12">
      <c r="A2108" s="20" t="s">
        <v>1783</v>
      </c>
    </row>
    <row r="2109" spans="1:12">
      <c r="A2109" s="20" t="s">
        <v>1392</v>
      </c>
      <c r="B2109" s="27" t="s">
        <v>921</v>
      </c>
      <c r="C2109" s="27" t="s">
        <v>816</v>
      </c>
      <c r="D2109" s="27" t="s">
        <v>801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1320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837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1784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1661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1785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825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1786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894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1787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1788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795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877</v>
      </c>
      <c r="B2121" s="27" t="s">
        <v>849</v>
      </c>
      <c r="C2121" s="27" t="s">
        <v>879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1789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1348</v>
      </c>
      <c r="B2123" s="27" t="s">
        <v>891</v>
      </c>
      <c r="C2123" s="27" t="s">
        <v>816</v>
      </c>
      <c r="D2123" s="27" t="s">
        <v>801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1790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1791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1792</v>
      </c>
      <c r="B2126" s="27" t="s">
        <v>1156</v>
      </c>
      <c r="C2126" s="27" t="s">
        <v>1366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1793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825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1794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1795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803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/>
    </row>
    <row r="2133" spans="1:12">
      <c r="A2133" s="20" t="s">
        <v>1796</v>
      </c>
    </row>
    <row r="2134" spans="1:12">
      <c r="A2134" s="20" t="s">
        <v>1797</v>
      </c>
      <c r="B2134" s="27" t="s">
        <v>799</v>
      </c>
      <c r="C2134" s="27" t="s">
        <v>843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1798</v>
      </c>
      <c r="B2135" s="27" t="s">
        <v>857</v>
      </c>
      <c r="C2135" s="27" t="s">
        <v>858</v>
      </c>
      <c r="D2135" s="27" t="s">
        <v>801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12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435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795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1799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970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1800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795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1801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1802</v>
      </c>
      <c r="B2144" s="27" t="s">
        <v>799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1803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1804</v>
      </c>
      <c r="B2146" s="27" t="s">
        <v>1156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803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/>
    </row>
    <row r="2149" spans="1:12">
      <c r="A2149" s="20" t="s">
        <v>1805</v>
      </c>
    </row>
    <row r="2150" spans="1:12">
      <c r="A2150" s="20" t="s">
        <v>483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797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1806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1807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1808</v>
      </c>
      <c r="B2154" s="27" t="s">
        <v>799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1809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803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/>
    </row>
    <row r="2158" spans="1:12">
      <c r="A2158" s="20" t="s">
        <v>1810</v>
      </c>
    </row>
    <row r="2159" spans="1:12">
      <c r="A2159" s="20" t="s">
        <v>1811</v>
      </c>
      <c r="B2159" s="27" t="s">
        <v>799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795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1812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1802</v>
      </c>
      <c r="B2162" s="27" t="s">
        <v>1156</v>
      </c>
      <c r="C2162" s="27" t="s">
        <v>855</v>
      </c>
      <c r="D2162" s="27" t="s">
        <v>801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978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1813</v>
      </c>
      <c r="B2164" s="27" t="s">
        <v>957</v>
      </c>
      <c r="C2164" s="27" t="s">
        <v>1095</v>
      </c>
      <c r="D2164" s="27" t="s">
        <v>801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795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825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1814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1815</v>
      </c>
      <c r="B2168" s="27" t="s">
        <v>1121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795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1816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1817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1818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1819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1820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803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/>
    </row>
    <row r="2177" spans="1:12">
      <c r="A2177" s="20" t="s">
        <v>1821</v>
      </c>
    </row>
    <row r="2178" spans="1:12">
      <c r="A2178" s="20" t="s">
        <v>1822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1823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1824</v>
      </c>
      <c r="B2180" s="27" t="s">
        <v>799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970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1825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803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/>
    </row>
    <row r="2185" spans="1:12">
      <c r="A2185" s="20" t="s">
        <v>1826</v>
      </c>
    </row>
    <row r="2186" spans="1:12">
      <c r="A2186" s="20" t="s">
        <v>1827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1828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1829</v>
      </c>
      <c r="B2188" s="27" t="s">
        <v>799</v>
      </c>
      <c r="C2188" s="27" t="s">
        <v>800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1830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1831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795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1330</v>
      </c>
      <c r="B2192" s="27" t="s">
        <v>943</v>
      </c>
      <c r="C2192" s="27" t="s">
        <v>879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1832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1833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980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1834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1645</v>
      </c>
      <c r="B2197" s="27" t="s">
        <v>829</v>
      </c>
      <c r="C2197" s="27" t="s">
        <v>855</v>
      </c>
      <c r="D2197" s="27" t="s">
        <v>801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1575</v>
      </c>
      <c r="B2198" s="27" t="s">
        <v>953</v>
      </c>
      <c r="C2198" s="27" t="s">
        <v>858</v>
      </c>
      <c r="D2198" s="27" t="s">
        <v>801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970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1835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1836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1837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1838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825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894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1839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1840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803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/>
    </row>
    <row r="2210" spans="1:12">
      <c r="A2210" s="20" t="s">
        <v>1841</v>
      </c>
    </row>
    <row r="2211" spans="1:12">
      <c r="A2211" s="20" t="s">
        <v>805</v>
      </c>
      <c r="B2211" s="27" t="s">
        <v>799</v>
      </c>
      <c r="C2211" s="27" t="s">
        <v>800</v>
      </c>
      <c r="D2211" s="27" t="s">
        <v>801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1842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1843</v>
      </c>
      <c r="B2213" s="27" t="s">
        <v>921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1844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1845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1846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1847</v>
      </c>
      <c r="B2217" s="27" t="s">
        <v>1156</v>
      </c>
      <c r="C2217" s="27" t="s">
        <v>800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803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/>
    </row>
    <row r="2220" spans="1:12">
      <c r="A2220" s="20" t="s">
        <v>1848</v>
      </c>
    </row>
    <row r="2221" spans="1:12">
      <c r="A2221" s="20" t="s">
        <v>1849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1749</v>
      </c>
      <c r="B2222" s="27" t="s">
        <v>842</v>
      </c>
      <c r="C2222" s="27" t="s">
        <v>800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795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873</v>
      </c>
      <c r="B2224" s="27" t="s">
        <v>799</v>
      </c>
      <c r="C2224" s="27" t="s">
        <v>816</v>
      </c>
      <c r="D2224" s="27" t="s">
        <v>801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1850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1851</v>
      </c>
      <c r="B2226" s="27" t="s">
        <v>921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1852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825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1851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1853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803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/>
    </row>
    <row r="2233" spans="1:12">
      <c r="A2233" s="20" t="s">
        <v>1854</v>
      </c>
    </row>
    <row r="2234" spans="1:12">
      <c r="A2234" s="20" t="s">
        <v>1016</v>
      </c>
      <c r="B2234" s="27" t="s">
        <v>799</v>
      </c>
      <c r="C2234" s="27" t="s">
        <v>816</v>
      </c>
      <c r="D2234" s="27" t="s">
        <v>801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1855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825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837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59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825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837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972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803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/>
    </row>
    <row r="2244" spans="1:12">
      <c r="A2244" s="20" t="s">
        <v>1856</v>
      </c>
    </row>
    <row r="2245" spans="1:12">
      <c r="A2245" s="20" t="s">
        <v>1016</v>
      </c>
      <c r="B2245" s="27" t="s">
        <v>799</v>
      </c>
      <c r="C2245" s="27" t="s">
        <v>816</v>
      </c>
      <c r="D2245" s="27" t="s">
        <v>801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1857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795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877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1858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1851</v>
      </c>
      <c r="B2250" s="27" t="s">
        <v>849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797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1859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795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1860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795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1861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1862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825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1863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59</v>
      </c>
      <c r="B2260" s="27" t="s">
        <v>842</v>
      </c>
      <c r="C2260" s="27" t="s">
        <v>800</v>
      </c>
      <c r="D2260" s="27" t="s">
        <v>801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1125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1864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860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1865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1866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803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/>
    </row>
    <row r="2268" spans="1:12">
      <c r="A2268" s="20" t="s">
        <v>1867</v>
      </c>
    </row>
    <row r="2269" spans="1:12">
      <c r="A2269" s="20" t="s">
        <v>934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821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1125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1857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1868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795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877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1310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1869</v>
      </c>
      <c r="B2277" s="27" t="s">
        <v>849</v>
      </c>
      <c r="C2277" s="27" t="s">
        <v>1095</v>
      </c>
      <c r="D2277" s="27" t="s">
        <v>801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817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1200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1870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1871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803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/>
    </row>
    <row r="2284" spans="1:12">
      <c r="A2284" s="20" t="s">
        <v>1872</v>
      </c>
    </row>
    <row r="2285" spans="1:12">
      <c r="A2285" s="20" t="s">
        <v>890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935</v>
      </c>
      <c r="B2286" s="27" t="s">
        <v>849</v>
      </c>
      <c r="C2286" s="27" t="s">
        <v>816</v>
      </c>
      <c r="D2286" s="27" t="s">
        <v>801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946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1125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1873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59</v>
      </c>
      <c r="B2290" s="27" t="s">
        <v>891</v>
      </c>
      <c r="C2290" s="27" t="s">
        <v>800</v>
      </c>
      <c r="D2290" s="27" t="s">
        <v>801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795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1874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1749</v>
      </c>
      <c r="B2293" s="27" t="s">
        <v>957</v>
      </c>
      <c r="C2293" s="27" t="s">
        <v>1366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1047</v>
      </c>
      <c r="B2294" s="27" t="s">
        <v>943</v>
      </c>
      <c r="C2294" s="27" t="s">
        <v>816</v>
      </c>
      <c r="D2294" s="27" t="s">
        <v>801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1875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795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1876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795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837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1877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795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1491</v>
      </c>
      <c r="B2302" s="27" t="s">
        <v>1094</v>
      </c>
      <c r="C2302" s="27" t="s">
        <v>879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935</v>
      </c>
      <c r="B2303" s="27" t="s">
        <v>1179</v>
      </c>
      <c r="C2303" s="27" t="s">
        <v>816</v>
      </c>
      <c r="D2303" s="27" t="s">
        <v>801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1592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877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1878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795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798</v>
      </c>
      <c r="B2308" s="27" t="s">
        <v>799</v>
      </c>
      <c r="C2308" s="27" t="s">
        <v>800</v>
      </c>
      <c r="D2308" s="27" t="s">
        <v>801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1879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970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1880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911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1881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1882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795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844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1883</v>
      </c>
      <c r="B2317" s="27" t="s">
        <v>874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1884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795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877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1885</v>
      </c>
      <c r="B2321" s="27" t="s">
        <v>943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837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1886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795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1887</v>
      </c>
      <c r="B2325" s="27" t="s">
        <v>881</v>
      </c>
      <c r="C2325" s="27" t="s">
        <v>879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837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1294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1888</v>
      </c>
      <c r="B2328" s="27" t="s">
        <v>1480</v>
      </c>
      <c r="C2328" s="27" t="s">
        <v>1095</v>
      </c>
      <c r="D2328" s="27" t="s">
        <v>801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1889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1890</v>
      </c>
      <c r="B2330" s="27" t="s">
        <v>1543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795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1891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970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1892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803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/>
    </row>
    <row r="2337" spans="1:12">
      <c r="A2337" s="20" t="s">
        <v>1893</v>
      </c>
    </row>
    <row r="2338" spans="1:12">
      <c r="A2338" s="20" t="s">
        <v>1762</v>
      </c>
      <c r="B2338" s="27" t="s">
        <v>799</v>
      </c>
      <c r="C2338" s="27" t="s">
        <v>816</v>
      </c>
      <c r="D2338" s="27" t="s">
        <v>801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1894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1895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860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1896</v>
      </c>
      <c r="B2342" s="27" t="s">
        <v>846</v>
      </c>
      <c r="C2342" s="27" t="s">
        <v>896</v>
      </c>
      <c r="D2342" s="27" t="s">
        <v>801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1897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827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1898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803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/>
    </row>
    <row r="2348" spans="1:12">
      <c r="A2348" s="20" t="s">
        <v>1899</v>
      </c>
    </row>
    <row r="2349" spans="1:12">
      <c r="A2349" s="20" t="s">
        <v>975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1191</v>
      </c>
      <c r="B2350" s="27" t="s">
        <v>799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1894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1900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970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1901</v>
      </c>
      <c r="B2354" s="27" t="s">
        <v>857</v>
      </c>
      <c r="C2354" s="27" t="s">
        <v>855</v>
      </c>
      <c r="D2354" s="27" t="s">
        <v>801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860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872</v>
      </c>
      <c r="B2356" s="27" t="s">
        <v>846</v>
      </c>
      <c r="C2356" s="27" t="s">
        <v>800</v>
      </c>
      <c r="D2356" s="27" t="s">
        <v>801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795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877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1047</v>
      </c>
      <c r="B2359" s="27" t="s">
        <v>878</v>
      </c>
      <c r="C2359" s="27" t="s">
        <v>816</v>
      </c>
      <c r="D2359" s="27" t="s">
        <v>801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1902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1903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837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1904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1905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795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925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877</v>
      </c>
      <c r="B2367" s="27" t="s">
        <v>1543</v>
      </c>
      <c r="C2367" s="27" t="s">
        <v>879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1047</v>
      </c>
      <c r="B2368" s="27" t="s">
        <v>881</v>
      </c>
      <c r="C2368" s="27" t="s">
        <v>816</v>
      </c>
      <c r="D2368" s="27" t="s">
        <v>801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1906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1712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1261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803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/>
    </row>
    <row r="2374" spans="1:12">
      <c r="A2374" s="20" t="s">
        <v>1907</v>
      </c>
    </row>
    <row r="2375" spans="1:12">
      <c r="A2375" s="20" t="s">
        <v>1908</v>
      </c>
      <c r="B2375" s="27" t="s">
        <v>921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1909</v>
      </c>
      <c r="B2376" s="27" t="s">
        <v>857</v>
      </c>
      <c r="C2376" s="27" t="s">
        <v>858</v>
      </c>
      <c r="D2376" s="27" t="s">
        <v>801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795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1910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1721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1911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1036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1912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1913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795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909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964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1914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1191</v>
      </c>
      <c r="B2388" s="27" t="s">
        <v>849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1079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964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1915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1712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1316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795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1213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980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1916</v>
      </c>
      <c r="B2397" s="27" t="s">
        <v>829</v>
      </c>
      <c r="C2397" s="27" t="s">
        <v>896</v>
      </c>
      <c r="D2397" s="27" t="s">
        <v>801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1405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817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835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1917</v>
      </c>
      <c r="B2401" s="27" t="s">
        <v>943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795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1047</v>
      </c>
      <c r="B2403" s="27" t="s">
        <v>878</v>
      </c>
      <c r="C2403" s="27" t="s">
        <v>816</v>
      </c>
      <c r="D2403" s="27" t="s">
        <v>801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1918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837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1919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964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1915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1712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1316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795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1213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940</v>
      </c>
      <c r="B2413" s="27" t="s">
        <v>1477</v>
      </c>
      <c r="C2413" s="27" t="s">
        <v>896</v>
      </c>
      <c r="D2413" s="27" t="s">
        <v>801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1236</v>
      </c>
      <c r="B2414" s="27" t="s">
        <v>881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1395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817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959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1920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795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925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980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1008</v>
      </c>
      <c r="B2422" s="27" t="s">
        <v>1477</v>
      </c>
      <c r="C2422" s="27" t="s">
        <v>816</v>
      </c>
      <c r="D2422" s="27" t="s">
        <v>801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959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1921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795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817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1922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1913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1923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803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/>
    </row>
    <row r="2432" spans="1:12">
      <c r="A2432" s="20" t="s">
        <v>1924</v>
      </c>
    </row>
    <row r="2433" spans="1:12">
      <c r="A2433" s="20" t="s">
        <v>1925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837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798</v>
      </c>
      <c r="B2435" s="27" t="s">
        <v>842</v>
      </c>
      <c r="C2435" s="27" t="s">
        <v>800</v>
      </c>
      <c r="D2435" s="27" t="s">
        <v>801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803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/>
    </row>
    <row r="2438" spans="1:12">
      <c r="A2438" s="20" t="s">
        <v>1926</v>
      </c>
    </row>
    <row r="2439" spans="1:12">
      <c r="A2439" s="20" t="s">
        <v>805</v>
      </c>
      <c r="B2439" s="27" t="s">
        <v>799</v>
      </c>
      <c r="C2439" s="27" t="s">
        <v>800</v>
      </c>
      <c r="D2439" s="27" t="s">
        <v>801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59</v>
      </c>
      <c r="B2440" s="27" t="s">
        <v>842</v>
      </c>
      <c r="C2440" s="27" t="s">
        <v>800</v>
      </c>
      <c r="D2440" s="27" t="s">
        <v>801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795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877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873</v>
      </c>
      <c r="B2443" s="27" t="s">
        <v>849</v>
      </c>
      <c r="C2443" s="27" t="s">
        <v>816</v>
      </c>
      <c r="D2443" s="27" t="s">
        <v>801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1927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795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844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1713</v>
      </c>
      <c r="B2447" s="27" t="s">
        <v>874</v>
      </c>
      <c r="C2447" s="27" t="s">
        <v>816</v>
      </c>
      <c r="D2447" s="27" t="s">
        <v>801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1928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1929</v>
      </c>
      <c r="B2449" s="27" t="s">
        <v>957</v>
      </c>
      <c r="C2449" s="27" t="s">
        <v>896</v>
      </c>
      <c r="D2449" s="27" t="s">
        <v>801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1930</v>
      </c>
      <c r="B2450" s="27" t="s">
        <v>1156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803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/>
    </row>
    <row r="2453" spans="1:12">
      <c r="A2453" s="20" t="s">
        <v>1931</v>
      </c>
    </row>
    <row r="2454" spans="1:12">
      <c r="A2454" s="20" t="s">
        <v>975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844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1713</v>
      </c>
      <c r="B2456" s="27" t="s">
        <v>849</v>
      </c>
      <c r="C2456" s="27" t="s">
        <v>816</v>
      </c>
      <c r="D2456" s="27" t="s">
        <v>801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1932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1226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1741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795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873</v>
      </c>
      <c r="B2461" s="27" t="s">
        <v>799</v>
      </c>
      <c r="C2461" s="27" t="s">
        <v>816</v>
      </c>
      <c r="D2461" s="27" t="s">
        <v>801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1933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795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877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1713</v>
      </c>
      <c r="B2465" s="27" t="s">
        <v>849</v>
      </c>
      <c r="C2465" s="27" t="s">
        <v>816</v>
      </c>
      <c r="D2465" s="27" t="s">
        <v>801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1932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860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872</v>
      </c>
      <c r="B2468" s="27" t="s">
        <v>857</v>
      </c>
      <c r="C2468" s="27" t="s">
        <v>800</v>
      </c>
      <c r="D2468" s="27" t="s">
        <v>801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795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1213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1746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912</v>
      </c>
      <c r="B2472" s="27" t="s">
        <v>943</v>
      </c>
      <c r="C2472" s="27" t="s">
        <v>816</v>
      </c>
      <c r="D2472" s="27" t="s">
        <v>801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817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1934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795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925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1929</v>
      </c>
      <c r="B2477" s="27" t="s">
        <v>953</v>
      </c>
      <c r="C2477" s="27" t="s">
        <v>896</v>
      </c>
      <c r="D2477" s="27" t="s">
        <v>801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1935</v>
      </c>
      <c r="B2478" s="27" t="s">
        <v>1121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837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1936</v>
      </c>
      <c r="B2480" s="27" t="s">
        <v>1480</v>
      </c>
      <c r="C2480" s="27" t="s">
        <v>896</v>
      </c>
      <c r="D2480" s="27" t="s">
        <v>801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1937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1938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1939</v>
      </c>
      <c r="B2483" s="27" t="s">
        <v>878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795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1940</v>
      </c>
      <c r="B2485" s="27" t="s">
        <v>1543</v>
      </c>
      <c r="C2485" s="27" t="s">
        <v>879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1713</v>
      </c>
      <c r="B2486" s="27" t="s">
        <v>881</v>
      </c>
      <c r="C2486" s="27" t="s">
        <v>816</v>
      </c>
      <c r="D2486" s="27" t="s">
        <v>801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1941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1942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803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/>
    </row>
    <row r="2491" spans="1:12">
      <c r="A2491" s="20" t="s">
        <v>1943</v>
      </c>
    </row>
    <row r="2492" spans="1:12">
      <c r="A2492" s="20" t="s">
        <v>1133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1160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1944</v>
      </c>
      <c r="B2494" s="27" t="s">
        <v>799</v>
      </c>
      <c r="C2494" s="27" t="s">
        <v>800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1945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1946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1709</v>
      </c>
      <c r="B2497" s="27" t="s">
        <v>921</v>
      </c>
      <c r="C2497" s="27" t="s">
        <v>816</v>
      </c>
      <c r="D2497" s="27" t="s">
        <v>801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1947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795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1114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938</v>
      </c>
      <c r="B2501" s="27" t="s">
        <v>849</v>
      </c>
      <c r="C2501" s="27" t="s">
        <v>816</v>
      </c>
      <c r="D2501" s="27" t="s">
        <v>801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1948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1518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1949</v>
      </c>
      <c r="B2504" s="27" t="s">
        <v>891</v>
      </c>
      <c r="C2504" s="27" t="s">
        <v>1095</v>
      </c>
      <c r="D2504" s="27" t="s">
        <v>801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795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877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1046</v>
      </c>
      <c r="B2507" s="27" t="s">
        <v>943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1950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837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1223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1727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795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825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817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1212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795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1213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1194</v>
      </c>
      <c r="B2518" s="27" t="s">
        <v>1094</v>
      </c>
      <c r="C2518" s="27" t="s">
        <v>816</v>
      </c>
      <c r="D2518" s="27" t="s">
        <v>801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1951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795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1952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1953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1130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1954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803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/>
    </row>
    <row r="2527" spans="1:12">
      <c r="A2527" s="20" t="s">
        <v>1955</v>
      </c>
    </row>
    <row r="2528" spans="1:12">
      <c r="A2528" s="20" t="s">
        <v>1050</v>
      </c>
      <c r="B2528" s="27" t="s">
        <v>799</v>
      </c>
      <c r="C2528" s="27" t="s">
        <v>816</v>
      </c>
      <c r="D2528" s="27" t="s">
        <v>801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1212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219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1956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795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1957</v>
      </c>
      <c r="B2533" s="27" t="s">
        <v>846</v>
      </c>
      <c r="C2533" s="27" t="s">
        <v>879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1348</v>
      </c>
      <c r="B2534" s="27" t="s">
        <v>1156</v>
      </c>
      <c r="C2534" s="27" t="s">
        <v>816</v>
      </c>
      <c r="D2534" s="27" t="s">
        <v>801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1958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219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803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/>
    </row>
    <row r="2539" spans="1:12">
      <c r="A2539" s="20" t="s">
        <v>1959</v>
      </c>
    </row>
    <row r="2540" spans="1:12">
      <c r="A2540" s="20" t="s">
        <v>1960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1961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1053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1962</v>
      </c>
      <c r="B2543" s="27" t="s">
        <v>857</v>
      </c>
      <c r="C2543" s="27" t="s">
        <v>1095</v>
      </c>
      <c r="D2543" s="27" t="s">
        <v>801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795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935</v>
      </c>
      <c r="B2545" s="27" t="s">
        <v>799</v>
      </c>
      <c r="C2545" s="27" t="s">
        <v>816</v>
      </c>
      <c r="D2545" s="27" t="s">
        <v>801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1963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894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1335</v>
      </c>
      <c r="B2548" s="27" t="s">
        <v>842</v>
      </c>
      <c r="C2548" s="27" t="s">
        <v>855</v>
      </c>
      <c r="D2548" s="27" t="s">
        <v>801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1964</v>
      </c>
      <c r="B2549" s="27" t="s">
        <v>857</v>
      </c>
      <c r="C2549" s="27" t="s">
        <v>858</v>
      </c>
      <c r="D2549" s="27" t="s">
        <v>801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1965</v>
      </c>
      <c r="B2550" s="27" t="s">
        <v>846</v>
      </c>
      <c r="C2550" s="27" t="s">
        <v>858</v>
      </c>
      <c r="D2550" s="27" t="s">
        <v>801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797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1966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911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1967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1968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1969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837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1970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1971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803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/>
    </row>
    <row r="2562" spans="1:12">
      <c r="A2562" s="20" t="s">
        <v>1972</v>
      </c>
    </row>
    <row r="2563" spans="1:12">
      <c r="A2563" s="20" t="s">
        <v>1016</v>
      </c>
      <c r="B2563" s="27" t="s">
        <v>799</v>
      </c>
      <c r="C2563" s="27" t="s">
        <v>816</v>
      </c>
      <c r="D2563" s="27" t="s">
        <v>801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1973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1351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1974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1194</v>
      </c>
      <c r="B2567" s="27" t="s">
        <v>921</v>
      </c>
      <c r="C2567" s="27" t="s">
        <v>816</v>
      </c>
      <c r="D2567" s="27" t="s">
        <v>801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860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1975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795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825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844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1047</v>
      </c>
      <c r="B2573" s="27" t="s">
        <v>943</v>
      </c>
      <c r="C2573" s="27" t="s">
        <v>816</v>
      </c>
      <c r="D2573" s="27" t="s">
        <v>801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1976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795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1047</v>
      </c>
      <c r="B2576" s="27" t="s">
        <v>874</v>
      </c>
      <c r="C2576" s="27" t="s">
        <v>816</v>
      </c>
      <c r="D2576" s="27" t="s">
        <v>801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906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1977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1978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1979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793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1980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795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877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1981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1982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1983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1226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1273</v>
      </c>
      <c r="B2589" s="27" t="s">
        <v>953</v>
      </c>
      <c r="C2589" s="27" t="s">
        <v>800</v>
      </c>
      <c r="D2589" s="27" t="s">
        <v>801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803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/>
    </row>
    <row r="2592" spans="1:12">
      <c r="A2592" s="20" t="s">
        <v>1984</v>
      </c>
    </row>
    <row r="2593" spans="1:12">
      <c r="A2593" s="20" t="s">
        <v>1667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1985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1986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894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1987</v>
      </c>
      <c r="B2597" s="27" t="s">
        <v>857</v>
      </c>
      <c r="C2597" s="27" t="s">
        <v>816</v>
      </c>
      <c r="D2597" s="27" t="s">
        <v>801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797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925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1344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1988</v>
      </c>
      <c r="B2601" s="27" t="s">
        <v>874</v>
      </c>
      <c r="C2601" s="27" t="s">
        <v>800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835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1989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797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935</v>
      </c>
      <c r="B2605" s="27" t="s">
        <v>799</v>
      </c>
      <c r="C2605" s="27" t="s">
        <v>816</v>
      </c>
      <c r="D2605" s="27" t="s">
        <v>801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1990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1835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1026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1991</v>
      </c>
      <c r="B2609" s="27" t="s">
        <v>842</v>
      </c>
      <c r="C2609" s="27" t="s">
        <v>843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1307</v>
      </c>
      <c r="B2610" s="27" t="s">
        <v>846</v>
      </c>
      <c r="C2610" s="27" t="s">
        <v>896</v>
      </c>
      <c r="D2610" s="27" t="s">
        <v>801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1992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803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/>
    </row>
    <row r="2614" spans="1:12">
      <c r="A2614" s="20" t="s">
        <v>1993</v>
      </c>
    </row>
    <row r="2615" spans="1:12">
      <c r="A2615" s="20" t="s">
        <v>1994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1995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873</v>
      </c>
      <c r="B2617" s="27" t="s">
        <v>799</v>
      </c>
      <c r="C2617" s="27" t="s">
        <v>816</v>
      </c>
      <c r="D2617" s="27" t="s">
        <v>801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906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1996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803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/>
    </row>
    <row r="2622" spans="1:12">
      <c r="A2622" s="20" t="s">
        <v>1997</v>
      </c>
    </row>
    <row r="2623" spans="1:12">
      <c r="A2623" s="20" t="s">
        <v>1762</v>
      </c>
      <c r="B2623" s="27" t="s">
        <v>799</v>
      </c>
      <c r="C2623" s="27" t="s">
        <v>816</v>
      </c>
      <c r="D2623" s="27" t="s">
        <v>801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1998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970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1999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803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/>
    </row>
    <row r="2629" spans="1:12">
      <c r="A2629" s="20" t="s">
        <v>2000</v>
      </c>
    </row>
    <row r="2630" spans="1:12">
      <c r="A2630" s="20" t="s">
        <v>2001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2002</v>
      </c>
      <c r="B2631" s="27" t="s">
        <v>799</v>
      </c>
      <c r="C2631" s="27" t="s">
        <v>858</v>
      </c>
      <c r="D2631" s="27" t="s">
        <v>801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2003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2004</v>
      </c>
      <c r="B2633" s="27" t="s">
        <v>921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803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/>
    </row>
    <row r="2636" spans="1:12">
      <c r="A2636" s="20" t="s">
        <v>2005</v>
      </c>
    </row>
    <row r="2637" spans="1:12">
      <c r="A2637" s="20" t="s">
        <v>975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935</v>
      </c>
      <c r="B2638" s="27" t="s">
        <v>799</v>
      </c>
      <c r="C2638" s="27" t="s">
        <v>816</v>
      </c>
      <c r="D2638" s="27" t="s">
        <v>801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1530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964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2006</v>
      </c>
      <c r="B2641" s="27" t="s">
        <v>849</v>
      </c>
      <c r="C2641" s="27" t="s">
        <v>858</v>
      </c>
      <c r="D2641" s="27" t="s">
        <v>801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1712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2007</v>
      </c>
      <c r="B2643" s="27" t="s">
        <v>846</v>
      </c>
      <c r="C2643" s="27" t="s">
        <v>858</v>
      </c>
      <c r="D2643" s="27" t="s">
        <v>801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959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1150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1677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795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822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2008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795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860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2009</v>
      </c>
      <c r="B2652" s="27" t="s">
        <v>857</v>
      </c>
      <c r="C2652" s="27" t="s">
        <v>879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1712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1713</v>
      </c>
      <c r="B2654" s="27" t="s">
        <v>849</v>
      </c>
      <c r="C2654" s="27" t="s">
        <v>816</v>
      </c>
      <c r="D2654" s="27" t="s">
        <v>801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955</v>
      </c>
      <c r="B2655" s="27" t="s">
        <v>891</v>
      </c>
      <c r="C2655" s="27" t="s">
        <v>816</v>
      </c>
      <c r="D2655" s="27" t="s">
        <v>801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2010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883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1540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1392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658</v>
      </c>
      <c r="B2660" s="27" t="s">
        <v>874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1718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964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1018</v>
      </c>
      <c r="B2663" s="27" t="s">
        <v>943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1712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1530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795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860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2009</v>
      </c>
      <c r="B2668" s="27" t="s">
        <v>829</v>
      </c>
      <c r="C2668" s="27" t="s">
        <v>879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325</v>
      </c>
      <c r="B2669" s="27" t="s">
        <v>878</v>
      </c>
      <c r="C2669" s="27" t="s">
        <v>816</v>
      </c>
      <c r="D2669" s="27" t="s">
        <v>801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795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2011</v>
      </c>
      <c r="B2671" s="27" t="s">
        <v>1094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2012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795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2013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803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/>
    </row>
    <row r="2677" spans="1:12">
      <c r="A2677" s="20" t="s">
        <v>2014</v>
      </c>
    </row>
    <row r="2678" spans="1:12">
      <c r="A2678" s="20" t="s">
        <v>2001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2015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2016</v>
      </c>
      <c r="B2680" s="27" t="s">
        <v>921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825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970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2017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2018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803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/>
    </row>
    <row r="2687" spans="1:12">
      <c r="A2687" s="20" t="s">
        <v>2019</v>
      </c>
    </row>
    <row r="2688" spans="1:12">
      <c r="A2688" s="20" t="s">
        <v>2020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938</v>
      </c>
      <c r="B2689" s="27" t="s">
        <v>799</v>
      </c>
      <c r="C2689" s="27" t="s">
        <v>816</v>
      </c>
      <c r="D2689" s="27" t="s">
        <v>801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2021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2022</v>
      </c>
      <c r="B2691" s="27" t="s">
        <v>891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825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929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964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1018</v>
      </c>
      <c r="B2695" s="27" t="s">
        <v>874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1712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2023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980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1432</v>
      </c>
      <c r="B2699" s="27" t="s">
        <v>846</v>
      </c>
      <c r="C2699" s="27" t="s">
        <v>816</v>
      </c>
      <c r="D2699" s="27" t="s">
        <v>801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2024</v>
      </c>
      <c r="B2700" s="27" t="s">
        <v>1156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795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1721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59</v>
      </c>
      <c r="B2703" s="27" t="s">
        <v>957</v>
      </c>
      <c r="C2703" s="27" t="s">
        <v>800</v>
      </c>
      <c r="D2703" s="27" t="s">
        <v>801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877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935</v>
      </c>
      <c r="B2705" s="27" t="s">
        <v>846</v>
      </c>
      <c r="C2705" s="27" t="s">
        <v>816</v>
      </c>
      <c r="D2705" s="27" t="s">
        <v>801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795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955</v>
      </c>
      <c r="B2707" s="27" t="s">
        <v>829</v>
      </c>
      <c r="C2707" s="27" t="s">
        <v>816</v>
      </c>
      <c r="D2707" s="27" t="s">
        <v>801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962</v>
      </c>
      <c r="B2708" s="27" t="s">
        <v>943</v>
      </c>
      <c r="C2708" s="27" t="s">
        <v>855</v>
      </c>
      <c r="D2708" s="27" t="s">
        <v>801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795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1070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817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2025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860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872</v>
      </c>
      <c r="B2714" s="27" t="s">
        <v>957</v>
      </c>
      <c r="C2714" s="27" t="s">
        <v>800</v>
      </c>
      <c r="D2714" s="27" t="s">
        <v>801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795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877</v>
      </c>
      <c r="B2716" s="27" t="s">
        <v>1179</v>
      </c>
      <c r="C2716" s="27" t="s">
        <v>879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2026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980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1432</v>
      </c>
      <c r="B2719" s="27" t="s">
        <v>953</v>
      </c>
      <c r="C2719" s="27" t="s">
        <v>816</v>
      </c>
      <c r="D2719" s="27" t="s">
        <v>801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837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2027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803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/>
    </row>
    <row r="2724" spans="1:12">
      <c r="A2724" s="20" t="s">
        <v>2028</v>
      </c>
    </row>
    <row r="2725" spans="1:12">
      <c r="A2725" s="20" t="s">
        <v>2029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893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2030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795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1721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2031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797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798</v>
      </c>
      <c r="B2732" s="27" t="s">
        <v>849</v>
      </c>
      <c r="C2732" s="27" t="s">
        <v>800</v>
      </c>
      <c r="D2732" s="27" t="s">
        <v>801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959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391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911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2032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2033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2034</v>
      </c>
      <c r="B2738" s="27" t="s">
        <v>846</v>
      </c>
      <c r="C2738" s="27" t="s">
        <v>843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797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938</v>
      </c>
      <c r="B2740" s="27" t="s">
        <v>799</v>
      </c>
      <c r="C2740" s="27" t="s">
        <v>816</v>
      </c>
      <c r="D2740" s="27" t="s">
        <v>801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929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964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2035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860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2036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795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935</v>
      </c>
      <c r="B2747" s="27" t="s">
        <v>874</v>
      </c>
      <c r="C2747" s="27" t="s">
        <v>816</v>
      </c>
      <c r="D2747" s="27" t="s">
        <v>801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2037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795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877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2038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2039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2040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795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877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2041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1186</v>
      </c>
      <c r="B2757" s="27" t="s">
        <v>1121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803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/>
    </row>
    <row r="2760" spans="1:12">
      <c r="A2760" s="20" t="s">
        <v>2042</v>
      </c>
    </row>
    <row r="2761" spans="1:12">
      <c r="A2761" s="20" t="s">
        <v>2043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1712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935</v>
      </c>
      <c r="B2763" s="27" t="s">
        <v>849</v>
      </c>
      <c r="C2763" s="27" t="s">
        <v>816</v>
      </c>
      <c r="D2763" s="27" t="s">
        <v>801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817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2044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837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2045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825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817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2046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894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1737</v>
      </c>
      <c r="B2772" s="27" t="s">
        <v>846</v>
      </c>
      <c r="C2772" s="27" t="s">
        <v>858</v>
      </c>
      <c r="D2772" s="27" t="s">
        <v>801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795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59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1294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1236</v>
      </c>
      <c r="B2776" s="27" t="s">
        <v>799</v>
      </c>
      <c r="C2776" s="27" t="s">
        <v>1095</v>
      </c>
      <c r="D2776" s="27" t="s">
        <v>801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817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959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1712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1920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795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825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817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2047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1712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2048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2049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2050</v>
      </c>
      <c r="B2788" s="27" t="s">
        <v>857</v>
      </c>
      <c r="C2788" s="27" t="s">
        <v>1095</v>
      </c>
      <c r="D2788" s="27" t="s">
        <v>801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803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/>
    </row>
    <row r="2791" spans="1:12">
      <c r="A2791" s="20" t="s">
        <v>2051</v>
      </c>
    </row>
    <row r="2792" spans="1:12">
      <c r="A2792" s="20" t="s">
        <v>934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2052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935</v>
      </c>
      <c r="B2794" s="27" t="s">
        <v>799</v>
      </c>
      <c r="C2794" s="27" t="s">
        <v>816</v>
      </c>
      <c r="D2794" s="27" t="s">
        <v>801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2053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795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877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821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2054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2055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1904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1186</v>
      </c>
      <c r="B2802" s="27" t="s">
        <v>891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795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877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1070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817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2056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2057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1202</v>
      </c>
      <c r="B2809" s="27" t="s">
        <v>1121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813</v>
      </c>
      <c r="B2810" s="27" t="s">
        <v>829</v>
      </c>
      <c r="C2810" s="27" t="s">
        <v>855</v>
      </c>
      <c r="D2810" s="27" t="s">
        <v>801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1981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1505</v>
      </c>
      <c r="B2812" s="27" t="s">
        <v>953</v>
      </c>
      <c r="C2812" s="27" t="s">
        <v>816</v>
      </c>
      <c r="D2812" s="27" t="s">
        <v>801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803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/>
    </row>
    <row r="2815" spans="1:12">
      <c r="A2815" s="20" t="s">
        <v>2058</v>
      </c>
    </row>
    <row r="2816" spans="1:12">
      <c r="A2816" s="20" t="s">
        <v>1016</v>
      </c>
      <c r="B2816" s="27" t="s">
        <v>799</v>
      </c>
      <c r="C2816" s="27" t="s">
        <v>816</v>
      </c>
      <c r="D2816" s="27" t="s">
        <v>801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1873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2059</v>
      </c>
      <c r="B2818" s="27" t="s">
        <v>921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795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1491</v>
      </c>
      <c r="B2820" s="27" t="s">
        <v>1156</v>
      </c>
      <c r="C2820" s="27" t="s">
        <v>879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1047</v>
      </c>
      <c r="B2821" s="27" t="s">
        <v>874</v>
      </c>
      <c r="C2821" s="27" t="s">
        <v>816</v>
      </c>
      <c r="D2821" s="27" t="s">
        <v>801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2060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1264</v>
      </c>
      <c r="B2823" s="27" t="s">
        <v>1156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795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825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1092</v>
      </c>
      <c r="B2826" s="27" t="s">
        <v>891</v>
      </c>
      <c r="C2826" s="27" t="s">
        <v>800</v>
      </c>
      <c r="D2826" s="27" t="s">
        <v>801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1100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2024</v>
      </c>
      <c r="B2828" s="27" t="s">
        <v>849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795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1114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2059</v>
      </c>
      <c r="B2831" s="27" t="s">
        <v>849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795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2061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845</v>
      </c>
      <c r="B2834" s="27" t="s">
        <v>1001</v>
      </c>
      <c r="C2834" s="27" t="s">
        <v>816</v>
      </c>
      <c r="D2834" s="27" t="s">
        <v>801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795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2062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2063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803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/>
    </row>
    <row r="2840" spans="1:12">
      <c r="A2840" s="20" t="s">
        <v>2064</v>
      </c>
    </row>
    <row r="2841" spans="1:12">
      <c r="A2841" s="20" t="s">
        <v>815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2065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795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877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1062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2066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835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1712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1753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795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791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1712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2007</v>
      </c>
      <c r="B2853" s="27" t="s">
        <v>943</v>
      </c>
      <c r="C2853" s="27" t="s">
        <v>858</v>
      </c>
      <c r="D2853" s="27" t="s">
        <v>801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817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2067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970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2068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795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935</v>
      </c>
      <c r="B2859" s="27" t="s">
        <v>799</v>
      </c>
      <c r="C2859" s="27" t="s">
        <v>816</v>
      </c>
      <c r="D2859" s="27" t="s">
        <v>801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821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1125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2069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795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877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798</v>
      </c>
      <c r="B2865" s="27" t="s">
        <v>849</v>
      </c>
      <c r="C2865" s="27" t="s">
        <v>800</v>
      </c>
      <c r="D2865" s="27" t="s">
        <v>801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817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835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1712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1753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1062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2070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803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/>
    </row>
    <row r="2874" spans="1:12">
      <c r="A2874" s="20" t="s">
        <v>2071</v>
      </c>
    </row>
    <row r="2875" spans="1:12">
      <c r="A2875" s="20" t="s">
        <v>2072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59</v>
      </c>
      <c r="B2876" s="27" t="s">
        <v>799</v>
      </c>
      <c r="C2876" s="27" t="s">
        <v>800</v>
      </c>
      <c r="D2876" s="27" t="s">
        <v>801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795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877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1161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1310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1191</v>
      </c>
      <c r="B2881" s="27" t="s">
        <v>874</v>
      </c>
      <c r="C2881" s="27" t="s">
        <v>1095</v>
      </c>
      <c r="D2881" s="27" t="s">
        <v>801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1186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894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2073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2074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795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1330</v>
      </c>
      <c r="B2887" s="27" t="s">
        <v>881</v>
      </c>
      <c r="C2887" s="27" t="s">
        <v>879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2075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1712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2076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2077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2078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2079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795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2080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837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2081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2082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821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1989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1570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803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/>
    </row>
    <row r="2904" spans="1:12">
      <c r="A2904" s="20" t="s">
        <v>2083</v>
      </c>
    </row>
    <row r="2905" spans="1:12">
      <c r="A2905" s="20" t="s">
        <v>2084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935</v>
      </c>
      <c r="B2906" s="27" t="s">
        <v>799</v>
      </c>
      <c r="C2906" s="27" t="s">
        <v>816</v>
      </c>
      <c r="D2906" s="27" t="s">
        <v>801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1230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877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1161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873</v>
      </c>
      <c r="B2910" s="27" t="s">
        <v>849</v>
      </c>
      <c r="C2910" s="27" t="s">
        <v>816</v>
      </c>
      <c r="D2910" s="27" t="s">
        <v>801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795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980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1940</v>
      </c>
      <c r="B2913" s="27" t="s">
        <v>957</v>
      </c>
      <c r="C2913" s="27" t="s">
        <v>879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882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1214</v>
      </c>
      <c r="B2915" s="27" t="s">
        <v>943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795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2085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1194</v>
      </c>
      <c r="B2918" s="27" t="s">
        <v>891</v>
      </c>
      <c r="C2918" s="27" t="s">
        <v>816</v>
      </c>
      <c r="D2918" s="27" t="s">
        <v>801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1102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2086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2087</v>
      </c>
      <c r="B2921" s="27" t="s">
        <v>857</v>
      </c>
      <c r="C2921" s="27" t="s">
        <v>843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803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/>
    </row>
    <row r="2924" spans="1:12">
      <c r="A2924" s="20" t="s">
        <v>2088</v>
      </c>
    </row>
    <row r="2925" spans="1:12">
      <c r="A2925" s="20" t="s">
        <v>975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791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2089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2090</v>
      </c>
      <c r="B2928" s="27" t="s">
        <v>799</v>
      </c>
      <c r="C2928" s="27" t="s">
        <v>1366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2091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2092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1712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2093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837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2094</v>
      </c>
      <c r="B2934" s="27" t="s">
        <v>857</v>
      </c>
      <c r="C2934" s="27" t="s">
        <v>896</v>
      </c>
      <c r="D2934" s="27" t="s">
        <v>801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2095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825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2096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2097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980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1008</v>
      </c>
      <c r="B2940" s="27" t="s">
        <v>846</v>
      </c>
      <c r="C2940" s="27" t="s">
        <v>816</v>
      </c>
      <c r="D2940" s="27" t="s">
        <v>801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1916</v>
      </c>
      <c r="B2941" s="27" t="s">
        <v>829</v>
      </c>
      <c r="C2941" s="27" t="s">
        <v>896</v>
      </c>
      <c r="D2941" s="27" t="s">
        <v>801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1405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795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2098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837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2099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2100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795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797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1835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2101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795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2102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795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2103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825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2104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797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935</v>
      </c>
      <c r="B2959" s="27" t="s">
        <v>881</v>
      </c>
      <c r="C2959" s="27" t="s">
        <v>816</v>
      </c>
      <c r="D2959" s="27" t="s">
        <v>801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1712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2105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827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966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967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795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2106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795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1213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798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2107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2108</v>
      </c>
      <c r="B2971" s="27" t="s">
        <v>1099</v>
      </c>
      <c r="C2971" s="27" t="s">
        <v>1095</v>
      </c>
      <c r="D2971" s="27" t="s">
        <v>801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2109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803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/>
    </row>
    <row r="2975" spans="1:12">
      <c r="A2975" s="20" t="s">
        <v>2110</v>
      </c>
    </row>
    <row r="2976" spans="1:12">
      <c r="A2976" s="20" t="s">
        <v>975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935</v>
      </c>
      <c r="B2977" s="27" t="s">
        <v>799</v>
      </c>
      <c r="C2977" s="27" t="s">
        <v>816</v>
      </c>
      <c r="D2977" s="27" t="s">
        <v>801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2069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795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877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795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2111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821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1125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822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873</v>
      </c>
      <c r="B2986" s="27" t="s">
        <v>849</v>
      </c>
      <c r="C2986" s="27" t="s">
        <v>816</v>
      </c>
      <c r="D2986" s="27" t="s">
        <v>801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2112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2113</v>
      </c>
      <c r="B2988" s="27" t="s">
        <v>891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2114</v>
      </c>
      <c r="B2989" s="27" t="s">
        <v>1156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970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2115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795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1213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219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2116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795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877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325</v>
      </c>
      <c r="B2998" s="27" t="s">
        <v>943</v>
      </c>
      <c r="C2998" s="27" t="s">
        <v>816</v>
      </c>
      <c r="D2998" s="27" t="s">
        <v>801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817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2117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795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844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2118</v>
      </c>
      <c r="B3003" s="27" t="s">
        <v>953</v>
      </c>
      <c r="C3003" s="27" t="s">
        <v>896</v>
      </c>
      <c r="D3003" s="27" t="s">
        <v>801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2119</v>
      </c>
      <c r="B3004" s="27" t="s">
        <v>878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2120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980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2121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821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1125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825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2122</v>
      </c>
      <c r="B3011" s="27" t="s">
        <v>1179</v>
      </c>
      <c r="C3011" s="27" t="s">
        <v>855</v>
      </c>
      <c r="D3011" s="27" t="s">
        <v>801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2123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1631</v>
      </c>
      <c r="B3013" s="27" t="s">
        <v>1480</v>
      </c>
      <c r="C3013" s="27" t="s">
        <v>1095</v>
      </c>
      <c r="D3013" s="27" t="s">
        <v>801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795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2124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1312</v>
      </c>
      <c r="B3016" s="27" t="s">
        <v>2125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1904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1186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795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2126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2127</v>
      </c>
      <c r="B3021" s="27" t="s">
        <v>1094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2128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2129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1657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2130</v>
      </c>
      <c r="B3025" s="27" t="s">
        <v>1477</v>
      </c>
      <c r="C3025" s="27" t="s">
        <v>843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795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1235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1246</v>
      </c>
      <c r="B3028" s="27" t="s">
        <v>1664</v>
      </c>
      <c r="C3028" s="27" t="s">
        <v>879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976</v>
      </c>
      <c r="B3029" s="27" t="s">
        <v>1104</v>
      </c>
      <c r="C3029" s="27" t="s">
        <v>816</v>
      </c>
      <c r="D3029" s="27" t="s">
        <v>801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1368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2131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970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1818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1405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825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2132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964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2133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976</v>
      </c>
      <c r="B3039" s="27" t="s">
        <v>2134</v>
      </c>
      <c r="C3039" s="27" t="s">
        <v>816</v>
      </c>
      <c r="D3039" s="27" t="s">
        <v>801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2135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2136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803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/>
    </row>
    <row r="3044" spans="1:12">
      <c r="A3044" s="20" t="s">
        <v>2137</v>
      </c>
    </row>
    <row r="3045" spans="1:12">
      <c r="A3045" s="20" t="s">
        <v>2138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795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877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1267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970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59</v>
      </c>
      <c r="B3050" s="27" t="s">
        <v>842</v>
      </c>
      <c r="C3050" s="27" t="s">
        <v>800</v>
      </c>
      <c r="D3050" s="27" t="s">
        <v>801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795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877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1161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1310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1312</v>
      </c>
      <c r="B3055" s="27" t="s">
        <v>874</v>
      </c>
      <c r="C3055" s="27" t="s">
        <v>1095</v>
      </c>
      <c r="D3055" s="27" t="s">
        <v>801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821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2139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1323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793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2140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797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2141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1464</v>
      </c>
      <c r="B3063" s="27" t="s">
        <v>943</v>
      </c>
      <c r="C3063" s="27" t="s">
        <v>843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2142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894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2143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795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837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2144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1208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1214</v>
      </c>
      <c r="B3071" s="27" t="s">
        <v>1179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2145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2146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795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925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837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2147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2148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2149</v>
      </c>
      <c r="B3079" s="27" t="s">
        <v>881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797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877</v>
      </c>
      <c r="B3081" s="27" t="s">
        <v>1104</v>
      </c>
      <c r="C3081" s="27" t="s">
        <v>879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2150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2151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2152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2153</v>
      </c>
      <c r="B3085" s="27" t="s">
        <v>2125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797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825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821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1989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1631</v>
      </c>
      <c r="B3090" s="27" t="s">
        <v>1665</v>
      </c>
      <c r="C3090" s="27" t="s">
        <v>843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795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837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2154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911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2123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2155</v>
      </c>
      <c r="B3096" s="27" t="s">
        <v>2156</v>
      </c>
      <c r="C3096" s="27" t="s">
        <v>1095</v>
      </c>
      <c r="D3096" s="27" t="s">
        <v>801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803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/>
    </row>
    <row r="3099" spans="1:12">
      <c r="A3099" s="20" t="s">
        <v>2157</v>
      </c>
    </row>
    <row r="3100" spans="1:12">
      <c r="A3100" s="20" t="s">
        <v>934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791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1713</v>
      </c>
      <c r="B3102" s="27" t="s">
        <v>849</v>
      </c>
      <c r="C3102" s="27" t="s">
        <v>816</v>
      </c>
      <c r="D3102" s="27" t="s">
        <v>801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2158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860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872</v>
      </c>
      <c r="B3105" s="27" t="s">
        <v>857</v>
      </c>
      <c r="C3105" s="27" t="s">
        <v>800</v>
      </c>
      <c r="D3105" s="27" t="s">
        <v>801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795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877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2159</v>
      </c>
      <c r="B3108" s="27" t="s">
        <v>943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2160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2161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2162</v>
      </c>
      <c r="B3111" s="27" t="s">
        <v>1480</v>
      </c>
      <c r="C3111" s="27" t="s">
        <v>896</v>
      </c>
      <c r="D3111" s="27" t="s">
        <v>801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2163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1464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1310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825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882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59</v>
      </c>
      <c r="B3117" s="27" t="s">
        <v>846</v>
      </c>
      <c r="C3117" s="27" t="s">
        <v>800</v>
      </c>
      <c r="D3117" s="27" t="s">
        <v>801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795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827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2164</v>
      </c>
      <c r="B3120" s="27" t="s">
        <v>829</v>
      </c>
      <c r="C3120" s="27" t="s">
        <v>879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2165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1046</v>
      </c>
      <c r="B3122" s="27" t="s">
        <v>878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795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1713</v>
      </c>
      <c r="B3124" s="27" t="s">
        <v>799</v>
      </c>
      <c r="C3124" s="27" t="s">
        <v>816</v>
      </c>
      <c r="D3124" s="27" t="s">
        <v>801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2166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795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877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798</v>
      </c>
      <c r="B3128" s="27" t="s">
        <v>849</v>
      </c>
      <c r="C3128" s="27" t="s">
        <v>800</v>
      </c>
      <c r="D3128" s="27" t="s">
        <v>801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2167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2168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2108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803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/>
    </row>
    <row r="3134" spans="1:12">
      <c r="A3134" s="20" t="s">
        <v>2169</v>
      </c>
    </row>
    <row r="3135" spans="1:12">
      <c r="A3135" s="20" t="s">
        <v>2170</v>
      </c>
      <c r="B3135" s="27" t="s">
        <v>799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837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872</v>
      </c>
      <c r="B3137" s="27" t="s">
        <v>842</v>
      </c>
      <c r="C3137" s="27" t="s">
        <v>800</v>
      </c>
      <c r="D3137" s="27" t="s">
        <v>801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795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877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1117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1770</v>
      </c>
      <c r="B3141" s="27" t="s">
        <v>846</v>
      </c>
      <c r="C3141" s="27" t="s">
        <v>896</v>
      </c>
      <c r="D3141" s="27" t="s">
        <v>801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1312</v>
      </c>
      <c r="B3142" s="27" t="s">
        <v>849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825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1194</v>
      </c>
      <c r="B3144" s="27" t="s">
        <v>957</v>
      </c>
      <c r="C3144" s="27" t="s">
        <v>816</v>
      </c>
      <c r="D3144" s="27" t="s">
        <v>801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2159</v>
      </c>
      <c r="B3145" s="27" t="s">
        <v>846</v>
      </c>
      <c r="C3145" s="27" t="s">
        <v>855</v>
      </c>
      <c r="D3145" s="27" t="s">
        <v>801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2171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912</v>
      </c>
      <c r="B3147" s="27" t="s">
        <v>891</v>
      </c>
      <c r="C3147" s="27" t="s">
        <v>816</v>
      </c>
      <c r="D3147" s="27" t="s">
        <v>801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803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/>
    </row>
    <row r="3150" spans="1:12">
      <c r="A3150" s="20" t="s">
        <v>2172</v>
      </c>
    </row>
    <row r="3151" spans="1:12">
      <c r="A3151" s="20" t="s">
        <v>1016</v>
      </c>
      <c r="B3151" s="27" t="s">
        <v>799</v>
      </c>
      <c r="C3151" s="27" t="s">
        <v>816</v>
      </c>
      <c r="D3151" s="27" t="s">
        <v>801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2173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1021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1405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837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59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1351</v>
      </c>
      <c r="B3157" s="27" t="s">
        <v>846</v>
      </c>
      <c r="C3157" s="27" t="s">
        <v>1095</v>
      </c>
      <c r="D3157" s="27" t="s">
        <v>801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795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844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2174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1961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1053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1962</v>
      </c>
      <c r="B3163" s="27" t="s">
        <v>829</v>
      </c>
      <c r="C3163" s="27" t="s">
        <v>1095</v>
      </c>
      <c r="D3163" s="27" t="s">
        <v>801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803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/>
    </row>
    <row r="3166" spans="1:12">
      <c r="A3166" s="20" t="s">
        <v>2175</v>
      </c>
    </row>
    <row r="3167" spans="1:12">
      <c r="A3167" s="20" t="s">
        <v>2176</v>
      </c>
      <c r="B3167" s="27" t="s">
        <v>799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906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2177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825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2178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964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1531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976</v>
      </c>
      <c r="B3174" s="27" t="s">
        <v>874</v>
      </c>
      <c r="C3174" s="27" t="s">
        <v>816</v>
      </c>
      <c r="D3174" s="27" t="s">
        <v>801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1407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2179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1021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1405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795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2180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2181</v>
      </c>
      <c r="B3181" s="27" t="s">
        <v>1094</v>
      </c>
      <c r="C3181" s="27" t="s">
        <v>855</v>
      </c>
      <c r="D3181" s="27" t="s">
        <v>801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860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872</v>
      </c>
      <c r="B3183" s="27" t="s">
        <v>1480</v>
      </c>
      <c r="C3183" s="27" t="s">
        <v>800</v>
      </c>
      <c r="D3183" s="27" t="s">
        <v>801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795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877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946</v>
      </c>
      <c r="B3186" s="27" t="s">
        <v>2182</v>
      </c>
      <c r="C3186" s="27" t="s">
        <v>816</v>
      </c>
      <c r="D3186" s="27" t="s">
        <v>801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913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333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817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821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822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2075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883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1540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1016</v>
      </c>
      <c r="B3195" s="27" t="s">
        <v>2134</v>
      </c>
      <c r="C3195" s="27" t="s">
        <v>816</v>
      </c>
      <c r="D3195" s="27" t="s">
        <v>801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2183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964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1018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2184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817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59</v>
      </c>
      <c r="B3201" s="27" t="s">
        <v>2185</v>
      </c>
      <c r="C3201" s="27" t="s">
        <v>800</v>
      </c>
      <c r="D3201" s="27" t="s">
        <v>801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795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877</v>
      </c>
      <c r="B3203" s="27" t="s">
        <v>2186</v>
      </c>
      <c r="C3203" s="27" t="s">
        <v>879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913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333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817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821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822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2075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803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/>
    </row>
    <row r="3212" spans="1:12">
      <c r="A3212" s="20" t="s">
        <v>2187</v>
      </c>
    </row>
    <row r="3213" spans="1:12">
      <c r="A3213" s="20" t="s">
        <v>1016</v>
      </c>
      <c r="B3213" s="27" t="s">
        <v>799</v>
      </c>
      <c r="C3213" s="27" t="s">
        <v>816</v>
      </c>
      <c r="D3213" s="27" t="s">
        <v>801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2184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34</v>
      </c>
      <c r="B3215" s="27" t="s">
        <v>921</v>
      </c>
      <c r="C3215" s="27" t="s">
        <v>855</v>
      </c>
      <c r="D3215" s="27" t="s">
        <v>801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860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872</v>
      </c>
      <c r="B3217" s="27" t="s">
        <v>857</v>
      </c>
      <c r="C3217" s="27" t="s">
        <v>800</v>
      </c>
      <c r="D3217" s="27" t="s">
        <v>801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795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822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1989</v>
      </c>
      <c r="B3220" s="27" t="s">
        <v>943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2188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2189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837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1888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795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844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1349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795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877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946</v>
      </c>
      <c r="B3230" s="27" t="s">
        <v>1179</v>
      </c>
      <c r="C3230" s="27" t="s">
        <v>816</v>
      </c>
      <c r="D3230" s="27" t="s">
        <v>801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2190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817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2191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803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/>
    </row>
    <row r="3236" spans="1:12">
      <c r="A3236" s="20" t="s">
        <v>2192</v>
      </c>
    </row>
    <row r="3237" spans="1:12">
      <c r="A3237" s="20" t="s">
        <v>1016</v>
      </c>
      <c r="B3237" s="27" t="s">
        <v>799</v>
      </c>
      <c r="C3237" s="27" t="s">
        <v>816</v>
      </c>
      <c r="D3237" s="27" t="s">
        <v>801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1989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997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860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954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1966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1405</v>
      </c>
      <c r="B3243" s="27" t="s">
        <v>842</v>
      </c>
      <c r="C3243" s="27" t="s">
        <v>843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12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2193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795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2194</v>
      </c>
      <c r="B3247" s="27" t="s">
        <v>1121</v>
      </c>
      <c r="C3247" s="27" t="s">
        <v>879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845</v>
      </c>
      <c r="B3248" s="27" t="s">
        <v>1001</v>
      </c>
      <c r="C3248" s="27" t="s">
        <v>816</v>
      </c>
      <c r="D3248" s="27" t="s">
        <v>801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2195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1694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803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/>
    </row>
    <row r="3253" spans="1:12">
      <c r="A3253" s="20" t="s">
        <v>2196</v>
      </c>
    </row>
    <row r="3254" spans="1:12">
      <c r="A3254" s="20" t="s">
        <v>2197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1432</v>
      </c>
      <c r="B3255" s="27" t="s">
        <v>842</v>
      </c>
      <c r="C3255" s="27" t="s">
        <v>816</v>
      </c>
      <c r="D3255" s="27" t="s">
        <v>801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1109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1389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2198</v>
      </c>
      <c r="B3258" s="27" t="s">
        <v>799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2199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803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/>
    </row>
    <row r="3262" spans="1:12">
      <c r="A3262" s="20" t="s">
        <v>2200</v>
      </c>
    </row>
    <row r="3263" spans="1:12">
      <c r="A3263" s="20" t="s">
        <v>1452</v>
      </c>
      <c r="B3263" s="27" t="s">
        <v>799</v>
      </c>
      <c r="C3263" s="27" t="s">
        <v>816</v>
      </c>
      <c r="D3263" s="27" t="s">
        <v>801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2201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325</v>
      </c>
      <c r="B3265" s="27" t="s">
        <v>799</v>
      </c>
      <c r="C3265" s="27" t="s">
        <v>816</v>
      </c>
      <c r="D3265" s="27" t="s">
        <v>801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2202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2203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803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/>
    </row>
    <row r="3270" spans="1:12">
      <c r="A3270" s="20" t="s">
        <v>2204</v>
      </c>
    </row>
    <row r="3271" spans="1:12">
      <c r="A3271" s="20" t="s">
        <v>2205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1351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2206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955</v>
      </c>
      <c r="B3274" s="27" t="s">
        <v>857</v>
      </c>
      <c r="C3274" s="27" t="s">
        <v>816</v>
      </c>
      <c r="D3274" s="27" t="s">
        <v>801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962</v>
      </c>
      <c r="B3275" s="27" t="s">
        <v>799</v>
      </c>
      <c r="C3275" s="27" t="s">
        <v>855</v>
      </c>
      <c r="D3275" s="27" t="s">
        <v>801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929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964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1018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2207</v>
      </c>
      <c r="B3279" s="27" t="s">
        <v>891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860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2208</v>
      </c>
      <c r="B3281" s="27" t="s">
        <v>846</v>
      </c>
      <c r="C3281" s="27" t="s">
        <v>855</v>
      </c>
      <c r="D3281" s="27" t="s">
        <v>801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1721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59</v>
      </c>
      <c r="B3283" s="27" t="s">
        <v>957</v>
      </c>
      <c r="C3283" s="27" t="s">
        <v>800</v>
      </c>
      <c r="D3283" s="27" t="s">
        <v>801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795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1219</v>
      </c>
      <c r="B3285" s="27" t="s">
        <v>953</v>
      </c>
      <c r="C3285" s="27" t="s">
        <v>879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2209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1109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2210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797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2211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1405</v>
      </c>
      <c r="B3291" s="27" t="s">
        <v>953</v>
      </c>
      <c r="C3291" s="27" t="s">
        <v>800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822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935</v>
      </c>
      <c r="B3293" s="27" t="s">
        <v>1099</v>
      </c>
      <c r="C3293" s="27" t="s">
        <v>816</v>
      </c>
      <c r="D3293" s="27" t="s">
        <v>801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2212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825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1413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795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2194</v>
      </c>
      <c r="B3298" s="27" t="s">
        <v>2213</v>
      </c>
      <c r="C3298" s="27" t="s">
        <v>879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2214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803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/>
    </row>
    <row r="3302" spans="1:12">
      <c r="A3302" s="20" t="s">
        <v>2215</v>
      </c>
    </row>
    <row r="3303" spans="1:12">
      <c r="A3303" s="20" t="s">
        <v>975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935</v>
      </c>
      <c r="B3304" s="27" t="s">
        <v>799</v>
      </c>
      <c r="C3304" s="27" t="s">
        <v>816</v>
      </c>
      <c r="D3304" s="27" t="s">
        <v>801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2216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795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877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2217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110</v>
      </c>
      <c r="B3309" s="27" t="s">
        <v>849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913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344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2218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1405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795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791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980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1432</v>
      </c>
      <c r="B3317" s="27" t="s">
        <v>957</v>
      </c>
      <c r="C3317" s="27" t="s">
        <v>816</v>
      </c>
      <c r="D3317" s="27" t="s">
        <v>801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1417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2219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2220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1062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978</v>
      </c>
      <c r="B3322" s="27" t="s">
        <v>829</v>
      </c>
      <c r="C3322" s="27" t="s">
        <v>800</v>
      </c>
      <c r="D3322" s="27" t="s">
        <v>801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803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/>
    </row>
    <row r="3325" spans="1:12">
      <c r="A3325" s="20" t="s">
        <v>2221</v>
      </c>
    </row>
    <row r="3326" spans="1:12">
      <c r="A3326" s="20" t="s">
        <v>2222</v>
      </c>
      <c r="B3326" s="27" t="s">
        <v>857</v>
      </c>
      <c r="C3326" s="27" t="s">
        <v>896</v>
      </c>
      <c r="D3326" s="27" t="s">
        <v>801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2223</v>
      </c>
      <c r="B3327" s="27" t="s">
        <v>799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797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2224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658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2225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1186</v>
      </c>
      <c r="B3332" s="27" t="s">
        <v>842</v>
      </c>
      <c r="C3332" s="27" t="s">
        <v>843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2226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2227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837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2228</v>
      </c>
      <c r="B3336" s="27" t="s">
        <v>857</v>
      </c>
      <c r="C3336" s="27" t="s">
        <v>858</v>
      </c>
      <c r="D3336" s="27" t="s">
        <v>801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803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/>
    </row>
    <row r="3339" spans="1:12">
      <c r="A3339" s="20" t="s">
        <v>2229</v>
      </c>
    </row>
    <row r="3340" spans="1:12">
      <c r="A3340" s="20" t="s">
        <v>2197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1008</v>
      </c>
      <c r="B3341" s="27" t="s">
        <v>842</v>
      </c>
      <c r="C3341" s="27" t="s">
        <v>816</v>
      </c>
      <c r="D3341" s="27" t="s">
        <v>801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1109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2230</v>
      </c>
      <c r="B3343" s="27" t="s">
        <v>799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863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2231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795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837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2232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795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2233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999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1186</v>
      </c>
      <c r="B3352" s="27" t="s">
        <v>1001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803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/>
    </row>
    <row r="3355" spans="1:12">
      <c r="A3355" s="20" t="s">
        <v>2234</v>
      </c>
    </row>
    <row r="3356" spans="1:12">
      <c r="A3356" s="20" t="s">
        <v>2197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912</v>
      </c>
      <c r="B3357" s="27" t="s">
        <v>842</v>
      </c>
      <c r="C3357" s="27" t="s">
        <v>816</v>
      </c>
      <c r="D3357" s="27" t="s">
        <v>801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894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1113</v>
      </c>
      <c r="B3359" s="27" t="s">
        <v>842</v>
      </c>
      <c r="C3359" s="27" t="s">
        <v>816</v>
      </c>
      <c r="D3359" s="27" t="s">
        <v>801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882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2235</v>
      </c>
      <c r="B3361" s="27" t="s">
        <v>799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803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/>
    </row>
    <row r="3364" spans="1:12">
      <c r="A3364" s="20" t="s">
        <v>2236</v>
      </c>
    </row>
    <row r="3365" spans="1:12">
      <c r="A3365" s="20" t="s">
        <v>1050</v>
      </c>
      <c r="B3365" s="27" t="s">
        <v>799</v>
      </c>
      <c r="C3365" s="27" t="s">
        <v>816</v>
      </c>
      <c r="D3365" s="27" t="s">
        <v>801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2237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837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2238</v>
      </c>
      <c r="B3368" s="27" t="s">
        <v>842</v>
      </c>
      <c r="C3368" s="27" t="s">
        <v>858</v>
      </c>
      <c r="D3368" s="27" t="s">
        <v>801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803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/>
    </row>
    <row r="3371" spans="1:12">
      <c r="A3371" s="20" t="s">
        <v>2239</v>
      </c>
    </row>
    <row r="3372" spans="1:12">
      <c r="A3372" s="20" t="s">
        <v>851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980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912</v>
      </c>
      <c r="B3374" s="27" t="s">
        <v>842</v>
      </c>
      <c r="C3374" s="27" t="s">
        <v>816</v>
      </c>
      <c r="D3374" s="27" t="s">
        <v>801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894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2240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882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1394</v>
      </c>
      <c r="B3378" s="27" t="s">
        <v>799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795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2241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894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2242</v>
      </c>
      <c r="B3382" s="27" t="s">
        <v>846</v>
      </c>
      <c r="C3382" s="27" t="s">
        <v>816</v>
      </c>
      <c r="D3382" s="27" t="s">
        <v>801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1767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803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/>
    </row>
    <row r="3386" spans="1:12">
      <c r="A3386" s="20" t="s">
        <v>2243</v>
      </c>
    </row>
    <row r="3387" spans="1:12">
      <c r="A3387" s="20" t="s">
        <v>1016</v>
      </c>
      <c r="B3387" s="27" t="s">
        <v>799</v>
      </c>
      <c r="C3387" s="27" t="s">
        <v>816</v>
      </c>
      <c r="D3387" s="27" t="s">
        <v>801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955</v>
      </c>
      <c r="B3388" s="27" t="s">
        <v>842</v>
      </c>
      <c r="C3388" s="27" t="s">
        <v>816</v>
      </c>
      <c r="D3388" s="27" t="s">
        <v>801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2224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658</v>
      </c>
      <c r="B3390" s="27" t="s">
        <v>842</v>
      </c>
      <c r="C3390" s="27" t="s">
        <v>855</v>
      </c>
      <c r="D3390" s="27" t="s">
        <v>801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795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925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2244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899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2245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2246</v>
      </c>
      <c r="B3396" s="27" t="s">
        <v>849</v>
      </c>
      <c r="C3396" s="27" t="s">
        <v>858</v>
      </c>
      <c r="D3396" s="27" t="s">
        <v>801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797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2247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795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962</v>
      </c>
      <c r="B3400" s="27" t="s">
        <v>957</v>
      </c>
      <c r="C3400" s="27" t="s">
        <v>855</v>
      </c>
      <c r="D3400" s="27" t="s">
        <v>801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2248</v>
      </c>
      <c r="B3401" s="27" t="s">
        <v>829</v>
      </c>
      <c r="C3401" s="27" t="s">
        <v>858</v>
      </c>
      <c r="D3401" s="27" t="s">
        <v>801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825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2249</v>
      </c>
      <c r="B3403" s="27" t="s">
        <v>957</v>
      </c>
      <c r="C3403" s="27" t="s">
        <v>858</v>
      </c>
      <c r="D3403" s="27" t="s">
        <v>801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2250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837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2228</v>
      </c>
      <c r="B3406" s="27" t="s">
        <v>953</v>
      </c>
      <c r="C3406" s="27" t="s">
        <v>858</v>
      </c>
      <c r="D3406" s="27" t="s">
        <v>801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803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/>
    </row>
    <row r="3409" spans="1:12">
      <c r="A3409" s="20" t="s">
        <v>2251</v>
      </c>
    </row>
    <row r="3410" spans="1:12">
      <c r="A3410" s="20" t="s">
        <v>2252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964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2253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1189</v>
      </c>
      <c r="B3413" s="27" t="s">
        <v>842</v>
      </c>
      <c r="C3413" s="27" t="s">
        <v>843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795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2254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1186</v>
      </c>
      <c r="B3416" s="27" t="s">
        <v>857</v>
      </c>
      <c r="C3416" s="27" t="s">
        <v>843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795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847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2255</v>
      </c>
      <c r="B3419" s="27" t="s">
        <v>857</v>
      </c>
      <c r="C3419" s="27" t="s">
        <v>843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803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/>
    </row>
    <row r="3422" spans="1:12">
      <c r="A3422" s="20" t="s">
        <v>2256</v>
      </c>
    </row>
    <row r="3423" spans="1:12">
      <c r="A3423" s="20" t="s">
        <v>2257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1046</v>
      </c>
      <c r="B3424" s="27" t="s">
        <v>799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795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1330</v>
      </c>
      <c r="B3426" s="27" t="s">
        <v>874</v>
      </c>
      <c r="C3426" s="27" t="s">
        <v>879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2258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795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877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1930</v>
      </c>
      <c r="B3430" s="27" t="s">
        <v>943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952</v>
      </c>
      <c r="B3431" s="27" t="s">
        <v>953</v>
      </c>
      <c r="C3431" s="27" t="s">
        <v>896</v>
      </c>
      <c r="D3431" s="27" t="s">
        <v>801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1464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2259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795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2260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1130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2261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2262</v>
      </c>
      <c r="B3438" s="27" t="s">
        <v>878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1194</v>
      </c>
      <c r="B3439" s="27" t="s">
        <v>1480</v>
      </c>
      <c r="C3439" s="27" t="s">
        <v>896</v>
      </c>
      <c r="D3439" s="27" t="s">
        <v>801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1631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803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/>
    </row>
    <row r="3443" spans="1:12">
      <c r="A3443" s="20" t="s">
        <v>2263</v>
      </c>
    </row>
    <row r="3444" spans="1:12">
      <c r="A3444" s="20" t="s">
        <v>851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882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1939</v>
      </c>
      <c r="B3446" s="27" t="s">
        <v>799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795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1468</v>
      </c>
      <c r="B3448" s="27" t="s">
        <v>874</v>
      </c>
      <c r="C3448" s="27" t="s">
        <v>879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2264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795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877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1464</v>
      </c>
      <c r="B3452" s="27" t="s">
        <v>943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2265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952</v>
      </c>
      <c r="B3454" s="27" t="s">
        <v>829</v>
      </c>
      <c r="C3454" s="27" t="s">
        <v>896</v>
      </c>
      <c r="D3454" s="27" t="s">
        <v>801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817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1894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253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803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/>
    </row>
    <row r="3460" spans="1:12">
      <c r="A3460" s="20" t="s">
        <v>2266</v>
      </c>
    </row>
    <row r="3461" spans="1:12">
      <c r="A3461" s="20" t="s">
        <v>1016</v>
      </c>
      <c r="B3461" s="27" t="s">
        <v>799</v>
      </c>
      <c r="C3461" s="27" t="s">
        <v>816</v>
      </c>
      <c r="D3461" s="27" t="s">
        <v>801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817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2267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2268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2269</v>
      </c>
      <c r="B3465" s="27" t="s">
        <v>921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2188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803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/>
    </row>
    <row r="3469" spans="1:12">
      <c r="A3469" s="20" t="s">
        <v>2270</v>
      </c>
    </row>
    <row r="3470" spans="1:12">
      <c r="A3470" s="20" t="s">
        <v>1196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2271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803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/>
    </row>
    <row r="3474" spans="1:12">
      <c r="A3474" s="20" t="s">
        <v>2272</v>
      </c>
    </row>
    <row r="3475" spans="1:12">
      <c r="A3475" s="20" t="s">
        <v>975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935</v>
      </c>
      <c r="B3476" s="27" t="s">
        <v>799</v>
      </c>
      <c r="C3476" s="27" t="s">
        <v>816</v>
      </c>
      <c r="D3476" s="27" t="s">
        <v>801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1855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795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877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821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1125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822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1298</v>
      </c>
      <c r="B3483" s="27" t="s">
        <v>891</v>
      </c>
      <c r="C3483" s="27" t="s">
        <v>816</v>
      </c>
      <c r="D3483" s="27" t="s">
        <v>801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1331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2273</v>
      </c>
      <c r="B3485" s="27" t="s">
        <v>849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2274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795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1213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329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795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877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2275</v>
      </c>
      <c r="B3492" s="27" t="s">
        <v>829</v>
      </c>
      <c r="C3492" s="27" t="s">
        <v>896</v>
      </c>
      <c r="D3492" s="27" t="s">
        <v>801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2276</v>
      </c>
      <c r="B3493" s="27" t="s">
        <v>943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2277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2278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795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821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1125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1298</v>
      </c>
      <c r="B3499" s="27" t="s">
        <v>1001</v>
      </c>
      <c r="C3499" s="27" t="s">
        <v>816</v>
      </c>
      <c r="D3499" s="27" t="s">
        <v>801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2279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2273</v>
      </c>
      <c r="B3501" s="27" t="s">
        <v>943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2188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795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2273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1631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1062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2280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2281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2282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803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/>
    </row>
    <row r="3512" spans="1:12">
      <c r="A3512" s="20" t="s">
        <v>2283</v>
      </c>
    </row>
    <row r="3513" spans="1:12">
      <c r="A3513" s="20" t="s">
        <v>2284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2285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1519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2286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2287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1723</v>
      </c>
      <c r="B3518" s="27" t="s">
        <v>957</v>
      </c>
      <c r="C3518" s="27" t="s">
        <v>896</v>
      </c>
      <c r="D3518" s="27" t="s">
        <v>801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1413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795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837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2288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1239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2289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2290</v>
      </c>
      <c r="B3525" s="27" t="s">
        <v>921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803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/>
    </row>
    <row r="3528" spans="1:12">
      <c r="A3528" s="20" t="s">
        <v>2291</v>
      </c>
    </row>
    <row r="3529" spans="1:12">
      <c r="A3529" s="20" t="s">
        <v>2292</v>
      </c>
      <c r="B3529" s="27" t="s">
        <v>799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817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2293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2294</v>
      </c>
      <c r="B3532" s="27" t="s">
        <v>921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2295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1749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803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/>
    </row>
    <row r="3537" spans="1:12">
      <c r="A3537" s="20" t="s">
        <v>2296</v>
      </c>
    </row>
    <row r="3538" spans="1:12">
      <c r="A3538" s="20" t="s">
        <v>2297</v>
      </c>
      <c r="B3538" s="27" t="s">
        <v>799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929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795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877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1399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980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1432</v>
      </c>
      <c r="B3544" s="27" t="s">
        <v>857</v>
      </c>
      <c r="C3544" s="27" t="s">
        <v>816</v>
      </c>
      <c r="D3544" s="27" t="s">
        <v>801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2298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2299</v>
      </c>
      <c r="B3546" s="27" t="s">
        <v>874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803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/>
    </row>
    <row r="3549" spans="1:12">
      <c r="A3549" s="20" t="s">
        <v>2300</v>
      </c>
    </row>
    <row r="3550" spans="1:12">
      <c r="A3550" s="20" t="s">
        <v>1452</v>
      </c>
      <c r="B3550" s="27" t="s">
        <v>799</v>
      </c>
      <c r="C3550" s="27" t="s">
        <v>816</v>
      </c>
      <c r="D3550" s="27" t="s">
        <v>801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2293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2294</v>
      </c>
      <c r="B3552" s="27" t="s">
        <v>921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795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1114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817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2301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795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877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863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1116</v>
      </c>
      <c r="B3560" s="27" t="s">
        <v>957</v>
      </c>
      <c r="C3560" s="27" t="s">
        <v>896</v>
      </c>
      <c r="D3560" s="27" t="s">
        <v>801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2302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2303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2304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970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2305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837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2306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2307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803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/>
    </row>
    <row r="3571" spans="1:12">
      <c r="A3571" s="20" t="s">
        <v>2308</v>
      </c>
    </row>
    <row r="3572" spans="1:12">
      <c r="A3572" s="20" t="s">
        <v>2309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1125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980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1432</v>
      </c>
      <c r="B3575" s="27" t="s">
        <v>842</v>
      </c>
      <c r="C3575" s="27" t="s">
        <v>816</v>
      </c>
      <c r="D3575" s="27" t="s">
        <v>801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1109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2310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2311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2312</v>
      </c>
      <c r="B3579" s="27" t="s">
        <v>842</v>
      </c>
      <c r="C3579" s="27" t="s">
        <v>855</v>
      </c>
      <c r="D3579" s="27" t="s">
        <v>801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795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877</v>
      </c>
      <c r="B3581" s="27" t="s">
        <v>849</v>
      </c>
      <c r="C3581" s="27" t="s">
        <v>879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2303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2304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970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2313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803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/>
    </row>
    <row r="3588" spans="1:12">
      <c r="A3588" s="20" t="s">
        <v>2314</v>
      </c>
    </row>
    <row r="3589" spans="1:12">
      <c r="A3589" s="20" t="s">
        <v>890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938</v>
      </c>
      <c r="B3590" s="27" t="s">
        <v>799</v>
      </c>
      <c r="C3590" s="27" t="s">
        <v>816</v>
      </c>
      <c r="D3590" s="27" t="s">
        <v>801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946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798</v>
      </c>
      <c r="B3592" s="27" t="s">
        <v>921</v>
      </c>
      <c r="C3592" s="27" t="s">
        <v>800</v>
      </c>
      <c r="D3592" s="27" t="s">
        <v>801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929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795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925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2315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795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877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2316</v>
      </c>
      <c r="B3599" s="27" t="s">
        <v>874</v>
      </c>
      <c r="C3599" s="27" t="s">
        <v>879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2161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1008</v>
      </c>
      <c r="B3601" s="27" t="s">
        <v>1156</v>
      </c>
      <c r="C3601" s="27" t="s">
        <v>816</v>
      </c>
      <c r="D3601" s="27" t="s">
        <v>801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2317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803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/>
    </row>
    <row r="3605" spans="1:12">
      <c r="A3605" s="20" t="s">
        <v>2318</v>
      </c>
    </row>
    <row r="3606" spans="1:12">
      <c r="A3606" s="20" t="s">
        <v>1016</v>
      </c>
      <c r="B3606" s="27" t="s">
        <v>799</v>
      </c>
      <c r="C3606" s="27" t="s">
        <v>816</v>
      </c>
      <c r="D3606" s="27" t="s">
        <v>801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1230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795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877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2319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2174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1961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2320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860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872</v>
      </c>
      <c r="B3615" s="27" t="s">
        <v>857</v>
      </c>
      <c r="C3615" s="27" t="s">
        <v>800</v>
      </c>
      <c r="D3615" s="27" t="s">
        <v>801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795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822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1989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1570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2080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1191</v>
      </c>
      <c r="B3621" s="27" t="s">
        <v>943</v>
      </c>
      <c r="C3621" s="27" t="s">
        <v>855</v>
      </c>
      <c r="D3621" s="27" t="s">
        <v>801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837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872</v>
      </c>
      <c r="B3623" s="27" t="s">
        <v>829</v>
      </c>
      <c r="C3623" s="27" t="s">
        <v>800</v>
      </c>
      <c r="D3623" s="27" t="s">
        <v>801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795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877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1194</v>
      </c>
      <c r="B3626" s="27" t="s">
        <v>1477</v>
      </c>
      <c r="C3626" s="27" t="s">
        <v>816</v>
      </c>
      <c r="D3626" s="27" t="s">
        <v>801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1214</v>
      </c>
      <c r="B3627" s="27" t="s">
        <v>881</v>
      </c>
      <c r="C3627" s="27" t="s">
        <v>855</v>
      </c>
      <c r="D3627" s="27" t="s">
        <v>801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906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2321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825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935</v>
      </c>
      <c r="B3631" s="27" t="s">
        <v>1099</v>
      </c>
      <c r="C3631" s="27" t="s">
        <v>816</v>
      </c>
      <c r="D3631" s="27" t="s">
        <v>801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817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2056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2322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1194</v>
      </c>
      <c r="B3635" s="27" t="s">
        <v>1665</v>
      </c>
      <c r="C3635" s="27" t="s">
        <v>896</v>
      </c>
      <c r="D3635" s="27" t="s">
        <v>801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2323</v>
      </c>
      <c r="B3636" s="27" t="s">
        <v>2125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803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/>
    </row>
    <row r="3639" spans="1:12">
      <c r="A3639" s="20" t="s">
        <v>2324</v>
      </c>
    </row>
    <row r="3640" spans="1:12">
      <c r="A3640" s="20" t="s">
        <v>945</v>
      </c>
      <c r="B3640" s="27" t="s">
        <v>799</v>
      </c>
      <c r="C3640" s="27" t="s">
        <v>800</v>
      </c>
      <c r="D3640" s="27" t="s">
        <v>801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795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894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1136</v>
      </c>
      <c r="B3643" s="27" t="s">
        <v>957</v>
      </c>
      <c r="C3643" s="27" t="s">
        <v>879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845</v>
      </c>
      <c r="B3644" s="27" t="s">
        <v>1156</v>
      </c>
      <c r="C3644" s="27" t="s">
        <v>816</v>
      </c>
      <c r="D3644" s="27" t="s">
        <v>801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2325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2326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797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798</v>
      </c>
      <c r="B3648" s="27" t="s">
        <v>799</v>
      </c>
      <c r="C3648" s="27" t="s">
        <v>800</v>
      </c>
      <c r="D3648" s="27" t="s">
        <v>801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721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795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825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822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1161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1191</v>
      </c>
      <c r="B3654" s="27" t="s">
        <v>849</v>
      </c>
      <c r="C3654" s="27" t="s">
        <v>843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 t="s">
        <v>894</v>
      </c>
      <c r="E3655" s="21">
        <f>IF(D3655="?OLD","!!!","")</f>
        <v/>
      </c>
      <c r="F3655" s="22" t="str">
        <f>IF(OR(E3655="",E3655="!!!"),"",IF(NOT(ISNA(VLOOKUP(E3655,E$1:E3654,1,FALSE()))),"OLD",IF(AND(E3655&lt;&gt;"",E3655&lt;&gt;"!!!"),"NEW","")))</f>
        <v> </v>
      </c>
      <c r="G3655" s="23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4" t="str">
        <f>IF(J3655&lt;&gt;1,"",IF(I3655="SBJ","CB","?"))</f>
        <v> </v>
      </c>
      <c r="I3655" s="25" t="str">
        <f>IF(OR(E3655="",E3655="!!!",F3655="NEW"),"",INDEX(B3654:B$2,-1+SUMPRODUCT(MAX(ROW(E3654:E$2)*(E3655=E3654:E$2)))))</f>
        <v> </v>
      </c>
      <c r="J3655" s="25" t="str">
        <f>IF(OR(E3655="",E3655="!!!",F3655="NEW"),"",COUNTBLANK(OFFSET(A$1,,,SUMPRODUCT(MAX(ROW(E$2:E3655)*(E3655=E$2:E3655)))))-COUNTBLANK(OFFSET(A$1,,,SUMPRODUCT(MAX(ROW(E$1:E3654)*(E2=E$1:E3654))))))</f>
        <v> </v>
      </c>
      <c r="K3655" s="25" t="str">
        <f>IF(OR(E3655="",E3655="!!!",F3655="NEW"),"",INDEX(J$1:J3654,SUMPRODUCT(MAX(ROW(E$1:E3654)*(E3655=E$1:E3654)))))</f>
        <v> </v>
      </c>
      <c r="L3655" s="26"/>
    </row>
    <row r="3656" spans="1:12">
      <c r="A3656" s="20" t="s">
        <v>2327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1685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935</v>
      </c>
      <c r="B3658" s="27" t="s">
        <v>849</v>
      </c>
      <c r="C3658" s="27" t="s">
        <v>816</v>
      </c>
      <c r="D3658" s="27" t="s">
        <v>801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1316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2328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1818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1405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793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2329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803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/>
    </row>
    <row r="3667" spans="1:12">
      <c r="A3667" s="20" t="s">
        <v>2330</v>
      </c>
    </row>
    <row r="3668" spans="1:12">
      <c r="A3668" s="20" t="s">
        <v>1016</v>
      </c>
      <c r="B3668" s="27" t="s">
        <v>799</v>
      </c>
      <c r="C3668" s="27" t="s">
        <v>816</v>
      </c>
      <c r="D3668" s="27" t="s">
        <v>801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821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1125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1316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2328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825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448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793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2329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803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/>
    </row>
    <row r="3679" spans="1:12">
      <c r="A3679" s="20" t="s">
        <v>2331</v>
      </c>
    </row>
    <row r="3680" spans="1:12">
      <c r="A3680" s="20" t="s">
        <v>2332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2333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2334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795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935</v>
      </c>
      <c r="B3684" s="27" t="s">
        <v>849</v>
      </c>
      <c r="C3684" s="27" t="s">
        <v>816</v>
      </c>
      <c r="D3684" s="27" t="s">
        <v>801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1376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795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 t="s">
        <v>791</v>
      </c>
      <c r="E3687" s="21">
        <f>IF(D3687="?OLD","!!!","")</f>
        <v/>
      </c>
      <c r="F3687" s="22" t="str">
        <f>IF(OR(E3687="",E3687="!!!"),"",IF(NOT(ISNA(VLOOKUP(E3687,E$1:E3686,1,FALSE()))),"OLD",IF(AND(E3687&lt;&gt;"",E3687&lt;&gt;"!!!"),"NEW","")))</f>
        <v> </v>
      </c>
      <c r="G3687" s="23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4" t="str">
        <f>IF(J3687&lt;&gt;1,"",IF(I3687="SBJ","CB","?"))</f>
        <v> </v>
      </c>
      <c r="I3687" s="25" t="str">
        <f>IF(OR(E3687="",E3687="!!!",F3687="NEW"),"",INDEX(B3686:B$2,-1+SUMPRODUCT(MAX(ROW(E3686:E$2)*(E3687=E3686:E$2)))))</f>
        <v> </v>
      </c>
      <c r="J3687" s="25" t="str">
        <f>IF(OR(E3687="",E3687="!!!",F3687="NEW"),"",COUNTBLANK(OFFSET(A$1,,,SUMPRODUCT(MAX(ROW(E$2:E3687)*(E3687=E$2:E3687)))))-COUNTBLANK(OFFSET(A$1,,,SUMPRODUCT(MAX(ROW(E$1:E3686)*(E2=E$1:E3686))))))</f>
        <v> </v>
      </c>
      <c r="K3687" s="25" t="str">
        <f>IF(OR(E3687="",E3687="!!!",F3687="NEW"),"",INDEX(J$1:J3686,SUMPRODUCT(MAX(ROW(E$1:E3686)*(E3687=E$1:E3686)))))</f>
        <v> </v>
      </c>
      <c r="L3687" s="26"/>
    </row>
    <row r="3688" spans="1:12">
      <c r="A3688" s="20" t="s">
        <v>2335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795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877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325</v>
      </c>
      <c r="B3691" s="27" t="s">
        <v>943</v>
      </c>
      <c r="C3691" s="27" t="s">
        <v>816</v>
      </c>
      <c r="D3691" s="27" t="s">
        <v>801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2336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2337</v>
      </c>
      <c r="B3693" s="27" t="s">
        <v>957</v>
      </c>
      <c r="C3693" s="27" t="s">
        <v>879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911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978</v>
      </c>
      <c r="B3695" s="27" t="s">
        <v>829</v>
      </c>
      <c r="C3695" s="27" t="s">
        <v>800</v>
      </c>
      <c r="D3695" s="27" t="s">
        <v>801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795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59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798</v>
      </c>
      <c r="B3698" s="27" t="s">
        <v>799</v>
      </c>
      <c r="C3698" s="27" t="s">
        <v>800</v>
      </c>
      <c r="D3698" s="27" t="s">
        <v>801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2338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955</v>
      </c>
      <c r="B3700" s="27" t="s">
        <v>857</v>
      </c>
      <c r="C3700" s="27" t="s">
        <v>896</v>
      </c>
      <c r="D3700" s="27" t="s">
        <v>801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2339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2340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795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1887</v>
      </c>
      <c r="B3704" s="27" t="s">
        <v>874</v>
      </c>
      <c r="C3704" s="27" t="s">
        <v>879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2338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821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1125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825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952</v>
      </c>
      <c r="B3709" s="27" t="s">
        <v>829</v>
      </c>
      <c r="C3709" s="27" t="s">
        <v>896</v>
      </c>
      <c r="D3709" s="27" t="s">
        <v>801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2340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795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877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2341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795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721</v>
      </c>
      <c r="B3715" s="27" t="s">
        <v>1179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2338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2337</v>
      </c>
      <c r="B3717" s="27" t="s">
        <v>953</v>
      </c>
      <c r="C3717" s="27" t="s">
        <v>879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2342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803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/>
    </row>
    <row r="3721" spans="1:12">
      <c r="A3721" s="20" t="s">
        <v>2343</v>
      </c>
    </row>
    <row r="3722" spans="1:12">
      <c r="A3722" s="20" t="s">
        <v>1762</v>
      </c>
      <c r="B3722" s="27" t="s">
        <v>799</v>
      </c>
      <c r="C3722" s="27" t="s">
        <v>816</v>
      </c>
      <c r="D3722" s="27" t="s">
        <v>801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2344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1384</v>
      </c>
      <c r="B3724" s="27" t="s">
        <v>921</v>
      </c>
      <c r="C3724" s="27" t="s">
        <v>816</v>
      </c>
      <c r="D3724" s="27" t="s">
        <v>801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2345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795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2346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2347</v>
      </c>
      <c r="B3728" s="27" t="s">
        <v>921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795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2348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914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980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2349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2350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970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2351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803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/>
    </row>
    <row r="3739" spans="1:12">
      <c r="A3739" s="20" t="s">
        <v>2352</v>
      </c>
    </row>
    <row r="3740" spans="1:12">
      <c r="A3740" s="20" t="s">
        <v>1762</v>
      </c>
      <c r="B3740" s="27" t="s">
        <v>799</v>
      </c>
      <c r="C3740" s="27" t="s">
        <v>816</v>
      </c>
      <c r="D3740" s="27" t="s">
        <v>801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2353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 t="s">
        <v>448</v>
      </c>
      <c r="B3742" s="27" t="s">
        <v>921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2354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803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/>
    </row>
    <row r="3746" spans="1:12">
      <c r="A3746" s="20" t="s">
        <v>2355</v>
      </c>
    </row>
    <row r="3747" spans="1:12">
      <c r="A3747" s="20" t="s">
        <v>2356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1991</v>
      </c>
      <c r="B3748" s="27" t="s">
        <v>842</v>
      </c>
      <c r="C3748" s="27" t="s">
        <v>843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2030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795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 t="s">
        <v>1298</v>
      </c>
      <c r="B3751" s="27" t="s">
        <v>921</v>
      </c>
      <c r="C3751" s="27" t="s">
        <v>816</v>
      </c>
      <c r="D3751" s="27" t="s">
        <v>801</v>
      </c>
      <c r="E3751" s="21">
        <f>IF(D3751="?OLD","!!!","")</f>
        <v/>
      </c>
      <c r="F3751" s="22" t="str">
        <f>IF(OR(E3751="",E3751="!!!"),"",IF(NOT(ISNA(VLOOKUP(E3751,E$1:E3750,1,FALSE()))),"OLD",IF(AND(E3751&lt;&gt;"",E3751&lt;&gt;"!!!"),"NEW","")))</f>
        <v> </v>
      </c>
      <c r="G3751" s="23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4" t="str">
        <f>IF(J3751&lt;&gt;1,"",IF(I3751="SBJ","CB","?"))</f>
        <v> </v>
      </c>
      <c r="I3751" s="25" t="str">
        <f>IF(OR(E3751="",E3751="!!!",F3751="NEW"),"",INDEX(B3750:B$2,-1+SUMPRODUCT(MAX(ROW(E3750:E$2)*(E3751=E3750:E$2)))))</f>
        <v> </v>
      </c>
      <c r="J3751" s="25" t="str">
        <f>IF(OR(E3751="",E3751="!!!",F3751="NEW"),"",COUNTBLANK(OFFSET(A$1,,,SUMPRODUCT(MAX(ROW(E$2:E3751)*(E3751=E$2:E3751)))))-COUNTBLANK(OFFSET(A$1,,,SUMPRODUCT(MAX(ROW(E$1:E3750)*(E2=E$1:E3750))))))</f>
        <v> </v>
      </c>
      <c r="K3751" s="25" t="str">
        <f>IF(OR(E3751="",E3751="!!!",F3751="NEW"),"",INDEX(J$1:J3750,SUMPRODUCT(MAX(ROW(E$1:E3750)*(E3751=E$1:E3750)))))</f>
        <v> </v>
      </c>
      <c r="L3751" s="26"/>
    </row>
    <row r="3752" spans="1:12">
      <c r="A3752" s="20" t="s">
        <v>1393</v>
      </c>
      <c r="E3752" s="21">
        <f>IF(D3752="?OLD","!!!","")</f>
        <v/>
      </c>
      <c r="F3752" s="22" t="str">
        <f>IF(OR(E3752="",E3752="!!!"),"",IF(NOT(ISNA(VLOOKUP(E3752,E$1:E3751,1,FALSE()))),"OLD",IF(AND(E3752&lt;&gt;"",E3752&lt;&gt;"!!!"),"NEW","")))</f>
        <v> </v>
      </c>
      <c r="G3752" s="23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4" t="str">
        <f>IF(J3752&lt;&gt;1,"",IF(I3752="SBJ","CB","?"))</f>
        <v> </v>
      </c>
      <c r="I3752" s="25" t="str">
        <f>IF(OR(E3752="",E3752="!!!",F3752="NEW"),"",INDEX(B3751:B$2,-1+SUMPRODUCT(MAX(ROW(E3751:E$2)*(E3752=E3751:E$2)))))</f>
        <v> </v>
      </c>
      <c r="J3752" s="25" t="str">
        <f>IF(OR(E3752="",E3752="!!!",F3752="NEW"),"",COUNTBLANK(OFFSET(A$1,,,SUMPRODUCT(MAX(ROW(E$2:E3752)*(E3752=E$2:E3752)))))-COUNTBLANK(OFFSET(A$1,,,SUMPRODUCT(MAX(ROW(E$1:E3751)*(E2=E$1:E3751))))))</f>
        <v> </v>
      </c>
      <c r="K3752" s="25" t="str">
        <f>IF(OR(E3752="",E3752="!!!",F3752="NEW"),"",INDEX(J$1:J3751,SUMPRODUCT(MAX(ROW(E$1:E3751)*(E3752=E$1:E3751)))))</f>
        <v> </v>
      </c>
      <c r="L3752" s="26"/>
    </row>
    <row r="3753" spans="1:12">
      <c r="A3753" s="20" t="s">
        <v>795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877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894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 t="s">
        <v>955</v>
      </c>
      <c r="B3756" s="27" t="s">
        <v>846</v>
      </c>
      <c r="C3756" s="27" t="s">
        <v>896</v>
      </c>
      <c r="D3756" s="27" t="s">
        <v>801</v>
      </c>
      <c r="E3756" s="21">
        <f>IF(D3756="?OLD","!!!","")</f>
        <v/>
      </c>
      <c r="F3756" s="22" t="str">
        <f>IF(OR(E3756="",E3756="!!!"),"",IF(NOT(ISNA(VLOOKUP(E3756,E$1:E3755,1,FALSE()))),"OLD",IF(AND(E3756&lt;&gt;"",E3756&lt;&gt;"!!!"),"NEW","")))</f>
        <v> </v>
      </c>
      <c r="G3756" s="23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4" t="str">
        <f>IF(J3756&lt;&gt;1,"",IF(I3756="SBJ","CB","?"))</f>
        <v> </v>
      </c>
      <c r="I3756" s="25" t="str">
        <f>IF(OR(E3756="",E3756="!!!",F3756="NEW"),"",INDEX(B3755:B$2,-1+SUMPRODUCT(MAX(ROW(E3755:E$2)*(E3756=E3755:E$2)))))</f>
        <v> </v>
      </c>
      <c r="J3756" s="25" t="str">
        <f>IF(OR(E3756="",E3756="!!!",F3756="NEW"),"",COUNTBLANK(OFFSET(A$1,,,SUMPRODUCT(MAX(ROW(E$2:E3756)*(E3756=E$2:E3756)))))-COUNTBLANK(OFFSET(A$1,,,SUMPRODUCT(MAX(ROW(E$1:E3755)*(E2=E$1:E3755))))))</f>
        <v> </v>
      </c>
      <c r="K3756" s="25" t="str">
        <f>IF(OR(E3756="",E3756="!!!",F3756="NEW"),"",INDEX(J$1:J3755,SUMPRODUCT(MAX(ROW(E$1:E3755)*(E3756=E$1:E3755)))))</f>
        <v> </v>
      </c>
      <c r="L3756" s="26"/>
    </row>
    <row r="3757" spans="1:12">
      <c r="A3757" s="20" t="s">
        <v>2357</v>
      </c>
      <c r="E3757" s="21">
        <f>IF(D3757="?OLD","!!!","")</f>
        <v/>
      </c>
      <c r="F3757" s="22" t="str">
        <f>IF(OR(E3757="",E3757="!!!"),"",IF(NOT(ISNA(VLOOKUP(E3757,E$1:E3756,1,FALSE()))),"OLD",IF(AND(E3757&lt;&gt;"",E3757&lt;&gt;"!!!"),"NEW","")))</f>
        <v> </v>
      </c>
      <c r="G3757" s="23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4" t="str">
        <f>IF(J3757&lt;&gt;1,"",IF(I3757="SBJ","CB","?"))</f>
        <v> </v>
      </c>
      <c r="I3757" s="25" t="str">
        <f>IF(OR(E3757="",E3757="!!!",F3757="NEW"),"",INDEX(B3756:B$2,-1+SUMPRODUCT(MAX(ROW(E3756:E$2)*(E3757=E3756:E$2)))))</f>
        <v> </v>
      </c>
      <c r="J3757" s="25" t="str">
        <f>IF(OR(E3757="",E3757="!!!",F3757="NEW"),"",COUNTBLANK(OFFSET(A$1,,,SUMPRODUCT(MAX(ROW(E$2:E3757)*(E3757=E$2:E3757)))))-COUNTBLANK(OFFSET(A$1,,,SUMPRODUCT(MAX(ROW(E$1:E3756)*(E2=E$1:E3756))))))</f>
        <v> </v>
      </c>
      <c r="K3757" s="25" t="str">
        <f>IF(OR(E3757="",E3757="!!!",F3757="NEW"),"",INDEX(J$1:J3756,SUMPRODUCT(MAX(ROW(E$1:E3756)*(E3757=E$1:E3756)))))</f>
        <v> </v>
      </c>
      <c r="L3757" s="26"/>
    </row>
    <row r="3758" spans="1:12">
      <c r="A3758" s="20" t="s">
        <v>946</v>
      </c>
      <c r="B3758" s="27" t="s">
        <v>857</v>
      </c>
      <c r="C3758" s="27" t="s">
        <v>816</v>
      </c>
      <c r="D3758" s="27" t="s">
        <v>801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837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2358</v>
      </c>
      <c r="B3760" s="27" t="s">
        <v>842</v>
      </c>
      <c r="C3760" s="27" t="s">
        <v>843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795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 t="s">
        <v>825</v>
      </c>
      <c r="E3762" s="21">
        <f>IF(D3762="?OLD","!!!","")</f>
        <v/>
      </c>
      <c r="F3762" s="22" t="str">
        <f>IF(OR(E3762="",E3762="!!!"),"",IF(NOT(ISNA(VLOOKUP(E3762,E$1:E3761,1,FALSE()))),"OLD",IF(AND(E3762&lt;&gt;"",E3762&lt;&gt;"!!!"),"NEW","")))</f>
        <v> </v>
      </c>
      <c r="G3762" s="23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4" t="str">
        <f>IF(J3762&lt;&gt;1,"",IF(I3762="SBJ","CB","?"))</f>
        <v> </v>
      </c>
      <c r="I3762" s="25" t="str">
        <f>IF(OR(E3762="",E3762="!!!",F3762="NEW"),"",INDEX(B3761:B$2,-1+SUMPRODUCT(MAX(ROW(E3761:E$2)*(E3762=E3761:E$2)))))</f>
        <v> </v>
      </c>
      <c r="J3762" s="25" t="str">
        <f>IF(OR(E3762="",E3762="!!!",F3762="NEW"),"",COUNTBLANK(OFFSET(A$1,,,SUMPRODUCT(MAX(ROW(E$2:E3762)*(E3762=E$2:E3762)))))-COUNTBLANK(OFFSET(A$1,,,SUMPRODUCT(MAX(ROW(E$1:E3761)*(E2=E$1:E3761))))))</f>
        <v> </v>
      </c>
      <c r="K3762" s="25" t="str">
        <f>IF(OR(E3762="",E3762="!!!",F3762="NEW"),"",INDEX(J$1:J3761,SUMPRODUCT(MAX(ROW(E$1:E3761)*(E3762=E$1:E3761)))))</f>
        <v> </v>
      </c>
      <c r="L3762" s="26"/>
    </row>
    <row r="3763" spans="1:12">
      <c r="A3763" s="20" t="s">
        <v>877</v>
      </c>
      <c r="E3763" s="21">
        <f>IF(D3763="?OLD","!!!","")</f>
        <v/>
      </c>
      <c r="F3763" s="22" t="str">
        <f>IF(OR(E3763="",E3763="!!!"),"",IF(NOT(ISNA(VLOOKUP(E3763,E$1:E3762,1,FALSE()))),"OLD",IF(AND(E3763&lt;&gt;"",E3763&lt;&gt;"!!!"),"NEW","")))</f>
        <v> </v>
      </c>
      <c r="G3763" s="23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4" t="str">
        <f>IF(J3763&lt;&gt;1,"",IF(I3763="SBJ","CB","?"))</f>
        <v> </v>
      </c>
      <c r="I3763" s="25" t="str">
        <f>IF(OR(E3763="",E3763="!!!",F3763="NEW"),"",INDEX(B3762:B$2,-1+SUMPRODUCT(MAX(ROW(E3762:E$2)*(E3763=E3762:E$2)))))</f>
        <v> </v>
      </c>
      <c r="J3763" s="25" t="str">
        <f>IF(OR(E3763="",E3763="!!!",F3763="NEW"),"",COUNTBLANK(OFFSET(A$1,,,SUMPRODUCT(MAX(ROW(E$2:E3763)*(E3763=E$2:E3763)))))-COUNTBLANK(OFFSET(A$1,,,SUMPRODUCT(MAX(ROW(E$1:E3762)*(E2=E$1:E3762))))))</f>
        <v> </v>
      </c>
      <c r="K3763" s="25" t="str">
        <f>IF(OR(E3763="",E3763="!!!",F3763="NEW"),"",INDEX(J$1:J3762,SUMPRODUCT(MAX(ROW(E$1:E3762)*(E3763=E$1:E3762)))))</f>
        <v> </v>
      </c>
      <c r="L3763" s="26"/>
    </row>
    <row r="3764" spans="1:12">
      <c r="A3764" s="20" t="s">
        <v>325</v>
      </c>
      <c r="B3764" s="27" t="s">
        <v>849</v>
      </c>
      <c r="C3764" s="27" t="s">
        <v>816</v>
      </c>
      <c r="D3764" s="27" t="s">
        <v>801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2359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701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2360</v>
      </c>
      <c r="B3767" s="27" t="s">
        <v>1156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822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930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803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/>
    </row>
    <row r="3772" spans="1:12">
      <c r="A3772" s="20" t="s">
        <v>2361</v>
      </c>
    </row>
    <row r="3773" spans="1:12">
      <c r="A3773" s="20" t="s">
        <v>1016</v>
      </c>
      <c r="B3773" s="27" t="s">
        <v>799</v>
      </c>
      <c r="C3773" s="27" t="s">
        <v>816</v>
      </c>
      <c r="D3773" s="27" t="s">
        <v>801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1530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2362</v>
      </c>
      <c r="B3775" s="27" t="s">
        <v>921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795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837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2009</v>
      </c>
      <c r="B3778" s="27" t="s">
        <v>857</v>
      </c>
      <c r="C3778" s="27" t="s">
        <v>879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 t="s">
        <v>1125</v>
      </c>
      <c r="E3779" s="21">
        <f>IF(D3779="?OLD","!!!","")</f>
        <v/>
      </c>
      <c r="F3779" s="22" t="str">
        <f>IF(OR(E3779="",E3779="!!!"),"",IF(NOT(ISNA(VLOOKUP(E3779,E$1:E3778,1,FALSE()))),"OLD",IF(AND(E3779&lt;&gt;"",E3779&lt;&gt;"!!!"),"NEW","")))</f>
        <v> </v>
      </c>
      <c r="G3779" s="23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4" t="str">
        <f>IF(J3779&lt;&gt;1,"",IF(I3779="SBJ","CB","?"))</f>
        <v> </v>
      </c>
      <c r="I3779" s="25" t="str">
        <f>IF(OR(E3779="",E3779="!!!",F3779="NEW"),"",INDEX(B3778:B$2,-1+SUMPRODUCT(MAX(ROW(E3778:E$2)*(E3779=E3778:E$2)))))</f>
        <v> </v>
      </c>
      <c r="J3779" s="25" t="str">
        <f>IF(OR(E3779="",E3779="!!!",F3779="NEW"),"",COUNTBLANK(OFFSET(A$1,,,SUMPRODUCT(MAX(ROW(E$2:E3779)*(E3779=E$2:E3779)))))-COUNTBLANK(OFFSET(A$1,,,SUMPRODUCT(MAX(ROW(E$1:E3778)*(E2=E$1:E3778))))))</f>
        <v> </v>
      </c>
      <c r="K3779" s="25" t="str">
        <f>IF(OR(E3779="",E3779="!!!",F3779="NEW"),"",INDEX(J$1:J3778,SUMPRODUCT(MAX(ROW(E$1:E3778)*(E3779=E$1:E3778)))))</f>
        <v> </v>
      </c>
      <c r="L3779" s="26"/>
    </row>
    <row r="3780" spans="1:12">
      <c r="A3780" s="20" t="s">
        <v>835</v>
      </c>
      <c r="E3780" s="21">
        <f>IF(D3780="?OLD","!!!","")</f>
        <v/>
      </c>
      <c r="F3780" s="22" t="str">
        <f>IF(OR(E3780="",E3780="!!!"),"",IF(NOT(ISNA(VLOOKUP(E3780,E$1:E3779,1,FALSE()))),"OLD",IF(AND(E3780&lt;&gt;"",E3780&lt;&gt;"!!!"),"NEW","")))</f>
        <v> </v>
      </c>
      <c r="G3780" s="23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4" t="str">
        <f>IF(J3780&lt;&gt;1,"",IF(I3780="SBJ","CB","?"))</f>
        <v> </v>
      </c>
      <c r="I3780" s="25" t="str">
        <f>IF(OR(E3780="",E3780="!!!",F3780="NEW"),"",INDEX(B3779:B$2,-1+SUMPRODUCT(MAX(ROW(E3779:E$2)*(E3780=E3779:E$2)))))</f>
        <v> </v>
      </c>
      <c r="J3780" s="25" t="str">
        <f>IF(OR(E3780="",E3780="!!!",F3780="NEW"),"",COUNTBLANK(OFFSET(A$1,,,SUMPRODUCT(MAX(ROW(E$2:E3780)*(E3780=E$2:E3780)))))-COUNTBLANK(OFFSET(A$1,,,SUMPRODUCT(MAX(ROW(E$1:E3779)*(E2=E$1:E3779))))))</f>
        <v> </v>
      </c>
      <c r="K3780" s="25" t="str">
        <f>IF(OR(E3780="",E3780="!!!",F3780="NEW"),"",INDEX(J$1:J3779,SUMPRODUCT(MAX(ROW(E$1:E3779)*(E3780=E$1:E3779)))))</f>
        <v> </v>
      </c>
      <c r="L3780" s="26"/>
    </row>
    <row r="3781" spans="1:12">
      <c r="A3781" s="20" t="s">
        <v>2363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795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970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877</v>
      </c>
      <c r="B3784" s="27" t="s">
        <v>846</v>
      </c>
      <c r="C3784" s="27" t="s">
        <v>879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938</v>
      </c>
      <c r="B3785" s="27" t="s">
        <v>874</v>
      </c>
      <c r="C3785" s="27" t="s">
        <v>816</v>
      </c>
      <c r="D3785" s="27" t="s">
        <v>801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1541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795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877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2364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2365</v>
      </c>
      <c r="B3790" s="27" t="s">
        <v>957</v>
      </c>
      <c r="C3790" s="27" t="s">
        <v>1095</v>
      </c>
      <c r="D3790" s="27" t="s">
        <v>801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980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1432</v>
      </c>
      <c r="B3792" s="27" t="s">
        <v>957</v>
      </c>
      <c r="C3792" s="27" t="s">
        <v>816</v>
      </c>
      <c r="D3792" s="27" t="s">
        <v>801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795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1399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795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 t="s">
        <v>906</v>
      </c>
      <c r="E3796" s="21">
        <f>IF(D3796="?OLD","!!!","")</f>
        <v/>
      </c>
      <c r="F3796" s="22" t="str">
        <f>IF(OR(E3796="",E3796="!!!"),"",IF(NOT(ISNA(VLOOKUP(E3796,E$1:E3795,1,FALSE()))),"OLD",IF(AND(E3796&lt;&gt;"",E3796&lt;&gt;"!!!"),"NEW","")))</f>
        <v> </v>
      </c>
      <c r="G3796" s="23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4" t="str">
        <f>IF(J3796&lt;&gt;1,"",IF(I3796="SBJ","CB","?"))</f>
        <v> </v>
      </c>
      <c r="I3796" s="25" t="str">
        <f>IF(OR(E3796="",E3796="!!!",F3796="NEW"),"",INDEX(B3795:B$2,-1+SUMPRODUCT(MAX(ROW(E3795:E$2)*(E3796=E3795:E$2)))))</f>
        <v> </v>
      </c>
      <c r="J3796" s="25" t="str">
        <f>IF(OR(E3796="",E3796="!!!",F3796="NEW"),"",COUNTBLANK(OFFSET(A$1,,,SUMPRODUCT(MAX(ROW(E$2:E3796)*(E3796=E$2:E3796)))))-COUNTBLANK(OFFSET(A$1,,,SUMPRODUCT(MAX(ROW(E$1:E3795)*(E2=E$1:E3795))))))</f>
        <v> </v>
      </c>
      <c r="K3796" s="25" t="str">
        <f>IF(OR(E3796="",E3796="!!!",F3796="NEW"),"",INDEX(J$1:J3795,SUMPRODUCT(MAX(ROW(E$1:E3795)*(E3796=E$1:E3795)))))</f>
        <v> </v>
      </c>
      <c r="L3796" s="26"/>
    </row>
    <row r="3797" spans="1:12">
      <c r="A3797" s="20" t="s">
        <v>2366</v>
      </c>
      <c r="B3797" s="27" t="s">
        <v>943</v>
      </c>
      <c r="E3797" s="21">
        <f>IF(D3797="?OLD","!!!","")</f>
        <v/>
      </c>
      <c r="F3797" s="22" t="str">
        <f>IF(OR(E3797="",E3797="!!!"),"",IF(NOT(ISNA(VLOOKUP(E3797,E$1:E3796,1,FALSE()))),"OLD",IF(AND(E3797&lt;&gt;"",E3797&lt;&gt;"!!!"),"NEW","")))</f>
        <v> </v>
      </c>
      <c r="G3797" s="23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4" t="str">
        <f>IF(J3797&lt;&gt;1,"",IF(I3797="SBJ","CB","?"))</f>
        <v> </v>
      </c>
      <c r="I3797" s="25" t="str">
        <f>IF(OR(E3797="",E3797="!!!",F3797="NEW"),"",INDEX(B3796:B$2,-1+SUMPRODUCT(MAX(ROW(E3796:E$2)*(E3797=E3796:E$2)))))</f>
        <v> </v>
      </c>
      <c r="J3797" s="25" t="str">
        <f>IF(OR(E3797="",E3797="!!!",F3797="NEW"),"",COUNTBLANK(OFFSET(A$1,,,SUMPRODUCT(MAX(ROW(E$2:E3797)*(E3797=E$2:E3797)))))-COUNTBLANK(OFFSET(A$1,,,SUMPRODUCT(MAX(ROW(E$1:E3796)*(E2=E$1:E3796))))))</f>
        <v> </v>
      </c>
      <c r="K3797" s="25" t="str">
        <f>IF(OR(E3797="",E3797="!!!",F3797="NEW"),"",INDEX(J$1:J3796,SUMPRODUCT(MAX(ROW(E$1:E3796)*(E3797=E$1:E3796)))))</f>
        <v> </v>
      </c>
      <c r="L3797" s="26"/>
    </row>
    <row r="3798" spans="1:12">
      <c r="A3798" s="20" t="s">
        <v>803</v>
      </c>
      <c r="E3798" s="21">
        <f>IF(D3798="?OLD","!!!","")</f>
        <v/>
      </c>
      <c r="F3798" s="22" t="str">
        <f>IF(OR(E3798="",E3798="!!!"),"",IF(NOT(ISNA(VLOOKUP(E3798,E$1:E3797,1,FALSE()))),"OLD",IF(AND(E3798&lt;&gt;"",E3798&lt;&gt;"!!!"),"NEW","")))</f>
        <v> </v>
      </c>
      <c r="G3798" s="23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4" t="str">
        <f>IF(J3798&lt;&gt;1,"",IF(I3798="SBJ","CB","?"))</f>
        <v> </v>
      </c>
      <c r="I3798" s="25" t="str">
        <f>IF(OR(E3798="",E3798="!!!",F3798="NEW"),"",INDEX(B3797:B$2,-1+SUMPRODUCT(MAX(ROW(E3797:E$2)*(E3798=E3797:E$2)))))</f>
        <v> </v>
      </c>
      <c r="J3798" s="25" t="str">
        <f>IF(OR(E3798="",E3798="!!!",F3798="NEW"),"",COUNTBLANK(OFFSET(A$1,,,SUMPRODUCT(MAX(ROW(E$2:E3798)*(E3798=E$2:E3798)))))-COUNTBLANK(OFFSET(A$1,,,SUMPRODUCT(MAX(ROW(E$1:E3797)*(E2=E$1:E3797))))))</f>
        <v> </v>
      </c>
      <c r="K3798" s="25" t="str">
        <f>IF(OR(E3798="",E3798="!!!",F3798="NEW"),"",INDEX(J$1:J3797,SUMPRODUCT(MAX(ROW(E$1:E3797)*(E3798=E$1:E3797)))))</f>
        <v> </v>
      </c>
      <c r="L3798" s="26"/>
    </row>
    <row r="3799" spans="1:12">
      <c r="A3799" s="20"/>
    </row>
    <row r="3800" spans="1:12">
      <c r="A3800" s="20" t="s">
        <v>2367</v>
      </c>
    </row>
    <row r="3801" spans="1:12">
      <c r="A3801" s="20" t="s">
        <v>975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935</v>
      </c>
      <c r="B3802" s="27" t="s">
        <v>799</v>
      </c>
      <c r="C3802" s="27" t="s">
        <v>816</v>
      </c>
      <c r="D3802" s="27" t="s">
        <v>801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1230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795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 t="s">
        <v>877</v>
      </c>
      <c r="E3805" s="21">
        <f>IF(D3805="?OLD","!!!","")</f>
        <v/>
      </c>
      <c r="F3805" s="22" t="str">
        <f>IF(OR(E3805="",E3805="!!!"),"",IF(NOT(ISNA(VLOOKUP(E3805,E$1:E3804,1,FALSE()))),"OLD",IF(AND(E3805&lt;&gt;"",E3805&lt;&gt;"!!!"),"NEW","")))</f>
        <v> </v>
      </c>
      <c r="G3805" s="23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4" t="str">
        <f>IF(J3805&lt;&gt;1,"",IF(I3805="SBJ","CB","?"))</f>
        <v> </v>
      </c>
      <c r="I3805" s="25" t="str">
        <f>IF(OR(E3805="",E3805="!!!",F3805="NEW"),"",INDEX(B3804:B$2,-1+SUMPRODUCT(MAX(ROW(E3804:E$2)*(E3805=E3804:E$2)))))</f>
        <v> </v>
      </c>
      <c r="J3805" s="25" t="str">
        <f>IF(OR(E3805="",E3805="!!!",F3805="NEW"),"",COUNTBLANK(OFFSET(A$1,,,SUMPRODUCT(MAX(ROW(E$2:E3805)*(E3805=E$2:E3805)))))-COUNTBLANK(OFFSET(A$1,,,SUMPRODUCT(MAX(ROW(E$1:E3804)*(E2=E$1:E3804))))))</f>
        <v> </v>
      </c>
      <c r="K3805" s="25" t="str">
        <f>IF(OR(E3805="",E3805="!!!",F3805="NEW"),"",INDEX(J$1:J3804,SUMPRODUCT(MAX(ROW(E$1:E3804)*(E3805=E$1:E3804)))))</f>
        <v> </v>
      </c>
      <c r="L3805" s="26"/>
    </row>
    <row r="3806" spans="1:12">
      <c r="A3806" s="20" t="s">
        <v>961</v>
      </c>
      <c r="B3806" s="27" t="s">
        <v>846</v>
      </c>
      <c r="C3806" s="27" t="s">
        <v>896</v>
      </c>
      <c r="D3806" s="27" t="s">
        <v>801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2368</v>
      </c>
      <c r="B3807" s="27" t="s">
        <v>849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1109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1911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803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/>
    </row>
    <row r="3812" spans="1:12">
      <c r="A3812" s="20" t="s">
        <v>2369</v>
      </c>
    </row>
    <row r="3813" spans="1:12">
      <c r="A3813" s="20" t="s">
        <v>2370</v>
      </c>
      <c r="B3813" s="27" t="s">
        <v>799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827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966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967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817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 t="s">
        <v>968</v>
      </c>
      <c r="E3818" s="21">
        <f>IF(D3818="?OLD","!!!","")</f>
        <v/>
      </c>
      <c r="F3818" s="22" t="str">
        <f>IF(OR(E3818="",E3818="!!!"),"",IF(NOT(ISNA(VLOOKUP(E3818,E$1:E3817,1,FALSE()))),"OLD",IF(AND(E3818&lt;&gt;"",E3818&lt;&gt;"!!!"),"NEW","")))</f>
        <v> </v>
      </c>
      <c r="G3818" s="23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4" t="str">
        <f>IF(J3818&lt;&gt;1,"",IF(I3818="SBJ","CB","?"))</f>
        <v> </v>
      </c>
      <c r="I3818" s="25" t="str">
        <f>IF(OR(E3818="",E3818="!!!",F3818="NEW"),"",INDEX(B3817:B$2,-1+SUMPRODUCT(MAX(ROW(E3817:E$2)*(E3818=E3817:E$2)))))</f>
        <v> </v>
      </c>
      <c r="J3818" s="25" t="str">
        <f>IF(OR(E3818="",E3818="!!!",F3818="NEW"),"",COUNTBLANK(OFFSET(A$1,,,SUMPRODUCT(MAX(ROW(E$2:E3818)*(E3818=E$2:E3818)))))-COUNTBLANK(OFFSET(A$1,,,SUMPRODUCT(MAX(ROW(E$1:E3817)*(E2=E$1:E3817))))))</f>
        <v> </v>
      </c>
      <c r="K3818" s="25" t="str">
        <f>IF(OR(E3818="",E3818="!!!",F3818="NEW"),"",INDEX(J$1:J3817,SUMPRODUCT(MAX(ROW(E$1:E3817)*(E3818=E$1:E3817)))))</f>
        <v> </v>
      </c>
      <c r="L3818" s="26"/>
    </row>
    <row r="3819" spans="1:12">
      <c r="A3819" s="20" t="s">
        <v>969</v>
      </c>
      <c r="E3819" s="21">
        <f>IF(D3819="?OLD","!!!","")</f>
        <v/>
      </c>
      <c r="F3819" s="22" t="str">
        <f>IF(OR(E3819="",E3819="!!!"),"",IF(NOT(ISNA(VLOOKUP(E3819,E$1:E3818,1,FALSE()))),"OLD",IF(AND(E3819&lt;&gt;"",E3819&lt;&gt;"!!!"),"NEW","")))</f>
        <v> </v>
      </c>
      <c r="G3819" s="23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4" t="str">
        <f>IF(J3819&lt;&gt;1,"",IF(I3819="SBJ","CB","?"))</f>
        <v> </v>
      </c>
      <c r="I3819" s="25" t="str">
        <f>IF(OR(E3819="",E3819="!!!",F3819="NEW"),"",INDEX(B3818:B$2,-1+SUMPRODUCT(MAX(ROW(E3818:E$2)*(E3819=E3818:E$2)))))</f>
        <v> </v>
      </c>
      <c r="J3819" s="25" t="str">
        <f>IF(OR(E3819="",E3819="!!!",F3819="NEW"),"",COUNTBLANK(OFFSET(A$1,,,SUMPRODUCT(MAX(ROW(E$2:E3819)*(E3819=E$2:E3819)))))-COUNTBLANK(OFFSET(A$1,,,SUMPRODUCT(MAX(ROW(E$1:E3818)*(E2=E$1:E3818))))))</f>
        <v> </v>
      </c>
      <c r="K3819" s="25" t="str">
        <f>IF(OR(E3819="",E3819="!!!",F3819="NEW"),"",INDEX(J$1:J3818,SUMPRODUCT(MAX(ROW(E$1:E3818)*(E3819=E$1:E3818)))))</f>
        <v> </v>
      </c>
      <c r="L3819" s="26"/>
    </row>
    <row r="3820" spans="1:12">
      <c r="A3820" s="20" t="s">
        <v>970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971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972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973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795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825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979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 t="s">
        <v>980</v>
      </c>
      <c r="E3827" s="21">
        <f>IF(D3827="?OLD","!!!","")</f>
        <v/>
      </c>
      <c r="F3827" s="22" t="str">
        <f>IF(OR(E3827="",E3827="!!!"),"",IF(NOT(ISNA(VLOOKUP(E3827,E$1:E3826,1,FALSE()))),"OLD",IF(AND(E3827&lt;&gt;"",E3827&lt;&gt;"!!!"),"NEW","")))</f>
        <v> </v>
      </c>
      <c r="G3827" s="23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4" t="str">
        <f>IF(J3827&lt;&gt;1,"",IF(I3827="SBJ","CB","?"))</f>
        <v> </v>
      </c>
      <c r="I3827" s="25" t="str">
        <f>IF(OR(E3827="",E3827="!!!",F3827="NEW"),"",INDEX(B3826:B$2,-1+SUMPRODUCT(MAX(ROW(E3826:E$2)*(E3827=E3826:E$2)))))</f>
        <v> </v>
      </c>
      <c r="J3827" s="25" t="str">
        <f>IF(OR(E3827="",E3827="!!!",F3827="NEW"),"",COUNTBLANK(OFFSET(A$1,,,SUMPRODUCT(MAX(ROW(E$2:E3827)*(E3827=E$2:E3827)))))-COUNTBLANK(OFFSET(A$1,,,SUMPRODUCT(MAX(ROW(E$1:E3826)*(E2=E$1:E3826))))))</f>
        <v> </v>
      </c>
      <c r="K3827" s="25" t="str">
        <f>IF(OR(E3827="",E3827="!!!",F3827="NEW"),"",INDEX(J$1:J3826,SUMPRODUCT(MAX(ROW(E$1:E3826)*(E3827=E$1:E3826)))))</f>
        <v> </v>
      </c>
      <c r="L3827" s="26"/>
    </row>
    <row r="3828" spans="1:12">
      <c r="A3828" s="20" t="s">
        <v>981</v>
      </c>
      <c r="B3828" s="27" t="s">
        <v>857</v>
      </c>
      <c r="C3828" s="27" t="s">
        <v>816</v>
      </c>
      <c r="D3828" s="27" t="s">
        <v>801</v>
      </c>
      <c r="E3828" s="21">
        <f>IF(D3828="?OLD","!!!","")</f>
        <v/>
      </c>
      <c r="F3828" s="22" t="str">
        <f>IF(OR(E3828="",E3828="!!!"),"",IF(NOT(ISNA(VLOOKUP(E3828,E$1:E3827,1,FALSE()))),"OLD",IF(AND(E3828&lt;&gt;"",E3828&lt;&gt;"!!!"),"NEW","")))</f>
        <v> </v>
      </c>
      <c r="G3828" s="23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4" t="str">
        <f>IF(J3828&lt;&gt;1,"",IF(I3828="SBJ","CB","?"))</f>
        <v> </v>
      </c>
      <c r="I3828" s="25" t="str">
        <f>IF(OR(E3828="",E3828="!!!",F3828="NEW"),"",INDEX(B3827:B$2,-1+SUMPRODUCT(MAX(ROW(E3827:E$2)*(E3828=E3827:E$2)))))</f>
        <v> </v>
      </c>
      <c r="J3828" s="25" t="str">
        <f>IF(OR(E3828="",E3828="!!!",F3828="NEW"),"",COUNTBLANK(OFFSET(A$1,,,SUMPRODUCT(MAX(ROW(E$2:E3828)*(E3828=E$2:E3828)))))-COUNTBLANK(OFFSET(A$1,,,SUMPRODUCT(MAX(ROW(E$1:E3827)*(E2=E$1:E3827))))))</f>
        <v> </v>
      </c>
      <c r="K3828" s="25" t="str">
        <f>IF(OR(E3828="",E3828="!!!",F3828="NEW"),"",INDEX(J$1:J3827,SUMPRODUCT(MAX(ROW(E$1:E3827)*(E3828=E$1:E3827)))))</f>
        <v> </v>
      </c>
      <c r="L3828" s="26"/>
    </row>
    <row r="3829" spans="1:12">
      <c r="A3829" s="20" t="s">
        <v>1100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1186</v>
      </c>
      <c r="B3830" s="27" t="s">
        <v>849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795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976</v>
      </c>
      <c r="B3832" s="27" t="s">
        <v>874</v>
      </c>
      <c r="C3832" s="27" t="s">
        <v>816</v>
      </c>
      <c r="D3832" s="27" t="s">
        <v>801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 t="s">
        <v>817</v>
      </c>
      <c r="E3833" s="21">
        <f>IF(D3833="?OLD","!!!","")</f>
        <v/>
      </c>
      <c r="F3833" s="22" t="str">
        <f>IF(OR(E3833="",E3833="!!!"),"",IF(NOT(ISNA(VLOOKUP(E3833,E$1:E3832,1,FALSE()))),"OLD",IF(AND(E3833&lt;&gt;"",E3833&lt;&gt;"!!!"),"NEW","")))</f>
        <v> </v>
      </c>
      <c r="G3833" s="23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4" t="str">
        <f>IF(J3833&lt;&gt;1,"",IF(I3833="SBJ","CB","?"))</f>
        <v> </v>
      </c>
      <c r="I3833" s="25" t="str">
        <f>IF(OR(E3833="",E3833="!!!",F3833="NEW"),"",INDEX(B3832:B$2,-1+SUMPRODUCT(MAX(ROW(E3832:E$2)*(E3833=E3832:E$2)))))</f>
        <v> </v>
      </c>
      <c r="J3833" s="25" t="str">
        <f>IF(OR(E3833="",E3833="!!!",F3833="NEW"),"",COUNTBLANK(OFFSET(A$1,,,SUMPRODUCT(MAX(ROW(E$2:E3833)*(E3833=E$2:E3833)))))-COUNTBLANK(OFFSET(A$1,,,SUMPRODUCT(MAX(ROW(E$1:E3832)*(E2=E$1:E3832))))))</f>
        <v> </v>
      </c>
      <c r="K3833" s="25" t="str">
        <f>IF(OR(E3833="",E3833="!!!",F3833="NEW"),"",INDEX(J$1:J3832,SUMPRODUCT(MAX(ROW(E$1:E3832)*(E3833=E$1:E3832)))))</f>
        <v> </v>
      </c>
      <c r="L3833" s="26"/>
    </row>
    <row r="3834" spans="1:12">
      <c r="A3834" s="20" t="s">
        <v>2371</v>
      </c>
      <c r="E3834" s="21">
        <f>IF(D3834="?OLD","!!!","")</f>
        <v/>
      </c>
      <c r="F3834" s="22" t="str">
        <f>IF(OR(E3834="",E3834="!!!"),"",IF(NOT(ISNA(VLOOKUP(E3834,E$1:E3833,1,FALSE()))),"OLD",IF(AND(E3834&lt;&gt;"",E3834&lt;&gt;"!!!"),"NEW","")))</f>
        <v> </v>
      </c>
      <c r="G3834" s="23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4" t="str">
        <f>IF(J3834&lt;&gt;1,"",IF(I3834="SBJ","CB","?"))</f>
        <v> </v>
      </c>
      <c r="I3834" s="25" t="str">
        <f>IF(OR(E3834="",E3834="!!!",F3834="NEW"),"",INDEX(B3833:B$2,-1+SUMPRODUCT(MAX(ROW(E3833:E$2)*(E3834=E3833:E$2)))))</f>
        <v> </v>
      </c>
      <c r="J3834" s="25" t="str">
        <f>IF(OR(E3834="",E3834="!!!",F3834="NEW"),"",COUNTBLANK(OFFSET(A$1,,,SUMPRODUCT(MAX(ROW(E$2:E3834)*(E3834=E$2:E3834)))))-COUNTBLANK(OFFSET(A$1,,,SUMPRODUCT(MAX(ROW(E$1:E3833)*(E2=E$1:E3833))))))</f>
        <v> </v>
      </c>
      <c r="K3834" s="25" t="str">
        <f>IF(OR(E3834="",E3834="!!!",F3834="NEW"),"",INDEX(J$1:J3833,SUMPRODUCT(MAX(ROW(E$1:E3833)*(E3834=E$1:E3833)))))</f>
        <v> </v>
      </c>
      <c r="L3834" s="26"/>
    </row>
    <row r="3835" spans="1:12">
      <c r="A3835" s="20" t="s">
        <v>877</v>
      </c>
      <c r="B3835" s="27" t="s">
        <v>846</v>
      </c>
      <c r="C3835" s="27" t="s">
        <v>879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 t="s">
        <v>798</v>
      </c>
      <c r="B3836" s="27" t="s">
        <v>849</v>
      </c>
      <c r="C3836" s="27" t="s">
        <v>800</v>
      </c>
      <c r="D3836" s="27" t="s">
        <v>801</v>
      </c>
      <c r="E3836" s="21">
        <f>IF(D3836="?OLD","!!!","")</f>
        <v/>
      </c>
      <c r="F3836" s="22" t="str">
        <f>IF(OR(E3836="",E3836="!!!"),"",IF(NOT(ISNA(VLOOKUP(E3836,E$1:E3835,1,FALSE()))),"OLD",IF(AND(E3836&lt;&gt;"",E3836&lt;&gt;"!!!"),"NEW","")))</f>
        <v> </v>
      </c>
      <c r="G3836" s="23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4" t="str">
        <f>IF(J3836&lt;&gt;1,"",IF(I3836="SBJ","CB","?"))</f>
        <v> </v>
      </c>
      <c r="I3836" s="25" t="str">
        <f>IF(OR(E3836="",E3836="!!!",F3836="NEW"),"",INDEX(B3835:B$2,-1+SUMPRODUCT(MAX(ROW(E3835:E$2)*(E3836=E3835:E$2)))))</f>
        <v> </v>
      </c>
      <c r="J3836" s="25" t="str">
        <f>IF(OR(E3836="",E3836="!!!",F3836="NEW"),"",COUNTBLANK(OFFSET(A$1,,,SUMPRODUCT(MAX(ROW(E$2:E3836)*(E3836=E$2:E3836)))))-COUNTBLANK(OFFSET(A$1,,,SUMPRODUCT(MAX(ROW(E$1:E3835)*(E2=E$1:E3835))))))</f>
        <v> </v>
      </c>
      <c r="K3836" s="25" t="str">
        <f>IF(OR(E3836="",E3836="!!!",F3836="NEW"),"",INDEX(J$1:J3835,SUMPRODUCT(MAX(ROW(E$1:E3835)*(E3836=E$1:E3835)))))</f>
        <v> </v>
      </c>
      <c r="L3836" s="26"/>
    </row>
    <row r="3837" spans="1:12">
      <c r="A3837" s="20" t="s">
        <v>1721</v>
      </c>
      <c r="E3837" s="21">
        <f>IF(D3837="?OLD","!!!","")</f>
        <v/>
      </c>
      <c r="F3837" s="22" t="str">
        <f>IF(OR(E3837="",E3837="!!!"),"",IF(NOT(ISNA(VLOOKUP(E3837,E$1:E3836,1,FALSE()))),"OLD",IF(AND(E3837&lt;&gt;"",E3837&lt;&gt;"!!!"),"NEW","")))</f>
        <v> </v>
      </c>
      <c r="G3837" s="23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4" t="str">
        <f>IF(J3837&lt;&gt;1,"",IF(I3837="SBJ","CB","?"))</f>
        <v> </v>
      </c>
      <c r="I3837" s="25" t="str">
        <f>IF(OR(E3837="",E3837="!!!",F3837="NEW"),"",INDEX(B3836:B$2,-1+SUMPRODUCT(MAX(ROW(E3836:E$2)*(E3837=E3836:E$2)))))</f>
        <v> </v>
      </c>
      <c r="J3837" s="25" t="str">
        <f>IF(OR(E3837="",E3837="!!!",F3837="NEW"),"",COUNTBLANK(OFFSET(A$1,,,SUMPRODUCT(MAX(ROW(E$2:E3837)*(E3837=E$2:E3837)))))-COUNTBLANK(OFFSET(A$1,,,SUMPRODUCT(MAX(ROW(E$1:E3836)*(E2=E$1:E3836))))))</f>
        <v> </v>
      </c>
      <c r="K3837" s="25" t="str">
        <f>IF(OR(E3837="",E3837="!!!",F3837="NEW"),"",INDEX(J$1:J3836,SUMPRODUCT(MAX(ROW(E$1:E3836)*(E3837=E$1:E3836)))))</f>
        <v> </v>
      </c>
      <c r="L3837" s="26"/>
    </row>
    <row r="3838" spans="1:12">
      <c r="A3838" s="20" t="s">
        <v>973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803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/>
    </row>
    <row r="3841" spans="1:12">
      <c r="A3841" s="20" t="s">
        <v>2372</v>
      </c>
    </row>
    <row r="3842" spans="1:12">
      <c r="A3842" s="20" t="s">
        <v>2373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795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1214</v>
      </c>
      <c r="B3844" s="27" t="s">
        <v>799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2374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 t="s">
        <v>1008</v>
      </c>
      <c r="B3846" s="27" t="s">
        <v>921</v>
      </c>
      <c r="C3846" s="27" t="s">
        <v>816</v>
      </c>
      <c r="D3846" s="27" t="s">
        <v>801</v>
      </c>
      <c r="E3846" s="21">
        <f>IF(D3846="?OLD","!!!","")</f>
        <v/>
      </c>
      <c r="F3846" s="22" t="str">
        <f>IF(OR(E3846="",E3846="!!!"),"",IF(NOT(ISNA(VLOOKUP(E3846,E$1:E3845,1,FALSE()))),"OLD",IF(AND(E3846&lt;&gt;"",E3846&lt;&gt;"!!!"),"NEW","")))</f>
        <v> </v>
      </c>
      <c r="G3846" s="23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4" t="str">
        <f>IF(J3846&lt;&gt;1,"",IF(I3846="SBJ","CB","?"))</f>
        <v> </v>
      </c>
      <c r="I3846" s="25" t="str">
        <f>IF(OR(E3846="",E3846="!!!",F3846="NEW"),"",INDEX(B3845:B$2,-1+SUMPRODUCT(MAX(ROW(E3845:E$2)*(E3846=E3845:E$2)))))</f>
        <v> </v>
      </c>
      <c r="J3846" s="25" t="str">
        <f>IF(OR(E3846="",E3846="!!!",F3846="NEW"),"",COUNTBLANK(OFFSET(A$1,,,SUMPRODUCT(MAX(ROW(E$2:E3846)*(E3846=E$2:E3846)))))-COUNTBLANK(OFFSET(A$1,,,SUMPRODUCT(MAX(ROW(E$1:E3845)*(E2=E$1:E3845))))))</f>
        <v> </v>
      </c>
      <c r="K3846" s="25" t="str">
        <f>IF(OR(E3846="",E3846="!!!",F3846="NEW"),"",INDEX(J$1:J3845,SUMPRODUCT(MAX(ROW(E$1:E3845)*(E3846=E$1:E3845)))))</f>
        <v> </v>
      </c>
      <c r="L3846" s="26"/>
    </row>
    <row r="3847" spans="1:12">
      <c r="A3847" s="20" t="s">
        <v>827</v>
      </c>
      <c r="E3847" s="21">
        <f>IF(D3847="?OLD","!!!","")</f>
        <v/>
      </c>
      <c r="F3847" s="22" t="str">
        <f>IF(OR(E3847="",E3847="!!!"),"",IF(NOT(ISNA(VLOOKUP(E3847,E$1:E3846,1,FALSE()))),"OLD",IF(AND(E3847&lt;&gt;"",E3847&lt;&gt;"!!!"),"NEW","")))</f>
        <v> </v>
      </c>
      <c r="G3847" s="23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4" t="str">
        <f>IF(J3847&lt;&gt;1,"",IF(I3847="SBJ","CB","?"))</f>
        <v> </v>
      </c>
      <c r="I3847" s="25" t="str">
        <f>IF(OR(E3847="",E3847="!!!",F3847="NEW"),"",INDEX(B3846:B$2,-1+SUMPRODUCT(MAX(ROW(E3846:E$2)*(E3847=E3846:E$2)))))</f>
        <v> </v>
      </c>
      <c r="J3847" s="25" t="str">
        <f>IF(OR(E3847="",E3847="!!!",F3847="NEW"),"",COUNTBLANK(OFFSET(A$1,,,SUMPRODUCT(MAX(ROW(E$2:E3847)*(E3847=E$2:E3847)))))-COUNTBLANK(OFFSET(A$1,,,SUMPRODUCT(MAX(ROW(E$1:E3846)*(E2=E$1:E3846))))))</f>
        <v> </v>
      </c>
      <c r="K3847" s="25" t="str">
        <f>IF(OR(E3847="",E3847="!!!",F3847="NEW"),"",INDEX(J$1:J3846,SUMPRODUCT(MAX(ROW(E$1:E3846)*(E3847=E$1:E3846)))))</f>
        <v> </v>
      </c>
      <c r="L3847" s="26"/>
    </row>
    <row r="3848" spans="1:12">
      <c r="A3848" s="20" t="s">
        <v>1202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837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1518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1888</v>
      </c>
      <c r="B3851" s="27" t="s">
        <v>842</v>
      </c>
      <c r="C3851" s="27" t="s">
        <v>1095</v>
      </c>
      <c r="D3851" s="27" t="s">
        <v>801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795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844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2375</v>
      </c>
      <c r="B3854" s="27" t="s">
        <v>874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2376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894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2377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803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/>
    </row>
    <row r="3860" spans="1:12">
      <c r="A3860" s="20" t="s">
        <v>2378</v>
      </c>
    </row>
    <row r="3861" spans="1:12">
      <c r="A3861" s="20" t="s">
        <v>934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 t="s">
        <v>817</v>
      </c>
      <c r="E3862" s="21">
        <f>IF(D3862="?OLD","!!!","")</f>
        <v/>
      </c>
      <c r="F3862" s="22" t="str">
        <f>IF(OR(E3862="",E3862="!!!"),"",IF(NOT(ISNA(VLOOKUP(E3862,E$1:E3861,1,FALSE()))),"OLD",IF(AND(E3862&lt;&gt;"",E3862&lt;&gt;"!!!"),"NEW","")))</f>
        <v> </v>
      </c>
      <c r="G3862" s="23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4" t="str">
        <f>IF(J3862&lt;&gt;1,"",IF(I3862="SBJ","CB","?"))</f>
        <v> </v>
      </c>
      <c r="I3862" s="25" t="str">
        <f>IF(OR(E3862="",E3862="!!!",F3862="NEW"),"",INDEX(B3861:B$2,-1+SUMPRODUCT(MAX(ROW(E3861:E$2)*(E3862=E3861:E$2)))))</f>
        <v> </v>
      </c>
      <c r="J3862" s="25" t="str">
        <f>IF(OR(E3862="",E3862="!!!",F3862="NEW"),"",COUNTBLANK(OFFSET(A$1,,,SUMPRODUCT(MAX(ROW(E$2:E3862)*(E3862=E$2:E3862)))))-COUNTBLANK(OFFSET(A$1,,,SUMPRODUCT(MAX(ROW(E$1:E3861)*(E2=E$1:E3861))))))</f>
        <v> </v>
      </c>
      <c r="K3862" s="25" t="str">
        <f>IF(OR(E3862="",E3862="!!!",F3862="NEW"),"",INDEX(J$1:J3861,SUMPRODUCT(MAX(ROW(E$1:E3861)*(E3862=E$1:E3861)))))</f>
        <v> </v>
      </c>
      <c r="L3862" s="26"/>
    </row>
    <row r="3863" spans="1:12">
      <c r="A3863" s="20" t="s">
        <v>1863</v>
      </c>
      <c r="E3863" s="21">
        <f>IF(D3863="?OLD","!!!","")</f>
        <v/>
      </c>
      <c r="F3863" s="22" t="str">
        <f>IF(OR(E3863="",E3863="!!!"),"",IF(NOT(ISNA(VLOOKUP(E3863,E$1:E3862,1,FALSE()))),"OLD",IF(AND(E3863&lt;&gt;"",E3863&lt;&gt;"!!!"),"NEW","")))</f>
        <v> </v>
      </c>
      <c r="G3863" s="23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4" t="str">
        <f>IF(J3863&lt;&gt;1,"",IF(I3863="SBJ","CB","?"))</f>
        <v> </v>
      </c>
      <c r="I3863" s="25" t="str">
        <f>IF(OR(E3863="",E3863="!!!",F3863="NEW"),"",INDEX(B3862:B$2,-1+SUMPRODUCT(MAX(ROW(E3862:E$2)*(E3863=E3862:E$2)))))</f>
        <v> </v>
      </c>
      <c r="J3863" s="25" t="str">
        <f>IF(OR(E3863="",E3863="!!!",F3863="NEW"),"",COUNTBLANK(OFFSET(A$1,,,SUMPRODUCT(MAX(ROW(E$2:E3863)*(E3863=E$2:E3863)))))-COUNTBLANK(OFFSET(A$1,,,SUMPRODUCT(MAX(ROW(E$1:E3862)*(E2=E$1:E3862))))))</f>
        <v> </v>
      </c>
      <c r="K3863" s="25" t="str">
        <f>IF(OR(E3863="",E3863="!!!",F3863="NEW"),"",INDEX(J$1:J3862,SUMPRODUCT(MAX(ROW(E$1:E3862)*(E3863=E$1:E3862)))))</f>
        <v> </v>
      </c>
      <c r="L3863" s="26"/>
    </row>
    <row r="3864" spans="1:12">
      <c r="A3864" s="20" t="s">
        <v>795</v>
      </c>
      <c r="E3864" s="21">
        <f>IF(D3864="?OLD","!!!","")</f>
        <v/>
      </c>
      <c r="F3864" s="22" t="str">
        <f>IF(OR(E3864="",E3864="!!!"),"",IF(NOT(ISNA(VLOOKUP(E3864,E$1:E3863,1,FALSE()))),"OLD",IF(AND(E3864&lt;&gt;"",E3864&lt;&gt;"!!!"),"NEW","")))</f>
        <v> </v>
      </c>
      <c r="G3864" s="23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4" t="str">
        <f>IF(J3864&lt;&gt;1,"",IF(I3864="SBJ","CB","?"))</f>
        <v> </v>
      </c>
      <c r="I3864" s="25" t="str">
        <f>IF(OR(E3864="",E3864="!!!",F3864="NEW"),"",INDEX(B3863:B$2,-1+SUMPRODUCT(MAX(ROW(E3863:E$2)*(E3864=E3863:E$2)))))</f>
        <v> </v>
      </c>
      <c r="J3864" s="25" t="str">
        <f>IF(OR(E3864="",E3864="!!!",F3864="NEW"),"",COUNTBLANK(OFFSET(A$1,,,SUMPRODUCT(MAX(ROW(E$2:E3864)*(E3864=E$2:E3864)))))-COUNTBLANK(OFFSET(A$1,,,SUMPRODUCT(MAX(ROW(E$1:E3863)*(E2=E$1:E3863))))))</f>
        <v> </v>
      </c>
      <c r="K3864" s="25" t="str">
        <f>IF(OR(E3864="",E3864="!!!",F3864="NEW"),"",INDEX(J$1:J3863,SUMPRODUCT(MAX(ROW(E$1:E3863)*(E3864=E$1:E3863)))))</f>
        <v> </v>
      </c>
      <c r="L3864" s="26"/>
    </row>
    <row r="3865" spans="1:12">
      <c r="A3865" s="20" t="s">
        <v>877</v>
      </c>
      <c r="E3865" s="21">
        <f>IF(D3865="?OLD","!!!","")</f>
        <v/>
      </c>
      <c r="F3865" s="22" t="str">
        <f>IF(OR(E3865="",E3865="!!!"),"",IF(NOT(ISNA(VLOOKUP(E3865,E$1:E3864,1,FALSE()))),"OLD",IF(AND(E3865&lt;&gt;"",E3865&lt;&gt;"!!!"),"NEW","")))</f>
        <v> </v>
      </c>
      <c r="G3865" s="23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4" t="str">
        <f>IF(J3865&lt;&gt;1,"",IF(I3865="SBJ","CB","?"))</f>
        <v> </v>
      </c>
      <c r="I3865" s="25" t="str">
        <f>IF(OR(E3865="",E3865="!!!",F3865="NEW"),"",INDEX(B3864:B$2,-1+SUMPRODUCT(MAX(ROW(E3864:E$2)*(E3865=E3864:E$2)))))</f>
        <v> </v>
      </c>
      <c r="J3865" s="25" t="str">
        <f>IF(OR(E3865="",E3865="!!!",F3865="NEW"),"",COUNTBLANK(OFFSET(A$1,,,SUMPRODUCT(MAX(ROW(E$2:E3865)*(E3865=E$2:E3865)))))-COUNTBLANK(OFFSET(A$1,,,SUMPRODUCT(MAX(ROW(E$1:E3864)*(E2=E$1:E3864))))))</f>
        <v> </v>
      </c>
      <c r="K3865" s="25" t="str">
        <f>IF(OR(E3865="",E3865="!!!",F3865="NEW"),"",INDEX(J$1:J3864,SUMPRODUCT(MAX(ROW(E$1:E3864)*(E3865=E$1:E3864)))))</f>
        <v> </v>
      </c>
      <c r="L3865" s="26"/>
    </row>
    <row r="3866" spans="1:12">
      <c r="A3866" s="20" t="s">
        <v>2379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1712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798</v>
      </c>
      <c r="B3868" s="27" t="s">
        <v>849</v>
      </c>
      <c r="C3868" s="27" t="s">
        <v>800</v>
      </c>
      <c r="D3868" s="27" t="s">
        <v>801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795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791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1712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817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959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2380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894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2381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837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2382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2181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803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/>
    </row>
    <row r="3882" spans="1:12">
      <c r="A3882" s="20" t="s">
        <v>2383</v>
      </c>
    </row>
    <row r="3883" spans="1:12">
      <c r="A3883" s="20" t="s">
        <v>1016</v>
      </c>
      <c r="B3883" s="27" t="s">
        <v>799</v>
      </c>
      <c r="C3883" s="27" t="s">
        <v>816</v>
      </c>
      <c r="D3883" s="27" t="s">
        <v>801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 t="s">
        <v>1551</v>
      </c>
      <c r="E3884" s="21">
        <f>IF(D3884="?OLD","!!!","")</f>
        <v/>
      </c>
      <c r="F3884" s="22" t="str">
        <f>IF(OR(E3884="",E3884="!!!"),"",IF(NOT(ISNA(VLOOKUP(E3884,E$1:E3883,1,FALSE()))),"OLD",IF(AND(E3884&lt;&gt;"",E3884&lt;&gt;"!!!"),"NEW","")))</f>
        <v> </v>
      </c>
      <c r="G3884" s="23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4" t="str">
        <f>IF(J3884&lt;&gt;1,"",IF(I3884="SBJ","CB","?"))</f>
        <v> </v>
      </c>
      <c r="I3884" s="25" t="str">
        <f>IF(OR(E3884="",E3884="!!!",F3884="NEW"),"",INDEX(B3883:B$2,-1+SUMPRODUCT(MAX(ROW(E3883:E$2)*(E3884=E3883:E$2)))))</f>
        <v> </v>
      </c>
      <c r="J3884" s="25" t="str">
        <f>IF(OR(E3884="",E3884="!!!",F3884="NEW"),"",COUNTBLANK(OFFSET(A$1,,,SUMPRODUCT(MAX(ROW(E$2:E3884)*(E3884=E$2:E3884)))))-COUNTBLANK(OFFSET(A$1,,,SUMPRODUCT(MAX(ROW(E$1:E3883)*(E2=E$1:E3883))))))</f>
        <v> </v>
      </c>
      <c r="K3884" s="25" t="str">
        <f>IF(OR(E3884="",E3884="!!!",F3884="NEW"),"",INDEX(J$1:J3883,SUMPRODUCT(MAX(ROW(E$1:E3883)*(E3884=E$1:E3883)))))</f>
        <v> </v>
      </c>
      <c r="L3884" s="26"/>
    </row>
    <row r="3885" spans="1:12">
      <c r="A3885" s="20" t="s">
        <v>821</v>
      </c>
      <c r="E3885" s="21">
        <f>IF(D3885="?OLD","!!!","")</f>
        <v/>
      </c>
      <c r="F3885" s="22" t="str">
        <f>IF(OR(E3885="",E3885="!!!"),"",IF(NOT(ISNA(VLOOKUP(E3885,E$1:E3884,1,FALSE()))),"OLD",IF(AND(E3885&lt;&gt;"",E3885&lt;&gt;"!!!"),"NEW","")))</f>
        <v> </v>
      </c>
      <c r="G3885" s="23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4" t="str">
        <f>IF(J3885&lt;&gt;1,"",IF(I3885="SBJ","CB","?"))</f>
        <v> </v>
      </c>
      <c r="I3885" s="25" t="str">
        <f>IF(OR(E3885="",E3885="!!!",F3885="NEW"),"",INDEX(B3884:B$2,-1+SUMPRODUCT(MAX(ROW(E3884:E$2)*(E3885=E3884:E$2)))))</f>
        <v> </v>
      </c>
      <c r="J3885" s="25" t="str">
        <f>IF(OR(E3885="",E3885="!!!",F3885="NEW"),"",COUNTBLANK(OFFSET(A$1,,,SUMPRODUCT(MAX(ROW(E$2:E3885)*(E3885=E$2:E3885)))))-COUNTBLANK(OFFSET(A$1,,,SUMPRODUCT(MAX(ROW(E$1:E3884)*(E2=E$1:E3884))))))</f>
        <v> </v>
      </c>
      <c r="K3885" s="25" t="str">
        <f>IF(OR(E3885="",E3885="!!!",F3885="NEW"),"",INDEX(J$1:J3884,SUMPRODUCT(MAX(ROW(E$1:E3884)*(E3885=E$1:E3884)))))</f>
        <v> </v>
      </c>
      <c r="L3885" s="26"/>
    </row>
    <row r="3886" spans="1:12">
      <c r="A3886" s="20" t="s">
        <v>1989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2384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2188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795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1114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2385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448</v>
      </c>
      <c r="B3892" s="27" t="s">
        <v>891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2386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795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2387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1120</v>
      </c>
      <c r="B3896" s="27" t="s">
        <v>1156</v>
      </c>
      <c r="C3896" s="27" t="s">
        <v>816</v>
      </c>
      <c r="D3896" s="27" t="s">
        <v>801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 t="s">
        <v>803</v>
      </c>
      <c r="E3897" s="21">
        <f>IF(D3897="?OLD","!!!","")</f>
        <v/>
      </c>
      <c r="F3897" s="22" t="str">
        <f>IF(OR(E3897="",E3897="!!!"),"",IF(NOT(ISNA(VLOOKUP(E3897,E$1:E3896,1,FALSE()))),"OLD",IF(AND(E3897&lt;&gt;"",E3897&lt;&gt;"!!!"),"NEW","")))</f>
        <v> </v>
      </c>
      <c r="G3897" s="23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4" t="str">
        <f>IF(J3897&lt;&gt;1,"",IF(I3897="SBJ","CB","?"))</f>
        <v> </v>
      </c>
      <c r="I3897" s="25" t="str">
        <f>IF(OR(E3897="",E3897="!!!",F3897="NEW"),"",INDEX(B3896:B$2,-1+SUMPRODUCT(MAX(ROW(E3896:E$2)*(E3897=E3896:E$2)))))</f>
        <v> </v>
      </c>
      <c r="J3897" s="25" t="str">
        <f>IF(OR(E3897="",E3897="!!!",F3897="NEW"),"",COUNTBLANK(OFFSET(A$1,,,SUMPRODUCT(MAX(ROW(E$2:E3897)*(E3897=E$2:E3897)))))-COUNTBLANK(OFFSET(A$1,,,SUMPRODUCT(MAX(ROW(E$1:E3896)*(E2=E$1:E3896))))))</f>
        <v> </v>
      </c>
      <c r="K3897" s="25" t="str">
        <f>IF(OR(E3897="",E3897="!!!",F3897="NEW"),"",INDEX(J$1:J3896,SUMPRODUCT(MAX(ROW(E$1:E3896)*(E3897=E$1:E3896)))))</f>
        <v> </v>
      </c>
      <c r="L3897" s="26"/>
    </row>
    <row r="3898" spans="1:12">
      <c r="A3898" s="20"/>
    </row>
    <row r="3899" spans="1:12">
      <c r="A3899" s="20" t="s">
        <v>2388</v>
      </c>
    </row>
    <row r="3900" spans="1:12">
      <c r="A3900" s="20" t="s">
        <v>1016</v>
      </c>
      <c r="B3900" s="27" t="s">
        <v>799</v>
      </c>
      <c r="C3900" s="27" t="s">
        <v>816</v>
      </c>
      <c r="D3900" s="27" t="s">
        <v>801</v>
      </c>
      <c r="E3900" s="21">
        <f>IF(D3900="?OLD","!!!","")</f>
        <v/>
      </c>
      <c r="F3900" s="22" t="str">
        <f>IF(OR(E3900="",E3900="!!!"),"",IF(NOT(ISNA(VLOOKUP(E3900,E$1:E3899,1,FALSE()))),"OLD",IF(AND(E3900&lt;&gt;"",E3900&lt;&gt;"!!!"),"NEW","")))</f>
        <v> </v>
      </c>
      <c r="G3900" s="23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4" t="str">
        <f>IF(J3900&lt;&gt;1,"",IF(I3900="SBJ","CB","?"))</f>
        <v> </v>
      </c>
      <c r="I3900" s="25" t="str">
        <f>IF(OR(E3900="",E3900="!!!",F3900="NEW"),"",INDEX(B3899:B$2,-1+SUMPRODUCT(MAX(ROW(E3899:E$2)*(E3900=E3899:E$2)))))</f>
        <v> </v>
      </c>
      <c r="J3900" s="25" t="str">
        <f>IF(OR(E3900="",E3900="!!!",F3900="NEW"),"",COUNTBLANK(OFFSET(A$1,,,SUMPRODUCT(MAX(ROW(E$2:E3900)*(E3900=E$2:E3900)))))-COUNTBLANK(OFFSET(A$1,,,SUMPRODUCT(MAX(ROW(E$1:E3899)*(E2=E$1:E3899))))))</f>
        <v> </v>
      </c>
      <c r="K3900" s="25" t="str">
        <f>IF(OR(E3900="",E3900="!!!",F3900="NEW"),"",INDEX(J$1:J3899,SUMPRODUCT(MAX(ROW(E$1:E3899)*(E3900=E$1:E3899)))))</f>
        <v> </v>
      </c>
      <c r="L3900" s="26"/>
    </row>
    <row r="3901" spans="1:12">
      <c r="A3901" s="20" t="s">
        <v>1064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 t="s">
        <v>795</v>
      </c>
      <c r="E3902" s="21">
        <f>IF(D3902="?OLD","!!!","")</f>
        <v/>
      </c>
      <c r="F3902" s="22" t="str">
        <f>IF(OR(E3902="",E3902="!!!"),"",IF(NOT(ISNA(VLOOKUP(E3902,E$1:E3901,1,FALSE()))),"OLD",IF(AND(E3902&lt;&gt;"",E3902&lt;&gt;"!!!"),"NEW","")))</f>
        <v> </v>
      </c>
      <c r="G3902" s="23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4" t="str">
        <f>IF(J3902&lt;&gt;1,"",IF(I3902="SBJ","CB","?"))</f>
        <v> </v>
      </c>
      <c r="I3902" s="25" t="str">
        <f>IF(OR(E3902="",E3902="!!!",F3902="NEW"),"",INDEX(B3901:B$2,-1+SUMPRODUCT(MAX(ROW(E3901:E$2)*(E3902=E3901:E$2)))))</f>
        <v> </v>
      </c>
      <c r="J3902" s="25" t="str">
        <f>IF(OR(E3902="",E3902="!!!",F3902="NEW"),"",COUNTBLANK(OFFSET(A$1,,,SUMPRODUCT(MAX(ROW(E$2:E3902)*(E3902=E$2:E3902)))))-COUNTBLANK(OFFSET(A$1,,,SUMPRODUCT(MAX(ROW(E$1:E3901)*(E2=E$1:E3901))))))</f>
        <v> </v>
      </c>
      <c r="K3902" s="25" t="str">
        <f>IF(OR(E3902="",E3902="!!!",F3902="NEW"),"",INDEX(J$1:J3901,SUMPRODUCT(MAX(ROW(E$1:E3901)*(E3902=E$1:E3901)))))</f>
        <v> </v>
      </c>
      <c r="L3902" s="26"/>
    </row>
    <row r="3903" spans="1:12">
      <c r="A3903" s="20" t="s">
        <v>822</v>
      </c>
      <c r="E3903" s="21">
        <f>IF(D3903="?OLD","!!!","")</f>
        <v/>
      </c>
      <c r="F3903" s="22" t="str">
        <f>IF(OR(E3903="",E3903="!!!"),"",IF(NOT(ISNA(VLOOKUP(E3903,E$1:E3902,1,FALSE()))),"OLD",IF(AND(E3903&lt;&gt;"",E3903&lt;&gt;"!!!"),"NEW","")))</f>
        <v> </v>
      </c>
      <c r="G3903" s="23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4" t="str">
        <f>IF(J3903&lt;&gt;1,"",IF(I3903="SBJ","CB","?"))</f>
        <v> </v>
      </c>
      <c r="I3903" s="25" t="str">
        <f>IF(OR(E3903="",E3903="!!!",F3903="NEW"),"",INDEX(B3902:B$2,-1+SUMPRODUCT(MAX(ROW(E3902:E$2)*(E3903=E3902:E$2)))))</f>
        <v> </v>
      </c>
      <c r="J3903" s="25" t="str">
        <f>IF(OR(E3903="",E3903="!!!",F3903="NEW"),"",COUNTBLANK(OFFSET(A$1,,,SUMPRODUCT(MAX(ROW(E$2:E3903)*(E3903=E$2:E3903)))))-COUNTBLANK(OFFSET(A$1,,,SUMPRODUCT(MAX(ROW(E$1:E3902)*(E2=E$1:E3902))))))</f>
        <v> </v>
      </c>
      <c r="K3903" s="25" t="str">
        <f>IF(OR(E3903="",E3903="!!!",F3903="NEW"),"",INDEX(J$1:J3902,SUMPRODUCT(MAX(ROW(E$1:E3902)*(E3903=E$1:E3902)))))</f>
        <v> </v>
      </c>
      <c r="L3903" s="26"/>
    </row>
    <row r="3904" spans="1:12">
      <c r="A3904" s="20" t="s">
        <v>1116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2389</v>
      </c>
      <c r="B3905" s="27" t="s">
        <v>849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2390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1070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2391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2392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803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/>
    </row>
    <row r="3912" spans="1:12">
      <c r="A3912" s="20" t="s">
        <v>2393</v>
      </c>
    </row>
    <row r="3913" spans="1:12">
      <c r="A3913" s="20" t="s">
        <v>1667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1310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46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893</v>
      </c>
      <c r="B3916" s="27" t="s">
        <v>842</v>
      </c>
      <c r="C3916" s="27" t="s">
        <v>1095</v>
      </c>
      <c r="D3916" s="27" t="s">
        <v>801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795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935</v>
      </c>
      <c r="B3918" s="27" t="s">
        <v>799</v>
      </c>
      <c r="C3918" s="27" t="s">
        <v>816</v>
      </c>
      <c r="D3918" s="27" t="s">
        <v>801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2394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825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2395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2396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2397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2398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2399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795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1887</v>
      </c>
      <c r="B3927" s="27" t="s">
        <v>878</v>
      </c>
      <c r="C3927" s="27" t="s">
        <v>879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795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822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 t="s">
        <v>935</v>
      </c>
      <c r="B3930" s="27" t="s">
        <v>1179</v>
      </c>
      <c r="C3930" s="27" t="s">
        <v>816</v>
      </c>
      <c r="D3930" s="27" t="s">
        <v>801</v>
      </c>
      <c r="E3930" s="21">
        <f>IF(D3930="?OLD","!!!","")</f>
        <v/>
      </c>
      <c r="F3930" s="22" t="str">
        <f>IF(OR(E3930="",E3930="!!!"),"",IF(NOT(ISNA(VLOOKUP(E3930,E$1:E3929,1,FALSE()))),"OLD",IF(AND(E3930&lt;&gt;"",E3930&lt;&gt;"!!!"),"NEW","")))</f>
        <v> </v>
      </c>
      <c r="G3930" s="23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4" t="str">
        <f>IF(J3930&lt;&gt;1,"",IF(I3930="SBJ","CB","?"))</f>
        <v> </v>
      </c>
      <c r="I3930" s="25" t="str">
        <f>IF(OR(E3930="",E3930="!!!",F3930="NEW"),"",INDEX(B3929:B$2,-1+SUMPRODUCT(MAX(ROW(E3929:E$2)*(E3930=E3929:E$2)))))</f>
        <v> </v>
      </c>
      <c r="J3930" s="25" t="str">
        <f>IF(OR(E3930="",E3930="!!!",F3930="NEW"),"",COUNTBLANK(OFFSET(A$1,,,SUMPRODUCT(MAX(ROW(E$2:E3930)*(E3930=E$2:E3930)))))-COUNTBLANK(OFFSET(A$1,,,SUMPRODUCT(MAX(ROW(E$1:E3929)*(E2=E$1:E3929))))))</f>
        <v> </v>
      </c>
      <c r="K3930" s="25" t="str">
        <f>IF(OR(E3930="",E3930="!!!",F3930="NEW"),"",INDEX(J$1:J3929,SUMPRODUCT(MAX(ROW(E$1:E3929)*(E3930=E$1:E3929)))))</f>
        <v> </v>
      </c>
      <c r="L3930" s="26"/>
    </row>
    <row r="3931" spans="1:12">
      <c r="A3931" s="20" t="s">
        <v>2400</v>
      </c>
      <c r="E3931" s="21">
        <f>IF(D3931="?OLD","!!!","")</f>
        <v/>
      </c>
      <c r="F3931" s="22" t="str">
        <f>IF(OR(E3931="",E3931="!!!"),"",IF(NOT(ISNA(VLOOKUP(E3931,E$1:E3930,1,FALSE()))),"OLD",IF(AND(E3931&lt;&gt;"",E3931&lt;&gt;"!!!"),"NEW","")))</f>
        <v> </v>
      </c>
      <c r="G3931" s="23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4" t="str">
        <f>IF(J3931&lt;&gt;1,"",IF(I3931="SBJ","CB","?"))</f>
        <v> </v>
      </c>
      <c r="I3931" s="25" t="str">
        <f>IF(OR(E3931="",E3931="!!!",F3931="NEW"),"",INDEX(B3930:B$2,-1+SUMPRODUCT(MAX(ROW(E3930:E$2)*(E3931=E3930:E$2)))))</f>
        <v> </v>
      </c>
      <c r="J3931" s="25" t="str">
        <f>IF(OR(E3931="",E3931="!!!",F3931="NEW"),"",COUNTBLANK(OFFSET(A$1,,,SUMPRODUCT(MAX(ROW(E$2:E3931)*(E3931=E$2:E3931)))))-COUNTBLANK(OFFSET(A$1,,,SUMPRODUCT(MAX(ROW(E$1:E3930)*(E2=E$1:E3930))))))</f>
        <v> </v>
      </c>
      <c r="K3931" s="25" t="str">
        <f>IF(OR(E3931="",E3931="!!!",F3931="NEW"),"",INDEX(J$1:J3930,SUMPRODUCT(MAX(ROW(E$1:E3930)*(E3931=E$1:E3930)))))</f>
        <v> </v>
      </c>
      <c r="L3931" s="26"/>
    </row>
    <row r="3932" spans="1:12">
      <c r="A3932" s="20" t="s">
        <v>795</v>
      </c>
      <c r="E3932" s="21">
        <f>IF(D3932="?OLD","!!!","")</f>
        <v/>
      </c>
      <c r="F3932" s="22" t="str">
        <f>IF(OR(E3932="",E3932="!!!"),"",IF(NOT(ISNA(VLOOKUP(E3932,E$1:E3931,1,FALSE()))),"OLD",IF(AND(E3932&lt;&gt;"",E3932&lt;&gt;"!!!"),"NEW","")))</f>
        <v> </v>
      </c>
      <c r="G3932" s="23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4" t="str">
        <f>IF(J3932&lt;&gt;1,"",IF(I3932="SBJ","CB","?"))</f>
        <v> </v>
      </c>
      <c r="I3932" s="25" t="str">
        <f>IF(OR(E3932="",E3932="!!!",F3932="NEW"),"",INDEX(B3931:B$2,-1+SUMPRODUCT(MAX(ROW(E3931:E$2)*(E3932=E3931:E$2)))))</f>
        <v> </v>
      </c>
      <c r="J3932" s="25" t="str">
        <f>IF(OR(E3932="",E3932="!!!",F3932="NEW"),"",COUNTBLANK(OFFSET(A$1,,,SUMPRODUCT(MAX(ROW(E$2:E3932)*(E3932=E$2:E3932)))))-COUNTBLANK(OFFSET(A$1,,,SUMPRODUCT(MAX(ROW(E$1:E3931)*(E2=E$1:E3931))))))</f>
        <v> </v>
      </c>
      <c r="K3932" s="25" t="str">
        <f>IF(OR(E3932="",E3932="!!!",F3932="NEW"),"",INDEX(J$1:J3931,SUMPRODUCT(MAX(ROW(E$1:E3931)*(E3932=E$1:E3931)))))</f>
        <v> </v>
      </c>
      <c r="L3932" s="26"/>
    </row>
    <row r="3933" spans="1:12">
      <c r="A3933" s="20" t="s">
        <v>2401</v>
      </c>
      <c r="E3933" s="21">
        <f>IF(D3933="?OLD","!!!","")</f>
        <v/>
      </c>
      <c r="F3933" s="22" t="str">
        <f>IF(OR(E3933="",E3933="!!!"),"",IF(NOT(ISNA(VLOOKUP(E3933,E$1:E3932,1,FALSE()))),"OLD",IF(AND(E3933&lt;&gt;"",E3933&lt;&gt;"!!!"),"NEW","")))</f>
        <v> </v>
      </c>
      <c r="G3933" s="23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4" t="str">
        <f>IF(J3933&lt;&gt;1,"",IF(I3933="SBJ","CB","?"))</f>
        <v> </v>
      </c>
      <c r="I3933" s="25" t="str">
        <f>IF(OR(E3933="",E3933="!!!",F3933="NEW"),"",INDEX(B3932:B$2,-1+SUMPRODUCT(MAX(ROW(E3932:E$2)*(E3933=E3932:E$2)))))</f>
        <v> </v>
      </c>
      <c r="J3933" s="25" t="str">
        <f>IF(OR(E3933="",E3933="!!!",F3933="NEW"),"",COUNTBLANK(OFFSET(A$1,,,SUMPRODUCT(MAX(ROW(E$2:E3933)*(E3933=E$2:E3933)))))-COUNTBLANK(OFFSET(A$1,,,SUMPRODUCT(MAX(ROW(E$1:E3932)*(E2=E$1:E3932))))))</f>
        <v> </v>
      </c>
      <c r="K3933" s="25" t="str">
        <f>IF(OR(E3933="",E3933="!!!",F3933="NEW"),"",INDEX(J$1:J3932,SUMPRODUCT(MAX(ROW(E$1:E3932)*(E3933=E$1:E3932)))))</f>
        <v> </v>
      </c>
      <c r="L3933" s="26"/>
    </row>
    <row r="3934" spans="1:12">
      <c r="A3934" s="20" t="s">
        <v>2402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946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2403</v>
      </c>
      <c r="B3936" s="27" t="s">
        <v>1094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803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/>
    </row>
    <row r="3939" spans="1:12">
      <c r="A3939" s="20" t="s">
        <v>2404</v>
      </c>
    </row>
    <row r="3940" spans="1:12">
      <c r="A3940" s="20" t="s">
        <v>2405</v>
      </c>
      <c r="E3940" s="21">
        <f>IF(D3940="?OLD","!!!","")</f>
        <v/>
      </c>
      <c r="F3940" s="22" t="str">
        <f>IF(OR(E3940="",E3940="!!!"),"",IF(NOT(ISNA(VLOOKUP(E3940,E$1:E3939,1,FALSE()))),"OLD",IF(AND(E3940&lt;&gt;"",E3940&lt;&gt;"!!!"),"NEW","")))</f>
        <v> </v>
      </c>
      <c r="G3940" s="23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4" t="str">
        <f>IF(J3940&lt;&gt;1,"",IF(I3940="SBJ","CB","?"))</f>
        <v> </v>
      </c>
      <c r="I3940" s="25" t="str">
        <f>IF(OR(E3940="",E3940="!!!",F3940="NEW"),"",INDEX(B3939:B$2,-1+SUMPRODUCT(MAX(ROW(E3939:E$2)*(E3940=E3939:E$2)))))</f>
        <v> </v>
      </c>
      <c r="J3940" s="25" t="str">
        <f>IF(OR(E3940="",E3940="!!!",F3940="NEW"),"",COUNTBLANK(OFFSET(A$1,,,SUMPRODUCT(MAX(ROW(E$2:E3940)*(E3940=E$2:E3940)))))-COUNTBLANK(OFFSET(A$1,,,SUMPRODUCT(MAX(ROW(E$1:E3939)*(E2=E$1:E3939))))))</f>
        <v> </v>
      </c>
      <c r="K3940" s="25" t="str">
        <f>IF(OR(E3940="",E3940="!!!",F3940="NEW"),"",INDEX(J$1:J3939,SUMPRODUCT(MAX(ROW(E$1:E3939)*(E3940=E$1:E3939)))))</f>
        <v> </v>
      </c>
      <c r="L3940" s="26"/>
    </row>
    <row r="3941" spans="1:12">
      <c r="A3941" s="20" t="s">
        <v>795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2406</v>
      </c>
      <c r="E3942" s="21">
        <f>IF(D3942="?OLD","!!!","")</f>
        <v/>
      </c>
      <c r="F3942" s="22" t="str">
        <f>IF(OR(E3942="",E3942="!!!"),"",IF(NOT(ISNA(VLOOKUP(E3942,E$1:E3941,1,FALSE()))),"OLD",IF(AND(E3942&lt;&gt;"",E3942&lt;&gt;"!!!"),"NEW","")))</f>
        <v> </v>
      </c>
      <c r="G3942" s="23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4" t="str">
        <f>IF(J3942&lt;&gt;1,"",IF(I3942="SBJ","CB","?"))</f>
        <v> </v>
      </c>
      <c r="I3942" s="25" t="str">
        <f>IF(OR(E3942="",E3942="!!!",F3942="NEW"),"",INDEX(B3941:B$2,-1+SUMPRODUCT(MAX(ROW(E3941:E$2)*(E3942=E3941:E$2)))))</f>
        <v> </v>
      </c>
      <c r="J3942" s="25" t="str">
        <f>IF(OR(E3942="",E3942="!!!",F3942="NEW"),"",COUNTBLANK(OFFSET(A$1,,,SUMPRODUCT(MAX(ROW(E$2:E3942)*(E3942=E$2:E3942)))))-COUNTBLANK(OFFSET(A$1,,,SUMPRODUCT(MAX(ROW(E$1:E3941)*(E2=E$1:E3941))))))</f>
        <v> </v>
      </c>
      <c r="K3942" s="25" t="str">
        <f>IF(OR(E3942="",E3942="!!!",F3942="NEW"),"",INDEX(J$1:J3941,SUMPRODUCT(MAX(ROW(E$1:E3941)*(E3942=E$1:E3941)))))</f>
        <v> </v>
      </c>
      <c r="L3942" s="26"/>
    </row>
    <row r="3943" spans="1:12">
      <c r="A3943" s="20" t="s">
        <v>970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1189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795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894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2407</v>
      </c>
      <c r="B3947" s="27" t="s">
        <v>829</v>
      </c>
      <c r="C3947" s="27" t="s">
        <v>879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845</v>
      </c>
      <c r="B3948" s="27" t="s">
        <v>1001</v>
      </c>
      <c r="C3948" s="27" t="s">
        <v>816</v>
      </c>
      <c r="D3948" s="27" t="s">
        <v>801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2408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 t="s">
        <v>2409</v>
      </c>
      <c r="E3950" s="21">
        <f>IF(D3950="?OLD","!!!","")</f>
        <v/>
      </c>
      <c r="F3950" s="22" t="str">
        <f>IF(OR(E3950="",E3950="!!!"),"",IF(NOT(ISNA(VLOOKUP(E3950,E$1:E3949,1,FALSE()))),"OLD",IF(AND(E3950&lt;&gt;"",E3950&lt;&gt;"!!!"),"NEW","")))</f>
        <v> </v>
      </c>
      <c r="G3950" s="23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4" t="str">
        <f>IF(J3950&lt;&gt;1,"",IF(I3950="SBJ","CB","?"))</f>
        <v> </v>
      </c>
      <c r="I3950" s="25" t="str">
        <f>IF(OR(E3950="",E3950="!!!",F3950="NEW"),"",INDEX(B3949:B$2,-1+SUMPRODUCT(MAX(ROW(E3949:E$2)*(E3950=E3949:E$2)))))</f>
        <v> </v>
      </c>
      <c r="J3950" s="25" t="str">
        <f>IF(OR(E3950="",E3950="!!!",F3950="NEW"),"",COUNTBLANK(OFFSET(A$1,,,SUMPRODUCT(MAX(ROW(E$2:E3950)*(E3950=E$2:E3950)))))-COUNTBLANK(OFFSET(A$1,,,SUMPRODUCT(MAX(ROW(E$1:E3949)*(E2=E$1:E3949))))))</f>
        <v> </v>
      </c>
      <c r="K3950" s="25" t="str">
        <f>IF(OR(E3950="",E3950="!!!",F3950="NEW"),"",INDEX(J$1:J3949,SUMPRODUCT(MAX(ROW(E$1:E3949)*(E3950=E$1:E3949)))))</f>
        <v> </v>
      </c>
      <c r="L3950" s="26"/>
    </row>
    <row r="3951" spans="1:12">
      <c r="A3951" s="20" t="s">
        <v>795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935</v>
      </c>
      <c r="B3952" s="27" t="s">
        <v>799</v>
      </c>
      <c r="C3952" s="27" t="s">
        <v>816</v>
      </c>
      <c r="D3952" s="27" t="s">
        <v>801</v>
      </c>
      <c r="E3952" s="21">
        <f>IF(D3952="?OLD","!!!","")</f>
        <v/>
      </c>
      <c r="F3952" s="22" t="str">
        <f>IF(OR(E3952="",E3952="!!!"),"",IF(NOT(ISNA(VLOOKUP(E3952,E$1:E3951,1,FALSE()))),"OLD",IF(AND(E3952&lt;&gt;"",E3952&lt;&gt;"!!!"),"NEW","")))</f>
        <v> </v>
      </c>
      <c r="G3952" s="23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4" t="str">
        <f>IF(J3952&lt;&gt;1,"",IF(I3952="SBJ","CB","?"))</f>
        <v> </v>
      </c>
      <c r="I3952" s="25" t="str">
        <f>IF(OR(E3952="",E3952="!!!",F3952="NEW"),"",INDEX(B3951:B$2,-1+SUMPRODUCT(MAX(ROW(E3951:E$2)*(E3952=E3951:E$2)))))</f>
        <v> </v>
      </c>
      <c r="J3952" s="25" t="str">
        <f>IF(OR(E3952="",E3952="!!!",F3952="NEW"),"",COUNTBLANK(OFFSET(A$1,,,SUMPRODUCT(MAX(ROW(E$2:E3952)*(E3952=E$2:E3952)))))-COUNTBLANK(OFFSET(A$1,,,SUMPRODUCT(MAX(ROW(E$1:E3951)*(E2=E$1:E3951))))))</f>
        <v> </v>
      </c>
      <c r="K3952" s="25" t="str">
        <f>IF(OR(E3952="",E3952="!!!",F3952="NEW"),"",INDEX(J$1:J3951,SUMPRODUCT(MAX(ROW(E$1:E3951)*(E3952=E$1:E3951)))))</f>
        <v> </v>
      </c>
      <c r="L3952" s="26"/>
    </row>
    <row r="3953" spans="1:12">
      <c r="A3953" s="20" t="s">
        <v>2410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1194</v>
      </c>
      <c r="B3954" s="27" t="s">
        <v>921</v>
      </c>
      <c r="C3954" s="27" t="s">
        <v>816</v>
      </c>
      <c r="D3954" s="27" t="s">
        <v>801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2411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 t="s">
        <v>795</v>
      </c>
      <c r="E3956" s="21">
        <f>IF(D3956="?OLD","!!!","")</f>
        <v/>
      </c>
      <c r="F3956" s="22" t="str">
        <f>IF(OR(E3956="",E3956="!!!"),"",IF(NOT(ISNA(VLOOKUP(E3956,E$1:E3955,1,FALSE()))),"OLD",IF(AND(E3956&lt;&gt;"",E3956&lt;&gt;"!!!"),"NEW","")))</f>
        <v> </v>
      </c>
      <c r="G3956" s="23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4" t="str">
        <f>IF(J3956&lt;&gt;1,"",IF(I3956="SBJ","CB","?"))</f>
        <v> </v>
      </c>
      <c r="I3956" s="25" t="str">
        <f>IF(OR(E3956="",E3956="!!!",F3956="NEW"),"",INDEX(B3955:B$2,-1+SUMPRODUCT(MAX(ROW(E3955:E$2)*(E3956=E3955:E$2)))))</f>
        <v> </v>
      </c>
      <c r="J3956" s="25" t="str">
        <f>IF(OR(E3956="",E3956="!!!",F3956="NEW"),"",COUNTBLANK(OFFSET(A$1,,,SUMPRODUCT(MAX(ROW(E$2:E3956)*(E3956=E$2:E3956)))))-COUNTBLANK(OFFSET(A$1,,,SUMPRODUCT(MAX(ROW(E$1:E3955)*(E2=E$1:E3955))))))</f>
        <v> </v>
      </c>
      <c r="K3956" s="25" t="str">
        <f>IF(OR(E3956="",E3956="!!!",F3956="NEW"),"",INDEX(J$1:J3955,SUMPRODUCT(MAX(ROW(E$1:E3955)*(E3956=E$1:E3955)))))</f>
        <v> </v>
      </c>
      <c r="L3956" s="26"/>
    </row>
    <row r="3957" spans="1:12">
      <c r="A3957" s="20" t="s">
        <v>2412</v>
      </c>
      <c r="E3957" s="21">
        <f>IF(D3957="?OLD","!!!","")</f>
        <v/>
      </c>
      <c r="F3957" s="22" t="str">
        <f>IF(OR(E3957="",E3957="!!!"),"",IF(NOT(ISNA(VLOOKUP(E3957,E$1:E3956,1,FALSE()))),"OLD",IF(AND(E3957&lt;&gt;"",E3957&lt;&gt;"!!!"),"NEW","")))</f>
        <v> </v>
      </c>
      <c r="G3957" s="23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4" t="str">
        <f>IF(J3957&lt;&gt;1,"",IF(I3957="SBJ","CB","?"))</f>
        <v> </v>
      </c>
      <c r="I3957" s="25" t="str">
        <f>IF(OR(E3957="",E3957="!!!",F3957="NEW"),"",INDEX(B3956:B$2,-1+SUMPRODUCT(MAX(ROW(E3956:E$2)*(E3957=E3956:E$2)))))</f>
        <v> </v>
      </c>
      <c r="J3957" s="25" t="str">
        <f>IF(OR(E3957="",E3957="!!!",F3957="NEW"),"",COUNTBLANK(OFFSET(A$1,,,SUMPRODUCT(MAX(ROW(E$2:E3957)*(E3957=E$2:E3957)))))-COUNTBLANK(OFFSET(A$1,,,SUMPRODUCT(MAX(ROW(E$1:E3956)*(E2=E$1:E3956))))))</f>
        <v> </v>
      </c>
      <c r="K3957" s="25" t="str">
        <f>IF(OR(E3957="",E3957="!!!",F3957="NEW"),"",INDEX(J$1:J3956,SUMPRODUCT(MAX(ROW(E$1:E3956)*(E3957=E$1:E3956)))))</f>
        <v> </v>
      </c>
      <c r="L3957" s="26"/>
    </row>
    <row r="3958" spans="1:12">
      <c r="A3958" s="20" t="s">
        <v>2413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1223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1727</v>
      </c>
      <c r="B3960" s="27" t="s">
        <v>1156</v>
      </c>
      <c r="C3960" s="27" t="s">
        <v>843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1247</v>
      </c>
      <c r="B3961" s="27" t="s">
        <v>1156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2414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970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2415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795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2416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 t="s">
        <v>1312</v>
      </c>
      <c r="B3967" s="27" t="s">
        <v>1094</v>
      </c>
      <c r="E3967" s="21">
        <f>IF(D3967="?OLD","!!!","")</f>
        <v/>
      </c>
      <c r="F3967" s="22" t="str">
        <f>IF(OR(E3967="",E3967="!!!"),"",IF(NOT(ISNA(VLOOKUP(E3967,E$1:E3966,1,FALSE()))),"OLD",IF(AND(E3967&lt;&gt;"",E3967&lt;&gt;"!!!"),"NEW","")))</f>
        <v> </v>
      </c>
      <c r="G3967" s="23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4" t="str">
        <f>IF(J3967&lt;&gt;1,"",IF(I3967="SBJ","CB","?"))</f>
        <v> </v>
      </c>
      <c r="I3967" s="25" t="str">
        <f>IF(OR(E3967="",E3967="!!!",F3967="NEW"),"",INDEX(B3966:B$2,-1+SUMPRODUCT(MAX(ROW(E3966:E$2)*(E3967=E3966:E$2)))))</f>
        <v> </v>
      </c>
      <c r="J3967" s="25" t="str">
        <f>IF(OR(E3967="",E3967="!!!",F3967="NEW"),"",COUNTBLANK(OFFSET(A$1,,,SUMPRODUCT(MAX(ROW(E$2:E3967)*(E3967=E$2:E3967)))))-COUNTBLANK(OFFSET(A$1,,,SUMPRODUCT(MAX(ROW(E$1:E3966)*(E2=E$1:E3966))))))</f>
        <v> </v>
      </c>
      <c r="K3967" s="25" t="str">
        <f>IF(OR(E3967="",E3967="!!!",F3967="NEW"),"",INDEX(J$1:J3966,SUMPRODUCT(MAX(ROW(E$1:E3966)*(E3967=E$1:E3966)))))</f>
        <v> </v>
      </c>
      <c r="L3967" s="26"/>
    </row>
    <row r="3968" spans="1:12">
      <c r="A3968" s="20" t="s">
        <v>837</v>
      </c>
      <c r="E3968" s="21">
        <f>IF(D3968="?OLD","!!!","")</f>
        <v/>
      </c>
      <c r="F3968" s="22" t="str">
        <f>IF(OR(E3968="",E3968="!!!"),"",IF(NOT(ISNA(VLOOKUP(E3968,E$1:E3967,1,FALSE()))),"OLD",IF(AND(E3968&lt;&gt;"",E3968&lt;&gt;"!!!"),"NEW","")))</f>
        <v> </v>
      </c>
      <c r="G3968" s="23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4" t="str">
        <f>IF(J3968&lt;&gt;1,"",IF(I3968="SBJ","CB","?"))</f>
        <v> </v>
      </c>
      <c r="I3968" s="25" t="str">
        <f>IF(OR(E3968="",E3968="!!!",F3968="NEW"),"",INDEX(B3967:B$2,-1+SUMPRODUCT(MAX(ROW(E3967:E$2)*(E3968=E3967:E$2)))))</f>
        <v> </v>
      </c>
      <c r="J3968" s="25" t="str">
        <f>IF(OR(E3968="",E3968="!!!",F3968="NEW"),"",COUNTBLANK(OFFSET(A$1,,,SUMPRODUCT(MAX(ROW(E$2:E3968)*(E3968=E$2:E3968)))))-COUNTBLANK(OFFSET(A$1,,,SUMPRODUCT(MAX(ROW(E$1:E3967)*(E2=E$1:E3967))))))</f>
        <v> </v>
      </c>
      <c r="K3968" s="25" t="str">
        <f>IF(OR(E3968="",E3968="!!!",F3968="NEW"),"",INDEX(J$1:J3967,SUMPRODUCT(MAX(ROW(E$1:E3967)*(E3968=E$1:E3967)))))</f>
        <v> </v>
      </c>
      <c r="L3968" s="26"/>
    </row>
    <row r="3969" spans="1:12">
      <c r="A3969" s="20" t="s">
        <v>2417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803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/>
    </row>
    <row r="3972" spans="1:12">
      <c r="A3972" s="20" t="s">
        <v>2418</v>
      </c>
    </row>
    <row r="3973" spans="1:12">
      <c r="A3973" s="20" t="s">
        <v>934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 t="s">
        <v>837</v>
      </c>
      <c r="E3974" s="21">
        <f>IF(D3974="?OLD","!!!","")</f>
        <v/>
      </c>
      <c r="F3974" s="22" t="str">
        <f>IF(OR(E3974="",E3974="!!!"),"",IF(NOT(ISNA(VLOOKUP(E3974,E$1:E3973,1,FALSE()))),"OLD",IF(AND(E3974&lt;&gt;"",E3974&lt;&gt;"!!!"),"NEW","")))</f>
        <v> </v>
      </c>
      <c r="G3974" s="23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4" t="str">
        <f>IF(J3974&lt;&gt;1,"",IF(I3974="SBJ","CB","?"))</f>
        <v> </v>
      </c>
      <c r="I3974" s="25" t="str">
        <f>IF(OR(E3974="",E3974="!!!",F3974="NEW"),"",INDEX(B3973:B$2,-1+SUMPRODUCT(MAX(ROW(E3973:E$2)*(E3974=E3973:E$2)))))</f>
        <v> </v>
      </c>
      <c r="J3974" s="25" t="str">
        <f>IF(OR(E3974="",E3974="!!!",F3974="NEW"),"",COUNTBLANK(OFFSET(A$1,,,SUMPRODUCT(MAX(ROW(E$2:E3974)*(E3974=E$2:E3974)))))-COUNTBLANK(OFFSET(A$1,,,SUMPRODUCT(MAX(ROW(E$1:E3973)*(E2=E$1:E3973))))))</f>
        <v> </v>
      </c>
      <c r="K3974" s="25" t="str">
        <f>IF(OR(E3974="",E3974="!!!",F3974="NEW"),"",INDEX(J$1:J3973,SUMPRODUCT(MAX(ROW(E$1:E3973)*(E3974=E$1:E3973)))))</f>
        <v> </v>
      </c>
      <c r="L3974" s="26"/>
    </row>
    <row r="3975" spans="1:12">
      <c r="A3975" s="20" t="s">
        <v>1518</v>
      </c>
      <c r="E3975" s="21">
        <f>IF(D3975="?OLD","!!!","")</f>
        <v/>
      </c>
      <c r="F3975" s="22" t="str">
        <f>IF(OR(E3975="",E3975="!!!"),"",IF(NOT(ISNA(VLOOKUP(E3975,E$1:E3974,1,FALSE()))),"OLD",IF(AND(E3975&lt;&gt;"",E3975&lt;&gt;"!!!"),"NEW","")))</f>
        <v> </v>
      </c>
      <c r="G3975" s="23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4" t="str">
        <f>IF(J3975&lt;&gt;1,"",IF(I3975="SBJ","CB","?"))</f>
        <v> </v>
      </c>
      <c r="I3975" s="25" t="str">
        <f>IF(OR(E3975="",E3975="!!!",F3975="NEW"),"",INDEX(B3974:B$2,-1+SUMPRODUCT(MAX(ROW(E3974:E$2)*(E3975=E3974:E$2)))))</f>
        <v> </v>
      </c>
      <c r="J3975" s="25" t="str">
        <f>IF(OR(E3975="",E3975="!!!",F3975="NEW"),"",COUNTBLANK(OFFSET(A$1,,,SUMPRODUCT(MAX(ROW(E$2:E3975)*(E3975=E$2:E3975)))))-COUNTBLANK(OFFSET(A$1,,,SUMPRODUCT(MAX(ROW(E$1:E3974)*(E2=E$1:E3974))))))</f>
        <v> </v>
      </c>
      <c r="K3975" s="25" t="str">
        <f>IF(OR(E3975="",E3975="!!!",F3975="NEW"),"",INDEX(J$1:J3974,SUMPRODUCT(MAX(ROW(E$1:E3974)*(E3975=E$1:E3974)))))</f>
        <v> </v>
      </c>
      <c r="L3975" s="26"/>
    </row>
    <row r="3976" spans="1:12">
      <c r="A3976" s="20" t="s">
        <v>1519</v>
      </c>
      <c r="B3976" s="27" t="s">
        <v>842</v>
      </c>
      <c r="C3976" s="27" t="s">
        <v>1095</v>
      </c>
      <c r="D3976" s="27" t="s">
        <v>801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 t="s">
        <v>935</v>
      </c>
      <c r="B3977" s="27" t="s">
        <v>799</v>
      </c>
      <c r="C3977" s="27" t="s">
        <v>816</v>
      </c>
      <c r="D3977" s="27" t="s">
        <v>801</v>
      </c>
      <c r="E3977" s="21">
        <f>IF(D3977="?OLD","!!!","")</f>
        <v/>
      </c>
      <c r="F3977" s="22" t="str">
        <f>IF(OR(E3977="",E3977="!!!"),"",IF(NOT(ISNA(VLOOKUP(E3977,E$1:E3976,1,FALSE()))),"OLD",IF(AND(E3977&lt;&gt;"",E3977&lt;&gt;"!!!"),"NEW","")))</f>
        <v> </v>
      </c>
      <c r="G3977" s="23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4" t="str">
        <f>IF(J3977&lt;&gt;1,"",IF(I3977="SBJ","CB","?"))</f>
        <v> </v>
      </c>
      <c r="I3977" s="25" t="str">
        <f>IF(OR(E3977="",E3977="!!!",F3977="NEW"),"",INDEX(B3976:B$2,-1+SUMPRODUCT(MAX(ROW(E3976:E$2)*(E3977=E3976:E$2)))))</f>
        <v> </v>
      </c>
      <c r="J3977" s="25" t="str">
        <f>IF(OR(E3977="",E3977="!!!",F3977="NEW"),"",COUNTBLANK(OFFSET(A$1,,,SUMPRODUCT(MAX(ROW(E$2:E3977)*(E3977=E$2:E3977)))))-COUNTBLANK(OFFSET(A$1,,,SUMPRODUCT(MAX(ROW(E$1:E3976)*(E2=E$1:E3976))))))</f>
        <v> </v>
      </c>
      <c r="K3977" s="25" t="str">
        <f>IF(OR(E3977="",E3977="!!!",F3977="NEW"),"",INDEX(J$1:J3976,SUMPRODUCT(MAX(ROW(E$1:E3976)*(E3977=E$1:E3976)))))</f>
        <v> </v>
      </c>
      <c r="L3977" s="26"/>
    </row>
    <row r="3978" spans="1:12">
      <c r="A3978" s="20" t="s">
        <v>2419</v>
      </c>
      <c r="E3978" s="21">
        <f>IF(D3978="?OLD","!!!","")</f>
        <v/>
      </c>
      <c r="F3978" s="22" t="str">
        <f>IF(OR(E3978="",E3978="!!!"),"",IF(NOT(ISNA(VLOOKUP(E3978,E$1:E3977,1,FALSE()))),"OLD",IF(AND(E3978&lt;&gt;"",E3978&lt;&gt;"!!!"),"NEW","")))</f>
        <v> </v>
      </c>
      <c r="G3978" s="23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4" t="str">
        <f>IF(J3978&lt;&gt;1,"",IF(I3978="SBJ","CB","?"))</f>
        <v> </v>
      </c>
      <c r="I3978" s="25" t="str">
        <f>IF(OR(E3978="",E3978="!!!",F3978="NEW"),"",INDEX(B3977:B$2,-1+SUMPRODUCT(MAX(ROW(E3977:E$2)*(E3978=E3977:E$2)))))</f>
        <v> </v>
      </c>
      <c r="J3978" s="25" t="str">
        <f>IF(OR(E3978="",E3978="!!!",F3978="NEW"),"",COUNTBLANK(OFFSET(A$1,,,SUMPRODUCT(MAX(ROW(E$2:E3978)*(E3978=E$2:E3978)))))-COUNTBLANK(OFFSET(A$1,,,SUMPRODUCT(MAX(ROW(E$1:E3977)*(E2=E$1:E3977))))))</f>
        <v> </v>
      </c>
      <c r="K3978" s="25" t="str">
        <f>IF(OR(E3978="",E3978="!!!",F3978="NEW"),"",INDEX(J$1:J3977,SUMPRODUCT(MAX(ROW(E$1:E3977)*(E3978=E$1:E3977)))))</f>
        <v> </v>
      </c>
      <c r="L3978" s="26"/>
    </row>
    <row r="3979" spans="1:12">
      <c r="A3979" s="20" t="s">
        <v>795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877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2420</v>
      </c>
      <c r="B3981" s="27" t="s">
        <v>846</v>
      </c>
      <c r="C3981" s="27" t="s">
        <v>896</v>
      </c>
      <c r="D3981" s="27" t="s">
        <v>801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2181</v>
      </c>
      <c r="B3982" s="27" t="s">
        <v>849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 t="s">
        <v>1934</v>
      </c>
      <c r="E3983" s="21">
        <f>IF(D3983="?OLD","!!!","")</f>
        <v/>
      </c>
      <c r="F3983" s="22" t="str">
        <f>IF(OR(E3983="",E3983="!!!"),"",IF(NOT(ISNA(VLOOKUP(E3983,E$1:E3982,1,FALSE()))),"OLD",IF(AND(E3983&lt;&gt;"",E3983&lt;&gt;"!!!"),"NEW","")))</f>
        <v> </v>
      </c>
      <c r="G3983" s="23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4" t="str">
        <f>IF(J3983&lt;&gt;1,"",IF(I3983="SBJ","CB","?"))</f>
        <v> </v>
      </c>
      <c r="I3983" s="25" t="str">
        <f>IF(OR(E3983="",E3983="!!!",F3983="NEW"),"",INDEX(B3982:B$2,-1+SUMPRODUCT(MAX(ROW(E3982:E$2)*(E3983=E3982:E$2)))))</f>
        <v> </v>
      </c>
      <c r="J3983" s="25" t="str">
        <f>IF(OR(E3983="",E3983="!!!",F3983="NEW"),"",COUNTBLANK(OFFSET(A$1,,,SUMPRODUCT(MAX(ROW(E$2:E3983)*(E3983=E$2:E3983)))))-COUNTBLANK(OFFSET(A$1,,,SUMPRODUCT(MAX(ROW(E$1:E3982)*(E2=E$1:E3982))))))</f>
        <v> </v>
      </c>
      <c r="K3983" s="25" t="str">
        <f>IF(OR(E3983="",E3983="!!!",F3983="NEW"),"",INDEX(J$1:J3982,SUMPRODUCT(MAX(ROW(E$1:E3982)*(E3983=E$1:E3982)))))</f>
        <v> </v>
      </c>
      <c r="L3983" s="26"/>
    </row>
    <row r="3984" spans="1:12">
      <c r="A3984" s="20" t="s">
        <v>1062</v>
      </c>
      <c r="E3984" s="21">
        <f>IF(D3984="?OLD","!!!","")</f>
        <v/>
      </c>
      <c r="F3984" s="22" t="str">
        <f>IF(OR(E3984="",E3984="!!!"),"",IF(NOT(ISNA(VLOOKUP(E3984,E$1:E3983,1,FALSE()))),"OLD",IF(AND(E3984&lt;&gt;"",E3984&lt;&gt;"!!!"),"NEW","")))</f>
        <v> </v>
      </c>
      <c r="G3984" s="23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4" t="str">
        <f>IF(J3984&lt;&gt;1,"",IF(I3984="SBJ","CB","?"))</f>
        <v> </v>
      </c>
      <c r="I3984" s="25" t="str">
        <f>IF(OR(E3984="",E3984="!!!",F3984="NEW"),"",INDEX(B3983:B$2,-1+SUMPRODUCT(MAX(ROW(E3983:E$2)*(E3984=E3983:E$2)))))</f>
        <v> </v>
      </c>
      <c r="J3984" s="25" t="str">
        <f>IF(OR(E3984="",E3984="!!!",F3984="NEW"),"",COUNTBLANK(OFFSET(A$1,,,SUMPRODUCT(MAX(ROW(E$2:E3984)*(E3984=E$2:E3984)))))-COUNTBLANK(OFFSET(A$1,,,SUMPRODUCT(MAX(ROW(E$1:E3983)*(E2=E$1:E3983))))))</f>
        <v> </v>
      </c>
      <c r="K3984" s="25" t="str">
        <f>IF(OR(E3984="",E3984="!!!",F3984="NEW"),"",INDEX(J$1:J3983,SUMPRODUCT(MAX(ROW(E$1:E3983)*(E3984=E$1:E3983)))))</f>
        <v> </v>
      </c>
      <c r="L3984" s="26"/>
    </row>
    <row r="3985" spans="1:12">
      <c r="A3985" s="20" t="s">
        <v>1008</v>
      </c>
      <c r="B3985" s="27" t="s">
        <v>857</v>
      </c>
      <c r="C3985" s="27" t="s">
        <v>816</v>
      </c>
      <c r="D3985" s="27" t="s">
        <v>801</v>
      </c>
      <c r="E3985" s="21">
        <f>IF(D3985="?OLD","!!!","")</f>
        <v/>
      </c>
      <c r="F3985" s="22" t="str">
        <f>IF(OR(E3985="",E3985="!!!"),"",IF(NOT(ISNA(VLOOKUP(E3985,E$1:E3984,1,FALSE()))),"OLD",IF(AND(E3985&lt;&gt;"",E3985&lt;&gt;"!!!"),"NEW","")))</f>
        <v> </v>
      </c>
      <c r="G3985" s="23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4" t="str">
        <f>IF(J3985&lt;&gt;1,"",IF(I3985="SBJ","CB","?"))</f>
        <v> </v>
      </c>
      <c r="I3985" s="25" t="str">
        <f>IF(OR(E3985="",E3985="!!!",F3985="NEW"),"",INDEX(B3984:B$2,-1+SUMPRODUCT(MAX(ROW(E3984:E$2)*(E3985=E3984:E$2)))))</f>
        <v> </v>
      </c>
      <c r="J3985" s="25" t="str">
        <f>IF(OR(E3985="",E3985="!!!",F3985="NEW"),"",COUNTBLANK(OFFSET(A$1,,,SUMPRODUCT(MAX(ROW(E$2:E3985)*(E3985=E$2:E3985)))))-COUNTBLANK(OFFSET(A$1,,,SUMPRODUCT(MAX(ROW(E$1:E3984)*(E2=E$1:E3984))))))</f>
        <v> </v>
      </c>
      <c r="K3985" s="25" t="str">
        <f>IF(OR(E3985="",E3985="!!!",F3985="NEW"),"",INDEX(J$1:J3984,SUMPRODUCT(MAX(ROW(E$1:E3984)*(E3985=E$1:E3984)))))</f>
        <v> </v>
      </c>
      <c r="L3985" s="26"/>
    </row>
    <row r="3986" spans="1:12">
      <c r="A3986" s="20" t="s">
        <v>2421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825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935</v>
      </c>
      <c r="B3988" s="27" t="s">
        <v>874</v>
      </c>
      <c r="C3988" s="27" t="s">
        <v>816</v>
      </c>
      <c r="D3988" s="27" t="s">
        <v>801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2422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 t="s">
        <v>2322</v>
      </c>
      <c r="E3990" s="21">
        <f>IF(D3990="?OLD","!!!","")</f>
        <v/>
      </c>
      <c r="F3990" s="22" t="str">
        <f>IF(OR(E3990="",E3990="!!!"),"",IF(NOT(ISNA(VLOOKUP(E3990,E$1:E3989,1,FALSE()))),"OLD",IF(AND(E3990&lt;&gt;"",E3990&lt;&gt;"!!!"),"NEW","")))</f>
        <v> </v>
      </c>
      <c r="G3990" s="23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4" t="str">
        <f>IF(J3990&lt;&gt;1,"",IF(I3990="SBJ","CB","?"))</f>
        <v> </v>
      </c>
      <c r="I3990" s="25" t="str">
        <f>IF(OR(E3990="",E3990="!!!",F3990="NEW"),"",INDEX(B3989:B$2,-1+SUMPRODUCT(MAX(ROW(E3989:E$2)*(E3990=E3989:E$2)))))</f>
        <v> </v>
      </c>
      <c r="J3990" s="25" t="str">
        <f>IF(OR(E3990="",E3990="!!!",F3990="NEW"),"",COUNTBLANK(OFFSET(A$1,,,SUMPRODUCT(MAX(ROW(E$2:E3990)*(E3990=E$2:E3990)))))-COUNTBLANK(OFFSET(A$1,,,SUMPRODUCT(MAX(ROW(E$1:E3989)*(E2=E$1:E3989))))))</f>
        <v> </v>
      </c>
      <c r="K3990" s="25" t="str">
        <f>IF(OR(E3990="",E3990="!!!",F3990="NEW"),"",INDEX(J$1:J3989,SUMPRODUCT(MAX(ROW(E$1:E3989)*(E3990=E$1:E3989)))))</f>
        <v> </v>
      </c>
      <c r="L3990" s="26"/>
    </row>
    <row r="3991" spans="1:12">
      <c r="A3991" s="20" t="s">
        <v>2323</v>
      </c>
      <c r="B3991" s="27" t="s">
        <v>1001</v>
      </c>
      <c r="C3991" s="27" t="s">
        <v>855</v>
      </c>
      <c r="D3991" s="27" t="s">
        <v>801</v>
      </c>
      <c r="E3991" s="21">
        <f>IF(D3991="?OLD","!!!","")</f>
        <v/>
      </c>
      <c r="F3991" s="22" t="str">
        <f>IF(OR(E3991="",E3991="!!!"),"",IF(NOT(ISNA(VLOOKUP(E3991,E$1:E3990,1,FALSE()))),"OLD",IF(AND(E3991&lt;&gt;"",E3991&lt;&gt;"!!!"),"NEW","")))</f>
        <v> </v>
      </c>
      <c r="G3991" s="23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4" t="str">
        <f>IF(J3991&lt;&gt;1,"",IF(I3991="SBJ","CB","?"))</f>
        <v> </v>
      </c>
      <c r="I3991" s="25" t="str">
        <f>IF(OR(E3991="",E3991="!!!",F3991="NEW"),"",INDEX(B3990:B$2,-1+SUMPRODUCT(MAX(ROW(E3990:E$2)*(E3991=E3990:E$2)))))</f>
        <v> </v>
      </c>
      <c r="J3991" s="25" t="str">
        <f>IF(OR(E3991="",E3991="!!!",F3991="NEW"),"",COUNTBLANK(OFFSET(A$1,,,SUMPRODUCT(MAX(ROW(E$2:E3991)*(E3991=E$2:E3991)))))-COUNTBLANK(OFFSET(A$1,,,SUMPRODUCT(MAX(ROW(E$1:E3990)*(E2=E$1:E3990))))))</f>
        <v> </v>
      </c>
      <c r="K3991" s="25" t="str">
        <f>IF(OR(E3991="",E3991="!!!",F3991="NEW"),"",INDEX(J$1:J3990,SUMPRODUCT(MAX(ROW(E$1:E3990)*(E3991=E$1:E3990)))))</f>
        <v> </v>
      </c>
      <c r="L3991" s="26"/>
    </row>
    <row r="3992" spans="1:12">
      <c r="A3992" s="20" t="s">
        <v>1697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1189</v>
      </c>
      <c r="B3993" s="27" t="s">
        <v>829</v>
      </c>
      <c r="C3993" s="27" t="s">
        <v>1095</v>
      </c>
      <c r="D3993" s="27" t="s">
        <v>801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803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/>
    </row>
    <row r="3996" spans="1:12">
      <c r="A3996" s="20" t="s">
        <v>2423</v>
      </c>
    </row>
    <row r="3997" spans="1:12">
      <c r="A3997" s="20" t="s">
        <v>2424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803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2024-07-05T04:32:45Z</dcterms:created>
  <dcterms:modified xsi:type="dcterms:W3CDTF">2024-07-05T04:32:45Z</dcterms:modified>
</cp:coreProperties>
</file>