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<sst xmlns="http://schemas.openxmlformats.org/spreadsheetml/2006/main" count="7417" uniqueCount="2425">
  <si>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</si>
  <si>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</si>
  <si>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</si>
  <si>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</si>
  <si>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</si>
  <si>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</si>
  <si>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</si>
  <si>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</si>
  <si>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</si>
  <si>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</si>
  <si>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</si>
  <si>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11</t>
  </si>
  <si>
    <t>_</t>
  </si>
  <si>
    <t>извращение</t>
  </si>
  <si>
    <t>«Даже если абстрагироваться от религии , гомосексуализм — это сексуальное извращение .</t>
  </si>
  <si>
    <t>file://conllu/ru/teddy-1322.conllu#s1_0</t>
  </si>
  <si>
    <t>2</t>
  </si>
  <si>
    <t>7</t>
  </si>
  <si>
    <t>подмена</t>
  </si>
  <si>
    <t>Это жалкая , ничтожная , второсортная подмена реальности , презренная попытка бегства от жизни .</t>
  </si>
  <si>
    <t>file://conllu/ru/teddy-1322.conllu#s2_0</t>
  </si>
  <si>
    <t>3</t>
  </si>
  <si>
    <t>5</t>
  </si>
  <si>
    <t>заслуживать</t>
  </si>
  <si>
    <t>Поэтому , он не заслуживает сострадания , не заслуживает лечения , так как не является мученичеством , и относиться к нему стоит не иначе как к смертельной болезни» .</t>
  </si>
  <si>
    <t>file://conllu/ru/teddy-1322.conllu#s3_0</t>
  </si>
  <si>
    <t>4</t>
  </si>
  <si>
    <t>печатать</t>
  </si>
  <si>
    <t>Это было напечатано в журнале «Тайм» в 1966 году , когда мне было три года .</t>
  </si>
  <si>
    <t>file://conllu/ru/teddy-1322.conllu#s4_0</t>
  </si>
  <si>
    <t>6</t>
  </si>
  <si>
    <t>объявить</t>
  </si>
  <si>
    <t>А год назад Президент США объявил о своей благосклонности по отношению к однополым бракам .</t>
  </si>
  <si>
    <t>file://conllu/ru/teddy-1322.conllu#s5_0</t>
  </si>
  <si>
    <t>вопрос</t>
  </si>
  <si>
    <t>( Аплодисменты ) Вопрос в том , как мы пришли от того , что было к тому , что есть ?</t>
  </si>
  <si>
    <t>file://conllu/ru/teddy-1322.conllu#s6_0</t>
  </si>
  <si>
    <t>превратиться</t>
  </si>
  <si>
    <t>Как недуг превратился в особенность ?</t>
  </si>
  <si>
    <t>file://conllu/ru/teddy-1322.conllu#s7_0</t>
  </si>
  <si>
    <t>8</t>
  </si>
  <si>
    <t>14</t>
  </si>
  <si>
    <t>отправиться</t>
  </si>
  <si>
    <t>Когда мне было шесть лет , мы с моим братом и нашей матерью отправились в обувной магазин .</t>
  </si>
  <si>
    <t>file://conllu/ru/teddy-1322.conllu#s8_0</t>
  </si>
  <si>
    <t>9</t>
  </si>
  <si>
    <t>10</t>
  </si>
  <si>
    <t>сказать</t>
  </si>
  <si>
    <t>После того , как покупки были сделаны , продавец сказал , что каждый из нас может взять с собой по воздушному шарику .</t>
  </si>
  <si>
    <t>file://conllu/ru/teddy-1322.conllu#s9_0</t>
  </si>
  <si>
    <t>понравиться</t>
  </si>
  <si>
    <t>Моему брату понравился красный шарик , а мне — розовый .</t>
  </si>
  <si>
    <t>file://conllu/ru/teddy-1322.conllu#s10_0</t>
  </si>
  <si>
    <t>Мама сказала , что мне следует выбрать синий шарик .</t>
  </si>
  <si>
    <t>file://conllu/ru/teddy-1322.conllu#s11_0</t>
  </si>
  <si>
    <t>12</t>
  </si>
  <si>
    <t>Но я сказал , что мне действительно нравится розовый , а она напомнила , что мой любимый цвет — синий .</t>
  </si>
  <si>
    <t>file://conllu/ru/teddy-1322.conllu#s12_0</t>
  </si>
  <si>
    <t>13</t>
  </si>
  <si>
    <t>то</t>
  </si>
  <si>
    <t>То , что мой любимый цвет — синий , и то , что я всё равно гей — ( Смех ) свидетельство как влияния моей матери , так и его пределов .</t>
  </si>
  <si>
    <t>file://conllu/ru/teddy-1322.conllu#s13_0</t>
  </si>
  <si>
    <t>говорить</t>
  </si>
  <si>
    <t>Когда я был ребёнком , моя мать говорила : «Любовь к своему ребёнку , не похожа ни на одно другое чувство .</t>
  </si>
  <si>
    <t>file://conllu/ru/teddy-1322.conllu#s14_0</t>
  </si>
  <si>
    <t>15</t>
  </si>
  <si>
    <t>Пока?</t>
  </si>
  <si>
    <t>поймёть</t>
  </si>
  <si>
    <t>И ты не поймёшь этого , пока у тебя не появятся собственные дети» .</t>
  </si>
  <si>
    <t>file://conllu/ru/teddy-1322.conllu#s15_0</t>
  </si>
  <si>
    <t>16</t>
  </si>
  <si>
    <t>быть (быть ребёнок)</t>
  </si>
  <si>
    <t>И будучи ребёнком , я воспринимал это как лучший комплимент в мире , ведь она говорила это обо мне и моём брате .</t>
  </si>
  <si>
    <t>file://conllu/ru/teddy-1322.conllu#s16_0</t>
  </si>
  <si>
    <t>17</t>
  </si>
  <si>
    <t>думать</t>
  </si>
  <si>
    <t>Когда я был подростком , я думал , что я гей и не смогу иметь семью .</t>
  </si>
  <si>
    <t>file://conllu/ru/teddy-1322.conllu#s17_0</t>
  </si>
  <si>
    <t>18</t>
  </si>
  <si>
    <t>повторять</t>
  </si>
  <si>
    <t>Мать повторяла свои слова и это раздражало меня .</t>
  </si>
  <si>
    <t>file://conllu/ru/teddy-1322.conllu#s18_0</t>
  </si>
  <si>
    <t>19</t>
  </si>
  <si>
    <t>перестать</t>
  </si>
  <si>
    <t>После того как я открылся , она не перестала этого говорить и это вызывало во мне ярость .</t>
  </si>
  <si>
    <t>file://conllu/ru/teddy-1322.conllu#s19_0</t>
  </si>
  <si>
    <t>20</t>
  </si>
  <si>
    <t>Я говорил : «Я — гей .</t>
  </si>
  <si>
    <t>file://conllu/ru/teddy-1322.conllu#s20_0</t>
  </si>
  <si>
    <t>21</t>
  </si>
  <si>
    <t>стремиться</t>
  </si>
  <si>
    <t>Я не стремлюсь завести семью .</t>
  </si>
  <si>
    <t>file://conllu/ru/teddy-1322.conllu#s21_0</t>
  </si>
  <si>
    <t>22</t>
  </si>
  <si>
    <t>говорить»</t>
  </si>
  <si>
    <t>Прекрати это говорить» .</t>
  </si>
  <si>
    <t>file://conllu/ru/teddy-1322.conllu#s22_0</t>
  </si>
  <si>
    <t>23</t>
  </si>
  <si>
    <t>писать (писать просить)</t>
  </si>
  <si>
    <t>Около 20-ти лет назад , редактор журнала «Нью-Йорк Таймс» попросил меня написать статью о культуре глухих людей .</t>
  </si>
  <si>
    <t>file://conllu/ru/teddy-1322.conllu#s23_0</t>
  </si>
  <si>
    <t>24</t>
  </si>
  <si>
    <t>застигнуть</t>
  </si>
  <si>
    <t>Я был застигнут врасплох .</t>
  </si>
  <si>
    <t>file://conllu/ru/teddy-1322.conllu#s24_0</t>
  </si>
  <si>
    <t>25</t>
  </si>
  <si>
    <t>рассматривать</t>
  </si>
  <si>
    <t>Я рассматривал глухоту как заболевание .</t>
  </si>
  <si>
    <t>file://conllu/ru/teddy-1322.conllu#s25_0</t>
  </si>
  <si>
    <t>26</t>
  </si>
  <si>
    <t>человек</t>
  </si>
  <si>
    <t>Несчастные люди , они не слышат .</t>
  </si>
  <si>
    <t>file://conllu/ru/teddy-1322.conllu#s26_0</t>
  </si>
  <si>
    <t>27</t>
  </si>
  <si>
    <t>глухой</t>
  </si>
  <si>
    <t>Они глухи , что мы можем с этим поделать ?</t>
  </si>
  <si>
    <t>file://conllu/ru/teddy-1322.conllu#s27_0</t>
  </si>
  <si>
    <t>28</t>
  </si>
  <si>
    <t>знакомиться</t>
  </si>
  <si>
    <t>А затем я познакомился с миром глухих .</t>
  </si>
  <si>
    <t>file://conllu/ru/teddy-1322.conllu#s28_0</t>
  </si>
  <si>
    <t>29</t>
  </si>
  <si>
    <t>ходить</t>
  </si>
  <si>
    <t>Я ходил в клубы для глухих .</t>
  </si>
  <si>
    <t>file://conllu/ru/teddy-1322.conllu#s29_0</t>
  </si>
  <si>
    <t>30</t>
  </si>
  <si>
    <t>видеть</t>
  </si>
  <si>
    <t>Я видел представления в театре для глухих и узнал о поэзии глухих .</t>
  </si>
  <si>
    <t>file://conllu/ru/teddy-1322.conllu#s30_0</t>
  </si>
  <si>
    <t>31</t>
  </si>
  <si>
    <t>посетить</t>
  </si>
  <si>
    <t>Я даже посетил конкурс красоты среди глухих в Нэшвилле , штат Теннесси , где , как говорят , язык жестов загрязнён южным «акцентом» .</t>
  </si>
  <si>
    <t>file://conllu/ru/teddy-1322.conllu#s31_0</t>
  </si>
  <si>
    <t>32</t>
  </si>
  <si>
    <t>увериться</t>
  </si>
  <si>
    <t>Знакомясь с миром глухих всё ближе , я уверился в том , что глухота — это культура , что люди , принадлежащие этому миру , и говорящие : «У нас нет проблем со слухом , мы принадлежим культуре» говорят правду .</t>
  </si>
  <si>
    <t>file://conllu/ru/teddy-1322.conllu#s32_0</t>
  </si>
  <si>
    <t>33</t>
  </si>
  <si>
    <t>быть (быть культура)</t>
  </si>
  <si>
    <t>Это была не моя культура , и я вовсе не спешил присоединиться к ней , но ценил её именно как культуру людей , принадлежавших ей .</t>
  </si>
  <si>
    <t>file://conllu/ru/teddy-1322.conllu#s33_0</t>
  </si>
  <si>
    <t>34</t>
  </si>
  <si>
    <t>ощущать</t>
  </si>
  <si>
    <t>Я ощущал её такой же значимой , как латино американская культура , еврейская или культура гей -сообщества .</t>
  </si>
  <si>
    <t>file://conllu/ru/teddy-1322.conllu#s34_0</t>
  </si>
  <si>
    <t>35</t>
  </si>
  <si>
    <t>важный</t>
  </si>
  <si>
    <t>Возможно , она важна не менее , чем вся американская культура .</t>
  </si>
  <si>
    <t>file://conllu/ru/teddy-1322.conllu#s35_0</t>
  </si>
  <si>
    <t>36</t>
  </si>
  <si>
    <t>быть (быть карлик)</t>
  </si>
  <si>
    <t>Дочь одной моей знакомой была карликом .</t>
  </si>
  <si>
    <t>file://conllu/ru/teddy-1322.conllu#s36_0</t>
  </si>
  <si>
    <t>37</t>
  </si>
  <si>
    <t>задать</t>
  </si>
  <si>
    <t>Когда девочка родилась , моя знакомая задалась вопросом , который сейчас начинает волновать и меня .</t>
  </si>
  <si>
    <t>file://conllu/ru/teddy-1322.conllu#s37_0</t>
  </si>
  <si>
    <t>38</t>
  </si>
  <si>
    <t>размышлять</t>
  </si>
  <si>
    <t>Она размышляла о том , что сказать ребёнку .</t>
  </si>
  <si>
    <t>file://conllu/ru/teddy-1322.conllu#s38_0</t>
  </si>
  <si>
    <t>39</t>
  </si>
  <si>
    <t>Сказать : «Ты такая же , как все , но немного ниже ростом» ?</t>
  </si>
  <si>
    <t>file://conllu/ru/teddy-1322.conllu#s39_0</t>
  </si>
  <si>
    <t>40</t>
  </si>
  <si>
    <t>следовать</t>
  </si>
  <si>
    <t>Или ей следовало воспитать в дочери особую индивидуальность , вступить в организацию «Маленькие люди Америки» , начать интересоваться всем , что происходит в мире карликов ?</t>
  </si>
  <si>
    <t>file://conllu/ru/teddy-1322.conllu#s40_0</t>
  </si>
  <si>
    <t>41</t>
  </si>
  <si>
    <t>прийти</t>
  </si>
  <si>
    <t>И мне пришло в голову , что большинство глухих детей рождается у слышащих родителей .</t>
  </si>
  <si>
    <t>file://conllu/ru/teddy-1322.conllu#s41_0</t>
  </si>
  <si>
    <t>42</t>
  </si>
  <si>
    <t>стараться</t>
  </si>
  <si>
    <t>И родители стараются вылечить их .</t>
  </si>
  <si>
    <t>file://conllu/ru/teddy-1322.conllu#s42_0</t>
  </si>
  <si>
    <t>43</t>
  </si>
  <si>
    <t>находить</t>
  </si>
  <si>
    <t>Только к подростковому возрасту глухие люди находят сообщества себе подобных .</t>
  </si>
  <si>
    <t>file://conllu/ru/teddy-1322.conllu#s43_0</t>
  </si>
  <si>
    <t>44</t>
  </si>
  <si>
    <t>рождать</t>
  </si>
  <si>
    <t>Большинство геев рождены в семьях родителей натуралов .</t>
  </si>
  <si>
    <t>file://conllu/ru/teddy-1322.conllu#s44_0</t>
  </si>
  <si>
    <t>45</t>
  </si>
  <si>
    <t>хотеть</t>
  </si>
  <si>
    <t>Эти родители хотят , чтобы их дети не отличались от остального большинства людей , из-за чего геи позже осознают свою индивидуальность .</t>
  </si>
  <si>
    <t>file://conllu/ru/teddy-1322.conllu#s45_0</t>
  </si>
  <si>
    <t>46</t>
  </si>
  <si>
    <t>И вот , моя знакомая , размышляла об особенностях своей дочери .</t>
  </si>
  <si>
    <t>file://conllu/ru/teddy-1322.conllu#s46_0</t>
  </si>
  <si>
    <t>47</t>
  </si>
  <si>
    <t>подумать</t>
  </si>
  <si>
    <t>И я вновь подумал : семья претендует на звание обыкновенной , при том , что их ребёнок необычен .</t>
  </si>
  <si>
    <t>file://conllu/ru/teddy-1322.conllu#s47_0</t>
  </si>
  <si>
    <t>48</t>
  </si>
  <si>
    <t>И я пришёл к мысли о том , что есть два типа самоосознания .</t>
  </si>
  <si>
    <t>file://conllu/ru/teddy-1322.conllu#s48_0</t>
  </si>
  <si>
    <t>49</t>
  </si>
  <si>
    <t>тип</t>
  </si>
  <si>
    <t>Вертикальный тип , при котором от родителей к детям передаётся этническая принадлежность , национальность , язык , религиозные убеждения .</t>
  </si>
  <si>
    <t>file://conllu/ru/teddy-1322.conllu#s49_0</t>
  </si>
  <si>
    <t>50</t>
  </si>
  <si>
    <t>То есть?</t>
  </si>
  <si>
    <t>То есть то , что является общим для детей и родителей .</t>
  </si>
  <si>
    <t>file://conllu/ru/teddy-1322.conllu#s50_0</t>
  </si>
  <si>
    <t>51</t>
  </si>
  <si>
    <t>мочь</t>
  </si>
  <si>
    <t>Это наследие может быть нелёгкой ношей , но попыток излечить от этого не предпринимается .</t>
  </si>
  <si>
    <t>file://conllu/ru/teddy-1322.conllu#s51_0</t>
  </si>
  <si>
    <t>52</t>
  </si>
  <si>
    <t>сложный</t>
  </si>
  <si>
    <t>Возможно что людям не белой расы в США — несмотря на то , что у нас темнокожий президент — живётся сложнее .</t>
  </si>
  <si>
    <t>file://conllu/ru/teddy-1322.conllu#s52_0</t>
  </si>
  <si>
    <t>53</t>
  </si>
  <si>
    <t>берваться</t>
  </si>
  <si>
    <t>Но ведь при этом , никто не берётся утверждать , что следующее поколение афроамериканских и азиатских детей будет иметь светлую кожу и волосы .</t>
  </si>
  <si>
    <t>file://conllu/ru/teddy-1322.conllu#s53_0</t>
  </si>
  <si>
    <t>54</t>
  </si>
  <si>
    <t>быть</t>
  </si>
  <si>
    <t>Но есть такой тип самоосознания , который происходит благодаря равным тебе людям .</t>
  </si>
  <si>
    <t>file://conllu/ru/teddy-1322.conllu#s54_0</t>
  </si>
  <si>
    <t>55</t>
  </si>
  <si>
    <t>называть</t>
  </si>
  <si>
    <t>Я называю такой тип горизонтальным самоосознанием , так как этот опыт мы получаем от равных нам людей .</t>
  </si>
  <si>
    <t>file://conllu/ru/teddy-1322.conllu#s55_0</t>
  </si>
  <si>
    <t>56</t>
  </si>
  <si>
    <t>обзаводиться</t>
  </si>
  <si>
    <t>Эти элементы чужды нашим родителям , мы обзаводимся ими , замечая их у наших сверстников .</t>
  </si>
  <si>
    <t>file://conllu/ru/teddy-1322.conllu#s56_0</t>
  </si>
  <si>
    <t>57</t>
  </si>
  <si>
    <t>И эти отличительные особенности горизонтального типа люди обычно стараются излечить .</t>
  </si>
  <si>
    <t>file://conllu/ru/teddy-1322.conllu#s57_0</t>
  </si>
  <si>
    <t>58</t>
  </si>
  <si>
    <t>И я хотел ознакомиться с процессом того , как люди , обретая эти особенности , устанавливают крепкие взаимоотношения друг с другом .</t>
  </si>
  <si>
    <t>file://conllu/ru/teddy-1322.conllu#s58_0</t>
  </si>
  <si>
    <t>59</t>
  </si>
  <si>
    <t>необходимый</t>
  </si>
  <si>
    <t>Я выделил три уровня восприятия через которые необходимо пройти .</t>
  </si>
  <si>
    <t>file://conllu/ru/teddy-1322.conllu#s59_0</t>
  </si>
  <si>
    <t>60</t>
  </si>
  <si>
    <t>Самовосприятие</t>
  </si>
  <si>
    <t>Самовосприятие , принятие своей семьёй и принятие обществом .</t>
  </si>
  <si>
    <t>file://conllu/ru/teddy-1322.conllu#s60_0</t>
  </si>
  <si>
    <t>61</t>
  </si>
  <si>
    <t>проходить</t>
  </si>
  <si>
    <t>И они не всегда проходят одновременно .</t>
  </si>
  <si>
    <t>file://conllu/ru/teddy-1322.conllu#s61_0</t>
  </si>
  <si>
    <t>62</t>
  </si>
  <si>
    <t>посещать</t>
  </si>
  <si>
    <t>Очень часто , людей в таких ситуациях посещает злость , им кажется , что родители их не любят , в то время как родители просто их не принимают .</t>
  </si>
  <si>
    <t>file://conllu/ru/teddy-1322.conllu#s62_0</t>
  </si>
  <si>
    <t>63</t>
  </si>
  <si>
    <t>существовать</t>
  </si>
  <si>
    <t>В идеале , любовь между родителями и детьми существует вне зависимости от каких-либо условий .</t>
  </si>
  <si>
    <t>file://conllu/ru/teddy-1322.conllu#s63_0</t>
  </si>
  <si>
    <t>64</t>
  </si>
  <si>
    <t>требовать</t>
  </si>
  <si>
    <t>Но принятие иногда требует времени .</t>
  </si>
  <si>
    <t>file://conllu/ru/teddy-1322.conllu#s64_0</t>
  </si>
  <si>
    <t>65</t>
  </si>
  <si>
    <t>Всегда требует времени .</t>
  </si>
  <si>
    <t>file://conllu/ru/teddy-1322.conllu#s65_0</t>
  </si>
  <si>
    <t>66</t>
  </si>
  <si>
    <t>быть (быть парень)</t>
  </si>
  <si>
    <t>Один из карликов , которых я знал , был парень по имени Клинтон Браун .</t>
  </si>
  <si>
    <t>file://conllu/ru/teddy-1322.conllu#s66_0</t>
  </si>
  <si>
    <t>67</t>
  </si>
  <si>
    <t>ставить</t>
  </si>
  <si>
    <t>При рождении ему был поставлен диагноз диастрофическая дисплазия — тяжёлая инвалидность .</t>
  </si>
  <si>
    <t>file://conllu/ru/teddy-1322.conllu#s67_0</t>
  </si>
  <si>
    <t>68</t>
  </si>
  <si>
    <t>Его родителям сказали , что сын никогда не сможет ходить и говорить , будет интеллектуально ограниченным , и возможно даже не будет их узнавать .</t>
  </si>
  <si>
    <t>file://conllu/ru/teddy-1322.conllu#s68_0</t>
  </si>
  <si>
    <t>69</t>
  </si>
  <si>
    <t>предложить</t>
  </si>
  <si>
    <t>Им предложили оставить ребёнка в больнице , чтобы он мог спокойно умереть .</t>
  </si>
  <si>
    <t>file://conllu/ru/teddy-1322.conllu#s69_0</t>
  </si>
  <si>
    <t>70</t>
  </si>
  <si>
    <t>отказаться</t>
  </si>
  <si>
    <t>Но его мать отказалась от этого .</t>
  </si>
  <si>
    <t>file://conllu/ru/teddy-1322.conllu#s70_0</t>
  </si>
  <si>
    <t>71</t>
  </si>
  <si>
    <t>брать</t>
  </si>
  <si>
    <t>Она забрала сына домой .</t>
  </si>
  <si>
    <t>file://conllu/ru/teddy-1322.conllu#s71_0</t>
  </si>
  <si>
    <t>72</t>
  </si>
  <si>
    <t>быть (быть образованный)</t>
  </si>
  <si>
    <t>Да , она не была достаточно образованной и не имела больших финансовых возможностей , но она нашла лучшего специалиста по лечению диастрофической дисплазии и начала лечить Клинтона у него .</t>
  </si>
  <si>
    <t>file://conllu/ru/teddy-1322.conllu#s72_0</t>
  </si>
  <si>
    <t>73</t>
  </si>
  <si>
    <t>Ещё будучи ребёнком , он перенёс 30 крупных операций .</t>
  </si>
  <si>
    <t>file://conllu/ru/teddy-1322.conllu#s73_0</t>
  </si>
  <si>
    <t>74</t>
  </si>
  <si>
    <t>покидать</t>
  </si>
  <si>
    <t>Всё это время , пока ему делали операции , он не покидал стен больницы и как результат — он может ходить .</t>
  </si>
  <si>
    <t>file://conllu/ru/teddy-1322.conllu#s74_0</t>
  </si>
  <si>
    <t>75</t>
  </si>
  <si>
    <t>В больнице его посещали репетиторы , чтобы помогать с учёбой .</t>
  </si>
  <si>
    <t>file://conllu/ru/teddy-1322.conllu#s75_0</t>
  </si>
  <si>
    <t>76</t>
  </si>
  <si>
    <t>учиться</t>
  </si>
  <si>
    <t>Он учился прилежно , ведь ему больше нечем было заняться .</t>
  </si>
  <si>
    <t>file://conllu/ru/teddy-1322.conllu#s76_0</t>
  </si>
  <si>
    <t>77</t>
  </si>
  <si>
    <t>достичь</t>
  </si>
  <si>
    <t>В итоге он достиг того , чего не удавалось достичь ещё никому из его семьи .</t>
  </si>
  <si>
    <t>file://conllu/ru/teddy-1322.conllu#s77_0</t>
  </si>
  <si>
    <t>78</t>
  </si>
  <si>
    <t>Кто?</t>
  </si>
  <si>
    <t>быть (быть первый)</t>
  </si>
  <si>
    <t>Он был первым в семье , кто поступил в колледж , где он жил в кампусе и водил автомобиль , специально сконструированный для его необычного тела .</t>
  </si>
  <si>
    <t>file://conllu/ru/teddy-1322.conllu#s78_0</t>
  </si>
  <si>
    <t>79</t>
  </si>
  <si>
    <t>рассказать</t>
  </si>
  <si>
    <t>Однажды его мать рассказала историю , о том , как шла домой , в то время как сын был в колледже неподалёку .</t>
  </si>
  <si>
    <t>file://conllu/ru/teddy-1322.conllu#s79_0</t>
  </si>
  <si>
    <t>80</t>
  </si>
  <si>
    <t>видеть (видеть сказать)</t>
  </si>
  <si>
    <t>Она сказала : «Я увидела машину , которую трудно не заметить на парковке у бара» .</t>
  </si>
  <si>
    <t>file://conllu/ru/teddy-1322.conllu#s80_0</t>
  </si>
  <si>
    <t>81</t>
  </si>
  <si>
    <t>( Смех ) «Я подумала , рост его друзей — 182 см , а его — 91 .</t>
  </si>
  <si>
    <t>file://conllu/ru/teddy-1322.conllu#s81_0</t>
  </si>
  <si>
    <t>82</t>
  </si>
  <si>
    <t>он</t>
  </si>
  <si>
    <t>Две бутылки пива для них — это четыре для него .</t>
  </si>
  <si>
    <t>file://conllu/ru/teddy-1322.conllu#s82_0</t>
  </si>
  <si>
    <t>83</t>
  </si>
  <si>
    <t>знать</t>
  </si>
  <si>
    <t>Я знала , что не могу просто пойти и вытащить его оттуда .</t>
  </si>
  <si>
    <t>file://conllu/ru/teddy-1322.conllu#s83_0</t>
  </si>
  <si>
    <t>84</t>
  </si>
  <si>
    <t>пойти</t>
  </si>
  <si>
    <t>Я пошла домой и отправила ему 8 сообщений на мобильный .</t>
  </si>
  <si>
    <t>file://conllu/ru/teddy-1322.conllu#s84_0</t>
  </si>
  <si>
    <t>85</t>
  </si>
  <si>
    <t>А ведь в тот день , когда он родился , я и подумать не могла , что в будущем мне придётся переживать , что он будет выпивать и кататься на машине с сокурсниками» .</t>
  </si>
  <si>
    <t>file://conllu/ru/teddy-1322.conllu#s85_0</t>
  </si>
  <si>
    <t>86</t>
  </si>
  <si>
    <t>спросить</t>
  </si>
  <si>
    <t>Я спросил её : «Как по-твоему , что ты сделала , для того , чтобы он стал таким чудесным , воспитанным , прекрасным человеком ? » Она ответила : «Что я сделала ?</t>
  </si>
  <si>
    <t>file://conllu/ru/teddy-1322.conllu#s86_0</t>
  </si>
  <si>
    <t>87</t>
  </si>
  <si>
    <t>любить</t>
  </si>
  <si>
    <t>Просто любила его .</t>
  </si>
  <si>
    <t>file://conllu/ru/teddy-1322.conllu#s87_0</t>
  </si>
  <si>
    <t>88</t>
  </si>
  <si>
    <t>быть (быть чудесный)</t>
  </si>
  <si>
    <t>Клинтон всегда был чудесным , а его отцу и мне просто повезло быть первыми , кто это увидел .</t>
  </si>
  <si>
    <t>file://conllu/ru/teddy-1322.conllu#s88_0</t>
  </si>
  <si>
    <t>89</t>
  </si>
  <si>
    <t>цитировать</t>
  </si>
  <si>
    <t>Я процитирую ещё один журнал 60-х годов .</t>
  </si>
  <si>
    <t>file://conllu/ru/teddy-1322.conllu#s89_0</t>
  </si>
  <si>
    <t>90</t>
  </si>
  <si>
    <t>статья</t>
  </si>
  <si>
    <t>1968-й , статья в «Атлантик Мансли» , голосе либеральной Америки , написанная известным специалистом по биоэтике .</t>
  </si>
  <si>
    <t>file://conllu/ru/teddy-1322.conllu#s90_0</t>
  </si>
  <si>
    <t>91</t>
  </si>
  <si>
    <t>Он говорил : «Нет смысла испытывать чувство вины , избавляясь от ребёнка с синдромом Дауна , вне зависимости от того , отдаёшь ли ты его в дом инвалидов или прощаешься с ним на веки .</t>
  </si>
  <si>
    <t>file://conllu/ru/teddy-1322.conllu#s91_0</t>
  </si>
  <si>
    <t>92</t>
  </si>
  <si>
    <t>грустный</t>
  </si>
  <si>
    <t>Да , это грустно и ужасно .</t>
  </si>
  <si>
    <t>file://conllu/ru/teddy-1322.conllu#s92_0</t>
  </si>
  <si>
    <t>93</t>
  </si>
  <si>
    <t>должен</t>
  </si>
  <si>
    <t>Но тут не должно быть вины .</t>
  </si>
  <si>
    <t>file://conllu/ru/teddy-1322.conllu#s93_0</t>
  </si>
  <si>
    <t>94</t>
  </si>
  <si>
    <t>возникать</t>
  </si>
  <si>
    <t>Чувство вины возникает , только если ты действуешь против личности , а люди с синдромом Дауна — не личности» .</t>
  </si>
  <si>
    <t>file://conllu/ru/teddy-1322.conllu#s94_0</t>
  </si>
  <si>
    <t>95</t>
  </si>
  <si>
    <t>писать</t>
  </si>
  <si>
    <t>Очень многое написано о том , какого невероятного прогресса мы добились в улучшении отношения к геям .</t>
  </si>
  <si>
    <t>file://conllu/ru/teddy-1322.conllu#s95_0</t>
  </si>
  <si>
    <t>96</t>
  </si>
  <si>
    <t>кричать</t>
  </si>
  <si>
    <t>Об этом ежедневно кричат все заголовки новостей .</t>
  </si>
  <si>
    <t>file://conllu/ru/teddy-1322.conllu#s96_0</t>
  </si>
  <si>
    <t>97</t>
  </si>
  <si>
    <t>забыть</t>
  </si>
  <si>
    <t>Но мы забыли , как относились к людям с другими отличительными особенностями , как мы относились к инвалидам , какими бесчеловечными мы были .</t>
  </si>
  <si>
    <t>file://conllu/ru/teddy-1322.conllu#s97_0</t>
  </si>
  <si>
    <t>98</t>
  </si>
  <si>
    <t>уделять</t>
  </si>
  <si>
    <t>Но произошедшим переменам , которые можно назвать радикальными , мы не уделяем достаточно внимания .</t>
  </si>
  <si>
    <t>file://conllu/ru/teddy-1322.conllu#s98_0</t>
  </si>
  <si>
    <t>99</t>
  </si>
  <si>
    <t>один</t>
  </si>
  <si>
    <t>Одна из семей , у которых я брал интервью , — семья Тома и Карен Робардс .</t>
  </si>
  <si>
    <t>file://conllu/ru/teddy-1322.conllu#s99_0</t>
  </si>
  <si>
    <t>100</t>
  </si>
  <si>
    <t>житель</t>
  </si>
  <si>
    <t>Молодые и успешные жители Нью-Йорка , они были поражены , когда у их первенца обнаружили синдром Дауна .</t>
  </si>
  <si>
    <t>file://conllu/ru/teddy-1322.conllu#s100_0</t>
  </si>
  <si>
    <t>101</t>
  </si>
  <si>
    <t>давать (давать казаться)</t>
  </si>
  <si>
    <t>Им показалось , что система образования не даёт их ребёнку того , что они ожидали , и они решили построить небольшой образовательный центр — всего две классные комнаты в доле с несколькими другими родителями — для обучения детей с синдромом Дауна .</t>
  </si>
  <si>
    <t>file://conllu/ru/teddy-1322.conllu#s101_0</t>
  </si>
  <si>
    <t>102</t>
  </si>
  <si>
    <t>вырасти</t>
  </si>
  <si>
    <t>За годы существования центр вырос и получил название «Кук Центр» .</t>
  </si>
  <si>
    <t>file://conllu/ru/teddy-1322.conllu#s102_0</t>
  </si>
  <si>
    <t>103</t>
  </si>
  <si>
    <t>обучаться</t>
  </si>
  <si>
    <t>Сейчас здесь обучаются тысячи детей , имеющих умственные отклонения .</t>
  </si>
  <si>
    <t>file://conllu/ru/teddy-1322.conllu#s103_0</t>
  </si>
  <si>
    <t>104</t>
  </si>
  <si>
    <t>увеличиться</t>
  </si>
  <si>
    <t>Со времён той статьи в «Атлантик Мансли» средняя продолжительность жизни людей с синдромом Дауна увеличилась втрое .</t>
  </si>
  <si>
    <t>file://conllu/ru/teddy-1322.conllu#s104_0</t>
  </si>
  <si>
    <t>105</t>
  </si>
  <si>
    <t>можно</t>
  </si>
  <si>
    <t>Среди людей с синдромом Дауна можно встретить актёров писателей и тех , кто полностью живёт самостоятельной жизнью .</t>
  </si>
  <si>
    <t>file://conllu/ru/teddy-1322.conllu#s105_0</t>
  </si>
  <si>
    <t>106</t>
  </si>
  <si>
    <t>приложить</t>
  </si>
  <si>
    <t>Робардсы приложили к этому немало усилий .</t>
  </si>
  <si>
    <t>file://conllu/ru/teddy-1322.conllu#s106_0</t>
  </si>
  <si>
    <t>107</t>
  </si>
  <si>
    <t>Я спросил их : «Больно ли вам ?</t>
  </si>
  <si>
    <t>file://conllu/ru/teddy-1322.conllu#s107_0</t>
  </si>
  <si>
    <t>108</t>
  </si>
  <si>
    <t>Хотели бы вы , чтобы у вашего ребёнка не было синдрома Дауна ?</t>
  </si>
  <si>
    <t>file://conllu/ru/teddy-1322.conllu#s108_0</t>
  </si>
  <si>
    <t>109</t>
  </si>
  <si>
    <t>знать (знать хотеть)</t>
  </si>
  <si>
    <t>Хотели бы вы никогда не знать об этом заболевании ? » И вот , что ответил отец : «Да , мне больно за Дэвида , нашего сына , потому что ему непросто жить в этом мире .</t>
  </si>
  <si>
    <t>file://conllu/ru/teddy-1322.conllu#s109_0</t>
  </si>
  <si>
    <t>110</t>
  </si>
  <si>
    <t>Я бы хотел , чтобы его жизнь была легче .</t>
  </si>
  <si>
    <t>file://conllu/ru/teddy-1322.conllu#s110_0</t>
  </si>
  <si>
    <t>111</t>
  </si>
  <si>
    <t>быть (быть потеря»)</t>
  </si>
  <si>
    <t>Но если бы мы потеряли каждого с синдромом Дауна , то это была бы гибельная потеря» .</t>
  </si>
  <si>
    <t>file://conllu/ru/teddy-1322.conllu#s111_0</t>
  </si>
  <si>
    <t>112</t>
  </si>
  <si>
    <t>добавить</t>
  </si>
  <si>
    <t>Карен Робардс добавила : «Я согласна с Томом .</t>
  </si>
  <si>
    <t>file://conllu/ru/teddy-1322.conllu#s112_0</t>
  </si>
  <si>
    <t>113</t>
  </si>
  <si>
    <t>мечтать</t>
  </si>
  <si>
    <t>Я мечтаю о мгновенном излечении для Дэвида , для облегчения его жизни .</t>
  </si>
  <si>
    <t>file://conllu/ru/teddy-1322.conllu#s113_0</t>
  </si>
  <si>
    <t>114</t>
  </si>
  <si>
    <t>себя</t>
  </si>
  <si>
    <t>Но для себя . . .</t>
  </si>
  <si>
    <t>file://conllu/ru/teddy-1322.conllu#s114_0</t>
  </si>
  <si>
    <t>115</t>
  </si>
  <si>
    <t>поверить</t>
  </si>
  <si>
    <t>23 года назад , когда он родился , я бы и не поверила , что однажды буду размышлять подобным образом .</t>
  </si>
  <si>
    <t>file://conllu/ru/teddy-1322.conllu#s115_0</t>
  </si>
  <si>
    <t>116</t>
  </si>
  <si>
    <t>делать</t>
  </si>
  <si>
    <t>Случившееся сделало меня лучше , добрее и целеустремлённее .</t>
  </si>
  <si>
    <t>file://conllu/ru/teddy-1322.conllu#s116_0</t>
  </si>
  <si>
    <t>117</t>
  </si>
  <si>
    <t>менять</t>
  </si>
  <si>
    <t>Говоря о себе , я бы не променяла произошедшее ни на что другое» .</t>
  </si>
  <si>
    <t>file://conllu/ru/teddy-1322.conllu#s117_0</t>
  </si>
  <si>
    <t>118</t>
  </si>
  <si>
    <t>живь</t>
  </si>
  <si>
    <t>Мы живём во времена , когда отношение к необычным людям постоянно улучшается .</t>
  </si>
  <si>
    <t>file://conllu/ru/teddy-1322.conllu#s118_0</t>
  </si>
  <si>
    <t>119</t>
  </si>
  <si>
    <t>Но так же , мы живём во времена , когда наши способности к устранению человеческих особенностей возросли как никогда ранее .</t>
  </si>
  <si>
    <t>file://conllu/ru/teddy-1322.conllu#s119_0</t>
  </si>
  <si>
    <t>120</t>
  </si>
  <si>
    <t>устанавливать</t>
  </si>
  <si>
    <t>Большинству глухих детей , рождающихся в США , теперь устанавливают кохлеарные имплантаты .</t>
  </si>
  <si>
    <t>file://conllu/ru/teddy-1322.conllu#s120_0</t>
  </si>
  <si>
    <t>121</t>
  </si>
  <si>
    <t>позволять (позволять устанавливать)</t>
  </si>
  <si>
    <t>Его устанавливают в височной доле мозга и соединяют с внешним микрофоном , что позволяет им обрести некое подобие слуха и дар речи .</t>
  </si>
  <si>
    <t>file://conllu/ru/teddy-1322.conllu#s121_0</t>
  </si>
  <si>
    <t>122</t>
  </si>
  <si>
    <t>блокировать</t>
  </si>
  <si>
    <t>Соединение BMN 111 , протестированное на мышах , блокирует ген вызывающий ахондроплазию .</t>
  </si>
  <si>
    <t>file://conllu/ru/teddy-1322.conllu#s122_0</t>
  </si>
  <si>
    <t>123</t>
  </si>
  <si>
    <t>Ахондроплазия</t>
  </si>
  <si>
    <t>Ахондроплазия — наиболее распространённая форма карликовости .</t>
  </si>
  <si>
    <t>file://conllu/ru/teddy-1322.conllu#s123_0</t>
  </si>
  <si>
    <t>124</t>
  </si>
  <si>
    <t>Мыши , имевшие ген этого заболевания , и получившие препарат , выросли до своего полного размера .</t>
  </si>
  <si>
    <t>file://conllu/ru/teddy-1322.conllu#s124_0</t>
  </si>
  <si>
    <t>125</t>
  </si>
  <si>
    <t>начнваться</t>
  </si>
  <si>
    <t>Вскоре начнётся тестирование на людях .</t>
  </si>
  <si>
    <t>file://conllu/ru/teddy-1322.conllu#s125_0</t>
  </si>
  <si>
    <t>126</t>
  </si>
  <si>
    <t>появляться</t>
  </si>
  <si>
    <t>Появляются такие виды тестов крови , которые позволяют выявить у эмбриона синдром Дауна на более ранних сроках беременности и с большей точностью .</t>
  </si>
  <si>
    <t>file://conllu/ru/teddy-1322.conllu#s126_0</t>
  </si>
  <si>
    <t>127</t>
  </si>
  <si>
    <t>дать</t>
  </si>
  <si>
    <t>Это даст возможность своевременно прервать такую беременность .</t>
  </si>
  <si>
    <t>file://conllu/ru/teddy-1322.conllu#s127_0</t>
  </si>
  <si>
    <t>128</t>
  </si>
  <si>
    <t>наблюдать</t>
  </si>
  <si>
    <t>Таким образом , мы наблюдаем развитие общества и развитие медицины .</t>
  </si>
  <si>
    <t>file://conllu/ru/teddy-1322.conllu#s128_0</t>
  </si>
  <si>
    <t>129</t>
  </si>
  <si>
    <t>верить</t>
  </si>
  <si>
    <t>Я верю и в то и в другое .</t>
  </si>
  <si>
    <t>file://conllu/ru/teddy-1322.conllu#s129_0</t>
  </si>
  <si>
    <t>130</t>
  </si>
  <si>
    <t>То же самое?</t>
  </si>
  <si>
    <t>считать</t>
  </si>
  <si>
    <t>Я считаю , что социальное развитие — потрясающий , значительный , великолепный процесс и думаю то же самое о медицинском развитии .</t>
  </si>
  <si>
    <t>file://conllu/ru/teddy-1322.conllu#s130_0</t>
  </si>
  <si>
    <t>131</t>
  </si>
  <si>
    <t>Но так же считаю трагедией , что эти процессы не находят точек соприкосновения .</t>
  </si>
  <si>
    <t>file://conllu/ru/teddy-1322.conllu#s131_0</t>
  </si>
  <si>
    <t>132</t>
  </si>
  <si>
    <t>похожий</t>
  </si>
  <si>
    <t>Когда я всё же вижу то , каким образом они пересекаются , например , в ситуации , которую я только что описал , это похоже на сцену из оперной постановки , когда герой понимает , что влюблён в героиню , которая в этот момент испускает дух , лёжа на тахте .</t>
  </si>
  <si>
    <t>file://conllu/ru/teddy-1322.conllu#s132_0</t>
  </si>
  <si>
    <t>133</t>
  </si>
  <si>
    <t>Мы должны задуматься о нашем отношении к излечению .</t>
  </si>
  <si>
    <t>file://conllu/ru/teddy-1322.conllu#s133_0</t>
  </si>
  <si>
    <t>134</t>
  </si>
  <si>
    <t>И родители должны ответить на вопросы о том , что они готовы принять в своих детях , а что они хотели бы излечить .</t>
  </si>
  <si>
    <t>file://conllu/ru/teddy-1322.conllu#s134_0</t>
  </si>
  <si>
    <t>135</t>
  </si>
  <si>
    <t>хотеть (хотеть говорить сказать)</t>
  </si>
  <si>
    <t>Джим Синклер , борец за права людей страдающих аутизмом , сказал : «Когда родители говорят : “Я бы хотел , чтобы у моего ребёнка не было аутизма” , они имеют в виду : “Я бы хотел , чтобы мой ребёнок никогда не был рождён , а у меня был другой , не страдающий аутизмом ребёнок”» .</t>
  </si>
  <si>
    <t>file://conllu/ru/teddy-1322.conllu#s135_0</t>
  </si>
  <si>
    <t>136</t>
  </si>
  <si>
    <t>Вслушаться</t>
  </si>
  <si>
    <t>Вслушайтесь в это .</t>
  </si>
  <si>
    <t>file://conllu/ru/teddy-1322.conllu#s136_0</t>
  </si>
  <si>
    <t>137</t>
  </si>
  <si>
    <t>Это то , что мы слышим , когда вы оплакиваете наше существование .</t>
  </si>
  <si>
    <t>file://conllu/ru/teddy-1322.conllu#s137_0</t>
  </si>
  <si>
    <t>138</t>
  </si>
  <si>
    <t>молить (молить понимать)</t>
  </si>
  <si>
    <t>И когда вы молите об излечении , мы понимаем , что вы молите о том , чтобы однажды нас не стало , а наше место в ваших сердцах заняли те , кого вы сможете полюбить» .</t>
  </si>
  <si>
    <t>file://conllu/ru/teddy-1322.conllu#s138_0</t>
  </si>
  <si>
    <t>139</t>
  </si>
  <si>
    <t>отражать (отражать казаться)</t>
  </si>
  <si>
    <t>Возможно такая точка зрения покажется вам вздорной , но она отражает тот факт , что люди вовлекаются в свою жизнь , и не хотят , чтобы их лечили , пытались изменить или отбраковать .</t>
  </si>
  <si>
    <t>file://conllu/ru/teddy-1322.conllu#s139_0</t>
  </si>
  <si>
    <t>140</t>
  </si>
  <si>
    <t>Они хотят быть теми , кем им предначертано быть .</t>
  </si>
  <si>
    <t>file://conllu/ru/teddy-1322.conllu#s140_0</t>
  </si>
  <si>
    <t>141</t>
  </si>
  <si>
    <t>встретиться</t>
  </si>
  <si>
    <t>Работая над этим проектом , я встретился с семьёй Дилана Клиболда — одного из организаторов массового убийства в школе «Колумбайн» .</t>
  </si>
  <si>
    <t>file://conllu/ru/teddy-1322.conllu#s141_0</t>
  </si>
  <si>
    <t>142</t>
  </si>
  <si>
    <t>просить</t>
  </si>
  <si>
    <t>Я долгое время просил их о встрече , и когда они согласились , они были настолько переполнены эмоциями от произошедшего , что без остановки говорили об этом .</t>
  </si>
  <si>
    <t>file://conllu/ru/teddy-1322.conllu#s142_0</t>
  </si>
  <si>
    <t>143</t>
  </si>
  <si>
    <t>За первую неделю с ними — а таких недель было много — я записал более 20-ти часов наших бесед .</t>
  </si>
  <si>
    <t>file://conllu/ru/teddy-1322.conllu#s143_0</t>
  </si>
  <si>
    <t>144</t>
  </si>
  <si>
    <t>обессиить</t>
  </si>
  <si>
    <t>К воскресенью мы были обессилены .</t>
  </si>
  <si>
    <t>file://conllu/ru/teddy-1322.conllu#s144_0</t>
  </si>
  <si>
    <t>145</t>
  </si>
  <si>
    <t>сидеть</t>
  </si>
  <si>
    <t>Мы сидели на кухне .</t>
  </si>
  <si>
    <t>file://conllu/ru/teddy-1322.conllu#s145_0</t>
  </si>
  <si>
    <t>146</t>
  </si>
  <si>
    <t>готовить</t>
  </si>
  <si>
    <t>Сью Клиболд готовила ужин .</t>
  </si>
  <si>
    <t>file://conllu/ru/teddy-1322.conllu#s146_0</t>
  </si>
  <si>
    <t>147</t>
  </si>
  <si>
    <t>думать (думать спросить)</t>
  </si>
  <si>
    <t>И я спросил : «Если бы Дилан был сейчас здесь , как думаете , о чём бы вы его спросили ? » Его отец ответил : «Я бы спросил , о чём он , чёрт побери , думал» .</t>
  </si>
  <si>
    <t>file://conllu/ru/teddy-1322.conllu#s147_0</t>
  </si>
  <si>
    <t>148</t>
  </si>
  <si>
    <t>опустить</t>
  </si>
  <si>
    <t>Сью опустила взгляд и на минуту задумалась .</t>
  </si>
  <si>
    <t>file://conllu/ru/teddy-1322.conllu#s148_0</t>
  </si>
  <si>
    <t>149</t>
  </si>
  <si>
    <t>Занять</t>
  </si>
  <si>
    <t>Замет она подняла глаза и сказала : «Я бы попросила у него прощения , за то что я , его мать , даже не догадывалась о том , что творилось у него в голове» .</t>
  </si>
  <si>
    <t>file://conllu/ru/teddy-1322.conllu#s149_0</t>
  </si>
  <si>
    <t>150</t>
  </si>
  <si>
    <t>Пару лет спустя , за ужином — это был один из многих совместных ужинов — она сказала : «Узнав о случившемся , я пожалела , что когда-то вышла замуж , что завела детей .</t>
  </si>
  <si>
    <t>file://conllu/ru/teddy-1322.conllu#s150_0</t>
  </si>
  <si>
    <t>151</t>
  </si>
  <si>
    <t>быть (быть рождя)</t>
  </si>
  <si>
    <t>Если бы я не переехала в Огайо и не встретилась с Томом , то этот ребёнок не был бы рождён , и не случилось бы этой ужасной трагедии .</t>
  </si>
  <si>
    <t>file://conllu/ru/teddy-1322.conllu#s151_0</t>
  </si>
  <si>
    <t>152</t>
  </si>
  <si>
    <t>понять</t>
  </si>
  <si>
    <t>Но потом я поняла , что так сильно люблю своих детей , что даже не хочу представлять себе жизни без них .</t>
  </si>
  <si>
    <t>file://conllu/ru/teddy-1322.conllu#s152_0</t>
  </si>
  <si>
    <t>153</t>
  </si>
  <si>
    <t>Я вижу боль , которую они причинили людям , и этому нет прощения , но боль , причинённая мне , уже прощена .</t>
  </si>
  <si>
    <t>file://conllu/ru/teddy-1322.conllu#s153_0</t>
  </si>
  <si>
    <t>154</t>
  </si>
  <si>
    <t>понимать (понимать понимать)</t>
  </si>
  <si>
    <t>Поэтому понимая , что для мира было бы лучше , если бы Дилан не появился на свет , я так же понимаю , что это не было бы лучше для меня» .</t>
  </si>
  <si>
    <t>file://conllu/ru/teddy-1322.conllu#s154_0</t>
  </si>
  <si>
    <t>155</t>
  </si>
  <si>
    <t>удивительный</t>
  </si>
  <si>
    <t>Удивительно то , что все эти родители детей с огромными проблемами , которые хотелось бы избежать любым доступным способом , нашли в пережитом опыте так много смысла .</t>
  </si>
  <si>
    <t>file://conllu/ru/teddy-1322.conllu#s155_0</t>
  </si>
  <si>
    <t>156</t>
  </si>
  <si>
    <t>Потом я подумал что все мы , у кого есть дети , любим их со всеми недостатками .</t>
  </si>
  <si>
    <t>file://conllu/ru/teddy-1322.conllu#s156_0</t>
  </si>
  <si>
    <t>157</t>
  </si>
  <si>
    <t>спуститься</t>
  </si>
  <si>
    <t>И если некий ангел неожиданно спустился бы прямо в мою гостиную и предложил забрать у меня моего ребёнка , дав в замен другого , — более вежливого , забавного , милого и умного — я бы приник к своему ребёнку , моля , чтобы это ужасное явление исчезло .</t>
  </si>
  <si>
    <t>file://conllu/ru/teddy-1322.conllu#s157_0</t>
  </si>
  <si>
    <t>158</t>
  </si>
  <si>
    <t>проверять (проверять понимать)</t>
  </si>
  <si>
    <t>И я понимаю , что , точно так же как мы проверяем материал пижам на огнеустойчивость , чтобы быть уверенными , что он не загорится , когда наш малыш возится у плиты так же и истории этих семей , принимающих особенности своих детей , отражают сущность родительского опыта всего человечества , при котором ты иногда смотришь на своего ребёнка и думаешь : «Откуда ты взялся такой?» .</t>
  </si>
  <si>
    <t>file://conllu/ru/teddy-1322.conllu#s158_0</t>
  </si>
  <si>
    <t>159</t>
  </si>
  <si>
    <t>выходить</t>
  </si>
  <si>
    <t>Выходит , что несмотря на то , что все эти особенности так отличны друг от друга — многие семьи столкнулись с шизофренией , в других семьях дети стали транссексуалами , а в третьих родились вундеркинды — что тоже представляет немалые трудности — и так много семей , в каждой из этих категорий .</t>
  </si>
  <si>
    <t>file://conllu/ru/teddy-1322.conllu#s159_0</t>
  </si>
  <si>
    <t>160</t>
  </si>
  <si>
    <t>Но если вы задумаетесь о том , что преодоление отличий внутри вашей собственной семьи эти и есть то , к чему стремятся люди , вы поймёте , что это почти вселенское явление .</t>
  </si>
  <si>
    <t>file://conllu/ru/teddy-1322.conllu#s160_0</t>
  </si>
  <si>
    <t>161</t>
  </si>
  <si>
    <t>Ирония в том , что именно наши особенности и их преодоление объединяют нас .</t>
  </si>
  <si>
    <t>file://conllu/ru/teddy-1322.conllu#s161_0</t>
  </si>
  <si>
    <t>162</t>
  </si>
  <si>
    <t>решить</t>
  </si>
  <si>
    <t>Я решил завести ребёнка в то время , когда работал над этим проектом .</t>
  </si>
  <si>
    <t>file://conllu/ru/teddy-1322.conllu#s162_0</t>
  </si>
  <si>
    <t>163</t>
  </si>
  <si>
    <t>удивить</t>
  </si>
  <si>
    <t>Многие были удивлены и спрашивали : «Как ты мог решиться завести ребёнка , проводя исследование о том , что всё может пойти не так как хотелось ? » Я отвечал : «Я исследую не то , что может пойти не так как хотелось .</t>
  </si>
  <si>
    <t>file://conllu/ru/teddy-1322.conllu#s163_0</t>
  </si>
  <si>
    <t>164</t>
  </si>
  <si>
    <t>исследой</t>
  </si>
  <si>
    <t>Я исследую вопрос о том , как много любви потребуется в момент , когда кажется , что всё идёт не так» .</t>
  </si>
  <si>
    <t>file://conllu/ru/teddy-1322.conllu#s164_0</t>
  </si>
  <si>
    <t>165</t>
  </si>
  <si>
    <t>Я много думал о матери одного ребёнка инвалида , которого мне довелось встретить .</t>
  </si>
  <si>
    <t>file://conllu/ru/teddy-1322.conllu#s165_0</t>
  </si>
  <si>
    <t>166</t>
  </si>
  <si>
    <t>быть (быть он)</t>
  </si>
  <si>
    <t>У него была тяжёлая степень инвалидности .</t>
  </si>
  <si>
    <t>file://conllu/ru/teddy-1322.conllu#s166_0</t>
  </si>
  <si>
    <t>167</t>
  </si>
  <si>
    <t>умереть</t>
  </si>
  <si>
    <t>Он умер он недостатка ухода .</t>
  </si>
  <si>
    <t>file://conllu/ru/teddy-1322.conllu#s167_0</t>
  </si>
  <si>
    <t>168</t>
  </si>
  <si>
    <t>Во время похорон его мать сказала : «Я молю о прощении за то , чего дважды была лишена — такого ребёнка как я хотела и сына , которого любила» .</t>
  </si>
  <si>
    <t>file://conllu/ru/teddy-1322.conllu#s168_0</t>
  </si>
  <si>
    <t>169</t>
  </si>
  <si>
    <t>осознать</t>
  </si>
  <si>
    <t>И я осознал , что любой человек может любить любого ребёнка , если у него достаточно силы духа для этого .</t>
  </si>
  <si>
    <t>file://conllu/ru/teddy-1322.conllu#s169_0</t>
  </si>
  <si>
    <t>170</t>
  </si>
  <si>
    <t>отец</t>
  </si>
  <si>
    <t>Мой муж — биологический отец двух детей рождённых лесбиянками в Минеаполисе .</t>
  </si>
  <si>
    <t>file://conllu/ru/teddy-1322.conllu#s170_0</t>
  </si>
  <si>
    <t>171</t>
  </si>
  <si>
    <t>У меня была подруга по колледжу , в разводе , желавшая иметь детей .</t>
  </si>
  <si>
    <t>file://conllu/ru/teddy-1322.conllu#s171_0</t>
  </si>
  <si>
    <t>172</t>
  </si>
  <si>
    <t>У нас с ней есть дочь .</t>
  </si>
  <si>
    <t>file://conllu/ru/teddy-1322.conllu#s172_0</t>
  </si>
  <si>
    <t>173</t>
  </si>
  <si>
    <t>жить</t>
  </si>
  <si>
    <t>Они живут в Техасе .</t>
  </si>
  <si>
    <t>file://conllu/ru/teddy-1322.conllu#s173_0</t>
  </si>
  <si>
    <t>174</t>
  </si>
  <si>
    <t>А у нас с мужем есть сын , живущий с нами постоянно .</t>
  </si>
  <si>
    <t>file://conllu/ru/teddy-1322.conllu#s174_0</t>
  </si>
  <si>
    <t>175</t>
  </si>
  <si>
    <t>Я его биологический отец , а суррогатной матерью стала Лора — лесбиянка , мать Оливера и Люси живущая в Минеаполисе .</t>
  </si>
  <si>
    <t>file://conllu/ru/teddy-1322.conllu#s175_0</t>
  </si>
  <si>
    <t>176</t>
  </si>
  <si>
    <t>итог</t>
  </si>
  <si>
    <t>Итог : пять родителей , четверо детей , три штата .</t>
  </si>
  <si>
    <t>file://conllu/ru/teddy-1322.conllu#s176_0</t>
  </si>
  <si>
    <t>177</t>
  </si>
  <si>
    <t>Есть люди , которые считают , что существование моей семьи подрывает , ослабляет или разрушает авторитет их семей .</t>
  </si>
  <si>
    <t>file://conllu/ru/teddy-1322.conllu#s177_0</t>
  </si>
  <si>
    <t>178</t>
  </si>
  <si>
    <t>А есть те , кто считает , что семьи вроде моей не должны существовать .</t>
  </si>
  <si>
    <t>file://conllu/ru/teddy-1322.conllu#s178_0</t>
  </si>
  <si>
    <t>179</t>
  </si>
  <si>
    <t>принимать</t>
  </si>
  <si>
    <t>Я не принимаю исключающий вид любви .</t>
  </si>
  <si>
    <t>file://conllu/ru/teddy-1322.conllu#s179_0</t>
  </si>
  <si>
    <t>180</t>
  </si>
  <si>
    <t>Только принимающий .</t>
  </si>
  <si>
    <t>file://conllu/ru/teddy-1322.conllu#s180_0</t>
  </si>
  <si>
    <t>181</t>
  </si>
  <si>
    <t>И я верю , что так же как нам необходимо разнообразие видов , чтобы знать , что наша планета способна развиваться , так же нам нужно разнообразие любви , разнообразие семей для укрепления экосферы добра .</t>
  </si>
  <si>
    <t>file://conllu/ru/teddy-1322.conllu#s181_0</t>
  </si>
  <si>
    <t>182</t>
  </si>
  <si>
    <t>На следующий день после рождения нашего сына , в палату пришёл встревоженный педиатр .</t>
  </si>
  <si>
    <t>file://conllu/ru/teddy-1322.conllu#s182_0</t>
  </si>
  <si>
    <t>183</t>
  </si>
  <si>
    <t>вытягивать</t>
  </si>
  <si>
    <t>Сын не вытягивал ноги должным образом .</t>
  </si>
  <si>
    <t>file://conllu/ru/teddy-1322.conllu#s183_0</t>
  </si>
  <si>
    <t>184</t>
  </si>
  <si>
    <t>Врач сказала , что возможно у него повреждён мозг .</t>
  </si>
  <si>
    <t>file://conllu/ru/teddy-1322.conllu#s184_0</t>
  </si>
  <si>
    <t>185</t>
  </si>
  <si>
    <t>Он вытягивал ноги , но не симметрично , что по её мнению могло указывать на опухоль в определённой стадии .</t>
  </si>
  <si>
    <t>file://conllu/ru/teddy-1322.conllu#s185_0</t>
  </si>
  <si>
    <t>186</t>
  </si>
  <si>
    <t>быть (быть голова)</t>
  </si>
  <si>
    <t>Так же у него была очень большая голова , что могло указывать на гидроцефалию .</t>
  </si>
  <si>
    <t>file://conllu/ru/teddy-1322.conllu#s186_0</t>
  </si>
  <si>
    <t>187</t>
  </si>
  <si>
    <t>Когда она всё это сказала , а почувствовал , что что-то внутри меня оборвалось .</t>
  </si>
  <si>
    <t>file://conllu/ru/teddy-1322.conllu#s187_0</t>
  </si>
  <si>
    <t>188</t>
  </si>
  <si>
    <t>Я подумал , что годами работал над книгой о том , как много смысла нашли родители в том , что их дети были инвалидами и я не хочу пополнить их ряды .</t>
  </si>
  <si>
    <t>file://conllu/ru/teddy-1322.conllu#s188_0</t>
  </si>
  <si>
    <t>189</t>
  </si>
  <si>
    <t>болезнь</t>
  </si>
  <si>
    <t>То , с чем мне пришлось столкнуться — это болезнь , и как все родители с незапамятных времён я хотел защитить своего ребёнка от болезни .</t>
  </si>
  <si>
    <t>file://conllu/ru/teddy-1322.conllu#s189_0</t>
  </si>
  <si>
    <t>190</t>
  </si>
  <si>
    <t>Я так же хотел защитить и себя от болезни .</t>
  </si>
  <si>
    <t>file://conllu/ru/teddy-1322.conllu#s190_0</t>
  </si>
  <si>
    <t>191</t>
  </si>
  <si>
    <t>стать</t>
  </si>
  <si>
    <t>Из проведённых исследований , я знал , если обнаружится , что он болен чем-то из этого , то это станет его отличительной особенностью , которая станет так же и моей особенностью , что развиваясь , болезнь станет чем-то большим .</t>
  </si>
  <si>
    <t>file://conllu/ru/teddy-1322.conllu#s191_0</t>
  </si>
  <si>
    <t>192</t>
  </si>
  <si>
    <t>Мы сделали ему МРТ , компьютерное сканирование , позволили взять у новорождённого кровь на анализы .</t>
  </si>
  <si>
    <t>file://conllu/ru/teddy-1322.conllu#s192_0</t>
  </si>
  <si>
    <t>193</t>
  </si>
  <si>
    <t>чувствовать</t>
  </si>
  <si>
    <t>Мы чувствовали себя беспомощными .</t>
  </si>
  <si>
    <t>file://conllu/ru/teddy-1322.conllu#s193_0</t>
  </si>
  <si>
    <t>194</t>
  </si>
  <si>
    <t>Пять часов спустя , нам сказали , что с его мозгом всё в порядке , и что он начал вытягивать ножки как следует .</t>
  </si>
  <si>
    <t>file://conllu/ru/teddy-1322.conllu#s194_0</t>
  </si>
  <si>
    <t>195</t>
  </si>
  <si>
    <t>Я спросил педиатра , в чём же было дело , на что она ответила , что тем утром у него , возможно , были колики .</t>
  </si>
  <si>
    <t>file://conllu/ru/teddy-1322.conllu#s195_0</t>
  </si>
  <si>
    <t>196</t>
  </si>
  <si>
    <t>И я подумал , что моя мама была права .</t>
  </si>
  <si>
    <t>file://conllu/ru/teddy-1322.conllu#s196_0</t>
  </si>
  <si>
    <t>197</t>
  </si>
  <si>
    <t>Любовь к своему ребёнку не похожа ни на одно другое чувство , и пока у тебя нет детей , ты не знаешь что это за чувство .</t>
  </si>
  <si>
    <t>file://conllu/ru/teddy-1322.conllu#s197_0</t>
  </si>
  <si>
    <t>198</t>
  </si>
  <si>
    <t>привязать</t>
  </si>
  <si>
    <t>Думаю , дети привязали меня к себе в тот момент , когда отцовство граничило с потерей .</t>
  </si>
  <si>
    <t>file://conllu/ru/teddy-1322.conllu#s198_0</t>
  </si>
  <si>
    <t>199</t>
  </si>
  <si>
    <t>Но не думаю , что заметил бы это , если бы не был погружён с головой в своё исследование .</t>
  </si>
  <si>
    <t>file://conllu/ru/teddy-1322.conllu#s199_0</t>
  </si>
  <si>
    <t>200</t>
  </si>
  <si>
    <t>чувствовать (чувствовать видеть)</t>
  </si>
  <si>
    <t>Я увидел так много странной любви , но чувствовал себя естественно , очарованный ей .</t>
  </si>
  <si>
    <t>file://conllu/ru/teddy-1322.conllu#s200_0</t>
  </si>
  <si>
    <t>201</t>
  </si>
  <si>
    <t>Я видел , как её сияние озаряет даже самых израненных .</t>
  </si>
  <si>
    <t>file://conllu/ru/teddy-1322.conllu#s201_0</t>
  </si>
  <si>
    <t>202</t>
  </si>
  <si>
    <t>лицезреть</t>
  </si>
  <si>
    <t>За эти 10 лет , я лицезрел и проникся устрашающей радостью невыносимой ответственности , которая , как я убедился , помогает превозмочь всё остальное .</t>
  </si>
  <si>
    <t>file://conllu/ru/teddy-1322.conllu#s202_0</t>
  </si>
  <si>
    <t>203</t>
  </si>
  <si>
    <t>Иногда , глядя на родителей , с которыми мне приходилось встречаться , я считал их глупцами , отдавшими всю свою жизнь детям неспособным на благодарность , ищущими особенности в невзгодах .</t>
  </si>
  <si>
    <t>file://conllu/ru/teddy-1322.conllu#s203_0</t>
  </si>
  <si>
    <t>204</t>
  </si>
  <si>
    <t>Но в тот день я понял , что моё исследование стало для меня опорой и я готов пополнить ряды тех родителей .</t>
  </si>
  <si>
    <t>file://conllu/ru/teddy-1322.conllu#s204_0</t>
  </si>
  <si>
    <t>205</t>
  </si>
  <si>
    <t>спасибо</t>
  </si>
  <si>
    <t>Спасибо .</t>
  </si>
  <si>
    <t>file://conllu/ru/teddy-1322.conllu#s205_0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</si>
  <si>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</si>
  <si>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</si>
  <si>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</si>
  <si>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</si>
  <si>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</si>
  <si>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</si>
  <si>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</si>
  <si>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</si>
  <si>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</si>
  <si>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</si>
  <si>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</si>
  <si>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«Даже если абстрагироваться от религии, гомосексуализм — это сексуальное извращение.</t>
  </si>
  <si>
    <t>«Даже</t>
  </si>
  <si>
    <t>если</t>
  </si>
  <si>
    <t>абстрагироваться</t>
  </si>
  <si>
    <t>от</t>
  </si>
  <si>
    <t>религии</t>
  </si>
  <si>
    <t>,</t>
  </si>
  <si>
    <t>гомосексуализм</t>
  </si>
  <si>
    <t>—</t>
  </si>
  <si>
    <t>это</t>
  </si>
  <si>
    <t>SBJ</t>
  </si>
  <si>
    <t>pron.pds</t>
  </si>
  <si>
    <t>?OLD</t>
  </si>
  <si>
    <t>сексуальное</t>
  </si>
  <si>
    <t>.</t>
  </si>
  <si>
    <t># text = Это жалкая, ничтожная, второсортная подмена реальности, презренная попытка бегства от жизни.</t>
  </si>
  <si>
    <t>Это</t>
  </si>
  <si>
    <t>жалкая</t>
  </si>
  <si>
    <t>ничтожная</t>
  </si>
  <si>
    <t>второсортная</t>
  </si>
  <si>
    <t>реальности</t>
  </si>
  <si>
    <t>презренная</t>
  </si>
  <si>
    <t>попытка</t>
  </si>
  <si>
    <t>бегства</t>
  </si>
  <si>
    <t>жизни</t>
  </si>
  <si>
    <t># text = Поэтому, он не заслуживает сострадания, не заслуживает лечения, так как не является мученичеством, и относиться к нему стоит не иначе как к смертельной болезни».</t>
  </si>
  <si>
    <t>Поэтому</t>
  </si>
  <si>
    <t>pron</t>
  </si>
  <si>
    <t>не</t>
  </si>
  <si>
    <t>заслуживает</t>
  </si>
  <si>
    <t>сострадания</t>
  </si>
  <si>
    <t>лечения</t>
  </si>
  <si>
    <t>так</t>
  </si>
  <si>
    <t>как</t>
  </si>
  <si>
    <t>является</t>
  </si>
  <si>
    <t>мученичеством</t>
  </si>
  <si>
    <t>и</t>
  </si>
  <si>
    <t>относиться</t>
  </si>
  <si>
    <t>к</t>
  </si>
  <si>
    <t>нему</t>
  </si>
  <si>
    <t>other_5</t>
  </si>
  <si>
    <t>стоит</t>
  </si>
  <si>
    <t>иначе</t>
  </si>
  <si>
    <t>смертельной</t>
  </si>
  <si>
    <t>болезни»</t>
  </si>
  <si>
    <t># text = Это было напечатано в журнале «Тайм» в 1966 году, когда мне было три года.</t>
  </si>
  <si>
    <t>было</t>
  </si>
  <si>
    <t>напечатано</t>
  </si>
  <si>
    <t>в</t>
  </si>
  <si>
    <t>журнале</t>
  </si>
  <si>
    <t>«Тайм»</t>
  </si>
  <si>
    <t>1966</t>
  </si>
  <si>
    <t>году</t>
  </si>
  <si>
    <t>other</t>
  </si>
  <si>
    <t>indef-np.quant</t>
  </si>
  <si>
    <t>когда</t>
  </si>
  <si>
    <t>мне</t>
  </si>
  <si>
    <t>other_3</t>
  </si>
  <si>
    <t>три</t>
  </si>
  <si>
    <t>года</t>
  </si>
  <si>
    <t>SBJ_2</t>
  </si>
  <si>
    <t># text = А год назад Президент США объявил о своей благосклонности по отношению к однополым бракам.</t>
  </si>
  <si>
    <t>А</t>
  </si>
  <si>
    <t>год</t>
  </si>
  <si>
    <t>назад</t>
  </si>
  <si>
    <t>Президент</t>
  </si>
  <si>
    <t>def-np.poss</t>
  </si>
  <si>
    <t>США</t>
  </si>
  <si>
    <t>other_2</t>
  </si>
  <si>
    <t>ne</t>
  </si>
  <si>
    <t>объявил</t>
  </si>
  <si>
    <t>о</t>
  </si>
  <si>
    <t>своей</t>
  </si>
  <si>
    <t>благосклонности</t>
  </si>
  <si>
    <t>по</t>
  </si>
  <si>
    <t>отношению</t>
  </si>
  <si>
    <t>однополым</t>
  </si>
  <si>
    <t>бракам</t>
  </si>
  <si>
    <t># text = (Аплодисменты) Вопрос в том, как мы пришли от того, что было к тому, что есть?</t>
  </si>
  <si>
    <t>(</t>
  </si>
  <si>
    <t>Аплодисменты</t>
  </si>
  <si>
    <t>)</t>
  </si>
  <si>
    <t>Вопрос</t>
  </si>
  <si>
    <t>том</t>
  </si>
  <si>
    <t>мы</t>
  </si>
  <si>
    <t>SBJ_3</t>
  </si>
  <si>
    <t>пришли</t>
  </si>
  <si>
    <t>того</t>
  </si>
  <si>
    <t>что</t>
  </si>
  <si>
    <t>SBJ_5</t>
  </si>
  <si>
    <t>pron.pint</t>
  </si>
  <si>
    <t>тому</t>
  </si>
  <si>
    <t>SBJ_7</t>
  </si>
  <si>
    <t>есть</t>
  </si>
  <si>
    <t>?</t>
  </si>
  <si>
    <t># text = Как недуг превратился в особенность?</t>
  </si>
  <si>
    <t>Как</t>
  </si>
  <si>
    <t>недуг</t>
  </si>
  <si>
    <t>превратился</t>
  </si>
  <si>
    <t>особенность</t>
  </si>
  <si>
    <t># text = Когда мне было шесть лет, мы с моим братом и нашей матерью отправились в обувной магазин.</t>
  </si>
  <si>
    <t>Когда</t>
  </si>
  <si>
    <t>OBJ_2</t>
  </si>
  <si>
    <t>шесть</t>
  </si>
  <si>
    <t>лет</t>
  </si>
  <si>
    <t>с</t>
  </si>
  <si>
    <t>моим</t>
  </si>
  <si>
    <t>pron.ppos</t>
  </si>
  <si>
    <t>братом</t>
  </si>
  <si>
    <t>нашей</t>
  </si>
  <si>
    <t>матерью</t>
  </si>
  <si>
    <t>отправились</t>
  </si>
  <si>
    <t>обувной</t>
  </si>
  <si>
    <t>магазин</t>
  </si>
  <si>
    <t># text = После того, как покупки были сделаны, продавец сказал, что каждый из нас может взять с собой по воздушному шарику.</t>
  </si>
  <si>
    <t>После</t>
  </si>
  <si>
    <t>покупки</t>
  </si>
  <si>
    <t>были</t>
  </si>
  <si>
    <t>сделаны</t>
  </si>
  <si>
    <t>продавец</t>
  </si>
  <si>
    <t>сказал</t>
  </si>
  <si>
    <t>каждый</t>
  </si>
  <si>
    <t>из</t>
  </si>
  <si>
    <t>нас</t>
  </si>
  <si>
    <t>может</t>
  </si>
  <si>
    <t>взять</t>
  </si>
  <si>
    <t>собой</t>
  </si>
  <si>
    <t>воздушному</t>
  </si>
  <si>
    <t>шарику</t>
  </si>
  <si>
    <t># text = Моему брату понравился красный шарик, а мне — розовый.</t>
  </si>
  <si>
    <t>Моему</t>
  </si>
  <si>
    <t>брату</t>
  </si>
  <si>
    <t>OBJ</t>
  </si>
  <si>
    <t>понравился</t>
  </si>
  <si>
    <t>красный</t>
  </si>
  <si>
    <t>шарик</t>
  </si>
  <si>
    <t>а</t>
  </si>
  <si>
    <t>розовый</t>
  </si>
  <si>
    <t># text = Мама сказала, что мне следует выбрать синий шарик.</t>
  </si>
  <si>
    <t>Мама</t>
  </si>
  <si>
    <t>сказала</t>
  </si>
  <si>
    <t>следует</t>
  </si>
  <si>
    <t>выбрать</t>
  </si>
  <si>
    <t>синий</t>
  </si>
  <si>
    <t># text = Но я сказал, что мне действительно нравится розовый, а она напомнила, что мой любимый цвет — синий.</t>
  </si>
  <si>
    <t>Но</t>
  </si>
  <si>
    <t>я</t>
  </si>
  <si>
    <t>действительно</t>
  </si>
  <si>
    <t>нравится</t>
  </si>
  <si>
    <t>она</t>
  </si>
  <si>
    <t>напомнила</t>
  </si>
  <si>
    <t>мой</t>
  </si>
  <si>
    <t>любимый</t>
  </si>
  <si>
    <t>цвет</t>
  </si>
  <si>
    <t>SBJ_4</t>
  </si>
  <si>
    <t># text = То, что мой любимый цвет — синий, и то, что я всё равно гей — (Смех) свидетельство как влияния моей матери, так и его пределов.</t>
  </si>
  <si>
    <t>То</t>
  </si>
  <si>
    <t>всё</t>
  </si>
  <si>
    <t>равно</t>
  </si>
  <si>
    <t>гей</t>
  </si>
  <si>
    <t>Смех</t>
  </si>
  <si>
    <t>свидетельство</t>
  </si>
  <si>
    <t>влияния</t>
  </si>
  <si>
    <t>моей</t>
  </si>
  <si>
    <t>other_6</t>
  </si>
  <si>
    <t>матери</t>
  </si>
  <si>
    <t>его</t>
  </si>
  <si>
    <t>пределов</t>
  </si>
  <si>
    <t>other_4</t>
  </si>
  <si>
    <t># text = Когда я был ребёнком, моя мать говорила: «Любовь к своему ребёнку, не похожа ни на одно другое чувство.</t>
  </si>
  <si>
    <t>был</t>
  </si>
  <si>
    <t>ребёнком</t>
  </si>
  <si>
    <t>моя</t>
  </si>
  <si>
    <t>мать</t>
  </si>
  <si>
    <t>говорила</t>
  </si>
  <si>
    <t>:</t>
  </si>
  <si>
    <t>«Любовь</t>
  </si>
  <si>
    <t>своему</t>
  </si>
  <si>
    <t>ребёнку</t>
  </si>
  <si>
    <t>похожа</t>
  </si>
  <si>
    <t>ни</t>
  </si>
  <si>
    <t>на</t>
  </si>
  <si>
    <t>одно</t>
  </si>
  <si>
    <t>другое</t>
  </si>
  <si>
    <t>чувство</t>
  </si>
  <si>
    <t># text = И ты не поймёшь этого, пока у тебя не появятся собственные дети».</t>
  </si>
  <si>
    <t>И</t>
  </si>
  <si>
    <t>ты</t>
  </si>
  <si>
    <t>поймёшь</t>
  </si>
  <si>
    <t>этого</t>
  </si>
  <si>
    <t>пока</t>
  </si>
  <si>
    <t>у</t>
  </si>
  <si>
    <t>тебя</t>
  </si>
  <si>
    <t>появятся</t>
  </si>
  <si>
    <t>собственные</t>
  </si>
  <si>
    <t>дети»</t>
  </si>
  <si>
    <t># text = И будучи ребёнком, я воспринимал это как лучший комплимент в мире, ведь она говорила это обо мне и моём брате.</t>
  </si>
  <si>
    <t>будучи</t>
  </si>
  <si>
    <t>воспринимал</t>
  </si>
  <si>
    <t>лучший</t>
  </si>
  <si>
    <t>комплимент</t>
  </si>
  <si>
    <t>мире</t>
  </si>
  <si>
    <t>ведь</t>
  </si>
  <si>
    <t>обо</t>
  </si>
  <si>
    <t>моём</t>
  </si>
  <si>
    <t>брате</t>
  </si>
  <si>
    <t># text = Когда я был подростком, я думал, что я гей и не смогу иметь семью.</t>
  </si>
  <si>
    <t>подростком</t>
  </si>
  <si>
    <t>думал</t>
  </si>
  <si>
    <t>смогу</t>
  </si>
  <si>
    <t>иметь</t>
  </si>
  <si>
    <t>семью</t>
  </si>
  <si>
    <t>OBJ_4</t>
  </si>
  <si>
    <t># text = Мать повторяла свои слова и это раздражало меня.</t>
  </si>
  <si>
    <t>Мать</t>
  </si>
  <si>
    <t>повторяла</t>
  </si>
  <si>
    <t>свои</t>
  </si>
  <si>
    <t>слова</t>
  </si>
  <si>
    <t>раздражало</t>
  </si>
  <si>
    <t>меня</t>
  </si>
  <si>
    <t># text = После того как я открылся, она не перестала этого говорить и это вызывало во мне ярость.</t>
  </si>
  <si>
    <t>открылся</t>
  </si>
  <si>
    <t>перестала</t>
  </si>
  <si>
    <t>вызывало</t>
  </si>
  <si>
    <t>во</t>
  </si>
  <si>
    <t>ярость</t>
  </si>
  <si>
    <t># text = Я говорил: «Я — гей.</t>
  </si>
  <si>
    <t>Я</t>
  </si>
  <si>
    <t>говорил</t>
  </si>
  <si>
    <t>«Я</t>
  </si>
  <si>
    <t># text = Я не стремлюсь завести семью.</t>
  </si>
  <si>
    <t>стремлюсь</t>
  </si>
  <si>
    <t>завести</t>
  </si>
  <si>
    <t># text = Прекрати это говорить».</t>
  </si>
  <si>
    <t>Прекрати</t>
  </si>
  <si>
    <t># text = Около 20-ти лет назад, редактор журнала «Нью-Йорк Таймс» попросил меня написать статью о культуре глухих людей.</t>
  </si>
  <si>
    <t>Около</t>
  </si>
  <si>
    <t>20-ти</t>
  </si>
  <si>
    <t>редактор</t>
  </si>
  <si>
    <t>журнала</t>
  </si>
  <si>
    <t>«Нью-Йорк</t>
  </si>
  <si>
    <t>Таймс»</t>
  </si>
  <si>
    <t>попросил</t>
  </si>
  <si>
    <t>написать</t>
  </si>
  <si>
    <t>статью</t>
  </si>
  <si>
    <t>культуре</t>
  </si>
  <si>
    <t>глухих</t>
  </si>
  <si>
    <t>людей</t>
  </si>
  <si>
    <t># text = Я был застигнут врасплох.</t>
  </si>
  <si>
    <t>застигнут</t>
  </si>
  <si>
    <t>врасплох</t>
  </si>
  <si>
    <t># text = Я рассматривал глухоту как заболевание.</t>
  </si>
  <si>
    <t>рассматривал</t>
  </si>
  <si>
    <t>глухоту</t>
  </si>
  <si>
    <t>заболевание</t>
  </si>
  <si>
    <t># text = Несчастные люди, они не слышат.</t>
  </si>
  <si>
    <t>Несчастные</t>
  </si>
  <si>
    <t>люди</t>
  </si>
  <si>
    <t>они</t>
  </si>
  <si>
    <t>слышат</t>
  </si>
  <si>
    <t># text = Они глухи, что мы можем с этим поделать?</t>
  </si>
  <si>
    <t>Они</t>
  </si>
  <si>
    <t>глухи</t>
  </si>
  <si>
    <t>можем</t>
  </si>
  <si>
    <t>этим</t>
  </si>
  <si>
    <t>поделать</t>
  </si>
  <si>
    <t># text = А затем я познакомился с миром глухих.</t>
  </si>
  <si>
    <t>затем</t>
  </si>
  <si>
    <t>познакомился</t>
  </si>
  <si>
    <t>миром</t>
  </si>
  <si>
    <t># text = Я ходил в клубы для глухих.</t>
  </si>
  <si>
    <t>ходил</t>
  </si>
  <si>
    <t>клубы</t>
  </si>
  <si>
    <t>для</t>
  </si>
  <si>
    <t># text = Я видел представления в театре для глухих и узнал о поэзии глухих.</t>
  </si>
  <si>
    <t>видел</t>
  </si>
  <si>
    <t>представления</t>
  </si>
  <si>
    <t>театре</t>
  </si>
  <si>
    <t>узнал</t>
  </si>
  <si>
    <t>поэзии</t>
  </si>
  <si>
    <t># text = Я даже посетил конкурс красоты среди глухих в Нэшвилле, штат Теннесси, где, как говорят, язык жестов загрязнён южным «акцентом».</t>
  </si>
  <si>
    <t>даже</t>
  </si>
  <si>
    <t>посетил</t>
  </si>
  <si>
    <t>конкурс</t>
  </si>
  <si>
    <t>красоты</t>
  </si>
  <si>
    <t>среди</t>
  </si>
  <si>
    <t>Нэшвилле</t>
  </si>
  <si>
    <t>штат</t>
  </si>
  <si>
    <t>Теннесси</t>
  </si>
  <si>
    <t>где</t>
  </si>
  <si>
    <t>говорят</t>
  </si>
  <si>
    <t>язык</t>
  </si>
  <si>
    <t>жестов</t>
  </si>
  <si>
    <t>загрязнён</t>
  </si>
  <si>
    <t>южным</t>
  </si>
  <si>
    <t>«акцентом»</t>
  </si>
  <si>
    <t># text = Знакомясь с миром глухих всё ближе, я уверился в том, что глухота — это культура, что люди, принадлежащие этому миру, и говорящие: «У нас нет проблем со слухом, мы принадлежим культуре» говорят правду.</t>
  </si>
  <si>
    <t>Знакомясь</t>
  </si>
  <si>
    <t>ближе</t>
  </si>
  <si>
    <t>уверился</t>
  </si>
  <si>
    <t>глухота</t>
  </si>
  <si>
    <t>культура</t>
  </si>
  <si>
    <t>принадлежащие</t>
  </si>
  <si>
    <t>этому</t>
  </si>
  <si>
    <t>миру</t>
  </si>
  <si>
    <t>OBJ_6</t>
  </si>
  <si>
    <t>def-np.dem</t>
  </si>
  <si>
    <t>говорящие</t>
  </si>
  <si>
    <t>«У</t>
  </si>
  <si>
    <t>OBJ_8</t>
  </si>
  <si>
    <t>SBJ_8</t>
  </si>
  <si>
    <t>нет</t>
  </si>
  <si>
    <t>проблем</t>
  </si>
  <si>
    <t>со</t>
  </si>
  <si>
    <t>слухом</t>
  </si>
  <si>
    <t>SBJ_9</t>
  </si>
  <si>
    <t>принадлежим</t>
  </si>
  <si>
    <t>культуре»</t>
  </si>
  <si>
    <t>правду</t>
  </si>
  <si>
    <t># text = Это была не моя культура, и я вовсе не спешил присоединиться к ней, но ценил её именно как культуру людей, принадлежавших ей.</t>
  </si>
  <si>
    <t>была</t>
  </si>
  <si>
    <t>вовсе</t>
  </si>
  <si>
    <t>спешил</t>
  </si>
  <si>
    <t>присоединиться</t>
  </si>
  <si>
    <t>ней</t>
  </si>
  <si>
    <t>но</t>
  </si>
  <si>
    <t>ценил</t>
  </si>
  <si>
    <t>её</t>
  </si>
  <si>
    <t>именно</t>
  </si>
  <si>
    <t>культуру</t>
  </si>
  <si>
    <t>принадлежавших</t>
  </si>
  <si>
    <t>ей</t>
  </si>
  <si>
    <t>OBJ_5</t>
  </si>
  <si>
    <t># text = Я ощущал её такой же значимой, как латино-американская культура, еврейская или культура гей-сообщества.</t>
  </si>
  <si>
    <t>ощущал</t>
  </si>
  <si>
    <t>такой</t>
  </si>
  <si>
    <t>же</t>
  </si>
  <si>
    <t>значимой</t>
  </si>
  <si>
    <t>латино</t>
  </si>
  <si>
    <t>американская</t>
  </si>
  <si>
    <t>еврейская</t>
  </si>
  <si>
    <t>или</t>
  </si>
  <si>
    <t>-сообщества</t>
  </si>
  <si>
    <t># text = Возможно, она важна не менее, чем вся американская культура.</t>
  </si>
  <si>
    <t>Возможно</t>
  </si>
  <si>
    <t>важна</t>
  </si>
  <si>
    <t>менее</t>
  </si>
  <si>
    <t>чем</t>
  </si>
  <si>
    <t>вся</t>
  </si>
  <si>
    <t># text = Дочь одной моей знакомой была карликом.</t>
  </si>
  <si>
    <t>Дочь</t>
  </si>
  <si>
    <t>одной</t>
  </si>
  <si>
    <t>знакомой</t>
  </si>
  <si>
    <t>карликом</t>
  </si>
  <si>
    <t># text = Когда девочка родилась, моя знакомая задалась вопросом, который сейчас начинает волновать и меня.</t>
  </si>
  <si>
    <t>девочка</t>
  </si>
  <si>
    <t>родилась</t>
  </si>
  <si>
    <t>знакомая</t>
  </si>
  <si>
    <t>задалась</t>
  </si>
  <si>
    <t>вопросом</t>
  </si>
  <si>
    <t>который</t>
  </si>
  <si>
    <t>сейчас</t>
  </si>
  <si>
    <t>начинает</t>
  </si>
  <si>
    <t>волновать</t>
  </si>
  <si>
    <t># text = Она размышляла о том, что сказать ребёнку.</t>
  </si>
  <si>
    <t>Она</t>
  </si>
  <si>
    <t>размышляла</t>
  </si>
  <si>
    <t>OBJ_3</t>
  </si>
  <si>
    <t># text = Сказать: «Ты такая же, как все, но немного ниже ростом»?</t>
  </si>
  <si>
    <t>Сказать</t>
  </si>
  <si>
    <t>«Ты</t>
  </si>
  <si>
    <t>такая</t>
  </si>
  <si>
    <t>все</t>
  </si>
  <si>
    <t>немного</t>
  </si>
  <si>
    <t>ниже</t>
  </si>
  <si>
    <t>ростом»</t>
  </si>
  <si>
    <t># text = Или ей следовало воспитать в дочери особую индивидуальность, вступить в организацию «Маленькие люди Америки», начать интересоваться всем, что происходит в мире карликов?</t>
  </si>
  <si>
    <t>Или</t>
  </si>
  <si>
    <t>следовало</t>
  </si>
  <si>
    <t>воспитать</t>
  </si>
  <si>
    <t>дочери</t>
  </si>
  <si>
    <t>особую</t>
  </si>
  <si>
    <t>индивидуальность</t>
  </si>
  <si>
    <t>вступить</t>
  </si>
  <si>
    <t>организацию</t>
  </si>
  <si>
    <t>«Маленькие</t>
  </si>
  <si>
    <t>Америки»</t>
  </si>
  <si>
    <t>начать</t>
  </si>
  <si>
    <t>интересоваться</t>
  </si>
  <si>
    <t>всем</t>
  </si>
  <si>
    <t>SBJ_6</t>
  </si>
  <si>
    <t>происходит</t>
  </si>
  <si>
    <t>карликов</t>
  </si>
  <si>
    <t># text = И мне пришло в голову, что большинство глухих детей рождается у слышащих родителей.</t>
  </si>
  <si>
    <t>пришло</t>
  </si>
  <si>
    <t>голову</t>
  </si>
  <si>
    <t>большинство</t>
  </si>
  <si>
    <t>детей</t>
  </si>
  <si>
    <t>рождается</t>
  </si>
  <si>
    <t>слышащих</t>
  </si>
  <si>
    <t>родителей</t>
  </si>
  <si>
    <t># text = И родители стараются вылечить их.</t>
  </si>
  <si>
    <t>родители</t>
  </si>
  <si>
    <t>стараются</t>
  </si>
  <si>
    <t>вылечить</t>
  </si>
  <si>
    <t>их</t>
  </si>
  <si>
    <t># text = Только к подростковому возрасту глухие люди находят сообщества себе подобных.</t>
  </si>
  <si>
    <t>Только</t>
  </si>
  <si>
    <t>подростковому</t>
  </si>
  <si>
    <t>возрасту</t>
  </si>
  <si>
    <t>глухие</t>
  </si>
  <si>
    <t>находят</t>
  </si>
  <si>
    <t>сообщества</t>
  </si>
  <si>
    <t>себе</t>
  </si>
  <si>
    <t>подобных</t>
  </si>
  <si>
    <t># text = Большинство геев рождены в семьях родителей-натуралов.</t>
  </si>
  <si>
    <t>Большинство</t>
  </si>
  <si>
    <t>геев</t>
  </si>
  <si>
    <t>рождены</t>
  </si>
  <si>
    <t>семьях</t>
  </si>
  <si>
    <t>натуралов</t>
  </si>
  <si>
    <t># text = Эти родители хотят, чтобы их дети не отличались от остального большинства людей, из-за чего геи позже осознают свою индивидуальность.</t>
  </si>
  <si>
    <t>Эти</t>
  </si>
  <si>
    <t>хотят</t>
  </si>
  <si>
    <t>чтобы</t>
  </si>
  <si>
    <t>дети</t>
  </si>
  <si>
    <t>отличались</t>
  </si>
  <si>
    <t>остального</t>
  </si>
  <si>
    <t>большинства</t>
  </si>
  <si>
    <t>из-за</t>
  </si>
  <si>
    <t>чего</t>
  </si>
  <si>
    <t>геи</t>
  </si>
  <si>
    <t>позже</t>
  </si>
  <si>
    <t>осознают</t>
  </si>
  <si>
    <t>свою</t>
  </si>
  <si>
    <t># text = И вот, моя знакомая, размышляла об особенностях своей дочери.</t>
  </si>
  <si>
    <t>вот</t>
  </si>
  <si>
    <t>об</t>
  </si>
  <si>
    <t>особенностях</t>
  </si>
  <si>
    <t># text = И я вновь подумал: семья претендует на звание обыкновенной, при том, что их ребёнок необычен.</t>
  </si>
  <si>
    <t>вновь</t>
  </si>
  <si>
    <t>подумал</t>
  </si>
  <si>
    <t>семья</t>
  </si>
  <si>
    <t>претендует</t>
  </si>
  <si>
    <t>звание</t>
  </si>
  <si>
    <t>обыкновенной</t>
  </si>
  <si>
    <t>при</t>
  </si>
  <si>
    <t>ребёнок</t>
  </si>
  <si>
    <t>необычен</t>
  </si>
  <si>
    <t># text = И я пришёл к мысли о том, что есть два типа самоосознания.</t>
  </si>
  <si>
    <t>пришёл</t>
  </si>
  <si>
    <t>мысли</t>
  </si>
  <si>
    <t>два</t>
  </si>
  <si>
    <t>типа</t>
  </si>
  <si>
    <t>самоосознания</t>
  </si>
  <si>
    <t># text = Вертикальный тип, при котором от родителей к детям передаётся этническая принадлежность, национальность, язык, религиозные убеждения.</t>
  </si>
  <si>
    <t>Вертикальный</t>
  </si>
  <si>
    <t>котором</t>
  </si>
  <si>
    <t>детям</t>
  </si>
  <si>
    <t>передаётся</t>
  </si>
  <si>
    <t>этническая</t>
  </si>
  <si>
    <t>принадлежность</t>
  </si>
  <si>
    <t>национальность</t>
  </si>
  <si>
    <t>религиозные</t>
  </si>
  <si>
    <t>убеждения</t>
  </si>
  <si>
    <t># text = То есть то, что является общим для детей и родителей.</t>
  </si>
  <si>
    <t>общим</t>
  </si>
  <si>
    <t># text = Это наследие может быть нелёгкой ношей, но попыток излечить от этого не предпринимается.</t>
  </si>
  <si>
    <t>наследие</t>
  </si>
  <si>
    <t>нелёгкой</t>
  </si>
  <si>
    <t>ношей</t>
  </si>
  <si>
    <t>попыток</t>
  </si>
  <si>
    <t>излечить</t>
  </si>
  <si>
    <t>предпринимается</t>
  </si>
  <si>
    <t># text = Возможно что людям не белой расы в США — несмотря на то, что у нас темнокожий президент — живётся сложнее.</t>
  </si>
  <si>
    <t>людям</t>
  </si>
  <si>
    <t>белой</t>
  </si>
  <si>
    <t>расы</t>
  </si>
  <si>
    <t>несмотря</t>
  </si>
  <si>
    <t>темнокожий</t>
  </si>
  <si>
    <t>президент</t>
  </si>
  <si>
    <t>живётся</t>
  </si>
  <si>
    <t>сложнее</t>
  </si>
  <si>
    <t># text = Но ведь при этом, никто не берётся утверждать, что следующее поколение афроамериканских и азиатских детей будет иметь светлую кожу и волосы.</t>
  </si>
  <si>
    <t>этом</t>
  </si>
  <si>
    <t>никто</t>
  </si>
  <si>
    <t>pron.pind</t>
  </si>
  <si>
    <t>берётся</t>
  </si>
  <si>
    <t>утверждать</t>
  </si>
  <si>
    <t>следующее</t>
  </si>
  <si>
    <t>поколение</t>
  </si>
  <si>
    <t>афроамериканских</t>
  </si>
  <si>
    <t>азиатских</t>
  </si>
  <si>
    <t>будет</t>
  </si>
  <si>
    <t>светлую</t>
  </si>
  <si>
    <t>кожу</t>
  </si>
  <si>
    <t>волосы</t>
  </si>
  <si>
    <t># text = Но есть такой тип самоосознания, который происходит благодаря равным тебе людям.</t>
  </si>
  <si>
    <t>благодаря</t>
  </si>
  <si>
    <t>равным</t>
  </si>
  <si>
    <t>тебе</t>
  </si>
  <si>
    <t># text = Я называю такой тип горизонтальным самоосознанием, так как этот опыт мы получаем от равных нам людей.</t>
  </si>
  <si>
    <t>называю</t>
  </si>
  <si>
    <t>горизонтальным</t>
  </si>
  <si>
    <t>самоосознанием</t>
  </si>
  <si>
    <t>этот</t>
  </si>
  <si>
    <t>опыт</t>
  </si>
  <si>
    <t>получаем</t>
  </si>
  <si>
    <t>равных</t>
  </si>
  <si>
    <t>нам</t>
  </si>
  <si>
    <t># text = Эти элементы чужды нашим родителям, мы обзаводимся ими, замечая их у наших сверстников.</t>
  </si>
  <si>
    <t>элементы</t>
  </si>
  <si>
    <t>чужды</t>
  </si>
  <si>
    <t>нашим</t>
  </si>
  <si>
    <t>родителям</t>
  </si>
  <si>
    <t>обзаводимся</t>
  </si>
  <si>
    <t>ими</t>
  </si>
  <si>
    <t>замечая</t>
  </si>
  <si>
    <t>наших</t>
  </si>
  <si>
    <t>сверстников</t>
  </si>
  <si>
    <t># text = И эти отличительные особенности горизонтального типа люди обычно стараются излечить.</t>
  </si>
  <si>
    <t>эти</t>
  </si>
  <si>
    <t>отличительные</t>
  </si>
  <si>
    <t>особенности</t>
  </si>
  <si>
    <t>горизонтального</t>
  </si>
  <si>
    <t>обычно</t>
  </si>
  <si>
    <t># text = И я хотел ознакомиться с процессом того, как люди, обретая эти особенности, устанавливают крепкие взаимоотношения друг с другом.</t>
  </si>
  <si>
    <t>хотел</t>
  </si>
  <si>
    <t>ознакомиться</t>
  </si>
  <si>
    <t>процессом</t>
  </si>
  <si>
    <t>обретая</t>
  </si>
  <si>
    <t>устанавливают</t>
  </si>
  <si>
    <t>крепкие</t>
  </si>
  <si>
    <t>взаимоотношения</t>
  </si>
  <si>
    <t>друг</t>
  </si>
  <si>
    <t>другом</t>
  </si>
  <si>
    <t># text = Я выделил три уровня восприятия через которые необходимо пройти.</t>
  </si>
  <si>
    <t>выделил</t>
  </si>
  <si>
    <t>уровня</t>
  </si>
  <si>
    <t>восприятия</t>
  </si>
  <si>
    <t>через</t>
  </si>
  <si>
    <t>которые</t>
  </si>
  <si>
    <t>необходимо</t>
  </si>
  <si>
    <t>пройти</t>
  </si>
  <si>
    <t># text = Самовосприятие, принятие своей семьёй и принятие обществом.</t>
  </si>
  <si>
    <t>принятие</t>
  </si>
  <si>
    <t>семьёй</t>
  </si>
  <si>
    <t>обществом</t>
  </si>
  <si>
    <t># text = И они не всегда проходят одновременно.</t>
  </si>
  <si>
    <t>всегда</t>
  </si>
  <si>
    <t>проходят</t>
  </si>
  <si>
    <t>одновременно</t>
  </si>
  <si>
    <t># text = Очень часто, людей в таких ситуациях посещает злость, им кажется, что родители их не любят, в то время как родители просто их не принимают.</t>
  </si>
  <si>
    <t>Очень</t>
  </si>
  <si>
    <t>часто</t>
  </si>
  <si>
    <t>таких</t>
  </si>
  <si>
    <t>ситуациях</t>
  </si>
  <si>
    <t>посещает</t>
  </si>
  <si>
    <t>злость</t>
  </si>
  <si>
    <t>им</t>
  </si>
  <si>
    <t>кажется</t>
  </si>
  <si>
    <t>любят</t>
  </si>
  <si>
    <t>время</t>
  </si>
  <si>
    <t>просто</t>
  </si>
  <si>
    <t>принимают</t>
  </si>
  <si>
    <t># text = В идеале, любовь между родителями и детьми существует вне зависимости от каких-либо условий.</t>
  </si>
  <si>
    <t>В</t>
  </si>
  <si>
    <t>идеале</t>
  </si>
  <si>
    <t>любовь</t>
  </si>
  <si>
    <t>между</t>
  </si>
  <si>
    <t>родителями</t>
  </si>
  <si>
    <t>детьми</t>
  </si>
  <si>
    <t>существует</t>
  </si>
  <si>
    <t>вне</t>
  </si>
  <si>
    <t>зависимости</t>
  </si>
  <si>
    <t>каких-либо</t>
  </si>
  <si>
    <t>условий</t>
  </si>
  <si>
    <t>indef-np</t>
  </si>
  <si>
    <t># text = Но принятие иногда требует времени.</t>
  </si>
  <si>
    <t>иногда</t>
  </si>
  <si>
    <t>требует</t>
  </si>
  <si>
    <t>времени</t>
  </si>
  <si>
    <t># text = Всегда требует времени.</t>
  </si>
  <si>
    <t>Всегда</t>
  </si>
  <si>
    <t># text = Один из карликов, которых я знал, был парень по имени Клинтон Браун.</t>
  </si>
  <si>
    <t>Один</t>
  </si>
  <si>
    <t>которых</t>
  </si>
  <si>
    <t>знал</t>
  </si>
  <si>
    <t>парень</t>
  </si>
  <si>
    <t>имени</t>
  </si>
  <si>
    <t>Клинтон</t>
  </si>
  <si>
    <t>Браун</t>
  </si>
  <si>
    <t># text = При рождении ему был поставлен диагноз диастрофическая дисплазия — тяжёлая инвалидность.</t>
  </si>
  <si>
    <t>При</t>
  </si>
  <si>
    <t>рождении</t>
  </si>
  <si>
    <t>ему</t>
  </si>
  <si>
    <t>поставлен</t>
  </si>
  <si>
    <t>диагноз</t>
  </si>
  <si>
    <t>диастрофическая</t>
  </si>
  <si>
    <t>дисплазия</t>
  </si>
  <si>
    <t>тяжёлая</t>
  </si>
  <si>
    <t>инвалидность</t>
  </si>
  <si>
    <t># text = Его родителям сказали, что сын никогда не сможет ходить и говорить, будет интеллектуально ограниченным, и возможно даже не будет их узнавать.</t>
  </si>
  <si>
    <t>Его</t>
  </si>
  <si>
    <t>сказали</t>
  </si>
  <si>
    <t>сын</t>
  </si>
  <si>
    <t>никогда</t>
  </si>
  <si>
    <t>сможет</t>
  </si>
  <si>
    <t>интеллектуально</t>
  </si>
  <si>
    <t>ограниченным</t>
  </si>
  <si>
    <t>возможно</t>
  </si>
  <si>
    <t>узнавать</t>
  </si>
  <si>
    <t># text = Им предложили оставить ребёнка в больнице, чтобы он мог спокойно умереть.</t>
  </si>
  <si>
    <t>Им</t>
  </si>
  <si>
    <t>предложили</t>
  </si>
  <si>
    <t>оставить</t>
  </si>
  <si>
    <t>ребёнка</t>
  </si>
  <si>
    <t>больнице</t>
  </si>
  <si>
    <t>мог</t>
  </si>
  <si>
    <t>спокойно</t>
  </si>
  <si>
    <t># text = Но его мать отказалась от этого.</t>
  </si>
  <si>
    <t>отказалась</t>
  </si>
  <si>
    <t># text = Она забрала сына домой.</t>
  </si>
  <si>
    <t>забрала</t>
  </si>
  <si>
    <t>сына</t>
  </si>
  <si>
    <t>домой</t>
  </si>
  <si>
    <t># text = Да, она не была достаточно образованной и не имела больших финансовых возможностей, но она нашла лучшего специалиста по лечению диастрофической дисплазии и начала лечить Клинтона у него.</t>
  </si>
  <si>
    <t>Да</t>
  </si>
  <si>
    <t>достаточно</t>
  </si>
  <si>
    <t>образованной</t>
  </si>
  <si>
    <t>имела</t>
  </si>
  <si>
    <t>больших</t>
  </si>
  <si>
    <t>финансовых</t>
  </si>
  <si>
    <t>возможностей</t>
  </si>
  <si>
    <t>нашла</t>
  </si>
  <si>
    <t>лучшего</t>
  </si>
  <si>
    <t>специалиста</t>
  </si>
  <si>
    <t>лечению</t>
  </si>
  <si>
    <t>диастрофической</t>
  </si>
  <si>
    <t>дисплазии</t>
  </si>
  <si>
    <t>начала</t>
  </si>
  <si>
    <t>лечить</t>
  </si>
  <si>
    <t>Клинтона</t>
  </si>
  <si>
    <t>него</t>
  </si>
  <si>
    <t># text = Ещё будучи ребёнком, он перенёс 30 крупных операций.</t>
  </si>
  <si>
    <t>Ещё</t>
  </si>
  <si>
    <t>перенёс</t>
  </si>
  <si>
    <t>крупных</t>
  </si>
  <si>
    <t>операций</t>
  </si>
  <si>
    <t># text = Всё это время, пока ему делали операции, он не покидал стен больницы и как результат — он может ходить.</t>
  </si>
  <si>
    <t>Всё</t>
  </si>
  <si>
    <t>делали</t>
  </si>
  <si>
    <t>операции</t>
  </si>
  <si>
    <t>покидал</t>
  </si>
  <si>
    <t>стен</t>
  </si>
  <si>
    <t>больницы</t>
  </si>
  <si>
    <t>результат</t>
  </si>
  <si>
    <t># text = В больнице его посещали репетиторы, чтобы помогать с учёбой.</t>
  </si>
  <si>
    <t>посещали</t>
  </si>
  <si>
    <t>репетиторы</t>
  </si>
  <si>
    <t>помогать</t>
  </si>
  <si>
    <t>учёбой</t>
  </si>
  <si>
    <t># text = Он учился прилежно, ведь ему больше нечем было заняться.</t>
  </si>
  <si>
    <t>Он</t>
  </si>
  <si>
    <t>учился</t>
  </si>
  <si>
    <t>прилежно</t>
  </si>
  <si>
    <t>больше</t>
  </si>
  <si>
    <t>нечем</t>
  </si>
  <si>
    <t>заняться</t>
  </si>
  <si>
    <t># text = В итоге он достиг того, чего не удавалось достичь ещё никому из его семьи.</t>
  </si>
  <si>
    <t>итоге</t>
  </si>
  <si>
    <t>достиг</t>
  </si>
  <si>
    <t>удавалось</t>
  </si>
  <si>
    <t>ещё</t>
  </si>
  <si>
    <t>никому</t>
  </si>
  <si>
    <t>семьи</t>
  </si>
  <si>
    <t># text = Он был первым в семье, кто поступил в колледж, где он жил в кампусе и водил автомобиль, специально сконструированный для его необычного тела.</t>
  </si>
  <si>
    <t>первым</t>
  </si>
  <si>
    <t>семье</t>
  </si>
  <si>
    <t>кто</t>
  </si>
  <si>
    <t>поступил</t>
  </si>
  <si>
    <t>колледж</t>
  </si>
  <si>
    <t>жил</t>
  </si>
  <si>
    <t>кампусе</t>
  </si>
  <si>
    <t>водил</t>
  </si>
  <si>
    <t>автомобиль</t>
  </si>
  <si>
    <t>специально</t>
  </si>
  <si>
    <t>сконструированный</t>
  </si>
  <si>
    <t>other_8</t>
  </si>
  <si>
    <t>необычного</t>
  </si>
  <si>
    <t>тела</t>
  </si>
  <si>
    <t>other_7</t>
  </si>
  <si>
    <t># text = Однажды его мать рассказала историю, о том, как шла домой, в то время как сын был в колледже неподалёку.</t>
  </si>
  <si>
    <t>Однажды</t>
  </si>
  <si>
    <t>рассказала</t>
  </si>
  <si>
    <t>историю</t>
  </si>
  <si>
    <t>шла</t>
  </si>
  <si>
    <t>колледже</t>
  </si>
  <si>
    <t>неподалёку</t>
  </si>
  <si>
    <t># text = Она сказала: «Я увидела машину, которую трудно не заметить на парковке у бара».</t>
  </si>
  <si>
    <t>увидела</t>
  </si>
  <si>
    <t>машину</t>
  </si>
  <si>
    <t>которую</t>
  </si>
  <si>
    <t>трудно</t>
  </si>
  <si>
    <t>заметить</t>
  </si>
  <si>
    <t>парковке</t>
  </si>
  <si>
    <t>бара»</t>
  </si>
  <si>
    <t># text = (Смех) «Я подумала, рост его друзей — 182 см, а его — 91.</t>
  </si>
  <si>
    <t>подумала</t>
  </si>
  <si>
    <t>рост</t>
  </si>
  <si>
    <t>друзей</t>
  </si>
  <si>
    <t>см</t>
  </si>
  <si>
    <t># text = Две бутылки пива для них — это четыре для него.</t>
  </si>
  <si>
    <t>Две</t>
  </si>
  <si>
    <t>бутылки</t>
  </si>
  <si>
    <t>пива</t>
  </si>
  <si>
    <t>них</t>
  </si>
  <si>
    <t>четыре</t>
  </si>
  <si>
    <t># text = Я знала, что не могу просто пойти и вытащить его оттуда.</t>
  </si>
  <si>
    <t>знала</t>
  </si>
  <si>
    <t>могу</t>
  </si>
  <si>
    <t>вытащить</t>
  </si>
  <si>
    <t>оттуда</t>
  </si>
  <si>
    <t># text = Я пошла домой и отправила ему 8 сообщений на мобильный.</t>
  </si>
  <si>
    <t>пошла</t>
  </si>
  <si>
    <t>отправила</t>
  </si>
  <si>
    <t>сообщений</t>
  </si>
  <si>
    <t>мобильный</t>
  </si>
  <si>
    <t># text = А ведь в тот день, когда он родился, я и подумать не могла, что в будущем мне придётся переживать, что он будет выпивать и кататься на машине с сокурсниками».</t>
  </si>
  <si>
    <t>тот</t>
  </si>
  <si>
    <t>день</t>
  </si>
  <si>
    <t>родился</t>
  </si>
  <si>
    <t>могла</t>
  </si>
  <si>
    <t>будущем</t>
  </si>
  <si>
    <t>придётся</t>
  </si>
  <si>
    <t>переживать</t>
  </si>
  <si>
    <t>выпивать</t>
  </si>
  <si>
    <t>кататься</t>
  </si>
  <si>
    <t>машине</t>
  </si>
  <si>
    <t>сокурсниками»</t>
  </si>
  <si>
    <t># text = Я спросил её: «Как по-твоему, что ты сделала, для того, чтобы он стал таким чудесным, воспитанным, прекрасным человеком?» Она ответила: «Что я сделала?</t>
  </si>
  <si>
    <t>спросил</t>
  </si>
  <si>
    <t>«Как</t>
  </si>
  <si>
    <t>по-твоему</t>
  </si>
  <si>
    <t>сделала</t>
  </si>
  <si>
    <t>стал</t>
  </si>
  <si>
    <t>таким</t>
  </si>
  <si>
    <t>чудесным</t>
  </si>
  <si>
    <t>воспитанным</t>
  </si>
  <si>
    <t>прекрасным</t>
  </si>
  <si>
    <t>человеком</t>
  </si>
  <si>
    <t>»</t>
  </si>
  <si>
    <t>ответила</t>
  </si>
  <si>
    <t>«Что</t>
  </si>
  <si>
    <t>OBJ_7</t>
  </si>
  <si>
    <t># text = Просто любила его.</t>
  </si>
  <si>
    <t>Просто</t>
  </si>
  <si>
    <t>любила</t>
  </si>
  <si>
    <t># text = Клинтон всегда был чудесным, а его отцу и мне просто повезло быть первыми, кто это увидел.</t>
  </si>
  <si>
    <t>отцу</t>
  </si>
  <si>
    <t>повезло</t>
  </si>
  <si>
    <t>первыми</t>
  </si>
  <si>
    <t>увидел</t>
  </si>
  <si>
    <t># text = Я процитирую ещё один журнал 60-х годов.</t>
  </si>
  <si>
    <t>процитирую</t>
  </si>
  <si>
    <t>журнал</t>
  </si>
  <si>
    <t>60-х</t>
  </si>
  <si>
    <t>годов</t>
  </si>
  <si>
    <t># text = 1968-й, статья в «Атлантик Мансли», голосе либеральной Америки, написанная известным специалистом по биоэтике.</t>
  </si>
  <si>
    <t>1968-й</t>
  </si>
  <si>
    <t>«Атлантик</t>
  </si>
  <si>
    <t>Мансли»</t>
  </si>
  <si>
    <t>голосе</t>
  </si>
  <si>
    <t>либеральной</t>
  </si>
  <si>
    <t>Америки</t>
  </si>
  <si>
    <t>написанная</t>
  </si>
  <si>
    <t>известным</t>
  </si>
  <si>
    <t>специалистом</t>
  </si>
  <si>
    <t>биоэтике</t>
  </si>
  <si>
    <t># text = Он говорил: «Нет смысла испытывать чувство вины, избавляясь от ребёнка с синдромом Дауна, вне зависимости от того, отдаёшь ли ты его в дом инвалидов или прощаешься с ним на веки.</t>
  </si>
  <si>
    <t>«Нет</t>
  </si>
  <si>
    <t>смысла</t>
  </si>
  <si>
    <t>испытывать</t>
  </si>
  <si>
    <t>вины</t>
  </si>
  <si>
    <t>избавляясь</t>
  </si>
  <si>
    <t>синдромом</t>
  </si>
  <si>
    <t>Дауна</t>
  </si>
  <si>
    <t>отдаёшь</t>
  </si>
  <si>
    <t>ли</t>
  </si>
  <si>
    <t>дом</t>
  </si>
  <si>
    <t>инвалидов</t>
  </si>
  <si>
    <t>прощаешься</t>
  </si>
  <si>
    <t>ним</t>
  </si>
  <si>
    <t>веки</t>
  </si>
  <si>
    <t># text = Да, это грустно и ужасно.</t>
  </si>
  <si>
    <t>грустно</t>
  </si>
  <si>
    <t>ужасно</t>
  </si>
  <si>
    <t># text = Но тут не должно быть вины.</t>
  </si>
  <si>
    <t>тут</t>
  </si>
  <si>
    <t>должно</t>
  </si>
  <si>
    <t># text = Чувство вины возникает, только если ты действуешь против личности, а люди с синдромом Дауна — не личности».</t>
  </si>
  <si>
    <t>Чувство</t>
  </si>
  <si>
    <t>возникает</t>
  </si>
  <si>
    <t>только</t>
  </si>
  <si>
    <t>действуешь</t>
  </si>
  <si>
    <t>против</t>
  </si>
  <si>
    <t>личности</t>
  </si>
  <si>
    <t>личности»</t>
  </si>
  <si>
    <t># text = Очень многое написано о том, какого невероятного прогресса мы добились в улучшении отношения к геям.</t>
  </si>
  <si>
    <t>многое</t>
  </si>
  <si>
    <t>написано</t>
  </si>
  <si>
    <t>какого</t>
  </si>
  <si>
    <t>невероятного</t>
  </si>
  <si>
    <t>прогресса</t>
  </si>
  <si>
    <t>добились</t>
  </si>
  <si>
    <t>улучшении</t>
  </si>
  <si>
    <t>отношения</t>
  </si>
  <si>
    <t>геям</t>
  </si>
  <si>
    <t># text = Об этом ежедневно кричат все заголовки новостей.</t>
  </si>
  <si>
    <t>Об</t>
  </si>
  <si>
    <t>ежедневно</t>
  </si>
  <si>
    <t>кричат</t>
  </si>
  <si>
    <t>заголовки</t>
  </si>
  <si>
    <t>новостей</t>
  </si>
  <si>
    <t># text = Но мы забыли, как относились к людям с другими отличительными особенностями, как мы относились к инвалидам, какими бесчеловечными мы были.</t>
  </si>
  <si>
    <t>забыли</t>
  </si>
  <si>
    <t>относились</t>
  </si>
  <si>
    <t>другими</t>
  </si>
  <si>
    <t>отличительными</t>
  </si>
  <si>
    <t>особенностями</t>
  </si>
  <si>
    <t>инвалидам</t>
  </si>
  <si>
    <t>какими</t>
  </si>
  <si>
    <t>бесчеловечными</t>
  </si>
  <si>
    <t># text = Но произошедшим переменам, которые можно назвать радикальными, мы не уделяем достаточно внимания.</t>
  </si>
  <si>
    <t>произошедшим</t>
  </si>
  <si>
    <t>переменам</t>
  </si>
  <si>
    <t>назвать</t>
  </si>
  <si>
    <t>радикальными</t>
  </si>
  <si>
    <t>уделяем</t>
  </si>
  <si>
    <t>внимания</t>
  </si>
  <si>
    <t># text = Одна из семей, у которых я брал интервью, — семья Тома и Карен Робардс.</t>
  </si>
  <si>
    <t>Одна</t>
  </si>
  <si>
    <t>семей</t>
  </si>
  <si>
    <t>брал</t>
  </si>
  <si>
    <t>интервью</t>
  </si>
  <si>
    <t>Тома</t>
  </si>
  <si>
    <t>Карен</t>
  </si>
  <si>
    <t>Робардс</t>
  </si>
  <si>
    <t># text = Молодые и успешные жители Нью-Йорка, они были поражены, когда у их первенца обнаружили синдром Дауна.</t>
  </si>
  <si>
    <t>Молодые</t>
  </si>
  <si>
    <t>успешные</t>
  </si>
  <si>
    <t>жители</t>
  </si>
  <si>
    <t>Нью-Йорка</t>
  </si>
  <si>
    <t>поражены</t>
  </si>
  <si>
    <t>первенца</t>
  </si>
  <si>
    <t>обнаружили</t>
  </si>
  <si>
    <t>синдром</t>
  </si>
  <si>
    <t># text = Им показалось, что система образования не даёт их ребёнку того, что они ожидали, и они решили построить небольшой образовательный центр — всего две классные комнаты в доле с несколькими другими родителями — для обучения детей с синдромом Дауна.</t>
  </si>
  <si>
    <t>показалось</t>
  </si>
  <si>
    <t>система</t>
  </si>
  <si>
    <t>образования</t>
  </si>
  <si>
    <t>даёт</t>
  </si>
  <si>
    <t>ожидали</t>
  </si>
  <si>
    <t>решили</t>
  </si>
  <si>
    <t>построить</t>
  </si>
  <si>
    <t>небольшой</t>
  </si>
  <si>
    <t>образовательный</t>
  </si>
  <si>
    <t>центр</t>
  </si>
  <si>
    <t>всего</t>
  </si>
  <si>
    <t>две</t>
  </si>
  <si>
    <t>классные</t>
  </si>
  <si>
    <t>комнаты</t>
  </si>
  <si>
    <t>доле</t>
  </si>
  <si>
    <t>несколькими</t>
  </si>
  <si>
    <t>обучения</t>
  </si>
  <si>
    <t>other_9</t>
  </si>
  <si>
    <t>other_10</t>
  </si>
  <si>
    <t># text = За годы существования центр вырос и получил название «Кук Центр».</t>
  </si>
  <si>
    <t>За</t>
  </si>
  <si>
    <t>годы</t>
  </si>
  <si>
    <t>существования</t>
  </si>
  <si>
    <t>вырос</t>
  </si>
  <si>
    <t>получил</t>
  </si>
  <si>
    <t>название</t>
  </si>
  <si>
    <t>«Кук</t>
  </si>
  <si>
    <t>Центр»</t>
  </si>
  <si>
    <t># text = Сейчас здесь обучаются тысячи детей, имеющих умственные отклонения.</t>
  </si>
  <si>
    <t>Сейчас</t>
  </si>
  <si>
    <t>здесь</t>
  </si>
  <si>
    <t>обучаются</t>
  </si>
  <si>
    <t>тысячи</t>
  </si>
  <si>
    <t>имеющих</t>
  </si>
  <si>
    <t>умственные</t>
  </si>
  <si>
    <t>отклонения</t>
  </si>
  <si>
    <t># text = Со времён той статьи в «Атлантик Мансли» средняя продолжительность жизни людей с синдромом Дауна увеличилась втрое.</t>
  </si>
  <si>
    <t>Со</t>
  </si>
  <si>
    <t>времён</t>
  </si>
  <si>
    <t>той</t>
  </si>
  <si>
    <t>статьи</t>
  </si>
  <si>
    <t>средняя</t>
  </si>
  <si>
    <t>продолжительность</t>
  </si>
  <si>
    <t>увеличилась</t>
  </si>
  <si>
    <t>втрое</t>
  </si>
  <si>
    <t># text = Среди людей с синдромом Дауна можно встретить актёров писателей и тех, кто полностью живёт самостоятельной жизнью.</t>
  </si>
  <si>
    <t>Среди</t>
  </si>
  <si>
    <t>встретить</t>
  </si>
  <si>
    <t>актёров</t>
  </si>
  <si>
    <t>писателей</t>
  </si>
  <si>
    <t>тех</t>
  </si>
  <si>
    <t>полностью</t>
  </si>
  <si>
    <t>живёт</t>
  </si>
  <si>
    <t>самостоятельной</t>
  </si>
  <si>
    <t>жизнью</t>
  </si>
  <si>
    <t># text = Робардсы приложили к этому немало усилий.</t>
  </si>
  <si>
    <t>Робардсы</t>
  </si>
  <si>
    <t>приложили</t>
  </si>
  <si>
    <t>немало</t>
  </si>
  <si>
    <t>усилий</t>
  </si>
  <si>
    <t># text = Я спросил их: «Больно ли вам?</t>
  </si>
  <si>
    <t>«Больно</t>
  </si>
  <si>
    <t>вам</t>
  </si>
  <si>
    <t># text = Хотели бы вы, чтобы у вашего ребёнка не было синдрома Дауна?</t>
  </si>
  <si>
    <t>Хотели</t>
  </si>
  <si>
    <t>бы</t>
  </si>
  <si>
    <t>вы</t>
  </si>
  <si>
    <t>вашего</t>
  </si>
  <si>
    <t>синдрома</t>
  </si>
  <si>
    <t># text = Хотели бы вы никогда не знать об этом заболевании?» И вот, что ответил отец: «Да, мне больно за Дэвида, нашего сына, потому что ему непросто жить в этом мире.</t>
  </si>
  <si>
    <t>заболевании</t>
  </si>
  <si>
    <t>ответил</t>
  </si>
  <si>
    <t>«Да</t>
  </si>
  <si>
    <t>больно</t>
  </si>
  <si>
    <t>за</t>
  </si>
  <si>
    <t>Дэвида</t>
  </si>
  <si>
    <t>нашего</t>
  </si>
  <si>
    <t>потому</t>
  </si>
  <si>
    <t>непросто</t>
  </si>
  <si>
    <t># text = Я бы хотел, чтобы его жизнь была легче.</t>
  </si>
  <si>
    <t>жизнь</t>
  </si>
  <si>
    <t>легче</t>
  </si>
  <si>
    <t># text = Но если бы мы потеряли каждого с синдромом Дауна, то это была бы гибельная потеря».</t>
  </si>
  <si>
    <t>потеряли</t>
  </si>
  <si>
    <t>каждого</t>
  </si>
  <si>
    <t>гибельная</t>
  </si>
  <si>
    <t>потеря»</t>
  </si>
  <si>
    <t># text = Карен Робардс добавила: «Я согласна с Томом.</t>
  </si>
  <si>
    <t>добавила</t>
  </si>
  <si>
    <t>согласна</t>
  </si>
  <si>
    <t>Томом</t>
  </si>
  <si>
    <t># text = Я мечтаю о мгновенном излечении для Дэвида, для облегчения его жизни.</t>
  </si>
  <si>
    <t>мечтаю</t>
  </si>
  <si>
    <t>мгновенном</t>
  </si>
  <si>
    <t>излечении</t>
  </si>
  <si>
    <t>облегчения</t>
  </si>
  <si>
    <t># text = Но для себя...</t>
  </si>
  <si>
    <t># text = 23 года назад, когда он родился, я бы и не поверила, что однажды буду размышлять подобным образом.</t>
  </si>
  <si>
    <t>поверила</t>
  </si>
  <si>
    <t>однажды</t>
  </si>
  <si>
    <t>буду</t>
  </si>
  <si>
    <t>подобным</t>
  </si>
  <si>
    <t>образом</t>
  </si>
  <si>
    <t># text = Случившееся сделало меня лучше, добрее и целеустремлённее.</t>
  </si>
  <si>
    <t>Случившееся</t>
  </si>
  <si>
    <t>сделало</t>
  </si>
  <si>
    <t>лучше</t>
  </si>
  <si>
    <t>добрее</t>
  </si>
  <si>
    <t>целеустремлённее</t>
  </si>
  <si>
    <t># text = Говоря о себе, я бы не променяла произошедшее ни на что другое».</t>
  </si>
  <si>
    <t>Говоря</t>
  </si>
  <si>
    <t>променяла</t>
  </si>
  <si>
    <t>произошедшее</t>
  </si>
  <si>
    <t>другое»</t>
  </si>
  <si>
    <t># text = Мы живём во времена, когда отношение к необычным людям постоянно улучшается.</t>
  </si>
  <si>
    <t>Мы</t>
  </si>
  <si>
    <t>живём</t>
  </si>
  <si>
    <t>времена</t>
  </si>
  <si>
    <t>отношение</t>
  </si>
  <si>
    <t>необычным</t>
  </si>
  <si>
    <t>постоянно</t>
  </si>
  <si>
    <t>улучшается</t>
  </si>
  <si>
    <t># text = Но так же, мы живём во времена, когда наши способности к устранению человеческих особенностей возросли как никогда ранее.</t>
  </si>
  <si>
    <t>наши</t>
  </si>
  <si>
    <t>способности</t>
  </si>
  <si>
    <t>устранению</t>
  </si>
  <si>
    <t>человеческих</t>
  </si>
  <si>
    <t>особенностей</t>
  </si>
  <si>
    <t>возросли</t>
  </si>
  <si>
    <t>ранее</t>
  </si>
  <si>
    <t># text = Большинству глухих детей, рождающихся в США, теперь устанавливают кохлеарные имплантаты.</t>
  </si>
  <si>
    <t>Большинству</t>
  </si>
  <si>
    <t>рождающихся</t>
  </si>
  <si>
    <t>теперь</t>
  </si>
  <si>
    <t>кохлеарные</t>
  </si>
  <si>
    <t>имплантаты</t>
  </si>
  <si>
    <t># text = Его устанавливают в височной доле мозга и соединяют с внешним микрофоном, что позволяет им обрести некое подобие слуха и дар речи.</t>
  </si>
  <si>
    <t>височной</t>
  </si>
  <si>
    <t>мозга</t>
  </si>
  <si>
    <t>соединяют</t>
  </si>
  <si>
    <t>внешним</t>
  </si>
  <si>
    <t>микрофоном</t>
  </si>
  <si>
    <t>позволяет</t>
  </si>
  <si>
    <t>обрести</t>
  </si>
  <si>
    <t>некое</t>
  </si>
  <si>
    <t>подобие</t>
  </si>
  <si>
    <t>слуха</t>
  </si>
  <si>
    <t>дар</t>
  </si>
  <si>
    <t>речи</t>
  </si>
  <si>
    <t># text = Соединение BMN-111, протестированное на мышах, блокирует ген вызывающий ахондроплазию.</t>
  </si>
  <si>
    <t>Соединение</t>
  </si>
  <si>
    <t>BMN</t>
  </si>
  <si>
    <t>протестированное</t>
  </si>
  <si>
    <t>мышах</t>
  </si>
  <si>
    <t>блокирует</t>
  </si>
  <si>
    <t>ген</t>
  </si>
  <si>
    <t>вызывающий</t>
  </si>
  <si>
    <t>ахондроплазию</t>
  </si>
  <si>
    <t># text = Ахондроплазия — наиболее распространённая форма карликовости.</t>
  </si>
  <si>
    <t>наиболее</t>
  </si>
  <si>
    <t>распространённая</t>
  </si>
  <si>
    <t>форма</t>
  </si>
  <si>
    <t>карликовости</t>
  </si>
  <si>
    <t># text = Мыши, имевшие ген этого заболевания, и получившие препарат, выросли до своего полного размера.</t>
  </si>
  <si>
    <t>Мыши</t>
  </si>
  <si>
    <t>имевшие</t>
  </si>
  <si>
    <t>заболевания</t>
  </si>
  <si>
    <t>получившие</t>
  </si>
  <si>
    <t>препарат</t>
  </si>
  <si>
    <t>выросли</t>
  </si>
  <si>
    <t>до</t>
  </si>
  <si>
    <t>своего</t>
  </si>
  <si>
    <t>полного</t>
  </si>
  <si>
    <t>размера</t>
  </si>
  <si>
    <t># text = Вскоре начнётся тестирование на людях.</t>
  </si>
  <si>
    <t>Вскоре</t>
  </si>
  <si>
    <t>начнётся</t>
  </si>
  <si>
    <t>тестирование</t>
  </si>
  <si>
    <t>людях</t>
  </si>
  <si>
    <t># text = Появляются такие виды тестов крови, которые позволяют выявить у эмбриона синдром Дауна на более ранних сроках беременности и с большей точностью.</t>
  </si>
  <si>
    <t>Появляются</t>
  </si>
  <si>
    <t>такие</t>
  </si>
  <si>
    <t>виды</t>
  </si>
  <si>
    <t>тестов</t>
  </si>
  <si>
    <t>крови</t>
  </si>
  <si>
    <t>позволяют</t>
  </si>
  <si>
    <t>выявить</t>
  </si>
  <si>
    <t>эмбриона</t>
  </si>
  <si>
    <t>более</t>
  </si>
  <si>
    <t>ранних</t>
  </si>
  <si>
    <t>сроках</t>
  </si>
  <si>
    <t>беременности</t>
  </si>
  <si>
    <t>большей</t>
  </si>
  <si>
    <t>точностью</t>
  </si>
  <si>
    <t># text = Это даст возможность своевременно прервать такую беременность.</t>
  </si>
  <si>
    <t>даст</t>
  </si>
  <si>
    <t>возможность</t>
  </si>
  <si>
    <t>своевременно</t>
  </si>
  <si>
    <t>прервать</t>
  </si>
  <si>
    <t>такую</t>
  </si>
  <si>
    <t>беременность</t>
  </si>
  <si>
    <t># text = Таким образом, мы наблюдаем развитие общества и развитие медицины.</t>
  </si>
  <si>
    <t>Таким</t>
  </si>
  <si>
    <t>наблюдаем</t>
  </si>
  <si>
    <t>развитие</t>
  </si>
  <si>
    <t>общества</t>
  </si>
  <si>
    <t>медицины</t>
  </si>
  <si>
    <t># text = Я верю и в то и в другое.</t>
  </si>
  <si>
    <t>верю</t>
  </si>
  <si>
    <t># text = Я считаю, что социальное развитие — потрясающий, значительный, великолепный процесс и думаю то же самое о медицинском развитии.</t>
  </si>
  <si>
    <t>считаю</t>
  </si>
  <si>
    <t>социальное</t>
  </si>
  <si>
    <t>потрясающий</t>
  </si>
  <si>
    <t>значительный</t>
  </si>
  <si>
    <t>великолепный</t>
  </si>
  <si>
    <t>процесс</t>
  </si>
  <si>
    <t>думаю</t>
  </si>
  <si>
    <t>самое</t>
  </si>
  <si>
    <t>медицинском</t>
  </si>
  <si>
    <t>развитии</t>
  </si>
  <si>
    <t># text = Но так же считаю трагедией, что эти процессы не находят точек соприкосновения.</t>
  </si>
  <si>
    <t>трагедией</t>
  </si>
  <si>
    <t>процессы</t>
  </si>
  <si>
    <t>точек</t>
  </si>
  <si>
    <t>соприкосновения</t>
  </si>
  <si>
    <t># text = Когда я всё же вижу то, каким образом они пересекаются, например, в ситуации, которую я только что описал, это похоже на сцену из оперной постановки, когда герой понимает, что влюблён в героиню, которая в этот момент испускает дух, лёжа на тахте.</t>
  </si>
  <si>
    <t>вижу</t>
  </si>
  <si>
    <t>каким</t>
  </si>
  <si>
    <t>пересекаются</t>
  </si>
  <si>
    <t>например</t>
  </si>
  <si>
    <t>ситуации</t>
  </si>
  <si>
    <t>описал</t>
  </si>
  <si>
    <t>похоже</t>
  </si>
  <si>
    <t>сцену</t>
  </si>
  <si>
    <t>оперной</t>
  </si>
  <si>
    <t>постановки</t>
  </si>
  <si>
    <t>герой</t>
  </si>
  <si>
    <t>понимает</t>
  </si>
  <si>
    <t>влюблён</t>
  </si>
  <si>
    <t>героиню</t>
  </si>
  <si>
    <t>которая</t>
  </si>
  <si>
    <t>момент</t>
  </si>
  <si>
    <t>испускает</t>
  </si>
  <si>
    <t>дух</t>
  </si>
  <si>
    <t>лёжа</t>
  </si>
  <si>
    <t>тахте</t>
  </si>
  <si>
    <t># text = Мы должны задуматься о нашем отношении к излечению.</t>
  </si>
  <si>
    <t>должны</t>
  </si>
  <si>
    <t>задуматься</t>
  </si>
  <si>
    <t>нашем</t>
  </si>
  <si>
    <t>отношении</t>
  </si>
  <si>
    <t>излечению</t>
  </si>
  <si>
    <t># text = И родители должны ответить на вопросы о том, что они готовы принять в своих детях, а что они хотели бы излечить.</t>
  </si>
  <si>
    <t>ответить</t>
  </si>
  <si>
    <t>вопросы</t>
  </si>
  <si>
    <t>готовы</t>
  </si>
  <si>
    <t>принять</t>
  </si>
  <si>
    <t>своих</t>
  </si>
  <si>
    <t>детях</t>
  </si>
  <si>
    <t>хотели</t>
  </si>
  <si>
    <t># text = Джим Синклер, борец за права людей страдающих аутизмом, сказал: «Когда родители говорят: “Я бы хотел, чтобы у моего ребёнка не было аутизма”, они имеют в виду: “Я бы хотел, чтобы мой ребёнок никогда не был рождён, а у меня был другой, не страдающий аутизмом ребёнок”».</t>
  </si>
  <si>
    <t>Джим</t>
  </si>
  <si>
    <t>Синклер</t>
  </si>
  <si>
    <t>борец</t>
  </si>
  <si>
    <t>права</t>
  </si>
  <si>
    <t>страдающих</t>
  </si>
  <si>
    <t>аутизмом</t>
  </si>
  <si>
    <t>«Когда</t>
  </si>
  <si>
    <t>“Я</t>
  </si>
  <si>
    <t>моего</t>
  </si>
  <si>
    <t>аутизма”</t>
  </si>
  <si>
    <t>имеют</t>
  </si>
  <si>
    <t>виду</t>
  </si>
  <si>
    <t>рождён</t>
  </si>
  <si>
    <t>другой</t>
  </si>
  <si>
    <t>страдающий</t>
  </si>
  <si>
    <t>ребёнок”»</t>
  </si>
  <si>
    <t># text = Вслушайтесь в это.</t>
  </si>
  <si>
    <t>Вслушайтесь</t>
  </si>
  <si>
    <t># text = Это то, что мы слышим, когда вы оплакиваете наше существование.</t>
  </si>
  <si>
    <t>слышим</t>
  </si>
  <si>
    <t>оплакиваете</t>
  </si>
  <si>
    <t>наше</t>
  </si>
  <si>
    <t>существование</t>
  </si>
  <si>
    <t># text = И когда вы молите об излечении, мы понимаем, что вы молите о том, чтобы однажды нас не стало, а наше место в ваших сердцах заняли те, кого вы сможете полюбить».</t>
  </si>
  <si>
    <t>молите</t>
  </si>
  <si>
    <t>понимаем</t>
  </si>
  <si>
    <t>стало</t>
  </si>
  <si>
    <t>место</t>
  </si>
  <si>
    <t>ваших</t>
  </si>
  <si>
    <t>сердцах</t>
  </si>
  <si>
    <t>заняли</t>
  </si>
  <si>
    <t>те</t>
  </si>
  <si>
    <t>кого</t>
  </si>
  <si>
    <t>сможете</t>
  </si>
  <si>
    <t>полюбить»</t>
  </si>
  <si>
    <t># text = Возможно такая точка зрения покажется вам вздорной, но она отражает тот факт, что люди вовлекаются в свою жизнь, и не хотят, чтобы их лечили, пытались изменить или отбраковать.</t>
  </si>
  <si>
    <t>точка</t>
  </si>
  <si>
    <t>зрения</t>
  </si>
  <si>
    <t>покажется</t>
  </si>
  <si>
    <t>вздорной</t>
  </si>
  <si>
    <t>отражает</t>
  </si>
  <si>
    <t>факт</t>
  </si>
  <si>
    <t>вовлекаются</t>
  </si>
  <si>
    <t>лечили</t>
  </si>
  <si>
    <t>пытались</t>
  </si>
  <si>
    <t>изменить</t>
  </si>
  <si>
    <t>отбраковать</t>
  </si>
  <si>
    <t># text = Они хотят быть теми, кем им предначертано быть.</t>
  </si>
  <si>
    <t>теми</t>
  </si>
  <si>
    <t>кем</t>
  </si>
  <si>
    <t>предначертано</t>
  </si>
  <si>
    <t># text = Работая над этим проектом, я встретился с семьёй Дилана Клиболда — одного из организаторов массового убийства в школе «Колумбайн».</t>
  </si>
  <si>
    <t>Работая</t>
  </si>
  <si>
    <t>над</t>
  </si>
  <si>
    <t>проектом</t>
  </si>
  <si>
    <t>встретился</t>
  </si>
  <si>
    <t>Дилана</t>
  </si>
  <si>
    <t>Клиболда</t>
  </si>
  <si>
    <t>одного</t>
  </si>
  <si>
    <t>организаторов</t>
  </si>
  <si>
    <t>массового</t>
  </si>
  <si>
    <t>убийства</t>
  </si>
  <si>
    <t>школе</t>
  </si>
  <si>
    <t>«Колумбайн»</t>
  </si>
  <si>
    <t># text = Я долгое время просил их о встрече, и когда они согласились, они были настолько переполнены эмоциями от произошедшего, что без остановки говорили об этом.</t>
  </si>
  <si>
    <t>долгое</t>
  </si>
  <si>
    <t>просил</t>
  </si>
  <si>
    <t>встрече</t>
  </si>
  <si>
    <t>согласились</t>
  </si>
  <si>
    <t>настолько</t>
  </si>
  <si>
    <t>переполнены</t>
  </si>
  <si>
    <t>эмоциями</t>
  </si>
  <si>
    <t>произошедшего</t>
  </si>
  <si>
    <t>без</t>
  </si>
  <si>
    <t>остановки</t>
  </si>
  <si>
    <t>говорили</t>
  </si>
  <si>
    <t># text = За первую неделю с ними — а таких недель было много — я записал более 20-ти часов наших бесед.</t>
  </si>
  <si>
    <t>первую</t>
  </si>
  <si>
    <t>неделю</t>
  </si>
  <si>
    <t>ними</t>
  </si>
  <si>
    <t>недель</t>
  </si>
  <si>
    <t>много</t>
  </si>
  <si>
    <t>записал</t>
  </si>
  <si>
    <t>часов</t>
  </si>
  <si>
    <t>бесед</t>
  </si>
  <si>
    <t># text = К воскресенью мы были обессилены.</t>
  </si>
  <si>
    <t>К</t>
  </si>
  <si>
    <t>воскресенью</t>
  </si>
  <si>
    <t>обессилены</t>
  </si>
  <si>
    <t># text = Мы сидели на кухне.</t>
  </si>
  <si>
    <t>сидели</t>
  </si>
  <si>
    <t>кухне</t>
  </si>
  <si>
    <t># text = Сью Клиболд готовила ужин.</t>
  </si>
  <si>
    <t>Сью</t>
  </si>
  <si>
    <t>Клиболд</t>
  </si>
  <si>
    <t>готовила</t>
  </si>
  <si>
    <t>ужин</t>
  </si>
  <si>
    <t># text = И я спросил: «Если бы Дилан был сейчас здесь, как думаете, о чём бы вы его спросили?» Его отец ответил: «Я бы спросил, о чём он, чёрт побери, думал».</t>
  </si>
  <si>
    <t>«Если</t>
  </si>
  <si>
    <t>Дилан</t>
  </si>
  <si>
    <t>думаете</t>
  </si>
  <si>
    <t>чём</t>
  </si>
  <si>
    <t>спросили</t>
  </si>
  <si>
    <t>чёрт</t>
  </si>
  <si>
    <t>побери</t>
  </si>
  <si>
    <t>думал»</t>
  </si>
  <si>
    <t># text = Сью опустила взгляд и на минуту задумалась.</t>
  </si>
  <si>
    <t>опустила</t>
  </si>
  <si>
    <t>взгляд</t>
  </si>
  <si>
    <t>минуту</t>
  </si>
  <si>
    <t>задумалась</t>
  </si>
  <si>
    <t># text = Замет она подняла глаза и сказала: «Я бы попросила у него прощения, за то что я, его мать, даже не догадывалась о том, что творилось у него в голове».</t>
  </si>
  <si>
    <t>Замет</t>
  </si>
  <si>
    <t>подняла</t>
  </si>
  <si>
    <t>глаза</t>
  </si>
  <si>
    <t>попросила</t>
  </si>
  <si>
    <t>прощения</t>
  </si>
  <si>
    <t>догадывалась</t>
  </si>
  <si>
    <t>творилось</t>
  </si>
  <si>
    <t>голове»</t>
  </si>
  <si>
    <t># text = Пару лет спустя, за ужином — это был один из многих совместных ужинов — она сказала: «Узнав о случившемся, я пожалела, что когда-то вышла замуж, что завела детей.</t>
  </si>
  <si>
    <t>Пару</t>
  </si>
  <si>
    <t>спустя</t>
  </si>
  <si>
    <t>ужином</t>
  </si>
  <si>
    <t>многих</t>
  </si>
  <si>
    <t>совместных</t>
  </si>
  <si>
    <t>ужинов</t>
  </si>
  <si>
    <t>«Узнав</t>
  </si>
  <si>
    <t>случившемся</t>
  </si>
  <si>
    <t>пожалела</t>
  </si>
  <si>
    <t>когда-то</t>
  </si>
  <si>
    <t>вышла</t>
  </si>
  <si>
    <t>замуж</t>
  </si>
  <si>
    <t>завела</t>
  </si>
  <si>
    <t># text = Если бы я не переехала в Огайо и не встретилась с Томом, то этот ребёнок не был бы рождён, и не случилось бы этой ужасной трагедии.</t>
  </si>
  <si>
    <t>Если</t>
  </si>
  <si>
    <t>переехала</t>
  </si>
  <si>
    <t>Огайо</t>
  </si>
  <si>
    <t>встретилась</t>
  </si>
  <si>
    <t>случилось</t>
  </si>
  <si>
    <t>этой</t>
  </si>
  <si>
    <t>ужасной</t>
  </si>
  <si>
    <t>трагедии</t>
  </si>
  <si>
    <t># text = Но потом я поняла, что так сильно люблю своих детей, что даже не хочу представлять себе жизни без них.</t>
  </si>
  <si>
    <t>потом</t>
  </si>
  <si>
    <t>поняла</t>
  </si>
  <si>
    <t>сильно</t>
  </si>
  <si>
    <t>люблю</t>
  </si>
  <si>
    <t>хочу</t>
  </si>
  <si>
    <t>представлять</t>
  </si>
  <si>
    <t># text = Я вижу боль, которую они причинили людям, и этому нет прощения, но боль, причинённая мне, уже прощена.</t>
  </si>
  <si>
    <t>боль</t>
  </si>
  <si>
    <t>причинили</t>
  </si>
  <si>
    <t>причинённая</t>
  </si>
  <si>
    <t>уже</t>
  </si>
  <si>
    <t>прощена</t>
  </si>
  <si>
    <t># text = Поэтому понимая, что для мира было бы лучше, если бы Дилан не появился на свет, я так же понимаю, что это не было бы лучше для меня».</t>
  </si>
  <si>
    <t>понимая</t>
  </si>
  <si>
    <t>мира</t>
  </si>
  <si>
    <t>появился</t>
  </si>
  <si>
    <t>свет</t>
  </si>
  <si>
    <t>понимаю</t>
  </si>
  <si>
    <t>меня»</t>
  </si>
  <si>
    <t># text = Удивительно то, что все эти родители детей с огромными проблемами, которые хотелось бы избежать любым доступным способом, нашли в пережитом опыте так много смысла.</t>
  </si>
  <si>
    <t>Удивительно</t>
  </si>
  <si>
    <t>огромными</t>
  </si>
  <si>
    <t>проблемами</t>
  </si>
  <si>
    <t>хотелось</t>
  </si>
  <si>
    <t>избежать</t>
  </si>
  <si>
    <t>любым</t>
  </si>
  <si>
    <t>доступным</t>
  </si>
  <si>
    <t>способом</t>
  </si>
  <si>
    <t>нашли</t>
  </si>
  <si>
    <t>пережитом</t>
  </si>
  <si>
    <t>опыте</t>
  </si>
  <si>
    <t># text = Потом я подумал что все мы, у кого есть дети, любим их со всеми недостатками.</t>
  </si>
  <si>
    <t>Потом</t>
  </si>
  <si>
    <t>любим</t>
  </si>
  <si>
    <t>всеми</t>
  </si>
  <si>
    <t>недостатками</t>
  </si>
  <si>
    <t># text = И если некий ангел неожиданно спустился бы прямо в мою гостиную и предложил забрать у меня моего ребёнка, дав в замен другого, — более вежливого, забавного, милого и умного — я бы приник к своему ребёнку, моля, чтобы это ужасное явление исчезло.</t>
  </si>
  <si>
    <t>некий</t>
  </si>
  <si>
    <t>ангел</t>
  </si>
  <si>
    <t>неожиданно</t>
  </si>
  <si>
    <t>спустился</t>
  </si>
  <si>
    <t>прямо</t>
  </si>
  <si>
    <t>мою</t>
  </si>
  <si>
    <t>гостиную</t>
  </si>
  <si>
    <t>предложил</t>
  </si>
  <si>
    <t>забрать</t>
  </si>
  <si>
    <t>дав</t>
  </si>
  <si>
    <t>замен</t>
  </si>
  <si>
    <t>другого</t>
  </si>
  <si>
    <t>вежливого</t>
  </si>
  <si>
    <t>забавного</t>
  </si>
  <si>
    <t>милого</t>
  </si>
  <si>
    <t>умного</t>
  </si>
  <si>
    <t>приник</t>
  </si>
  <si>
    <t>моля</t>
  </si>
  <si>
    <t>ужасное</t>
  </si>
  <si>
    <t>явление</t>
  </si>
  <si>
    <t>исчезло</t>
  </si>
  <si>
    <t># text = И я понимаю, что, точно так же как мы проверяем материал пижам на огнеустойчивость, чтобы быть уверенными, что он не загорится, когда наш малыш возится у плиты так же и истории этих семей, принимающих особенности своих детей, отражают сущность родительского опыта всего человечества, при котором ты иногда смотришь на своего ребёнка и думаешь: «Откуда ты взялся такой?».</t>
  </si>
  <si>
    <t>точно</t>
  </si>
  <si>
    <t>проверяем</t>
  </si>
  <si>
    <t>материал</t>
  </si>
  <si>
    <t>пижам</t>
  </si>
  <si>
    <t>огнеустойчивость</t>
  </si>
  <si>
    <t>уверенными</t>
  </si>
  <si>
    <t>загорится</t>
  </si>
  <si>
    <t>наш</t>
  </si>
  <si>
    <t>малыш</t>
  </si>
  <si>
    <t>возится</t>
  </si>
  <si>
    <t>плиты</t>
  </si>
  <si>
    <t>истории</t>
  </si>
  <si>
    <t>этих</t>
  </si>
  <si>
    <t>принимающих</t>
  </si>
  <si>
    <t>OBJ_9</t>
  </si>
  <si>
    <t>отражают</t>
  </si>
  <si>
    <t>сущность</t>
  </si>
  <si>
    <t>родительского</t>
  </si>
  <si>
    <t>опыта</t>
  </si>
  <si>
    <t>человечества</t>
  </si>
  <si>
    <t>смотришь</t>
  </si>
  <si>
    <t>думаешь</t>
  </si>
  <si>
    <t>«Откуда</t>
  </si>
  <si>
    <t>SBJ_11</t>
  </si>
  <si>
    <t>взялся</t>
  </si>
  <si>
    <t>такой?»</t>
  </si>
  <si>
    <t># text = Выходит, что несмотря на то, что все эти особенности так отличны друг от друга — многие семьи столкнулись с шизофренией, в других семьях дети стали транссексуалами, а в третьих родились вундеркинды — что тоже представляет немалые трудности — и так много семей, в каждой из этих категорий.</t>
  </si>
  <si>
    <t>Выходит</t>
  </si>
  <si>
    <t>отличны</t>
  </si>
  <si>
    <t>друга</t>
  </si>
  <si>
    <t>многие</t>
  </si>
  <si>
    <t>столкнулись</t>
  </si>
  <si>
    <t>шизофренией</t>
  </si>
  <si>
    <t>других</t>
  </si>
  <si>
    <t>стали</t>
  </si>
  <si>
    <t>транссексуалами</t>
  </si>
  <si>
    <t>третьих</t>
  </si>
  <si>
    <t>родились</t>
  </si>
  <si>
    <t>вундеркинды</t>
  </si>
  <si>
    <t>тоже</t>
  </si>
  <si>
    <t>представляет</t>
  </si>
  <si>
    <t>немалые</t>
  </si>
  <si>
    <t>трудности</t>
  </si>
  <si>
    <t>каждой</t>
  </si>
  <si>
    <t>категорий</t>
  </si>
  <si>
    <t>other_12</t>
  </si>
  <si>
    <t># text = Но если вы задумаетесь о том, что преодоление отличий внутри вашей собственной семьи эти и есть то, к чему стремятся люди, вы поймёте, что это почти вселенское явление.</t>
  </si>
  <si>
    <t>задумаетесь</t>
  </si>
  <si>
    <t>преодоление</t>
  </si>
  <si>
    <t>отличий</t>
  </si>
  <si>
    <t>внутри</t>
  </si>
  <si>
    <t>вашей</t>
  </si>
  <si>
    <t>собственной</t>
  </si>
  <si>
    <t>чему</t>
  </si>
  <si>
    <t>стремятся</t>
  </si>
  <si>
    <t>поймёте</t>
  </si>
  <si>
    <t>почти</t>
  </si>
  <si>
    <t>вселенское</t>
  </si>
  <si>
    <t># text = Ирония в том, что именно наши особенности и их преодоление объединяют нас.</t>
  </si>
  <si>
    <t>Ирония</t>
  </si>
  <si>
    <t>объединяют</t>
  </si>
  <si>
    <t># text = Я решил завести ребёнка в то время, когда работал над этим проектом.</t>
  </si>
  <si>
    <t>решил</t>
  </si>
  <si>
    <t>работал</t>
  </si>
  <si>
    <t># text = Многие были удивлены и спрашивали: «Как ты мог решиться завести ребёнка, проводя исследование о том, что всё может пойти не так как хотелось?» Я отвечал: «Я исследую не то, что может пойти не так как хотелось.</t>
  </si>
  <si>
    <t>Многие</t>
  </si>
  <si>
    <t>удивлены</t>
  </si>
  <si>
    <t>спрашивали</t>
  </si>
  <si>
    <t>решиться</t>
  </si>
  <si>
    <t>проводя</t>
  </si>
  <si>
    <t>исследование</t>
  </si>
  <si>
    <t>OBJ_11</t>
  </si>
  <si>
    <t>отвечал</t>
  </si>
  <si>
    <t>исследую</t>
  </si>
  <si>
    <t>OBJ_12</t>
  </si>
  <si>
    <t>SBJ_14</t>
  </si>
  <si>
    <t># text = Я исследую вопрос о том, как много любви потребуется в момент, когда кажется, что всё идёт не так».</t>
  </si>
  <si>
    <t>любви</t>
  </si>
  <si>
    <t>потребуется</t>
  </si>
  <si>
    <t>идёт</t>
  </si>
  <si>
    <t>так»</t>
  </si>
  <si>
    <t># text = Я много думал о матери одного ребёнка-инвалида, которого мне довелось встретить.</t>
  </si>
  <si>
    <t>инвалида</t>
  </si>
  <si>
    <t>которого</t>
  </si>
  <si>
    <t>довелось</t>
  </si>
  <si>
    <t># text = У него была тяжёлая степень инвалидности.</t>
  </si>
  <si>
    <t>У</t>
  </si>
  <si>
    <t>степень</t>
  </si>
  <si>
    <t>инвалидности</t>
  </si>
  <si>
    <t># text = Он умер он недостатка ухода.</t>
  </si>
  <si>
    <t>умер</t>
  </si>
  <si>
    <t>недостатка</t>
  </si>
  <si>
    <t>ухода</t>
  </si>
  <si>
    <t># text = Во время похорон его мать сказала: «Я молю о прощении за то, чего дважды была лишена — такого ребёнка как я хотела и сына, которого любила».</t>
  </si>
  <si>
    <t>Во</t>
  </si>
  <si>
    <t>похорон</t>
  </si>
  <si>
    <t>молю</t>
  </si>
  <si>
    <t>прощении</t>
  </si>
  <si>
    <t>дважды</t>
  </si>
  <si>
    <t>лишена</t>
  </si>
  <si>
    <t>такого</t>
  </si>
  <si>
    <t>хотела</t>
  </si>
  <si>
    <t>OBJ_10</t>
  </si>
  <si>
    <t>любила»</t>
  </si>
  <si>
    <t># text = И я осознал, что любой человек может любить любого ребёнка, если у него достаточно силы духа для этого.</t>
  </si>
  <si>
    <t>осознал</t>
  </si>
  <si>
    <t>любой</t>
  </si>
  <si>
    <t>любого</t>
  </si>
  <si>
    <t>силы</t>
  </si>
  <si>
    <t>духа</t>
  </si>
  <si>
    <t># text = Мой муж — биологический отец двух детей рождённых лесбиянками в Минеаполисе.</t>
  </si>
  <si>
    <t>Мой</t>
  </si>
  <si>
    <t>муж</t>
  </si>
  <si>
    <t>биологический</t>
  </si>
  <si>
    <t>двух</t>
  </si>
  <si>
    <t>рождённых</t>
  </si>
  <si>
    <t>лесбиянками</t>
  </si>
  <si>
    <t>Минеаполисе</t>
  </si>
  <si>
    <t># text = У меня была подруга по колледжу, в разводе, желавшая иметь детей.</t>
  </si>
  <si>
    <t>подруга</t>
  </si>
  <si>
    <t>колледжу</t>
  </si>
  <si>
    <t>разводе</t>
  </si>
  <si>
    <t>желавшая</t>
  </si>
  <si>
    <t># text = У нас с ней есть дочь.</t>
  </si>
  <si>
    <t>дочь</t>
  </si>
  <si>
    <t># text = Они живут в Техасе.</t>
  </si>
  <si>
    <t>живут</t>
  </si>
  <si>
    <t>Техасе</t>
  </si>
  <si>
    <t># text = А у нас с мужем есть сын, живущий с нами постоянно.</t>
  </si>
  <si>
    <t>мужем</t>
  </si>
  <si>
    <t>живущий</t>
  </si>
  <si>
    <t>нами</t>
  </si>
  <si>
    <t># text = Я его биологический отец, а суррогатной матерью стала Лора — лесбиянка, мать Оливера и Люси живущая в Минеаполисе.</t>
  </si>
  <si>
    <t>суррогатной</t>
  </si>
  <si>
    <t>стала</t>
  </si>
  <si>
    <t>Лора</t>
  </si>
  <si>
    <t>лесбиянка</t>
  </si>
  <si>
    <t>Оливера</t>
  </si>
  <si>
    <t>Люси</t>
  </si>
  <si>
    <t>живущая</t>
  </si>
  <si>
    <t># text = Итог: пять родителей, четверо детей, три штата.</t>
  </si>
  <si>
    <t>Итог</t>
  </si>
  <si>
    <t>пять</t>
  </si>
  <si>
    <t>четверо</t>
  </si>
  <si>
    <t>штата</t>
  </si>
  <si>
    <t># text = Есть люди, которые считают, что существование моей семьи подрывает, ослабляет или разрушает авторитет их семей.</t>
  </si>
  <si>
    <t>Есть</t>
  </si>
  <si>
    <t>считают</t>
  </si>
  <si>
    <t>подрывает</t>
  </si>
  <si>
    <t>ослабляет</t>
  </si>
  <si>
    <t>разрушает</t>
  </si>
  <si>
    <t>авторитет</t>
  </si>
  <si>
    <t># text = А есть те, кто считает, что семьи вроде моей не должны существовать.</t>
  </si>
  <si>
    <t>считает</t>
  </si>
  <si>
    <t>вроде</t>
  </si>
  <si>
    <t># text = Я не принимаю исключающий вид любви.</t>
  </si>
  <si>
    <t>принимаю</t>
  </si>
  <si>
    <t>исключающий</t>
  </si>
  <si>
    <t>вид</t>
  </si>
  <si>
    <t># text = Только принимающий.</t>
  </si>
  <si>
    <t>принимающий</t>
  </si>
  <si>
    <t># text = И я верю, что так же как нам необходимо разнообразие видов, чтобы знать, что наша планета способна развиваться, так же нам нужно разнообразие любви, разнообразие семей для укрепления экосферы добра.</t>
  </si>
  <si>
    <t>разнообразие</t>
  </si>
  <si>
    <t>видов</t>
  </si>
  <si>
    <t>наша</t>
  </si>
  <si>
    <t>планета</t>
  </si>
  <si>
    <t>способна</t>
  </si>
  <si>
    <t>развиваться</t>
  </si>
  <si>
    <t>нужно</t>
  </si>
  <si>
    <t>укрепления</t>
  </si>
  <si>
    <t>экосферы</t>
  </si>
  <si>
    <t>добра</t>
  </si>
  <si>
    <t># text = На следующий день после рождения нашего сына, в палату пришёл встревоженный педиатр.</t>
  </si>
  <si>
    <t>На</t>
  </si>
  <si>
    <t>следующий</t>
  </si>
  <si>
    <t>после</t>
  </si>
  <si>
    <t>рождения</t>
  </si>
  <si>
    <t>палату</t>
  </si>
  <si>
    <t>встревоженный</t>
  </si>
  <si>
    <t>педиатр</t>
  </si>
  <si>
    <t># text = Сын не вытягивал ноги должным образом.</t>
  </si>
  <si>
    <t>Сын</t>
  </si>
  <si>
    <t>вытягивал</t>
  </si>
  <si>
    <t>ноги</t>
  </si>
  <si>
    <t>должным</t>
  </si>
  <si>
    <t># text = Врач сказала, что возможно у него повреждён мозг.</t>
  </si>
  <si>
    <t>Врач</t>
  </si>
  <si>
    <t>повреждён</t>
  </si>
  <si>
    <t>мозг</t>
  </si>
  <si>
    <t># text = Он вытягивал ноги, но не симметрично, что по её мнению могло указывать на опухоль в определённой стадии.</t>
  </si>
  <si>
    <t>симметрично</t>
  </si>
  <si>
    <t>мнению</t>
  </si>
  <si>
    <t>могло</t>
  </si>
  <si>
    <t>указывать</t>
  </si>
  <si>
    <t>опухоль</t>
  </si>
  <si>
    <t>определённой</t>
  </si>
  <si>
    <t>стадии</t>
  </si>
  <si>
    <t># text = Так же у него была очень большая голова, что могло указывать на гидроцефалию.</t>
  </si>
  <si>
    <t>Так</t>
  </si>
  <si>
    <t>очень</t>
  </si>
  <si>
    <t>большая</t>
  </si>
  <si>
    <t>голова</t>
  </si>
  <si>
    <t>гидроцефалию</t>
  </si>
  <si>
    <t># text = Когда она всё это сказала, а почувствовал, что что-то внутри меня оборвалось.</t>
  </si>
  <si>
    <t>почувствовал</t>
  </si>
  <si>
    <t>что-то</t>
  </si>
  <si>
    <t>оборвалось</t>
  </si>
  <si>
    <t># text = Я подумал, что годами работал над книгой о том, как много смысла нашли родители в том, что их дети были инвалидами и я не хочу пополнить их ряды.</t>
  </si>
  <si>
    <t>годами</t>
  </si>
  <si>
    <t>книгой</t>
  </si>
  <si>
    <t>инвалидами</t>
  </si>
  <si>
    <t>пополнить</t>
  </si>
  <si>
    <t>ряды</t>
  </si>
  <si>
    <t># text = То, с чем мне пришлось столкнуться — это болезнь, и как все родители с незапамятных времён я хотел защитить своего ребёнка от болезни.</t>
  </si>
  <si>
    <t>пришлось</t>
  </si>
  <si>
    <t>столкнуться</t>
  </si>
  <si>
    <t>незапамятных</t>
  </si>
  <si>
    <t>защитить</t>
  </si>
  <si>
    <t>болезни</t>
  </si>
  <si>
    <t># text = Я так же хотел защитить и себя от болезни.</t>
  </si>
  <si>
    <t># text = Из проведённых исследований, я знал, если обнаружится, что он болен чем-то из этого, то это станет его отличительной особенностью, которая станет так же и моей особенностью, что развиваясь, болезнь станет чем-то большим.</t>
  </si>
  <si>
    <t>Из</t>
  </si>
  <si>
    <t>проведённых</t>
  </si>
  <si>
    <t>исследований</t>
  </si>
  <si>
    <t>обнаружится</t>
  </si>
  <si>
    <t>болен</t>
  </si>
  <si>
    <t>чем-то</t>
  </si>
  <si>
    <t>станет</t>
  </si>
  <si>
    <t>отличительной</t>
  </si>
  <si>
    <t>особенностью</t>
  </si>
  <si>
    <t>развиваясь</t>
  </si>
  <si>
    <t>большим</t>
  </si>
  <si>
    <t># text = Мы сделали ему МРТ, компьютерное сканирование, позволили взять у новорождённого кровь на анализы.</t>
  </si>
  <si>
    <t>сделали</t>
  </si>
  <si>
    <t>МРТ</t>
  </si>
  <si>
    <t>компьютерное</t>
  </si>
  <si>
    <t>сканирование</t>
  </si>
  <si>
    <t>позволили</t>
  </si>
  <si>
    <t>новорождённого</t>
  </si>
  <si>
    <t>кровь</t>
  </si>
  <si>
    <t>анализы</t>
  </si>
  <si>
    <t># text = Мы чувствовали себя беспомощными.</t>
  </si>
  <si>
    <t>чувствовали</t>
  </si>
  <si>
    <t>беспомощными</t>
  </si>
  <si>
    <t># text = Пять часов спустя, нам сказали, что с его мозгом всё в порядке, и что он начал вытягивать ножки как следует.</t>
  </si>
  <si>
    <t>Пять</t>
  </si>
  <si>
    <t>мозгом</t>
  </si>
  <si>
    <t>порядке</t>
  </si>
  <si>
    <t>начал</t>
  </si>
  <si>
    <t>ножки</t>
  </si>
  <si>
    <t># text = Я спросил педиатра, в чём же было дело, на что она ответила, что тем утром у него, возможно, были колики.</t>
  </si>
  <si>
    <t>педиатра</t>
  </si>
  <si>
    <t>дело</t>
  </si>
  <si>
    <t>тем</t>
  </si>
  <si>
    <t>утром</t>
  </si>
  <si>
    <t>колики</t>
  </si>
  <si>
    <t># text = И я подумал, что моя мама была права.</t>
  </si>
  <si>
    <t>мама</t>
  </si>
  <si>
    <t># text = Любовь к своему ребёнку не похожа ни на одно другое чувство, и пока у тебя нет детей, ты не знаешь что это за чувство.</t>
  </si>
  <si>
    <t>Любовь</t>
  </si>
  <si>
    <t>знаешь</t>
  </si>
  <si>
    <t># text = Думаю, дети привязали меня к себе в тот момент, когда отцовство граничило с потерей.</t>
  </si>
  <si>
    <t>Думаю</t>
  </si>
  <si>
    <t>привязали</t>
  </si>
  <si>
    <t>отцовство</t>
  </si>
  <si>
    <t>граничило</t>
  </si>
  <si>
    <t>потерей</t>
  </si>
  <si>
    <t># text = Но не думаю, что заметил бы это, если бы не был погружён с головой в своё исследование.</t>
  </si>
  <si>
    <t>заметил</t>
  </si>
  <si>
    <t>погружён</t>
  </si>
  <si>
    <t>головой</t>
  </si>
  <si>
    <t>своё</t>
  </si>
  <si>
    <t># text = Я увидел так много странной любви, но чувствовал себя естественно, очарованный ей.</t>
  </si>
  <si>
    <t>странной</t>
  </si>
  <si>
    <t>чувствовал</t>
  </si>
  <si>
    <t>естественно</t>
  </si>
  <si>
    <t>очарованный</t>
  </si>
  <si>
    <t># text = Я видел, как её сияние озаряет даже самых израненных.</t>
  </si>
  <si>
    <t>сияние</t>
  </si>
  <si>
    <t>озаряет</t>
  </si>
  <si>
    <t>самых</t>
  </si>
  <si>
    <t>израненных</t>
  </si>
  <si>
    <t># text = За эти 10 лет, я лицезрел и проникся устрашающей радостью невыносимой ответственности, которая, как я убедился, помогает превозмочь всё остальное.</t>
  </si>
  <si>
    <t>лицезрел</t>
  </si>
  <si>
    <t>проникся</t>
  </si>
  <si>
    <t>устрашающей</t>
  </si>
  <si>
    <t>радостью</t>
  </si>
  <si>
    <t>невыносимой</t>
  </si>
  <si>
    <t>ответственности</t>
  </si>
  <si>
    <t>убедился</t>
  </si>
  <si>
    <t>помогает</t>
  </si>
  <si>
    <t>превозмочь</t>
  </si>
  <si>
    <t>остальное</t>
  </si>
  <si>
    <t># text = Иногда, глядя на родителей, с которыми мне приходилось встречаться, я считал их глупцами, отдавшими всю свою жизнь детям неспособным на благодарность, ищущими особенности в невзгодах.</t>
  </si>
  <si>
    <t>Иногда</t>
  </si>
  <si>
    <t>глядя</t>
  </si>
  <si>
    <t>которыми</t>
  </si>
  <si>
    <t>приходилось</t>
  </si>
  <si>
    <t>встречаться</t>
  </si>
  <si>
    <t>считал</t>
  </si>
  <si>
    <t>глупцами</t>
  </si>
  <si>
    <t>отдавшими</t>
  </si>
  <si>
    <t>всю</t>
  </si>
  <si>
    <t>неспособным</t>
  </si>
  <si>
    <t>благодарность</t>
  </si>
  <si>
    <t>ищущими</t>
  </si>
  <si>
    <t>невзгодах</t>
  </si>
  <si>
    <t># text = Но в тот день я понял, что моё исследование стало для меня опорой и я готов пополнить ряды тех родителей.</t>
  </si>
  <si>
    <t>понял</t>
  </si>
  <si>
    <t>моё</t>
  </si>
  <si>
    <t>опорой</t>
  </si>
  <si>
    <t>готов</t>
  </si>
  <si>
    <t># text = Спасибо.</t>
  </si>
  <si>
    <t>Спасибо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</si>
</sst>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21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22</v>
      </c>
      <c r="B6" s="6" t="s">
        <v>30</v>
      </c>
      <c r="C6" s="6" t="s">
        <v>12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30</v>
      </c>
      <c r="B7" s="6" t="s">
        <v>26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17</v>
      </c>
      <c r="B8" s="6" t="s">
        <v>21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41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46</v>
      </c>
      <c r="C10" s="6" t="s">
        <v>12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46</v>
      </c>
      <c r="B11" s="6" t="s">
        <v>21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11</v>
      </c>
      <c r="B12" s="6" t="s">
        <v>16</v>
      </c>
      <c r="C12" s="6" t="s">
        <v>12</v>
      </c>
      <c r="D12" s="7" t="s">
        <v>47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21</v>
      </c>
      <c r="C13" s="6" t="s">
        <v>12</v>
      </c>
      <c r="D13" s="7" t="s">
        <v>47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10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41</v>
      </c>
      <c r="B15" s="6" t="s">
        <v>40</v>
      </c>
      <c r="C15" s="6" t="s">
        <v>12</v>
      </c>
      <c r="D15" s="7" t="s">
        <v>62</v>
      </c>
      <c r="E15" s="8" t="s">
        <v>63</v>
      </c>
      <c r="F15" s="6" t="s">
        <v>64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65</v>
      </c>
      <c r="B16" s="6" t="s">
        <v>26</v>
      </c>
      <c r="C16" s="6" t="s">
        <v>66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16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17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16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45</v>
      </c>
      <c r="C20" s="6" t="s">
        <v>12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16</v>
      </c>
      <c r="C21" s="6" t="s">
        <v>12</v>
      </c>
      <c r="D21" s="7" t="s">
        <v>62</v>
      </c>
      <c r="E21" s="8" t="s">
        <v>87</v>
      </c>
      <c r="F21" s="6" t="s">
        <v>88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21</v>
      </c>
      <c r="C22" s="6" t="s">
        <v>12</v>
      </c>
      <c r="D22" s="7" t="s">
        <v>90</v>
      </c>
      <c r="E22" s="8" t="s">
        <v>91</v>
      </c>
      <c r="F22" s="6" t="s">
        <v>92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21</v>
      </c>
      <c r="C23" s="6" t="s">
        <v>12</v>
      </c>
      <c r="D23" s="7" t="s">
        <v>94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55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21</v>
      </c>
      <c r="C25" s="6" t="s">
        <v>12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16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16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16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26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16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16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21</v>
      </c>
      <c r="C32" s="6" t="s">
        <v>12</v>
      </c>
      <c r="D32" s="7" t="s">
        <v>130</v>
      </c>
      <c r="E32" s="8" t="s">
        <v>131</v>
      </c>
      <c r="F32" s="6" t="s">
        <v>132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133</v>
      </c>
      <c r="B33" s="6" t="s">
        <v>45</v>
      </c>
      <c r="C33" s="6" t="s">
        <v>12</v>
      </c>
      <c r="D33" s="7" t="s">
        <v>134</v>
      </c>
      <c r="E33" s="8" t="s">
        <v>135</v>
      </c>
      <c r="F33" s="6" t="s">
        <v>136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137</v>
      </c>
      <c r="B34" s="6" t="s">
        <v>16</v>
      </c>
      <c r="C34" s="6" t="s">
        <v>12</v>
      </c>
      <c r="D34" s="7" t="s">
        <v>138</v>
      </c>
      <c r="E34" s="8" t="s">
        <v>139</v>
      </c>
      <c r="F34" s="6" t="s">
        <v>140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141</v>
      </c>
      <c r="B35" s="6" t="s">
        <v>16</v>
      </c>
      <c r="C35" s="6" t="s">
        <v>12</v>
      </c>
      <c r="D35" s="7" t="s">
        <v>142</v>
      </c>
      <c r="E35" s="8" t="s">
        <v>143</v>
      </c>
      <c r="F35" s="6" t="s">
        <v>144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145</v>
      </c>
      <c r="B36" s="6" t="s">
        <v>26</v>
      </c>
      <c r="C36" s="6" t="s">
        <v>12</v>
      </c>
      <c r="D36" s="7" t="s">
        <v>146</v>
      </c>
      <c r="E36" s="8" t="s">
        <v>147</v>
      </c>
      <c r="F36" s="6" t="s">
        <v>148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149</v>
      </c>
      <c r="B37" s="6" t="s">
        <v>22</v>
      </c>
      <c r="C37" s="6" t="s">
        <v>12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153</v>
      </c>
      <c r="B38" s="6" t="s">
        <v>17</v>
      </c>
      <c r="C38" s="6" t="s">
        <v>12</v>
      </c>
      <c r="D38" s="7" t="s">
        <v>154</v>
      </c>
      <c r="E38" s="8" t="s">
        <v>155</v>
      </c>
      <c r="F38" s="6" t="s">
        <v>156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157</v>
      </c>
      <c r="B39" s="6" t="s">
        <v>16</v>
      </c>
      <c r="C39" s="6" t="s">
        <v>12</v>
      </c>
      <c r="D39" s="7" t="s">
        <v>158</v>
      </c>
      <c r="E39" s="8" t="s">
        <v>159</v>
      </c>
      <c r="F39" s="6" t="s">
        <v>160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161</v>
      </c>
      <c r="B40" s="6" t="s">
        <v>10</v>
      </c>
      <c r="C40" s="6" t="s">
        <v>12</v>
      </c>
      <c r="D40" s="7" t="s">
        <v>47</v>
      </c>
      <c r="E40" s="8" t="s">
        <v>162</v>
      </c>
      <c r="F40" s="6" t="s">
        <v>163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21</v>
      </c>
      <c r="C41" s="6" t="s">
        <v>12</v>
      </c>
      <c r="D41" s="7" t="s">
        <v>165</v>
      </c>
      <c r="E41" s="8" t="s">
        <v>166</v>
      </c>
      <c r="F41" s="6" t="s">
        <v>167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21</v>
      </c>
      <c r="C42" s="6" t="s">
        <v>12</v>
      </c>
      <c r="D42" s="7" t="s">
        <v>169</v>
      </c>
      <c r="E42" s="8" t="s">
        <v>170</v>
      </c>
      <c r="F42" s="6" t="s">
        <v>171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172</v>
      </c>
      <c r="B43" s="6" t="s">
        <v>21</v>
      </c>
      <c r="C43" s="6" t="s">
        <v>12</v>
      </c>
      <c r="D43" s="7" t="s">
        <v>173</v>
      </c>
      <c r="E43" s="8" t="s">
        <v>174</v>
      </c>
      <c r="F43" s="6" t="s">
        <v>175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176</v>
      </c>
      <c r="B44" s="6" t="s">
        <v>17</v>
      </c>
      <c r="C44" s="6" t="s">
        <v>12</v>
      </c>
      <c r="D44" s="7" t="s">
        <v>177</v>
      </c>
      <c r="E44" s="8" t="s">
        <v>178</v>
      </c>
      <c r="F44" s="6" t="s">
        <v>179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180</v>
      </c>
      <c r="B45" s="6" t="s">
        <v>21</v>
      </c>
      <c r="C45" s="6" t="s">
        <v>12</v>
      </c>
      <c r="D45" s="7" t="s">
        <v>181</v>
      </c>
      <c r="E45" s="8" t="s">
        <v>182</v>
      </c>
      <c r="F45" s="6" t="s">
        <v>183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184</v>
      </c>
      <c r="B46" s="6" t="s">
        <v>21</v>
      </c>
      <c r="C46" s="6" t="s">
        <v>12</v>
      </c>
      <c r="D46" s="7" t="s">
        <v>185</v>
      </c>
      <c r="E46" s="8" t="s">
        <v>186</v>
      </c>
      <c r="F46" s="6" t="s">
        <v>187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188</v>
      </c>
      <c r="B47" s="6" t="s">
        <v>17</v>
      </c>
      <c r="C47" s="6" t="s">
        <v>12</v>
      </c>
      <c r="D47" s="7" t="s">
        <v>158</v>
      </c>
      <c r="E47" s="8" t="s">
        <v>189</v>
      </c>
      <c r="F47" s="6" t="s">
        <v>190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191</v>
      </c>
      <c r="B48" s="6" t="s">
        <v>26</v>
      </c>
      <c r="C48" s="6" t="s">
        <v>12</v>
      </c>
      <c r="D48" s="7" t="s">
        <v>192</v>
      </c>
      <c r="E48" s="8" t="s">
        <v>193</v>
      </c>
      <c r="F48" s="6" t="s">
        <v>194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195</v>
      </c>
      <c r="B49" s="6" t="s">
        <v>21</v>
      </c>
      <c r="C49" s="6" t="s">
        <v>12</v>
      </c>
      <c r="D49" s="7" t="s">
        <v>169</v>
      </c>
      <c r="E49" s="8" t="s">
        <v>196</v>
      </c>
      <c r="F49" s="6" t="s">
        <v>197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198</v>
      </c>
      <c r="B50" s="6" t="s">
        <v>16</v>
      </c>
      <c r="C50" s="6" t="s">
        <v>12</v>
      </c>
      <c r="D50" s="7" t="s">
        <v>199</v>
      </c>
      <c r="E50" s="8" t="s">
        <v>200</v>
      </c>
      <c r="F50" s="6" t="s">
        <v>201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202</v>
      </c>
      <c r="B51" s="6" t="s">
        <v>21</v>
      </c>
      <c r="C51" s="6" t="s">
        <v>203</v>
      </c>
      <c r="D51" s="7" t="s">
        <v>59</v>
      </c>
      <c r="E51" s="8" t="s">
        <v>204</v>
      </c>
      <c r="F51" s="6" t="s">
        <v>205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206</v>
      </c>
      <c r="B52" s="6" t="s">
        <v>21</v>
      </c>
      <c r="C52" s="6" t="s">
        <v>12</v>
      </c>
      <c r="D52" s="7" t="s">
        <v>207</v>
      </c>
      <c r="E52" s="8" t="s">
        <v>208</v>
      </c>
      <c r="F52" s="6" t="s">
        <v>209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210</v>
      </c>
      <c r="B53" s="6" t="s">
        <v>89</v>
      </c>
      <c r="C53" s="6" t="s">
        <v>12</v>
      </c>
      <c r="D53" s="7" t="s">
        <v>211</v>
      </c>
      <c r="E53" s="8" t="s">
        <v>212</v>
      </c>
      <c r="F53" s="6" t="s">
        <v>213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214</v>
      </c>
      <c r="B54" s="6" t="s">
        <v>40</v>
      </c>
      <c r="C54" s="6" t="s">
        <v>12</v>
      </c>
      <c r="D54" s="7" t="s">
        <v>215</v>
      </c>
      <c r="E54" s="8" t="s">
        <v>216</v>
      </c>
      <c r="F54" s="6" t="s">
        <v>217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218</v>
      </c>
      <c r="B55" s="6" t="s">
        <v>16</v>
      </c>
      <c r="C55" s="6" t="s">
        <v>12</v>
      </c>
      <c r="D55" s="7" t="s">
        <v>219</v>
      </c>
      <c r="E55" s="8" t="s">
        <v>220</v>
      </c>
      <c r="F55" s="6" t="s">
        <v>221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222</v>
      </c>
      <c r="B56" s="6" t="s">
        <v>16</v>
      </c>
      <c r="C56" s="6" t="s">
        <v>12</v>
      </c>
      <c r="D56" s="7" t="s">
        <v>223</v>
      </c>
      <c r="E56" s="8" t="s">
        <v>224</v>
      </c>
      <c r="F56" s="6" t="s">
        <v>225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226</v>
      </c>
      <c r="B57" s="6" t="s">
        <v>40</v>
      </c>
      <c r="C57" s="6" t="s">
        <v>12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230</v>
      </c>
      <c r="B58" s="6" t="s">
        <v>45</v>
      </c>
      <c r="C58" s="6" t="s">
        <v>12</v>
      </c>
      <c r="D58" s="7" t="s">
        <v>173</v>
      </c>
      <c r="E58" s="8" t="s">
        <v>231</v>
      </c>
      <c r="F58" s="6" t="s">
        <v>232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233</v>
      </c>
      <c r="B59" s="6" t="s">
        <v>21</v>
      </c>
      <c r="C59" s="6" t="s">
        <v>12</v>
      </c>
      <c r="D59" s="7" t="s">
        <v>185</v>
      </c>
      <c r="E59" s="8" t="s">
        <v>234</v>
      </c>
      <c r="F59" s="6" t="s">
        <v>235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236</v>
      </c>
      <c r="B60" s="6" t="s">
        <v>40</v>
      </c>
      <c r="C60" s="6" t="s">
        <v>12</v>
      </c>
      <c r="D60" s="7" t="s">
        <v>237</v>
      </c>
      <c r="E60" s="8" t="s">
        <v>238</v>
      </c>
      <c r="F60" s="6" t="s">
        <v>239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240</v>
      </c>
      <c r="B61" s="6" t="s">
        <v>10</v>
      </c>
      <c r="C61" s="6" t="s">
        <v>12</v>
      </c>
      <c r="D61" s="7" t="s">
        <v>241</v>
      </c>
      <c r="E61" s="8" t="s">
        <v>242</v>
      </c>
      <c r="F61" s="6" t="s">
        <v>243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244</v>
      </c>
      <c r="B62" s="6" t="s">
        <v>22</v>
      </c>
      <c r="C62" s="6" t="s">
        <v>12</v>
      </c>
      <c r="D62" s="7" t="s">
        <v>245</v>
      </c>
      <c r="E62" s="8" t="s">
        <v>246</v>
      </c>
      <c r="F62" s="6" t="s">
        <v>247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248</v>
      </c>
      <c r="B63" s="6" t="s">
        <v>40</v>
      </c>
      <c r="C63" s="6" t="s">
        <v>12</v>
      </c>
      <c r="D63" s="7" t="s">
        <v>249</v>
      </c>
      <c r="E63" s="8" t="s">
        <v>250</v>
      </c>
      <c r="F63" s="6" t="s">
        <v>251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252</v>
      </c>
      <c r="B64" s="6" t="s">
        <v>45</v>
      </c>
      <c r="C64" s="6" t="s">
        <v>12</v>
      </c>
      <c r="D64" s="7" t="s">
        <v>253</v>
      </c>
      <c r="E64" s="8" t="s">
        <v>254</v>
      </c>
      <c r="F64" s="6" t="s">
        <v>255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256</v>
      </c>
      <c r="B65" s="6" t="s">
        <v>26</v>
      </c>
      <c r="C65" s="6" t="s">
        <v>12</v>
      </c>
      <c r="D65" s="7" t="s">
        <v>257</v>
      </c>
      <c r="E65" s="8" t="s">
        <v>258</v>
      </c>
      <c r="F65" s="6" t="s">
        <v>259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260</v>
      </c>
      <c r="B66" s="6" t="s">
        <v>16</v>
      </c>
      <c r="C66" s="6" t="s">
        <v>12</v>
      </c>
      <c r="D66" s="7" t="s">
        <v>257</v>
      </c>
      <c r="E66" s="8" t="s">
        <v>261</v>
      </c>
      <c r="F66" s="6" t="s">
        <v>262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263</v>
      </c>
      <c r="B67" s="6" t="s">
        <v>45</v>
      </c>
      <c r="C67" s="6" t="s">
        <v>12</v>
      </c>
      <c r="D67" s="7" t="s">
        <v>264</v>
      </c>
      <c r="E67" s="8" t="s">
        <v>265</v>
      </c>
      <c r="F67" s="6" t="s">
        <v>266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267</v>
      </c>
      <c r="B68" s="6" t="s">
        <v>22</v>
      </c>
      <c r="C68" s="6" t="s">
        <v>12</v>
      </c>
      <c r="D68" s="7" t="s">
        <v>268</v>
      </c>
      <c r="E68" s="8" t="s">
        <v>269</v>
      </c>
      <c r="F68" s="6" t="s">
        <v>270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271</v>
      </c>
      <c r="B69" s="6" t="s">
        <v>21</v>
      </c>
      <c r="C69" s="6" t="s">
        <v>12</v>
      </c>
      <c r="D69" s="7" t="s">
        <v>47</v>
      </c>
      <c r="E69" s="8" t="s">
        <v>272</v>
      </c>
      <c r="F69" s="6" t="s">
        <v>273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274</v>
      </c>
      <c r="B70" s="6" t="s">
        <v>16</v>
      </c>
      <c r="C70" s="6" t="s">
        <v>12</v>
      </c>
      <c r="D70" s="7" t="s">
        <v>275</v>
      </c>
      <c r="E70" s="8" t="s">
        <v>276</v>
      </c>
      <c r="F70" s="6" t="s">
        <v>277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278</v>
      </c>
      <c r="B71" s="6" t="s">
        <v>26</v>
      </c>
      <c r="C71" s="6" t="s">
        <v>12</v>
      </c>
      <c r="D71" s="7" t="s">
        <v>279</v>
      </c>
      <c r="E71" s="8" t="s">
        <v>280</v>
      </c>
      <c r="F71" s="6" t="s">
        <v>281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282</v>
      </c>
      <c r="B72" s="6" t="s">
        <v>16</v>
      </c>
      <c r="C72" s="6" t="s">
        <v>12</v>
      </c>
      <c r="D72" s="7" t="s">
        <v>283</v>
      </c>
      <c r="E72" s="8" t="s">
        <v>284</v>
      </c>
      <c r="F72" s="6" t="s">
        <v>285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286</v>
      </c>
      <c r="B73" s="6" t="s">
        <v>22</v>
      </c>
      <c r="C73" s="6" t="s">
        <v>12</v>
      </c>
      <c r="D73" s="7" t="s">
        <v>287</v>
      </c>
      <c r="E73" s="8" t="s">
        <v>288</v>
      </c>
      <c r="F73" s="6" t="s">
        <v>289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290</v>
      </c>
      <c r="B74" s="6" t="s">
        <v>16</v>
      </c>
      <c r="C74" s="6" t="s">
        <v>12</v>
      </c>
      <c r="D74" s="7" t="s">
        <v>71</v>
      </c>
      <c r="E74" s="8" t="s">
        <v>291</v>
      </c>
      <c r="F74" s="6" t="s">
        <v>292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293</v>
      </c>
      <c r="B75" s="6" t="s">
        <v>55</v>
      </c>
      <c r="C75" s="6" t="s">
        <v>12</v>
      </c>
      <c r="D75" s="7" t="s">
        <v>294</v>
      </c>
      <c r="E75" s="8" t="s">
        <v>295</v>
      </c>
      <c r="F75" s="6" t="s">
        <v>296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297</v>
      </c>
      <c r="B76" s="6" t="s">
        <v>26</v>
      </c>
      <c r="C76" s="6" t="s">
        <v>12</v>
      </c>
      <c r="D76" s="7" t="s">
        <v>249</v>
      </c>
      <c r="E76" s="8" t="s">
        <v>298</v>
      </c>
      <c r="F76" s="6" t="s">
        <v>299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300</v>
      </c>
      <c r="B77" s="6" t="s">
        <v>16</v>
      </c>
      <c r="C77" s="6" t="s">
        <v>12</v>
      </c>
      <c r="D77" s="7" t="s">
        <v>301</v>
      </c>
      <c r="E77" s="8" t="s">
        <v>302</v>
      </c>
      <c r="F77" s="6" t="s">
        <v>303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304</v>
      </c>
      <c r="B78" s="6" t="s">
        <v>26</v>
      </c>
      <c r="C78" s="6" t="s">
        <v>12</v>
      </c>
      <c r="D78" s="7" t="s">
        <v>305</v>
      </c>
      <c r="E78" s="8" t="s">
        <v>306</v>
      </c>
      <c r="F78" s="6" t="s">
        <v>307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308</v>
      </c>
      <c r="B79" s="6" t="s">
        <v>16</v>
      </c>
      <c r="C79" s="6" t="s">
        <v>309</v>
      </c>
      <c r="D79" s="7" t="s">
        <v>310</v>
      </c>
      <c r="E79" s="8" t="s">
        <v>311</v>
      </c>
      <c r="F79" s="6" t="s">
        <v>312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313</v>
      </c>
      <c r="B80" s="6" t="s">
        <v>26</v>
      </c>
      <c r="C80" s="6" t="s">
        <v>12</v>
      </c>
      <c r="D80" s="7" t="s">
        <v>314</v>
      </c>
      <c r="E80" s="8" t="s">
        <v>315</v>
      </c>
      <c r="F80" s="6" t="s">
        <v>316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317</v>
      </c>
      <c r="B81" s="6" t="s">
        <v>22</v>
      </c>
      <c r="C81" s="6" t="s">
        <v>12</v>
      </c>
      <c r="D81" s="7" t="s">
        <v>318</v>
      </c>
      <c r="E81" s="8" t="s">
        <v>319</v>
      </c>
      <c r="F81" s="6" t="s">
        <v>320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321</v>
      </c>
      <c r="B82" s="6" t="s">
        <v>22</v>
      </c>
      <c r="C82" s="6" t="s">
        <v>12</v>
      </c>
      <c r="D82" s="7" t="s">
        <v>192</v>
      </c>
      <c r="E82" s="8" t="s">
        <v>322</v>
      </c>
      <c r="F82" s="6" t="s">
        <v>323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324</v>
      </c>
      <c r="B83" s="6" t="s">
        <v>46</v>
      </c>
      <c r="C83" s="6" t="s">
        <v>12</v>
      </c>
      <c r="D83" s="7" t="s">
        <v>325</v>
      </c>
      <c r="E83" s="8" t="s">
        <v>326</v>
      </c>
      <c r="F83" s="6" t="s">
        <v>327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328</v>
      </c>
      <c r="B84" s="6" t="s">
        <v>16</v>
      </c>
      <c r="C84" s="6" t="s">
        <v>12</v>
      </c>
      <c r="D84" s="7" t="s">
        <v>329</v>
      </c>
      <c r="E84" s="8" t="s">
        <v>330</v>
      </c>
      <c r="F84" s="6" t="s">
        <v>331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332</v>
      </c>
      <c r="B85" s="6" t="s">
        <v>16</v>
      </c>
      <c r="C85" s="6" t="s">
        <v>12</v>
      </c>
      <c r="D85" s="7" t="s">
        <v>333</v>
      </c>
      <c r="E85" s="8" t="s">
        <v>334</v>
      </c>
      <c r="F85" s="6" t="s">
        <v>335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336</v>
      </c>
      <c r="B86" s="6" t="s">
        <v>65</v>
      </c>
      <c r="C86" s="6" t="s">
        <v>12</v>
      </c>
      <c r="D86" s="7" t="s">
        <v>207</v>
      </c>
      <c r="E86" s="8" t="s">
        <v>337</v>
      </c>
      <c r="F86" s="6" t="s">
        <v>338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339</v>
      </c>
      <c r="B87" s="6" t="s">
        <v>16</v>
      </c>
      <c r="C87" s="6" t="s">
        <v>12</v>
      </c>
      <c r="D87" s="7" t="s">
        <v>340</v>
      </c>
      <c r="E87" s="8" t="s">
        <v>341</v>
      </c>
      <c r="F87" s="6" t="s">
        <v>342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343</v>
      </c>
      <c r="B88" s="6" t="s">
        <v>16</v>
      </c>
      <c r="C88" s="6" t="s">
        <v>12</v>
      </c>
      <c r="D88" s="7" t="s">
        <v>344</v>
      </c>
      <c r="E88" s="8" t="s">
        <v>345</v>
      </c>
      <c r="F88" s="6" t="s">
        <v>346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347</v>
      </c>
      <c r="B89" s="6" t="s">
        <v>21</v>
      </c>
      <c r="C89" s="6" t="s">
        <v>12</v>
      </c>
      <c r="D89" s="7" t="s">
        <v>348</v>
      </c>
      <c r="E89" s="8" t="s">
        <v>349</v>
      </c>
      <c r="F89" s="6" t="s">
        <v>350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351</v>
      </c>
      <c r="B90" s="6" t="s">
        <v>16</v>
      </c>
      <c r="C90" s="6" t="s">
        <v>12</v>
      </c>
      <c r="D90" s="7" t="s">
        <v>352</v>
      </c>
      <c r="E90" s="8" t="s">
        <v>353</v>
      </c>
      <c r="F90" s="6" t="s">
        <v>354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355</v>
      </c>
      <c r="B91" s="6" t="s">
        <v>21</v>
      </c>
      <c r="C91" s="6" t="s">
        <v>12</v>
      </c>
      <c r="D91" s="7" t="s">
        <v>356</v>
      </c>
      <c r="E91" s="8" t="s">
        <v>357</v>
      </c>
      <c r="F91" s="6" t="s">
        <v>358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359</v>
      </c>
      <c r="B92" s="6" t="s">
        <v>16</v>
      </c>
      <c r="C92" s="6" t="s">
        <v>12</v>
      </c>
      <c r="D92" s="7" t="s">
        <v>62</v>
      </c>
      <c r="E92" s="8" t="s">
        <v>360</v>
      </c>
      <c r="F92" s="6" t="s">
        <v>361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362</v>
      </c>
      <c r="B93" s="6" t="s">
        <v>26</v>
      </c>
      <c r="C93" s="6" t="s">
        <v>12</v>
      </c>
      <c r="D93" s="7" t="s">
        <v>363</v>
      </c>
      <c r="E93" s="8" t="s">
        <v>364</v>
      </c>
      <c r="F93" s="6" t="s">
        <v>365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366</v>
      </c>
      <c r="B94" s="6" t="s">
        <v>26</v>
      </c>
      <c r="C94" s="6" t="s">
        <v>12</v>
      </c>
      <c r="D94" s="7" t="s">
        <v>367</v>
      </c>
      <c r="E94" s="8" t="s">
        <v>368</v>
      </c>
      <c r="F94" s="6" t="s">
        <v>369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370</v>
      </c>
      <c r="B95" s="6" t="s">
        <v>21</v>
      </c>
      <c r="C95" s="6" t="s">
        <v>12</v>
      </c>
      <c r="D95" s="7" t="s">
        <v>371</v>
      </c>
      <c r="E95" s="8" t="s">
        <v>372</v>
      </c>
      <c r="F95" s="6" t="s">
        <v>373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374</v>
      </c>
      <c r="B96" s="6" t="s">
        <v>21</v>
      </c>
      <c r="C96" s="6" t="s">
        <v>12</v>
      </c>
      <c r="D96" s="7" t="s">
        <v>375</v>
      </c>
      <c r="E96" s="8" t="s">
        <v>376</v>
      </c>
      <c r="F96" s="6" t="s">
        <v>377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378</v>
      </c>
      <c r="B97" s="6" t="s">
        <v>26</v>
      </c>
      <c r="C97" s="6" t="s">
        <v>12</v>
      </c>
      <c r="D97" s="7" t="s">
        <v>379</v>
      </c>
      <c r="E97" s="8" t="s">
        <v>380</v>
      </c>
      <c r="F97" s="6" t="s">
        <v>381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382</v>
      </c>
      <c r="B98" s="6" t="s">
        <v>21</v>
      </c>
      <c r="C98" s="6" t="s">
        <v>12</v>
      </c>
      <c r="D98" s="7" t="s">
        <v>383</v>
      </c>
      <c r="E98" s="8" t="s">
        <v>384</v>
      </c>
      <c r="F98" s="6" t="s">
        <v>385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386</v>
      </c>
      <c r="B99" s="6" t="s">
        <v>55</v>
      </c>
      <c r="C99" s="6" t="s">
        <v>12</v>
      </c>
      <c r="D99" s="7" t="s">
        <v>387</v>
      </c>
      <c r="E99" s="8" t="s">
        <v>388</v>
      </c>
      <c r="F99" s="6" t="s">
        <v>389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390</v>
      </c>
      <c r="B100" s="6" t="s">
        <v>10</v>
      </c>
      <c r="C100" s="6" t="s">
        <v>12</v>
      </c>
      <c r="D100" s="7" t="s">
        <v>391</v>
      </c>
      <c r="E100" s="8" t="s">
        <v>392</v>
      </c>
      <c r="F100" s="6" t="s">
        <v>393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394</v>
      </c>
      <c r="B101" s="6" t="s">
        <v>26</v>
      </c>
      <c r="C101" s="6" t="s">
        <v>12</v>
      </c>
      <c r="D101" s="7" t="s">
        <v>395</v>
      </c>
      <c r="E101" s="8" t="s">
        <v>396</v>
      </c>
      <c r="F101" s="6" t="s">
        <v>397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398</v>
      </c>
      <c r="B102" s="6" t="s">
        <v>40</v>
      </c>
      <c r="C102" s="6" t="s">
        <v>12</v>
      </c>
      <c r="D102" s="7" t="s">
        <v>399</v>
      </c>
      <c r="E102" s="8" t="s">
        <v>400</v>
      </c>
      <c r="F102" s="6" t="s">
        <v>401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402</v>
      </c>
      <c r="B103" s="6" t="s">
        <v>22</v>
      </c>
      <c r="C103" s="6" t="s">
        <v>12</v>
      </c>
      <c r="D103" s="7" t="s">
        <v>403</v>
      </c>
      <c r="E103" s="8" t="s">
        <v>404</v>
      </c>
      <c r="F103" s="6" t="s">
        <v>405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406</v>
      </c>
      <c r="B104" s="6" t="s">
        <v>21</v>
      </c>
      <c r="C104" s="6" t="s">
        <v>12</v>
      </c>
      <c r="D104" s="7" t="s">
        <v>407</v>
      </c>
      <c r="E104" s="8" t="s">
        <v>408</v>
      </c>
      <c r="F104" s="6" t="s">
        <v>409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410</v>
      </c>
      <c r="B105" s="6" t="s">
        <v>65</v>
      </c>
      <c r="C105" s="6" t="s">
        <v>12</v>
      </c>
      <c r="D105" s="7" t="s">
        <v>411</v>
      </c>
      <c r="E105" s="8" t="s">
        <v>412</v>
      </c>
      <c r="F105" s="6" t="s">
        <v>413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414</v>
      </c>
      <c r="B106" s="6" t="s">
        <v>30</v>
      </c>
      <c r="C106" s="6" t="s">
        <v>12</v>
      </c>
      <c r="D106" s="7" t="s">
        <v>415</v>
      </c>
      <c r="E106" s="8" t="s">
        <v>416</v>
      </c>
      <c r="F106" s="6" t="s">
        <v>417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418</v>
      </c>
      <c r="B107" s="6" t="s">
        <v>16</v>
      </c>
      <c r="C107" s="6" t="s">
        <v>12</v>
      </c>
      <c r="D107" s="7" t="s">
        <v>419</v>
      </c>
      <c r="E107" s="8" t="s">
        <v>420</v>
      </c>
      <c r="F107" s="6" t="s">
        <v>421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422</v>
      </c>
      <c r="B108" s="6" t="s">
        <v>16</v>
      </c>
      <c r="C108" s="6" t="s">
        <v>12</v>
      </c>
      <c r="D108" s="7" t="s">
        <v>340</v>
      </c>
      <c r="E108" s="8" t="s">
        <v>423</v>
      </c>
      <c r="F108" s="6" t="s">
        <v>424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425</v>
      </c>
      <c r="B109" s="6" t="s">
        <v>10</v>
      </c>
      <c r="C109" s="6" t="s">
        <v>12</v>
      </c>
      <c r="D109" s="7" t="s">
        <v>185</v>
      </c>
      <c r="E109" s="8" t="s">
        <v>426</v>
      </c>
      <c r="F109" s="6" t="s">
        <v>427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428</v>
      </c>
      <c r="B110" s="6" t="s">
        <v>30</v>
      </c>
      <c r="C110" s="6" t="s">
        <v>12</v>
      </c>
      <c r="D110" s="7" t="s">
        <v>429</v>
      </c>
      <c r="E110" s="8" t="s">
        <v>430</v>
      </c>
      <c r="F110" s="6" t="s">
        <v>431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432</v>
      </c>
      <c r="B111" s="6" t="s">
        <v>21</v>
      </c>
      <c r="C111" s="6" t="s">
        <v>12</v>
      </c>
      <c r="D111" s="7" t="s">
        <v>185</v>
      </c>
      <c r="E111" s="8" t="s">
        <v>433</v>
      </c>
      <c r="F111" s="6" t="s">
        <v>434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435</v>
      </c>
      <c r="B112" s="6" t="s">
        <v>58</v>
      </c>
      <c r="C112" s="6" t="s">
        <v>12</v>
      </c>
      <c r="D112" s="7" t="s">
        <v>436</v>
      </c>
      <c r="E112" s="8" t="s">
        <v>437</v>
      </c>
      <c r="F112" s="6" t="s">
        <v>438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439</v>
      </c>
      <c r="B113" s="6" t="s">
        <v>21</v>
      </c>
      <c r="C113" s="6" t="s">
        <v>12</v>
      </c>
      <c r="D113" s="7" t="s">
        <v>440</v>
      </c>
      <c r="E113" s="8" t="s">
        <v>441</v>
      </c>
      <c r="F113" s="6" t="s">
        <v>442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443</v>
      </c>
      <c r="B114" s="6" t="s">
        <v>16</v>
      </c>
      <c r="C114" s="6" t="s">
        <v>12</v>
      </c>
      <c r="D114" s="7" t="s">
        <v>444</v>
      </c>
      <c r="E114" s="8" t="s">
        <v>445</v>
      </c>
      <c r="F114" s="6" t="s">
        <v>446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447</v>
      </c>
      <c r="B115" s="6" t="s">
        <v>21</v>
      </c>
      <c r="C115" s="6" t="s">
        <v>12</v>
      </c>
      <c r="D115" s="7" t="s">
        <v>448</v>
      </c>
      <c r="E115" s="8" t="s">
        <v>449</v>
      </c>
      <c r="F115" s="6" t="s">
        <v>450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451</v>
      </c>
      <c r="B116" s="6" t="s">
        <v>58</v>
      </c>
      <c r="C116" s="6" t="s">
        <v>12</v>
      </c>
      <c r="D116" s="7" t="s">
        <v>452</v>
      </c>
      <c r="E116" s="8" t="s">
        <v>453</v>
      </c>
      <c r="F116" s="6" t="s">
        <v>454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455</v>
      </c>
      <c r="B117" s="6" t="s">
        <v>16</v>
      </c>
      <c r="C117" s="6" t="s">
        <v>12</v>
      </c>
      <c r="D117" s="7" t="s">
        <v>456</v>
      </c>
      <c r="E117" s="8" t="s">
        <v>457</v>
      </c>
      <c r="F117" s="6" t="s">
        <v>458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459</v>
      </c>
      <c r="B118" s="6" t="s">
        <v>40</v>
      </c>
      <c r="C118" s="6" t="s">
        <v>12</v>
      </c>
      <c r="D118" s="7" t="s">
        <v>460</v>
      </c>
      <c r="E118" s="8" t="s">
        <v>461</v>
      </c>
      <c r="F118" s="6" t="s">
        <v>462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463</v>
      </c>
      <c r="B119" s="6" t="s">
        <v>16</v>
      </c>
      <c r="C119" s="6" t="s">
        <v>12</v>
      </c>
      <c r="D119" s="7" t="s">
        <v>464</v>
      </c>
      <c r="E119" s="8" t="s">
        <v>465</v>
      </c>
      <c r="F119" s="6" t="s">
        <v>466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467</v>
      </c>
      <c r="B120" s="6" t="s">
        <v>30</v>
      </c>
      <c r="C120" s="6" t="s">
        <v>12</v>
      </c>
      <c r="D120" s="7" t="s">
        <v>464</v>
      </c>
      <c r="E120" s="8" t="s">
        <v>468</v>
      </c>
      <c r="F120" s="6" t="s">
        <v>469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470</v>
      </c>
      <c r="B121" s="6" t="s">
        <v>46</v>
      </c>
      <c r="C121" s="6" t="s">
        <v>12</v>
      </c>
      <c r="D121" s="7" t="s">
        <v>471</v>
      </c>
      <c r="E121" s="8" t="s">
        <v>472</v>
      </c>
      <c r="F121" s="6" t="s">
        <v>473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474</v>
      </c>
      <c r="B122" s="6" t="s">
        <v>41</v>
      </c>
      <c r="C122" s="6" t="s">
        <v>12</v>
      </c>
      <c r="D122" s="7" t="s">
        <v>475</v>
      </c>
      <c r="E122" s="8" t="s">
        <v>476</v>
      </c>
      <c r="F122" s="6" t="s">
        <v>477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478</v>
      </c>
      <c r="B123" s="6" t="s">
        <v>46</v>
      </c>
      <c r="C123" s="6" t="s">
        <v>12</v>
      </c>
      <c r="D123" s="7" t="s">
        <v>479</v>
      </c>
      <c r="E123" s="8" t="s">
        <v>480</v>
      </c>
      <c r="F123" s="6" t="s">
        <v>481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482</v>
      </c>
      <c r="B124" s="6" t="s">
        <v>10</v>
      </c>
      <c r="C124" s="6" t="s">
        <v>12</v>
      </c>
      <c r="D124" s="7" t="s">
        <v>483</v>
      </c>
      <c r="E124" s="8" t="s">
        <v>484</v>
      </c>
      <c r="F124" s="6" t="s">
        <v>485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486</v>
      </c>
      <c r="B125" s="6" t="s">
        <v>55</v>
      </c>
      <c r="C125" s="6" t="s">
        <v>12</v>
      </c>
      <c r="D125" s="7" t="s">
        <v>403</v>
      </c>
      <c r="E125" s="8" t="s">
        <v>487</v>
      </c>
      <c r="F125" s="6" t="s">
        <v>488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489</v>
      </c>
      <c r="B126" s="6" t="s">
        <v>16</v>
      </c>
      <c r="C126" s="6" t="s">
        <v>12</v>
      </c>
      <c r="D126" s="7" t="s">
        <v>490</v>
      </c>
      <c r="E126" s="8" t="s">
        <v>491</v>
      </c>
      <c r="F126" s="6" t="s">
        <v>492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493</v>
      </c>
      <c r="B127" s="6" t="s">
        <v>10</v>
      </c>
      <c r="C127" s="6" t="s">
        <v>12</v>
      </c>
      <c r="D127" s="7" t="s">
        <v>494</v>
      </c>
      <c r="E127" s="8" t="s">
        <v>495</v>
      </c>
      <c r="F127" s="6" t="s">
        <v>496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497</v>
      </c>
      <c r="B128" s="6" t="s">
        <v>16</v>
      </c>
      <c r="C128" s="6" t="s">
        <v>12</v>
      </c>
      <c r="D128" s="7" t="s">
        <v>498</v>
      </c>
      <c r="E128" s="8" t="s">
        <v>499</v>
      </c>
      <c r="F128" s="6" t="s">
        <v>500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501</v>
      </c>
      <c r="B129" s="6" t="s">
        <v>22</v>
      </c>
      <c r="C129" s="6" t="s">
        <v>12</v>
      </c>
      <c r="D129" s="7" t="s">
        <v>502</v>
      </c>
      <c r="E129" s="8" t="s">
        <v>503</v>
      </c>
      <c r="F129" s="6" t="s">
        <v>504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505</v>
      </c>
      <c r="B130" s="6" t="s">
        <v>16</v>
      </c>
      <c r="C130" s="6" t="s">
        <v>12</v>
      </c>
      <c r="D130" s="7" t="s">
        <v>506</v>
      </c>
      <c r="E130" s="8" t="s">
        <v>507</v>
      </c>
      <c r="F130" s="6" t="s">
        <v>508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509</v>
      </c>
      <c r="B131" s="6" t="s">
        <v>16</v>
      </c>
      <c r="C131" s="6" t="s">
        <v>510</v>
      </c>
      <c r="D131" s="7" t="s">
        <v>511</v>
      </c>
      <c r="E131" s="8" t="s">
        <v>512</v>
      </c>
      <c r="F131" s="6" t="s">
        <v>513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514</v>
      </c>
      <c r="B132" s="6" t="s">
        <v>26</v>
      </c>
      <c r="C132" s="6" t="s">
        <v>12</v>
      </c>
      <c r="D132" s="7" t="s">
        <v>511</v>
      </c>
      <c r="E132" s="8" t="s">
        <v>515</v>
      </c>
      <c r="F132" s="6" t="s">
        <v>516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517</v>
      </c>
      <c r="B133" s="6" t="s">
        <v>105</v>
      </c>
      <c r="C133" s="6" t="s">
        <v>12</v>
      </c>
      <c r="D133" s="7" t="s">
        <v>518</v>
      </c>
      <c r="E133" s="8" t="s">
        <v>519</v>
      </c>
      <c r="F133" s="6" t="s">
        <v>520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521</v>
      </c>
      <c r="B134" s="6" t="s">
        <v>16</v>
      </c>
      <c r="C134" s="6" t="s">
        <v>12</v>
      </c>
      <c r="D134" s="7" t="s">
        <v>367</v>
      </c>
      <c r="E134" s="8" t="s">
        <v>522</v>
      </c>
      <c r="F134" s="6" t="s">
        <v>523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524</v>
      </c>
      <c r="B135" s="6" t="s">
        <v>21</v>
      </c>
      <c r="C135" s="6" t="s">
        <v>12</v>
      </c>
      <c r="D135" s="7" t="s">
        <v>367</v>
      </c>
      <c r="E135" s="8" t="s">
        <v>525</v>
      </c>
      <c r="F135" s="6" t="s">
        <v>526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527</v>
      </c>
      <c r="B136" s="6" t="s">
        <v>82</v>
      </c>
      <c r="C136" s="6" t="s">
        <v>12</v>
      </c>
      <c r="D136" s="7" t="s">
        <v>528</v>
      </c>
      <c r="E136" s="8" t="s">
        <v>529</v>
      </c>
      <c r="F136" s="6" t="s">
        <v>530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531</v>
      </c>
      <c r="B137" s="6" t="s">
        <v>10</v>
      </c>
      <c r="C137" s="6" t="s">
        <v>12</v>
      </c>
      <c r="D137" s="7" t="s">
        <v>532</v>
      </c>
      <c r="E137" s="8" t="s">
        <v>533</v>
      </c>
      <c r="F137" s="6" t="s">
        <v>534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535</v>
      </c>
      <c r="B138" s="6" t="s">
        <v>16</v>
      </c>
      <c r="C138" s="6" t="s">
        <v>12</v>
      </c>
      <c r="D138" s="7" t="s">
        <v>59</v>
      </c>
      <c r="E138" s="8" t="s">
        <v>536</v>
      </c>
      <c r="F138" s="6" t="s">
        <v>537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538</v>
      </c>
      <c r="B139" s="6" t="s">
        <v>26</v>
      </c>
      <c r="C139" s="6" t="s">
        <v>12</v>
      </c>
      <c r="D139" s="7" t="s">
        <v>539</v>
      </c>
      <c r="E139" s="8" t="s">
        <v>540</v>
      </c>
      <c r="F139" s="6" t="s">
        <v>541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542</v>
      </c>
      <c r="B140" s="6" t="s">
        <v>11</v>
      </c>
      <c r="C140" s="6" t="s">
        <v>12</v>
      </c>
      <c r="D140" s="7" t="s">
        <v>543</v>
      </c>
      <c r="E140" s="8" t="s">
        <v>544</v>
      </c>
      <c r="F140" s="6" t="s">
        <v>545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546</v>
      </c>
      <c r="B141" s="6" t="s">
        <v>16</v>
      </c>
      <c r="C141" s="6" t="s">
        <v>12</v>
      </c>
      <c r="D141" s="7" t="s">
        <v>185</v>
      </c>
      <c r="E141" s="8" t="s">
        <v>547</v>
      </c>
      <c r="F141" s="6" t="s">
        <v>548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549</v>
      </c>
      <c r="B142" s="6" t="s">
        <v>17</v>
      </c>
      <c r="C142" s="6" t="s">
        <v>12</v>
      </c>
      <c r="D142" s="7" t="s">
        <v>550</v>
      </c>
      <c r="E142" s="8" t="s">
        <v>551</v>
      </c>
      <c r="F142" s="6" t="s">
        <v>552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553</v>
      </c>
      <c r="B143" s="6" t="s">
        <v>26</v>
      </c>
      <c r="C143" s="6" t="s">
        <v>12</v>
      </c>
      <c r="D143" s="7" t="s">
        <v>554</v>
      </c>
      <c r="E143" s="8" t="s">
        <v>555</v>
      </c>
      <c r="F143" s="6" t="s">
        <v>556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557</v>
      </c>
      <c r="B144" s="6" t="s">
        <v>41</v>
      </c>
      <c r="C144" s="6" t="s">
        <v>12</v>
      </c>
      <c r="D144" s="7" t="s">
        <v>375</v>
      </c>
      <c r="E144" s="8" t="s">
        <v>558</v>
      </c>
      <c r="F144" s="6" t="s">
        <v>559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560</v>
      </c>
      <c r="B145" s="6" t="s">
        <v>22</v>
      </c>
      <c r="C145" s="6" t="s">
        <v>12</v>
      </c>
      <c r="D145" s="7" t="s">
        <v>561</v>
      </c>
      <c r="E145" s="8" t="s">
        <v>562</v>
      </c>
      <c r="F145" s="6" t="s">
        <v>563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564</v>
      </c>
      <c r="B146" s="6" t="s">
        <v>16</v>
      </c>
      <c r="C146" s="6" t="s">
        <v>12</v>
      </c>
      <c r="D146" s="7" t="s">
        <v>565</v>
      </c>
      <c r="E146" s="8" t="s">
        <v>566</v>
      </c>
      <c r="F146" s="6" t="s">
        <v>567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568</v>
      </c>
      <c r="B147" s="6" t="s">
        <v>21</v>
      </c>
      <c r="C147" s="6" t="s">
        <v>12</v>
      </c>
      <c r="D147" s="7" t="s">
        <v>569</v>
      </c>
      <c r="E147" s="8" t="s">
        <v>570</v>
      </c>
      <c r="F147" s="6" t="s">
        <v>571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572</v>
      </c>
      <c r="B148" s="6" t="s">
        <v>58</v>
      </c>
      <c r="C148" s="6" t="s">
        <v>12</v>
      </c>
      <c r="D148" s="7" t="s">
        <v>573</v>
      </c>
      <c r="E148" s="8" t="s">
        <v>574</v>
      </c>
      <c r="F148" s="6" t="s">
        <v>575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576</v>
      </c>
      <c r="B149" s="6" t="s">
        <v>16</v>
      </c>
      <c r="C149" s="6" t="s">
        <v>12</v>
      </c>
      <c r="D149" s="7" t="s">
        <v>577</v>
      </c>
      <c r="E149" s="8" t="s">
        <v>578</v>
      </c>
      <c r="F149" s="6" t="s">
        <v>579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580</v>
      </c>
      <c r="B150" s="6" t="s">
        <v>10</v>
      </c>
      <c r="C150" s="6" t="s">
        <v>12</v>
      </c>
      <c r="D150" s="7" t="s">
        <v>581</v>
      </c>
      <c r="E150" s="8" t="s">
        <v>582</v>
      </c>
      <c r="F150" s="6" t="s">
        <v>583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584</v>
      </c>
      <c r="B151" s="6" t="s">
        <v>74</v>
      </c>
      <c r="C151" s="6" t="s">
        <v>12</v>
      </c>
      <c r="D151" s="7" t="s">
        <v>47</v>
      </c>
      <c r="E151" s="8" t="s">
        <v>585</v>
      </c>
      <c r="F151" s="6" t="s">
        <v>586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587</v>
      </c>
      <c r="B152" s="6" t="s">
        <v>78</v>
      </c>
      <c r="C152" s="6" t="s">
        <v>12</v>
      </c>
      <c r="D152" s="7" t="s">
        <v>588</v>
      </c>
      <c r="E152" s="8" t="s">
        <v>589</v>
      </c>
      <c r="F152" s="6" t="s">
        <v>590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591</v>
      </c>
      <c r="B153" s="6" t="s">
        <v>26</v>
      </c>
      <c r="C153" s="6" t="s">
        <v>12</v>
      </c>
      <c r="D153" s="7" t="s">
        <v>592</v>
      </c>
      <c r="E153" s="8" t="s">
        <v>593</v>
      </c>
      <c r="F153" s="6" t="s">
        <v>594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595</v>
      </c>
      <c r="B154" s="6" t="s">
        <v>16</v>
      </c>
      <c r="C154" s="6" t="s">
        <v>12</v>
      </c>
      <c r="D154" s="7" t="s">
        <v>126</v>
      </c>
      <c r="E154" s="8" t="s">
        <v>596</v>
      </c>
      <c r="F154" s="6" t="s">
        <v>597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598</v>
      </c>
      <c r="B155" s="6" t="s">
        <v>16</v>
      </c>
      <c r="C155" s="6" t="s">
        <v>12</v>
      </c>
      <c r="D155" s="7" t="s">
        <v>599</v>
      </c>
      <c r="E155" s="8" t="s">
        <v>600</v>
      </c>
      <c r="F155" s="6" t="s">
        <v>601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602</v>
      </c>
      <c r="B156" s="6" t="s">
        <v>10</v>
      </c>
      <c r="C156" s="6" t="s">
        <v>12</v>
      </c>
      <c r="D156" s="7" t="s">
        <v>603</v>
      </c>
      <c r="E156" s="8" t="s">
        <v>604</v>
      </c>
      <c r="F156" s="6" t="s">
        <v>605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606</v>
      </c>
      <c r="B157" s="6" t="s">
        <v>21</v>
      </c>
      <c r="C157" s="6" t="s">
        <v>12</v>
      </c>
      <c r="D157" s="7" t="s">
        <v>192</v>
      </c>
      <c r="E157" s="8" t="s">
        <v>607</v>
      </c>
      <c r="F157" s="6" t="s">
        <v>608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609</v>
      </c>
      <c r="B158" s="6" t="s">
        <v>30</v>
      </c>
      <c r="C158" s="6" t="s">
        <v>12</v>
      </c>
      <c r="D158" s="7" t="s">
        <v>610</v>
      </c>
      <c r="E158" s="8" t="s">
        <v>611</v>
      </c>
      <c r="F158" s="6" t="s">
        <v>612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613</v>
      </c>
      <c r="B159" s="6" t="s">
        <v>55</v>
      </c>
      <c r="C159" s="6" t="s">
        <v>12</v>
      </c>
      <c r="D159" s="7" t="s">
        <v>614</v>
      </c>
      <c r="E159" s="8" t="s">
        <v>615</v>
      </c>
      <c r="F159" s="6" t="s">
        <v>616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617</v>
      </c>
      <c r="B160" s="6" t="s">
        <v>10</v>
      </c>
      <c r="C160" s="6" t="s">
        <v>12</v>
      </c>
      <c r="D160" s="7" t="s">
        <v>618</v>
      </c>
      <c r="E160" s="8" t="s">
        <v>619</v>
      </c>
      <c r="F160" s="6" t="s">
        <v>620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621</v>
      </c>
      <c r="B161" s="6" t="s">
        <v>109</v>
      </c>
      <c r="C161" s="6" t="s">
        <v>12</v>
      </c>
      <c r="D161" s="7" t="s">
        <v>67</v>
      </c>
      <c r="E161" s="8" t="s">
        <v>622</v>
      </c>
      <c r="F161" s="6" t="s">
        <v>623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624</v>
      </c>
      <c r="B162" s="6" t="s">
        <v>21</v>
      </c>
      <c r="C162" s="6" t="s">
        <v>12</v>
      </c>
      <c r="D162" s="7" t="s">
        <v>59</v>
      </c>
      <c r="E162" s="8" t="s">
        <v>625</v>
      </c>
      <c r="F162" s="6" t="s">
        <v>626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627</v>
      </c>
      <c r="B163" s="6" t="s">
        <v>16</v>
      </c>
      <c r="C163" s="6" t="s">
        <v>12</v>
      </c>
      <c r="D163" s="7" t="s">
        <v>628</v>
      </c>
      <c r="E163" s="8" t="s">
        <v>629</v>
      </c>
      <c r="F163" s="6" t="s">
        <v>630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631</v>
      </c>
      <c r="B164" s="6" t="s">
        <v>21</v>
      </c>
      <c r="C164" s="6" t="s">
        <v>12</v>
      </c>
      <c r="D164" s="7" t="s">
        <v>632</v>
      </c>
      <c r="E164" s="8" t="s">
        <v>633</v>
      </c>
      <c r="F164" s="6" t="s">
        <v>634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635</v>
      </c>
      <c r="B165" s="6" t="s">
        <v>16</v>
      </c>
      <c r="C165" s="6" t="s">
        <v>12</v>
      </c>
      <c r="D165" s="7" t="s">
        <v>636</v>
      </c>
      <c r="E165" s="8" t="s">
        <v>637</v>
      </c>
      <c r="F165" s="6" t="s">
        <v>638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639</v>
      </c>
      <c r="B166" s="6" t="s">
        <v>21</v>
      </c>
      <c r="C166" s="6" t="s">
        <v>12</v>
      </c>
      <c r="D166" s="7" t="s">
        <v>75</v>
      </c>
      <c r="E166" s="8" t="s">
        <v>640</v>
      </c>
      <c r="F166" s="6" t="s">
        <v>641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642</v>
      </c>
      <c r="B167" s="6" t="s">
        <v>21</v>
      </c>
      <c r="C167" s="6" t="s">
        <v>12</v>
      </c>
      <c r="D167" s="7" t="s">
        <v>643</v>
      </c>
      <c r="E167" s="8" t="s">
        <v>644</v>
      </c>
      <c r="F167" s="6" t="s">
        <v>645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646</v>
      </c>
      <c r="B168" s="6" t="s">
        <v>16</v>
      </c>
      <c r="C168" s="6" t="s">
        <v>12</v>
      </c>
      <c r="D168" s="7" t="s">
        <v>647</v>
      </c>
      <c r="E168" s="8" t="s">
        <v>648</v>
      </c>
      <c r="F168" s="6" t="s">
        <v>649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650</v>
      </c>
      <c r="B169" s="6" t="s">
        <v>30</v>
      </c>
      <c r="C169" s="6" t="s">
        <v>12</v>
      </c>
      <c r="D169" s="7" t="s">
        <v>47</v>
      </c>
      <c r="E169" s="8" t="s">
        <v>651</v>
      </c>
      <c r="F169" s="6" t="s">
        <v>652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653</v>
      </c>
      <c r="B170" s="6" t="s">
        <v>21</v>
      </c>
      <c r="C170" s="6" t="s">
        <v>12</v>
      </c>
      <c r="D170" s="7" t="s">
        <v>654</v>
      </c>
      <c r="E170" s="8" t="s">
        <v>655</v>
      </c>
      <c r="F170" s="6" t="s">
        <v>656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657</v>
      </c>
      <c r="B171" s="6" t="s">
        <v>22</v>
      </c>
      <c r="C171" s="6" t="s">
        <v>12</v>
      </c>
      <c r="D171" s="7" t="s">
        <v>658</v>
      </c>
      <c r="E171" s="8" t="s">
        <v>659</v>
      </c>
      <c r="F171" s="6" t="s">
        <v>660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661</v>
      </c>
      <c r="B172" s="6" t="s">
        <v>21</v>
      </c>
      <c r="C172" s="6" t="s">
        <v>12</v>
      </c>
      <c r="D172" s="7" t="s">
        <v>219</v>
      </c>
      <c r="E172" s="8" t="s">
        <v>662</v>
      </c>
      <c r="F172" s="6" t="s">
        <v>663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664</v>
      </c>
      <c r="B173" s="6" t="s">
        <v>22</v>
      </c>
      <c r="C173" s="6" t="s">
        <v>12</v>
      </c>
      <c r="D173" s="7" t="s">
        <v>219</v>
      </c>
      <c r="E173" s="8" t="s">
        <v>665</v>
      </c>
      <c r="F173" s="6" t="s">
        <v>666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667</v>
      </c>
      <c r="B174" s="6" t="s">
        <v>16</v>
      </c>
      <c r="C174" s="6" t="s">
        <v>12</v>
      </c>
      <c r="D174" s="7" t="s">
        <v>668</v>
      </c>
      <c r="E174" s="8" t="s">
        <v>669</v>
      </c>
      <c r="F174" s="6" t="s">
        <v>670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671</v>
      </c>
      <c r="B175" s="6" t="s">
        <v>30</v>
      </c>
      <c r="C175" s="6" t="s">
        <v>12</v>
      </c>
      <c r="D175" s="7" t="s">
        <v>219</v>
      </c>
      <c r="E175" s="8" t="s">
        <v>672</v>
      </c>
      <c r="F175" s="6" t="s">
        <v>673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674</v>
      </c>
      <c r="B176" s="6" t="s">
        <v>26</v>
      </c>
      <c r="C176" s="6" t="s">
        <v>12</v>
      </c>
      <c r="D176" s="7" t="s">
        <v>658</v>
      </c>
      <c r="E176" s="8" t="s">
        <v>675</v>
      </c>
      <c r="F176" s="6" t="s">
        <v>676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677</v>
      </c>
      <c r="B177" s="6" t="s">
        <v>10</v>
      </c>
      <c r="C177" s="6" t="s">
        <v>12</v>
      </c>
      <c r="D177" s="7" t="s">
        <v>678</v>
      </c>
      <c r="E177" s="8" t="s">
        <v>679</v>
      </c>
      <c r="F177" s="6" t="s">
        <v>680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681</v>
      </c>
      <c r="B178" s="6" t="s">
        <v>10</v>
      </c>
      <c r="C178" s="6" t="s">
        <v>12</v>
      </c>
      <c r="D178" s="7" t="s">
        <v>219</v>
      </c>
      <c r="E178" s="8" t="s">
        <v>682</v>
      </c>
      <c r="F178" s="6" t="s">
        <v>683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684</v>
      </c>
      <c r="B179" s="6" t="s">
        <v>16</v>
      </c>
      <c r="C179" s="6" t="s">
        <v>12</v>
      </c>
      <c r="D179" s="7" t="s">
        <v>219</v>
      </c>
      <c r="E179" s="8" t="s">
        <v>685</v>
      </c>
      <c r="F179" s="6" t="s">
        <v>686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687</v>
      </c>
      <c r="B180" s="6" t="s">
        <v>21</v>
      </c>
      <c r="C180" s="6" t="s">
        <v>12</v>
      </c>
      <c r="D180" s="7" t="s">
        <v>688</v>
      </c>
      <c r="E180" s="8" t="s">
        <v>689</v>
      </c>
      <c r="F180" s="6" t="s">
        <v>690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691</v>
      </c>
      <c r="B181" s="6" t="s">
        <v>16</v>
      </c>
      <c r="C181" s="6" t="s">
        <v>12</v>
      </c>
      <c r="D181" s="7" t="s">
        <v>688</v>
      </c>
      <c r="E181" s="8" t="s">
        <v>692</v>
      </c>
      <c r="F181" s="6" t="s">
        <v>693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694</v>
      </c>
      <c r="B182" s="6" t="s">
        <v>21</v>
      </c>
      <c r="C182" s="6" t="s">
        <v>12</v>
      </c>
      <c r="D182" s="7" t="s">
        <v>506</v>
      </c>
      <c r="E182" s="8" t="s">
        <v>695</v>
      </c>
      <c r="F182" s="6" t="s">
        <v>696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  <row r="183" spans="1:10" ht="60" customHeight="1">
      <c r="A183" s="6" t="s">
        <v>697</v>
      </c>
      <c r="B183" s="6" t="s">
        <v>11</v>
      </c>
      <c r="C183" s="6" t="s">
        <v>12</v>
      </c>
      <c r="D183" s="7" t="s">
        <v>169</v>
      </c>
      <c r="E183" s="8" t="s">
        <v>698</v>
      </c>
      <c r="F183" s="6" t="s">
        <v>699</v>
      </c>
      <c r="G183" s="9">
        <f>IF(A183=1,"_",IF(C183="_","???",C183))</f>
        <v/>
      </c>
      <c r="H183" s="10" t="s">
        <v>12</v>
      </c>
      <c r="I183" s="11" t="s">
        <v>12</v>
      </c>
      <c r="J183" s="12"/>
    </row>
    <row r="184" spans="1:10" ht="60" customHeight="1">
      <c r="A184" s="6" t="s">
        <v>700</v>
      </c>
      <c r="B184" s="6" t="s">
        <v>21</v>
      </c>
      <c r="C184" s="6" t="s">
        <v>12</v>
      </c>
      <c r="D184" s="7" t="s">
        <v>701</v>
      </c>
      <c r="E184" s="8" t="s">
        <v>702</v>
      </c>
      <c r="F184" s="6" t="s">
        <v>703</v>
      </c>
      <c r="G184" s="9">
        <f>IF(A184=1,"_",IF(C184="_","???",C184))</f>
        <v/>
      </c>
      <c r="H184" s="10" t="s">
        <v>12</v>
      </c>
      <c r="I184" s="11" t="s">
        <v>12</v>
      </c>
      <c r="J184" s="12"/>
    </row>
    <row r="185" spans="1:10" ht="60" customHeight="1">
      <c r="A185" s="6" t="s">
        <v>704</v>
      </c>
      <c r="B185" s="6" t="s">
        <v>16</v>
      </c>
      <c r="C185" s="6" t="s">
        <v>12</v>
      </c>
      <c r="D185" s="7" t="s">
        <v>47</v>
      </c>
      <c r="E185" s="8" t="s">
        <v>705</v>
      </c>
      <c r="F185" s="6" t="s">
        <v>706</v>
      </c>
      <c r="G185" s="9">
        <f>IF(A185=1,"_",IF(C185="_","???",C185))</f>
        <v/>
      </c>
      <c r="H185" s="10" t="s">
        <v>12</v>
      </c>
      <c r="I185" s="11" t="s">
        <v>12</v>
      </c>
      <c r="J185" s="12"/>
    </row>
    <row r="186" spans="1:10" ht="60" customHeight="1">
      <c r="A186" s="6" t="s">
        <v>707</v>
      </c>
      <c r="B186" s="6" t="s">
        <v>16</v>
      </c>
      <c r="C186" s="6" t="s">
        <v>12</v>
      </c>
      <c r="D186" s="7" t="s">
        <v>701</v>
      </c>
      <c r="E186" s="8" t="s">
        <v>708</v>
      </c>
      <c r="F186" s="6" t="s">
        <v>709</v>
      </c>
      <c r="G186" s="9">
        <f>IF(A186=1,"_",IF(C186="_","???",C186))</f>
        <v/>
      </c>
      <c r="H186" s="10" t="s">
        <v>12</v>
      </c>
      <c r="I186" s="11" t="s">
        <v>12</v>
      </c>
      <c r="J186" s="12"/>
    </row>
    <row r="187" spans="1:10" ht="60" customHeight="1">
      <c r="A187" s="6" t="s">
        <v>710</v>
      </c>
      <c r="B187" s="6" t="s">
        <v>22</v>
      </c>
      <c r="C187" s="6" t="s">
        <v>12</v>
      </c>
      <c r="D187" s="7" t="s">
        <v>711</v>
      </c>
      <c r="E187" s="8" t="s">
        <v>712</v>
      </c>
      <c r="F187" s="6" t="s">
        <v>713</v>
      </c>
      <c r="G187" s="9">
        <f>IF(A187=1,"_",IF(C187="_","???",C187))</f>
        <v/>
      </c>
      <c r="H187" s="10" t="s">
        <v>12</v>
      </c>
      <c r="I187" s="11" t="s">
        <v>12</v>
      </c>
      <c r="J187" s="12"/>
    </row>
    <row r="188" spans="1:10" ht="60" customHeight="1">
      <c r="A188" s="6" t="s">
        <v>714</v>
      </c>
      <c r="B188" s="6" t="s">
        <v>22</v>
      </c>
      <c r="C188" s="6" t="s">
        <v>12</v>
      </c>
      <c r="D188" s="7" t="s">
        <v>47</v>
      </c>
      <c r="E188" s="8" t="s">
        <v>715</v>
      </c>
      <c r="F188" s="6" t="s">
        <v>716</v>
      </c>
      <c r="G188" s="9">
        <f>IF(A188=1,"_",IF(C188="_","???",C188))</f>
        <v/>
      </c>
      <c r="H188" s="10" t="s">
        <v>12</v>
      </c>
      <c r="I188" s="11" t="s">
        <v>12</v>
      </c>
      <c r="J188" s="12"/>
    </row>
    <row r="189" spans="1:10" ht="60" customHeight="1">
      <c r="A189" s="6" t="s">
        <v>717</v>
      </c>
      <c r="B189" s="6" t="s">
        <v>16</v>
      </c>
      <c r="C189" s="6" t="s">
        <v>12</v>
      </c>
      <c r="D189" s="7" t="s">
        <v>192</v>
      </c>
      <c r="E189" s="8" t="s">
        <v>718</v>
      </c>
      <c r="F189" s="6" t="s">
        <v>719</v>
      </c>
      <c r="G189" s="9">
        <f>IF(A189=1,"_",IF(C189="_","???",C189))</f>
        <v/>
      </c>
      <c r="H189" s="10" t="s">
        <v>12</v>
      </c>
      <c r="I189" s="11" t="s">
        <v>12</v>
      </c>
      <c r="J189" s="12"/>
    </row>
    <row r="190" spans="1:10" ht="60" customHeight="1">
      <c r="A190" s="6" t="s">
        <v>720</v>
      </c>
      <c r="B190" s="6" t="s">
        <v>46</v>
      </c>
      <c r="C190" s="6" t="s">
        <v>12</v>
      </c>
      <c r="D190" s="7" t="s">
        <v>721</v>
      </c>
      <c r="E190" s="8" t="s">
        <v>722</v>
      </c>
      <c r="F190" s="6" t="s">
        <v>723</v>
      </c>
      <c r="G190" s="9">
        <f>IF(A190=1,"_",IF(C190="_","???",C190))</f>
        <v/>
      </c>
      <c r="H190" s="10" t="s">
        <v>12</v>
      </c>
      <c r="I190" s="11" t="s">
        <v>12</v>
      </c>
      <c r="J190" s="12"/>
    </row>
    <row r="191" spans="1:10" ht="60" customHeight="1">
      <c r="A191" s="6" t="s">
        <v>724</v>
      </c>
      <c r="B191" s="6" t="s">
        <v>26</v>
      </c>
      <c r="C191" s="6" t="s">
        <v>12</v>
      </c>
      <c r="D191" s="7" t="s">
        <v>185</v>
      </c>
      <c r="E191" s="8" t="s">
        <v>725</v>
      </c>
      <c r="F191" s="6" t="s">
        <v>726</v>
      </c>
      <c r="G191" s="9">
        <f>IF(A191=1,"_",IF(C191="_","???",C191))</f>
        <v/>
      </c>
      <c r="H191" s="10" t="s">
        <v>12</v>
      </c>
      <c r="I191" s="11" t="s">
        <v>12</v>
      </c>
      <c r="J191" s="12"/>
    </row>
    <row r="192" spans="1:10" ht="60" customHeight="1">
      <c r="A192" s="6" t="s">
        <v>727</v>
      </c>
      <c r="B192" s="6" t="s">
        <v>86</v>
      </c>
      <c r="C192" s="6" t="s">
        <v>12</v>
      </c>
      <c r="D192" s="7" t="s">
        <v>728</v>
      </c>
      <c r="E192" s="8" t="s">
        <v>729</v>
      </c>
      <c r="F192" s="6" t="s">
        <v>730</v>
      </c>
      <c r="G192" s="9">
        <f>IF(A192=1,"_",IF(C192="_","???",C192))</f>
        <v/>
      </c>
      <c r="H192" s="10" t="s">
        <v>12</v>
      </c>
      <c r="I192" s="11" t="s">
        <v>12</v>
      </c>
      <c r="J192" s="12"/>
    </row>
    <row r="193" spans="1:10" ht="60" customHeight="1">
      <c r="A193" s="6" t="s">
        <v>731</v>
      </c>
      <c r="B193" s="6" t="s">
        <v>16</v>
      </c>
      <c r="C193" s="6" t="s">
        <v>12</v>
      </c>
      <c r="D193" s="7" t="s">
        <v>456</v>
      </c>
      <c r="E193" s="8" t="s">
        <v>732</v>
      </c>
      <c r="F193" s="6" t="s">
        <v>733</v>
      </c>
      <c r="G193" s="9">
        <f>IF(A193=1,"_",IF(C193="_","???",C193))</f>
        <v/>
      </c>
      <c r="H193" s="10" t="s">
        <v>12</v>
      </c>
      <c r="I193" s="11" t="s">
        <v>12</v>
      </c>
      <c r="J193" s="12"/>
    </row>
    <row r="194" spans="1:10" ht="60" customHeight="1">
      <c r="A194" s="6" t="s">
        <v>734</v>
      </c>
      <c r="B194" s="6" t="s">
        <v>16</v>
      </c>
      <c r="C194" s="6" t="s">
        <v>12</v>
      </c>
      <c r="D194" s="7" t="s">
        <v>735</v>
      </c>
      <c r="E194" s="8" t="s">
        <v>736</v>
      </c>
      <c r="F194" s="6" t="s">
        <v>737</v>
      </c>
      <c r="G194" s="9">
        <f>IF(A194=1,"_",IF(C194="_","???",C194))</f>
        <v/>
      </c>
      <c r="H194" s="10" t="s">
        <v>12</v>
      </c>
      <c r="I194" s="11" t="s">
        <v>12</v>
      </c>
      <c r="J194" s="12"/>
    </row>
    <row r="195" spans="1:10" ht="60" customHeight="1">
      <c r="A195" s="6" t="s">
        <v>738</v>
      </c>
      <c r="B195" s="6" t="s">
        <v>30</v>
      </c>
      <c r="C195" s="6" t="s">
        <v>12</v>
      </c>
      <c r="D195" s="7" t="s">
        <v>47</v>
      </c>
      <c r="E195" s="8" t="s">
        <v>739</v>
      </c>
      <c r="F195" s="6" t="s">
        <v>740</v>
      </c>
      <c r="G195" s="9">
        <f>IF(A195=1,"_",IF(C195="_","???",C195))</f>
        <v/>
      </c>
      <c r="H195" s="10" t="s">
        <v>12</v>
      </c>
      <c r="I195" s="11" t="s">
        <v>12</v>
      </c>
      <c r="J195" s="12"/>
    </row>
    <row r="196" spans="1:10" ht="60" customHeight="1">
      <c r="A196" s="6" t="s">
        <v>741</v>
      </c>
      <c r="B196" s="6" t="s">
        <v>16</v>
      </c>
      <c r="C196" s="6" t="s">
        <v>12</v>
      </c>
      <c r="D196" s="7" t="s">
        <v>340</v>
      </c>
      <c r="E196" s="8" t="s">
        <v>742</v>
      </c>
      <c r="F196" s="6" t="s">
        <v>743</v>
      </c>
      <c r="G196" s="9">
        <f>IF(A196=1,"_",IF(C196="_","???",C196))</f>
        <v/>
      </c>
      <c r="H196" s="10" t="s">
        <v>12</v>
      </c>
      <c r="I196" s="11" t="s">
        <v>12</v>
      </c>
      <c r="J196" s="12"/>
    </row>
    <row r="197" spans="1:10" ht="60" customHeight="1">
      <c r="A197" s="6" t="s">
        <v>744</v>
      </c>
      <c r="B197" s="6" t="s">
        <v>21</v>
      </c>
      <c r="C197" s="6" t="s">
        <v>12</v>
      </c>
      <c r="D197" s="7" t="s">
        <v>192</v>
      </c>
      <c r="E197" s="8" t="s">
        <v>745</v>
      </c>
      <c r="F197" s="6" t="s">
        <v>746</v>
      </c>
      <c r="G197" s="9">
        <f>IF(A197=1,"_",IF(C197="_","???",C197))</f>
        <v/>
      </c>
      <c r="H197" s="10" t="s">
        <v>12</v>
      </c>
      <c r="I197" s="11" t="s">
        <v>12</v>
      </c>
      <c r="J197" s="12"/>
    </row>
    <row r="198" spans="1:10" ht="60" customHeight="1">
      <c r="A198" s="6" t="s">
        <v>747</v>
      </c>
      <c r="B198" s="6" t="s">
        <v>30</v>
      </c>
      <c r="C198" s="6" t="s">
        <v>66</v>
      </c>
      <c r="D198" s="7" t="s">
        <v>518</v>
      </c>
      <c r="E198" s="8" t="s">
        <v>748</v>
      </c>
      <c r="F198" s="6" t="s">
        <v>749</v>
      </c>
      <c r="G198" s="9">
        <f>IF(A198=1,"_",IF(C198="_","???",C198))</f>
        <v/>
      </c>
      <c r="H198" s="10" t="s">
        <v>12</v>
      </c>
      <c r="I198" s="11" t="s">
        <v>12</v>
      </c>
      <c r="J198" s="12"/>
    </row>
    <row r="199" spans="1:10" ht="60" customHeight="1">
      <c r="A199" s="6" t="s">
        <v>750</v>
      </c>
      <c r="B199" s="6" t="s">
        <v>26</v>
      </c>
      <c r="C199" s="6" t="s">
        <v>12</v>
      </c>
      <c r="D199" s="7" t="s">
        <v>751</v>
      </c>
      <c r="E199" s="8" t="s">
        <v>752</v>
      </c>
      <c r="F199" s="6" t="s">
        <v>753</v>
      </c>
      <c r="G199" s="9">
        <f>IF(A199=1,"_",IF(C199="_","???",C199))</f>
        <v/>
      </c>
      <c r="H199" s="10" t="s">
        <v>12</v>
      </c>
      <c r="I199" s="11" t="s">
        <v>12</v>
      </c>
      <c r="J199" s="12"/>
    </row>
    <row r="200" spans="1:10" ht="60" customHeight="1">
      <c r="A200" s="6" t="s">
        <v>754</v>
      </c>
      <c r="B200" s="6" t="s">
        <v>21</v>
      </c>
      <c r="C200" s="6" t="s">
        <v>12</v>
      </c>
      <c r="D200" s="7" t="s">
        <v>75</v>
      </c>
      <c r="E200" s="8" t="s">
        <v>755</v>
      </c>
      <c r="F200" s="6" t="s">
        <v>756</v>
      </c>
      <c r="G200" s="9">
        <f>IF(A200=1,"_",IF(C200="_","???",C200))</f>
        <v/>
      </c>
      <c r="H200" s="10" t="s">
        <v>12</v>
      </c>
      <c r="I200" s="11" t="s">
        <v>12</v>
      </c>
      <c r="J200" s="12"/>
    </row>
    <row r="201" spans="1:10" ht="60" customHeight="1">
      <c r="A201" s="6" t="s">
        <v>757</v>
      </c>
      <c r="B201" s="6" t="s">
        <v>45</v>
      </c>
      <c r="C201" s="6" t="s">
        <v>12</v>
      </c>
      <c r="D201" s="7" t="s">
        <v>758</v>
      </c>
      <c r="E201" s="8" t="s">
        <v>759</v>
      </c>
      <c r="F201" s="6" t="s">
        <v>760</v>
      </c>
      <c r="G201" s="9">
        <f>IF(A201=1,"_",IF(C201="_","???",C201))</f>
        <v/>
      </c>
      <c r="H201" s="10" t="s">
        <v>12</v>
      </c>
      <c r="I201" s="11" t="s">
        <v>12</v>
      </c>
      <c r="J201" s="12"/>
    </row>
    <row r="202" spans="1:10" ht="60" customHeight="1">
      <c r="A202" s="6" t="s">
        <v>761</v>
      </c>
      <c r="B202" s="6" t="s">
        <v>16</v>
      </c>
      <c r="C202" s="6" t="s">
        <v>12</v>
      </c>
      <c r="D202" s="7" t="s">
        <v>126</v>
      </c>
      <c r="E202" s="8" t="s">
        <v>762</v>
      </c>
      <c r="F202" s="6" t="s">
        <v>763</v>
      </c>
      <c r="G202" s="9">
        <f>IF(A202=1,"_",IF(C202="_","???",C202))</f>
        <v/>
      </c>
      <c r="H202" s="10" t="s">
        <v>12</v>
      </c>
      <c r="I202" s="11" t="s">
        <v>12</v>
      </c>
      <c r="J202" s="12"/>
    </row>
    <row r="203" spans="1:10" ht="60" customHeight="1">
      <c r="A203" s="6" t="s">
        <v>764</v>
      </c>
      <c r="B203" s="6" t="s">
        <v>17</v>
      </c>
      <c r="C203" s="6" t="s">
        <v>12</v>
      </c>
      <c r="D203" s="7" t="s">
        <v>765</v>
      </c>
      <c r="E203" s="8" t="s">
        <v>766</v>
      </c>
      <c r="F203" s="6" t="s">
        <v>767</v>
      </c>
      <c r="G203" s="9">
        <f>IF(A203=1,"_",IF(C203="_","???",C203))</f>
        <v/>
      </c>
      <c r="H203" s="10" t="s">
        <v>12</v>
      </c>
      <c r="I203" s="11" t="s">
        <v>12</v>
      </c>
      <c r="J203" s="12"/>
    </row>
    <row r="204" spans="1:10" ht="60" customHeight="1">
      <c r="A204" s="6" t="s">
        <v>768</v>
      </c>
      <c r="B204" s="6" t="s">
        <v>41</v>
      </c>
      <c r="C204" s="6" t="s">
        <v>12</v>
      </c>
      <c r="D204" s="7" t="s">
        <v>511</v>
      </c>
      <c r="E204" s="8" t="s">
        <v>769</v>
      </c>
      <c r="F204" s="6" t="s">
        <v>770</v>
      </c>
      <c r="G204" s="9">
        <f>IF(A204=1,"_",IF(C204="_","???",C204))</f>
        <v/>
      </c>
      <c r="H204" s="10" t="s">
        <v>12</v>
      </c>
      <c r="I204" s="11" t="s">
        <v>12</v>
      </c>
      <c r="J204" s="12"/>
    </row>
    <row r="205" spans="1:10" ht="60" customHeight="1">
      <c r="A205" s="6" t="s">
        <v>771</v>
      </c>
      <c r="B205" s="6" t="s">
        <v>30</v>
      </c>
      <c r="C205" s="6" t="s">
        <v>12</v>
      </c>
      <c r="D205" s="7" t="s">
        <v>592</v>
      </c>
      <c r="E205" s="8" t="s">
        <v>772</v>
      </c>
      <c r="F205" s="6" t="s">
        <v>773</v>
      </c>
      <c r="G205" s="9">
        <f>IF(A205=1,"_",IF(C205="_","???",C205))</f>
        <v/>
      </c>
      <c r="H205" s="10" t="s">
        <v>12</v>
      </c>
      <c r="I205" s="11" t="s">
        <v>12</v>
      </c>
      <c r="J205" s="12"/>
    </row>
    <row r="206" spans="1:10" ht="60" customHeight="1">
      <c r="A206" s="6" t="s">
        <v>774</v>
      </c>
      <c r="B206" s="6" t="s">
        <v>10</v>
      </c>
      <c r="C206" s="6" t="s">
        <v>12</v>
      </c>
      <c r="D206" s="7" t="s">
        <v>775</v>
      </c>
      <c r="E206" s="8" t="s">
        <v>776</v>
      </c>
      <c r="F206" s="6" t="s">
        <v>777</v>
      </c>
      <c r="G206" s="9">
        <f>IF(A206=1,"_",IF(C206="_","???",C206))</f>
        <v/>
      </c>
      <c r="H206" s="10" t="s">
        <v>12</v>
      </c>
      <c r="I206" s="11" t="s">
        <v>12</v>
      </c>
      <c r="J20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778</v>
      </c>
      <c r="B1" s="13" t="s">
        <v>779</v>
      </c>
      <c r="C1" s="13" t="s">
        <v>780</v>
      </c>
      <c r="D1" s="13" t="s">
        <v>781</v>
      </c>
      <c r="E1" s="14" t="s">
        <v>782</v>
      </c>
      <c r="F1" s="15" t="s">
        <v>783</v>
      </c>
      <c r="G1" s="16" t="s">
        <v>784</v>
      </c>
      <c r="H1" s="17" t="s">
        <v>785</v>
      </c>
      <c r="I1" s="18" t="s">
        <v>786</v>
      </c>
      <c r="J1" s="18" t="s">
        <v>787</v>
      </c>
      <c r="K1" s="18" t="s">
        <v>788</v>
      </c>
      <c r="L1" s="19" t="s">
        <v>9</v>
      </c>
    </row>
    <row r="2" spans="1:12">
      <c r="A2" s="20" t="s">
        <v>789</v>
      </c>
    </row>
    <row r="3" spans="1:12">
      <c r="A3" s="20" t="s">
        <v>790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791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792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793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794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795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796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797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798</v>
      </c>
      <c r="B11" s="27" t="s">
        <v>799</v>
      </c>
      <c r="C11" s="27" t="s">
        <v>800</v>
      </c>
      <c r="D11" s="27" t="s">
        <v>801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802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13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803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/>
    </row>
    <row r="16" spans="1:12">
      <c r="A16" s="20" t="s">
        <v>804</v>
      </c>
    </row>
    <row r="17" spans="1:12">
      <c r="A17" s="20" t="s">
        <v>805</v>
      </c>
      <c r="B17" s="27" t="s">
        <v>799</v>
      </c>
      <c r="C17" s="27" t="s">
        <v>800</v>
      </c>
      <c r="D17" s="27" t="s">
        <v>801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806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795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807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795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808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809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795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810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811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812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793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813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803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/>
    </row>
    <row r="33" spans="1:12">
      <c r="A33" s="20" t="s">
        <v>814</v>
      </c>
    </row>
    <row r="34" spans="1:12">
      <c r="A34" s="20" t="s">
        <v>815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795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325</v>
      </c>
      <c r="B36" s="27" t="s">
        <v>799</v>
      </c>
      <c r="C36" s="27" t="s">
        <v>816</v>
      </c>
      <c r="D36" s="27" t="s">
        <v>801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817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818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819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795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817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818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820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795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821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822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817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823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824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795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825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826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827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828</v>
      </c>
      <c r="B54" s="27" t="s">
        <v>829</v>
      </c>
      <c r="C54" s="27" t="s">
        <v>816</v>
      </c>
      <c r="D54" s="27" t="s">
        <v>801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830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817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831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822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827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832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833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803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834</v>
      </c>
    </row>
    <row r="65" spans="1:12">
      <c r="A65" s="20" t="s">
        <v>805</v>
      </c>
      <c r="B65" s="27" t="s">
        <v>799</v>
      </c>
      <c r="C65" s="27" t="s">
        <v>800</v>
      </c>
      <c r="D65" s="27" t="s">
        <v>801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835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836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837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838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839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837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840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841</v>
      </c>
      <c r="B73" s="27" t="s">
        <v>842</v>
      </c>
      <c r="C73" s="27" t="s">
        <v>843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795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844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845</v>
      </c>
      <c r="B76" s="27" t="s">
        <v>846</v>
      </c>
      <c r="C76" s="27" t="s">
        <v>816</v>
      </c>
      <c r="D76" s="27" t="s">
        <v>801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835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847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848</v>
      </c>
      <c r="B79" s="27" t="s">
        <v>849</v>
      </c>
      <c r="C79" s="27" t="s">
        <v>843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803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/>
    </row>
    <row r="82" spans="1:12">
      <c r="A82" s="20" t="s">
        <v>850</v>
      </c>
    </row>
    <row r="83" spans="1:12">
      <c r="A83" s="20" t="s">
        <v>851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852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853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854</v>
      </c>
      <c r="B86" s="27" t="s">
        <v>799</v>
      </c>
      <c r="C86" s="27" t="s">
        <v>855</v>
      </c>
      <c r="D86" s="27" t="s">
        <v>801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856</v>
      </c>
      <c r="B87" s="27" t="s">
        <v>857</v>
      </c>
      <c r="C87" s="27" t="s">
        <v>858</v>
      </c>
      <c r="D87" s="27" t="s">
        <v>801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859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860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861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862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863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864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827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865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866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803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867</v>
      </c>
    </row>
    <row r="100" spans="1:12">
      <c r="A100" s="20" t="s">
        <v>868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869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870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871</v>
      </c>
      <c r="B103" s="27" t="s">
        <v>842</v>
      </c>
      <c r="C103" s="27" t="s">
        <v>855</v>
      </c>
      <c r="D103" s="27" t="s">
        <v>801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837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872</v>
      </c>
      <c r="B105" s="27" t="s">
        <v>842</v>
      </c>
      <c r="C105" s="27" t="s">
        <v>800</v>
      </c>
      <c r="D105" s="27" t="s">
        <v>801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795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822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873</v>
      </c>
      <c r="B108" s="27" t="s">
        <v>874</v>
      </c>
      <c r="C108" s="27" t="s">
        <v>816</v>
      </c>
      <c r="D108" s="27" t="s">
        <v>801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875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793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876</v>
      </c>
      <c r="B111" s="27" t="s">
        <v>846</v>
      </c>
      <c r="C111" s="27" t="s">
        <v>800</v>
      </c>
      <c r="D111" s="27" t="s">
        <v>801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795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877</v>
      </c>
      <c r="B113" s="27" t="s">
        <v>878</v>
      </c>
      <c r="C113" s="27" t="s">
        <v>879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835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827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880</v>
      </c>
      <c r="B116" s="27" t="s">
        <v>829</v>
      </c>
      <c r="C116" s="27" t="s">
        <v>800</v>
      </c>
      <c r="D116" s="27" t="s">
        <v>801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795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877</v>
      </c>
      <c r="B118" s="27" t="s">
        <v>881</v>
      </c>
      <c r="C118" s="27" t="s">
        <v>879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882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883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/>
    </row>
    <row r="122" spans="1:12">
      <c r="A122" s="20" t="s">
        <v>884</v>
      </c>
    </row>
    <row r="123" spans="1:12">
      <c r="A123" s="20" t="s">
        <v>885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886</v>
      </c>
      <c r="B124" s="27" t="s">
        <v>799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887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837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888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883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889</v>
      </c>
    </row>
    <row r="131" spans="1:12">
      <c r="A131" s="20" t="s">
        <v>890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845</v>
      </c>
      <c r="B132" s="27" t="s">
        <v>891</v>
      </c>
      <c r="C132" s="27" t="s">
        <v>816</v>
      </c>
      <c r="D132" s="27" t="s">
        <v>801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835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892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893</v>
      </c>
      <c r="B135" s="27" t="s">
        <v>849</v>
      </c>
      <c r="C135" s="27" t="s">
        <v>843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795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873</v>
      </c>
      <c r="B137" s="27" t="s">
        <v>799</v>
      </c>
      <c r="C137" s="27" t="s">
        <v>816</v>
      </c>
      <c r="D137" s="27" t="s">
        <v>801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894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895</v>
      </c>
      <c r="B139" s="27" t="s">
        <v>857</v>
      </c>
      <c r="C139" s="27" t="s">
        <v>896</v>
      </c>
      <c r="D139" s="27" t="s">
        <v>801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897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825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898</v>
      </c>
      <c r="B142" s="27" t="s">
        <v>846</v>
      </c>
      <c r="C142" s="27" t="s">
        <v>896</v>
      </c>
      <c r="D142" s="27" t="s">
        <v>801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899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900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837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901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902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803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/>
    </row>
    <row r="150" spans="1:12">
      <c r="A150" s="20" t="s">
        <v>903</v>
      </c>
    </row>
    <row r="151" spans="1:12">
      <c r="A151" s="20" t="s">
        <v>904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876</v>
      </c>
      <c r="B152" s="27" t="s">
        <v>842</v>
      </c>
      <c r="C152" s="27" t="s">
        <v>800</v>
      </c>
      <c r="D152" s="27" t="s">
        <v>801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795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822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905</v>
      </c>
      <c r="B155" s="27" t="s">
        <v>874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906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907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795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908</v>
      </c>
      <c r="B159" s="27" t="s">
        <v>799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909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795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877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910</v>
      </c>
      <c r="B163" s="27" t="s">
        <v>849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911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912</v>
      </c>
      <c r="B165" s="27" t="s">
        <v>846</v>
      </c>
      <c r="C165" s="27" t="s">
        <v>816</v>
      </c>
      <c r="D165" s="27" t="s">
        <v>801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913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914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894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915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863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916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917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803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/>
    </row>
    <row r="175" spans="1:12">
      <c r="A175" s="20" t="s">
        <v>918</v>
      </c>
    </row>
    <row r="176" spans="1:12">
      <c r="A176" s="20" t="s">
        <v>919</v>
      </c>
      <c r="B176" s="27" t="s">
        <v>857</v>
      </c>
      <c r="C176" s="27" t="s">
        <v>896</v>
      </c>
      <c r="D176" s="27" t="s">
        <v>801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920</v>
      </c>
      <c r="B177" s="27" t="s">
        <v>921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922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923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924</v>
      </c>
      <c r="B180" s="27" t="s">
        <v>799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795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925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845</v>
      </c>
      <c r="B183" s="27" t="s">
        <v>891</v>
      </c>
      <c r="C183" s="27" t="s">
        <v>816</v>
      </c>
      <c r="D183" s="27" t="s">
        <v>801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797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926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803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927</v>
      </c>
    </row>
    <row r="189" spans="1:12">
      <c r="A189" s="20" t="s">
        <v>928</v>
      </c>
      <c r="B189" s="27" t="s">
        <v>799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929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795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877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845</v>
      </c>
      <c r="B193" s="27" t="s">
        <v>891</v>
      </c>
      <c r="C193" s="27" t="s">
        <v>816</v>
      </c>
      <c r="D193" s="27" t="s">
        <v>801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930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931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932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924</v>
      </c>
      <c r="B197" s="27" t="s">
        <v>874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803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/>
    </row>
    <row r="200" spans="1:12">
      <c r="A200" s="20" t="s">
        <v>933</v>
      </c>
    </row>
    <row r="201" spans="1:12">
      <c r="A201" s="20" t="s">
        <v>934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935</v>
      </c>
      <c r="B202" s="27" t="s">
        <v>799</v>
      </c>
      <c r="C202" s="27" t="s">
        <v>816</v>
      </c>
      <c r="D202" s="27" t="s">
        <v>801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909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795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877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845</v>
      </c>
      <c r="B206" s="27" t="s">
        <v>891</v>
      </c>
      <c r="C206" s="27" t="s">
        <v>816</v>
      </c>
      <c r="D206" s="27" t="s">
        <v>801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936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937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926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795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925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938</v>
      </c>
      <c r="B212" s="27" t="s">
        <v>874</v>
      </c>
      <c r="C212" s="27" t="s">
        <v>816</v>
      </c>
      <c r="D212" s="27" t="s">
        <v>801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939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795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877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940</v>
      </c>
      <c r="B216" s="27" t="s">
        <v>829</v>
      </c>
      <c r="C216" s="27" t="s">
        <v>896</v>
      </c>
      <c r="D216" s="27" t="s">
        <v>801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941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942</v>
      </c>
      <c r="B218" s="27" t="s">
        <v>943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797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932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803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944</v>
      </c>
    </row>
    <row r="224" spans="1:12">
      <c r="A224" s="20" t="s">
        <v>945</v>
      </c>
      <c r="B224" s="27" t="s">
        <v>842</v>
      </c>
      <c r="C224" s="27" t="s">
        <v>800</v>
      </c>
      <c r="D224" s="27" t="s">
        <v>801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795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877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940</v>
      </c>
      <c r="B227" s="27" t="s">
        <v>857</v>
      </c>
      <c r="C227" s="27" t="s">
        <v>896</v>
      </c>
      <c r="D227" s="27" t="s">
        <v>801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941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942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797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932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795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825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59</v>
      </c>
      <c r="B234" s="27" t="s">
        <v>842</v>
      </c>
      <c r="C234" s="27" t="s">
        <v>800</v>
      </c>
      <c r="D234" s="27" t="s">
        <v>801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795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877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935</v>
      </c>
      <c r="B237" s="27" t="s">
        <v>874</v>
      </c>
      <c r="C237" s="27" t="s">
        <v>816</v>
      </c>
      <c r="D237" s="27" t="s">
        <v>801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946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947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948</v>
      </c>
      <c r="B240" s="27" t="s">
        <v>857</v>
      </c>
      <c r="C240" s="27" t="s">
        <v>843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797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868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949</v>
      </c>
      <c r="B243" s="27" t="s">
        <v>846</v>
      </c>
      <c r="C243" s="27" t="s">
        <v>858</v>
      </c>
      <c r="D243" s="27" t="s">
        <v>801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870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950</v>
      </c>
      <c r="B245" s="27" t="s">
        <v>874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822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951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952</v>
      </c>
      <c r="B248" s="27" t="s">
        <v>953</v>
      </c>
      <c r="C248" s="27" t="s">
        <v>896</v>
      </c>
      <c r="D248" s="27" t="s">
        <v>801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954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795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821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825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955</v>
      </c>
      <c r="B253" s="27" t="s">
        <v>829</v>
      </c>
      <c r="C253" s="27" t="s">
        <v>816</v>
      </c>
      <c r="D253" s="27" t="s">
        <v>801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956</v>
      </c>
      <c r="B254" s="27" t="s">
        <v>957</v>
      </c>
      <c r="C254" s="27" t="s">
        <v>855</v>
      </c>
      <c r="D254" s="27" t="s">
        <v>801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803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958</v>
      </c>
    </row>
    <row r="258" spans="1:12">
      <c r="A258" s="20" t="s">
        <v>890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935</v>
      </c>
      <c r="B259" s="27" t="s">
        <v>849</v>
      </c>
      <c r="C259" s="27" t="s">
        <v>816</v>
      </c>
      <c r="D259" s="27" t="s">
        <v>801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959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960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795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961</v>
      </c>
      <c r="B263" s="27" t="s">
        <v>857</v>
      </c>
      <c r="C263" s="27" t="s">
        <v>896</v>
      </c>
      <c r="D263" s="27" t="s">
        <v>801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962</v>
      </c>
      <c r="B264" s="27" t="s">
        <v>799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963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964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965</v>
      </c>
      <c r="B267" s="27" t="s">
        <v>849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827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966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967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795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817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968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969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970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971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972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973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803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/>
    </row>
    <row r="281" spans="1:12">
      <c r="A281" s="20" t="s">
        <v>974</v>
      </c>
    </row>
    <row r="282" spans="1:12">
      <c r="A282" s="20" t="s">
        <v>975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976</v>
      </c>
      <c r="B283" s="27" t="s">
        <v>799</v>
      </c>
      <c r="C283" s="27" t="s">
        <v>816</v>
      </c>
      <c r="D283" s="27" t="s">
        <v>801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817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977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978</v>
      </c>
      <c r="B286" s="27" t="s">
        <v>842</v>
      </c>
      <c r="C286" s="27" t="s">
        <v>800</v>
      </c>
      <c r="D286" s="27" t="s">
        <v>801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795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979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980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981</v>
      </c>
      <c r="B290" s="27" t="s">
        <v>857</v>
      </c>
      <c r="C290" s="27" t="s">
        <v>816</v>
      </c>
      <c r="D290" s="27" t="s">
        <v>801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817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982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983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984</v>
      </c>
      <c r="B294" s="27" t="s">
        <v>849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803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985</v>
      </c>
    </row>
    <row r="298" spans="1:12">
      <c r="A298" s="20" t="s">
        <v>975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986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960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795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935</v>
      </c>
      <c r="B302" s="27" t="s">
        <v>849</v>
      </c>
      <c r="C302" s="27" t="s">
        <v>816</v>
      </c>
      <c r="D302" s="27" t="s">
        <v>801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987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798</v>
      </c>
      <c r="B304" s="27" t="s">
        <v>891</v>
      </c>
      <c r="C304" s="27" t="s">
        <v>800</v>
      </c>
      <c r="D304" s="27" t="s">
        <v>801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822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988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989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837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990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795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991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938</v>
      </c>
      <c r="B312" s="27" t="s">
        <v>849</v>
      </c>
      <c r="C312" s="27" t="s">
        <v>816</v>
      </c>
      <c r="D312" s="27" t="s">
        <v>801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963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798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992</v>
      </c>
      <c r="B315" s="27" t="s">
        <v>891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845</v>
      </c>
      <c r="B316" s="27" t="s">
        <v>891</v>
      </c>
      <c r="C316" s="27" t="s">
        <v>816</v>
      </c>
      <c r="D316" s="27" t="s">
        <v>801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825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993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994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803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/>
    </row>
    <row r="322" spans="1:12">
      <c r="A322" s="20" t="s">
        <v>995</v>
      </c>
    </row>
    <row r="323" spans="1:12">
      <c r="A323" s="20" t="s">
        <v>890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935</v>
      </c>
      <c r="B324" s="27" t="s">
        <v>849</v>
      </c>
      <c r="C324" s="27" t="s">
        <v>816</v>
      </c>
      <c r="D324" s="27" t="s">
        <v>801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959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996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795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935</v>
      </c>
      <c r="B328" s="27" t="s">
        <v>799</v>
      </c>
      <c r="C328" s="27" t="s">
        <v>816</v>
      </c>
      <c r="D328" s="27" t="s">
        <v>801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997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795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877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935</v>
      </c>
      <c r="B332" s="27" t="s">
        <v>849</v>
      </c>
      <c r="C332" s="27" t="s">
        <v>816</v>
      </c>
      <c r="D332" s="27" t="s">
        <v>801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948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825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817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998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999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1000</v>
      </c>
      <c r="B338" s="27" t="s">
        <v>1001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803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/>
    </row>
    <row r="341" spans="1:12">
      <c r="A341" s="20" t="s">
        <v>1002</v>
      </c>
    </row>
    <row r="342" spans="1:12">
      <c r="A342" s="20" t="s">
        <v>1003</v>
      </c>
      <c r="B342" s="27" t="s">
        <v>799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1004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1005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1006</v>
      </c>
      <c r="B345" s="27" t="s">
        <v>921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825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798</v>
      </c>
      <c r="B347" s="27" t="s">
        <v>849</v>
      </c>
      <c r="C347" s="27" t="s">
        <v>800</v>
      </c>
      <c r="D347" s="27" t="s">
        <v>801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1007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1008</v>
      </c>
      <c r="B349" s="27" t="s">
        <v>891</v>
      </c>
      <c r="C349" s="27" t="s">
        <v>816</v>
      </c>
      <c r="D349" s="27" t="s">
        <v>801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803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/>
    </row>
    <row r="352" spans="1:12">
      <c r="A352" s="20" t="s">
        <v>1009</v>
      </c>
    </row>
    <row r="353" spans="1:12">
      <c r="A353" s="20" t="s">
        <v>904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876</v>
      </c>
      <c r="B354" s="27" t="s">
        <v>842</v>
      </c>
      <c r="C354" s="27" t="s">
        <v>800</v>
      </c>
      <c r="D354" s="27" t="s">
        <v>801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822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935</v>
      </c>
      <c r="B356" s="27" t="s">
        <v>874</v>
      </c>
      <c r="C356" s="27" t="s">
        <v>816</v>
      </c>
      <c r="D356" s="27" t="s">
        <v>801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1010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795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938</v>
      </c>
      <c r="B359" s="27" t="s">
        <v>799</v>
      </c>
      <c r="C359" s="27" t="s">
        <v>816</v>
      </c>
      <c r="D359" s="27" t="s">
        <v>801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817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1011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978</v>
      </c>
      <c r="B362" s="27" t="s">
        <v>857</v>
      </c>
      <c r="C362" s="27" t="s">
        <v>800</v>
      </c>
      <c r="D362" s="27" t="s">
        <v>801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62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825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798</v>
      </c>
      <c r="B365" s="27" t="s">
        <v>849</v>
      </c>
      <c r="C365" s="27" t="s">
        <v>800</v>
      </c>
      <c r="D365" s="27" t="s">
        <v>801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1012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1013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845</v>
      </c>
      <c r="B368" s="27" t="s">
        <v>857</v>
      </c>
      <c r="C368" s="27" t="s">
        <v>816</v>
      </c>
      <c r="D368" s="27" t="s">
        <v>801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1014</v>
      </c>
      <c r="B369" s="27" t="s">
        <v>891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803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/>
    </row>
    <row r="372" spans="1:12">
      <c r="A372" s="20" t="s">
        <v>1015</v>
      </c>
    </row>
    <row r="373" spans="1:12">
      <c r="A373" s="20" t="s">
        <v>1016</v>
      </c>
      <c r="B373" s="27" t="s">
        <v>799</v>
      </c>
      <c r="C373" s="27" t="s">
        <v>816</v>
      </c>
      <c r="D373" s="27" t="s">
        <v>801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1017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964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1018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797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948</v>
      </c>
      <c r="B378" s="27" t="s">
        <v>891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803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/>
    </row>
    <row r="381" spans="1:12">
      <c r="A381" s="20" t="s">
        <v>1019</v>
      </c>
    </row>
    <row r="382" spans="1:12">
      <c r="A382" s="20" t="s">
        <v>1016</v>
      </c>
      <c r="B382" s="27" t="s">
        <v>799</v>
      </c>
      <c r="C382" s="27" t="s">
        <v>816</v>
      </c>
      <c r="D382" s="27" t="s">
        <v>801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817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1020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1021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1000</v>
      </c>
      <c r="B386" s="27" t="s">
        <v>891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803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1022</v>
      </c>
    </row>
    <row r="390" spans="1:12">
      <c r="A390" s="20" t="s">
        <v>1023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798</v>
      </c>
      <c r="B391" s="27" t="s">
        <v>799</v>
      </c>
      <c r="C391" s="27" t="s">
        <v>800</v>
      </c>
      <c r="D391" s="27" t="s">
        <v>801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94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803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/>
    </row>
    <row r="395" spans="1:12">
      <c r="A395" s="20" t="s">
        <v>1024</v>
      </c>
    </row>
    <row r="396" spans="1:12">
      <c r="A396" s="20" t="s">
        <v>1025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1026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893</v>
      </c>
      <c r="B398" s="27" t="s">
        <v>842</v>
      </c>
      <c r="C398" s="27" t="s">
        <v>843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853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795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1027</v>
      </c>
      <c r="B401" s="27" t="s">
        <v>799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1028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1029</v>
      </c>
      <c r="B403" s="27" t="s">
        <v>846</v>
      </c>
      <c r="C403" s="27" t="s">
        <v>858</v>
      </c>
      <c r="D403" s="27" t="s">
        <v>801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1030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1031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1008</v>
      </c>
      <c r="B406" s="27" t="s">
        <v>921</v>
      </c>
      <c r="C406" s="27" t="s">
        <v>816</v>
      </c>
      <c r="D406" s="27" t="s">
        <v>801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1032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1033</v>
      </c>
      <c r="B408" s="27" t="s">
        <v>891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860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1034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1035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1036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803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/>
    </row>
    <row r="415" spans="1:12">
      <c r="A415" s="20" t="s">
        <v>1037</v>
      </c>
    </row>
    <row r="416" spans="1:12">
      <c r="A416" s="20" t="s">
        <v>1016</v>
      </c>
      <c r="B416" s="27" t="s">
        <v>799</v>
      </c>
      <c r="C416" s="27" t="s">
        <v>816</v>
      </c>
      <c r="D416" s="27" t="s">
        <v>801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959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1038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1039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803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1040</v>
      </c>
    </row>
    <row r="423" spans="1:12">
      <c r="A423" s="20" t="s">
        <v>1016</v>
      </c>
      <c r="B423" s="27" t="s">
        <v>799</v>
      </c>
      <c r="C423" s="27" t="s">
        <v>816</v>
      </c>
      <c r="D423" s="27" t="s">
        <v>801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1041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1042</v>
      </c>
      <c r="B425" s="27" t="s">
        <v>921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822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1043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803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1044</v>
      </c>
    </row>
    <row r="431" spans="1:12">
      <c r="A431" s="20" t="s">
        <v>1045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1046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795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1047</v>
      </c>
      <c r="B434" s="27" t="s">
        <v>849</v>
      </c>
      <c r="C434" s="27" t="s">
        <v>816</v>
      </c>
      <c r="D434" s="27" t="s">
        <v>801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817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1048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803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/>
    </row>
    <row r="439" spans="1:12">
      <c r="A439" s="20" t="s">
        <v>1049</v>
      </c>
    </row>
    <row r="440" spans="1:12">
      <c r="A440" s="20" t="s">
        <v>1050</v>
      </c>
      <c r="B440" s="27" t="s">
        <v>799</v>
      </c>
      <c r="C440" s="27" t="s">
        <v>816</v>
      </c>
      <c r="D440" s="27" t="s">
        <v>801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1051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795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877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873</v>
      </c>
      <c r="B444" s="27" t="s">
        <v>849</v>
      </c>
      <c r="C444" s="27" t="s">
        <v>816</v>
      </c>
      <c r="D444" s="27" t="s">
        <v>801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1052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894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1053</v>
      </c>
      <c r="B447" s="27" t="s">
        <v>846</v>
      </c>
      <c r="C447" s="27" t="s">
        <v>800</v>
      </c>
      <c r="D447" s="27" t="s">
        <v>801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1054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883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/>
    </row>
    <row r="451" spans="1:12">
      <c r="A451" s="20" t="s">
        <v>1055</v>
      </c>
    </row>
    <row r="452" spans="1:12">
      <c r="A452" s="20" t="s">
        <v>851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1056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935</v>
      </c>
      <c r="B454" s="27" t="s">
        <v>799</v>
      </c>
      <c r="C454" s="27" t="s">
        <v>816</v>
      </c>
      <c r="D454" s="27" t="s">
        <v>801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1057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894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1058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1035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803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1059</v>
      </c>
    </row>
    <row r="462" spans="1:12">
      <c r="A462" s="20" t="s">
        <v>1016</v>
      </c>
      <c r="B462" s="27" t="s">
        <v>799</v>
      </c>
      <c r="C462" s="27" t="s">
        <v>816</v>
      </c>
      <c r="D462" s="27" t="s">
        <v>801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1060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837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1061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1062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1035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803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/>
    </row>
    <row r="470" spans="1:12">
      <c r="A470" s="20" t="s">
        <v>1063</v>
      </c>
    </row>
    <row r="471" spans="1:12">
      <c r="A471" s="20" t="s">
        <v>1016</v>
      </c>
      <c r="B471" s="27" t="s">
        <v>799</v>
      </c>
      <c r="C471" s="27" t="s">
        <v>816</v>
      </c>
      <c r="D471" s="27" t="s">
        <v>801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1064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1065</v>
      </c>
      <c r="B473" s="27" t="s">
        <v>921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837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1066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1062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1035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825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1067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860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1068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1035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803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/>
    </row>
    <row r="485" spans="1:12">
      <c r="A485" s="20" t="s">
        <v>1069</v>
      </c>
    </row>
    <row r="486" spans="1:12">
      <c r="A486" s="20" t="s">
        <v>1016</v>
      </c>
      <c r="B486" s="27" t="s">
        <v>799</v>
      </c>
      <c r="C486" s="27" t="s">
        <v>816</v>
      </c>
      <c r="D486" s="27" t="s">
        <v>801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1070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1071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1072</v>
      </c>
      <c r="B489" s="27" t="s">
        <v>799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1073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1074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1035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837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1075</v>
      </c>
      <c r="B494" s="27" t="s">
        <v>846</v>
      </c>
      <c r="C494" s="27" t="s">
        <v>858</v>
      </c>
      <c r="D494" s="27" t="s">
        <v>801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795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1076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1077</v>
      </c>
      <c r="B497" s="27" t="s">
        <v>957</v>
      </c>
      <c r="C497" s="27" t="s">
        <v>858</v>
      </c>
      <c r="D497" s="27" t="s">
        <v>801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795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1078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795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822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1079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795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1080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1081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1082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1083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1084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803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1085</v>
      </c>
    </row>
    <row r="512" spans="1:12">
      <c r="A512" s="20" t="s">
        <v>1086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894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1058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1035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946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1087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795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935</v>
      </c>
      <c r="B519" s="27" t="s">
        <v>799</v>
      </c>
      <c r="C519" s="27" t="s">
        <v>816</v>
      </c>
      <c r="D519" s="27" t="s">
        <v>801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1088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837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872</v>
      </c>
      <c r="B522" s="27" t="s">
        <v>842</v>
      </c>
      <c r="C522" s="27" t="s">
        <v>800</v>
      </c>
      <c r="D522" s="27" t="s">
        <v>801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795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877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1089</v>
      </c>
      <c r="B525" s="27" t="s">
        <v>874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797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798</v>
      </c>
      <c r="B527" s="27" t="s">
        <v>846</v>
      </c>
      <c r="C527" s="27" t="s">
        <v>800</v>
      </c>
      <c r="D527" s="27" t="s">
        <v>801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1090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795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877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1046</v>
      </c>
      <c r="B531" s="27" t="s">
        <v>943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795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1091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1092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1093</v>
      </c>
      <c r="B535" s="27" t="s">
        <v>1094</v>
      </c>
      <c r="C535" s="27" t="s">
        <v>1095</v>
      </c>
      <c r="D535" s="27" t="s">
        <v>801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795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825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1096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964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1097</v>
      </c>
      <c r="B540" s="27" t="s">
        <v>1098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912</v>
      </c>
      <c r="B541" s="27" t="s">
        <v>1099</v>
      </c>
      <c r="C541" s="27" t="s">
        <v>816</v>
      </c>
      <c r="D541" s="27" t="s">
        <v>801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1100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1101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1102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1103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795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873</v>
      </c>
      <c r="B547" s="27" t="s">
        <v>1104</v>
      </c>
      <c r="C547" s="27" t="s">
        <v>816</v>
      </c>
      <c r="D547" s="27" t="s">
        <v>801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1105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1106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1079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1107</v>
      </c>
      <c r="B551" s="27" t="s">
        <v>1001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803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1108</v>
      </c>
    </row>
    <row r="555" spans="1:12">
      <c r="A555" s="20" t="s">
        <v>805</v>
      </c>
      <c r="B555" s="27" t="s">
        <v>799</v>
      </c>
      <c r="C555" s="27" t="s">
        <v>800</v>
      </c>
      <c r="D555" s="27" t="s">
        <v>801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1109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817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961</v>
      </c>
      <c r="B558" s="27" t="s">
        <v>842</v>
      </c>
      <c r="C558" s="27" t="s">
        <v>896</v>
      </c>
      <c r="D558" s="27" t="s">
        <v>801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1090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795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825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935</v>
      </c>
      <c r="B562" s="27" t="s">
        <v>849</v>
      </c>
      <c r="C562" s="27" t="s">
        <v>816</v>
      </c>
      <c r="D562" s="27" t="s">
        <v>801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1110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817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1111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1112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827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1113</v>
      </c>
      <c r="B568" s="27" t="s">
        <v>846</v>
      </c>
      <c r="C568" s="27" t="s">
        <v>816</v>
      </c>
      <c r="D568" s="27" t="s">
        <v>801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795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1114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1115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1116</v>
      </c>
      <c r="B572" s="27" t="s">
        <v>891</v>
      </c>
      <c r="C572" s="27" t="s">
        <v>816</v>
      </c>
      <c r="D572" s="27" t="s">
        <v>801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1117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822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1118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1036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795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1119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1120</v>
      </c>
      <c r="B579" s="27" t="s">
        <v>1121</v>
      </c>
      <c r="C579" s="27" t="s">
        <v>816</v>
      </c>
      <c r="D579" s="27" t="s">
        <v>801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803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/>
    </row>
    <row r="582" spans="1:12">
      <c r="A582" s="20" t="s">
        <v>1122</v>
      </c>
    </row>
    <row r="583" spans="1:12">
      <c r="A583" s="20" t="s">
        <v>1016</v>
      </c>
      <c r="B583" s="27" t="s">
        <v>799</v>
      </c>
      <c r="C583" s="27" t="s">
        <v>816</v>
      </c>
      <c r="D583" s="27" t="s">
        <v>801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1123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1116</v>
      </c>
      <c r="B585" s="27" t="s">
        <v>921</v>
      </c>
      <c r="C585" s="27" t="s">
        <v>816</v>
      </c>
      <c r="D585" s="27" t="s">
        <v>801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1124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1125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1126</v>
      </c>
      <c r="B588" s="27" t="s">
        <v>842</v>
      </c>
      <c r="C588" s="27" t="s">
        <v>800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795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822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1127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1128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1090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795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1129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1130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1090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948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1131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803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/>
    </row>
    <row r="603" spans="1:12">
      <c r="A603" s="20" t="s">
        <v>1132</v>
      </c>
    </row>
    <row r="604" spans="1:12">
      <c r="A604" s="20" t="s">
        <v>1133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795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938</v>
      </c>
      <c r="B606" s="27" t="s">
        <v>799</v>
      </c>
      <c r="C606" s="27" t="s">
        <v>816</v>
      </c>
      <c r="D606" s="27" t="s">
        <v>801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1134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817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1135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795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1136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1137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1128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1090</v>
      </c>
      <c r="B614" s="27" t="s">
        <v>857</v>
      </c>
      <c r="C614" s="27" t="s">
        <v>843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803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/>
    </row>
    <row r="617" spans="1:12">
      <c r="A617" s="20" t="s">
        <v>1138</v>
      </c>
    </row>
    <row r="618" spans="1:12">
      <c r="A618" s="20" t="s">
        <v>1139</v>
      </c>
      <c r="B618" s="27" t="s">
        <v>799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1140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952</v>
      </c>
      <c r="B620" s="27" t="s">
        <v>846</v>
      </c>
      <c r="C620" s="27" t="s">
        <v>896</v>
      </c>
      <c r="D620" s="27" t="s">
        <v>801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1141</v>
      </c>
      <c r="B621" s="27" t="s">
        <v>857</v>
      </c>
      <c r="C621" s="27" t="s">
        <v>843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1109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1142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803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1143</v>
      </c>
    </row>
    <row r="627" spans="1:12">
      <c r="A627" s="20" t="s">
        <v>890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1144</v>
      </c>
      <c r="B628" s="27" t="s">
        <v>849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1145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795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961</v>
      </c>
      <c r="B631" s="27" t="s">
        <v>857</v>
      </c>
      <c r="C631" s="27" t="s">
        <v>896</v>
      </c>
      <c r="D631" s="27" t="s">
        <v>801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1146</v>
      </c>
      <c r="B632" s="27" t="s">
        <v>799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1147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1148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795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1149</v>
      </c>
      <c r="B636" s="27" t="s">
        <v>874</v>
      </c>
      <c r="C636" s="27" t="s">
        <v>879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1150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1151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1152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825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1008</v>
      </c>
      <c r="B641" s="27" t="s">
        <v>1001</v>
      </c>
      <c r="C641" s="27" t="s">
        <v>816</v>
      </c>
      <c r="D641" s="27" t="s">
        <v>801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803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/>
    </row>
    <row r="644" spans="1:12">
      <c r="A644" s="20" t="s">
        <v>1153</v>
      </c>
    </row>
    <row r="645" spans="1:12">
      <c r="A645" s="20" t="s">
        <v>1154</v>
      </c>
      <c r="B645" s="27" t="s">
        <v>799</v>
      </c>
      <c r="C645" s="27" t="s">
        <v>816</v>
      </c>
      <c r="D645" s="27" t="s">
        <v>801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1155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860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872</v>
      </c>
      <c r="B648" s="27" t="s">
        <v>842</v>
      </c>
      <c r="C648" s="27" t="s">
        <v>800</v>
      </c>
      <c r="D648" s="27" t="s">
        <v>801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795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877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47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967</v>
      </c>
      <c r="B652" s="27" t="s">
        <v>1156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803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/>
    </row>
    <row r="655" spans="1:12">
      <c r="A655" s="20" t="s">
        <v>1157</v>
      </c>
    </row>
    <row r="656" spans="1:12">
      <c r="A656" s="20" t="s">
        <v>1158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964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1159</v>
      </c>
      <c r="B658" s="27" t="s">
        <v>842</v>
      </c>
      <c r="C658" s="27" t="s">
        <v>800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1160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1125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795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822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1161</v>
      </c>
      <c r="B663" s="27" t="s">
        <v>846</v>
      </c>
      <c r="C663" s="27" t="s">
        <v>816</v>
      </c>
      <c r="D663" s="27" t="s">
        <v>801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795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1114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1162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1163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1164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883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/>
    </row>
    <row r="671" spans="1:12">
      <c r="A671" s="20" t="s">
        <v>1165</v>
      </c>
    </row>
    <row r="672" spans="1:12">
      <c r="A672" s="20" t="s">
        <v>1166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1120</v>
      </c>
      <c r="B673" s="27" t="s">
        <v>921</v>
      </c>
      <c r="C673" s="27" t="s">
        <v>816</v>
      </c>
      <c r="D673" s="27" t="s">
        <v>801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1167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1168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837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1169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1170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1171</v>
      </c>
      <c r="B679" s="27" t="s">
        <v>891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795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1172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837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1173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1174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1046</v>
      </c>
      <c r="B685" s="27" t="s">
        <v>874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1175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795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1176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1177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1178</v>
      </c>
      <c r="B690" s="27" t="s">
        <v>1001</v>
      </c>
      <c r="C690" s="27" t="s">
        <v>816</v>
      </c>
      <c r="D690" s="27" t="s">
        <v>801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795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877</v>
      </c>
      <c r="B692" s="27" t="s">
        <v>1179</v>
      </c>
      <c r="C692" s="27" t="s">
        <v>879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1180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837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990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1181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883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/>
    </row>
    <row r="699" spans="1:12">
      <c r="A699" s="20" t="s">
        <v>1182</v>
      </c>
    </row>
    <row r="700" spans="1:12">
      <c r="A700" s="20" t="s">
        <v>975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845</v>
      </c>
      <c r="B701" s="27" t="s">
        <v>921</v>
      </c>
      <c r="C701" s="27" t="s">
        <v>816</v>
      </c>
      <c r="D701" s="27" t="s">
        <v>801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1183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837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1184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795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877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1185</v>
      </c>
      <c r="B707" s="27" t="s">
        <v>849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1035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1186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1187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980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1188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1189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803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/>
    </row>
    <row r="716" spans="1:12">
      <c r="A716" s="20" t="s">
        <v>1190</v>
      </c>
    </row>
    <row r="717" spans="1:12">
      <c r="A717" s="20" t="s">
        <v>975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1191</v>
      </c>
      <c r="B718" s="27" t="s">
        <v>799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1192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1193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1194</v>
      </c>
      <c r="B721" s="27" t="s">
        <v>891</v>
      </c>
      <c r="C721" s="27" t="s">
        <v>816</v>
      </c>
      <c r="D721" s="27" t="s">
        <v>801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803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/>
    </row>
    <row r="724" spans="1:12">
      <c r="A724" s="20" t="s">
        <v>1195</v>
      </c>
    </row>
    <row r="725" spans="1:12">
      <c r="A725" s="20" t="s">
        <v>1196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827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1197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1198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1199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1046</v>
      </c>
      <c r="B730" s="27" t="s">
        <v>799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1200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1201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1202</v>
      </c>
      <c r="B733" s="27" t="s">
        <v>1156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1203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803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/>
    </row>
    <row r="737" spans="1:12">
      <c r="A737" s="20" t="s">
        <v>1204</v>
      </c>
    </row>
    <row r="738" spans="1:12">
      <c r="A738" s="20" t="s">
        <v>1205</v>
      </c>
      <c r="B738" s="27" t="s">
        <v>799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1206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1207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837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1208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1189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1209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803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/>
    </row>
    <row r="748" spans="1:12">
      <c r="A748" s="20" t="s">
        <v>1210</v>
      </c>
    </row>
    <row r="749" spans="1:12">
      <c r="A749" s="20" t="s">
        <v>1211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1191</v>
      </c>
      <c r="B750" s="27" t="s">
        <v>799</v>
      </c>
      <c r="C750" s="27" t="s">
        <v>1095</v>
      </c>
      <c r="D750" s="27" t="s">
        <v>801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1212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795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1213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1194</v>
      </c>
      <c r="B754" s="27" t="s">
        <v>857</v>
      </c>
      <c r="C754" s="27" t="s">
        <v>816</v>
      </c>
      <c r="D754" s="27" t="s">
        <v>801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1214</v>
      </c>
      <c r="B755" s="27" t="s">
        <v>849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817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1215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793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1216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1217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1036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795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1218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1219</v>
      </c>
      <c r="B764" s="27" t="s">
        <v>846</v>
      </c>
      <c r="C764" s="27" t="s">
        <v>879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1220</v>
      </c>
      <c r="B765" s="27" t="s">
        <v>874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1221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1222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1223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1171</v>
      </c>
      <c r="B769" s="27" t="s">
        <v>1156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803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/>
    </row>
    <row r="772" spans="1:12">
      <c r="A772" s="20" t="s">
        <v>1224</v>
      </c>
    </row>
    <row r="773" spans="1:12">
      <c r="A773" s="20" t="s">
        <v>975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1225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795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961</v>
      </c>
      <c r="B776" s="27" t="s">
        <v>857</v>
      </c>
      <c r="C776" s="27" t="s">
        <v>896</v>
      </c>
      <c r="D776" s="27" t="s">
        <v>801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1146</v>
      </c>
      <c r="B777" s="27" t="s">
        <v>799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795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1155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1226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1227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861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1169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803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/>
    </row>
    <row r="786" spans="1:12">
      <c r="A786" s="20" t="s">
        <v>1228</v>
      </c>
    </row>
    <row r="787" spans="1:12">
      <c r="A787" s="20" t="s">
        <v>975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935</v>
      </c>
      <c r="B788" s="27" t="s">
        <v>799</v>
      </c>
      <c r="C788" s="27" t="s">
        <v>816</v>
      </c>
      <c r="D788" s="27" t="s">
        <v>801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1229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1230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964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1231</v>
      </c>
      <c r="B792" s="27" t="s">
        <v>849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1232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970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1233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1234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795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1235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872</v>
      </c>
      <c r="B799" s="27" t="s">
        <v>857</v>
      </c>
      <c r="C799" s="27" t="s">
        <v>800</v>
      </c>
      <c r="D799" s="27" t="s">
        <v>801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795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877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1194</v>
      </c>
      <c r="B802" s="27" t="s">
        <v>829</v>
      </c>
      <c r="C802" s="27" t="s">
        <v>896</v>
      </c>
      <c r="D802" s="27" t="s">
        <v>801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1236</v>
      </c>
      <c r="B803" s="27" t="s">
        <v>943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1237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803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/>
    </row>
    <row r="807" spans="1:12">
      <c r="A807" s="20" t="s">
        <v>1238</v>
      </c>
    </row>
    <row r="808" spans="1:12">
      <c r="A808" s="20" t="s">
        <v>975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935</v>
      </c>
      <c r="B809" s="27" t="s">
        <v>799</v>
      </c>
      <c r="C809" s="27" t="s">
        <v>816</v>
      </c>
      <c r="D809" s="27" t="s">
        <v>801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1239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827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1240</v>
      </c>
      <c r="B812" s="27" t="s">
        <v>842</v>
      </c>
      <c r="C812" s="27" t="s">
        <v>855</v>
      </c>
      <c r="D812" s="27" t="s">
        <v>801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860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872</v>
      </c>
      <c r="B814" s="27" t="s">
        <v>857</v>
      </c>
      <c r="C814" s="27" t="s">
        <v>800</v>
      </c>
      <c r="D814" s="27" t="s">
        <v>801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795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877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882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1241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1242</v>
      </c>
      <c r="B819" s="27" t="s">
        <v>943</v>
      </c>
      <c r="C819" s="27" t="s">
        <v>843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1243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803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/>
    </row>
    <row r="823" spans="1:12">
      <c r="A823" s="20" t="s">
        <v>1244</v>
      </c>
    </row>
    <row r="824" spans="1:12">
      <c r="A824" s="20" t="s">
        <v>1245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199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795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1235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1246</v>
      </c>
      <c r="B828" s="27" t="s">
        <v>857</v>
      </c>
      <c r="C828" s="27" t="s">
        <v>879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793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1189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827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1247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1248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1249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1250</v>
      </c>
      <c r="B835" s="27" t="s">
        <v>849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795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1251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795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1080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795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1252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1253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803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/>
    </row>
    <row r="845" spans="1:12">
      <c r="A845" s="20" t="s">
        <v>1254</v>
      </c>
    </row>
    <row r="846" spans="1:12">
      <c r="A846" s="20" t="s">
        <v>945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882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59</v>
      </c>
      <c r="B848" s="27" t="s">
        <v>842</v>
      </c>
      <c r="C848" s="27" t="s">
        <v>800</v>
      </c>
      <c r="D848" s="27" t="s">
        <v>801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795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877</v>
      </c>
      <c r="B850" s="27" t="s">
        <v>849</v>
      </c>
      <c r="C850" s="27" t="s">
        <v>879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823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1255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1062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1186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825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1189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803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/>
    </row>
    <row r="859" spans="1:12">
      <c r="A859" s="20" t="s">
        <v>1256</v>
      </c>
    </row>
    <row r="860" spans="1:12">
      <c r="A860" s="20" t="s">
        <v>805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1257</v>
      </c>
      <c r="B861" s="27" t="s">
        <v>799</v>
      </c>
      <c r="C861" s="27" t="s">
        <v>1095</v>
      </c>
      <c r="D861" s="27" t="s">
        <v>801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913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219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1258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1259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795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1114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1260</v>
      </c>
      <c r="B868" s="27" t="s">
        <v>849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1261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793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978</v>
      </c>
      <c r="B871" s="27" t="s">
        <v>957</v>
      </c>
      <c r="C871" s="27" t="s">
        <v>800</v>
      </c>
      <c r="D871" s="27" t="s">
        <v>801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817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1262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803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/>
    </row>
    <row r="876" spans="1:12">
      <c r="A876" s="20" t="s">
        <v>1263</v>
      </c>
    </row>
    <row r="877" spans="1:12">
      <c r="A877" s="20" t="s">
        <v>1133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877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1264</v>
      </c>
      <c r="B879" s="27" t="s">
        <v>921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817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1265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1266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837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856</v>
      </c>
      <c r="B884" s="27" t="s">
        <v>846</v>
      </c>
      <c r="C884" s="27" t="s">
        <v>858</v>
      </c>
      <c r="D884" s="27" t="s">
        <v>801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797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1267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970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59</v>
      </c>
      <c r="B888" s="27" t="s">
        <v>842</v>
      </c>
      <c r="C888" s="27" t="s">
        <v>800</v>
      </c>
      <c r="D888" s="27" t="s">
        <v>801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795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877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980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912</v>
      </c>
      <c r="B892" s="27" t="s">
        <v>846</v>
      </c>
      <c r="C892" s="27" t="s">
        <v>816</v>
      </c>
      <c r="D892" s="27" t="s">
        <v>801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1268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1269</v>
      </c>
      <c r="B894" s="27" t="s">
        <v>874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797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1270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1271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803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/>
    </row>
    <row r="900" spans="1:12">
      <c r="A900" s="20" t="s">
        <v>1272</v>
      </c>
    </row>
    <row r="901" spans="1:12">
      <c r="A901" s="20" t="s">
        <v>934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991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1235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1273</v>
      </c>
      <c r="B904" s="27" t="s">
        <v>842</v>
      </c>
      <c r="C904" s="27" t="s">
        <v>800</v>
      </c>
      <c r="D904" s="27" t="s">
        <v>801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795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1274</v>
      </c>
      <c r="B906" s="27" t="s">
        <v>799</v>
      </c>
      <c r="C906" s="27" t="s">
        <v>1275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817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1276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1277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795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877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1278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1279</v>
      </c>
      <c r="B913" s="27" t="s">
        <v>874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1280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825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1281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1186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1282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999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1283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1284</v>
      </c>
      <c r="B921" s="27" t="s">
        <v>1156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825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1285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803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/>
    </row>
    <row r="926" spans="1:12">
      <c r="A926" s="20" t="s">
        <v>1286</v>
      </c>
    </row>
    <row r="927" spans="1:12">
      <c r="A927" s="20" t="s">
        <v>934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882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1124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199</v>
      </c>
      <c r="B930" s="27" t="s">
        <v>799</v>
      </c>
      <c r="C930" s="27" t="s">
        <v>800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1243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795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1149</v>
      </c>
      <c r="B933" s="27" t="s">
        <v>874</v>
      </c>
      <c r="C933" s="27" t="s">
        <v>879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1180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1287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1288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1289</v>
      </c>
      <c r="B937" s="27" t="s">
        <v>829</v>
      </c>
      <c r="C937" s="27" t="s">
        <v>816</v>
      </c>
      <c r="D937" s="27" t="s">
        <v>801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1264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803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/>
    </row>
    <row r="941" spans="1:12">
      <c r="A941" s="20" t="s">
        <v>1290</v>
      </c>
    </row>
    <row r="942" spans="1:12">
      <c r="A942" s="20" t="s">
        <v>1016</v>
      </c>
      <c r="B942" s="27" t="s">
        <v>799</v>
      </c>
      <c r="C942" s="27" t="s">
        <v>816</v>
      </c>
      <c r="D942" s="27" t="s">
        <v>801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1291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1124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199</v>
      </c>
      <c r="B945" s="27" t="s">
        <v>921</v>
      </c>
      <c r="C945" s="27" t="s">
        <v>800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1292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1293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795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821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822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1294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1295</v>
      </c>
      <c r="B952" s="27" t="s">
        <v>891</v>
      </c>
      <c r="C952" s="27" t="s">
        <v>1095</v>
      </c>
      <c r="D952" s="27" t="s">
        <v>801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873</v>
      </c>
      <c r="B953" s="27" t="s">
        <v>849</v>
      </c>
      <c r="C953" s="27" t="s">
        <v>816</v>
      </c>
      <c r="D953" s="27" t="s">
        <v>801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1296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793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1297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1298</v>
      </c>
      <c r="B957" s="27" t="s">
        <v>1001</v>
      </c>
      <c r="C957" s="27" t="s">
        <v>816</v>
      </c>
      <c r="D957" s="27" t="s">
        <v>801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1036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803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/>
    </row>
    <row r="961" spans="1:12">
      <c r="A961" s="20" t="s">
        <v>1299</v>
      </c>
    </row>
    <row r="962" spans="1:12">
      <c r="A962" s="20" t="s">
        <v>1211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1300</v>
      </c>
      <c r="B963" s="27" t="s">
        <v>799</v>
      </c>
      <c r="C963" s="27" t="s">
        <v>1095</v>
      </c>
      <c r="D963" s="27" t="s">
        <v>801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1301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1302</v>
      </c>
      <c r="B965" s="27" t="s">
        <v>857</v>
      </c>
      <c r="C965" s="27" t="s">
        <v>896</v>
      </c>
      <c r="D965" s="27" t="s">
        <v>801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1303</v>
      </c>
      <c r="B966" s="27" t="s">
        <v>921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795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873</v>
      </c>
      <c r="B968" s="27" t="s">
        <v>799</v>
      </c>
      <c r="C968" s="27" t="s">
        <v>816</v>
      </c>
      <c r="D968" s="27" t="s">
        <v>801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1304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1305</v>
      </c>
      <c r="B970" s="27" t="s">
        <v>842</v>
      </c>
      <c r="C970" s="27" t="s">
        <v>816</v>
      </c>
      <c r="D970" s="27" t="s">
        <v>801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795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1306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1194</v>
      </c>
      <c r="B973" s="27" t="s">
        <v>891</v>
      </c>
      <c r="C973" s="27" t="s">
        <v>816</v>
      </c>
      <c r="D973" s="27" t="s">
        <v>801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980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1307</v>
      </c>
      <c r="B975" s="27" t="s">
        <v>846</v>
      </c>
      <c r="C975" s="27" t="s">
        <v>896</v>
      </c>
      <c r="D975" s="27" t="s">
        <v>801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1308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803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/>
    </row>
    <row r="979" spans="1:12">
      <c r="A979" s="20" t="s">
        <v>1309</v>
      </c>
    </row>
    <row r="980" spans="1:12">
      <c r="A980" s="20" t="s">
        <v>975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1310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1311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1312</v>
      </c>
      <c r="B983" s="27" t="s">
        <v>799</v>
      </c>
      <c r="C983" s="27" t="s">
        <v>1095</v>
      </c>
      <c r="D983" s="27" t="s">
        <v>801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1313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1242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1046</v>
      </c>
      <c r="B986" s="27" t="s">
        <v>799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1314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1192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1261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803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/>
    </row>
    <row r="992" spans="1:12">
      <c r="A992" s="20" t="s">
        <v>1315</v>
      </c>
    </row>
    <row r="993" spans="1:12">
      <c r="A993" s="20" t="s">
        <v>975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935</v>
      </c>
      <c r="B994" s="27" t="s">
        <v>799</v>
      </c>
      <c r="C994" s="27" t="s">
        <v>816</v>
      </c>
      <c r="D994" s="27" t="s">
        <v>801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1316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1317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894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1318</v>
      </c>
      <c r="B998" s="27" t="s">
        <v>857</v>
      </c>
      <c r="C998" s="27" t="s">
        <v>855</v>
      </c>
      <c r="D998" s="27" t="s">
        <v>801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876</v>
      </c>
      <c r="B999" s="27" t="s">
        <v>846</v>
      </c>
      <c r="C999" s="27" t="s">
        <v>800</v>
      </c>
      <c r="D999" s="27" t="s">
        <v>801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795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822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1046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795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1319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1310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1312</v>
      </c>
      <c r="B1006" s="27" t="s">
        <v>1156</v>
      </c>
      <c r="C1006" s="27" t="s">
        <v>1095</v>
      </c>
      <c r="D1006" s="27" t="s">
        <v>801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795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1320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1321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1322</v>
      </c>
      <c r="B1010" s="27" t="s">
        <v>1156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1323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894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1324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803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/>
    </row>
    <row r="1016" spans="1:12">
      <c r="A1016" s="20" t="s">
        <v>1325</v>
      </c>
    </row>
    <row r="1017" spans="1:12">
      <c r="A1017" s="20" t="s">
        <v>1016</v>
      </c>
      <c r="B1017" s="27" t="s">
        <v>849</v>
      </c>
      <c r="C1017" s="27" t="s">
        <v>816</v>
      </c>
      <c r="D1017" s="27" t="s">
        <v>801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1326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847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1327</v>
      </c>
      <c r="B1020" s="27" t="s">
        <v>857</v>
      </c>
      <c r="C1020" s="27" t="s">
        <v>843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1328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1329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1330</v>
      </c>
      <c r="B1023" s="27" t="s">
        <v>957</v>
      </c>
      <c r="C1023" s="27" t="s">
        <v>879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1331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1332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803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/>
    </row>
    <row r="1028" spans="1:12">
      <c r="A1028" s="20" t="s">
        <v>1333</v>
      </c>
    </row>
    <row r="1029" spans="1:12">
      <c r="A1029" s="20" t="s">
        <v>241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795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1334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861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1335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825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1334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1336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803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/>
    </row>
    <row r="1039" spans="1:12">
      <c r="A1039" s="20" t="s">
        <v>1337</v>
      </c>
    </row>
    <row r="1040" spans="1:12">
      <c r="A1040" s="20" t="s">
        <v>975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1047</v>
      </c>
      <c r="B1041" s="27" t="s">
        <v>799</v>
      </c>
      <c r="C1041" s="27" t="s">
        <v>816</v>
      </c>
      <c r="D1041" s="27" t="s">
        <v>801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817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1338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1339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1340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803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/>
    </row>
    <row r="1048" spans="1:12">
      <c r="A1048" s="20" t="s">
        <v>1341</v>
      </c>
    </row>
    <row r="1049" spans="1:12">
      <c r="A1049" s="20" t="s">
        <v>1342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1343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795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1036</v>
      </c>
      <c r="B1052" s="27" t="s">
        <v>799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837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1344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1345</v>
      </c>
      <c r="B1055" s="27" t="s">
        <v>842</v>
      </c>
      <c r="C1055" s="27" t="s">
        <v>800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1346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1347</v>
      </c>
      <c r="B1057" s="27" t="s">
        <v>921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795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1348</v>
      </c>
      <c r="B1059" s="27" t="s">
        <v>891</v>
      </c>
      <c r="C1059" s="27" t="s">
        <v>816</v>
      </c>
      <c r="D1059" s="27" t="s">
        <v>801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1349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795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877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1191</v>
      </c>
      <c r="B1063" s="27" t="s">
        <v>874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1194</v>
      </c>
      <c r="B1064" s="27" t="s">
        <v>846</v>
      </c>
      <c r="C1064" s="27" t="s">
        <v>816</v>
      </c>
      <c r="D1064" s="27" t="s">
        <v>801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817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1350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795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837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59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1351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822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1191</v>
      </c>
      <c r="B1072" s="27" t="s">
        <v>943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1352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1194</v>
      </c>
      <c r="B1074" s="27" t="s">
        <v>957</v>
      </c>
      <c r="C1074" s="27" t="s">
        <v>816</v>
      </c>
      <c r="D1074" s="27" t="s">
        <v>801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817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1353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803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/>
    </row>
    <row r="1079" spans="1:12">
      <c r="A1079" s="20" t="s">
        <v>1354</v>
      </c>
    </row>
    <row r="1080" spans="1:12">
      <c r="A1080" s="20" t="s">
        <v>1355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1356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795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1357</v>
      </c>
      <c r="B1083" s="27" t="s">
        <v>799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1358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1359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825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1360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1361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1362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1363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793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1364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1365</v>
      </c>
      <c r="B1093" s="27" t="s">
        <v>857</v>
      </c>
      <c r="C1093" s="27" t="s">
        <v>1366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803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/>
    </row>
    <row r="1096" spans="1:12">
      <c r="A1096" s="20" t="s">
        <v>1367</v>
      </c>
    </row>
    <row r="1097" spans="1:12">
      <c r="A1097" s="20" t="s">
        <v>934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1334</v>
      </c>
      <c r="B1098" s="27" t="s">
        <v>799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1368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1369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1370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803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/>
    </row>
    <row r="1104" spans="1:12">
      <c r="A1104" s="20" t="s">
        <v>1371</v>
      </c>
    </row>
    <row r="1105" spans="1:12">
      <c r="A1105" s="20" t="s">
        <v>1372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1369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1370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803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/>
    </row>
    <row r="1110" spans="1:12">
      <c r="A1110" s="20" t="s">
        <v>1373</v>
      </c>
    </row>
    <row r="1111" spans="1:12">
      <c r="A1111" s="20" t="s">
        <v>1374</v>
      </c>
      <c r="B1111" s="27" t="s">
        <v>799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911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1181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795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1375</v>
      </c>
      <c r="B1115" s="27" t="s">
        <v>1001</v>
      </c>
      <c r="C1115" s="27" t="s">
        <v>879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935</v>
      </c>
      <c r="B1116" s="27" t="s">
        <v>943</v>
      </c>
      <c r="C1116" s="27" t="s">
        <v>816</v>
      </c>
      <c r="D1116" s="27" t="s">
        <v>801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1376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795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959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1377</v>
      </c>
      <c r="B1120" s="27" t="s">
        <v>842</v>
      </c>
      <c r="C1120" s="27" t="s">
        <v>843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863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1378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1379</v>
      </c>
      <c r="B1123" s="27" t="s">
        <v>857</v>
      </c>
      <c r="C1123" s="27" t="s">
        <v>858</v>
      </c>
      <c r="D1123" s="27" t="s">
        <v>801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1380</v>
      </c>
      <c r="B1124" s="27" t="s">
        <v>846</v>
      </c>
      <c r="C1124" s="27" t="s">
        <v>858</v>
      </c>
      <c r="D1124" s="27" t="s">
        <v>801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803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/>
    </row>
    <row r="1127" spans="1:12">
      <c r="A1127" s="20" t="s">
        <v>1381</v>
      </c>
    </row>
    <row r="1128" spans="1:12">
      <c r="A1128" s="20" t="s">
        <v>1382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1383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1384</v>
      </c>
      <c r="B1130" s="27" t="s">
        <v>921</v>
      </c>
      <c r="C1130" s="27" t="s">
        <v>816</v>
      </c>
      <c r="D1130" s="27" t="s">
        <v>801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959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1385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1386</v>
      </c>
      <c r="B1133" s="27" t="s">
        <v>799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1387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1388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797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1389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1390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803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/>
    </row>
    <row r="1141" spans="1:12">
      <c r="A1141" s="20" t="s">
        <v>1391</v>
      </c>
    </row>
    <row r="1142" spans="1:12">
      <c r="A1142" s="20" t="s">
        <v>1392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1303</v>
      </c>
      <c r="B1143" s="27" t="s">
        <v>921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1393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795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877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1394</v>
      </c>
      <c r="B1147" s="27" t="s">
        <v>849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1395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817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1396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122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825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62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795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1282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1397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1398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795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825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1399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1070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817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1282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1194</v>
      </c>
      <c r="B1164" s="27" t="s">
        <v>1001</v>
      </c>
      <c r="C1164" s="27" t="s">
        <v>816</v>
      </c>
      <c r="D1164" s="27" t="s">
        <v>801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1400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803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/>
    </row>
    <row r="1168" spans="1:12">
      <c r="A1168" s="20" t="s">
        <v>1401</v>
      </c>
    </row>
    <row r="1169" spans="1:12">
      <c r="A1169" s="20" t="s">
        <v>1402</v>
      </c>
      <c r="B1169" s="27" t="s">
        <v>921</v>
      </c>
      <c r="C1169" s="27" t="s">
        <v>816</v>
      </c>
      <c r="D1169" s="27" t="s">
        <v>801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1403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1404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1405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837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1406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795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1213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325</v>
      </c>
      <c r="B1177" s="27" t="s">
        <v>874</v>
      </c>
      <c r="C1177" s="27" t="s">
        <v>816</v>
      </c>
      <c r="D1177" s="27" t="s">
        <v>801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1407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1408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647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803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/>
    </row>
    <row r="1183" spans="1:12">
      <c r="A1183" s="20" t="s">
        <v>1409</v>
      </c>
    </row>
    <row r="1184" spans="1:12">
      <c r="A1184" s="20" t="s">
        <v>934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955</v>
      </c>
      <c r="B1185" s="27" t="s">
        <v>857</v>
      </c>
      <c r="C1185" s="27" t="s">
        <v>816</v>
      </c>
      <c r="D1185" s="27" t="s">
        <v>801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962</v>
      </c>
      <c r="B1186" s="27" t="s">
        <v>799</v>
      </c>
      <c r="C1186" s="27" t="s">
        <v>855</v>
      </c>
      <c r="D1186" s="27" t="s">
        <v>801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1410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793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978</v>
      </c>
      <c r="B1189" s="27" t="s">
        <v>842</v>
      </c>
      <c r="C1189" s="27" t="s">
        <v>800</v>
      </c>
      <c r="D1189" s="27" t="s">
        <v>801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803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/>
    </row>
    <row r="1192" spans="1:12">
      <c r="A1192" s="20" t="s">
        <v>1411</v>
      </c>
    </row>
    <row r="1193" spans="1:12">
      <c r="A1193" s="20" t="s">
        <v>1154</v>
      </c>
      <c r="B1193" s="27" t="s">
        <v>799</v>
      </c>
      <c r="C1193" s="27" t="s">
        <v>816</v>
      </c>
      <c r="D1193" s="27" t="s">
        <v>801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1412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1413</v>
      </c>
      <c r="B1195" s="27" t="s">
        <v>921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1414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803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/>
    </row>
    <row r="1199" spans="1:12">
      <c r="A1199" s="20" t="s">
        <v>1415</v>
      </c>
    </row>
    <row r="1200" spans="1:12">
      <c r="A1200" s="20" t="s">
        <v>1416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795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938</v>
      </c>
      <c r="B1202" s="27" t="s">
        <v>799</v>
      </c>
      <c r="C1202" s="27" t="s">
        <v>816</v>
      </c>
      <c r="D1202" s="27" t="s">
        <v>801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817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1109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1417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1418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825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817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1419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1420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1421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1422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795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1114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938</v>
      </c>
      <c r="B1215" s="27" t="s">
        <v>849</v>
      </c>
      <c r="C1215" s="27" t="s">
        <v>816</v>
      </c>
      <c r="D1215" s="27" t="s">
        <v>801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1423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1424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1425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863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1426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1427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1428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825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1429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1430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1431</v>
      </c>
      <c r="B1226" s="27" t="s">
        <v>1156</v>
      </c>
      <c r="C1226" s="27" t="s">
        <v>858</v>
      </c>
      <c r="D1226" s="27" t="s">
        <v>801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980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1432</v>
      </c>
      <c r="B1228" s="27" t="s">
        <v>857</v>
      </c>
      <c r="C1228" s="27" t="s">
        <v>816</v>
      </c>
      <c r="D1228" s="27" t="s">
        <v>801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803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/>
    </row>
    <row r="1231" spans="1:12">
      <c r="A1231" s="20" t="s">
        <v>1433</v>
      </c>
    </row>
    <row r="1232" spans="1:12">
      <c r="A1232" s="20" t="s">
        <v>1434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986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960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795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325</v>
      </c>
      <c r="B1236" s="27" t="s">
        <v>849</v>
      </c>
      <c r="C1236" s="27" t="s">
        <v>816</v>
      </c>
      <c r="D1236" s="27" t="s">
        <v>801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1435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125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1436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1437</v>
      </c>
      <c r="B1240" s="27" t="s">
        <v>857</v>
      </c>
      <c r="C1240" s="27" t="s">
        <v>843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803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/>
    </row>
    <row r="1243" spans="1:12">
      <c r="A1243" s="20" t="s">
        <v>1438</v>
      </c>
    </row>
    <row r="1244" spans="1:12">
      <c r="A1244" s="20" t="s">
        <v>1439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798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1351</v>
      </c>
      <c r="B1246" s="27" t="s">
        <v>842</v>
      </c>
      <c r="C1246" s="27" t="s">
        <v>1095</v>
      </c>
      <c r="D1246" s="27" t="s">
        <v>801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795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979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1384</v>
      </c>
      <c r="B1249" s="27" t="s">
        <v>1156</v>
      </c>
      <c r="C1249" s="27" t="s">
        <v>816</v>
      </c>
      <c r="D1249" s="27" t="s">
        <v>801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1440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1441</v>
      </c>
      <c r="B1251" s="27" t="s">
        <v>1156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795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325</v>
      </c>
      <c r="B1253" s="27" t="s">
        <v>799</v>
      </c>
      <c r="C1253" s="27" t="s">
        <v>816</v>
      </c>
      <c r="D1253" s="27" t="s">
        <v>801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817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1442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1443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1444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825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822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1445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797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325</v>
      </c>
      <c r="B1262" s="27" t="s">
        <v>874</v>
      </c>
      <c r="C1262" s="27" t="s">
        <v>816</v>
      </c>
      <c r="D1262" s="27" t="s">
        <v>801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913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122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803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/>
    </row>
    <row r="1267" spans="1:12">
      <c r="A1267" s="20" t="s">
        <v>1446</v>
      </c>
    </row>
    <row r="1268" spans="1:12">
      <c r="A1268" s="20" t="s">
        <v>1355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1406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955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1447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1448</v>
      </c>
      <c r="B1272" s="27" t="s">
        <v>921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795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1213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1449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894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1450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803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/>
    </row>
    <row r="1280" spans="1:12">
      <c r="A1280" s="20" t="s">
        <v>1451</v>
      </c>
    </row>
    <row r="1281" spans="1:12">
      <c r="A1281" s="20" t="s">
        <v>1452</v>
      </c>
      <c r="B1281" s="27" t="s">
        <v>799</v>
      </c>
      <c r="C1281" s="27" t="s">
        <v>816</v>
      </c>
      <c r="D1281" s="27" t="s">
        <v>801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1453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1454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795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991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1384</v>
      </c>
      <c r="B1286" s="27" t="s">
        <v>891</v>
      </c>
      <c r="C1286" s="27" t="s">
        <v>816</v>
      </c>
      <c r="D1286" s="27" t="s">
        <v>801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1455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1456</v>
      </c>
      <c r="B1288" s="27" t="s">
        <v>857</v>
      </c>
      <c r="C1288" s="27" t="s">
        <v>816</v>
      </c>
      <c r="D1288" s="27" t="s">
        <v>801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835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1457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803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/>
    </row>
    <row r="1293" spans="1:12">
      <c r="A1293" s="20" t="s">
        <v>1458</v>
      </c>
    </row>
    <row r="1294" spans="1:12">
      <c r="A1294" s="20" t="s">
        <v>1355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1459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325</v>
      </c>
      <c r="B1296" s="27" t="s">
        <v>799</v>
      </c>
      <c r="C1296" s="27" t="s">
        <v>816</v>
      </c>
      <c r="D1296" s="27" t="s">
        <v>801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1460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876</v>
      </c>
      <c r="B1298" s="27" t="s">
        <v>842</v>
      </c>
      <c r="C1298" s="27" t="s">
        <v>800</v>
      </c>
      <c r="D1298" s="27" t="s">
        <v>801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795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1219</v>
      </c>
      <c r="B1300" s="27" t="s">
        <v>957</v>
      </c>
      <c r="C1300" s="27" t="s">
        <v>879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817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1461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305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1462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1463</v>
      </c>
      <c r="B1305" s="27" t="s">
        <v>1001</v>
      </c>
      <c r="C1305" s="27" t="s">
        <v>1275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911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955</v>
      </c>
      <c r="B1307" s="27" t="s">
        <v>953</v>
      </c>
      <c r="C1307" s="27" t="s">
        <v>896</v>
      </c>
      <c r="D1307" s="27" t="s">
        <v>801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1464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803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/>
    </row>
    <row r="1311" spans="1:12">
      <c r="A1311" s="20" t="s">
        <v>1465</v>
      </c>
    </row>
    <row r="1312" spans="1:12">
      <c r="A1312" s="20" t="s">
        <v>1452</v>
      </c>
      <c r="B1312" s="27" t="s">
        <v>799</v>
      </c>
      <c r="C1312" s="27" t="s">
        <v>816</v>
      </c>
      <c r="D1312" s="27" t="s">
        <v>801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959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1466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837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1467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795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1468</v>
      </c>
      <c r="B1318" s="27" t="s">
        <v>849</v>
      </c>
      <c r="C1318" s="27" t="s">
        <v>879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1469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837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1470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795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1078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325</v>
      </c>
      <c r="B1324" s="27" t="s">
        <v>943</v>
      </c>
      <c r="C1324" s="27" t="s">
        <v>816</v>
      </c>
      <c r="D1324" s="27" t="s">
        <v>801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1471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837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1472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825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1473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1474</v>
      </c>
      <c r="B1330" s="27" t="s">
        <v>878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795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1475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1476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1062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955</v>
      </c>
      <c r="B1335" s="27" t="s">
        <v>1477</v>
      </c>
      <c r="C1335" s="27" t="s">
        <v>816</v>
      </c>
      <c r="D1335" s="27" t="s">
        <v>801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1478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1479</v>
      </c>
      <c r="B1337" s="27" t="s">
        <v>1480</v>
      </c>
      <c r="C1337" s="27" t="s">
        <v>855</v>
      </c>
      <c r="D1337" s="27" t="s">
        <v>801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803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/>
    </row>
    <row r="1340" spans="1:12">
      <c r="A1340" s="20" t="s">
        <v>1481</v>
      </c>
    </row>
    <row r="1341" spans="1:12">
      <c r="A1341" s="20" t="s">
        <v>1482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955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962</v>
      </c>
      <c r="B1343" s="27" t="s">
        <v>799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1483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1484</v>
      </c>
      <c r="B1345" s="27" t="s">
        <v>921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795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860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872</v>
      </c>
      <c r="B1348" s="27" t="s">
        <v>857</v>
      </c>
      <c r="C1348" s="27" t="s">
        <v>800</v>
      </c>
      <c r="D1348" s="27" t="s">
        <v>801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795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822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1485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1414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795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837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59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1351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822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1394</v>
      </c>
      <c r="B1358" s="27" t="s">
        <v>878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959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837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1486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1487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803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/>
    </row>
    <row r="1365" spans="1:12">
      <c r="A1365" s="20" t="s">
        <v>1488</v>
      </c>
    </row>
    <row r="1366" spans="1:12">
      <c r="A1366" s="20" t="s">
        <v>1154</v>
      </c>
      <c r="B1366" s="27" t="s">
        <v>799</v>
      </c>
      <c r="C1366" s="27" t="s">
        <v>816</v>
      </c>
      <c r="D1366" s="27" t="s">
        <v>801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929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964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1018</v>
      </c>
      <c r="B1369" s="27" t="s">
        <v>849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1489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1490</v>
      </c>
      <c r="B1371" s="27" t="s">
        <v>891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795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1491</v>
      </c>
      <c r="B1373" s="27" t="s">
        <v>1121</v>
      </c>
      <c r="C1373" s="27" t="s">
        <v>879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1492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817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1493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970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1494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980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1495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803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/>
    </row>
    <row r="1383" spans="1:12">
      <c r="A1383" s="20" t="s">
        <v>1496</v>
      </c>
    </row>
    <row r="1384" spans="1:12">
      <c r="A1384" s="20" t="s">
        <v>868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949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870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1018</v>
      </c>
      <c r="B1387" s="27" t="s">
        <v>799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1497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795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1498</v>
      </c>
      <c r="B1390" s="27" t="s">
        <v>921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955</v>
      </c>
      <c r="B1391" s="27" t="s">
        <v>846</v>
      </c>
      <c r="C1391" s="27" t="s">
        <v>816</v>
      </c>
      <c r="D1391" s="27" t="s">
        <v>801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1499</v>
      </c>
      <c r="B1392" s="27" t="s">
        <v>857</v>
      </c>
      <c r="C1392" s="27" t="s">
        <v>855</v>
      </c>
      <c r="D1392" s="27" t="s">
        <v>801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797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697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1500</v>
      </c>
      <c r="B1395" s="27" t="s">
        <v>891</v>
      </c>
      <c r="C1395" s="27" t="s">
        <v>843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795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925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955</v>
      </c>
      <c r="B1398" s="27" t="s">
        <v>846</v>
      </c>
      <c r="C1398" s="27" t="s">
        <v>816</v>
      </c>
      <c r="D1398" s="27" t="s">
        <v>801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797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359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803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/>
    </row>
    <row r="1403" spans="1:12">
      <c r="A1403" s="20" t="s">
        <v>1501</v>
      </c>
    </row>
    <row r="1404" spans="1:12">
      <c r="A1404" s="20" t="s">
        <v>1502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1503</v>
      </c>
      <c r="B1405" s="27" t="s">
        <v>799</v>
      </c>
      <c r="C1405" s="27" t="s">
        <v>843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1504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1062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1505</v>
      </c>
      <c r="B1408" s="27" t="s">
        <v>842</v>
      </c>
      <c r="C1408" s="27" t="s">
        <v>816</v>
      </c>
      <c r="D1408" s="27" t="s">
        <v>801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797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798</v>
      </c>
      <c r="B1410" s="27" t="s">
        <v>799</v>
      </c>
      <c r="C1410" s="27" t="s">
        <v>800</v>
      </c>
      <c r="D1410" s="27" t="s">
        <v>801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1506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1062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1432</v>
      </c>
      <c r="B1413" s="27" t="s">
        <v>842</v>
      </c>
      <c r="C1413" s="27" t="s">
        <v>816</v>
      </c>
      <c r="D1413" s="27" t="s">
        <v>801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803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/>
    </row>
    <row r="1416" spans="1:12">
      <c r="A1416" s="20" t="s">
        <v>1507</v>
      </c>
    </row>
    <row r="1417" spans="1:12">
      <c r="A1417" s="20" t="s">
        <v>1016</v>
      </c>
      <c r="B1417" s="27" t="s">
        <v>799</v>
      </c>
      <c r="C1417" s="27" t="s">
        <v>816</v>
      </c>
      <c r="D1417" s="27" t="s">
        <v>801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1508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795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877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817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1509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1352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333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825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1510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955</v>
      </c>
      <c r="B1427" s="27" t="s">
        <v>1001</v>
      </c>
      <c r="C1427" s="27" t="s">
        <v>816</v>
      </c>
      <c r="D1427" s="27" t="s">
        <v>801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1511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803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/>
    </row>
    <row r="1431" spans="1:12">
      <c r="A1431" s="20" t="s">
        <v>1512</v>
      </c>
    </row>
    <row r="1432" spans="1:12">
      <c r="A1432" s="20" t="s">
        <v>1016</v>
      </c>
      <c r="B1432" s="27" t="s">
        <v>799</v>
      </c>
      <c r="C1432" s="27" t="s">
        <v>816</v>
      </c>
      <c r="D1432" s="27" t="s">
        <v>801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1513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1414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825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1514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1384</v>
      </c>
      <c r="B1437" s="27" t="s">
        <v>891</v>
      </c>
      <c r="C1437" s="27" t="s">
        <v>816</v>
      </c>
      <c r="D1437" s="27" t="s">
        <v>801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40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1515</v>
      </c>
      <c r="B1439" s="27" t="s">
        <v>857</v>
      </c>
      <c r="C1439" s="27" t="s">
        <v>843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970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1516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803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/>
    </row>
    <row r="1444" spans="1:12">
      <c r="A1444" s="20" t="s">
        <v>1517</v>
      </c>
    </row>
    <row r="1445" spans="1:12">
      <c r="A1445" s="20" t="s">
        <v>851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991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837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1518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1519</v>
      </c>
      <c r="B1449" s="27" t="s">
        <v>842</v>
      </c>
      <c r="C1449" s="27" t="s">
        <v>1095</v>
      </c>
      <c r="D1449" s="27" t="s">
        <v>801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795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844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325</v>
      </c>
      <c r="B1452" s="27" t="s">
        <v>874</v>
      </c>
      <c r="C1452" s="27" t="s">
        <v>816</v>
      </c>
      <c r="D1452" s="27" t="s">
        <v>801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1520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795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935</v>
      </c>
      <c r="B1455" s="27" t="s">
        <v>799</v>
      </c>
      <c r="C1455" s="27" t="s">
        <v>816</v>
      </c>
      <c r="D1455" s="27" t="s">
        <v>801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825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192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817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1521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795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877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837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1522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845</v>
      </c>
      <c r="B1464" s="27" t="s">
        <v>891</v>
      </c>
      <c r="C1464" s="27" t="s">
        <v>816</v>
      </c>
      <c r="D1464" s="27" t="s">
        <v>801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1523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1524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795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877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325</v>
      </c>
      <c r="B1469" s="27" t="s">
        <v>943</v>
      </c>
      <c r="C1469" s="27" t="s">
        <v>816</v>
      </c>
      <c r="D1469" s="27" t="s">
        <v>801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1282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1525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825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1526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970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1527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894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1528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803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/>
    </row>
    <row r="1480" spans="1:12">
      <c r="A1480" s="20" t="s">
        <v>1529</v>
      </c>
    </row>
    <row r="1481" spans="1:12">
      <c r="A1481" s="20" t="s">
        <v>1016</v>
      </c>
      <c r="B1481" s="27" t="s">
        <v>799</v>
      </c>
      <c r="C1481" s="27" t="s">
        <v>816</v>
      </c>
      <c r="D1481" s="27" t="s">
        <v>801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1530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1116</v>
      </c>
      <c r="B1483" s="27" t="s">
        <v>921</v>
      </c>
      <c r="C1483" s="27" t="s">
        <v>816</v>
      </c>
      <c r="D1483" s="27" t="s">
        <v>801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964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1531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1532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795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877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976</v>
      </c>
      <c r="B1489" s="27" t="s">
        <v>874</v>
      </c>
      <c r="C1489" s="27" t="s">
        <v>816</v>
      </c>
      <c r="D1489" s="27" t="s">
        <v>801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1533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795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1062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876</v>
      </c>
      <c r="B1493" s="27" t="s">
        <v>846</v>
      </c>
      <c r="C1493" s="27" t="s">
        <v>800</v>
      </c>
      <c r="D1493" s="27" t="s">
        <v>801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795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1213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325</v>
      </c>
      <c r="B1496" s="27" t="s">
        <v>878</v>
      </c>
      <c r="C1496" s="27" t="s">
        <v>816</v>
      </c>
      <c r="D1496" s="27" t="s">
        <v>801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1534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1535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1536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795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1537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795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1538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1539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883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1540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1154</v>
      </c>
      <c r="B1507" s="27" t="s">
        <v>1179</v>
      </c>
      <c r="C1507" s="27" t="s">
        <v>816</v>
      </c>
      <c r="D1507" s="27" t="s">
        <v>801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1541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964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1542</v>
      </c>
      <c r="B1510" s="27" t="s">
        <v>1543</v>
      </c>
      <c r="C1510" s="27" t="s">
        <v>816</v>
      </c>
      <c r="D1510" s="27" t="s">
        <v>801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935</v>
      </c>
      <c r="B1511" s="27" t="s">
        <v>881</v>
      </c>
      <c r="C1511" s="27" t="s">
        <v>816</v>
      </c>
      <c r="D1511" s="27" t="s">
        <v>801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1533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883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/>
    </row>
    <row r="1515" spans="1:12">
      <c r="A1515" s="20" t="s">
        <v>1544</v>
      </c>
    </row>
    <row r="1516" spans="1:12">
      <c r="A1516" s="20" t="s">
        <v>1545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1546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955</v>
      </c>
      <c r="B1518" s="27" t="s">
        <v>921</v>
      </c>
      <c r="C1518" s="27" t="s">
        <v>816</v>
      </c>
      <c r="D1518" s="27" t="s">
        <v>801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803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/>
    </row>
    <row r="1521" spans="1:12">
      <c r="A1521" s="20" t="s">
        <v>1547</v>
      </c>
    </row>
    <row r="1522" spans="1:12">
      <c r="A1522" s="20" t="s">
        <v>1379</v>
      </c>
      <c r="B1522" s="27" t="s">
        <v>799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1338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959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1536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795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925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955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1548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825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845</v>
      </c>
      <c r="B1531" s="27" t="s">
        <v>891</v>
      </c>
      <c r="C1531" s="27" t="s">
        <v>816</v>
      </c>
      <c r="D1531" s="27" t="s">
        <v>801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1352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1549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219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1550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795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1468</v>
      </c>
      <c r="B1537" s="27" t="s">
        <v>943</v>
      </c>
      <c r="C1537" s="27" t="s">
        <v>879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798</v>
      </c>
      <c r="B1538" s="27" t="s">
        <v>1001</v>
      </c>
      <c r="C1538" s="27" t="s">
        <v>800</v>
      </c>
      <c r="D1538" s="27" t="s">
        <v>801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1551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803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/>
    </row>
    <row r="1542" spans="1:12">
      <c r="A1542" s="20" t="s">
        <v>1552</v>
      </c>
    </row>
    <row r="1543" spans="1:12">
      <c r="A1543" s="20" t="s">
        <v>1016</v>
      </c>
      <c r="B1543" s="27" t="s">
        <v>799</v>
      </c>
      <c r="C1543" s="27" t="s">
        <v>816</v>
      </c>
      <c r="D1543" s="27" t="s">
        <v>801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1553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1462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391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1554</v>
      </c>
      <c r="B1547" s="27" t="s">
        <v>921</v>
      </c>
      <c r="C1547" s="27" t="s">
        <v>843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1555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1556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803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/>
    </row>
    <row r="1552" spans="1:12">
      <c r="A1552" s="20" t="s">
        <v>1557</v>
      </c>
    </row>
    <row r="1553" spans="1:12">
      <c r="A1553" s="20" t="s">
        <v>1558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795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356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837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1559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1560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795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1561</v>
      </c>
      <c r="B1560" s="27" t="s">
        <v>857</v>
      </c>
      <c r="C1560" s="27" t="s">
        <v>855</v>
      </c>
      <c r="D1560" s="27" t="s">
        <v>801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1562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1563</v>
      </c>
      <c r="B1562" s="27" t="s">
        <v>846</v>
      </c>
      <c r="C1562" s="27" t="s">
        <v>858</v>
      </c>
      <c r="D1562" s="27" t="s">
        <v>801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795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1564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1565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1566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863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1567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803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/>
    </row>
    <row r="1571" spans="1:12">
      <c r="A1571" s="20" t="s">
        <v>1568</v>
      </c>
    </row>
    <row r="1572" spans="1:12">
      <c r="A1572" s="20" t="s">
        <v>1452</v>
      </c>
      <c r="B1572" s="27" t="s">
        <v>799</v>
      </c>
      <c r="C1572" s="27" t="s">
        <v>816</v>
      </c>
      <c r="D1572" s="27" t="s">
        <v>801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1017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964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1569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1570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1571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973</v>
      </c>
      <c r="B1578" s="27" t="s">
        <v>1001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1572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795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1573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793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1405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894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1574</v>
      </c>
      <c r="B1585" s="27" t="s">
        <v>953</v>
      </c>
      <c r="C1585" s="27" t="s">
        <v>855</v>
      </c>
      <c r="D1585" s="27" t="s">
        <v>801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1575</v>
      </c>
      <c r="B1586" s="27" t="s">
        <v>1480</v>
      </c>
      <c r="C1586" s="27" t="s">
        <v>858</v>
      </c>
      <c r="D1586" s="27" t="s">
        <v>801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795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1362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1363</v>
      </c>
      <c r="B1589" s="27" t="s">
        <v>957</v>
      </c>
      <c r="C1589" s="27" t="s">
        <v>855</v>
      </c>
      <c r="D1589" s="27" t="s">
        <v>801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793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876</v>
      </c>
      <c r="B1591" s="27" t="s">
        <v>829</v>
      </c>
      <c r="C1591" s="27" t="s">
        <v>800</v>
      </c>
      <c r="D1591" s="27" t="s">
        <v>801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795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1576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1577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976</v>
      </c>
      <c r="B1595" s="27" t="s">
        <v>881</v>
      </c>
      <c r="C1595" s="27" t="s">
        <v>816</v>
      </c>
      <c r="D1595" s="27" t="s">
        <v>801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955</v>
      </c>
      <c r="B1596" s="27" t="s">
        <v>1543</v>
      </c>
      <c r="C1596" s="27" t="s">
        <v>816</v>
      </c>
      <c r="D1596" s="27" t="s">
        <v>801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837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1578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1579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1130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1580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894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1581</v>
      </c>
      <c r="B1603" s="27" t="s">
        <v>1477</v>
      </c>
      <c r="C1603" s="27" t="s">
        <v>816</v>
      </c>
      <c r="D1603" s="27" t="s">
        <v>801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970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1582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803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/>
    </row>
    <row r="1608" spans="1:12">
      <c r="A1608" s="20" t="s">
        <v>1583</v>
      </c>
    </row>
    <row r="1609" spans="1:12">
      <c r="A1609" s="20" t="s">
        <v>1416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795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798</v>
      </c>
      <c r="B1611" s="27" t="s">
        <v>799</v>
      </c>
      <c r="C1611" s="27" t="s">
        <v>800</v>
      </c>
      <c r="D1611" s="27" t="s">
        <v>801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1584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825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1585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803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/>
    </row>
    <row r="1617" spans="1:12">
      <c r="A1617" s="20" t="s">
        <v>1586</v>
      </c>
    </row>
    <row r="1618" spans="1:12">
      <c r="A1618" s="20" t="s">
        <v>934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1587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817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1588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219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1572</v>
      </c>
      <c r="B1623" s="27" t="s">
        <v>799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803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/>
    </row>
    <row r="1626" spans="1:12">
      <c r="A1626" s="20" t="s">
        <v>1589</v>
      </c>
    </row>
    <row r="1627" spans="1:12">
      <c r="A1627" s="20" t="s">
        <v>1590</v>
      </c>
      <c r="B1627" s="27" t="s">
        <v>799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1572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1591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795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1592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791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976</v>
      </c>
      <c r="B1633" s="27" t="s">
        <v>849</v>
      </c>
      <c r="C1633" s="27" t="s">
        <v>816</v>
      </c>
      <c r="D1633" s="27" t="s">
        <v>801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1593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1594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1595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795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925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1046</v>
      </c>
      <c r="B1639" s="27" t="s">
        <v>849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894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1574</v>
      </c>
      <c r="B1641" s="27" t="s">
        <v>846</v>
      </c>
      <c r="C1641" s="27" t="s">
        <v>855</v>
      </c>
      <c r="D1641" s="27" t="s">
        <v>801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1575</v>
      </c>
      <c r="B1642" s="27" t="s">
        <v>957</v>
      </c>
      <c r="C1642" s="27" t="s">
        <v>858</v>
      </c>
      <c r="D1642" s="27" t="s">
        <v>801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797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817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1596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803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/>
    </row>
    <row r="1648" spans="1:12">
      <c r="A1648" s="20" t="s">
        <v>1597</v>
      </c>
    </row>
    <row r="1649" spans="1:12">
      <c r="A1649" s="20" t="s">
        <v>1342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1598</v>
      </c>
      <c r="B1650" s="27" t="s">
        <v>799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1599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860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872</v>
      </c>
      <c r="B1653" s="27" t="s">
        <v>842</v>
      </c>
      <c r="C1653" s="27" t="s">
        <v>800</v>
      </c>
      <c r="D1653" s="27" t="s">
        <v>801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795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1600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1601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1602</v>
      </c>
      <c r="B1657" s="27" t="s">
        <v>846</v>
      </c>
      <c r="C1657" s="27" t="s">
        <v>1366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873</v>
      </c>
      <c r="B1658" s="27" t="s">
        <v>874</v>
      </c>
      <c r="C1658" s="27" t="s">
        <v>816</v>
      </c>
      <c r="D1658" s="27" t="s">
        <v>801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1603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837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1604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1605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827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1606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803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/>
    </row>
    <row r="1667" spans="1:12">
      <c r="A1667" s="20" t="s">
        <v>1607</v>
      </c>
    </row>
    <row r="1668" spans="1:12">
      <c r="A1668" s="20" t="s">
        <v>1608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1273</v>
      </c>
      <c r="B1669" s="27" t="s">
        <v>842</v>
      </c>
      <c r="C1669" s="27" t="s">
        <v>800</v>
      </c>
      <c r="D1669" s="27" t="s">
        <v>801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1609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1610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1161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1611</v>
      </c>
      <c r="B1673" s="27" t="s">
        <v>799</v>
      </c>
      <c r="C1673" s="27" t="s">
        <v>843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1612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803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/>
    </row>
    <row r="1677" spans="1:12">
      <c r="A1677" s="20" t="s">
        <v>1613</v>
      </c>
    </row>
    <row r="1678" spans="1:12">
      <c r="A1678" s="20" t="s">
        <v>934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873</v>
      </c>
      <c r="B1679" s="27" t="s">
        <v>799</v>
      </c>
      <c r="C1679" s="27" t="s">
        <v>816</v>
      </c>
      <c r="D1679" s="27" t="s">
        <v>801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1614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795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822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1615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827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1264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894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1616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1617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1618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795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822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873</v>
      </c>
      <c r="B1692" s="27" t="s">
        <v>874</v>
      </c>
      <c r="C1692" s="27" t="s">
        <v>816</v>
      </c>
      <c r="D1692" s="27" t="s">
        <v>801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1615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827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1619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795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1620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1621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873</v>
      </c>
      <c r="B1699" s="27" t="s">
        <v>874</v>
      </c>
      <c r="C1699" s="27" t="s">
        <v>816</v>
      </c>
      <c r="D1699" s="27" t="s">
        <v>801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906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803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/>
    </row>
    <row r="1703" spans="1:12">
      <c r="A1703" s="20" t="s">
        <v>1622</v>
      </c>
    </row>
    <row r="1704" spans="1:12">
      <c r="A1704" s="20" t="s">
        <v>934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1623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1624</v>
      </c>
      <c r="B1706" s="27" t="s">
        <v>921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795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1330</v>
      </c>
      <c r="B1708" s="27" t="s">
        <v>1001</v>
      </c>
      <c r="C1708" s="27" t="s">
        <v>879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415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1625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1626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795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873</v>
      </c>
      <c r="B1713" s="27" t="s">
        <v>799</v>
      </c>
      <c r="C1713" s="27" t="s">
        <v>816</v>
      </c>
      <c r="D1713" s="27" t="s">
        <v>801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817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1627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1417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1628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803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/>
    </row>
    <row r="1720" spans="1:12">
      <c r="A1720" s="20" t="s">
        <v>1629</v>
      </c>
    </row>
    <row r="1721" spans="1:12">
      <c r="A1721" s="20" t="s">
        <v>1630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911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1631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795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980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1375</v>
      </c>
      <c r="B1726" s="27" t="s">
        <v>857</v>
      </c>
      <c r="C1726" s="27" t="s">
        <v>879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935</v>
      </c>
      <c r="B1727" s="27" t="s">
        <v>849</v>
      </c>
      <c r="C1727" s="27" t="s">
        <v>816</v>
      </c>
      <c r="D1727" s="27" t="s">
        <v>801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1632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1633</v>
      </c>
      <c r="B1729" s="27" t="s">
        <v>891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795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797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1231</v>
      </c>
      <c r="B1732" s="27" t="s">
        <v>846</v>
      </c>
      <c r="C1732" s="27" t="s">
        <v>855</v>
      </c>
      <c r="D1732" s="27" t="s">
        <v>801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1634</v>
      </c>
      <c r="B1733" s="27" t="s">
        <v>957</v>
      </c>
      <c r="C1733" s="27" t="s">
        <v>858</v>
      </c>
      <c r="D1733" s="27" t="s">
        <v>801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825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1635</v>
      </c>
      <c r="B1735" s="27" t="s">
        <v>957</v>
      </c>
      <c r="C1735" s="27" t="s">
        <v>858</v>
      </c>
      <c r="D1735" s="27" t="s">
        <v>801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1636</v>
      </c>
      <c r="B1736" s="27" t="s">
        <v>829</v>
      </c>
      <c r="C1736" s="27" t="s">
        <v>858</v>
      </c>
      <c r="D1736" s="27" t="s">
        <v>801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803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/>
    </row>
    <row r="1739" spans="1:12">
      <c r="A1739" s="20" t="s">
        <v>1637</v>
      </c>
    </row>
    <row r="1740" spans="1:12">
      <c r="A1740" s="20" t="s">
        <v>1638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825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1639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1640</v>
      </c>
      <c r="B1743" s="27" t="s">
        <v>842</v>
      </c>
      <c r="C1743" s="27" t="s">
        <v>855</v>
      </c>
      <c r="D1743" s="27" t="s">
        <v>801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1641</v>
      </c>
      <c r="B1744" s="27" t="s">
        <v>842</v>
      </c>
      <c r="C1744" s="27" t="s">
        <v>858</v>
      </c>
      <c r="D1744" s="27" t="s">
        <v>801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795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1047</v>
      </c>
      <c r="B1746" s="27" t="s">
        <v>849</v>
      </c>
      <c r="C1746" s="27" t="s">
        <v>816</v>
      </c>
      <c r="D1746" s="27" t="s">
        <v>801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906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1642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795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844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980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1194</v>
      </c>
      <c r="B1752" s="27" t="s">
        <v>957</v>
      </c>
      <c r="C1752" s="27" t="s">
        <v>896</v>
      </c>
      <c r="D1752" s="27" t="s">
        <v>801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1643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1644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1645</v>
      </c>
      <c r="B1755" s="27" t="s">
        <v>846</v>
      </c>
      <c r="C1755" s="27" t="s">
        <v>855</v>
      </c>
      <c r="D1755" s="27" t="s">
        <v>801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1575</v>
      </c>
      <c r="B1756" s="27" t="s">
        <v>957</v>
      </c>
      <c r="C1756" s="27" t="s">
        <v>858</v>
      </c>
      <c r="D1756" s="27" t="s">
        <v>801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803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/>
    </row>
    <row r="1759" spans="1:12">
      <c r="A1759" s="20" t="s">
        <v>1646</v>
      </c>
    </row>
    <row r="1760" spans="1:12">
      <c r="A1760" s="20" t="s">
        <v>1402</v>
      </c>
      <c r="B1760" s="27" t="s">
        <v>921</v>
      </c>
      <c r="C1760" s="27" t="s">
        <v>816</v>
      </c>
      <c r="D1760" s="27" t="s">
        <v>801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1647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795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877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1648</v>
      </c>
      <c r="B1764" s="27" t="s">
        <v>849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1649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817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1650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1194</v>
      </c>
      <c r="B1768" s="27" t="s">
        <v>846</v>
      </c>
      <c r="C1768" s="27" t="s">
        <v>896</v>
      </c>
      <c r="D1768" s="27" t="s">
        <v>801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967</v>
      </c>
      <c r="B1769" s="27" t="s">
        <v>891</v>
      </c>
      <c r="C1769" s="27" t="s">
        <v>855</v>
      </c>
      <c r="D1769" s="27" t="s">
        <v>801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876</v>
      </c>
      <c r="B1770" s="27" t="s">
        <v>846</v>
      </c>
      <c r="C1770" s="27" t="s">
        <v>800</v>
      </c>
      <c r="D1770" s="27" t="s">
        <v>801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795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877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1047</v>
      </c>
      <c r="B1773" s="27" t="s">
        <v>878</v>
      </c>
      <c r="C1773" s="27" t="s">
        <v>816</v>
      </c>
      <c r="D1773" s="27" t="s">
        <v>801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1651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795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825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1047</v>
      </c>
      <c r="B1777" s="27" t="s">
        <v>1179</v>
      </c>
      <c r="C1777" s="27" t="s">
        <v>816</v>
      </c>
      <c r="D1777" s="27" t="s">
        <v>801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1652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1653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1654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1655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1656</v>
      </c>
      <c r="B1782" s="27" t="s">
        <v>1543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797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1657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1658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1659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1660</v>
      </c>
      <c r="B1787" s="27" t="s">
        <v>953</v>
      </c>
      <c r="C1787" s="27" t="s">
        <v>843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837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1661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894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1662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1616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1359</v>
      </c>
      <c r="B1793" s="27" t="s">
        <v>1477</v>
      </c>
      <c r="C1793" s="27" t="s">
        <v>843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797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1062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1663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1186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894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1574</v>
      </c>
      <c r="B1799" s="27" t="s">
        <v>1664</v>
      </c>
      <c r="C1799" s="27" t="s">
        <v>855</v>
      </c>
      <c r="D1799" s="27" t="s">
        <v>801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1575</v>
      </c>
      <c r="B1800" s="27" t="s">
        <v>1665</v>
      </c>
      <c r="C1800" s="27" t="s">
        <v>858</v>
      </c>
      <c r="D1800" s="27" t="s">
        <v>801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803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/>
    </row>
    <row r="1803" spans="1:12">
      <c r="A1803" s="20" t="s">
        <v>1666</v>
      </c>
    </row>
    <row r="1804" spans="1:12">
      <c r="A1804" s="20" t="s">
        <v>1667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1668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1669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1656</v>
      </c>
      <c r="B1807" s="27" t="s">
        <v>799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1670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825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1671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1672</v>
      </c>
      <c r="B1811" s="27" t="s">
        <v>891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1673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1674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803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/>
    </row>
    <row r="1816" spans="1:12">
      <c r="A1816" s="20" t="s">
        <v>1675</v>
      </c>
    </row>
    <row r="1817" spans="1:12">
      <c r="A1817" s="20" t="s">
        <v>1676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1677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1678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1679</v>
      </c>
      <c r="B1820" s="27" t="s">
        <v>799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1186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795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1680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1681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1682</v>
      </c>
      <c r="B1825" s="27" t="s">
        <v>1001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803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/>
    </row>
    <row r="1828" spans="1:12">
      <c r="A1828" s="20" t="s">
        <v>1683</v>
      </c>
    </row>
    <row r="1829" spans="1:12">
      <c r="A1829" s="20" t="s">
        <v>1684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1685</v>
      </c>
      <c r="B1830" s="27" t="s">
        <v>842</v>
      </c>
      <c r="C1830" s="27" t="s">
        <v>855</v>
      </c>
      <c r="D1830" s="27" t="s">
        <v>801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1686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1687</v>
      </c>
      <c r="B1832" s="27" t="s">
        <v>857</v>
      </c>
      <c r="C1832" s="27" t="s">
        <v>1095</v>
      </c>
      <c r="D1832" s="27" t="s">
        <v>801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837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1559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1560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1688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1689</v>
      </c>
      <c r="B1837" s="27" t="s">
        <v>799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813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1036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894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1574</v>
      </c>
      <c r="B1841" s="27" t="s">
        <v>846</v>
      </c>
      <c r="C1841" s="27" t="s">
        <v>855</v>
      </c>
      <c r="D1841" s="27" t="s">
        <v>801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1575</v>
      </c>
      <c r="B1842" s="27" t="s">
        <v>957</v>
      </c>
      <c r="C1842" s="27" t="s">
        <v>858</v>
      </c>
      <c r="D1842" s="27" t="s">
        <v>801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1690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1691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803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/>
    </row>
    <row r="1847" spans="1:12">
      <c r="A1847" s="20" t="s">
        <v>1692</v>
      </c>
    </row>
    <row r="1848" spans="1:12">
      <c r="A1848" s="20" t="s">
        <v>1693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1036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894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1574</v>
      </c>
      <c r="B1851" s="27" t="s">
        <v>857</v>
      </c>
      <c r="C1851" s="27" t="s">
        <v>855</v>
      </c>
      <c r="D1851" s="27" t="s">
        <v>801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1575</v>
      </c>
      <c r="B1852" s="27" t="s">
        <v>846</v>
      </c>
      <c r="C1852" s="27" t="s">
        <v>858</v>
      </c>
      <c r="D1852" s="27" t="s">
        <v>801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415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1694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1695</v>
      </c>
      <c r="B1855" s="27" t="s">
        <v>891</v>
      </c>
      <c r="C1855" s="27" t="s">
        <v>855</v>
      </c>
      <c r="D1855" s="27" t="s">
        <v>801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1696</v>
      </c>
      <c r="B1856" s="27" t="s">
        <v>846</v>
      </c>
      <c r="C1856" s="27" t="s">
        <v>1095</v>
      </c>
      <c r="D1856" s="27" t="s">
        <v>801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825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1697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795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1468</v>
      </c>
      <c r="B1860" s="27" t="s">
        <v>1179</v>
      </c>
      <c r="C1860" s="27" t="s">
        <v>879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1698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1699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1700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1701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803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/>
    </row>
    <row r="1867" spans="1:12">
      <c r="A1867" s="20" t="s">
        <v>1702</v>
      </c>
    </row>
    <row r="1868" spans="1:12">
      <c r="A1868" s="20" t="s">
        <v>1703</v>
      </c>
      <c r="B1868" s="27" t="s">
        <v>799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1704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827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1092</v>
      </c>
      <c r="B1871" s="27" t="s">
        <v>842</v>
      </c>
      <c r="C1871" s="27" t="s">
        <v>800</v>
      </c>
      <c r="D1871" s="27" t="s">
        <v>801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1705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1706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803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/>
    </row>
    <row r="1876" spans="1:12">
      <c r="A1876" s="20" t="s">
        <v>1707</v>
      </c>
    </row>
    <row r="1877" spans="1:12">
      <c r="A1877" s="20" t="s">
        <v>1016</v>
      </c>
      <c r="B1877" s="27" t="s">
        <v>799</v>
      </c>
      <c r="C1877" s="27" t="s">
        <v>816</v>
      </c>
      <c r="D1877" s="27" t="s">
        <v>801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1530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1194</v>
      </c>
      <c r="B1879" s="27" t="s">
        <v>921</v>
      </c>
      <c r="C1879" s="27" t="s">
        <v>816</v>
      </c>
      <c r="D1879" s="27" t="s">
        <v>801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964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1708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1577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1709</v>
      </c>
      <c r="B1883" s="27" t="s">
        <v>891</v>
      </c>
      <c r="C1883" s="27" t="s">
        <v>816</v>
      </c>
      <c r="D1883" s="27" t="s">
        <v>801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883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/>
    </row>
    <row r="1886" spans="1:12">
      <c r="A1886" s="20" t="s">
        <v>1710</v>
      </c>
    </row>
    <row r="1887" spans="1:12">
      <c r="A1887" s="20" t="s">
        <v>1711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1712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1713</v>
      </c>
      <c r="B1889" s="27" t="s">
        <v>799</v>
      </c>
      <c r="C1889" s="27" t="s">
        <v>816</v>
      </c>
      <c r="D1889" s="27" t="s">
        <v>801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795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1213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980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1714</v>
      </c>
      <c r="B1893" s="27" t="s">
        <v>846</v>
      </c>
      <c r="C1893" s="27" t="s">
        <v>896</v>
      </c>
      <c r="D1893" s="27" t="s">
        <v>801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1405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817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835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1715</v>
      </c>
      <c r="B1897" s="27" t="s">
        <v>849</v>
      </c>
      <c r="C1897" s="27" t="s">
        <v>855</v>
      </c>
      <c r="D1897" s="27" t="s">
        <v>801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1575</v>
      </c>
      <c r="B1898" s="27" t="s">
        <v>846</v>
      </c>
      <c r="C1898" s="27" t="s">
        <v>858</v>
      </c>
      <c r="D1898" s="27" t="s">
        <v>801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883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/>
    </row>
    <row r="1901" spans="1:12">
      <c r="A1901" s="20" t="s">
        <v>1716</v>
      </c>
    </row>
    <row r="1902" spans="1:12">
      <c r="A1902" s="20" t="s">
        <v>1711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1712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1713</v>
      </c>
      <c r="B1904" s="27" t="s">
        <v>799</v>
      </c>
      <c r="C1904" s="27" t="s">
        <v>816</v>
      </c>
      <c r="D1904" s="27" t="s">
        <v>801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1395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817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329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1226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1273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1717</v>
      </c>
      <c r="B1910" s="27" t="s">
        <v>857</v>
      </c>
      <c r="C1910" s="27" t="s">
        <v>1095</v>
      </c>
      <c r="D1910" s="27" t="s">
        <v>801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883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1540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975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1225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795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877</v>
      </c>
      <c r="B1916" s="27" t="s">
        <v>1156</v>
      </c>
      <c r="C1916" s="27" t="s">
        <v>879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1718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658</v>
      </c>
      <c r="B1918" s="27" t="s">
        <v>874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964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1719</v>
      </c>
      <c r="B1920" s="27" t="s">
        <v>957</v>
      </c>
      <c r="C1920" s="27" t="s">
        <v>855</v>
      </c>
      <c r="D1920" s="27" t="s">
        <v>801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795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845</v>
      </c>
      <c r="B1922" s="27" t="s">
        <v>1094</v>
      </c>
      <c r="C1922" s="27" t="s">
        <v>816</v>
      </c>
      <c r="D1922" s="27" t="s">
        <v>801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1720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1721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1722</v>
      </c>
      <c r="B1925" s="27" t="s">
        <v>829</v>
      </c>
      <c r="C1925" s="27" t="s">
        <v>858</v>
      </c>
      <c r="D1925" s="27" t="s">
        <v>801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795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1723</v>
      </c>
      <c r="B1927" s="27" t="s">
        <v>1480</v>
      </c>
      <c r="C1927" s="27" t="s">
        <v>896</v>
      </c>
      <c r="D1927" s="27" t="s">
        <v>801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1413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795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1724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877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1384</v>
      </c>
      <c r="B1932" s="27" t="s">
        <v>1001</v>
      </c>
      <c r="C1932" s="27" t="s">
        <v>816</v>
      </c>
      <c r="D1932" s="27" t="s">
        <v>801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1725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668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837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1273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990</v>
      </c>
      <c r="B1937" s="27" t="s">
        <v>829</v>
      </c>
      <c r="C1937" s="27" t="s">
        <v>1095</v>
      </c>
      <c r="D1937" s="27" t="s">
        <v>801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803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/>
    </row>
    <row r="1940" spans="1:12">
      <c r="A1940" s="20" t="s">
        <v>1726</v>
      </c>
    </row>
    <row r="1941" spans="1:12">
      <c r="A1941" s="20" t="s">
        <v>1016</v>
      </c>
      <c r="B1941" s="27" t="s">
        <v>799</v>
      </c>
      <c r="C1941" s="27" t="s">
        <v>816</v>
      </c>
      <c r="D1941" s="27" t="s">
        <v>801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1712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1316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795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1213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955</v>
      </c>
      <c r="B1946" s="27" t="s">
        <v>846</v>
      </c>
      <c r="C1946" s="27" t="s">
        <v>896</v>
      </c>
      <c r="D1946" s="27" t="s">
        <v>801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1727</v>
      </c>
      <c r="B1947" s="27" t="s">
        <v>849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1109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1728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803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/>
    </row>
    <row r="1952" spans="1:12">
      <c r="A1952" s="20" t="s">
        <v>1729</v>
      </c>
    </row>
    <row r="1953" spans="1:12">
      <c r="A1953" s="20" t="s">
        <v>934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791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1712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873</v>
      </c>
      <c r="B1956" s="27" t="s">
        <v>849</v>
      </c>
      <c r="C1956" s="27" t="s">
        <v>816</v>
      </c>
      <c r="D1956" s="27" t="s">
        <v>801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1730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1731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894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1574</v>
      </c>
      <c r="B1960" s="27" t="s">
        <v>846</v>
      </c>
      <c r="C1960" s="27" t="s">
        <v>855</v>
      </c>
      <c r="D1960" s="27" t="s">
        <v>801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1575</v>
      </c>
      <c r="B1961" s="27" t="s">
        <v>957</v>
      </c>
      <c r="C1961" s="27" t="s">
        <v>858</v>
      </c>
      <c r="D1961" s="27" t="s">
        <v>801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795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59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798</v>
      </c>
      <c r="B1964" s="27" t="s">
        <v>799</v>
      </c>
      <c r="C1964" s="27" t="s">
        <v>800</v>
      </c>
      <c r="D1964" s="27" t="s">
        <v>801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1109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1712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1732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1733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803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/>
    </row>
    <row r="1971" spans="1:12">
      <c r="A1971" s="20" t="s">
        <v>1734</v>
      </c>
    </row>
    <row r="1972" spans="1:12">
      <c r="A1972" s="20" t="s">
        <v>1635</v>
      </c>
      <c r="B1972" s="27" t="s">
        <v>799</v>
      </c>
      <c r="C1972" s="27" t="s">
        <v>858</v>
      </c>
      <c r="D1972" s="27" t="s">
        <v>801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1636</v>
      </c>
      <c r="B1973" s="27" t="s">
        <v>857</v>
      </c>
      <c r="C1973" s="27" t="s">
        <v>858</v>
      </c>
      <c r="D1973" s="27" t="s">
        <v>801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1735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964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1018</v>
      </c>
      <c r="B1976" s="27" t="s">
        <v>849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1736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894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1737</v>
      </c>
      <c r="B1979" s="27" t="s">
        <v>857</v>
      </c>
      <c r="C1979" s="27" t="s">
        <v>858</v>
      </c>
      <c r="D1979" s="27" t="s">
        <v>801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803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/>
    </row>
    <row r="1982" spans="1:12">
      <c r="A1982" s="20" t="s">
        <v>1738</v>
      </c>
    </row>
    <row r="1983" spans="1:12">
      <c r="A1983" s="20" t="s">
        <v>1016</v>
      </c>
      <c r="B1983" s="27" t="s">
        <v>799</v>
      </c>
      <c r="C1983" s="27" t="s">
        <v>816</v>
      </c>
      <c r="D1983" s="27" t="s">
        <v>801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1739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860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1740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1741</v>
      </c>
      <c r="B1987" s="27" t="s">
        <v>842</v>
      </c>
      <c r="C1987" s="27" t="s">
        <v>855</v>
      </c>
      <c r="D1987" s="27" t="s">
        <v>801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1062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1722</v>
      </c>
      <c r="B1989" s="27" t="s">
        <v>857</v>
      </c>
      <c r="C1989" s="27" t="s">
        <v>858</v>
      </c>
      <c r="D1989" s="27" t="s">
        <v>801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795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1062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1742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955</v>
      </c>
      <c r="B1993" s="27" t="s">
        <v>957</v>
      </c>
      <c r="C1993" s="27" t="s">
        <v>896</v>
      </c>
      <c r="D1993" s="27" t="s">
        <v>801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813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803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/>
    </row>
    <row r="1997" spans="1:12">
      <c r="A1997" s="20" t="s">
        <v>1743</v>
      </c>
    </row>
    <row r="1998" spans="1:12">
      <c r="A1998" s="20" t="s">
        <v>934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1062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448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803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803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803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/>
    </row>
    <row r="2005" spans="1:12">
      <c r="A2005" s="20" t="s">
        <v>1744</v>
      </c>
    </row>
    <row r="2006" spans="1:12">
      <c r="A2006" s="20" t="s">
        <v>97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848</v>
      </c>
      <c r="B2007" s="27" t="s">
        <v>842</v>
      </c>
      <c r="C2007" s="27" t="s">
        <v>843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853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795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844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325</v>
      </c>
      <c r="B2011" s="27" t="s">
        <v>849</v>
      </c>
      <c r="C2011" s="27" t="s">
        <v>816</v>
      </c>
      <c r="D2011" s="27" t="s">
        <v>801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1520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795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935</v>
      </c>
      <c r="B2014" s="27" t="s">
        <v>799</v>
      </c>
      <c r="C2014" s="27" t="s">
        <v>816</v>
      </c>
      <c r="D2014" s="27" t="s">
        <v>801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1712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825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817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1745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795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877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1746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1747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158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1748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1749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803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/>
    </row>
    <row r="2028" spans="1:12">
      <c r="A2028" s="20" t="s">
        <v>1750</v>
      </c>
    </row>
    <row r="2029" spans="1:12">
      <c r="A2029" s="20" t="s">
        <v>1751</v>
      </c>
      <c r="B2029" s="27" t="s">
        <v>799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1752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1008</v>
      </c>
      <c r="B2031" s="27" t="s">
        <v>921</v>
      </c>
      <c r="C2031" s="27" t="s">
        <v>816</v>
      </c>
      <c r="D2031" s="27" t="s">
        <v>801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1753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795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1754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825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1755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803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/>
    </row>
    <row r="2039" spans="1:12">
      <c r="A2039" s="20" t="s">
        <v>1756</v>
      </c>
    </row>
    <row r="2040" spans="1:12">
      <c r="A2040" s="20" t="s">
        <v>1757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860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1202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795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935</v>
      </c>
      <c r="B2044" s="27" t="s">
        <v>799</v>
      </c>
      <c r="C2044" s="27" t="s">
        <v>816</v>
      </c>
      <c r="D2044" s="27" t="s">
        <v>801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1712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817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1758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1759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969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970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877</v>
      </c>
      <c r="B2051" s="27" t="s">
        <v>857</v>
      </c>
      <c r="C2051" s="27" t="s">
        <v>879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1760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803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/>
    </row>
    <row r="2055" spans="1:12">
      <c r="A2055" s="20" t="s">
        <v>1761</v>
      </c>
    </row>
    <row r="2056" spans="1:12">
      <c r="A2056" s="20" t="s">
        <v>1762</v>
      </c>
      <c r="B2056" s="27" t="s">
        <v>799</v>
      </c>
      <c r="C2056" s="27" t="s">
        <v>816</v>
      </c>
      <c r="D2056" s="27" t="s">
        <v>801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1763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1013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1764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795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844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1765</v>
      </c>
      <c r="B2062" s="27" t="s">
        <v>849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827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1766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1264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1767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1768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803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/>
    </row>
    <row r="2070" spans="1:12">
      <c r="A2070" s="20" t="s">
        <v>1769</v>
      </c>
    </row>
    <row r="2071" spans="1:12">
      <c r="A2071" s="20" t="s">
        <v>934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821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1125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795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873</v>
      </c>
      <c r="B2075" s="27" t="s">
        <v>799</v>
      </c>
      <c r="C2075" s="27" t="s">
        <v>816</v>
      </c>
      <c r="D2075" s="27" t="s">
        <v>801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1763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1013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1764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795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844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1770</v>
      </c>
      <c r="B2081" s="27" t="s">
        <v>957</v>
      </c>
      <c r="C2081" s="27" t="s">
        <v>896</v>
      </c>
      <c r="D2081" s="27" t="s">
        <v>801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1771</v>
      </c>
      <c r="B2082" s="27" t="s">
        <v>874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827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1772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1773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1774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1775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822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1395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1776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803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/>
    </row>
    <row r="2093" spans="1:12">
      <c r="A2093" s="20" t="s">
        <v>1777</v>
      </c>
    </row>
    <row r="2094" spans="1:12">
      <c r="A2094" s="20" t="s">
        <v>1778</v>
      </c>
      <c r="B2094" s="27" t="s">
        <v>921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1035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1186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795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1779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837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856</v>
      </c>
      <c r="B2100" s="27" t="s">
        <v>957</v>
      </c>
      <c r="C2100" s="27" t="s">
        <v>858</v>
      </c>
      <c r="D2100" s="27" t="s">
        <v>801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795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1780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1320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1781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1782</v>
      </c>
      <c r="B2105" s="27" t="s">
        <v>921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803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/>
    </row>
    <row r="2108" spans="1:12">
      <c r="A2108" s="20" t="s">
        <v>1783</v>
      </c>
    </row>
    <row r="2109" spans="1:12">
      <c r="A2109" s="20" t="s">
        <v>1392</v>
      </c>
      <c r="B2109" s="27" t="s">
        <v>921</v>
      </c>
      <c r="C2109" s="27" t="s">
        <v>816</v>
      </c>
      <c r="D2109" s="27" t="s">
        <v>801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1320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837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1784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1661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1785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825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1786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894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1787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1788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795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877</v>
      </c>
      <c r="B2121" s="27" t="s">
        <v>849</v>
      </c>
      <c r="C2121" s="27" t="s">
        <v>879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1789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1348</v>
      </c>
      <c r="B2123" s="27" t="s">
        <v>891</v>
      </c>
      <c r="C2123" s="27" t="s">
        <v>816</v>
      </c>
      <c r="D2123" s="27" t="s">
        <v>801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1790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1791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1792</v>
      </c>
      <c r="B2126" s="27" t="s">
        <v>1156</v>
      </c>
      <c r="C2126" s="27" t="s">
        <v>1366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1793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825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1794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1795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803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/>
    </row>
    <row r="2133" spans="1:12">
      <c r="A2133" s="20" t="s">
        <v>1796</v>
      </c>
    </row>
    <row r="2134" spans="1:12">
      <c r="A2134" s="20" t="s">
        <v>1797</v>
      </c>
      <c r="B2134" s="27" t="s">
        <v>799</v>
      </c>
      <c r="C2134" s="27" t="s">
        <v>843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1798</v>
      </c>
      <c r="B2135" s="27" t="s">
        <v>857</v>
      </c>
      <c r="C2135" s="27" t="s">
        <v>858</v>
      </c>
      <c r="D2135" s="27" t="s">
        <v>801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12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435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795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1799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970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1800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795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1801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1802</v>
      </c>
      <c r="B2144" s="27" t="s">
        <v>799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1803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1804</v>
      </c>
      <c r="B2146" s="27" t="s">
        <v>1156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803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/>
    </row>
    <row r="2149" spans="1:12">
      <c r="A2149" s="20" t="s">
        <v>1805</v>
      </c>
    </row>
    <row r="2150" spans="1:12">
      <c r="A2150" s="20" t="s">
        <v>483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797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1806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1807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1808</v>
      </c>
      <c r="B2154" s="27" t="s">
        <v>799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1809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803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/>
    </row>
    <row r="2158" spans="1:12">
      <c r="A2158" s="20" t="s">
        <v>1810</v>
      </c>
    </row>
    <row r="2159" spans="1:12">
      <c r="A2159" s="20" t="s">
        <v>1811</v>
      </c>
      <c r="B2159" s="27" t="s">
        <v>799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795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1812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1802</v>
      </c>
      <c r="B2162" s="27" t="s">
        <v>1156</v>
      </c>
      <c r="C2162" s="27" t="s">
        <v>855</v>
      </c>
      <c r="D2162" s="27" t="s">
        <v>801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978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1813</v>
      </c>
      <c r="B2164" s="27" t="s">
        <v>957</v>
      </c>
      <c r="C2164" s="27" t="s">
        <v>1095</v>
      </c>
      <c r="D2164" s="27" t="s">
        <v>801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795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825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1814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1815</v>
      </c>
      <c r="B2168" s="27" t="s">
        <v>1121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795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1816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1817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1818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1819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1820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803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/>
    </row>
    <row r="2177" spans="1:12">
      <c r="A2177" s="20" t="s">
        <v>1821</v>
      </c>
    </row>
    <row r="2178" spans="1:12">
      <c r="A2178" s="20" t="s">
        <v>1822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1823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1824</v>
      </c>
      <c r="B2180" s="27" t="s">
        <v>799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970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1825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803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/>
    </row>
    <row r="2185" spans="1:12">
      <c r="A2185" s="20" t="s">
        <v>1826</v>
      </c>
    </row>
    <row r="2186" spans="1:12">
      <c r="A2186" s="20" t="s">
        <v>1827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1828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1829</v>
      </c>
      <c r="B2188" s="27" t="s">
        <v>799</v>
      </c>
      <c r="C2188" s="27" t="s">
        <v>800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1830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1831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795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1330</v>
      </c>
      <c r="B2192" s="27" t="s">
        <v>943</v>
      </c>
      <c r="C2192" s="27" t="s">
        <v>879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1832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1833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980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1834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1645</v>
      </c>
      <c r="B2197" s="27" t="s">
        <v>829</v>
      </c>
      <c r="C2197" s="27" t="s">
        <v>855</v>
      </c>
      <c r="D2197" s="27" t="s">
        <v>801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1575</v>
      </c>
      <c r="B2198" s="27" t="s">
        <v>953</v>
      </c>
      <c r="C2198" s="27" t="s">
        <v>858</v>
      </c>
      <c r="D2198" s="27" t="s">
        <v>801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970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1835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1836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1837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1838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825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894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1839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1840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803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/>
    </row>
    <row r="2210" spans="1:12">
      <c r="A2210" s="20" t="s">
        <v>1841</v>
      </c>
    </row>
    <row r="2211" spans="1:12">
      <c r="A2211" s="20" t="s">
        <v>805</v>
      </c>
      <c r="B2211" s="27" t="s">
        <v>799</v>
      </c>
      <c r="C2211" s="27" t="s">
        <v>800</v>
      </c>
      <c r="D2211" s="27" t="s">
        <v>801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1842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1843</v>
      </c>
      <c r="B2213" s="27" t="s">
        <v>921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1844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1845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1846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1847</v>
      </c>
      <c r="B2217" s="27" t="s">
        <v>1156</v>
      </c>
      <c r="C2217" s="27" t="s">
        <v>800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803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/>
    </row>
    <row r="2220" spans="1:12">
      <c r="A2220" s="20" t="s">
        <v>1848</v>
      </c>
    </row>
    <row r="2221" spans="1:12">
      <c r="A2221" s="20" t="s">
        <v>1849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1749</v>
      </c>
      <c r="B2222" s="27" t="s">
        <v>842</v>
      </c>
      <c r="C2222" s="27" t="s">
        <v>800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795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873</v>
      </c>
      <c r="B2224" s="27" t="s">
        <v>799</v>
      </c>
      <c r="C2224" s="27" t="s">
        <v>816</v>
      </c>
      <c r="D2224" s="27" t="s">
        <v>801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1850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1851</v>
      </c>
      <c r="B2226" s="27" t="s">
        <v>921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1852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825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1851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1853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803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/>
    </row>
    <row r="2233" spans="1:12">
      <c r="A2233" s="20" t="s">
        <v>1854</v>
      </c>
    </row>
    <row r="2234" spans="1:12">
      <c r="A2234" s="20" t="s">
        <v>1016</v>
      </c>
      <c r="B2234" s="27" t="s">
        <v>799</v>
      </c>
      <c r="C2234" s="27" t="s">
        <v>816</v>
      </c>
      <c r="D2234" s="27" t="s">
        <v>801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1855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825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837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59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825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837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972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803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/>
    </row>
    <row r="2244" spans="1:12">
      <c r="A2244" s="20" t="s">
        <v>1856</v>
      </c>
    </row>
    <row r="2245" spans="1:12">
      <c r="A2245" s="20" t="s">
        <v>1016</v>
      </c>
      <c r="B2245" s="27" t="s">
        <v>799</v>
      </c>
      <c r="C2245" s="27" t="s">
        <v>816</v>
      </c>
      <c r="D2245" s="27" t="s">
        <v>801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1857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795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877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1858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1851</v>
      </c>
      <c r="B2250" s="27" t="s">
        <v>849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797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1859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795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1860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795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1861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1862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825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1863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59</v>
      </c>
      <c r="B2260" s="27" t="s">
        <v>842</v>
      </c>
      <c r="C2260" s="27" t="s">
        <v>800</v>
      </c>
      <c r="D2260" s="27" t="s">
        <v>801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1125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1864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860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1865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1866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803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/>
    </row>
    <row r="2268" spans="1:12">
      <c r="A2268" s="20" t="s">
        <v>1867</v>
      </c>
    </row>
    <row r="2269" spans="1:12">
      <c r="A2269" s="20" t="s">
        <v>934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821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1125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1857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1868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795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877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1310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1869</v>
      </c>
      <c r="B2277" s="27" t="s">
        <v>849</v>
      </c>
      <c r="C2277" s="27" t="s">
        <v>1095</v>
      </c>
      <c r="D2277" s="27" t="s">
        <v>801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817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1200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1870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1871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803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/>
    </row>
    <row r="2284" spans="1:12">
      <c r="A2284" s="20" t="s">
        <v>1872</v>
      </c>
    </row>
    <row r="2285" spans="1:12">
      <c r="A2285" s="20" t="s">
        <v>890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935</v>
      </c>
      <c r="B2286" s="27" t="s">
        <v>849</v>
      </c>
      <c r="C2286" s="27" t="s">
        <v>816</v>
      </c>
      <c r="D2286" s="27" t="s">
        <v>801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946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1125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1873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59</v>
      </c>
      <c r="B2290" s="27" t="s">
        <v>891</v>
      </c>
      <c r="C2290" s="27" t="s">
        <v>800</v>
      </c>
      <c r="D2290" s="27" t="s">
        <v>801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795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1874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1749</v>
      </c>
      <c r="B2293" s="27" t="s">
        <v>957</v>
      </c>
      <c r="C2293" s="27" t="s">
        <v>1366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1047</v>
      </c>
      <c r="B2294" s="27" t="s">
        <v>943</v>
      </c>
      <c r="C2294" s="27" t="s">
        <v>816</v>
      </c>
      <c r="D2294" s="27" t="s">
        <v>801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1875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795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1876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795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837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1877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795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1491</v>
      </c>
      <c r="B2302" s="27" t="s">
        <v>1094</v>
      </c>
      <c r="C2302" s="27" t="s">
        <v>879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935</v>
      </c>
      <c r="B2303" s="27" t="s">
        <v>1179</v>
      </c>
      <c r="C2303" s="27" t="s">
        <v>816</v>
      </c>
      <c r="D2303" s="27" t="s">
        <v>801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1592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877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1878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795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798</v>
      </c>
      <c r="B2308" s="27" t="s">
        <v>799</v>
      </c>
      <c r="C2308" s="27" t="s">
        <v>800</v>
      </c>
      <c r="D2308" s="27" t="s">
        <v>801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1879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970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1880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911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1881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1882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795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844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1883</v>
      </c>
      <c r="B2317" s="27" t="s">
        <v>874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1884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795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877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1885</v>
      </c>
      <c r="B2321" s="27" t="s">
        <v>943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837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1886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795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1887</v>
      </c>
      <c r="B2325" s="27" t="s">
        <v>881</v>
      </c>
      <c r="C2325" s="27" t="s">
        <v>879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837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1294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1888</v>
      </c>
      <c r="B2328" s="27" t="s">
        <v>1480</v>
      </c>
      <c r="C2328" s="27" t="s">
        <v>1095</v>
      </c>
      <c r="D2328" s="27" t="s">
        <v>801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1889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1890</v>
      </c>
      <c r="B2330" s="27" t="s">
        <v>1543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795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1891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970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1892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803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/>
    </row>
    <row r="2337" spans="1:12">
      <c r="A2337" s="20" t="s">
        <v>1893</v>
      </c>
    </row>
    <row r="2338" spans="1:12">
      <c r="A2338" s="20" t="s">
        <v>1762</v>
      </c>
      <c r="B2338" s="27" t="s">
        <v>799</v>
      </c>
      <c r="C2338" s="27" t="s">
        <v>816</v>
      </c>
      <c r="D2338" s="27" t="s">
        <v>801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1894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1895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860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1896</v>
      </c>
      <c r="B2342" s="27" t="s">
        <v>846</v>
      </c>
      <c r="C2342" s="27" t="s">
        <v>896</v>
      </c>
      <c r="D2342" s="27" t="s">
        <v>801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1897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827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1898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803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/>
    </row>
    <row r="2348" spans="1:12">
      <c r="A2348" s="20" t="s">
        <v>1899</v>
      </c>
    </row>
    <row r="2349" spans="1:12">
      <c r="A2349" s="20" t="s">
        <v>975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1191</v>
      </c>
      <c r="B2350" s="27" t="s">
        <v>799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1894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1900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970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1901</v>
      </c>
      <c r="B2354" s="27" t="s">
        <v>857</v>
      </c>
      <c r="C2354" s="27" t="s">
        <v>855</v>
      </c>
      <c r="D2354" s="27" t="s">
        <v>801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860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872</v>
      </c>
      <c r="B2356" s="27" t="s">
        <v>846</v>
      </c>
      <c r="C2356" s="27" t="s">
        <v>800</v>
      </c>
      <c r="D2356" s="27" t="s">
        <v>801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795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877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1047</v>
      </c>
      <c r="B2359" s="27" t="s">
        <v>878</v>
      </c>
      <c r="C2359" s="27" t="s">
        <v>816</v>
      </c>
      <c r="D2359" s="27" t="s">
        <v>801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1902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1903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837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1904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1905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795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925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877</v>
      </c>
      <c r="B2367" s="27" t="s">
        <v>1543</v>
      </c>
      <c r="C2367" s="27" t="s">
        <v>879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1047</v>
      </c>
      <c r="B2368" s="27" t="s">
        <v>881</v>
      </c>
      <c r="C2368" s="27" t="s">
        <v>816</v>
      </c>
      <c r="D2368" s="27" t="s">
        <v>801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1906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1712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1261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803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/>
    </row>
    <row r="2374" spans="1:12">
      <c r="A2374" s="20" t="s">
        <v>1907</v>
      </c>
    </row>
    <row r="2375" spans="1:12">
      <c r="A2375" s="20" t="s">
        <v>1908</v>
      </c>
      <c r="B2375" s="27" t="s">
        <v>921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1909</v>
      </c>
      <c r="B2376" s="27" t="s">
        <v>857</v>
      </c>
      <c r="C2376" s="27" t="s">
        <v>858</v>
      </c>
      <c r="D2376" s="27" t="s">
        <v>801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795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1910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1721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1911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1036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1912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1913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795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909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964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1914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1191</v>
      </c>
      <c r="B2388" s="27" t="s">
        <v>849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1079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964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1915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1712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1316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795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1213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980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1916</v>
      </c>
      <c r="B2397" s="27" t="s">
        <v>829</v>
      </c>
      <c r="C2397" s="27" t="s">
        <v>896</v>
      </c>
      <c r="D2397" s="27" t="s">
        <v>801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 t="s">
        <v>1405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817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835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1917</v>
      </c>
      <c r="B2401" s="27" t="s">
        <v>943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795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1047</v>
      </c>
      <c r="B2403" s="27" t="s">
        <v>878</v>
      </c>
      <c r="C2403" s="27" t="s">
        <v>816</v>
      </c>
      <c r="D2403" s="27" t="s">
        <v>801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1918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837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1919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964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1915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1712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1316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795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1213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940</v>
      </c>
      <c r="B2413" s="27" t="s">
        <v>1477</v>
      </c>
      <c r="C2413" s="27" t="s">
        <v>896</v>
      </c>
      <c r="D2413" s="27" t="s">
        <v>801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1236</v>
      </c>
      <c r="B2414" s="27" t="s">
        <v>881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1395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817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959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1920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795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925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 t="s">
        <v>980</v>
      </c>
      <c r="E2421" s="21">
        <f>IF(D2421="?OLD","!!!","")</f>
        <v/>
      </c>
      <c r="F2421" s="22" t="str">
        <f>IF(OR(E2421="",E2421="!!!"),"",IF(NOT(ISNA(VLOOKUP(E2421,E$1:E2420,1,FALSE()))),"OLD",IF(AND(E2421&lt;&gt;"",E2421&lt;&gt;"!!!"),"NEW","")))</f>
        <v> </v>
      </c>
      <c r="G2421" s="23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4" t="str">
        <f>IF(J2421&lt;&gt;1,"",IF(I2421="SBJ","CB","?"))</f>
        <v> </v>
      </c>
      <c r="I2421" s="25" t="str">
        <f>IF(OR(E2421="",E2421="!!!",F2421="NEW"),"",INDEX(B2420:B$2,-1+SUMPRODUCT(MAX(ROW(E2420:E$2)*(E2421=E2420:E$2)))))</f>
        <v> </v>
      </c>
      <c r="J2421" s="25" t="str">
        <f>IF(OR(E2421="",E2421="!!!",F2421="NEW"),"",COUNTBLANK(OFFSET(A$1,,,SUMPRODUCT(MAX(ROW(E$2:E2421)*(E2421=E$2:E2421)))))-COUNTBLANK(OFFSET(A$1,,,SUMPRODUCT(MAX(ROW(E$1:E2420)*(E2=E$1:E2420))))))</f>
        <v> </v>
      </c>
      <c r="K2421" s="25" t="str">
        <f>IF(OR(E2421="",E2421="!!!",F2421="NEW"),"",INDEX(J$1:J2420,SUMPRODUCT(MAX(ROW(E$1:E2420)*(E2421=E$1:E2420)))))</f>
        <v> </v>
      </c>
      <c r="L2421" s="26"/>
    </row>
    <row r="2422" spans="1:12">
      <c r="A2422" s="20" t="s">
        <v>1008</v>
      </c>
      <c r="B2422" s="27" t="s">
        <v>1477</v>
      </c>
      <c r="C2422" s="27" t="s">
        <v>816</v>
      </c>
      <c r="D2422" s="27" t="s">
        <v>801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959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1921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795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817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1922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1913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1923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803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/>
    </row>
    <row r="2432" spans="1:12">
      <c r="A2432" s="20" t="s">
        <v>1924</v>
      </c>
    </row>
    <row r="2433" spans="1:12">
      <c r="A2433" s="20" t="s">
        <v>1925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837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798</v>
      </c>
      <c r="B2435" s="27" t="s">
        <v>842</v>
      </c>
      <c r="C2435" s="27" t="s">
        <v>800</v>
      </c>
      <c r="D2435" s="27" t="s">
        <v>801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803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/>
    </row>
    <row r="2438" spans="1:12">
      <c r="A2438" s="20" t="s">
        <v>1926</v>
      </c>
    </row>
    <row r="2439" spans="1:12">
      <c r="A2439" s="20" t="s">
        <v>805</v>
      </c>
      <c r="B2439" s="27" t="s">
        <v>799</v>
      </c>
      <c r="C2439" s="27" t="s">
        <v>800</v>
      </c>
      <c r="D2439" s="27" t="s">
        <v>801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59</v>
      </c>
      <c r="B2440" s="27" t="s">
        <v>842</v>
      </c>
      <c r="C2440" s="27" t="s">
        <v>800</v>
      </c>
      <c r="D2440" s="27" t="s">
        <v>801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 t="s">
        <v>795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877</v>
      </c>
      <c r="E2442" s="21">
        <f>IF(D2442="?OLD","!!!","")</f>
        <v/>
      </c>
      <c r="F2442" s="22" t="str">
        <f>IF(OR(E2442="",E2442="!!!"),"",IF(NOT(ISNA(VLOOKUP(E2442,E$1:E2441,1,FALSE()))),"OLD",IF(AND(E2442&lt;&gt;"",E2442&lt;&gt;"!!!"),"NEW","")))</f>
        <v> </v>
      </c>
      <c r="G2442" s="23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4" t="str">
        <f>IF(J2442&lt;&gt;1,"",IF(I2442="SBJ","CB","?"))</f>
        <v> </v>
      </c>
      <c r="I2442" s="25" t="str">
        <f>IF(OR(E2442="",E2442="!!!",F2442="NEW"),"",INDEX(B2441:B$2,-1+SUMPRODUCT(MAX(ROW(E2441:E$2)*(E2442=E2441:E$2)))))</f>
        <v> </v>
      </c>
      <c r="J2442" s="25" t="str">
        <f>IF(OR(E2442="",E2442="!!!",F2442="NEW"),"",COUNTBLANK(OFFSET(A$1,,,SUMPRODUCT(MAX(ROW(E$2:E2442)*(E2442=E$2:E2442)))))-COUNTBLANK(OFFSET(A$1,,,SUMPRODUCT(MAX(ROW(E$1:E2441)*(E2=E$1:E2441))))))</f>
        <v> </v>
      </c>
      <c r="K2442" s="25" t="str">
        <f>IF(OR(E2442="",E2442="!!!",F2442="NEW"),"",INDEX(J$1:J2441,SUMPRODUCT(MAX(ROW(E$1:E2441)*(E2442=E$1:E2441)))))</f>
        <v> </v>
      </c>
      <c r="L2442" s="26"/>
    </row>
    <row r="2443" spans="1:12">
      <c r="A2443" s="20" t="s">
        <v>873</v>
      </c>
      <c r="B2443" s="27" t="s">
        <v>849</v>
      </c>
      <c r="C2443" s="27" t="s">
        <v>816</v>
      </c>
      <c r="D2443" s="27" t="s">
        <v>801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1927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795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844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1713</v>
      </c>
      <c r="B2447" s="27" t="s">
        <v>874</v>
      </c>
      <c r="C2447" s="27" t="s">
        <v>816</v>
      </c>
      <c r="D2447" s="27" t="s">
        <v>801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 t="s">
        <v>1928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 t="s">
        <v>1929</v>
      </c>
      <c r="B2449" s="27" t="s">
        <v>957</v>
      </c>
      <c r="C2449" s="27" t="s">
        <v>896</v>
      </c>
      <c r="D2449" s="27" t="s">
        <v>801</v>
      </c>
      <c r="E2449" s="21">
        <f>IF(D2449="?OLD","!!!","")</f>
        <v/>
      </c>
      <c r="F2449" s="22" t="str">
        <f>IF(OR(E2449="",E2449="!!!"),"",IF(NOT(ISNA(VLOOKUP(E2449,E$1:E2448,1,FALSE()))),"OLD",IF(AND(E2449&lt;&gt;"",E2449&lt;&gt;"!!!"),"NEW","")))</f>
        <v> </v>
      </c>
      <c r="G2449" s="23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4" t="str">
        <f>IF(J2449&lt;&gt;1,"",IF(I2449="SBJ","CB","?"))</f>
        <v> </v>
      </c>
      <c r="I2449" s="25" t="str">
        <f>IF(OR(E2449="",E2449="!!!",F2449="NEW"),"",INDEX(B2448:B$2,-1+SUMPRODUCT(MAX(ROW(E2448:E$2)*(E2449=E2448:E$2)))))</f>
        <v> </v>
      </c>
      <c r="J2449" s="25" t="str">
        <f>IF(OR(E2449="",E2449="!!!",F2449="NEW"),"",COUNTBLANK(OFFSET(A$1,,,SUMPRODUCT(MAX(ROW(E$2:E2449)*(E2449=E$2:E2449)))))-COUNTBLANK(OFFSET(A$1,,,SUMPRODUCT(MAX(ROW(E$1:E2448)*(E2=E$1:E2448))))))</f>
        <v> </v>
      </c>
      <c r="K2449" s="25" t="str">
        <f>IF(OR(E2449="",E2449="!!!",F2449="NEW"),"",INDEX(J$1:J2448,SUMPRODUCT(MAX(ROW(E$1:E2448)*(E2449=E$1:E2448)))))</f>
        <v> </v>
      </c>
      <c r="L2449" s="26"/>
    </row>
    <row r="2450" spans="1:12">
      <c r="A2450" s="20" t="s">
        <v>1930</v>
      </c>
      <c r="B2450" s="27" t="s">
        <v>1156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803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/>
    </row>
    <row r="2453" spans="1:12">
      <c r="A2453" s="20" t="s">
        <v>1931</v>
      </c>
    </row>
    <row r="2454" spans="1:12">
      <c r="A2454" s="20" t="s">
        <v>975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844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1713</v>
      </c>
      <c r="B2456" s="27" t="s">
        <v>849</v>
      </c>
      <c r="C2456" s="27" t="s">
        <v>816</v>
      </c>
      <c r="D2456" s="27" t="s">
        <v>801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1932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 t="s">
        <v>1226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1741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795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873</v>
      </c>
      <c r="B2461" s="27" t="s">
        <v>799</v>
      </c>
      <c r="C2461" s="27" t="s">
        <v>816</v>
      </c>
      <c r="D2461" s="27" t="s">
        <v>801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1933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795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 t="s">
        <v>877</v>
      </c>
      <c r="E2464" s="21">
        <f>IF(D2464="?OLD","!!!","")</f>
        <v/>
      </c>
      <c r="F2464" s="22" t="str">
        <f>IF(OR(E2464="",E2464="!!!"),"",IF(NOT(ISNA(VLOOKUP(E2464,E$1:E2463,1,FALSE()))),"OLD",IF(AND(E2464&lt;&gt;"",E2464&lt;&gt;"!!!"),"NEW","")))</f>
        <v> </v>
      </c>
      <c r="G2464" s="23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4" t="str">
        <f>IF(J2464&lt;&gt;1,"",IF(I2464="SBJ","CB","?"))</f>
        <v> </v>
      </c>
      <c r="I2464" s="25" t="str">
        <f>IF(OR(E2464="",E2464="!!!",F2464="NEW"),"",INDEX(B2463:B$2,-1+SUMPRODUCT(MAX(ROW(E2463:E$2)*(E2464=E2463:E$2)))))</f>
        <v> </v>
      </c>
      <c r="J2464" s="25" t="str">
        <f>IF(OR(E2464="",E2464="!!!",F2464="NEW"),"",COUNTBLANK(OFFSET(A$1,,,SUMPRODUCT(MAX(ROW(E$2:E2464)*(E2464=E$2:E2464)))))-COUNTBLANK(OFFSET(A$1,,,SUMPRODUCT(MAX(ROW(E$1:E2463)*(E2=E$1:E2463))))))</f>
        <v> </v>
      </c>
      <c r="K2464" s="25" t="str">
        <f>IF(OR(E2464="",E2464="!!!",F2464="NEW"),"",INDEX(J$1:J2463,SUMPRODUCT(MAX(ROW(E$1:E2463)*(E2464=E$1:E2463)))))</f>
        <v> </v>
      </c>
      <c r="L2464" s="26"/>
    </row>
    <row r="2465" spans="1:12">
      <c r="A2465" s="20" t="s">
        <v>1713</v>
      </c>
      <c r="B2465" s="27" t="s">
        <v>849</v>
      </c>
      <c r="C2465" s="27" t="s">
        <v>816</v>
      </c>
      <c r="D2465" s="27" t="s">
        <v>801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1932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860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872</v>
      </c>
      <c r="B2468" s="27" t="s">
        <v>857</v>
      </c>
      <c r="C2468" s="27" t="s">
        <v>800</v>
      </c>
      <c r="D2468" s="27" t="s">
        <v>801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795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1213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1746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912</v>
      </c>
      <c r="B2472" s="27" t="s">
        <v>943</v>
      </c>
      <c r="C2472" s="27" t="s">
        <v>816</v>
      </c>
      <c r="D2472" s="27" t="s">
        <v>801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 t="s">
        <v>817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1934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795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925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1929</v>
      </c>
      <c r="B2477" s="27" t="s">
        <v>953</v>
      </c>
      <c r="C2477" s="27" t="s">
        <v>896</v>
      </c>
      <c r="D2477" s="27" t="s">
        <v>801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1935</v>
      </c>
      <c r="B2478" s="27" t="s">
        <v>1121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837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1936</v>
      </c>
      <c r="B2480" s="27" t="s">
        <v>1480</v>
      </c>
      <c r="C2480" s="27" t="s">
        <v>896</v>
      </c>
      <c r="D2480" s="27" t="s">
        <v>801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1937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 t="s">
        <v>1938</v>
      </c>
      <c r="E2482" s="21">
        <f>IF(D2482="?OLD","!!!","")</f>
        <v/>
      </c>
      <c r="F2482" s="22" t="str">
        <f>IF(OR(E2482="",E2482="!!!"),"",IF(NOT(ISNA(VLOOKUP(E2482,E$1:E2481,1,FALSE()))),"OLD",IF(AND(E2482&lt;&gt;"",E2482&lt;&gt;"!!!"),"NEW","")))</f>
        <v> </v>
      </c>
      <c r="G2482" s="23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4" t="str">
        <f>IF(J2482&lt;&gt;1,"",IF(I2482="SBJ","CB","?"))</f>
        <v> </v>
      </c>
      <c r="I2482" s="25" t="str">
        <f>IF(OR(E2482="",E2482="!!!",F2482="NEW"),"",INDEX(B2481:B$2,-1+SUMPRODUCT(MAX(ROW(E2481:E$2)*(E2482=E2481:E$2)))))</f>
        <v> </v>
      </c>
      <c r="J2482" s="25" t="str">
        <f>IF(OR(E2482="",E2482="!!!",F2482="NEW"),"",COUNTBLANK(OFFSET(A$1,,,SUMPRODUCT(MAX(ROW(E$2:E2482)*(E2482=E$2:E2482)))))-COUNTBLANK(OFFSET(A$1,,,SUMPRODUCT(MAX(ROW(E$1:E2481)*(E2=E$1:E2481))))))</f>
        <v> </v>
      </c>
      <c r="K2482" s="25" t="str">
        <f>IF(OR(E2482="",E2482="!!!",F2482="NEW"),"",INDEX(J$1:J2481,SUMPRODUCT(MAX(ROW(E$1:E2481)*(E2482=E$1:E2481)))))</f>
        <v> </v>
      </c>
      <c r="L2482" s="26"/>
    </row>
    <row r="2483" spans="1:12">
      <c r="A2483" s="20" t="s">
        <v>1939</v>
      </c>
      <c r="B2483" s="27" t="s">
        <v>878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795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1940</v>
      </c>
      <c r="B2485" s="27" t="s">
        <v>1543</v>
      </c>
      <c r="C2485" s="27" t="s">
        <v>879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1713</v>
      </c>
      <c r="B2486" s="27" t="s">
        <v>881</v>
      </c>
      <c r="C2486" s="27" t="s">
        <v>816</v>
      </c>
      <c r="D2486" s="27" t="s">
        <v>801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1941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1942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803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/>
    </row>
    <row r="2491" spans="1:12">
      <c r="A2491" s="20" t="s">
        <v>1943</v>
      </c>
    </row>
    <row r="2492" spans="1:12">
      <c r="A2492" s="20" t="s">
        <v>1133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1160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1944</v>
      </c>
      <c r="B2494" s="27" t="s">
        <v>799</v>
      </c>
      <c r="C2494" s="27" t="s">
        <v>800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1945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1946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1709</v>
      </c>
      <c r="B2497" s="27" t="s">
        <v>921</v>
      </c>
      <c r="C2497" s="27" t="s">
        <v>816</v>
      </c>
      <c r="D2497" s="27" t="s">
        <v>801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1947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795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1114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938</v>
      </c>
      <c r="B2501" s="27" t="s">
        <v>849</v>
      </c>
      <c r="C2501" s="27" t="s">
        <v>816</v>
      </c>
      <c r="D2501" s="27" t="s">
        <v>801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1948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1518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1949</v>
      </c>
      <c r="B2504" s="27" t="s">
        <v>891</v>
      </c>
      <c r="C2504" s="27" t="s">
        <v>1095</v>
      </c>
      <c r="D2504" s="27" t="s">
        <v>801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795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877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1046</v>
      </c>
      <c r="B2507" s="27" t="s">
        <v>943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1950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837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1223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 t="s">
        <v>1727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795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825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 t="s">
        <v>817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1212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795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1213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1194</v>
      </c>
      <c r="B2518" s="27" t="s">
        <v>1094</v>
      </c>
      <c r="C2518" s="27" t="s">
        <v>816</v>
      </c>
      <c r="D2518" s="27" t="s">
        <v>801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 t="s">
        <v>1951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795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1952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1953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1130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1954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803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/>
    </row>
    <row r="2527" spans="1:12">
      <c r="A2527" s="20" t="s">
        <v>1955</v>
      </c>
    </row>
    <row r="2528" spans="1:12">
      <c r="A2528" s="20" t="s">
        <v>1050</v>
      </c>
      <c r="B2528" s="27" t="s">
        <v>799</v>
      </c>
      <c r="C2528" s="27" t="s">
        <v>816</v>
      </c>
      <c r="D2528" s="27" t="s">
        <v>801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1212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219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1956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795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1957</v>
      </c>
      <c r="B2533" s="27" t="s">
        <v>846</v>
      </c>
      <c r="C2533" s="27" t="s">
        <v>879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1348</v>
      </c>
      <c r="B2534" s="27" t="s">
        <v>1156</v>
      </c>
      <c r="C2534" s="27" t="s">
        <v>816</v>
      </c>
      <c r="D2534" s="27" t="s">
        <v>801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 t="s">
        <v>1958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219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 t="s">
        <v>803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/>
    </row>
    <row r="2539" spans="1:12">
      <c r="A2539" s="20" t="s">
        <v>1959</v>
      </c>
    </row>
    <row r="2540" spans="1:12">
      <c r="A2540" s="20" t="s">
        <v>1960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1961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1053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1962</v>
      </c>
      <c r="B2543" s="27" t="s">
        <v>857</v>
      </c>
      <c r="C2543" s="27" t="s">
        <v>1095</v>
      </c>
      <c r="D2543" s="27" t="s">
        <v>801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795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 t="s">
        <v>935</v>
      </c>
      <c r="B2545" s="27" t="s">
        <v>799</v>
      </c>
      <c r="C2545" s="27" t="s">
        <v>816</v>
      </c>
      <c r="D2545" s="27" t="s">
        <v>801</v>
      </c>
      <c r="E2545" s="21">
        <f>IF(D2545="?OLD","!!!","")</f>
        <v/>
      </c>
      <c r="F2545" s="22" t="str">
        <f>IF(OR(E2545="",E2545="!!!"),"",IF(NOT(ISNA(VLOOKUP(E2545,E$1:E2544,1,FALSE()))),"OLD",IF(AND(E2545&lt;&gt;"",E2545&lt;&gt;"!!!"),"NEW","")))</f>
        <v> </v>
      </c>
      <c r="G2545" s="23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4" t="str">
        <f>IF(J2545&lt;&gt;1,"",IF(I2545="SBJ","CB","?"))</f>
        <v> </v>
      </c>
      <c r="I2545" s="25" t="str">
        <f>IF(OR(E2545="",E2545="!!!",F2545="NEW"),"",INDEX(B2544:B$2,-1+SUMPRODUCT(MAX(ROW(E2544:E$2)*(E2545=E2544:E$2)))))</f>
        <v> </v>
      </c>
      <c r="J2545" s="25" t="str">
        <f>IF(OR(E2545="",E2545="!!!",F2545="NEW"),"",COUNTBLANK(OFFSET(A$1,,,SUMPRODUCT(MAX(ROW(E$2:E2545)*(E2545=E$2:E2545)))))-COUNTBLANK(OFFSET(A$1,,,SUMPRODUCT(MAX(ROW(E$1:E2544)*(E2=E$1:E2544))))))</f>
        <v> </v>
      </c>
      <c r="K2545" s="25" t="str">
        <f>IF(OR(E2545="",E2545="!!!",F2545="NEW"),"",INDEX(J$1:J2544,SUMPRODUCT(MAX(ROW(E$1:E2544)*(E2545=E$1:E2544)))))</f>
        <v> </v>
      </c>
      <c r="L2545" s="26"/>
    </row>
    <row r="2546" spans="1:12">
      <c r="A2546" s="20" t="s">
        <v>1963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 t="s">
        <v>894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1335</v>
      </c>
      <c r="B2548" s="27" t="s">
        <v>842</v>
      </c>
      <c r="C2548" s="27" t="s">
        <v>855</v>
      </c>
      <c r="D2548" s="27" t="s">
        <v>801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1964</v>
      </c>
      <c r="B2549" s="27" t="s">
        <v>857</v>
      </c>
      <c r="C2549" s="27" t="s">
        <v>858</v>
      </c>
      <c r="D2549" s="27" t="s">
        <v>801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1965</v>
      </c>
      <c r="B2550" s="27" t="s">
        <v>846</v>
      </c>
      <c r="C2550" s="27" t="s">
        <v>858</v>
      </c>
      <c r="D2550" s="27" t="s">
        <v>801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797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1966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 t="s">
        <v>911</v>
      </c>
      <c r="E2553" s="21">
        <f>IF(D2553="?OLD","!!!","")</f>
        <v/>
      </c>
      <c r="F2553" s="22" t="str">
        <f>IF(OR(E2553="",E2553="!!!"),"",IF(NOT(ISNA(VLOOKUP(E2553,E$1:E2552,1,FALSE()))),"OLD",IF(AND(E2553&lt;&gt;"",E2553&lt;&gt;"!!!"),"NEW","")))</f>
        <v> </v>
      </c>
      <c r="G2553" s="23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4" t="str">
        <f>IF(J2553&lt;&gt;1,"",IF(I2553="SBJ","CB","?"))</f>
        <v> </v>
      </c>
      <c r="I2553" s="25" t="str">
        <f>IF(OR(E2553="",E2553="!!!",F2553="NEW"),"",INDEX(B2552:B$2,-1+SUMPRODUCT(MAX(ROW(E2552:E$2)*(E2553=E2552:E$2)))))</f>
        <v> </v>
      </c>
      <c r="J2553" s="25" t="str">
        <f>IF(OR(E2553="",E2553="!!!",F2553="NEW"),"",COUNTBLANK(OFFSET(A$1,,,SUMPRODUCT(MAX(ROW(E$2:E2553)*(E2553=E$2:E2553)))))-COUNTBLANK(OFFSET(A$1,,,SUMPRODUCT(MAX(ROW(E$1:E2552)*(E2=E$1:E2552))))))</f>
        <v> </v>
      </c>
      <c r="K2553" s="25" t="str">
        <f>IF(OR(E2553="",E2553="!!!",F2553="NEW"),"",INDEX(J$1:J2552,SUMPRODUCT(MAX(ROW(E$1:E2552)*(E2553=E$1:E2552)))))</f>
        <v> </v>
      </c>
      <c r="L2553" s="26"/>
    </row>
    <row r="2554" spans="1:12">
      <c r="A2554" s="20" t="s">
        <v>1967</v>
      </c>
      <c r="E2554" s="21">
        <f>IF(D2554="?OLD","!!!","")</f>
        <v/>
      </c>
      <c r="F2554" s="22" t="str">
        <f>IF(OR(E2554="",E2554="!!!"),"",IF(NOT(ISNA(VLOOKUP(E2554,E$1:E2553,1,FALSE()))),"OLD",IF(AND(E2554&lt;&gt;"",E2554&lt;&gt;"!!!"),"NEW","")))</f>
        <v> </v>
      </c>
      <c r="G2554" s="23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4" t="str">
        <f>IF(J2554&lt;&gt;1,"",IF(I2554="SBJ","CB","?"))</f>
        <v> </v>
      </c>
      <c r="I2554" s="25" t="str">
        <f>IF(OR(E2554="",E2554="!!!",F2554="NEW"),"",INDEX(B2553:B$2,-1+SUMPRODUCT(MAX(ROW(E2553:E$2)*(E2554=E2553:E$2)))))</f>
        <v> </v>
      </c>
      <c r="J2554" s="25" t="str">
        <f>IF(OR(E2554="",E2554="!!!",F2554="NEW"),"",COUNTBLANK(OFFSET(A$1,,,SUMPRODUCT(MAX(ROW(E$2:E2554)*(E2554=E$2:E2554)))))-COUNTBLANK(OFFSET(A$1,,,SUMPRODUCT(MAX(ROW(E$1:E2553)*(E2=E$1:E2553))))))</f>
        <v> </v>
      </c>
      <c r="K2554" s="25" t="str">
        <f>IF(OR(E2554="",E2554="!!!",F2554="NEW"),"",INDEX(J$1:J2553,SUMPRODUCT(MAX(ROW(E$1:E2553)*(E2554=E$1:E2553)))))</f>
        <v> </v>
      </c>
      <c r="L2554" s="26"/>
    </row>
    <row r="2555" spans="1:12">
      <c r="A2555" s="20" t="s">
        <v>1968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1969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837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1970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1971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803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/>
    </row>
    <row r="2562" spans="1:12">
      <c r="A2562" s="20" t="s">
        <v>1972</v>
      </c>
    </row>
    <row r="2563" spans="1:12">
      <c r="A2563" s="20" t="s">
        <v>1016</v>
      </c>
      <c r="B2563" s="27" t="s">
        <v>799</v>
      </c>
      <c r="C2563" s="27" t="s">
        <v>816</v>
      </c>
      <c r="D2563" s="27" t="s">
        <v>801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 t="s">
        <v>1973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1351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1974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1194</v>
      </c>
      <c r="B2567" s="27" t="s">
        <v>921</v>
      </c>
      <c r="C2567" s="27" t="s">
        <v>816</v>
      </c>
      <c r="D2567" s="27" t="s">
        <v>801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860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1975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795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825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844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1047</v>
      </c>
      <c r="B2573" s="27" t="s">
        <v>943</v>
      </c>
      <c r="C2573" s="27" t="s">
        <v>816</v>
      </c>
      <c r="D2573" s="27" t="s">
        <v>801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1976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795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1047</v>
      </c>
      <c r="B2576" s="27" t="s">
        <v>874</v>
      </c>
      <c r="C2576" s="27" t="s">
        <v>816</v>
      </c>
      <c r="D2576" s="27" t="s">
        <v>801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906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1977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1978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1979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793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1980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795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 t="s">
        <v>877</v>
      </c>
      <c r="E2584" s="21">
        <f>IF(D2584="?OLD","!!!","")</f>
        <v/>
      </c>
      <c r="F2584" s="22" t="str">
        <f>IF(OR(E2584="",E2584="!!!"),"",IF(NOT(ISNA(VLOOKUP(E2584,E$1:E2583,1,FALSE()))),"OLD",IF(AND(E2584&lt;&gt;"",E2584&lt;&gt;"!!!"),"NEW","")))</f>
        <v> </v>
      </c>
      <c r="G2584" s="23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4" t="str">
        <f>IF(J2584&lt;&gt;1,"",IF(I2584="SBJ","CB","?"))</f>
        <v> </v>
      </c>
      <c r="I2584" s="25" t="str">
        <f>IF(OR(E2584="",E2584="!!!",F2584="NEW"),"",INDEX(B2583:B$2,-1+SUMPRODUCT(MAX(ROW(E2583:E$2)*(E2584=E2583:E$2)))))</f>
        <v> </v>
      </c>
      <c r="J2584" s="25" t="str">
        <f>IF(OR(E2584="",E2584="!!!",F2584="NEW"),"",COUNTBLANK(OFFSET(A$1,,,SUMPRODUCT(MAX(ROW(E$2:E2584)*(E2584=E$2:E2584)))))-COUNTBLANK(OFFSET(A$1,,,SUMPRODUCT(MAX(ROW(E$1:E2583)*(E2=E$1:E2583))))))</f>
        <v> </v>
      </c>
      <c r="K2584" s="25" t="str">
        <f>IF(OR(E2584="",E2584="!!!",F2584="NEW"),"",INDEX(J$1:J2583,SUMPRODUCT(MAX(ROW(E$1:E2583)*(E2584=E$1:E2583)))))</f>
        <v> </v>
      </c>
      <c r="L2584" s="26"/>
    </row>
    <row r="2585" spans="1:12">
      <c r="A2585" s="20" t="s">
        <v>1981</v>
      </c>
      <c r="E2585" s="21">
        <f>IF(D2585="?OLD","!!!","")</f>
        <v/>
      </c>
      <c r="F2585" s="22" t="str">
        <f>IF(OR(E2585="",E2585="!!!"),"",IF(NOT(ISNA(VLOOKUP(E2585,E$1:E2584,1,FALSE()))),"OLD",IF(AND(E2585&lt;&gt;"",E2585&lt;&gt;"!!!"),"NEW","")))</f>
        <v> </v>
      </c>
      <c r="G2585" s="23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4" t="str">
        <f>IF(J2585&lt;&gt;1,"",IF(I2585="SBJ","CB","?"))</f>
        <v> </v>
      </c>
      <c r="I2585" s="25" t="str">
        <f>IF(OR(E2585="",E2585="!!!",F2585="NEW"),"",INDEX(B2584:B$2,-1+SUMPRODUCT(MAX(ROW(E2584:E$2)*(E2585=E2584:E$2)))))</f>
        <v> </v>
      </c>
      <c r="J2585" s="25" t="str">
        <f>IF(OR(E2585="",E2585="!!!",F2585="NEW"),"",COUNTBLANK(OFFSET(A$1,,,SUMPRODUCT(MAX(ROW(E$2:E2585)*(E2585=E$2:E2585)))))-COUNTBLANK(OFFSET(A$1,,,SUMPRODUCT(MAX(ROW(E$1:E2584)*(E2=E$1:E2584))))))</f>
        <v> </v>
      </c>
      <c r="K2585" s="25" t="str">
        <f>IF(OR(E2585="",E2585="!!!",F2585="NEW"),"",INDEX(J$1:J2584,SUMPRODUCT(MAX(ROW(E$1:E2584)*(E2585=E$1:E2584)))))</f>
        <v> </v>
      </c>
      <c r="L2585" s="26"/>
    </row>
    <row r="2586" spans="1:12">
      <c r="A2586" s="20" t="s">
        <v>1982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1983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1226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1273</v>
      </c>
      <c r="B2589" s="27" t="s">
        <v>953</v>
      </c>
      <c r="C2589" s="27" t="s">
        <v>800</v>
      </c>
      <c r="D2589" s="27" t="s">
        <v>801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 t="s">
        <v>803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/>
    </row>
    <row r="2592" spans="1:12">
      <c r="A2592" s="20" t="s">
        <v>1984</v>
      </c>
    </row>
    <row r="2593" spans="1:12">
      <c r="A2593" s="20" t="s">
        <v>1667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1985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1986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894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1987</v>
      </c>
      <c r="B2597" s="27" t="s">
        <v>857</v>
      </c>
      <c r="C2597" s="27" t="s">
        <v>816</v>
      </c>
      <c r="D2597" s="27" t="s">
        <v>801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797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925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1344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1988</v>
      </c>
      <c r="B2601" s="27" t="s">
        <v>874</v>
      </c>
      <c r="C2601" s="27" t="s">
        <v>800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835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 t="s">
        <v>1989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 t="s">
        <v>797</v>
      </c>
      <c r="E2604" s="21">
        <f>IF(D2604="?OLD","!!!","")</f>
        <v/>
      </c>
      <c r="F2604" s="22" t="str">
        <f>IF(OR(E2604="",E2604="!!!"),"",IF(NOT(ISNA(VLOOKUP(E2604,E$1:E2603,1,FALSE()))),"OLD",IF(AND(E2604&lt;&gt;"",E2604&lt;&gt;"!!!"),"NEW","")))</f>
        <v> </v>
      </c>
      <c r="G2604" s="23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4" t="str">
        <f>IF(J2604&lt;&gt;1,"",IF(I2604="SBJ","CB","?"))</f>
        <v> </v>
      </c>
      <c r="I2604" s="25" t="str">
        <f>IF(OR(E2604="",E2604="!!!",F2604="NEW"),"",INDEX(B2603:B$2,-1+SUMPRODUCT(MAX(ROW(E2603:E$2)*(E2604=E2603:E$2)))))</f>
        <v> </v>
      </c>
      <c r="J2604" s="25" t="str">
        <f>IF(OR(E2604="",E2604="!!!",F2604="NEW"),"",COUNTBLANK(OFFSET(A$1,,,SUMPRODUCT(MAX(ROW(E$2:E2604)*(E2604=E$2:E2604)))))-COUNTBLANK(OFFSET(A$1,,,SUMPRODUCT(MAX(ROW(E$1:E2603)*(E2=E$1:E2603))))))</f>
        <v> </v>
      </c>
      <c r="K2604" s="25" t="str">
        <f>IF(OR(E2604="",E2604="!!!",F2604="NEW"),"",INDEX(J$1:J2603,SUMPRODUCT(MAX(ROW(E$1:E2603)*(E2604=E$1:E2603)))))</f>
        <v> </v>
      </c>
      <c r="L2604" s="26"/>
    </row>
    <row r="2605" spans="1:12">
      <c r="A2605" s="20" t="s">
        <v>935</v>
      </c>
      <c r="B2605" s="27" t="s">
        <v>799</v>
      </c>
      <c r="C2605" s="27" t="s">
        <v>816</v>
      </c>
      <c r="D2605" s="27" t="s">
        <v>801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1990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1835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1026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1991</v>
      </c>
      <c r="B2609" s="27" t="s">
        <v>842</v>
      </c>
      <c r="C2609" s="27" t="s">
        <v>843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1307</v>
      </c>
      <c r="B2610" s="27" t="s">
        <v>846</v>
      </c>
      <c r="C2610" s="27" t="s">
        <v>896</v>
      </c>
      <c r="D2610" s="27" t="s">
        <v>801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1992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803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/>
    </row>
    <row r="2614" spans="1:12">
      <c r="A2614" s="20" t="s">
        <v>1993</v>
      </c>
    </row>
    <row r="2615" spans="1:12">
      <c r="A2615" s="20" t="s">
        <v>1994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 t="s">
        <v>1995</v>
      </c>
      <c r="E2616" s="21">
        <f>IF(D2616="?OLD","!!!","")</f>
        <v/>
      </c>
      <c r="F2616" s="22" t="str">
        <f>IF(OR(E2616="",E2616="!!!"),"",IF(NOT(ISNA(VLOOKUP(E2616,E$1:E2615,1,FALSE()))),"OLD",IF(AND(E2616&lt;&gt;"",E2616&lt;&gt;"!!!"),"NEW","")))</f>
        <v> </v>
      </c>
      <c r="G2616" s="23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4" t="str">
        <f>IF(J2616&lt;&gt;1,"",IF(I2616="SBJ","CB","?"))</f>
        <v> </v>
      </c>
      <c r="I2616" s="25" t="str">
        <f>IF(OR(E2616="",E2616="!!!",F2616="NEW"),"",INDEX(B2615:B$2,-1+SUMPRODUCT(MAX(ROW(E2615:E$2)*(E2616=E2615:E$2)))))</f>
        <v> </v>
      </c>
      <c r="J2616" s="25" t="str">
        <f>IF(OR(E2616="",E2616="!!!",F2616="NEW"),"",COUNTBLANK(OFFSET(A$1,,,SUMPRODUCT(MAX(ROW(E$2:E2616)*(E2616=E$2:E2616)))))-COUNTBLANK(OFFSET(A$1,,,SUMPRODUCT(MAX(ROW(E$1:E2615)*(E2=E$1:E2615))))))</f>
        <v> </v>
      </c>
      <c r="K2616" s="25" t="str">
        <f>IF(OR(E2616="",E2616="!!!",F2616="NEW"),"",INDEX(J$1:J2615,SUMPRODUCT(MAX(ROW(E$1:E2615)*(E2616=E$1:E2615)))))</f>
        <v> </v>
      </c>
      <c r="L2616" s="26"/>
    </row>
    <row r="2617" spans="1:12">
      <c r="A2617" s="20" t="s">
        <v>873</v>
      </c>
      <c r="B2617" s="27" t="s">
        <v>799</v>
      </c>
      <c r="C2617" s="27" t="s">
        <v>816</v>
      </c>
      <c r="D2617" s="27" t="s">
        <v>801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 t="s">
        <v>906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1996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803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/>
    </row>
    <row r="2622" spans="1:12">
      <c r="A2622" s="20" t="s">
        <v>1997</v>
      </c>
    </row>
    <row r="2623" spans="1:12">
      <c r="A2623" s="20" t="s">
        <v>1762</v>
      </c>
      <c r="B2623" s="27" t="s">
        <v>799</v>
      </c>
      <c r="C2623" s="27" t="s">
        <v>816</v>
      </c>
      <c r="D2623" s="27" t="s">
        <v>801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1998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970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 t="s">
        <v>1999</v>
      </c>
      <c r="E2626" s="21">
        <f>IF(D2626="?OLD","!!!","")</f>
        <v/>
      </c>
      <c r="F2626" s="22" t="str">
        <f>IF(OR(E2626="",E2626="!!!"),"",IF(NOT(ISNA(VLOOKUP(E2626,E$1:E2625,1,FALSE()))),"OLD",IF(AND(E2626&lt;&gt;"",E2626&lt;&gt;"!!!"),"NEW","")))</f>
        <v> </v>
      </c>
      <c r="G2626" s="23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4" t="str">
        <f>IF(J2626&lt;&gt;1,"",IF(I2626="SBJ","CB","?"))</f>
        <v> </v>
      </c>
      <c r="I2626" s="25" t="str">
        <f>IF(OR(E2626="",E2626="!!!",F2626="NEW"),"",INDEX(B2625:B$2,-1+SUMPRODUCT(MAX(ROW(E2625:E$2)*(E2626=E2625:E$2)))))</f>
        <v> </v>
      </c>
      <c r="J2626" s="25" t="str">
        <f>IF(OR(E2626="",E2626="!!!",F2626="NEW"),"",COUNTBLANK(OFFSET(A$1,,,SUMPRODUCT(MAX(ROW(E$2:E2626)*(E2626=E$2:E2626)))))-COUNTBLANK(OFFSET(A$1,,,SUMPRODUCT(MAX(ROW(E$1:E2625)*(E2=E$1:E2625))))))</f>
        <v> </v>
      </c>
      <c r="K2626" s="25" t="str">
        <f>IF(OR(E2626="",E2626="!!!",F2626="NEW"),"",INDEX(J$1:J2625,SUMPRODUCT(MAX(ROW(E$1:E2625)*(E2626=E$1:E2625)))))</f>
        <v> </v>
      </c>
      <c r="L2626" s="26"/>
    </row>
    <row r="2627" spans="1:12">
      <c r="A2627" s="20" t="s">
        <v>803</v>
      </c>
      <c r="E2627" s="21">
        <f>IF(D2627="?OLD","!!!","")</f>
        <v/>
      </c>
      <c r="F2627" s="22" t="str">
        <f>IF(OR(E2627="",E2627="!!!"),"",IF(NOT(ISNA(VLOOKUP(E2627,E$1:E2626,1,FALSE()))),"OLD",IF(AND(E2627&lt;&gt;"",E2627&lt;&gt;"!!!"),"NEW","")))</f>
        <v> </v>
      </c>
      <c r="G2627" s="23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4" t="str">
        <f>IF(J2627&lt;&gt;1,"",IF(I2627="SBJ","CB","?"))</f>
        <v> </v>
      </c>
      <c r="I2627" s="25" t="str">
        <f>IF(OR(E2627="",E2627="!!!",F2627="NEW"),"",INDEX(B2626:B$2,-1+SUMPRODUCT(MAX(ROW(E2626:E$2)*(E2627=E2626:E$2)))))</f>
        <v> </v>
      </c>
      <c r="J2627" s="25" t="str">
        <f>IF(OR(E2627="",E2627="!!!",F2627="NEW"),"",COUNTBLANK(OFFSET(A$1,,,SUMPRODUCT(MAX(ROW(E$2:E2627)*(E2627=E$2:E2627)))))-COUNTBLANK(OFFSET(A$1,,,SUMPRODUCT(MAX(ROW(E$1:E2626)*(E2=E$1:E2626))))))</f>
        <v> </v>
      </c>
      <c r="K2627" s="25" t="str">
        <f>IF(OR(E2627="",E2627="!!!",F2627="NEW"),"",INDEX(J$1:J2626,SUMPRODUCT(MAX(ROW(E$1:E2626)*(E2627=E$1:E2626)))))</f>
        <v> </v>
      </c>
      <c r="L2627" s="26"/>
    </row>
    <row r="2628" spans="1:12">
      <c r="A2628" s="20"/>
    </row>
    <row r="2629" spans="1:12">
      <c r="A2629" s="20" t="s">
        <v>2000</v>
      </c>
    </row>
    <row r="2630" spans="1:12">
      <c r="A2630" s="20" t="s">
        <v>2001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2002</v>
      </c>
      <c r="B2631" s="27" t="s">
        <v>799</v>
      </c>
      <c r="C2631" s="27" t="s">
        <v>858</v>
      </c>
      <c r="D2631" s="27" t="s">
        <v>801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2003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2004</v>
      </c>
      <c r="B2633" s="27" t="s">
        <v>921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803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/>
    </row>
    <row r="2636" spans="1:12">
      <c r="A2636" s="20" t="s">
        <v>2005</v>
      </c>
    </row>
    <row r="2637" spans="1:12">
      <c r="A2637" s="20" t="s">
        <v>975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935</v>
      </c>
      <c r="B2638" s="27" t="s">
        <v>799</v>
      </c>
      <c r="C2638" s="27" t="s">
        <v>816</v>
      </c>
      <c r="D2638" s="27" t="s">
        <v>801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1530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964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2006</v>
      </c>
      <c r="B2641" s="27" t="s">
        <v>849</v>
      </c>
      <c r="C2641" s="27" t="s">
        <v>858</v>
      </c>
      <c r="D2641" s="27" t="s">
        <v>801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1712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2007</v>
      </c>
      <c r="B2643" s="27" t="s">
        <v>846</v>
      </c>
      <c r="C2643" s="27" t="s">
        <v>858</v>
      </c>
      <c r="D2643" s="27" t="s">
        <v>801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 t="s">
        <v>959</v>
      </c>
      <c r="E2644" s="21">
        <f>IF(D2644="?OLD","!!!","")</f>
        <v/>
      </c>
      <c r="F2644" s="22" t="str">
        <f>IF(OR(E2644="",E2644="!!!"),"",IF(NOT(ISNA(VLOOKUP(E2644,E$1:E2643,1,FALSE()))),"OLD",IF(AND(E2644&lt;&gt;"",E2644&lt;&gt;"!!!"),"NEW","")))</f>
        <v> </v>
      </c>
      <c r="G2644" s="23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4" t="str">
        <f>IF(J2644&lt;&gt;1,"",IF(I2644="SBJ","CB","?"))</f>
        <v> </v>
      </c>
      <c r="I2644" s="25" t="str">
        <f>IF(OR(E2644="",E2644="!!!",F2644="NEW"),"",INDEX(B2643:B$2,-1+SUMPRODUCT(MAX(ROW(E2643:E$2)*(E2644=E2643:E$2)))))</f>
        <v> </v>
      </c>
      <c r="J2644" s="25" t="str">
        <f>IF(OR(E2644="",E2644="!!!",F2644="NEW"),"",COUNTBLANK(OFFSET(A$1,,,SUMPRODUCT(MAX(ROW(E$2:E2644)*(E2644=E$2:E2644)))))-COUNTBLANK(OFFSET(A$1,,,SUMPRODUCT(MAX(ROW(E$1:E2643)*(E2=E$1:E2643))))))</f>
        <v> </v>
      </c>
      <c r="K2644" s="25" t="str">
        <f>IF(OR(E2644="",E2644="!!!",F2644="NEW"),"",INDEX(J$1:J2643,SUMPRODUCT(MAX(ROW(E$1:E2643)*(E2644=E$1:E2643)))))</f>
        <v> </v>
      </c>
      <c r="L2644" s="26"/>
    </row>
    <row r="2645" spans="1:12">
      <c r="A2645" s="20" t="s">
        <v>1150</v>
      </c>
      <c r="E2645" s="21">
        <f>IF(D2645="?OLD","!!!","")</f>
        <v/>
      </c>
      <c r="F2645" s="22" t="str">
        <f>IF(OR(E2645="",E2645="!!!"),"",IF(NOT(ISNA(VLOOKUP(E2645,E$1:E2644,1,FALSE()))),"OLD",IF(AND(E2645&lt;&gt;"",E2645&lt;&gt;"!!!"),"NEW","")))</f>
        <v> </v>
      </c>
      <c r="G2645" s="23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4" t="str">
        <f>IF(J2645&lt;&gt;1,"",IF(I2645="SBJ","CB","?"))</f>
        <v> </v>
      </c>
      <c r="I2645" s="25" t="str">
        <f>IF(OR(E2645="",E2645="!!!",F2645="NEW"),"",INDEX(B2644:B$2,-1+SUMPRODUCT(MAX(ROW(E2644:E$2)*(E2645=E2644:E$2)))))</f>
        <v> </v>
      </c>
      <c r="J2645" s="25" t="str">
        <f>IF(OR(E2645="",E2645="!!!",F2645="NEW"),"",COUNTBLANK(OFFSET(A$1,,,SUMPRODUCT(MAX(ROW(E$2:E2645)*(E2645=E$2:E2645)))))-COUNTBLANK(OFFSET(A$1,,,SUMPRODUCT(MAX(ROW(E$1:E2644)*(E2=E$1:E2644))))))</f>
        <v> </v>
      </c>
      <c r="K2645" s="25" t="str">
        <f>IF(OR(E2645="",E2645="!!!",F2645="NEW"),"",INDEX(J$1:J2644,SUMPRODUCT(MAX(ROW(E$1:E2644)*(E2645=E$1:E2644)))))</f>
        <v> </v>
      </c>
      <c r="L2645" s="26"/>
    </row>
    <row r="2646" spans="1:12">
      <c r="A2646" s="20" t="s">
        <v>1677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 t="s">
        <v>795</v>
      </c>
      <c r="E2647" s="21">
        <f>IF(D2647="?OLD","!!!","")</f>
        <v/>
      </c>
      <c r="F2647" s="22" t="str">
        <f>IF(OR(E2647="",E2647="!!!"),"",IF(NOT(ISNA(VLOOKUP(E2647,E$1:E2646,1,FALSE()))),"OLD",IF(AND(E2647&lt;&gt;"",E2647&lt;&gt;"!!!"),"NEW","")))</f>
        <v> </v>
      </c>
      <c r="G2647" s="23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4" t="str">
        <f>IF(J2647&lt;&gt;1,"",IF(I2647="SBJ","CB","?"))</f>
        <v> </v>
      </c>
      <c r="I2647" s="25" t="str">
        <f>IF(OR(E2647="",E2647="!!!",F2647="NEW"),"",INDEX(B2646:B$2,-1+SUMPRODUCT(MAX(ROW(E2646:E$2)*(E2647=E2646:E$2)))))</f>
        <v> </v>
      </c>
      <c r="J2647" s="25" t="str">
        <f>IF(OR(E2647="",E2647="!!!",F2647="NEW"),"",COUNTBLANK(OFFSET(A$1,,,SUMPRODUCT(MAX(ROW(E$2:E2647)*(E2647=E$2:E2647)))))-COUNTBLANK(OFFSET(A$1,,,SUMPRODUCT(MAX(ROW(E$1:E2646)*(E2=E$1:E2646))))))</f>
        <v> </v>
      </c>
      <c r="K2647" s="25" t="str">
        <f>IF(OR(E2647="",E2647="!!!",F2647="NEW"),"",INDEX(J$1:J2646,SUMPRODUCT(MAX(ROW(E$1:E2646)*(E2647=E$1:E2646)))))</f>
        <v> </v>
      </c>
      <c r="L2647" s="26"/>
    </row>
    <row r="2648" spans="1:12">
      <c r="A2648" s="20" t="s">
        <v>822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2008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795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860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2009</v>
      </c>
      <c r="B2652" s="27" t="s">
        <v>857</v>
      </c>
      <c r="C2652" s="27" t="s">
        <v>879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1712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1713</v>
      </c>
      <c r="B2654" s="27" t="s">
        <v>849</v>
      </c>
      <c r="C2654" s="27" t="s">
        <v>816</v>
      </c>
      <c r="D2654" s="27" t="s">
        <v>801</v>
      </c>
      <c r="E2654" s="21">
        <f>IF(D2654="?OLD","!!!","")</f>
        <v/>
      </c>
      <c r="F2654" s="22" t="str">
        <f>IF(OR(E2654="",E2654="!!!"),"",IF(NOT(ISNA(VLOOKUP(E2654,E$1:E2653,1,FALSE()))),"OLD",IF(AND(E2654&lt;&gt;"",E2654&lt;&gt;"!!!"),"NEW","")))</f>
        <v> </v>
      </c>
      <c r="G2654" s="23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4" t="str">
        <f>IF(J2654&lt;&gt;1,"",IF(I2654="SBJ","CB","?"))</f>
        <v> </v>
      </c>
      <c r="I2654" s="25" t="str">
        <f>IF(OR(E2654="",E2654="!!!",F2654="NEW"),"",INDEX(B2653:B$2,-1+SUMPRODUCT(MAX(ROW(E2653:E$2)*(E2654=E2653:E$2)))))</f>
        <v> </v>
      </c>
      <c r="J2654" s="25" t="str">
        <f>IF(OR(E2654="",E2654="!!!",F2654="NEW"),"",COUNTBLANK(OFFSET(A$1,,,SUMPRODUCT(MAX(ROW(E$2:E2654)*(E2654=E$2:E2654)))))-COUNTBLANK(OFFSET(A$1,,,SUMPRODUCT(MAX(ROW(E$1:E2653)*(E2=E$1:E2653))))))</f>
        <v> </v>
      </c>
      <c r="K2654" s="25" t="str">
        <f>IF(OR(E2654="",E2654="!!!",F2654="NEW"),"",INDEX(J$1:J2653,SUMPRODUCT(MAX(ROW(E$1:E2653)*(E2654=E$1:E2653)))))</f>
        <v> </v>
      </c>
      <c r="L2654" s="26"/>
    </row>
    <row r="2655" spans="1:12">
      <c r="A2655" s="20" t="s">
        <v>955</v>
      </c>
      <c r="B2655" s="27" t="s">
        <v>891</v>
      </c>
      <c r="C2655" s="27" t="s">
        <v>816</v>
      </c>
      <c r="D2655" s="27" t="s">
        <v>801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 t="s">
        <v>2010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883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1540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1392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658</v>
      </c>
      <c r="B2660" s="27" t="s">
        <v>874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1718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964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1018</v>
      </c>
      <c r="B2663" s="27" t="s">
        <v>943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1712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1530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795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860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2009</v>
      </c>
      <c r="B2668" s="27" t="s">
        <v>829</v>
      </c>
      <c r="C2668" s="27" t="s">
        <v>879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325</v>
      </c>
      <c r="B2669" s="27" t="s">
        <v>878</v>
      </c>
      <c r="C2669" s="27" t="s">
        <v>816</v>
      </c>
      <c r="D2669" s="27" t="s">
        <v>801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795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2011</v>
      </c>
      <c r="B2671" s="27" t="s">
        <v>1094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 t="s">
        <v>2012</v>
      </c>
      <c r="E2672" s="21">
        <f>IF(D2672="?OLD","!!!","")</f>
        <v/>
      </c>
      <c r="F2672" s="22" t="str">
        <f>IF(OR(E2672="",E2672="!!!"),"",IF(NOT(ISNA(VLOOKUP(E2672,E$1:E2671,1,FALSE()))),"OLD",IF(AND(E2672&lt;&gt;"",E2672&lt;&gt;"!!!"),"NEW","")))</f>
        <v> </v>
      </c>
      <c r="G2672" s="23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4" t="str">
        <f>IF(J2672&lt;&gt;1,"",IF(I2672="SBJ","CB","?"))</f>
        <v> </v>
      </c>
      <c r="I2672" s="25" t="str">
        <f>IF(OR(E2672="",E2672="!!!",F2672="NEW"),"",INDEX(B2671:B$2,-1+SUMPRODUCT(MAX(ROW(E2671:E$2)*(E2672=E2671:E$2)))))</f>
        <v> </v>
      </c>
      <c r="J2672" s="25" t="str">
        <f>IF(OR(E2672="",E2672="!!!",F2672="NEW"),"",COUNTBLANK(OFFSET(A$1,,,SUMPRODUCT(MAX(ROW(E$2:E2672)*(E2672=E$2:E2672)))))-COUNTBLANK(OFFSET(A$1,,,SUMPRODUCT(MAX(ROW(E$1:E2671)*(E2=E$1:E2671))))))</f>
        <v> </v>
      </c>
      <c r="K2672" s="25" t="str">
        <f>IF(OR(E2672="",E2672="!!!",F2672="NEW"),"",INDEX(J$1:J2671,SUMPRODUCT(MAX(ROW(E$1:E2671)*(E2672=E$1:E2671)))))</f>
        <v> </v>
      </c>
      <c r="L2672" s="26"/>
    </row>
    <row r="2673" spans="1:12">
      <c r="A2673" s="20" t="s">
        <v>795</v>
      </c>
      <c r="E2673" s="21">
        <f>IF(D2673="?OLD","!!!","")</f>
        <v/>
      </c>
      <c r="F2673" s="22" t="str">
        <f>IF(OR(E2673="",E2673="!!!"),"",IF(NOT(ISNA(VLOOKUP(E2673,E$1:E2672,1,FALSE()))),"OLD",IF(AND(E2673&lt;&gt;"",E2673&lt;&gt;"!!!"),"NEW","")))</f>
        <v> </v>
      </c>
      <c r="G2673" s="23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4" t="str">
        <f>IF(J2673&lt;&gt;1,"",IF(I2673="SBJ","CB","?"))</f>
        <v> </v>
      </c>
      <c r="I2673" s="25" t="str">
        <f>IF(OR(E2673="",E2673="!!!",F2673="NEW"),"",INDEX(B2672:B$2,-1+SUMPRODUCT(MAX(ROW(E2672:E$2)*(E2673=E2672:E$2)))))</f>
        <v> </v>
      </c>
      <c r="J2673" s="25" t="str">
        <f>IF(OR(E2673="",E2673="!!!",F2673="NEW"),"",COUNTBLANK(OFFSET(A$1,,,SUMPRODUCT(MAX(ROW(E$2:E2673)*(E2673=E$2:E2673)))))-COUNTBLANK(OFFSET(A$1,,,SUMPRODUCT(MAX(ROW(E$1:E2672)*(E2=E$1:E2672))))))</f>
        <v> </v>
      </c>
      <c r="K2673" s="25" t="str">
        <f>IF(OR(E2673="",E2673="!!!",F2673="NEW"),"",INDEX(J$1:J2672,SUMPRODUCT(MAX(ROW(E$1:E2672)*(E2673=E$1:E2672)))))</f>
        <v> </v>
      </c>
      <c r="L2673" s="26"/>
    </row>
    <row r="2674" spans="1:12">
      <c r="A2674" s="20" t="s">
        <v>2013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803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/>
    </row>
    <row r="2677" spans="1:12">
      <c r="A2677" s="20" t="s">
        <v>2014</v>
      </c>
    </row>
    <row r="2678" spans="1:12">
      <c r="A2678" s="20" t="s">
        <v>2001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2015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2016</v>
      </c>
      <c r="B2680" s="27" t="s">
        <v>921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825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970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2017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 t="s">
        <v>2018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 t="s">
        <v>803</v>
      </c>
      <c r="E2685" s="21">
        <f>IF(D2685="?OLD","!!!","")</f>
        <v/>
      </c>
      <c r="F2685" s="22" t="str">
        <f>IF(OR(E2685="",E2685="!!!"),"",IF(NOT(ISNA(VLOOKUP(E2685,E$1:E2684,1,FALSE()))),"OLD",IF(AND(E2685&lt;&gt;"",E2685&lt;&gt;"!!!"),"NEW","")))</f>
        <v> </v>
      </c>
      <c r="G2685" s="23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4" t="str">
        <f>IF(J2685&lt;&gt;1,"",IF(I2685="SBJ","CB","?"))</f>
        <v> </v>
      </c>
      <c r="I2685" s="25" t="str">
        <f>IF(OR(E2685="",E2685="!!!",F2685="NEW"),"",INDEX(B2684:B$2,-1+SUMPRODUCT(MAX(ROW(E2684:E$2)*(E2685=E2684:E$2)))))</f>
        <v> </v>
      </c>
      <c r="J2685" s="25" t="str">
        <f>IF(OR(E2685="",E2685="!!!",F2685="NEW"),"",COUNTBLANK(OFFSET(A$1,,,SUMPRODUCT(MAX(ROW(E$2:E2685)*(E2685=E$2:E2685)))))-COUNTBLANK(OFFSET(A$1,,,SUMPRODUCT(MAX(ROW(E$1:E2684)*(E2=E$1:E2684))))))</f>
        <v> </v>
      </c>
      <c r="K2685" s="25" t="str">
        <f>IF(OR(E2685="",E2685="!!!",F2685="NEW"),"",INDEX(J$1:J2684,SUMPRODUCT(MAX(ROW(E$1:E2684)*(E2685=E$1:E2684)))))</f>
        <v> </v>
      </c>
      <c r="L2685" s="26"/>
    </row>
    <row r="2686" spans="1:12">
      <c r="A2686" s="20"/>
    </row>
    <row r="2687" spans="1:12">
      <c r="A2687" s="20" t="s">
        <v>2019</v>
      </c>
    </row>
    <row r="2688" spans="1:12">
      <c r="A2688" s="20" t="s">
        <v>2020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938</v>
      </c>
      <c r="B2689" s="27" t="s">
        <v>799</v>
      </c>
      <c r="C2689" s="27" t="s">
        <v>816</v>
      </c>
      <c r="D2689" s="27" t="s">
        <v>801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2021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2022</v>
      </c>
      <c r="B2691" s="27" t="s">
        <v>891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825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929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964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1018</v>
      </c>
      <c r="B2695" s="27" t="s">
        <v>874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1712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 t="s">
        <v>2023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980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 t="s">
        <v>1432</v>
      </c>
      <c r="B2699" s="27" t="s">
        <v>846</v>
      </c>
      <c r="C2699" s="27" t="s">
        <v>816</v>
      </c>
      <c r="D2699" s="27" t="s">
        <v>801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2024</v>
      </c>
      <c r="B2700" s="27" t="s">
        <v>1156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795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1721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 t="s">
        <v>59</v>
      </c>
      <c r="B2703" s="27" t="s">
        <v>957</v>
      </c>
      <c r="C2703" s="27" t="s">
        <v>800</v>
      </c>
      <c r="D2703" s="27" t="s">
        <v>801</v>
      </c>
      <c r="E2703" s="21">
        <f>IF(D2703="?OLD","!!!","")</f>
        <v/>
      </c>
      <c r="F2703" s="22" t="str">
        <f>IF(OR(E2703="",E2703="!!!"),"",IF(NOT(ISNA(VLOOKUP(E2703,E$1:E2702,1,FALSE()))),"OLD",IF(AND(E2703&lt;&gt;"",E2703&lt;&gt;"!!!"),"NEW","")))</f>
        <v> </v>
      </c>
      <c r="G2703" s="23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4" t="str">
        <f>IF(J2703&lt;&gt;1,"",IF(I2703="SBJ","CB","?"))</f>
        <v> </v>
      </c>
      <c r="I2703" s="25" t="str">
        <f>IF(OR(E2703="",E2703="!!!",F2703="NEW"),"",INDEX(B2702:B$2,-1+SUMPRODUCT(MAX(ROW(E2702:E$2)*(E2703=E2702:E$2)))))</f>
        <v> </v>
      </c>
      <c r="J2703" s="25" t="str">
        <f>IF(OR(E2703="",E2703="!!!",F2703="NEW"),"",COUNTBLANK(OFFSET(A$1,,,SUMPRODUCT(MAX(ROW(E$2:E2703)*(E2703=E$2:E2703)))))-COUNTBLANK(OFFSET(A$1,,,SUMPRODUCT(MAX(ROW(E$1:E2702)*(E2=E$1:E2702))))))</f>
        <v> </v>
      </c>
      <c r="K2703" s="25" t="str">
        <f>IF(OR(E2703="",E2703="!!!",F2703="NEW"),"",INDEX(J$1:J2702,SUMPRODUCT(MAX(ROW(E$1:E2702)*(E2703=E$1:E2702)))))</f>
        <v> </v>
      </c>
      <c r="L2703" s="26"/>
    </row>
    <row r="2704" spans="1:12">
      <c r="A2704" s="20" t="s">
        <v>877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935</v>
      </c>
      <c r="B2705" s="27" t="s">
        <v>846</v>
      </c>
      <c r="C2705" s="27" t="s">
        <v>816</v>
      </c>
      <c r="D2705" s="27" t="s">
        <v>801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795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955</v>
      </c>
      <c r="B2707" s="27" t="s">
        <v>829</v>
      </c>
      <c r="C2707" s="27" t="s">
        <v>816</v>
      </c>
      <c r="D2707" s="27" t="s">
        <v>801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962</v>
      </c>
      <c r="B2708" s="27" t="s">
        <v>943</v>
      </c>
      <c r="C2708" s="27" t="s">
        <v>855</v>
      </c>
      <c r="D2708" s="27" t="s">
        <v>801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795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1070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817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2025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860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872</v>
      </c>
      <c r="B2714" s="27" t="s">
        <v>957</v>
      </c>
      <c r="C2714" s="27" t="s">
        <v>800</v>
      </c>
      <c r="D2714" s="27" t="s">
        <v>801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795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877</v>
      </c>
      <c r="B2716" s="27" t="s">
        <v>1179</v>
      </c>
      <c r="C2716" s="27" t="s">
        <v>879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2026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980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 t="s">
        <v>1432</v>
      </c>
      <c r="B2719" s="27" t="s">
        <v>953</v>
      </c>
      <c r="C2719" s="27" t="s">
        <v>816</v>
      </c>
      <c r="D2719" s="27" t="s">
        <v>801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837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2027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803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/>
    </row>
    <row r="2724" spans="1:12">
      <c r="A2724" s="20" t="s">
        <v>2028</v>
      </c>
    </row>
    <row r="2725" spans="1:12">
      <c r="A2725" s="20" t="s">
        <v>2029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893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2030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795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1721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2031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797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798</v>
      </c>
      <c r="B2732" s="27" t="s">
        <v>849</v>
      </c>
      <c r="C2732" s="27" t="s">
        <v>800</v>
      </c>
      <c r="D2732" s="27" t="s">
        <v>801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959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391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911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2032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2033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2034</v>
      </c>
      <c r="B2738" s="27" t="s">
        <v>846</v>
      </c>
      <c r="C2738" s="27" t="s">
        <v>843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797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 t="s">
        <v>938</v>
      </c>
      <c r="B2740" s="27" t="s">
        <v>799</v>
      </c>
      <c r="C2740" s="27" t="s">
        <v>816</v>
      </c>
      <c r="D2740" s="27" t="s">
        <v>801</v>
      </c>
      <c r="E2740" s="21">
        <f>IF(D2740="?OLD","!!!","")</f>
        <v/>
      </c>
      <c r="F2740" s="22" t="str">
        <f>IF(OR(E2740="",E2740="!!!"),"",IF(NOT(ISNA(VLOOKUP(E2740,E$1:E2739,1,FALSE()))),"OLD",IF(AND(E2740&lt;&gt;"",E2740&lt;&gt;"!!!"),"NEW","")))</f>
        <v> </v>
      </c>
      <c r="G2740" s="23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4" t="str">
        <f>IF(J2740&lt;&gt;1,"",IF(I2740="SBJ","CB","?"))</f>
        <v> </v>
      </c>
      <c r="I2740" s="25" t="str">
        <f>IF(OR(E2740="",E2740="!!!",F2740="NEW"),"",INDEX(B2739:B$2,-1+SUMPRODUCT(MAX(ROW(E2739:E$2)*(E2740=E2739:E$2)))))</f>
        <v> </v>
      </c>
      <c r="J2740" s="25" t="str">
        <f>IF(OR(E2740="",E2740="!!!",F2740="NEW"),"",COUNTBLANK(OFFSET(A$1,,,SUMPRODUCT(MAX(ROW(E$2:E2740)*(E2740=E$2:E2740)))))-COUNTBLANK(OFFSET(A$1,,,SUMPRODUCT(MAX(ROW(E$1:E2739)*(E2=E$1:E2739))))))</f>
        <v> </v>
      </c>
      <c r="K2740" s="25" t="str">
        <f>IF(OR(E2740="",E2740="!!!",F2740="NEW"),"",INDEX(J$1:J2739,SUMPRODUCT(MAX(ROW(E$1:E2739)*(E2740=E$1:E2739)))))</f>
        <v> </v>
      </c>
      <c r="L2740" s="26"/>
    </row>
    <row r="2741" spans="1:12">
      <c r="A2741" s="20" t="s">
        <v>929</v>
      </c>
      <c r="E2741" s="21">
        <f>IF(D2741="?OLD","!!!","")</f>
        <v/>
      </c>
      <c r="F2741" s="22" t="str">
        <f>IF(OR(E2741="",E2741="!!!"),"",IF(NOT(ISNA(VLOOKUP(E2741,E$1:E2740,1,FALSE()))),"OLD",IF(AND(E2741&lt;&gt;"",E2741&lt;&gt;"!!!"),"NEW","")))</f>
        <v> </v>
      </c>
      <c r="G2741" s="23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4" t="str">
        <f>IF(J2741&lt;&gt;1,"",IF(I2741="SBJ","CB","?"))</f>
        <v> </v>
      </c>
      <c r="I2741" s="25" t="str">
        <f>IF(OR(E2741="",E2741="!!!",F2741="NEW"),"",INDEX(B2740:B$2,-1+SUMPRODUCT(MAX(ROW(E2740:E$2)*(E2741=E2740:E$2)))))</f>
        <v> </v>
      </c>
      <c r="J2741" s="25" t="str">
        <f>IF(OR(E2741="",E2741="!!!",F2741="NEW"),"",COUNTBLANK(OFFSET(A$1,,,SUMPRODUCT(MAX(ROW(E$2:E2741)*(E2741=E$2:E2741)))))-COUNTBLANK(OFFSET(A$1,,,SUMPRODUCT(MAX(ROW(E$1:E2740)*(E2=E$1:E2740))))))</f>
        <v> </v>
      </c>
      <c r="K2741" s="25" t="str">
        <f>IF(OR(E2741="",E2741="!!!",F2741="NEW"),"",INDEX(J$1:J2740,SUMPRODUCT(MAX(ROW(E$1:E2740)*(E2741=E$1:E2740)))))</f>
        <v> </v>
      </c>
      <c r="L2741" s="26"/>
    </row>
    <row r="2742" spans="1:12">
      <c r="A2742" s="20" t="s">
        <v>964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2035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860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2036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795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 t="s">
        <v>935</v>
      </c>
      <c r="B2747" s="27" t="s">
        <v>874</v>
      </c>
      <c r="C2747" s="27" t="s">
        <v>816</v>
      </c>
      <c r="D2747" s="27" t="s">
        <v>801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2037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795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877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2038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2039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2040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795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877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2041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1186</v>
      </c>
      <c r="B2757" s="27" t="s">
        <v>1121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803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/>
    </row>
    <row r="2760" spans="1:12">
      <c r="A2760" s="20" t="s">
        <v>2042</v>
      </c>
    </row>
    <row r="2761" spans="1:12">
      <c r="A2761" s="20" t="s">
        <v>2043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1712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935</v>
      </c>
      <c r="B2763" s="27" t="s">
        <v>849</v>
      </c>
      <c r="C2763" s="27" t="s">
        <v>816</v>
      </c>
      <c r="D2763" s="27" t="s">
        <v>801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817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2044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837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2045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825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817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2046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894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1737</v>
      </c>
      <c r="B2772" s="27" t="s">
        <v>846</v>
      </c>
      <c r="C2772" s="27" t="s">
        <v>858</v>
      </c>
      <c r="D2772" s="27" t="s">
        <v>801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795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59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1294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1236</v>
      </c>
      <c r="B2776" s="27" t="s">
        <v>799</v>
      </c>
      <c r="C2776" s="27" t="s">
        <v>1095</v>
      </c>
      <c r="D2776" s="27" t="s">
        <v>801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817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959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 t="s">
        <v>1712</v>
      </c>
      <c r="E2779" s="21">
        <f>IF(D2779="?OLD","!!!","")</f>
        <v/>
      </c>
      <c r="F2779" s="22" t="str">
        <f>IF(OR(E2779="",E2779="!!!"),"",IF(NOT(ISNA(VLOOKUP(E2779,E$1:E2778,1,FALSE()))),"OLD",IF(AND(E2779&lt;&gt;"",E2779&lt;&gt;"!!!"),"NEW","")))</f>
        <v> </v>
      </c>
      <c r="G2779" s="23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4" t="str">
        <f>IF(J2779&lt;&gt;1,"",IF(I2779="SBJ","CB","?"))</f>
        <v> </v>
      </c>
      <c r="I2779" s="25" t="str">
        <f>IF(OR(E2779="",E2779="!!!",F2779="NEW"),"",INDEX(B2778:B$2,-1+SUMPRODUCT(MAX(ROW(E2778:E$2)*(E2779=E2778:E$2)))))</f>
        <v> </v>
      </c>
      <c r="J2779" s="25" t="str">
        <f>IF(OR(E2779="",E2779="!!!",F2779="NEW"),"",COUNTBLANK(OFFSET(A$1,,,SUMPRODUCT(MAX(ROW(E$2:E2779)*(E2779=E$2:E2779)))))-COUNTBLANK(OFFSET(A$1,,,SUMPRODUCT(MAX(ROW(E$1:E2778)*(E2=E$1:E2778))))))</f>
        <v> </v>
      </c>
      <c r="K2779" s="25" t="str">
        <f>IF(OR(E2779="",E2779="!!!",F2779="NEW"),"",INDEX(J$1:J2778,SUMPRODUCT(MAX(ROW(E$1:E2778)*(E2779=E$1:E2778)))))</f>
        <v> </v>
      </c>
      <c r="L2779" s="26"/>
    </row>
    <row r="2780" spans="1:12">
      <c r="A2780" s="20" t="s">
        <v>1920</v>
      </c>
      <c r="E2780" s="21">
        <f>IF(D2780="?OLD","!!!","")</f>
        <v/>
      </c>
      <c r="F2780" s="22" t="str">
        <f>IF(OR(E2780="",E2780="!!!"),"",IF(NOT(ISNA(VLOOKUP(E2780,E$1:E2779,1,FALSE()))),"OLD",IF(AND(E2780&lt;&gt;"",E2780&lt;&gt;"!!!"),"NEW","")))</f>
        <v> </v>
      </c>
      <c r="G2780" s="23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4" t="str">
        <f>IF(J2780&lt;&gt;1,"",IF(I2780="SBJ","CB","?"))</f>
        <v> </v>
      </c>
      <c r="I2780" s="25" t="str">
        <f>IF(OR(E2780="",E2780="!!!",F2780="NEW"),"",INDEX(B2779:B$2,-1+SUMPRODUCT(MAX(ROW(E2779:E$2)*(E2780=E2779:E$2)))))</f>
        <v> </v>
      </c>
      <c r="J2780" s="25" t="str">
        <f>IF(OR(E2780="",E2780="!!!",F2780="NEW"),"",COUNTBLANK(OFFSET(A$1,,,SUMPRODUCT(MAX(ROW(E$2:E2780)*(E2780=E$2:E2780)))))-COUNTBLANK(OFFSET(A$1,,,SUMPRODUCT(MAX(ROW(E$1:E2779)*(E2=E$1:E2779))))))</f>
        <v> </v>
      </c>
      <c r="K2780" s="25" t="str">
        <f>IF(OR(E2780="",E2780="!!!",F2780="NEW"),"",INDEX(J$1:J2779,SUMPRODUCT(MAX(ROW(E$1:E2779)*(E2780=E$1:E2779)))))</f>
        <v> </v>
      </c>
      <c r="L2780" s="26"/>
    </row>
    <row r="2781" spans="1:12">
      <c r="A2781" s="20" t="s">
        <v>795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825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817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2047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1712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2048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2049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 t="s">
        <v>2050</v>
      </c>
      <c r="B2788" s="27" t="s">
        <v>857</v>
      </c>
      <c r="C2788" s="27" t="s">
        <v>1095</v>
      </c>
      <c r="D2788" s="27" t="s">
        <v>801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803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/>
    </row>
    <row r="2791" spans="1:12">
      <c r="A2791" s="20" t="s">
        <v>2051</v>
      </c>
    </row>
    <row r="2792" spans="1:12">
      <c r="A2792" s="20" t="s">
        <v>934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2052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935</v>
      </c>
      <c r="B2794" s="27" t="s">
        <v>799</v>
      </c>
      <c r="C2794" s="27" t="s">
        <v>816</v>
      </c>
      <c r="D2794" s="27" t="s">
        <v>801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2053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795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877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821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2054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2055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1904</v>
      </c>
      <c r="E2801" s="21">
        <f>IF(D2801="?OLD","!!!","")</f>
        <v/>
      </c>
      <c r="F2801" s="22" t="str">
        <f>IF(OR(E2801="",E2801="!!!"),"",IF(NOT(ISNA(VLOOKUP(E2801,E$1:E2800,1,FALSE()))),"OLD",IF(AND(E2801&lt;&gt;"",E2801&lt;&gt;"!!!"),"NEW","")))</f>
        <v> </v>
      </c>
      <c r="G2801" s="23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4" t="str">
        <f>IF(J2801&lt;&gt;1,"",IF(I2801="SBJ","CB","?"))</f>
        <v> </v>
      </c>
      <c r="I2801" s="25" t="str">
        <f>IF(OR(E2801="",E2801="!!!",F2801="NEW"),"",INDEX(B2800:B$2,-1+SUMPRODUCT(MAX(ROW(E2800:E$2)*(E2801=E2800:E$2)))))</f>
        <v> </v>
      </c>
      <c r="J2801" s="25" t="str">
        <f>IF(OR(E2801="",E2801="!!!",F2801="NEW"),"",COUNTBLANK(OFFSET(A$1,,,SUMPRODUCT(MAX(ROW(E$2:E2801)*(E2801=E$2:E2801)))))-COUNTBLANK(OFFSET(A$1,,,SUMPRODUCT(MAX(ROW(E$1:E2800)*(E2=E$1:E2800))))))</f>
        <v> </v>
      </c>
      <c r="K2801" s="25" t="str">
        <f>IF(OR(E2801="",E2801="!!!",F2801="NEW"),"",INDEX(J$1:J2800,SUMPRODUCT(MAX(ROW(E$1:E2800)*(E2801=E$1:E2800)))))</f>
        <v> </v>
      </c>
      <c r="L2801" s="26"/>
    </row>
    <row r="2802" spans="1:12">
      <c r="A2802" s="20" t="s">
        <v>1186</v>
      </c>
      <c r="B2802" s="27" t="s">
        <v>891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795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877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1070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817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2056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2057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1202</v>
      </c>
      <c r="B2809" s="27" t="s">
        <v>1121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 t="s">
        <v>813</v>
      </c>
      <c r="B2810" s="27" t="s">
        <v>829</v>
      </c>
      <c r="C2810" s="27" t="s">
        <v>855</v>
      </c>
      <c r="D2810" s="27" t="s">
        <v>801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1981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 t="s">
        <v>1505</v>
      </c>
      <c r="B2812" s="27" t="s">
        <v>953</v>
      </c>
      <c r="C2812" s="27" t="s">
        <v>816</v>
      </c>
      <c r="D2812" s="27" t="s">
        <v>801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803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/>
    </row>
    <row r="2815" spans="1:12">
      <c r="A2815" s="20" t="s">
        <v>2058</v>
      </c>
    </row>
    <row r="2816" spans="1:12">
      <c r="A2816" s="20" t="s">
        <v>1016</v>
      </c>
      <c r="B2816" s="27" t="s">
        <v>799</v>
      </c>
      <c r="C2816" s="27" t="s">
        <v>816</v>
      </c>
      <c r="D2816" s="27" t="s">
        <v>801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1873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2059</v>
      </c>
      <c r="B2818" s="27" t="s">
        <v>921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795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1491</v>
      </c>
      <c r="B2820" s="27" t="s">
        <v>1156</v>
      </c>
      <c r="C2820" s="27" t="s">
        <v>879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 t="s">
        <v>1047</v>
      </c>
      <c r="B2821" s="27" t="s">
        <v>874</v>
      </c>
      <c r="C2821" s="27" t="s">
        <v>816</v>
      </c>
      <c r="D2821" s="27" t="s">
        <v>801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 t="s">
        <v>2060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1264</v>
      </c>
      <c r="B2823" s="27" t="s">
        <v>1156</v>
      </c>
      <c r="E2823" s="21">
        <f>IF(D2823="?OLD","!!!","")</f>
        <v/>
      </c>
      <c r="F2823" s="22" t="str">
        <f>IF(OR(E2823="",E2823="!!!"),"",IF(NOT(ISNA(VLOOKUP(E2823,E$1:E2822,1,FALSE()))),"OLD",IF(AND(E2823&lt;&gt;"",E2823&lt;&gt;"!!!"),"NEW","")))</f>
        <v> </v>
      </c>
      <c r="G2823" s="23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4" t="str">
        <f>IF(J2823&lt;&gt;1,"",IF(I2823="SBJ","CB","?"))</f>
        <v> </v>
      </c>
      <c r="I2823" s="25" t="str">
        <f>IF(OR(E2823="",E2823="!!!",F2823="NEW"),"",INDEX(B2822:B$2,-1+SUMPRODUCT(MAX(ROW(E2822:E$2)*(E2823=E2822:E$2)))))</f>
        <v> </v>
      </c>
      <c r="J2823" s="25" t="str">
        <f>IF(OR(E2823="",E2823="!!!",F2823="NEW"),"",COUNTBLANK(OFFSET(A$1,,,SUMPRODUCT(MAX(ROW(E$2:E2823)*(E2823=E$2:E2823)))))-COUNTBLANK(OFFSET(A$1,,,SUMPRODUCT(MAX(ROW(E$1:E2822)*(E2=E$1:E2822))))))</f>
        <v> </v>
      </c>
      <c r="K2823" s="25" t="str">
        <f>IF(OR(E2823="",E2823="!!!",F2823="NEW"),"",INDEX(J$1:J2822,SUMPRODUCT(MAX(ROW(E$1:E2822)*(E2823=E$1:E2822)))))</f>
        <v> </v>
      </c>
      <c r="L2823" s="26"/>
    </row>
    <row r="2824" spans="1:12">
      <c r="A2824" s="20" t="s">
        <v>795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825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1092</v>
      </c>
      <c r="B2826" s="27" t="s">
        <v>891</v>
      </c>
      <c r="C2826" s="27" t="s">
        <v>800</v>
      </c>
      <c r="D2826" s="27" t="s">
        <v>801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1100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2024</v>
      </c>
      <c r="B2828" s="27" t="s">
        <v>849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795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1114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2059</v>
      </c>
      <c r="B2831" s="27" t="s">
        <v>849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795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 t="s">
        <v>2061</v>
      </c>
      <c r="E2833" s="21">
        <f>IF(D2833="?OLD","!!!","")</f>
        <v/>
      </c>
      <c r="F2833" s="22" t="str">
        <f>IF(OR(E2833="",E2833="!!!"),"",IF(NOT(ISNA(VLOOKUP(E2833,E$1:E2832,1,FALSE()))),"OLD",IF(AND(E2833&lt;&gt;"",E2833&lt;&gt;"!!!"),"NEW","")))</f>
        <v> </v>
      </c>
      <c r="G2833" s="23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4" t="str">
        <f>IF(J2833&lt;&gt;1,"",IF(I2833="SBJ","CB","?"))</f>
        <v> </v>
      </c>
      <c r="I2833" s="25" t="str">
        <f>IF(OR(E2833="",E2833="!!!",F2833="NEW"),"",INDEX(B2832:B$2,-1+SUMPRODUCT(MAX(ROW(E2832:E$2)*(E2833=E2832:E$2)))))</f>
        <v> </v>
      </c>
      <c r="J2833" s="25" t="str">
        <f>IF(OR(E2833="",E2833="!!!",F2833="NEW"),"",COUNTBLANK(OFFSET(A$1,,,SUMPRODUCT(MAX(ROW(E$2:E2833)*(E2833=E$2:E2833)))))-COUNTBLANK(OFFSET(A$1,,,SUMPRODUCT(MAX(ROW(E$1:E2832)*(E2=E$1:E2832))))))</f>
        <v> </v>
      </c>
      <c r="K2833" s="25" t="str">
        <f>IF(OR(E2833="",E2833="!!!",F2833="NEW"),"",INDEX(J$1:J2832,SUMPRODUCT(MAX(ROW(E$1:E2832)*(E2833=E$1:E2832)))))</f>
        <v> </v>
      </c>
      <c r="L2833" s="26"/>
    </row>
    <row r="2834" spans="1:12">
      <c r="A2834" s="20" t="s">
        <v>845</v>
      </c>
      <c r="B2834" s="27" t="s">
        <v>1001</v>
      </c>
      <c r="C2834" s="27" t="s">
        <v>816</v>
      </c>
      <c r="D2834" s="27" t="s">
        <v>801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 t="s">
        <v>795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 t="s">
        <v>2062</v>
      </c>
      <c r="E2836" s="21">
        <f>IF(D2836="?OLD","!!!","")</f>
        <v/>
      </c>
      <c r="F2836" s="22" t="str">
        <f>IF(OR(E2836="",E2836="!!!"),"",IF(NOT(ISNA(VLOOKUP(E2836,E$1:E2835,1,FALSE()))),"OLD",IF(AND(E2836&lt;&gt;"",E2836&lt;&gt;"!!!"),"NEW","")))</f>
        <v> </v>
      </c>
      <c r="G2836" s="23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4" t="str">
        <f>IF(J2836&lt;&gt;1,"",IF(I2836="SBJ","CB","?"))</f>
        <v> </v>
      </c>
      <c r="I2836" s="25" t="str">
        <f>IF(OR(E2836="",E2836="!!!",F2836="NEW"),"",INDEX(B2835:B$2,-1+SUMPRODUCT(MAX(ROW(E2835:E$2)*(E2836=E2835:E$2)))))</f>
        <v> </v>
      </c>
      <c r="J2836" s="25" t="str">
        <f>IF(OR(E2836="",E2836="!!!",F2836="NEW"),"",COUNTBLANK(OFFSET(A$1,,,SUMPRODUCT(MAX(ROW(E$2:E2836)*(E2836=E$2:E2836)))))-COUNTBLANK(OFFSET(A$1,,,SUMPRODUCT(MAX(ROW(E$1:E2835)*(E2=E$1:E2835))))))</f>
        <v> </v>
      </c>
      <c r="K2836" s="25" t="str">
        <f>IF(OR(E2836="",E2836="!!!",F2836="NEW"),"",INDEX(J$1:J2835,SUMPRODUCT(MAX(ROW(E$1:E2835)*(E2836=E$1:E2835)))))</f>
        <v> </v>
      </c>
      <c r="L2836" s="26"/>
    </row>
    <row r="2837" spans="1:12">
      <c r="A2837" s="20" t="s">
        <v>2063</v>
      </c>
      <c r="E2837" s="21">
        <f>IF(D2837="?OLD","!!!","")</f>
        <v/>
      </c>
      <c r="F2837" s="22" t="str">
        <f>IF(OR(E2837="",E2837="!!!"),"",IF(NOT(ISNA(VLOOKUP(E2837,E$1:E2836,1,FALSE()))),"OLD",IF(AND(E2837&lt;&gt;"",E2837&lt;&gt;"!!!"),"NEW","")))</f>
        <v> </v>
      </c>
      <c r="G2837" s="23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4" t="str">
        <f>IF(J2837&lt;&gt;1,"",IF(I2837="SBJ","CB","?"))</f>
        <v> </v>
      </c>
      <c r="I2837" s="25" t="str">
        <f>IF(OR(E2837="",E2837="!!!",F2837="NEW"),"",INDEX(B2836:B$2,-1+SUMPRODUCT(MAX(ROW(E2836:E$2)*(E2837=E2836:E$2)))))</f>
        <v> </v>
      </c>
      <c r="J2837" s="25" t="str">
        <f>IF(OR(E2837="",E2837="!!!",F2837="NEW"),"",COUNTBLANK(OFFSET(A$1,,,SUMPRODUCT(MAX(ROW(E$2:E2837)*(E2837=E$2:E2837)))))-COUNTBLANK(OFFSET(A$1,,,SUMPRODUCT(MAX(ROW(E$1:E2836)*(E2=E$1:E2836))))))</f>
        <v> </v>
      </c>
      <c r="K2837" s="25" t="str">
        <f>IF(OR(E2837="",E2837="!!!",F2837="NEW"),"",INDEX(J$1:J2836,SUMPRODUCT(MAX(ROW(E$1:E2836)*(E2837=E$1:E2836)))))</f>
        <v> </v>
      </c>
      <c r="L2837" s="26"/>
    </row>
    <row r="2838" spans="1:12">
      <c r="A2838" s="20" t="s">
        <v>803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/>
    </row>
    <row r="2840" spans="1:12">
      <c r="A2840" s="20" t="s">
        <v>2064</v>
      </c>
    </row>
    <row r="2841" spans="1:12">
      <c r="A2841" s="20" t="s">
        <v>815</v>
      </c>
      <c r="E2841" s="21">
        <f>IF(D2841="?OLD","!!!","")</f>
        <v/>
      </c>
      <c r="F2841" s="22" t="str">
        <f>IF(OR(E2841="",E2841="!!!"),"",IF(NOT(ISNA(VLOOKUP(E2841,E$1:E2840,1,FALSE()))),"OLD",IF(AND(E2841&lt;&gt;"",E2841&lt;&gt;"!!!"),"NEW","")))</f>
        <v> </v>
      </c>
      <c r="G2841" s="23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4" t="str">
        <f>IF(J2841&lt;&gt;1,"",IF(I2841="SBJ","CB","?"))</f>
        <v> </v>
      </c>
      <c r="I2841" s="25" t="str">
        <f>IF(OR(E2841="",E2841="!!!",F2841="NEW"),"",INDEX(B2840:B$2,-1+SUMPRODUCT(MAX(ROW(E2840:E$2)*(E2841=E2840:E$2)))))</f>
        <v> </v>
      </c>
      <c r="J2841" s="25" t="str">
        <f>IF(OR(E2841="",E2841="!!!",F2841="NEW"),"",COUNTBLANK(OFFSET(A$1,,,SUMPRODUCT(MAX(ROW(E$2:E2841)*(E2841=E$2:E2841)))))-COUNTBLANK(OFFSET(A$1,,,SUMPRODUCT(MAX(ROW(E$1:E2840)*(E2=E$1:E2840))))))</f>
        <v> </v>
      </c>
      <c r="K2841" s="25" t="str">
        <f>IF(OR(E2841="",E2841="!!!",F2841="NEW"),"",INDEX(J$1:J2840,SUMPRODUCT(MAX(ROW(E$1:E2840)*(E2841=E$1:E2840)))))</f>
        <v> </v>
      </c>
      <c r="L2841" s="26"/>
    </row>
    <row r="2842" spans="1:12">
      <c r="A2842" s="20" t="s">
        <v>2065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795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877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1062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2066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835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1712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1753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795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791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1712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 t="s">
        <v>2007</v>
      </c>
      <c r="B2853" s="27" t="s">
        <v>943</v>
      </c>
      <c r="C2853" s="27" t="s">
        <v>858</v>
      </c>
      <c r="D2853" s="27" t="s">
        <v>801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817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 t="s">
        <v>2067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970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2068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795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935</v>
      </c>
      <c r="B2859" s="27" t="s">
        <v>799</v>
      </c>
      <c r="C2859" s="27" t="s">
        <v>816</v>
      </c>
      <c r="D2859" s="27" t="s">
        <v>801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 t="s">
        <v>821</v>
      </c>
      <c r="E2860" s="21">
        <f>IF(D2860="?OLD","!!!","")</f>
        <v/>
      </c>
      <c r="F2860" s="22" t="str">
        <f>IF(OR(E2860="",E2860="!!!"),"",IF(NOT(ISNA(VLOOKUP(E2860,E$1:E2859,1,FALSE()))),"OLD",IF(AND(E2860&lt;&gt;"",E2860&lt;&gt;"!!!"),"NEW","")))</f>
        <v> </v>
      </c>
      <c r="G2860" s="23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4" t="str">
        <f>IF(J2860&lt;&gt;1,"",IF(I2860="SBJ","CB","?"))</f>
        <v> </v>
      </c>
      <c r="I2860" s="25" t="str">
        <f>IF(OR(E2860="",E2860="!!!",F2860="NEW"),"",INDEX(B2859:B$2,-1+SUMPRODUCT(MAX(ROW(E2859:E$2)*(E2860=E2859:E$2)))))</f>
        <v> </v>
      </c>
      <c r="J2860" s="25" t="str">
        <f>IF(OR(E2860="",E2860="!!!",F2860="NEW"),"",COUNTBLANK(OFFSET(A$1,,,SUMPRODUCT(MAX(ROW(E$2:E2860)*(E2860=E$2:E2860)))))-COUNTBLANK(OFFSET(A$1,,,SUMPRODUCT(MAX(ROW(E$1:E2859)*(E2=E$1:E2859))))))</f>
        <v> </v>
      </c>
      <c r="K2860" s="25" t="str">
        <f>IF(OR(E2860="",E2860="!!!",F2860="NEW"),"",INDEX(J$1:J2859,SUMPRODUCT(MAX(ROW(E$1:E2859)*(E2860=E$1:E2859)))))</f>
        <v> </v>
      </c>
      <c r="L2860" s="26"/>
    </row>
    <row r="2861" spans="1:12">
      <c r="A2861" s="20" t="s">
        <v>1125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 t="s">
        <v>2069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795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877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798</v>
      </c>
      <c r="B2865" s="27" t="s">
        <v>849</v>
      </c>
      <c r="C2865" s="27" t="s">
        <v>800</v>
      </c>
      <c r="D2865" s="27" t="s">
        <v>801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817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835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1712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1753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1062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2070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 t="s">
        <v>803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/>
    </row>
    <row r="2874" spans="1:12">
      <c r="A2874" s="20" t="s">
        <v>2071</v>
      </c>
    </row>
    <row r="2875" spans="1:12">
      <c r="A2875" s="20" t="s">
        <v>2072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59</v>
      </c>
      <c r="B2876" s="27" t="s">
        <v>799</v>
      </c>
      <c r="C2876" s="27" t="s">
        <v>800</v>
      </c>
      <c r="D2876" s="27" t="s">
        <v>801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 t="s">
        <v>795</v>
      </c>
      <c r="E2877" s="21">
        <f>IF(D2877="?OLD","!!!","")</f>
        <v/>
      </c>
      <c r="F2877" s="22" t="str">
        <f>IF(OR(E2877="",E2877="!!!"),"",IF(NOT(ISNA(VLOOKUP(E2877,E$1:E2876,1,FALSE()))),"OLD",IF(AND(E2877&lt;&gt;"",E2877&lt;&gt;"!!!"),"NEW","")))</f>
        <v> </v>
      </c>
      <c r="G2877" s="23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4" t="str">
        <f>IF(J2877&lt;&gt;1,"",IF(I2877="SBJ","CB","?"))</f>
        <v> </v>
      </c>
      <c r="I2877" s="25" t="str">
        <f>IF(OR(E2877="",E2877="!!!",F2877="NEW"),"",INDEX(B2876:B$2,-1+SUMPRODUCT(MAX(ROW(E2876:E$2)*(E2877=E2876:E$2)))))</f>
        <v> </v>
      </c>
      <c r="J2877" s="25" t="str">
        <f>IF(OR(E2877="",E2877="!!!",F2877="NEW"),"",COUNTBLANK(OFFSET(A$1,,,SUMPRODUCT(MAX(ROW(E$2:E2877)*(E2877=E$2:E2877)))))-COUNTBLANK(OFFSET(A$1,,,SUMPRODUCT(MAX(ROW(E$1:E2876)*(E2=E$1:E2876))))))</f>
        <v> </v>
      </c>
      <c r="K2877" s="25" t="str">
        <f>IF(OR(E2877="",E2877="!!!",F2877="NEW"),"",INDEX(J$1:J2876,SUMPRODUCT(MAX(ROW(E$1:E2876)*(E2877=E$1:E2876)))))</f>
        <v> </v>
      </c>
      <c r="L2877" s="26"/>
    </row>
    <row r="2878" spans="1:12">
      <c r="A2878" s="20" t="s">
        <v>877</v>
      </c>
      <c r="E2878" s="21">
        <f>IF(D2878="?OLD","!!!","")</f>
        <v/>
      </c>
      <c r="F2878" s="22" t="str">
        <f>IF(OR(E2878="",E2878="!!!"),"",IF(NOT(ISNA(VLOOKUP(E2878,E$1:E2877,1,FALSE()))),"OLD",IF(AND(E2878&lt;&gt;"",E2878&lt;&gt;"!!!"),"NEW","")))</f>
        <v> </v>
      </c>
      <c r="G2878" s="23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4" t="str">
        <f>IF(J2878&lt;&gt;1,"",IF(I2878="SBJ","CB","?"))</f>
        <v> </v>
      </c>
      <c r="I2878" s="25" t="str">
        <f>IF(OR(E2878="",E2878="!!!",F2878="NEW"),"",INDEX(B2877:B$2,-1+SUMPRODUCT(MAX(ROW(E2877:E$2)*(E2878=E2877:E$2)))))</f>
        <v> </v>
      </c>
      <c r="J2878" s="25" t="str">
        <f>IF(OR(E2878="",E2878="!!!",F2878="NEW"),"",COUNTBLANK(OFFSET(A$1,,,SUMPRODUCT(MAX(ROW(E$2:E2878)*(E2878=E$2:E2878)))))-COUNTBLANK(OFFSET(A$1,,,SUMPRODUCT(MAX(ROW(E$1:E2877)*(E2=E$1:E2877))))))</f>
        <v> </v>
      </c>
      <c r="K2878" s="25" t="str">
        <f>IF(OR(E2878="",E2878="!!!",F2878="NEW"),"",INDEX(J$1:J2877,SUMPRODUCT(MAX(ROW(E$1:E2877)*(E2878=E$1:E2877)))))</f>
        <v> </v>
      </c>
      <c r="L2878" s="26"/>
    </row>
    <row r="2879" spans="1:12">
      <c r="A2879" s="20" t="s">
        <v>1161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1310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1191</v>
      </c>
      <c r="B2881" s="27" t="s">
        <v>874</v>
      </c>
      <c r="C2881" s="27" t="s">
        <v>1095</v>
      </c>
      <c r="D2881" s="27" t="s">
        <v>801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1186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 t="s">
        <v>894</v>
      </c>
      <c r="E2883" s="21">
        <f>IF(D2883="?OLD","!!!","")</f>
        <v/>
      </c>
      <c r="F2883" s="22" t="str">
        <f>IF(OR(E2883="",E2883="!!!"),"",IF(NOT(ISNA(VLOOKUP(E2883,E$1:E2882,1,FALSE()))),"OLD",IF(AND(E2883&lt;&gt;"",E2883&lt;&gt;"!!!"),"NEW","")))</f>
        <v> </v>
      </c>
      <c r="G2883" s="23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4" t="str">
        <f>IF(J2883&lt;&gt;1,"",IF(I2883="SBJ","CB","?"))</f>
        <v> </v>
      </c>
      <c r="I2883" s="25" t="str">
        <f>IF(OR(E2883="",E2883="!!!",F2883="NEW"),"",INDEX(B2882:B$2,-1+SUMPRODUCT(MAX(ROW(E2882:E$2)*(E2883=E2882:E$2)))))</f>
        <v> </v>
      </c>
      <c r="J2883" s="25" t="str">
        <f>IF(OR(E2883="",E2883="!!!",F2883="NEW"),"",COUNTBLANK(OFFSET(A$1,,,SUMPRODUCT(MAX(ROW(E$2:E2883)*(E2883=E$2:E2883)))))-COUNTBLANK(OFFSET(A$1,,,SUMPRODUCT(MAX(ROW(E$1:E2882)*(E2=E$1:E2882))))))</f>
        <v> </v>
      </c>
      <c r="K2883" s="25" t="str">
        <f>IF(OR(E2883="",E2883="!!!",F2883="NEW"),"",INDEX(J$1:J2882,SUMPRODUCT(MAX(ROW(E$1:E2882)*(E2883=E$1:E2882)))))</f>
        <v> </v>
      </c>
      <c r="L2883" s="26"/>
    </row>
    <row r="2884" spans="1:12">
      <c r="A2884" s="20" t="s">
        <v>2073</v>
      </c>
      <c r="E2884" s="21">
        <f>IF(D2884="?OLD","!!!","")</f>
        <v/>
      </c>
      <c r="F2884" s="22" t="str">
        <f>IF(OR(E2884="",E2884="!!!"),"",IF(NOT(ISNA(VLOOKUP(E2884,E$1:E2883,1,FALSE()))),"OLD",IF(AND(E2884&lt;&gt;"",E2884&lt;&gt;"!!!"),"NEW","")))</f>
        <v> </v>
      </c>
      <c r="G2884" s="23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4" t="str">
        <f>IF(J2884&lt;&gt;1,"",IF(I2884="SBJ","CB","?"))</f>
        <v> </v>
      </c>
      <c r="I2884" s="25" t="str">
        <f>IF(OR(E2884="",E2884="!!!",F2884="NEW"),"",INDEX(B2883:B$2,-1+SUMPRODUCT(MAX(ROW(E2883:E$2)*(E2884=E2883:E$2)))))</f>
        <v> </v>
      </c>
      <c r="J2884" s="25" t="str">
        <f>IF(OR(E2884="",E2884="!!!",F2884="NEW"),"",COUNTBLANK(OFFSET(A$1,,,SUMPRODUCT(MAX(ROW(E$2:E2884)*(E2884=E$2:E2884)))))-COUNTBLANK(OFFSET(A$1,,,SUMPRODUCT(MAX(ROW(E$1:E2883)*(E2=E$1:E2883))))))</f>
        <v> </v>
      </c>
      <c r="K2884" s="25" t="str">
        <f>IF(OR(E2884="",E2884="!!!",F2884="NEW"),"",INDEX(J$1:J2883,SUMPRODUCT(MAX(ROW(E$1:E2883)*(E2884=E$1:E2883)))))</f>
        <v> </v>
      </c>
      <c r="L2884" s="26"/>
    </row>
    <row r="2885" spans="1:12">
      <c r="A2885" s="20" t="s">
        <v>2074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795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1330</v>
      </c>
      <c r="B2887" s="27" t="s">
        <v>881</v>
      </c>
      <c r="C2887" s="27" t="s">
        <v>879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2075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1712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2076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 t="s">
        <v>2077</v>
      </c>
      <c r="E2891" s="21">
        <f>IF(D2891="?OLD","!!!","")</f>
        <v/>
      </c>
      <c r="F2891" s="22" t="str">
        <f>IF(OR(E2891="",E2891="!!!"),"",IF(NOT(ISNA(VLOOKUP(E2891,E$1:E2890,1,FALSE()))),"OLD",IF(AND(E2891&lt;&gt;"",E2891&lt;&gt;"!!!"),"NEW","")))</f>
        <v> </v>
      </c>
      <c r="G2891" s="23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4" t="str">
        <f>IF(J2891&lt;&gt;1,"",IF(I2891="SBJ","CB","?"))</f>
        <v> </v>
      </c>
      <c r="I2891" s="25" t="str">
        <f>IF(OR(E2891="",E2891="!!!",F2891="NEW"),"",INDEX(B2890:B$2,-1+SUMPRODUCT(MAX(ROW(E2890:E$2)*(E2891=E2890:E$2)))))</f>
        <v> </v>
      </c>
      <c r="J2891" s="25" t="str">
        <f>IF(OR(E2891="",E2891="!!!",F2891="NEW"),"",COUNTBLANK(OFFSET(A$1,,,SUMPRODUCT(MAX(ROW(E$2:E2891)*(E2891=E$2:E2891)))))-COUNTBLANK(OFFSET(A$1,,,SUMPRODUCT(MAX(ROW(E$1:E2890)*(E2=E$1:E2890))))))</f>
        <v> </v>
      </c>
      <c r="K2891" s="25" t="str">
        <f>IF(OR(E2891="",E2891="!!!",F2891="NEW"),"",INDEX(J$1:J2890,SUMPRODUCT(MAX(ROW(E$1:E2890)*(E2891=E$1:E2890)))))</f>
        <v> </v>
      </c>
      <c r="L2891" s="26"/>
    </row>
    <row r="2892" spans="1:12">
      <c r="A2892" s="20" t="s">
        <v>2078</v>
      </c>
      <c r="E2892" s="21">
        <f>IF(D2892="?OLD","!!!","")</f>
        <v/>
      </c>
      <c r="F2892" s="22" t="str">
        <f>IF(OR(E2892="",E2892="!!!"),"",IF(NOT(ISNA(VLOOKUP(E2892,E$1:E2891,1,FALSE()))),"OLD",IF(AND(E2892&lt;&gt;"",E2892&lt;&gt;"!!!"),"NEW","")))</f>
        <v> </v>
      </c>
      <c r="G2892" s="23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4" t="str">
        <f>IF(J2892&lt;&gt;1,"",IF(I2892="SBJ","CB","?"))</f>
        <v> </v>
      </c>
      <c r="I2892" s="25" t="str">
        <f>IF(OR(E2892="",E2892="!!!",F2892="NEW"),"",INDEX(B2891:B$2,-1+SUMPRODUCT(MAX(ROW(E2891:E$2)*(E2892=E2891:E$2)))))</f>
        <v> </v>
      </c>
      <c r="J2892" s="25" t="str">
        <f>IF(OR(E2892="",E2892="!!!",F2892="NEW"),"",COUNTBLANK(OFFSET(A$1,,,SUMPRODUCT(MAX(ROW(E$2:E2892)*(E2892=E$2:E2892)))))-COUNTBLANK(OFFSET(A$1,,,SUMPRODUCT(MAX(ROW(E$1:E2891)*(E2=E$1:E2891))))))</f>
        <v> </v>
      </c>
      <c r="K2892" s="25" t="str">
        <f>IF(OR(E2892="",E2892="!!!",F2892="NEW"),"",INDEX(J$1:J2891,SUMPRODUCT(MAX(ROW(E$1:E2891)*(E2892=E$1:E2891)))))</f>
        <v> </v>
      </c>
      <c r="L2892" s="26"/>
    </row>
    <row r="2893" spans="1:12">
      <c r="A2893" s="20" t="s">
        <v>2079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 t="s">
        <v>795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2080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 t="s">
        <v>837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 t="s">
        <v>2081</v>
      </c>
      <c r="E2897" s="21">
        <f>IF(D2897="?OLD","!!!","")</f>
        <v/>
      </c>
      <c r="F2897" s="22" t="str">
        <f>IF(OR(E2897="",E2897="!!!"),"",IF(NOT(ISNA(VLOOKUP(E2897,E$1:E2896,1,FALSE()))),"OLD",IF(AND(E2897&lt;&gt;"",E2897&lt;&gt;"!!!"),"NEW","")))</f>
        <v> </v>
      </c>
      <c r="G2897" s="23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4" t="str">
        <f>IF(J2897&lt;&gt;1,"",IF(I2897="SBJ","CB","?"))</f>
        <v> </v>
      </c>
      <c r="I2897" s="25" t="str">
        <f>IF(OR(E2897="",E2897="!!!",F2897="NEW"),"",INDEX(B2896:B$2,-1+SUMPRODUCT(MAX(ROW(E2896:E$2)*(E2897=E2896:E$2)))))</f>
        <v> </v>
      </c>
      <c r="J2897" s="25" t="str">
        <f>IF(OR(E2897="",E2897="!!!",F2897="NEW"),"",COUNTBLANK(OFFSET(A$1,,,SUMPRODUCT(MAX(ROW(E$2:E2897)*(E2897=E$2:E2897)))))-COUNTBLANK(OFFSET(A$1,,,SUMPRODUCT(MAX(ROW(E$1:E2896)*(E2=E$1:E2896))))))</f>
        <v> </v>
      </c>
      <c r="K2897" s="25" t="str">
        <f>IF(OR(E2897="",E2897="!!!",F2897="NEW"),"",INDEX(J$1:J2896,SUMPRODUCT(MAX(ROW(E$1:E2896)*(E2897=E$1:E2896)))))</f>
        <v> </v>
      </c>
      <c r="L2897" s="26"/>
    </row>
    <row r="2898" spans="1:12">
      <c r="A2898" s="20" t="s">
        <v>2082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821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 t="s">
        <v>1989</v>
      </c>
      <c r="E2900" s="21">
        <f>IF(D2900="?OLD","!!!","")</f>
        <v/>
      </c>
      <c r="F2900" s="22" t="str">
        <f>IF(OR(E2900="",E2900="!!!"),"",IF(NOT(ISNA(VLOOKUP(E2900,E$1:E2899,1,FALSE()))),"OLD",IF(AND(E2900&lt;&gt;"",E2900&lt;&gt;"!!!"),"NEW","")))</f>
        <v> </v>
      </c>
      <c r="G2900" s="23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4" t="str">
        <f>IF(J2900&lt;&gt;1,"",IF(I2900="SBJ","CB","?"))</f>
        <v> </v>
      </c>
      <c r="I2900" s="25" t="str">
        <f>IF(OR(E2900="",E2900="!!!",F2900="NEW"),"",INDEX(B2899:B$2,-1+SUMPRODUCT(MAX(ROW(E2899:E$2)*(E2900=E2899:E$2)))))</f>
        <v> </v>
      </c>
      <c r="J2900" s="25" t="str">
        <f>IF(OR(E2900="",E2900="!!!",F2900="NEW"),"",COUNTBLANK(OFFSET(A$1,,,SUMPRODUCT(MAX(ROW(E$2:E2900)*(E2900=E$2:E2900)))))-COUNTBLANK(OFFSET(A$1,,,SUMPRODUCT(MAX(ROW(E$1:E2899)*(E2=E$1:E2899))))))</f>
        <v> </v>
      </c>
      <c r="K2900" s="25" t="str">
        <f>IF(OR(E2900="",E2900="!!!",F2900="NEW"),"",INDEX(J$1:J2899,SUMPRODUCT(MAX(ROW(E$1:E2899)*(E2900=E$1:E2899)))))</f>
        <v> </v>
      </c>
      <c r="L2900" s="26"/>
    </row>
    <row r="2901" spans="1:12">
      <c r="A2901" s="20" t="s">
        <v>1570</v>
      </c>
      <c r="E2901" s="21">
        <f>IF(D2901="?OLD","!!!","")</f>
        <v/>
      </c>
      <c r="F2901" s="22" t="str">
        <f>IF(OR(E2901="",E2901="!!!"),"",IF(NOT(ISNA(VLOOKUP(E2901,E$1:E2900,1,FALSE()))),"OLD",IF(AND(E2901&lt;&gt;"",E2901&lt;&gt;"!!!"),"NEW","")))</f>
        <v> </v>
      </c>
      <c r="G2901" s="23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4" t="str">
        <f>IF(J2901&lt;&gt;1,"",IF(I2901="SBJ","CB","?"))</f>
        <v> </v>
      </c>
      <c r="I2901" s="25" t="str">
        <f>IF(OR(E2901="",E2901="!!!",F2901="NEW"),"",INDEX(B2900:B$2,-1+SUMPRODUCT(MAX(ROW(E2900:E$2)*(E2901=E2900:E$2)))))</f>
        <v> </v>
      </c>
      <c r="J2901" s="25" t="str">
        <f>IF(OR(E2901="",E2901="!!!",F2901="NEW"),"",COUNTBLANK(OFFSET(A$1,,,SUMPRODUCT(MAX(ROW(E$2:E2901)*(E2901=E$2:E2901)))))-COUNTBLANK(OFFSET(A$1,,,SUMPRODUCT(MAX(ROW(E$1:E2900)*(E2=E$1:E2900))))))</f>
        <v> </v>
      </c>
      <c r="K2901" s="25" t="str">
        <f>IF(OR(E2901="",E2901="!!!",F2901="NEW"),"",INDEX(J$1:J2900,SUMPRODUCT(MAX(ROW(E$1:E2900)*(E2901=E$1:E2900)))))</f>
        <v> </v>
      </c>
      <c r="L2901" s="26"/>
    </row>
    <row r="2902" spans="1:12">
      <c r="A2902" s="20" t="s">
        <v>803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/>
    </row>
    <row r="2904" spans="1:12">
      <c r="A2904" s="20" t="s">
        <v>2083</v>
      </c>
    </row>
    <row r="2905" spans="1:12">
      <c r="A2905" s="20" t="s">
        <v>2084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935</v>
      </c>
      <c r="B2906" s="27" t="s">
        <v>799</v>
      </c>
      <c r="C2906" s="27" t="s">
        <v>816</v>
      </c>
      <c r="D2906" s="27" t="s">
        <v>801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1230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877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1161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873</v>
      </c>
      <c r="B2910" s="27" t="s">
        <v>849</v>
      </c>
      <c r="C2910" s="27" t="s">
        <v>816</v>
      </c>
      <c r="D2910" s="27" t="s">
        <v>801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 t="s">
        <v>795</v>
      </c>
      <c r="E2911" s="21">
        <f>IF(D2911="?OLD","!!!","")</f>
        <v/>
      </c>
      <c r="F2911" s="22" t="str">
        <f>IF(OR(E2911="",E2911="!!!"),"",IF(NOT(ISNA(VLOOKUP(E2911,E$1:E2910,1,FALSE()))),"OLD",IF(AND(E2911&lt;&gt;"",E2911&lt;&gt;"!!!"),"NEW","")))</f>
        <v> </v>
      </c>
      <c r="G2911" s="23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4" t="str">
        <f>IF(J2911&lt;&gt;1,"",IF(I2911="SBJ","CB","?"))</f>
        <v> </v>
      </c>
      <c r="I2911" s="25" t="str">
        <f>IF(OR(E2911="",E2911="!!!",F2911="NEW"),"",INDEX(B2910:B$2,-1+SUMPRODUCT(MAX(ROW(E2910:E$2)*(E2911=E2910:E$2)))))</f>
        <v> </v>
      </c>
      <c r="J2911" s="25" t="str">
        <f>IF(OR(E2911="",E2911="!!!",F2911="NEW"),"",COUNTBLANK(OFFSET(A$1,,,SUMPRODUCT(MAX(ROW(E$2:E2911)*(E2911=E$2:E2911)))))-COUNTBLANK(OFFSET(A$1,,,SUMPRODUCT(MAX(ROW(E$1:E2910)*(E2=E$1:E2910))))))</f>
        <v> </v>
      </c>
      <c r="K2911" s="25" t="str">
        <f>IF(OR(E2911="",E2911="!!!",F2911="NEW"),"",INDEX(J$1:J2910,SUMPRODUCT(MAX(ROW(E$1:E2910)*(E2911=E$1:E2910)))))</f>
        <v> </v>
      </c>
      <c r="L2911" s="26"/>
    </row>
    <row r="2912" spans="1:12">
      <c r="A2912" s="20" t="s">
        <v>980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 t="s">
        <v>1940</v>
      </c>
      <c r="B2913" s="27" t="s">
        <v>957</v>
      </c>
      <c r="C2913" s="27" t="s">
        <v>879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882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1214</v>
      </c>
      <c r="B2915" s="27" t="s">
        <v>943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795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 t="s">
        <v>2085</v>
      </c>
      <c r="E2917" s="21">
        <f>IF(D2917="?OLD","!!!","")</f>
        <v/>
      </c>
      <c r="F2917" s="22" t="str">
        <f>IF(OR(E2917="",E2917="!!!"),"",IF(NOT(ISNA(VLOOKUP(E2917,E$1:E2916,1,FALSE()))),"OLD",IF(AND(E2917&lt;&gt;"",E2917&lt;&gt;"!!!"),"NEW","")))</f>
        <v> </v>
      </c>
      <c r="G2917" s="23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4" t="str">
        <f>IF(J2917&lt;&gt;1,"",IF(I2917="SBJ","CB","?"))</f>
        <v> </v>
      </c>
      <c r="I2917" s="25" t="str">
        <f>IF(OR(E2917="",E2917="!!!",F2917="NEW"),"",INDEX(B2916:B$2,-1+SUMPRODUCT(MAX(ROW(E2916:E$2)*(E2917=E2916:E$2)))))</f>
        <v> </v>
      </c>
      <c r="J2917" s="25" t="str">
        <f>IF(OR(E2917="",E2917="!!!",F2917="NEW"),"",COUNTBLANK(OFFSET(A$1,,,SUMPRODUCT(MAX(ROW(E$2:E2917)*(E2917=E$2:E2917)))))-COUNTBLANK(OFFSET(A$1,,,SUMPRODUCT(MAX(ROW(E$1:E2916)*(E2=E$1:E2916))))))</f>
        <v> </v>
      </c>
      <c r="K2917" s="25" t="str">
        <f>IF(OR(E2917="",E2917="!!!",F2917="NEW"),"",INDEX(J$1:J2916,SUMPRODUCT(MAX(ROW(E$1:E2916)*(E2917=E$1:E2916)))))</f>
        <v> </v>
      </c>
      <c r="L2917" s="26"/>
    </row>
    <row r="2918" spans="1:12">
      <c r="A2918" s="20" t="s">
        <v>1194</v>
      </c>
      <c r="B2918" s="27" t="s">
        <v>891</v>
      </c>
      <c r="C2918" s="27" t="s">
        <v>816</v>
      </c>
      <c r="D2918" s="27" t="s">
        <v>801</v>
      </c>
      <c r="E2918" s="21">
        <f>IF(D2918="?OLD","!!!","")</f>
        <v/>
      </c>
      <c r="F2918" s="22" t="str">
        <f>IF(OR(E2918="",E2918="!!!"),"",IF(NOT(ISNA(VLOOKUP(E2918,E$1:E2917,1,FALSE()))),"OLD",IF(AND(E2918&lt;&gt;"",E2918&lt;&gt;"!!!"),"NEW","")))</f>
        <v> </v>
      </c>
      <c r="G2918" s="23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4" t="str">
        <f>IF(J2918&lt;&gt;1,"",IF(I2918="SBJ","CB","?"))</f>
        <v> </v>
      </c>
      <c r="I2918" s="25" t="str">
        <f>IF(OR(E2918="",E2918="!!!",F2918="NEW"),"",INDEX(B2917:B$2,-1+SUMPRODUCT(MAX(ROW(E2917:E$2)*(E2918=E2917:E$2)))))</f>
        <v> </v>
      </c>
      <c r="J2918" s="25" t="str">
        <f>IF(OR(E2918="",E2918="!!!",F2918="NEW"),"",COUNTBLANK(OFFSET(A$1,,,SUMPRODUCT(MAX(ROW(E$2:E2918)*(E2918=E$2:E2918)))))-COUNTBLANK(OFFSET(A$1,,,SUMPRODUCT(MAX(ROW(E$1:E2917)*(E2=E$1:E2917))))))</f>
        <v> </v>
      </c>
      <c r="K2918" s="25" t="str">
        <f>IF(OR(E2918="",E2918="!!!",F2918="NEW"),"",INDEX(J$1:J2917,SUMPRODUCT(MAX(ROW(E$1:E2917)*(E2918=E$1:E2917)))))</f>
        <v> </v>
      </c>
      <c r="L2918" s="26"/>
    </row>
    <row r="2919" spans="1:12">
      <c r="A2919" s="20" t="s">
        <v>1102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2086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2087</v>
      </c>
      <c r="B2921" s="27" t="s">
        <v>857</v>
      </c>
      <c r="C2921" s="27" t="s">
        <v>843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803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/>
    </row>
    <row r="2924" spans="1:12">
      <c r="A2924" s="20" t="s">
        <v>2088</v>
      </c>
    </row>
    <row r="2925" spans="1:12">
      <c r="A2925" s="20" t="s">
        <v>975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 t="s">
        <v>791</v>
      </c>
      <c r="E2926" s="21">
        <f>IF(D2926="?OLD","!!!","")</f>
        <v/>
      </c>
      <c r="F2926" s="22" t="str">
        <f>IF(OR(E2926="",E2926="!!!"),"",IF(NOT(ISNA(VLOOKUP(E2926,E$1:E2925,1,FALSE()))),"OLD",IF(AND(E2926&lt;&gt;"",E2926&lt;&gt;"!!!"),"NEW","")))</f>
        <v> </v>
      </c>
      <c r="G2926" s="23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4" t="str">
        <f>IF(J2926&lt;&gt;1,"",IF(I2926="SBJ","CB","?"))</f>
        <v> </v>
      </c>
      <c r="I2926" s="25" t="str">
        <f>IF(OR(E2926="",E2926="!!!",F2926="NEW"),"",INDEX(B2925:B$2,-1+SUMPRODUCT(MAX(ROW(E2925:E$2)*(E2926=E2925:E$2)))))</f>
        <v> </v>
      </c>
      <c r="J2926" s="25" t="str">
        <f>IF(OR(E2926="",E2926="!!!",F2926="NEW"),"",COUNTBLANK(OFFSET(A$1,,,SUMPRODUCT(MAX(ROW(E$2:E2926)*(E2926=E$2:E2926)))))-COUNTBLANK(OFFSET(A$1,,,SUMPRODUCT(MAX(ROW(E$1:E2925)*(E2=E$1:E2925))))))</f>
        <v> </v>
      </c>
      <c r="K2926" s="25" t="str">
        <f>IF(OR(E2926="",E2926="!!!",F2926="NEW"),"",INDEX(J$1:J2925,SUMPRODUCT(MAX(ROW(E$1:E2925)*(E2926=E$1:E2925)))))</f>
        <v> </v>
      </c>
      <c r="L2926" s="26"/>
    </row>
    <row r="2927" spans="1:12">
      <c r="A2927" s="20" t="s">
        <v>2089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 t="s">
        <v>2090</v>
      </c>
      <c r="B2928" s="27" t="s">
        <v>799</v>
      </c>
      <c r="C2928" s="27" t="s">
        <v>1366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2091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 t="s">
        <v>2092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1712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2093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837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2094</v>
      </c>
      <c r="B2934" s="27" t="s">
        <v>857</v>
      </c>
      <c r="C2934" s="27" t="s">
        <v>896</v>
      </c>
      <c r="D2934" s="27" t="s">
        <v>801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 t="s">
        <v>2095</v>
      </c>
      <c r="E2935" s="21">
        <f>IF(D2935="?OLD","!!!","")</f>
        <v/>
      </c>
      <c r="F2935" s="22" t="str">
        <f>IF(OR(E2935="",E2935="!!!"),"",IF(NOT(ISNA(VLOOKUP(E2935,E$1:E2934,1,FALSE()))),"OLD",IF(AND(E2935&lt;&gt;"",E2935&lt;&gt;"!!!"),"NEW","")))</f>
        <v> </v>
      </c>
      <c r="G2935" s="23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4" t="str">
        <f>IF(J2935&lt;&gt;1,"",IF(I2935="SBJ","CB","?"))</f>
        <v> </v>
      </c>
      <c r="I2935" s="25" t="str">
        <f>IF(OR(E2935="",E2935="!!!",F2935="NEW"),"",INDEX(B2934:B$2,-1+SUMPRODUCT(MAX(ROW(E2934:E$2)*(E2935=E2934:E$2)))))</f>
        <v> </v>
      </c>
      <c r="J2935" s="25" t="str">
        <f>IF(OR(E2935="",E2935="!!!",F2935="NEW"),"",COUNTBLANK(OFFSET(A$1,,,SUMPRODUCT(MAX(ROW(E$2:E2935)*(E2935=E$2:E2935)))))-COUNTBLANK(OFFSET(A$1,,,SUMPRODUCT(MAX(ROW(E$1:E2934)*(E2=E$1:E2934))))))</f>
        <v> </v>
      </c>
      <c r="K2935" s="25" t="str">
        <f>IF(OR(E2935="",E2935="!!!",F2935="NEW"),"",INDEX(J$1:J2934,SUMPRODUCT(MAX(ROW(E$1:E2934)*(E2935=E$1:E2934)))))</f>
        <v> </v>
      </c>
      <c r="L2935" s="26"/>
    </row>
    <row r="2936" spans="1:12">
      <c r="A2936" s="20" t="s">
        <v>825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2096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2097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980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 t="s">
        <v>1008</v>
      </c>
      <c r="B2940" s="27" t="s">
        <v>846</v>
      </c>
      <c r="C2940" s="27" t="s">
        <v>816</v>
      </c>
      <c r="D2940" s="27" t="s">
        <v>801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1916</v>
      </c>
      <c r="B2941" s="27" t="s">
        <v>829</v>
      </c>
      <c r="C2941" s="27" t="s">
        <v>896</v>
      </c>
      <c r="D2941" s="27" t="s">
        <v>801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1405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795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2098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837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2099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 t="s">
        <v>2100</v>
      </c>
      <c r="E2947" s="21">
        <f>IF(D2947="?OLD","!!!","")</f>
        <v/>
      </c>
      <c r="F2947" s="22" t="str">
        <f>IF(OR(E2947="",E2947="!!!"),"",IF(NOT(ISNA(VLOOKUP(E2947,E$1:E2946,1,FALSE()))),"OLD",IF(AND(E2947&lt;&gt;"",E2947&lt;&gt;"!!!"),"NEW","")))</f>
        <v> </v>
      </c>
      <c r="G2947" s="23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4" t="str">
        <f>IF(J2947&lt;&gt;1,"",IF(I2947="SBJ","CB","?"))</f>
        <v> </v>
      </c>
      <c r="I2947" s="25" t="str">
        <f>IF(OR(E2947="",E2947="!!!",F2947="NEW"),"",INDEX(B2946:B$2,-1+SUMPRODUCT(MAX(ROW(E2946:E$2)*(E2947=E2946:E$2)))))</f>
        <v> </v>
      </c>
      <c r="J2947" s="25" t="str">
        <f>IF(OR(E2947="",E2947="!!!",F2947="NEW"),"",COUNTBLANK(OFFSET(A$1,,,SUMPRODUCT(MAX(ROW(E$2:E2947)*(E2947=E$2:E2947)))))-COUNTBLANK(OFFSET(A$1,,,SUMPRODUCT(MAX(ROW(E$1:E2946)*(E2=E$1:E2946))))))</f>
        <v> </v>
      </c>
      <c r="K2947" s="25" t="str">
        <f>IF(OR(E2947="",E2947="!!!",F2947="NEW"),"",INDEX(J$1:J2946,SUMPRODUCT(MAX(ROW(E$1:E2946)*(E2947=E$1:E2946)))))</f>
        <v> </v>
      </c>
      <c r="L2947" s="26"/>
    </row>
    <row r="2948" spans="1:12">
      <c r="A2948" s="20" t="s">
        <v>795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797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1835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2101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795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2102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795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2103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825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2104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797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 t="s">
        <v>935</v>
      </c>
      <c r="B2959" s="27" t="s">
        <v>881</v>
      </c>
      <c r="C2959" s="27" t="s">
        <v>816</v>
      </c>
      <c r="D2959" s="27" t="s">
        <v>801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1712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 t="s">
        <v>2105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827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 t="s">
        <v>966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967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 t="s">
        <v>795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2106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 t="s">
        <v>795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1213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 t="s">
        <v>798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2107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2108</v>
      </c>
      <c r="B2971" s="27" t="s">
        <v>1099</v>
      </c>
      <c r="C2971" s="27" t="s">
        <v>1095</v>
      </c>
      <c r="D2971" s="27" t="s">
        <v>801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2109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803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/>
    </row>
    <row r="2975" spans="1:12">
      <c r="A2975" s="20" t="s">
        <v>2110</v>
      </c>
    </row>
    <row r="2976" spans="1:12">
      <c r="A2976" s="20" t="s">
        <v>975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935</v>
      </c>
      <c r="B2977" s="27" t="s">
        <v>799</v>
      </c>
      <c r="C2977" s="27" t="s">
        <v>816</v>
      </c>
      <c r="D2977" s="27" t="s">
        <v>801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2069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795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877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795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2111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821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 t="s">
        <v>1125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822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873</v>
      </c>
      <c r="B2986" s="27" t="s">
        <v>849</v>
      </c>
      <c r="C2986" s="27" t="s">
        <v>816</v>
      </c>
      <c r="D2986" s="27" t="s">
        <v>801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2112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2113</v>
      </c>
      <c r="B2988" s="27" t="s">
        <v>891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2114</v>
      </c>
      <c r="B2989" s="27" t="s">
        <v>1156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970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2115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 t="s">
        <v>795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 t="s">
        <v>1213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 t="s">
        <v>219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2116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795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877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325</v>
      </c>
      <c r="B2998" s="27" t="s">
        <v>943</v>
      </c>
      <c r="C2998" s="27" t="s">
        <v>816</v>
      </c>
      <c r="D2998" s="27" t="s">
        <v>801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 t="s">
        <v>817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 t="s">
        <v>2117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 t="s">
        <v>795</v>
      </c>
      <c r="E3001" s="21">
        <f>IF(D3001="?OLD","!!!","")</f>
        <v/>
      </c>
      <c r="F3001" s="22" t="str">
        <f>IF(OR(E3001="",E3001="!!!"),"",IF(NOT(ISNA(VLOOKUP(E3001,E$1:E3000,1,FALSE()))),"OLD",IF(AND(E3001&lt;&gt;"",E3001&lt;&gt;"!!!"),"NEW","")))</f>
        <v> </v>
      </c>
      <c r="G3001" s="23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4" t="str">
        <f>IF(J3001&lt;&gt;1,"",IF(I3001="SBJ","CB","?"))</f>
        <v> </v>
      </c>
      <c r="I3001" s="25" t="str">
        <f>IF(OR(E3001="",E3001="!!!",F3001="NEW"),"",INDEX(B3000:B$2,-1+SUMPRODUCT(MAX(ROW(E3000:E$2)*(E3001=E3000:E$2)))))</f>
        <v> </v>
      </c>
      <c r="J3001" s="25" t="str">
        <f>IF(OR(E3001="",E3001="!!!",F3001="NEW"),"",COUNTBLANK(OFFSET(A$1,,,SUMPRODUCT(MAX(ROW(E$2:E3001)*(E3001=E$2:E3001)))))-COUNTBLANK(OFFSET(A$1,,,SUMPRODUCT(MAX(ROW(E$1:E3000)*(E2=E$1:E3000))))))</f>
        <v> </v>
      </c>
      <c r="K3001" s="25" t="str">
        <f>IF(OR(E3001="",E3001="!!!",F3001="NEW"),"",INDEX(J$1:J3000,SUMPRODUCT(MAX(ROW(E$1:E3000)*(E3001=E$1:E3000)))))</f>
        <v> </v>
      </c>
      <c r="L3001" s="26"/>
    </row>
    <row r="3002" spans="1:12">
      <c r="A3002" s="20" t="s">
        <v>844</v>
      </c>
      <c r="E3002" s="21">
        <f>IF(D3002="?OLD","!!!","")</f>
        <v/>
      </c>
      <c r="F3002" s="22" t="str">
        <f>IF(OR(E3002="",E3002="!!!"),"",IF(NOT(ISNA(VLOOKUP(E3002,E$1:E3001,1,FALSE()))),"OLD",IF(AND(E3002&lt;&gt;"",E3002&lt;&gt;"!!!"),"NEW","")))</f>
        <v> </v>
      </c>
      <c r="G3002" s="23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4" t="str">
        <f>IF(J3002&lt;&gt;1,"",IF(I3002="SBJ","CB","?"))</f>
        <v> </v>
      </c>
      <c r="I3002" s="25" t="str">
        <f>IF(OR(E3002="",E3002="!!!",F3002="NEW"),"",INDEX(B3001:B$2,-1+SUMPRODUCT(MAX(ROW(E3001:E$2)*(E3002=E3001:E$2)))))</f>
        <v> </v>
      </c>
      <c r="J3002" s="25" t="str">
        <f>IF(OR(E3002="",E3002="!!!",F3002="NEW"),"",COUNTBLANK(OFFSET(A$1,,,SUMPRODUCT(MAX(ROW(E$2:E3002)*(E3002=E$2:E3002)))))-COUNTBLANK(OFFSET(A$1,,,SUMPRODUCT(MAX(ROW(E$1:E3001)*(E2=E$1:E3001))))))</f>
        <v> </v>
      </c>
      <c r="K3002" s="25" t="str">
        <f>IF(OR(E3002="",E3002="!!!",F3002="NEW"),"",INDEX(J$1:J3001,SUMPRODUCT(MAX(ROW(E$1:E3001)*(E3002=E$1:E3001)))))</f>
        <v> </v>
      </c>
      <c r="L3002" s="26"/>
    </row>
    <row r="3003" spans="1:12">
      <c r="A3003" s="20" t="s">
        <v>2118</v>
      </c>
      <c r="B3003" s="27" t="s">
        <v>953</v>
      </c>
      <c r="C3003" s="27" t="s">
        <v>896</v>
      </c>
      <c r="D3003" s="27" t="s">
        <v>801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2119</v>
      </c>
      <c r="B3004" s="27" t="s">
        <v>878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2120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980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 t="s">
        <v>2121</v>
      </c>
      <c r="E3007" s="21">
        <f>IF(D3007="?OLD","!!!","")</f>
        <v/>
      </c>
      <c r="F3007" s="22" t="str">
        <f>IF(OR(E3007="",E3007="!!!"),"",IF(NOT(ISNA(VLOOKUP(E3007,E$1:E3006,1,FALSE()))),"OLD",IF(AND(E3007&lt;&gt;"",E3007&lt;&gt;"!!!"),"NEW","")))</f>
        <v> </v>
      </c>
      <c r="G3007" s="23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4" t="str">
        <f>IF(J3007&lt;&gt;1,"",IF(I3007="SBJ","CB","?"))</f>
        <v> </v>
      </c>
      <c r="I3007" s="25" t="str">
        <f>IF(OR(E3007="",E3007="!!!",F3007="NEW"),"",INDEX(B3006:B$2,-1+SUMPRODUCT(MAX(ROW(E3006:E$2)*(E3007=E3006:E$2)))))</f>
        <v> </v>
      </c>
      <c r="J3007" s="25" t="str">
        <f>IF(OR(E3007="",E3007="!!!",F3007="NEW"),"",COUNTBLANK(OFFSET(A$1,,,SUMPRODUCT(MAX(ROW(E$2:E3007)*(E3007=E$2:E3007)))))-COUNTBLANK(OFFSET(A$1,,,SUMPRODUCT(MAX(ROW(E$1:E3006)*(E2=E$1:E3006))))))</f>
        <v> </v>
      </c>
      <c r="K3007" s="25" t="str">
        <f>IF(OR(E3007="",E3007="!!!",F3007="NEW"),"",INDEX(J$1:J3006,SUMPRODUCT(MAX(ROW(E$1:E3006)*(E3007=E$1:E3006)))))</f>
        <v> </v>
      </c>
      <c r="L3007" s="26"/>
    </row>
    <row r="3008" spans="1:12">
      <c r="A3008" s="20" t="s">
        <v>821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1125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825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 t="s">
        <v>2122</v>
      </c>
      <c r="B3011" s="27" t="s">
        <v>1179</v>
      </c>
      <c r="C3011" s="27" t="s">
        <v>855</v>
      </c>
      <c r="D3011" s="27" t="s">
        <v>801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 t="s">
        <v>2123</v>
      </c>
      <c r="E3012" s="21">
        <f>IF(D3012="?OLD","!!!","")</f>
        <v/>
      </c>
      <c r="F3012" s="22" t="str">
        <f>IF(OR(E3012="",E3012="!!!"),"",IF(NOT(ISNA(VLOOKUP(E3012,E$1:E3011,1,FALSE()))),"OLD",IF(AND(E3012&lt;&gt;"",E3012&lt;&gt;"!!!"),"NEW","")))</f>
        <v> </v>
      </c>
      <c r="G3012" s="23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4" t="str">
        <f>IF(J3012&lt;&gt;1,"",IF(I3012="SBJ","CB","?"))</f>
        <v> </v>
      </c>
      <c r="I3012" s="25" t="str">
        <f>IF(OR(E3012="",E3012="!!!",F3012="NEW"),"",INDEX(B3011:B$2,-1+SUMPRODUCT(MAX(ROW(E3011:E$2)*(E3012=E3011:E$2)))))</f>
        <v> </v>
      </c>
      <c r="J3012" s="25" t="str">
        <f>IF(OR(E3012="",E3012="!!!",F3012="NEW"),"",COUNTBLANK(OFFSET(A$1,,,SUMPRODUCT(MAX(ROW(E$2:E3012)*(E3012=E$2:E3012)))))-COUNTBLANK(OFFSET(A$1,,,SUMPRODUCT(MAX(ROW(E$1:E3011)*(E2=E$1:E3011))))))</f>
        <v> </v>
      </c>
      <c r="K3012" s="25" t="str">
        <f>IF(OR(E3012="",E3012="!!!",F3012="NEW"),"",INDEX(J$1:J3011,SUMPRODUCT(MAX(ROW(E$1:E3011)*(E3012=E$1:E3011)))))</f>
        <v> </v>
      </c>
      <c r="L3012" s="26"/>
    </row>
    <row r="3013" spans="1:12">
      <c r="A3013" s="20" t="s">
        <v>1631</v>
      </c>
      <c r="B3013" s="27" t="s">
        <v>1480</v>
      </c>
      <c r="C3013" s="27" t="s">
        <v>1095</v>
      </c>
      <c r="D3013" s="27" t="s">
        <v>801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795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2124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1312</v>
      </c>
      <c r="B3016" s="27" t="s">
        <v>2125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1904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1186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795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2126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2127</v>
      </c>
      <c r="B3021" s="27" t="s">
        <v>1094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2128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2129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1657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 t="s">
        <v>2130</v>
      </c>
      <c r="B3025" s="27" t="s">
        <v>1477</v>
      </c>
      <c r="C3025" s="27" t="s">
        <v>843</v>
      </c>
      <c r="E3025" s="21">
        <f>IF(D3025="?OLD","!!!","")</f>
        <v/>
      </c>
      <c r="F3025" s="22" t="str">
        <f>IF(OR(E3025="",E3025="!!!"),"",IF(NOT(ISNA(VLOOKUP(E3025,E$1:E3024,1,FALSE()))),"OLD",IF(AND(E3025&lt;&gt;"",E3025&lt;&gt;"!!!"),"NEW","")))</f>
        <v> </v>
      </c>
      <c r="G3025" s="23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4" t="str">
        <f>IF(J3025&lt;&gt;1,"",IF(I3025="SBJ","CB","?"))</f>
        <v> </v>
      </c>
      <c r="I3025" s="25" t="str">
        <f>IF(OR(E3025="",E3025="!!!",F3025="NEW"),"",INDEX(B3024:B$2,-1+SUMPRODUCT(MAX(ROW(E3024:E$2)*(E3025=E3024:E$2)))))</f>
        <v> </v>
      </c>
      <c r="J3025" s="25" t="str">
        <f>IF(OR(E3025="",E3025="!!!",F3025="NEW"),"",COUNTBLANK(OFFSET(A$1,,,SUMPRODUCT(MAX(ROW(E$2:E3025)*(E3025=E$2:E3025)))))-COUNTBLANK(OFFSET(A$1,,,SUMPRODUCT(MAX(ROW(E$1:E3024)*(E2=E$1:E3024))))))</f>
        <v> </v>
      </c>
      <c r="K3025" s="25" t="str">
        <f>IF(OR(E3025="",E3025="!!!",F3025="NEW"),"",INDEX(J$1:J3024,SUMPRODUCT(MAX(ROW(E$1:E3024)*(E3025=E$1:E3024)))))</f>
        <v> </v>
      </c>
      <c r="L3025" s="26"/>
    </row>
    <row r="3026" spans="1:12">
      <c r="A3026" s="20" t="s">
        <v>795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 t="s">
        <v>1235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1246</v>
      </c>
      <c r="B3028" s="27" t="s">
        <v>1664</v>
      </c>
      <c r="C3028" s="27" t="s">
        <v>879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976</v>
      </c>
      <c r="B3029" s="27" t="s">
        <v>1104</v>
      </c>
      <c r="C3029" s="27" t="s">
        <v>816</v>
      </c>
      <c r="D3029" s="27" t="s">
        <v>801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1368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2131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970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1818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1405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 t="s">
        <v>825</v>
      </c>
      <c r="E3035" s="21">
        <f>IF(D3035="?OLD","!!!","")</f>
        <v/>
      </c>
      <c r="F3035" s="22" t="str">
        <f>IF(OR(E3035="",E3035="!!!"),"",IF(NOT(ISNA(VLOOKUP(E3035,E$1:E3034,1,FALSE()))),"OLD",IF(AND(E3035&lt;&gt;"",E3035&lt;&gt;"!!!"),"NEW","")))</f>
        <v> </v>
      </c>
      <c r="G3035" s="23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4" t="str">
        <f>IF(J3035&lt;&gt;1,"",IF(I3035="SBJ","CB","?"))</f>
        <v> </v>
      </c>
      <c r="I3035" s="25" t="str">
        <f>IF(OR(E3035="",E3035="!!!",F3035="NEW"),"",INDEX(B3034:B$2,-1+SUMPRODUCT(MAX(ROW(E3034:E$2)*(E3035=E3034:E$2)))))</f>
        <v> </v>
      </c>
      <c r="J3035" s="25" t="str">
        <f>IF(OR(E3035="",E3035="!!!",F3035="NEW"),"",COUNTBLANK(OFFSET(A$1,,,SUMPRODUCT(MAX(ROW(E$2:E3035)*(E3035=E$2:E3035)))))-COUNTBLANK(OFFSET(A$1,,,SUMPRODUCT(MAX(ROW(E$1:E3034)*(E2=E$1:E3034))))))</f>
        <v> </v>
      </c>
      <c r="K3035" s="25" t="str">
        <f>IF(OR(E3035="",E3035="!!!",F3035="NEW"),"",INDEX(J$1:J3034,SUMPRODUCT(MAX(ROW(E$1:E3034)*(E3035=E$1:E3034)))))</f>
        <v> </v>
      </c>
      <c r="L3035" s="26"/>
    </row>
    <row r="3036" spans="1:12">
      <c r="A3036" s="20" t="s">
        <v>2132</v>
      </c>
      <c r="E3036" s="21">
        <f>IF(D3036="?OLD","!!!","")</f>
        <v/>
      </c>
      <c r="F3036" s="22" t="str">
        <f>IF(OR(E3036="",E3036="!!!"),"",IF(NOT(ISNA(VLOOKUP(E3036,E$1:E3035,1,FALSE()))),"OLD",IF(AND(E3036&lt;&gt;"",E3036&lt;&gt;"!!!"),"NEW","")))</f>
        <v> </v>
      </c>
      <c r="G3036" s="23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4" t="str">
        <f>IF(J3036&lt;&gt;1,"",IF(I3036="SBJ","CB","?"))</f>
        <v> </v>
      </c>
      <c r="I3036" s="25" t="str">
        <f>IF(OR(E3036="",E3036="!!!",F3036="NEW"),"",INDEX(B3035:B$2,-1+SUMPRODUCT(MAX(ROW(E3035:E$2)*(E3036=E3035:E$2)))))</f>
        <v> </v>
      </c>
      <c r="J3036" s="25" t="str">
        <f>IF(OR(E3036="",E3036="!!!",F3036="NEW"),"",COUNTBLANK(OFFSET(A$1,,,SUMPRODUCT(MAX(ROW(E$2:E3036)*(E3036=E$2:E3036)))))-COUNTBLANK(OFFSET(A$1,,,SUMPRODUCT(MAX(ROW(E$1:E3035)*(E2=E$1:E3035))))))</f>
        <v> </v>
      </c>
      <c r="K3036" s="25" t="str">
        <f>IF(OR(E3036="",E3036="!!!",F3036="NEW"),"",INDEX(J$1:J3035,SUMPRODUCT(MAX(ROW(E$1:E3035)*(E3036=E$1:E3035)))))</f>
        <v> </v>
      </c>
      <c r="L3036" s="26"/>
    </row>
    <row r="3037" spans="1:12">
      <c r="A3037" s="20" t="s">
        <v>964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2133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976</v>
      </c>
      <c r="B3039" s="27" t="s">
        <v>2134</v>
      </c>
      <c r="C3039" s="27" t="s">
        <v>816</v>
      </c>
      <c r="D3039" s="27" t="s">
        <v>801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2135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2136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803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/>
    </row>
    <row r="3044" spans="1:12">
      <c r="A3044" s="20" t="s">
        <v>2137</v>
      </c>
    </row>
    <row r="3045" spans="1:12">
      <c r="A3045" s="20" t="s">
        <v>2138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795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877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 t="s">
        <v>1267</v>
      </c>
      <c r="E3048" s="21">
        <f>IF(D3048="?OLD","!!!","")</f>
        <v/>
      </c>
      <c r="F3048" s="22" t="str">
        <f>IF(OR(E3048="",E3048="!!!"),"",IF(NOT(ISNA(VLOOKUP(E3048,E$1:E3047,1,FALSE()))),"OLD",IF(AND(E3048&lt;&gt;"",E3048&lt;&gt;"!!!"),"NEW","")))</f>
        <v> </v>
      </c>
      <c r="G3048" s="23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4" t="str">
        <f>IF(J3048&lt;&gt;1,"",IF(I3048="SBJ","CB","?"))</f>
        <v> </v>
      </c>
      <c r="I3048" s="25" t="str">
        <f>IF(OR(E3048="",E3048="!!!",F3048="NEW"),"",INDEX(B3047:B$2,-1+SUMPRODUCT(MAX(ROW(E3047:E$2)*(E3048=E3047:E$2)))))</f>
        <v> </v>
      </c>
      <c r="J3048" s="25" t="str">
        <f>IF(OR(E3048="",E3048="!!!",F3048="NEW"),"",COUNTBLANK(OFFSET(A$1,,,SUMPRODUCT(MAX(ROW(E$2:E3048)*(E3048=E$2:E3048)))))-COUNTBLANK(OFFSET(A$1,,,SUMPRODUCT(MAX(ROW(E$1:E3047)*(E2=E$1:E3047))))))</f>
        <v> </v>
      </c>
      <c r="K3048" s="25" t="str">
        <f>IF(OR(E3048="",E3048="!!!",F3048="NEW"),"",INDEX(J$1:J3047,SUMPRODUCT(MAX(ROW(E$1:E3047)*(E3048=E$1:E3047)))))</f>
        <v> </v>
      </c>
      <c r="L3048" s="26"/>
    </row>
    <row r="3049" spans="1:12">
      <c r="A3049" s="20" t="s">
        <v>970</v>
      </c>
      <c r="E3049" s="21">
        <f>IF(D3049="?OLD","!!!","")</f>
        <v/>
      </c>
      <c r="F3049" s="22" t="str">
        <f>IF(OR(E3049="",E3049="!!!"),"",IF(NOT(ISNA(VLOOKUP(E3049,E$1:E3048,1,FALSE()))),"OLD",IF(AND(E3049&lt;&gt;"",E3049&lt;&gt;"!!!"),"NEW","")))</f>
        <v> </v>
      </c>
      <c r="G3049" s="23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4" t="str">
        <f>IF(J3049&lt;&gt;1,"",IF(I3049="SBJ","CB","?"))</f>
        <v> </v>
      </c>
      <c r="I3049" s="25" t="str">
        <f>IF(OR(E3049="",E3049="!!!",F3049="NEW"),"",INDEX(B3048:B$2,-1+SUMPRODUCT(MAX(ROW(E3048:E$2)*(E3049=E3048:E$2)))))</f>
        <v> </v>
      </c>
      <c r="J3049" s="25" t="str">
        <f>IF(OR(E3049="",E3049="!!!",F3049="NEW"),"",COUNTBLANK(OFFSET(A$1,,,SUMPRODUCT(MAX(ROW(E$2:E3049)*(E3049=E$2:E3049)))))-COUNTBLANK(OFFSET(A$1,,,SUMPRODUCT(MAX(ROW(E$1:E3048)*(E2=E$1:E3048))))))</f>
        <v> </v>
      </c>
      <c r="K3049" s="25" t="str">
        <f>IF(OR(E3049="",E3049="!!!",F3049="NEW"),"",INDEX(J$1:J3048,SUMPRODUCT(MAX(ROW(E$1:E3048)*(E3049=E$1:E3048)))))</f>
        <v> </v>
      </c>
      <c r="L3049" s="26"/>
    </row>
    <row r="3050" spans="1:12">
      <c r="A3050" s="20" t="s">
        <v>59</v>
      </c>
      <c r="B3050" s="27" t="s">
        <v>842</v>
      </c>
      <c r="C3050" s="27" t="s">
        <v>800</v>
      </c>
      <c r="D3050" s="27" t="s">
        <v>801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795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877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1161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1310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1312</v>
      </c>
      <c r="B3055" s="27" t="s">
        <v>874</v>
      </c>
      <c r="C3055" s="27" t="s">
        <v>1095</v>
      </c>
      <c r="D3055" s="27" t="s">
        <v>801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821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2139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 t="s">
        <v>1323</v>
      </c>
      <c r="E3058" s="21">
        <f>IF(D3058="?OLD","!!!","")</f>
        <v/>
      </c>
      <c r="F3058" s="22" t="str">
        <f>IF(OR(E3058="",E3058="!!!"),"",IF(NOT(ISNA(VLOOKUP(E3058,E$1:E3057,1,FALSE()))),"OLD",IF(AND(E3058&lt;&gt;"",E3058&lt;&gt;"!!!"),"NEW","")))</f>
        <v> </v>
      </c>
      <c r="G3058" s="23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4" t="str">
        <f>IF(J3058&lt;&gt;1,"",IF(I3058="SBJ","CB","?"))</f>
        <v> </v>
      </c>
      <c r="I3058" s="25" t="str">
        <f>IF(OR(E3058="",E3058="!!!",F3058="NEW"),"",INDEX(B3057:B$2,-1+SUMPRODUCT(MAX(ROW(E3057:E$2)*(E3058=E3057:E$2)))))</f>
        <v> </v>
      </c>
      <c r="J3058" s="25" t="str">
        <f>IF(OR(E3058="",E3058="!!!",F3058="NEW"),"",COUNTBLANK(OFFSET(A$1,,,SUMPRODUCT(MAX(ROW(E$2:E3058)*(E3058=E$2:E3058)))))-COUNTBLANK(OFFSET(A$1,,,SUMPRODUCT(MAX(ROW(E$1:E3057)*(E2=E$1:E3057))))))</f>
        <v> </v>
      </c>
      <c r="K3058" s="25" t="str">
        <f>IF(OR(E3058="",E3058="!!!",F3058="NEW"),"",INDEX(J$1:J3057,SUMPRODUCT(MAX(ROW(E$1:E3057)*(E3058=E$1:E3057)))))</f>
        <v> </v>
      </c>
      <c r="L3058" s="26"/>
    </row>
    <row r="3059" spans="1:12">
      <c r="A3059" s="20" t="s">
        <v>793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2140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 t="s">
        <v>797</v>
      </c>
      <c r="E3061" s="21">
        <f>IF(D3061="?OLD","!!!","")</f>
        <v/>
      </c>
      <c r="F3061" s="22" t="str">
        <f>IF(OR(E3061="",E3061="!!!"),"",IF(NOT(ISNA(VLOOKUP(E3061,E$1:E3060,1,FALSE()))),"OLD",IF(AND(E3061&lt;&gt;"",E3061&lt;&gt;"!!!"),"NEW","")))</f>
        <v> </v>
      </c>
      <c r="G3061" s="23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4" t="str">
        <f>IF(J3061&lt;&gt;1,"",IF(I3061="SBJ","CB","?"))</f>
        <v> </v>
      </c>
      <c r="I3061" s="25" t="str">
        <f>IF(OR(E3061="",E3061="!!!",F3061="NEW"),"",INDEX(B3060:B$2,-1+SUMPRODUCT(MAX(ROW(E3060:E$2)*(E3061=E3060:E$2)))))</f>
        <v> </v>
      </c>
      <c r="J3061" s="25" t="str">
        <f>IF(OR(E3061="",E3061="!!!",F3061="NEW"),"",COUNTBLANK(OFFSET(A$1,,,SUMPRODUCT(MAX(ROW(E$2:E3061)*(E3061=E$2:E3061)))))-COUNTBLANK(OFFSET(A$1,,,SUMPRODUCT(MAX(ROW(E$1:E3060)*(E2=E$1:E3060))))))</f>
        <v> </v>
      </c>
      <c r="K3061" s="25" t="str">
        <f>IF(OR(E3061="",E3061="!!!",F3061="NEW"),"",INDEX(J$1:J3060,SUMPRODUCT(MAX(ROW(E$1:E3060)*(E3061=E$1:E3060)))))</f>
        <v> </v>
      </c>
      <c r="L3061" s="26"/>
    </row>
    <row r="3062" spans="1:12">
      <c r="A3062" s="20" t="s">
        <v>2141</v>
      </c>
      <c r="E3062" s="21">
        <f>IF(D3062="?OLD","!!!","")</f>
        <v/>
      </c>
      <c r="F3062" s="22" t="str">
        <f>IF(OR(E3062="",E3062="!!!"),"",IF(NOT(ISNA(VLOOKUP(E3062,E$1:E3061,1,FALSE()))),"OLD",IF(AND(E3062&lt;&gt;"",E3062&lt;&gt;"!!!"),"NEW","")))</f>
        <v> </v>
      </c>
      <c r="G3062" s="23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4" t="str">
        <f>IF(J3062&lt;&gt;1,"",IF(I3062="SBJ","CB","?"))</f>
        <v> </v>
      </c>
      <c r="I3062" s="25" t="str">
        <f>IF(OR(E3062="",E3062="!!!",F3062="NEW"),"",INDEX(B3061:B$2,-1+SUMPRODUCT(MAX(ROW(E3061:E$2)*(E3062=E3061:E$2)))))</f>
        <v> </v>
      </c>
      <c r="J3062" s="25" t="str">
        <f>IF(OR(E3062="",E3062="!!!",F3062="NEW"),"",COUNTBLANK(OFFSET(A$1,,,SUMPRODUCT(MAX(ROW(E$2:E3062)*(E3062=E$2:E3062)))))-COUNTBLANK(OFFSET(A$1,,,SUMPRODUCT(MAX(ROW(E$1:E3061)*(E2=E$1:E3061))))))</f>
        <v> </v>
      </c>
      <c r="K3062" s="25" t="str">
        <f>IF(OR(E3062="",E3062="!!!",F3062="NEW"),"",INDEX(J$1:J3061,SUMPRODUCT(MAX(ROW(E$1:E3061)*(E3062=E$1:E3061)))))</f>
        <v> </v>
      </c>
      <c r="L3062" s="26"/>
    </row>
    <row r="3063" spans="1:12">
      <c r="A3063" s="20" t="s">
        <v>1464</v>
      </c>
      <c r="B3063" s="27" t="s">
        <v>943</v>
      </c>
      <c r="C3063" s="27" t="s">
        <v>843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 t="s">
        <v>2142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 t="s">
        <v>894</v>
      </c>
      <c r="E3065" s="21">
        <f>IF(D3065="?OLD","!!!","")</f>
        <v/>
      </c>
      <c r="F3065" s="22" t="str">
        <f>IF(OR(E3065="",E3065="!!!"),"",IF(NOT(ISNA(VLOOKUP(E3065,E$1:E3064,1,FALSE()))),"OLD",IF(AND(E3065&lt;&gt;"",E3065&lt;&gt;"!!!"),"NEW","")))</f>
        <v> </v>
      </c>
      <c r="G3065" s="23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4" t="str">
        <f>IF(J3065&lt;&gt;1,"",IF(I3065="SBJ","CB","?"))</f>
        <v> </v>
      </c>
      <c r="I3065" s="25" t="str">
        <f>IF(OR(E3065="",E3065="!!!",F3065="NEW"),"",INDEX(B3064:B$2,-1+SUMPRODUCT(MAX(ROW(E3064:E$2)*(E3065=E3064:E$2)))))</f>
        <v> </v>
      </c>
      <c r="J3065" s="25" t="str">
        <f>IF(OR(E3065="",E3065="!!!",F3065="NEW"),"",COUNTBLANK(OFFSET(A$1,,,SUMPRODUCT(MAX(ROW(E$2:E3065)*(E3065=E$2:E3065)))))-COUNTBLANK(OFFSET(A$1,,,SUMPRODUCT(MAX(ROW(E$1:E3064)*(E2=E$1:E3064))))))</f>
        <v> </v>
      </c>
      <c r="K3065" s="25" t="str">
        <f>IF(OR(E3065="",E3065="!!!",F3065="NEW"),"",INDEX(J$1:J3064,SUMPRODUCT(MAX(ROW(E$1:E3064)*(E3065=E$1:E3064)))))</f>
        <v> </v>
      </c>
      <c r="L3065" s="26"/>
    </row>
    <row r="3066" spans="1:12">
      <c r="A3066" s="20" t="s">
        <v>2143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795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837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2144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1208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1214</v>
      </c>
      <c r="B3071" s="27" t="s">
        <v>1179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2145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2146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795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925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837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2147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2148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2149</v>
      </c>
      <c r="B3079" s="27" t="s">
        <v>881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 t="s">
        <v>797</v>
      </c>
      <c r="E3080" s="21">
        <f>IF(D3080="?OLD","!!!","")</f>
        <v/>
      </c>
      <c r="F3080" s="22" t="str">
        <f>IF(OR(E3080="",E3080="!!!"),"",IF(NOT(ISNA(VLOOKUP(E3080,E$1:E3079,1,FALSE()))),"OLD",IF(AND(E3080&lt;&gt;"",E3080&lt;&gt;"!!!"),"NEW","")))</f>
        <v> </v>
      </c>
      <c r="G3080" s="23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4" t="str">
        <f>IF(J3080&lt;&gt;1,"",IF(I3080="SBJ","CB","?"))</f>
        <v> </v>
      </c>
      <c r="I3080" s="25" t="str">
        <f>IF(OR(E3080="",E3080="!!!",F3080="NEW"),"",INDEX(B3079:B$2,-1+SUMPRODUCT(MAX(ROW(E3079:E$2)*(E3080=E3079:E$2)))))</f>
        <v> </v>
      </c>
      <c r="J3080" s="25" t="str">
        <f>IF(OR(E3080="",E3080="!!!",F3080="NEW"),"",COUNTBLANK(OFFSET(A$1,,,SUMPRODUCT(MAX(ROW(E$2:E3080)*(E3080=E$2:E3080)))))-COUNTBLANK(OFFSET(A$1,,,SUMPRODUCT(MAX(ROW(E$1:E3079)*(E2=E$1:E3079))))))</f>
        <v> </v>
      </c>
      <c r="K3080" s="25" t="str">
        <f>IF(OR(E3080="",E3080="!!!",F3080="NEW"),"",INDEX(J$1:J3079,SUMPRODUCT(MAX(ROW(E$1:E3079)*(E3080=E$1:E3079)))))</f>
        <v> </v>
      </c>
      <c r="L3080" s="26"/>
    </row>
    <row r="3081" spans="1:12">
      <c r="A3081" s="20" t="s">
        <v>877</v>
      </c>
      <c r="B3081" s="27" t="s">
        <v>1104</v>
      </c>
      <c r="C3081" s="27" t="s">
        <v>879</v>
      </c>
      <c r="E3081" s="21">
        <f>IF(D3081="?OLD","!!!","")</f>
        <v/>
      </c>
      <c r="F3081" s="22" t="str">
        <f>IF(OR(E3081="",E3081="!!!"),"",IF(NOT(ISNA(VLOOKUP(E3081,E$1:E3080,1,FALSE()))),"OLD",IF(AND(E3081&lt;&gt;"",E3081&lt;&gt;"!!!"),"NEW","")))</f>
        <v> </v>
      </c>
      <c r="G3081" s="23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4" t="str">
        <f>IF(J3081&lt;&gt;1,"",IF(I3081="SBJ","CB","?"))</f>
        <v> </v>
      </c>
      <c r="I3081" s="25" t="str">
        <f>IF(OR(E3081="",E3081="!!!",F3081="NEW"),"",INDEX(B3080:B$2,-1+SUMPRODUCT(MAX(ROW(E3080:E$2)*(E3081=E3080:E$2)))))</f>
        <v> </v>
      </c>
      <c r="J3081" s="25" t="str">
        <f>IF(OR(E3081="",E3081="!!!",F3081="NEW"),"",COUNTBLANK(OFFSET(A$1,,,SUMPRODUCT(MAX(ROW(E$2:E3081)*(E3081=E$2:E3081)))))-COUNTBLANK(OFFSET(A$1,,,SUMPRODUCT(MAX(ROW(E$1:E3080)*(E2=E$1:E3080))))))</f>
        <v> </v>
      </c>
      <c r="K3081" s="25" t="str">
        <f>IF(OR(E3081="",E3081="!!!",F3081="NEW"),"",INDEX(J$1:J3080,SUMPRODUCT(MAX(ROW(E$1:E3080)*(E3081=E$1:E3080)))))</f>
        <v> </v>
      </c>
      <c r="L3081" s="26"/>
    </row>
    <row r="3082" spans="1:12">
      <c r="A3082" s="20" t="s">
        <v>2150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2151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2152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2153</v>
      </c>
      <c r="B3085" s="27" t="s">
        <v>2125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797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 t="s">
        <v>825</v>
      </c>
      <c r="E3087" s="21">
        <f>IF(D3087="?OLD","!!!","")</f>
        <v/>
      </c>
      <c r="F3087" s="22" t="str">
        <f>IF(OR(E3087="",E3087="!!!"),"",IF(NOT(ISNA(VLOOKUP(E3087,E$1:E3086,1,FALSE()))),"OLD",IF(AND(E3087&lt;&gt;"",E3087&lt;&gt;"!!!"),"NEW","")))</f>
        <v> </v>
      </c>
      <c r="G3087" s="23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4" t="str">
        <f>IF(J3087&lt;&gt;1,"",IF(I3087="SBJ","CB","?"))</f>
        <v> </v>
      </c>
      <c r="I3087" s="25" t="str">
        <f>IF(OR(E3087="",E3087="!!!",F3087="NEW"),"",INDEX(B3086:B$2,-1+SUMPRODUCT(MAX(ROW(E3086:E$2)*(E3087=E3086:E$2)))))</f>
        <v> </v>
      </c>
      <c r="J3087" s="25" t="str">
        <f>IF(OR(E3087="",E3087="!!!",F3087="NEW"),"",COUNTBLANK(OFFSET(A$1,,,SUMPRODUCT(MAX(ROW(E$2:E3087)*(E3087=E$2:E3087)))))-COUNTBLANK(OFFSET(A$1,,,SUMPRODUCT(MAX(ROW(E$1:E3086)*(E2=E$1:E3086))))))</f>
        <v> </v>
      </c>
      <c r="K3087" s="25" t="str">
        <f>IF(OR(E3087="",E3087="!!!",F3087="NEW"),"",INDEX(J$1:J3086,SUMPRODUCT(MAX(ROW(E$1:E3086)*(E3087=E$1:E3086)))))</f>
        <v> </v>
      </c>
      <c r="L3087" s="26"/>
    </row>
    <row r="3088" spans="1:12">
      <c r="A3088" s="20" t="s">
        <v>821</v>
      </c>
      <c r="E3088" s="21">
        <f>IF(D3088="?OLD","!!!","")</f>
        <v/>
      </c>
      <c r="F3088" s="22" t="str">
        <f>IF(OR(E3088="",E3088="!!!"),"",IF(NOT(ISNA(VLOOKUP(E3088,E$1:E3087,1,FALSE()))),"OLD",IF(AND(E3088&lt;&gt;"",E3088&lt;&gt;"!!!"),"NEW","")))</f>
        <v> </v>
      </c>
      <c r="G3088" s="23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4" t="str">
        <f>IF(J3088&lt;&gt;1,"",IF(I3088="SBJ","CB","?"))</f>
        <v> </v>
      </c>
      <c r="I3088" s="25" t="str">
        <f>IF(OR(E3088="",E3088="!!!",F3088="NEW"),"",INDEX(B3087:B$2,-1+SUMPRODUCT(MAX(ROW(E3087:E$2)*(E3088=E3087:E$2)))))</f>
        <v> </v>
      </c>
      <c r="J3088" s="25" t="str">
        <f>IF(OR(E3088="",E3088="!!!",F3088="NEW"),"",COUNTBLANK(OFFSET(A$1,,,SUMPRODUCT(MAX(ROW(E$2:E3088)*(E3088=E$2:E3088)))))-COUNTBLANK(OFFSET(A$1,,,SUMPRODUCT(MAX(ROW(E$1:E3087)*(E2=E$1:E3087))))))</f>
        <v> </v>
      </c>
      <c r="K3088" s="25" t="str">
        <f>IF(OR(E3088="",E3088="!!!",F3088="NEW"),"",INDEX(J$1:J3087,SUMPRODUCT(MAX(ROW(E$1:E3087)*(E3088=E$1:E3087)))))</f>
        <v> </v>
      </c>
      <c r="L3088" s="26"/>
    </row>
    <row r="3089" spans="1:12">
      <c r="A3089" s="20" t="s">
        <v>1989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1631</v>
      </c>
      <c r="B3090" s="27" t="s">
        <v>1665</v>
      </c>
      <c r="C3090" s="27" t="s">
        <v>843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795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 t="s">
        <v>837</v>
      </c>
      <c r="E3092" s="21">
        <f>IF(D3092="?OLD","!!!","")</f>
        <v/>
      </c>
      <c r="F3092" s="22" t="str">
        <f>IF(OR(E3092="",E3092="!!!"),"",IF(NOT(ISNA(VLOOKUP(E3092,E$1:E3091,1,FALSE()))),"OLD",IF(AND(E3092&lt;&gt;"",E3092&lt;&gt;"!!!"),"NEW","")))</f>
        <v> </v>
      </c>
      <c r="G3092" s="23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4" t="str">
        <f>IF(J3092&lt;&gt;1,"",IF(I3092="SBJ","CB","?"))</f>
        <v> </v>
      </c>
      <c r="I3092" s="25" t="str">
        <f>IF(OR(E3092="",E3092="!!!",F3092="NEW"),"",INDEX(B3091:B$2,-1+SUMPRODUCT(MAX(ROW(E3091:E$2)*(E3092=E3091:E$2)))))</f>
        <v> </v>
      </c>
      <c r="J3092" s="25" t="str">
        <f>IF(OR(E3092="",E3092="!!!",F3092="NEW"),"",COUNTBLANK(OFFSET(A$1,,,SUMPRODUCT(MAX(ROW(E$2:E3092)*(E3092=E$2:E3092)))))-COUNTBLANK(OFFSET(A$1,,,SUMPRODUCT(MAX(ROW(E$1:E3091)*(E2=E$1:E3091))))))</f>
        <v> </v>
      </c>
      <c r="K3092" s="25" t="str">
        <f>IF(OR(E3092="",E3092="!!!",F3092="NEW"),"",INDEX(J$1:J3091,SUMPRODUCT(MAX(ROW(E$1:E3091)*(E3092=E$1:E3091)))))</f>
        <v> </v>
      </c>
      <c r="L3092" s="26"/>
    </row>
    <row r="3093" spans="1:12">
      <c r="A3093" s="20" t="s">
        <v>2154</v>
      </c>
      <c r="E3093" s="21">
        <f>IF(D3093="?OLD","!!!","")</f>
        <v/>
      </c>
      <c r="F3093" s="22" t="str">
        <f>IF(OR(E3093="",E3093="!!!"),"",IF(NOT(ISNA(VLOOKUP(E3093,E$1:E3092,1,FALSE()))),"OLD",IF(AND(E3093&lt;&gt;"",E3093&lt;&gt;"!!!"),"NEW","")))</f>
        <v> </v>
      </c>
      <c r="G3093" s="23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4" t="str">
        <f>IF(J3093&lt;&gt;1,"",IF(I3093="SBJ","CB","?"))</f>
        <v> </v>
      </c>
      <c r="I3093" s="25" t="str">
        <f>IF(OR(E3093="",E3093="!!!",F3093="NEW"),"",INDEX(B3092:B$2,-1+SUMPRODUCT(MAX(ROW(E3092:E$2)*(E3093=E3092:E$2)))))</f>
        <v> </v>
      </c>
      <c r="J3093" s="25" t="str">
        <f>IF(OR(E3093="",E3093="!!!",F3093="NEW"),"",COUNTBLANK(OFFSET(A$1,,,SUMPRODUCT(MAX(ROW(E$2:E3093)*(E3093=E$2:E3093)))))-COUNTBLANK(OFFSET(A$1,,,SUMPRODUCT(MAX(ROW(E$1:E3092)*(E2=E$1:E3092))))))</f>
        <v> </v>
      </c>
      <c r="K3093" s="25" t="str">
        <f>IF(OR(E3093="",E3093="!!!",F3093="NEW"),"",INDEX(J$1:J3092,SUMPRODUCT(MAX(ROW(E$1:E3092)*(E3093=E$1:E3092)))))</f>
        <v> </v>
      </c>
      <c r="L3093" s="26"/>
    </row>
    <row r="3094" spans="1:12">
      <c r="A3094" s="20" t="s">
        <v>911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2123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 t="s">
        <v>2155</v>
      </c>
      <c r="B3096" s="27" t="s">
        <v>2156</v>
      </c>
      <c r="C3096" s="27" t="s">
        <v>1095</v>
      </c>
      <c r="D3096" s="27" t="s">
        <v>801</v>
      </c>
      <c r="E3096" s="21">
        <f>IF(D3096="?OLD","!!!","")</f>
        <v/>
      </c>
      <c r="F3096" s="22" t="str">
        <f>IF(OR(E3096="",E3096="!!!"),"",IF(NOT(ISNA(VLOOKUP(E3096,E$1:E3095,1,FALSE()))),"OLD",IF(AND(E3096&lt;&gt;"",E3096&lt;&gt;"!!!"),"NEW","")))</f>
        <v> </v>
      </c>
      <c r="G3096" s="23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4" t="str">
        <f>IF(J3096&lt;&gt;1,"",IF(I3096="SBJ","CB","?"))</f>
        <v> </v>
      </c>
      <c r="I3096" s="25" t="str">
        <f>IF(OR(E3096="",E3096="!!!",F3096="NEW"),"",INDEX(B3095:B$2,-1+SUMPRODUCT(MAX(ROW(E3095:E$2)*(E3096=E3095:E$2)))))</f>
        <v> </v>
      </c>
      <c r="J3096" s="25" t="str">
        <f>IF(OR(E3096="",E3096="!!!",F3096="NEW"),"",COUNTBLANK(OFFSET(A$1,,,SUMPRODUCT(MAX(ROW(E$2:E3096)*(E3096=E$2:E3096)))))-COUNTBLANK(OFFSET(A$1,,,SUMPRODUCT(MAX(ROW(E$1:E3095)*(E2=E$1:E3095))))))</f>
        <v> </v>
      </c>
      <c r="K3096" s="25" t="str">
        <f>IF(OR(E3096="",E3096="!!!",F3096="NEW"),"",INDEX(J$1:J3095,SUMPRODUCT(MAX(ROW(E$1:E3095)*(E3096=E$1:E3095)))))</f>
        <v> </v>
      </c>
      <c r="L3096" s="26"/>
    </row>
    <row r="3097" spans="1:12">
      <c r="A3097" s="20" t="s">
        <v>803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/>
    </row>
    <row r="3099" spans="1:12">
      <c r="A3099" s="20" t="s">
        <v>2157</v>
      </c>
    </row>
    <row r="3100" spans="1:12">
      <c r="A3100" s="20" t="s">
        <v>934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 t="s">
        <v>791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1713</v>
      </c>
      <c r="B3102" s="27" t="s">
        <v>849</v>
      </c>
      <c r="C3102" s="27" t="s">
        <v>816</v>
      </c>
      <c r="D3102" s="27" t="s">
        <v>801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2158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860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 t="s">
        <v>872</v>
      </c>
      <c r="B3105" s="27" t="s">
        <v>857</v>
      </c>
      <c r="C3105" s="27" t="s">
        <v>800</v>
      </c>
      <c r="D3105" s="27" t="s">
        <v>801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 t="s">
        <v>795</v>
      </c>
      <c r="E3106" s="21">
        <f>IF(D3106="?OLD","!!!","")</f>
        <v/>
      </c>
      <c r="F3106" s="22" t="str">
        <f>IF(OR(E3106="",E3106="!!!"),"",IF(NOT(ISNA(VLOOKUP(E3106,E$1:E3105,1,FALSE()))),"OLD",IF(AND(E3106&lt;&gt;"",E3106&lt;&gt;"!!!"),"NEW","")))</f>
        <v> </v>
      </c>
      <c r="G3106" s="23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4" t="str">
        <f>IF(J3106&lt;&gt;1,"",IF(I3106="SBJ","CB","?"))</f>
        <v> </v>
      </c>
      <c r="I3106" s="25" t="str">
        <f>IF(OR(E3106="",E3106="!!!",F3106="NEW"),"",INDEX(B3105:B$2,-1+SUMPRODUCT(MAX(ROW(E3105:E$2)*(E3106=E3105:E$2)))))</f>
        <v> </v>
      </c>
      <c r="J3106" s="25" t="str">
        <f>IF(OR(E3106="",E3106="!!!",F3106="NEW"),"",COUNTBLANK(OFFSET(A$1,,,SUMPRODUCT(MAX(ROW(E$2:E3106)*(E3106=E$2:E3106)))))-COUNTBLANK(OFFSET(A$1,,,SUMPRODUCT(MAX(ROW(E$1:E3105)*(E2=E$1:E3105))))))</f>
        <v> </v>
      </c>
      <c r="K3106" s="25" t="str">
        <f>IF(OR(E3106="",E3106="!!!",F3106="NEW"),"",INDEX(J$1:J3105,SUMPRODUCT(MAX(ROW(E$1:E3105)*(E3106=E$1:E3105)))))</f>
        <v> </v>
      </c>
      <c r="L3106" s="26"/>
    </row>
    <row r="3107" spans="1:12">
      <c r="A3107" s="20" t="s">
        <v>877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2159</v>
      </c>
      <c r="B3108" s="27" t="s">
        <v>943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2160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2161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2162</v>
      </c>
      <c r="B3111" s="27" t="s">
        <v>1480</v>
      </c>
      <c r="C3111" s="27" t="s">
        <v>896</v>
      </c>
      <c r="D3111" s="27" t="s">
        <v>801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2163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1464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1310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825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882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 t="s">
        <v>59</v>
      </c>
      <c r="B3117" s="27" t="s">
        <v>846</v>
      </c>
      <c r="C3117" s="27" t="s">
        <v>800</v>
      </c>
      <c r="D3117" s="27" t="s">
        <v>801</v>
      </c>
      <c r="E3117" s="21">
        <f>IF(D3117="?OLD","!!!","")</f>
        <v/>
      </c>
      <c r="F3117" s="22" t="str">
        <f>IF(OR(E3117="",E3117="!!!"),"",IF(NOT(ISNA(VLOOKUP(E3117,E$1:E3116,1,FALSE()))),"OLD",IF(AND(E3117&lt;&gt;"",E3117&lt;&gt;"!!!"),"NEW","")))</f>
        <v> </v>
      </c>
      <c r="G3117" s="23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4" t="str">
        <f>IF(J3117&lt;&gt;1,"",IF(I3117="SBJ","CB","?"))</f>
        <v> </v>
      </c>
      <c r="I3117" s="25" t="str">
        <f>IF(OR(E3117="",E3117="!!!",F3117="NEW"),"",INDEX(B3116:B$2,-1+SUMPRODUCT(MAX(ROW(E3116:E$2)*(E3117=E3116:E$2)))))</f>
        <v> </v>
      </c>
      <c r="J3117" s="25" t="str">
        <f>IF(OR(E3117="",E3117="!!!",F3117="NEW"),"",COUNTBLANK(OFFSET(A$1,,,SUMPRODUCT(MAX(ROW(E$2:E3117)*(E3117=E$2:E3117)))))-COUNTBLANK(OFFSET(A$1,,,SUMPRODUCT(MAX(ROW(E$1:E3116)*(E2=E$1:E3116))))))</f>
        <v> </v>
      </c>
      <c r="K3117" s="25" t="str">
        <f>IF(OR(E3117="",E3117="!!!",F3117="NEW"),"",INDEX(J$1:J3116,SUMPRODUCT(MAX(ROW(E$1:E3116)*(E3117=E$1:E3116)))))</f>
        <v> </v>
      </c>
      <c r="L3117" s="26"/>
    </row>
    <row r="3118" spans="1:12">
      <c r="A3118" s="20" t="s">
        <v>795</v>
      </c>
      <c r="E3118" s="21">
        <f>IF(D3118="?OLD","!!!","")</f>
        <v/>
      </c>
      <c r="F3118" s="22" t="str">
        <f>IF(OR(E3118="",E3118="!!!"),"",IF(NOT(ISNA(VLOOKUP(E3118,E$1:E3117,1,FALSE()))),"OLD",IF(AND(E3118&lt;&gt;"",E3118&lt;&gt;"!!!"),"NEW","")))</f>
        <v> </v>
      </c>
      <c r="G3118" s="23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4" t="str">
        <f>IF(J3118&lt;&gt;1,"",IF(I3118="SBJ","CB","?"))</f>
        <v> </v>
      </c>
      <c r="I3118" s="25" t="str">
        <f>IF(OR(E3118="",E3118="!!!",F3118="NEW"),"",INDEX(B3117:B$2,-1+SUMPRODUCT(MAX(ROW(E3117:E$2)*(E3118=E3117:E$2)))))</f>
        <v> </v>
      </c>
      <c r="J3118" s="25" t="str">
        <f>IF(OR(E3118="",E3118="!!!",F3118="NEW"),"",COUNTBLANK(OFFSET(A$1,,,SUMPRODUCT(MAX(ROW(E$2:E3118)*(E3118=E$2:E3118)))))-COUNTBLANK(OFFSET(A$1,,,SUMPRODUCT(MAX(ROW(E$1:E3117)*(E2=E$1:E3117))))))</f>
        <v> </v>
      </c>
      <c r="K3118" s="25" t="str">
        <f>IF(OR(E3118="",E3118="!!!",F3118="NEW"),"",INDEX(J$1:J3117,SUMPRODUCT(MAX(ROW(E$1:E3117)*(E3118=E$1:E3117)))))</f>
        <v> </v>
      </c>
      <c r="L3118" s="26"/>
    </row>
    <row r="3119" spans="1:12">
      <c r="A3119" s="20" t="s">
        <v>827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2164</v>
      </c>
      <c r="B3120" s="27" t="s">
        <v>829</v>
      </c>
      <c r="C3120" s="27" t="s">
        <v>879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2165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1046</v>
      </c>
      <c r="B3122" s="27" t="s">
        <v>878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795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1713</v>
      </c>
      <c r="B3124" s="27" t="s">
        <v>799</v>
      </c>
      <c r="C3124" s="27" t="s">
        <v>816</v>
      </c>
      <c r="D3124" s="27" t="s">
        <v>801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2166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795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877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 t="s">
        <v>798</v>
      </c>
      <c r="B3128" s="27" t="s">
        <v>849</v>
      </c>
      <c r="C3128" s="27" t="s">
        <v>800</v>
      </c>
      <c r="D3128" s="27" t="s">
        <v>801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 t="s">
        <v>2167</v>
      </c>
      <c r="E3129" s="21">
        <f>IF(D3129="?OLD","!!!","")</f>
        <v/>
      </c>
      <c r="F3129" s="22" t="str">
        <f>IF(OR(E3129="",E3129="!!!"),"",IF(NOT(ISNA(VLOOKUP(E3129,E$1:E3128,1,FALSE()))),"OLD",IF(AND(E3129&lt;&gt;"",E3129&lt;&gt;"!!!"),"NEW","")))</f>
        <v> </v>
      </c>
      <c r="G3129" s="23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4" t="str">
        <f>IF(J3129&lt;&gt;1,"",IF(I3129="SBJ","CB","?"))</f>
        <v> </v>
      </c>
      <c r="I3129" s="25" t="str">
        <f>IF(OR(E3129="",E3129="!!!",F3129="NEW"),"",INDEX(B3128:B$2,-1+SUMPRODUCT(MAX(ROW(E3128:E$2)*(E3129=E3128:E$2)))))</f>
        <v> </v>
      </c>
      <c r="J3129" s="25" t="str">
        <f>IF(OR(E3129="",E3129="!!!",F3129="NEW"),"",COUNTBLANK(OFFSET(A$1,,,SUMPRODUCT(MAX(ROW(E$2:E3129)*(E3129=E$2:E3129)))))-COUNTBLANK(OFFSET(A$1,,,SUMPRODUCT(MAX(ROW(E$1:E3128)*(E2=E$1:E3128))))))</f>
        <v> </v>
      </c>
      <c r="K3129" s="25" t="str">
        <f>IF(OR(E3129="",E3129="!!!",F3129="NEW"),"",INDEX(J$1:J3128,SUMPRODUCT(MAX(ROW(E$1:E3128)*(E3129=E$1:E3128)))))</f>
        <v> </v>
      </c>
      <c r="L3129" s="26"/>
    </row>
    <row r="3130" spans="1:12">
      <c r="A3130" s="20" t="s">
        <v>2168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2108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803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/>
    </row>
    <row r="3134" spans="1:12">
      <c r="A3134" s="20" t="s">
        <v>2169</v>
      </c>
    </row>
    <row r="3135" spans="1:12">
      <c r="A3135" s="20" t="s">
        <v>2170</v>
      </c>
      <c r="B3135" s="27" t="s">
        <v>799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837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872</v>
      </c>
      <c r="B3137" s="27" t="s">
        <v>842</v>
      </c>
      <c r="C3137" s="27" t="s">
        <v>800</v>
      </c>
      <c r="D3137" s="27" t="s">
        <v>801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 t="s">
        <v>795</v>
      </c>
      <c r="E3138" s="21">
        <f>IF(D3138="?OLD","!!!","")</f>
        <v/>
      </c>
      <c r="F3138" s="22" t="str">
        <f>IF(OR(E3138="",E3138="!!!"),"",IF(NOT(ISNA(VLOOKUP(E3138,E$1:E3137,1,FALSE()))),"OLD",IF(AND(E3138&lt;&gt;"",E3138&lt;&gt;"!!!"),"NEW","")))</f>
        <v> </v>
      </c>
      <c r="G3138" s="23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4" t="str">
        <f>IF(J3138&lt;&gt;1,"",IF(I3138="SBJ","CB","?"))</f>
        <v> </v>
      </c>
      <c r="I3138" s="25" t="str">
        <f>IF(OR(E3138="",E3138="!!!",F3138="NEW"),"",INDEX(B3137:B$2,-1+SUMPRODUCT(MAX(ROW(E3137:E$2)*(E3138=E3137:E$2)))))</f>
        <v> </v>
      </c>
      <c r="J3138" s="25" t="str">
        <f>IF(OR(E3138="",E3138="!!!",F3138="NEW"),"",COUNTBLANK(OFFSET(A$1,,,SUMPRODUCT(MAX(ROW(E$2:E3138)*(E3138=E$2:E3138)))))-COUNTBLANK(OFFSET(A$1,,,SUMPRODUCT(MAX(ROW(E$1:E3137)*(E2=E$1:E3137))))))</f>
        <v> </v>
      </c>
      <c r="K3138" s="25" t="str">
        <f>IF(OR(E3138="",E3138="!!!",F3138="NEW"),"",INDEX(J$1:J3137,SUMPRODUCT(MAX(ROW(E$1:E3137)*(E3138=E$1:E3137)))))</f>
        <v> </v>
      </c>
      <c r="L3138" s="26"/>
    </row>
    <row r="3139" spans="1:12">
      <c r="A3139" s="20" t="s">
        <v>877</v>
      </c>
      <c r="E3139" s="21">
        <f>IF(D3139="?OLD","!!!","")</f>
        <v/>
      </c>
      <c r="F3139" s="22" t="str">
        <f>IF(OR(E3139="",E3139="!!!"),"",IF(NOT(ISNA(VLOOKUP(E3139,E$1:E3138,1,FALSE()))),"OLD",IF(AND(E3139&lt;&gt;"",E3139&lt;&gt;"!!!"),"NEW","")))</f>
        <v> </v>
      </c>
      <c r="G3139" s="23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4" t="str">
        <f>IF(J3139&lt;&gt;1,"",IF(I3139="SBJ","CB","?"))</f>
        <v> </v>
      </c>
      <c r="I3139" s="25" t="str">
        <f>IF(OR(E3139="",E3139="!!!",F3139="NEW"),"",INDEX(B3138:B$2,-1+SUMPRODUCT(MAX(ROW(E3138:E$2)*(E3139=E3138:E$2)))))</f>
        <v> </v>
      </c>
      <c r="J3139" s="25" t="str">
        <f>IF(OR(E3139="",E3139="!!!",F3139="NEW"),"",COUNTBLANK(OFFSET(A$1,,,SUMPRODUCT(MAX(ROW(E$2:E3139)*(E3139=E$2:E3139)))))-COUNTBLANK(OFFSET(A$1,,,SUMPRODUCT(MAX(ROW(E$1:E3138)*(E2=E$1:E3138))))))</f>
        <v> </v>
      </c>
      <c r="K3139" s="25" t="str">
        <f>IF(OR(E3139="",E3139="!!!",F3139="NEW"),"",INDEX(J$1:J3138,SUMPRODUCT(MAX(ROW(E$1:E3138)*(E3139=E$1:E3138)))))</f>
        <v> </v>
      </c>
      <c r="L3139" s="26"/>
    </row>
    <row r="3140" spans="1:12">
      <c r="A3140" s="20" t="s">
        <v>1117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1770</v>
      </c>
      <c r="B3141" s="27" t="s">
        <v>846</v>
      </c>
      <c r="C3141" s="27" t="s">
        <v>896</v>
      </c>
      <c r="D3141" s="27" t="s">
        <v>801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1312</v>
      </c>
      <c r="B3142" s="27" t="s">
        <v>849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825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 t="s">
        <v>1194</v>
      </c>
      <c r="B3144" s="27" t="s">
        <v>957</v>
      </c>
      <c r="C3144" s="27" t="s">
        <v>816</v>
      </c>
      <c r="D3144" s="27" t="s">
        <v>801</v>
      </c>
      <c r="E3144" s="21">
        <f>IF(D3144="?OLD","!!!","")</f>
        <v/>
      </c>
      <c r="F3144" s="22" t="str">
        <f>IF(OR(E3144="",E3144="!!!"),"",IF(NOT(ISNA(VLOOKUP(E3144,E$1:E3143,1,FALSE()))),"OLD",IF(AND(E3144&lt;&gt;"",E3144&lt;&gt;"!!!"),"NEW","")))</f>
        <v> </v>
      </c>
      <c r="G3144" s="23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4" t="str">
        <f>IF(J3144&lt;&gt;1,"",IF(I3144="SBJ","CB","?"))</f>
        <v> </v>
      </c>
      <c r="I3144" s="25" t="str">
        <f>IF(OR(E3144="",E3144="!!!",F3144="NEW"),"",INDEX(B3143:B$2,-1+SUMPRODUCT(MAX(ROW(E3143:E$2)*(E3144=E3143:E$2)))))</f>
        <v> </v>
      </c>
      <c r="J3144" s="25" t="str">
        <f>IF(OR(E3144="",E3144="!!!",F3144="NEW"),"",COUNTBLANK(OFFSET(A$1,,,SUMPRODUCT(MAX(ROW(E$2:E3144)*(E3144=E$2:E3144)))))-COUNTBLANK(OFFSET(A$1,,,SUMPRODUCT(MAX(ROW(E$1:E3143)*(E2=E$1:E3143))))))</f>
        <v> </v>
      </c>
      <c r="K3144" s="25" t="str">
        <f>IF(OR(E3144="",E3144="!!!",F3144="NEW"),"",INDEX(J$1:J3143,SUMPRODUCT(MAX(ROW(E$1:E3143)*(E3144=E$1:E3143)))))</f>
        <v> </v>
      </c>
      <c r="L3144" s="26"/>
    </row>
    <row r="3145" spans="1:12">
      <c r="A3145" s="20" t="s">
        <v>2159</v>
      </c>
      <c r="B3145" s="27" t="s">
        <v>846</v>
      </c>
      <c r="C3145" s="27" t="s">
        <v>855</v>
      </c>
      <c r="D3145" s="27" t="s">
        <v>801</v>
      </c>
      <c r="E3145" s="21">
        <f>IF(D3145="?OLD","!!!","")</f>
        <v/>
      </c>
      <c r="F3145" s="22" t="str">
        <f>IF(OR(E3145="",E3145="!!!"),"",IF(NOT(ISNA(VLOOKUP(E3145,E$1:E3144,1,FALSE()))),"OLD",IF(AND(E3145&lt;&gt;"",E3145&lt;&gt;"!!!"),"NEW","")))</f>
        <v> </v>
      </c>
      <c r="G3145" s="23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4" t="str">
        <f>IF(J3145&lt;&gt;1,"",IF(I3145="SBJ","CB","?"))</f>
        <v> </v>
      </c>
      <c r="I3145" s="25" t="str">
        <f>IF(OR(E3145="",E3145="!!!",F3145="NEW"),"",INDEX(B3144:B$2,-1+SUMPRODUCT(MAX(ROW(E3144:E$2)*(E3145=E3144:E$2)))))</f>
        <v> </v>
      </c>
      <c r="J3145" s="25" t="str">
        <f>IF(OR(E3145="",E3145="!!!",F3145="NEW"),"",COUNTBLANK(OFFSET(A$1,,,SUMPRODUCT(MAX(ROW(E$2:E3145)*(E3145=E$2:E3145)))))-COUNTBLANK(OFFSET(A$1,,,SUMPRODUCT(MAX(ROW(E$1:E3144)*(E2=E$1:E3144))))))</f>
        <v> </v>
      </c>
      <c r="K3145" s="25" t="str">
        <f>IF(OR(E3145="",E3145="!!!",F3145="NEW"),"",INDEX(J$1:J3144,SUMPRODUCT(MAX(ROW(E$1:E3144)*(E3145=E$1:E3144)))))</f>
        <v> </v>
      </c>
      <c r="L3145" s="26"/>
    </row>
    <row r="3146" spans="1:12">
      <c r="A3146" s="20" t="s">
        <v>2171</v>
      </c>
      <c r="E3146" s="21">
        <f>IF(D3146="?OLD","!!!","")</f>
        <v/>
      </c>
      <c r="F3146" s="22" t="str">
        <f>IF(OR(E3146="",E3146="!!!"),"",IF(NOT(ISNA(VLOOKUP(E3146,E$1:E3145,1,FALSE()))),"OLD",IF(AND(E3146&lt;&gt;"",E3146&lt;&gt;"!!!"),"NEW","")))</f>
        <v> </v>
      </c>
      <c r="G3146" s="23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4" t="str">
        <f>IF(J3146&lt;&gt;1,"",IF(I3146="SBJ","CB","?"))</f>
        <v> </v>
      </c>
      <c r="I3146" s="25" t="str">
        <f>IF(OR(E3146="",E3146="!!!",F3146="NEW"),"",INDEX(B3145:B$2,-1+SUMPRODUCT(MAX(ROW(E3145:E$2)*(E3146=E3145:E$2)))))</f>
        <v> </v>
      </c>
      <c r="J3146" s="25" t="str">
        <f>IF(OR(E3146="",E3146="!!!",F3146="NEW"),"",COUNTBLANK(OFFSET(A$1,,,SUMPRODUCT(MAX(ROW(E$2:E3146)*(E3146=E$2:E3146)))))-COUNTBLANK(OFFSET(A$1,,,SUMPRODUCT(MAX(ROW(E$1:E3145)*(E2=E$1:E3145))))))</f>
        <v> </v>
      </c>
      <c r="K3146" s="25" t="str">
        <f>IF(OR(E3146="",E3146="!!!",F3146="NEW"),"",INDEX(J$1:J3145,SUMPRODUCT(MAX(ROW(E$1:E3145)*(E3146=E$1:E3145)))))</f>
        <v> </v>
      </c>
      <c r="L3146" s="26"/>
    </row>
    <row r="3147" spans="1:12">
      <c r="A3147" s="20" t="s">
        <v>912</v>
      </c>
      <c r="B3147" s="27" t="s">
        <v>891</v>
      </c>
      <c r="C3147" s="27" t="s">
        <v>816</v>
      </c>
      <c r="D3147" s="27" t="s">
        <v>801</v>
      </c>
      <c r="E3147" s="21">
        <f>IF(D3147="?OLD","!!!","")</f>
        <v/>
      </c>
      <c r="F3147" s="22" t="str">
        <f>IF(OR(E3147="",E3147="!!!"),"",IF(NOT(ISNA(VLOOKUP(E3147,E$1:E3146,1,FALSE()))),"OLD",IF(AND(E3147&lt;&gt;"",E3147&lt;&gt;"!!!"),"NEW","")))</f>
        <v> </v>
      </c>
      <c r="G3147" s="23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4" t="str">
        <f>IF(J3147&lt;&gt;1,"",IF(I3147="SBJ","CB","?"))</f>
        <v> </v>
      </c>
      <c r="I3147" s="25" t="str">
        <f>IF(OR(E3147="",E3147="!!!",F3147="NEW"),"",INDEX(B3146:B$2,-1+SUMPRODUCT(MAX(ROW(E3146:E$2)*(E3147=E3146:E$2)))))</f>
        <v> </v>
      </c>
      <c r="J3147" s="25" t="str">
        <f>IF(OR(E3147="",E3147="!!!",F3147="NEW"),"",COUNTBLANK(OFFSET(A$1,,,SUMPRODUCT(MAX(ROW(E$2:E3147)*(E3147=E$2:E3147)))))-COUNTBLANK(OFFSET(A$1,,,SUMPRODUCT(MAX(ROW(E$1:E3146)*(E2=E$1:E3146))))))</f>
        <v> </v>
      </c>
      <c r="K3147" s="25" t="str">
        <f>IF(OR(E3147="",E3147="!!!",F3147="NEW"),"",INDEX(J$1:J3146,SUMPRODUCT(MAX(ROW(E$1:E3146)*(E3147=E$1:E3146)))))</f>
        <v> </v>
      </c>
      <c r="L3147" s="26"/>
    </row>
    <row r="3148" spans="1:12">
      <c r="A3148" s="20" t="s">
        <v>803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/>
    </row>
    <row r="3150" spans="1:12">
      <c r="A3150" s="20" t="s">
        <v>2172</v>
      </c>
    </row>
    <row r="3151" spans="1:12">
      <c r="A3151" s="20" t="s">
        <v>1016</v>
      </c>
      <c r="B3151" s="27" t="s">
        <v>799</v>
      </c>
      <c r="C3151" s="27" t="s">
        <v>816</v>
      </c>
      <c r="D3151" s="27" t="s">
        <v>801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 t="s">
        <v>2173</v>
      </c>
      <c r="E3152" s="21">
        <f>IF(D3152="?OLD","!!!","")</f>
        <v/>
      </c>
      <c r="F3152" s="22" t="str">
        <f>IF(OR(E3152="",E3152="!!!"),"",IF(NOT(ISNA(VLOOKUP(E3152,E$1:E3151,1,FALSE()))),"OLD",IF(AND(E3152&lt;&gt;"",E3152&lt;&gt;"!!!"),"NEW","")))</f>
        <v> </v>
      </c>
      <c r="G3152" s="23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4" t="str">
        <f>IF(J3152&lt;&gt;1,"",IF(I3152="SBJ","CB","?"))</f>
        <v> </v>
      </c>
      <c r="I3152" s="25" t="str">
        <f>IF(OR(E3152="",E3152="!!!",F3152="NEW"),"",INDEX(B3151:B$2,-1+SUMPRODUCT(MAX(ROW(E3151:E$2)*(E3152=E3151:E$2)))))</f>
        <v> </v>
      </c>
      <c r="J3152" s="25" t="str">
        <f>IF(OR(E3152="",E3152="!!!",F3152="NEW"),"",COUNTBLANK(OFFSET(A$1,,,SUMPRODUCT(MAX(ROW(E$2:E3152)*(E3152=E$2:E3152)))))-COUNTBLANK(OFFSET(A$1,,,SUMPRODUCT(MAX(ROW(E$1:E3151)*(E2=E$1:E3151))))))</f>
        <v> </v>
      </c>
      <c r="K3152" s="25" t="str">
        <f>IF(OR(E3152="",E3152="!!!",F3152="NEW"),"",INDEX(J$1:J3151,SUMPRODUCT(MAX(ROW(E$1:E3151)*(E3152=E$1:E3151)))))</f>
        <v> </v>
      </c>
      <c r="L3152" s="26"/>
    </row>
    <row r="3153" spans="1:12">
      <c r="A3153" s="20" t="s">
        <v>1021</v>
      </c>
      <c r="E3153" s="21">
        <f>IF(D3153="?OLD","!!!","")</f>
        <v/>
      </c>
      <c r="F3153" s="22" t="str">
        <f>IF(OR(E3153="",E3153="!!!"),"",IF(NOT(ISNA(VLOOKUP(E3153,E$1:E3152,1,FALSE()))),"OLD",IF(AND(E3153&lt;&gt;"",E3153&lt;&gt;"!!!"),"NEW","")))</f>
        <v> </v>
      </c>
      <c r="G3153" s="23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4" t="str">
        <f>IF(J3153&lt;&gt;1,"",IF(I3153="SBJ","CB","?"))</f>
        <v> </v>
      </c>
      <c r="I3153" s="25" t="str">
        <f>IF(OR(E3153="",E3153="!!!",F3153="NEW"),"",INDEX(B3152:B$2,-1+SUMPRODUCT(MAX(ROW(E3152:E$2)*(E3153=E3152:E$2)))))</f>
        <v> </v>
      </c>
      <c r="J3153" s="25" t="str">
        <f>IF(OR(E3153="",E3153="!!!",F3153="NEW"),"",COUNTBLANK(OFFSET(A$1,,,SUMPRODUCT(MAX(ROW(E$2:E3153)*(E3153=E$2:E3153)))))-COUNTBLANK(OFFSET(A$1,,,SUMPRODUCT(MAX(ROW(E$1:E3152)*(E2=E$1:E3152))))))</f>
        <v> </v>
      </c>
      <c r="K3153" s="25" t="str">
        <f>IF(OR(E3153="",E3153="!!!",F3153="NEW"),"",INDEX(J$1:J3152,SUMPRODUCT(MAX(ROW(E$1:E3152)*(E3153=E$1:E3152)))))</f>
        <v> </v>
      </c>
      <c r="L3153" s="26"/>
    </row>
    <row r="3154" spans="1:12">
      <c r="A3154" s="20" t="s">
        <v>1405</v>
      </c>
      <c r="E3154" s="21">
        <f>IF(D3154="?OLD","!!!","")</f>
        <v/>
      </c>
      <c r="F3154" s="22" t="str">
        <f>IF(OR(E3154="",E3154="!!!"),"",IF(NOT(ISNA(VLOOKUP(E3154,E$1:E3153,1,FALSE()))),"OLD",IF(AND(E3154&lt;&gt;"",E3154&lt;&gt;"!!!"),"NEW","")))</f>
        <v> </v>
      </c>
      <c r="G3154" s="23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4" t="str">
        <f>IF(J3154&lt;&gt;1,"",IF(I3154="SBJ","CB","?"))</f>
        <v> </v>
      </c>
      <c r="I3154" s="25" t="str">
        <f>IF(OR(E3154="",E3154="!!!",F3154="NEW"),"",INDEX(B3153:B$2,-1+SUMPRODUCT(MAX(ROW(E3153:E$2)*(E3154=E3153:E$2)))))</f>
        <v> </v>
      </c>
      <c r="J3154" s="25" t="str">
        <f>IF(OR(E3154="",E3154="!!!",F3154="NEW"),"",COUNTBLANK(OFFSET(A$1,,,SUMPRODUCT(MAX(ROW(E$2:E3154)*(E3154=E$2:E3154)))))-COUNTBLANK(OFFSET(A$1,,,SUMPRODUCT(MAX(ROW(E$1:E3153)*(E2=E$1:E3153))))))</f>
        <v> </v>
      </c>
      <c r="K3154" s="25" t="str">
        <f>IF(OR(E3154="",E3154="!!!",F3154="NEW"),"",INDEX(J$1:J3153,SUMPRODUCT(MAX(ROW(E$1:E3153)*(E3154=E$1:E3153)))))</f>
        <v> </v>
      </c>
      <c r="L3154" s="26"/>
    </row>
    <row r="3155" spans="1:12">
      <c r="A3155" s="20" t="s">
        <v>837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 t="s">
        <v>59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 t="s">
        <v>1351</v>
      </c>
      <c r="B3157" s="27" t="s">
        <v>846</v>
      </c>
      <c r="C3157" s="27" t="s">
        <v>1095</v>
      </c>
      <c r="D3157" s="27" t="s">
        <v>801</v>
      </c>
      <c r="E3157" s="21">
        <f>IF(D3157="?OLD","!!!","")</f>
        <v/>
      </c>
      <c r="F3157" s="22" t="str">
        <f>IF(OR(E3157="",E3157="!!!"),"",IF(NOT(ISNA(VLOOKUP(E3157,E$1:E3156,1,FALSE()))),"OLD",IF(AND(E3157&lt;&gt;"",E3157&lt;&gt;"!!!"),"NEW","")))</f>
        <v> </v>
      </c>
      <c r="G3157" s="23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4" t="str">
        <f>IF(J3157&lt;&gt;1,"",IF(I3157="SBJ","CB","?"))</f>
        <v> </v>
      </c>
      <c r="I3157" s="25" t="str">
        <f>IF(OR(E3157="",E3157="!!!",F3157="NEW"),"",INDEX(B3156:B$2,-1+SUMPRODUCT(MAX(ROW(E3156:E$2)*(E3157=E3156:E$2)))))</f>
        <v> </v>
      </c>
      <c r="J3157" s="25" t="str">
        <f>IF(OR(E3157="",E3157="!!!",F3157="NEW"),"",COUNTBLANK(OFFSET(A$1,,,SUMPRODUCT(MAX(ROW(E$2:E3157)*(E3157=E$2:E3157)))))-COUNTBLANK(OFFSET(A$1,,,SUMPRODUCT(MAX(ROW(E$1:E3156)*(E2=E$1:E3156))))))</f>
        <v> </v>
      </c>
      <c r="K3157" s="25" t="str">
        <f>IF(OR(E3157="",E3157="!!!",F3157="NEW"),"",INDEX(J$1:J3156,SUMPRODUCT(MAX(ROW(E$1:E3156)*(E3157=E$1:E3156)))))</f>
        <v> </v>
      </c>
      <c r="L3157" s="26"/>
    </row>
    <row r="3158" spans="1:12">
      <c r="A3158" s="20" t="s">
        <v>795</v>
      </c>
      <c r="E3158" s="21">
        <f>IF(D3158="?OLD","!!!","")</f>
        <v/>
      </c>
      <c r="F3158" s="22" t="str">
        <f>IF(OR(E3158="",E3158="!!!"),"",IF(NOT(ISNA(VLOOKUP(E3158,E$1:E3157,1,FALSE()))),"OLD",IF(AND(E3158&lt;&gt;"",E3158&lt;&gt;"!!!"),"NEW","")))</f>
        <v> </v>
      </c>
      <c r="G3158" s="23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4" t="str">
        <f>IF(J3158&lt;&gt;1,"",IF(I3158="SBJ","CB","?"))</f>
        <v> </v>
      </c>
      <c r="I3158" s="25" t="str">
        <f>IF(OR(E3158="",E3158="!!!",F3158="NEW"),"",INDEX(B3157:B$2,-1+SUMPRODUCT(MAX(ROW(E3157:E$2)*(E3158=E3157:E$2)))))</f>
        <v> </v>
      </c>
      <c r="J3158" s="25" t="str">
        <f>IF(OR(E3158="",E3158="!!!",F3158="NEW"),"",COUNTBLANK(OFFSET(A$1,,,SUMPRODUCT(MAX(ROW(E$2:E3158)*(E3158=E$2:E3158)))))-COUNTBLANK(OFFSET(A$1,,,SUMPRODUCT(MAX(ROW(E$1:E3157)*(E2=E$1:E3157))))))</f>
        <v> </v>
      </c>
      <c r="K3158" s="25" t="str">
        <f>IF(OR(E3158="",E3158="!!!",F3158="NEW"),"",INDEX(J$1:J3157,SUMPRODUCT(MAX(ROW(E$1:E3157)*(E3158=E$1:E3157)))))</f>
        <v> </v>
      </c>
      <c r="L3158" s="26"/>
    </row>
    <row r="3159" spans="1:12">
      <c r="A3159" s="20" t="s">
        <v>844</v>
      </c>
      <c r="E3159" s="21">
        <f>IF(D3159="?OLD","!!!","")</f>
        <v/>
      </c>
      <c r="F3159" s="22" t="str">
        <f>IF(OR(E3159="",E3159="!!!"),"",IF(NOT(ISNA(VLOOKUP(E3159,E$1:E3158,1,FALSE()))),"OLD",IF(AND(E3159&lt;&gt;"",E3159&lt;&gt;"!!!"),"NEW","")))</f>
        <v> </v>
      </c>
      <c r="G3159" s="23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4" t="str">
        <f>IF(J3159&lt;&gt;1,"",IF(I3159="SBJ","CB","?"))</f>
        <v> </v>
      </c>
      <c r="I3159" s="25" t="str">
        <f>IF(OR(E3159="",E3159="!!!",F3159="NEW"),"",INDEX(B3158:B$2,-1+SUMPRODUCT(MAX(ROW(E3158:E$2)*(E3159=E3158:E$2)))))</f>
        <v> </v>
      </c>
      <c r="J3159" s="25" t="str">
        <f>IF(OR(E3159="",E3159="!!!",F3159="NEW"),"",COUNTBLANK(OFFSET(A$1,,,SUMPRODUCT(MAX(ROW(E$2:E3159)*(E3159=E$2:E3159)))))-COUNTBLANK(OFFSET(A$1,,,SUMPRODUCT(MAX(ROW(E$1:E3158)*(E2=E$1:E3158))))))</f>
        <v> </v>
      </c>
      <c r="K3159" s="25" t="str">
        <f>IF(OR(E3159="",E3159="!!!",F3159="NEW"),"",INDEX(J$1:J3158,SUMPRODUCT(MAX(ROW(E$1:E3158)*(E3159=E$1:E3158)))))</f>
        <v> </v>
      </c>
      <c r="L3159" s="26"/>
    </row>
    <row r="3160" spans="1:12">
      <c r="A3160" s="20" t="s">
        <v>2174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1961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1053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1962</v>
      </c>
      <c r="B3163" s="27" t="s">
        <v>829</v>
      </c>
      <c r="C3163" s="27" t="s">
        <v>1095</v>
      </c>
      <c r="D3163" s="27" t="s">
        <v>801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803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/>
    </row>
    <row r="3166" spans="1:12">
      <c r="A3166" s="20" t="s">
        <v>2175</v>
      </c>
    </row>
    <row r="3167" spans="1:12">
      <c r="A3167" s="20" t="s">
        <v>2176</v>
      </c>
      <c r="B3167" s="27" t="s">
        <v>799</v>
      </c>
      <c r="E3167" s="21">
        <f>IF(D3167="?OLD","!!!","")</f>
        <v/>
      </c>
      <c r="F3167" s="22" t="str">
        <f>IF(OR(E3167="",E3167="!!!"),"",IF(NOT(ISNA(VLOOKUP(E3167,E$1:E3166,1,FALSE()))),"OLD",IF(AND(E3167&lt;&gt;"",E3167&lt;&gt;"!!!"),"NEW","")))</f>
        <v> </v>
      </c>
      <c r="G3167" s="23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4" t="str">
        <f>IF(J3167&lt;&gt;1,"",IF(I3167="SBJ","CB","?"))</f>
        <v> </v>
      </c>
      <c r="I3167" s="25" t="str">
        <f>IF(OR(E3167="",E3167="!!!",F3167="NEW"),"",INDEX(B3166:B$2,-1+SUMPRODUCT(MAX(ROW(E3166:E$2)*(E3167=E3166:E$2)))))</f>
        <v> </v>
      </c>
      <c r="J3167" s="25" t="str">
        <f>IF(OR(E3167="",E3167="!!!",F3167="NEW"),"",COUNTBLANK(OFFSET(A$1,,,SUMPRODUCT(MAX(ROW(E$2:E3167)*(E3167=E$2:E3167)))))-COUNTBLANK(OFFSET(A$1,,,SUMPRODUCT(MAX(ROW(E$1:E3166)*(E2=E$1:E3166))))))</f>
        <v> </v>
      </c>
      <c r="K3167" s="25" t="str">
        <f>IF(OR(E3167="",E3167="!!!",F3167="NEW"),"",INDEX(J$1:J3166,SUMPRODUCT(MAX(ROW(E$1:E3166)*(E3167=E$1:E3166)))))</f>
        <v> </v>
      </c>
      <c r="L3167" s="26"/>
    </row>
    <row r="3168" spans="1:12">
      <c r="A3168" s="20" t="s">
        <v>906</v>
      </c>
      <c r="E3168" s="21">
        <f>IF(D3168="?OLD","!!!","")</f>
        <v/>
      </c>
      <c r="F3168" s="22" t="str">
        <f>IF(OR(E3168="",E3168="!!!"),"",IF(NOT(ISNA(VLOOKUP(E3168,E$1:E3167,1,FALSE()))),"OLD",IF(AND(E3168&lt;&gt;"",E3168&lt;&gt;"!!!"),"NEW","")))</f>
        <v> </v>
      </c>
      <c r="G3168" s="23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4" t="str">
        <f>IF(J3168&lt;&gt;1,"",IF(I3168="SBJ","CB","?"))</f>
        <v> </v>
      </c>
      <c r="I3168" s="25" t="str">
        <f>IF(OR(E3168="",E3168="!!!",F3168="NEW"),"",INDEX(B3167:B$2,-1+SUMPRODUCT(MAX(ROW(E3167:E$2)*(E3168=E3167:E$2)))))</f>
        <v> </v>
      </c>
      <c r="J3168" s="25" t="str">
        <f>IF(OR(E3168="",E3168="!!!",F3168="NEW"),"",COUNTBLANK(OFFSET(A$1,,,SUMPRODUCT(MAX(ROW(E$2:E3168)*(E3168=E$2:E3168)))))-COUNTBLANK(OFFSET(A$1,,,SUMPRODUCT(MAX(ROW(E$1:E3167)*(E2=E$1:E3167))))))</f>
        <v> </v>
      </c>
      <c r="K3168" s="25" t="str">
        <f>IF(OR(E3168="",E3168="!!!",F3168="NEW"),"",INDEX(J$1:J3167,SUMPRODUCT(MAX(ROW(E$1:E3167)*(E3168=E$1:E3167)))))</f>
        <v> </v>
      </c>
      <c r="L3168" s="26"/>
    </row>
    <row r="3169" spans="1:12">
      <c r="A3169" s="20" t="s">
        <v>2177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 t="s">
        <v>825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2178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 t="s">
        <v>964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1531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 t="s">
        <v>976</v>
      </c>
      <c r="B3174" s="27" t="s">
        <v>874</v>
      </c>
      <c r="C3174" s="27" t="s">
        <v>816</v>
      </c>
      <c r="D3174" s="27" t="s">
        <v>801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 t="s">
        <v>1407</v>
      </c>
      <c r="E3175" s="21">
        <f>IF(D3175="?OLD","!!!","")</f>
        <v/>
      </c>
      <c r="F3175" s="22" t="str">
        <f>IF(OR(E3175="",E3175="!!!"),"",IF(NOT(ISNA(VLOOKUP(E3175,E$1:E3174,1,FALSE()))),"OLD",IF(AND(E3175&lt;&gt;"",E3175&lt;&gt;"!!!"),"NEW","")))</f>
        <v> </v>
      </c>
      <c r="G3175" s="23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4" t="str">
        <f>IF(J3175&lt;&gt;1,"",IF(I3175="SBJ","CB","?"))</f>
        <v> </v>
      </c>
      <c r="I3175" s="25" t="str">
        <f>IF(OR(E3175="",E3175="!!!",F3175="NEW"),"",INDEX(B3174:B$2,-1+SUMPRODUCT(MAX(ROW(E3174:E$2)*(E3175=E3174:E$2)))))</f>
        <v> </v>
      </c>
      <c r="J3175" s="25" t="str">
        <f>IF(OR(E3175="",E3175="!!!",F3175="NEW"),"",COUNTBLANK(OFFSET(A$1,,,SUMPRODUCT(MAX(ROW(E$2:E3175)*(E3175=E$2:E3175)))))-COUNTBLANK(OFFSET(A$1,,,SUMPRODUCT(MAX(ROW(E$1:E3174)*(E2=E$1:E3174))))))</f>
        <v> </v>
      </c>
      <c r="K3175" s="25" t="str">
        <f>IF(OR(E3175="",E3175="!!!",F3175="NEW"),"",INDEX(J$1:J3174,SUMPRODUCT(MAX(ROW(E$1:E3174)*(E3175=E$1:E3174)))))</f>
        <v> </v>
      </c>
      <c r="L3175" s="26"/>
    </row>
    <row r="3176" spans="1:12">
      <c r="A3176" s="20" t="s">
        <v>2179</v>
      </c>
      <c r="E3176" s="21">
        <f>IF(D3176="?OLD","!!!","")</f>
        <v/>
      </c>
      <c r="F3176" s="22" t="str">
        <f>IF(OR(E3176="",E3176="!!!"),"",IF(NOT(ISNA(VLOOKUP(E3176,E$1:E3175,1,FALSE()))),"OLD",IF(AND(E3176&lt;&gt;"",E3176&lt;&gt;"!!!"),"NEW","")))</f>
        <v> </v>
      </c>
      <c r="G3176" s="23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4" t="str">
        <f>IF(J3176&lt;&gt;1,"",IF(I3176="SBJ","CB","?"))</f>
        <v> </v>
      </c>
      <c r="I3176" s="25" t="str">
        <f>IF(OR(E3176="",E3176="!!!",F3176="NEW"),"",INDEX(B3175:B$2,-1+SUMPRODUCT(MAX(ROW(E3175:E$2)*(E3176=E3175:E$2)))))</f>
        <v> </v>
      </c>
      <c r="J3176" s="25" t="str">
        <f>IF(OR(E3176="",E3176="!!!",F3176="NEW"),"",COUNTBLANK(OFFSET(A$1,,,SUMPRODUCT(MAX(ROW(E$2:E3176)*(E3176=E$2:E3176)))))-COUNTBLANK(OFFSET(A$1,,,SUMPRODUCT(MAX(ROW(E$1:E3175)*(E2=E$1:E3175))))))</f>
        <v> </v>
      </c>
      <c r="K3176" s="25" t="str">
        <f>IF(OR(E3176="",E3176="!!!",F3176="NEW"),"",INDEX(J$1:J3175,SUMPRODUCT(MAX(ROW(E$1:E3175)*(E3176=E$1:E3175)))))</f>
        <v> </v>
      </c>
      <c r="L3176" s="26"/>
    </row>
    <row r="3177" spans="1:12">
      <c r="A3177" s="20" t="s">
        <v>1021</v>
      </c>
      <c r="E3177" s="21">
        <f>IF(D3177="?OLD","!!!","")</f>
        <v/>
      </c>
      <c r="F3177" s="22" t="str">
        <f>IF(OR(E3177="",E3177="!!!"),"",IF(NOT(ISNA(VLOOKUP(E3177,E$1:E3176,1,FALSE()))),"OLD",IF(AND(E3177&lt;&gt;"",E3177&lt;&gt;"!!!"),"NEW","")))</f>
        <v> </v>
      </c>
      <c r="G3177" s="23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4" t="str">
        <f>IF(J3177&lt;&gt;1,"",IF(I3177="SBJ","CB","?"))</f>
        <v> </v>
      </c>
      <c r="I3177" s="25" t="str">
        <f>IF(OR(E3177="",E3177="!!!",F3177="NEW"),"",INDEX(B3176:B$2,-1+SUMPRODUCT(MAX(ROW(E3176:E$2)*(E3177=E3176:E$2)))))</f>
        <v> </v>
      </c>
      <c r="J3177" s="25" t="str">
        <f>IF(OR(E3177="",E3177="!!!",F3177="NEW"),"",COUNTBLANK(OFFSET(A$1,,,SUMPRODUCT(MAX(ROW(E$2:E3177)*(E3177=E$2:E3177)))))-COUNTBLANK(OFFSET(A$1,,,SUMPRODUCT(MAX(ROW(E$1:E3176)*(E2=E$1:E3176))))))</f>
        <v> </v>
      </c>
      <c r="K3177" s="25" t="str">
        <f>IF(OR(E3177="",E3177="!!!",F3177="NEW"),"",INDEX(J$1:J3176,SUMPRODUCT(MAX(ROW(E$1:E3176)*(E3177=E$1:E3176)))))</f>
        <v> </v>
      </c>
      <c r="L3177" s="26"/>
    </row>
    <row r="3178" spans="1:12">
      <c r="A3178" s="20" t="s">
        <v>1405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 t="s">
        <v>795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 t="s">
        <v>2180</v>
      </c>
      <c r="E3180" s="21">
        <f>IF(D3180="?OLD","!!!","")</f>
        <v/>
      </c>
      <c r="F3180" s="22" t="str">
        <f>IF(OR(E3180="",E3180="!!!"),"",IF(NOT(ISNA(VLOOKUP(E3180,E$1:E3179,1,FALSE()))),"OLD",IF(AND(E3180&lt;&gt;"",E3180&lt;&gt;"!!!"),"NEW","")))</f>
        <v> </v>
      </c>
      <c r="G3180" s="23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4" t="str">
        <f>IF(J3180&lt;&gt;1,"",IF(I3180="SBJ","CB","?"))</f>
        <v> </v>
      </c>
      <c r="I3180" s="25" t="str">
        <f>IF(OR(E3180="",E3180="!!!",F3180="NEW"),"",INDEX(B3179:B$2,-1+SUMPRODUCT(MAX(ROW(E3179:E$2)*(E3180=E3179:E$2)))))</f>
        <v> </v>
      </c>
      <c r="J3180" s="25" t="str">
        <f>IF(OR(E3180="",E3180="!!!",F3180="NEW"),"",COUNTBLANK(OFFSET(A$1,,,SUMPRODUCT(MAX(ROW(E$2:E3180)*(E3180=E$2:E3180)))))-COUNTBLANK(OFFSET(A$1,,,SUMPRODUCT(MAX(ROW(E$1:E3179)*(E2=E$1:E3179))))))</f>
        <v> </v>
      </c>
      <c r="K3180" s="25" t="str">
        <f>IF(OR(E3180="",E3180="!!!",F3180="NEW"),"",INDEX(J$1:J3179,SUMPRODUCT(MAX(ROW(E$1:E3179)*(E3180=E$1:E3179)))))</f>
        <v> </v>
      </c>
      <c r="L3180" s="26"/>
    </row>
    <row r="3181" spans="1:12">
      <c r="A3181" s="20" t="s">
        <v>2181</v>
      </c>
      <c r="B3181" s="27" t="s">
        <v>1094</v>
      </c>
      <c r="C3181" s="27" t="s">
        <v>855</v>
      </c>
      <c r="D3181" s="27" t="s">
        <v>801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860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872</v>
      </c>
      <c r="B3183" s="27" t="s">
        <v>1480</v>
      </c>
      <c r="C3183" s="27" t="s">
        <v>800</v>
      </c>
      <c r="D3183" s="27" t="s">
        <v>801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795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877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 t="s">
        <v>946</v>
      </c>
      <c r="B3186" s="27" t="s">
        <v>2182</v>
      </c>
      <c r="C3186" s="27" t="s">
        <v>816</v>
      </c>
      <c r="D3186" s="27" t="s">
        <v>801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913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 t="s">
        <v>333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 t="s">
        <v>817</v>
      </c>
      <c r="E3189" s="21">
        <f>IF(D3189="?OLD","!!!","")</f>
        <v/>
      </c>
      <c r="F3189" s="22" t="str">
        <f>IF(OR(E3189="",E3189="!!!"),"",IF(NOT(ISNA(VLOOKUP(E3189,E$1:E3188,1,FALSE()))),"OLD",IF(AND(E3189&lt;&gt;"",E3189&lt;&gt;"!!!"),"NEW","")))</f>
        <v> </v>
      </c>
      <c r="G3189" s="23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4" t="str">
        <f>IF(J3189&lt;&gt;1,"",IF(I3189="SBJ","CB","?"))</f>
        <v> </v>
      </c>
      <c r="I3189" s="25" t="str">
        <f>IF(OR(E3189="",E3189="!!!",F3189="NEW"),"",INDEX(B3188:B$2,-1+SUMPRODUCT(MAX(ROW(E3188:E$2)*(E3189=E3188:E$2)))))</f>
        <v> </v>
      </c>
      <c r="J3189" s="25" t="str">
        <f>IF(OR(E3189="",E3189="!!!",F3189="NEW"),"",COUNTBLANK(OFFSET(A$1,,,SUMPRODUCT(MAX(ROW(E$2:E3189)*(E3189=E$2:E3189)))))-COUNTBLANK(OFFSET(A$1,,,SUMPRODUCT(MAX(ROW(E$1:E3188)*(E2=E$1:E3188))))))</f>
        <v> </v>
      </c>
      <c r="K3189" s="25" t="str">
        <f>IF(OR(E3189="",E3189="!!!",F3189="NEW"),"",INDEX(J$1:J3188,SUMPRODUCT(MAX(ROW(E$1:E3188)*(E3189=E$1:E3188)))))</f>
        <v> </v>
      </c>
      <c r="L3189" s="26"/>
    </row>
    <row r="3190" spans="1:12">
      <c r="A3190" s="20" t="s">
        <v>821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822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2075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883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 t="s">
        <v>1540</v>
      </c>
      <c r="E3194" s="21">
        <f>IF(D3194="?OLD","!!!","")</f>
        <v/>
      </c>
      <c r="F3194" s="22" t="str">
        <f>IF(OR(E3194="",E3194="!!!"),"",IF(NOT(ISNA(VLOOKUP(E3194,E$1:E3193,1,FALSE()))),"OLD",IF(AND(E3194&lt;&gt;"",E3194&lt;&gt;"!!!"),"NEW","")))</f>
        <v> </v>
      </c>
      <c r="G3194" s="23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4" t="str">
        <f>IF(J3194&lt;&gt;1,"",IF(I3194="SBJ","CB","?"))</f>
        <v> </v>
      </c>
      <c r="I3194" s="25" t="str">
        <f>IF(OR(E3194="",E3194="!!!",F3194="NEW"),"",INDEX(B3193:B$2,-1+SUMPRODUCT(MAX(ROW(E3193:E$2)*(E3194=E3193:E$2)))))</f>
        <v> </v>
      </c>
      <c r="J3194" s="25" t="str">
        <f>IF(OR(E3194="",E3194="!!!",F3194="NEW"),"",COUNTBLANK(OFFSET(A$1,,,SUMPRODUCT(MAX(ROW(E$2:E3194)*(E3194=E$2:E3194)))))-COUNTBLANK(OFFSET(A$1,,,SUMPRODUCT(MAX(ROW(E$1:E3193)*(E2=E$1:E3193))))))</f>
        <v> </v>
      </c>
      <c r="K3194" s="25" t="str">
        <f>IF(OR(E3194="",E3194="!!!",F3194="NEW"),"",INDEX(J$1:J3193,SUMPRODUCT(MAX(ROW(E$1:E3193)*(E3194=E$1:E3193)))))</f>
        <v> </v>
      </c>
      <c r="L3194" s="26"/>
    </row>
    <row r="3195" spans="1:12">
      <c r="A3195" s="20" t="s">
        <v>1016</v>
      </c>
      <c r="B3195" s="27" t="s">
        <v>2134</v>
      </c>
      <c r="C3195" s="27" t="s">
        <v>816</v>
      </c>
      <c r="D3195" s="27" t="s">
        <v>801</v>
      </c>
      <c r="E3195" s="21">
        <f>IF(D3195="?OLD","!!!","")</f>
        <v/>
      </c>
      <c r="F3195" s="22" t="str">
        <f>IF(OR(E3195="",E3195="!!!"),"",IF(NOT(ISNA(VLOOKUP(E3195,E$1:E3194,1,FALSE()))),"OLD",IF(AND(E3195&lt;&gt;"",E3195&lt;&gt;"!!!"),"NEW","")))</f>
        <v> </v>
      </c>
      <c r="G3195" s="23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4" t="str">
        <f>IF(J3195&lt;&gt;1,"",IF(I3195="SBJ","CB","?"))</f>
        <v> </v>
      </c>
      <c r="I3195" s="25" t="str">
        <f>IF(OR(E3195="",E3195="!!!",F3195="NEW"),"",INDEX(B3194:B$2,-1+SUMPRODUCT(MAX(ROW(E3194:E$2)*(E3195=E3194:E$2)))))</f>
        <v> </v>
      </c>
      <c r="J3195" s="25" t="str">
        <f>IF(OR(E3195="",E3195="!!!",F3195="NEW"),"",COUNTBLANK(OFFSET(A$1,,,SUMPRODUCT(MAX(ROW(E$2:E3195)*(E3195=E$2:E3195)))))-COUNTBLANK(OFFSET(A$1,,,SUMPRODUCT(MAX(ROW(E$1:E3194)*(E2=E$1:E3194))))))</f>
        <v> </v>
      </c>
      <c r="K3195" s="25" t="str">
        <f>IF(OR(E3195="",E3195="!!!",F3195="NEW"),"",INDEX(J$1:J3194,SUMPRODUCT(MAX(ROW(E$1:E3194)*(E3195=E$1:E3194)))))</f>
        <v> </v>
      </c>
      <c r="L3195" s="26"/>
    </row>
    <row r="3196" spans="1:12">
      <c r="A3196" s="20" t="s">
        <v>2183</v>
      </c>
      <c r="E3196" s="21">
        <f>IF(D3196="?OLD","!!!","")</f>
        <v/>
      </c>
      <c r="F3196" s="22" t="str">
        <f>IF(OR(E3196="",E3196="!!!"),"",IF(NOT(ISNA(VLOOKUP(E3196,E$1:E3195,1,FALSE()))),"OLD",IF(AND(E3196&lt;&gt;"",E3196&lt;&gt;"!!!"),"NEW","")))</f>
        <v> </v>
      </c>
      <c r="G3196" s="23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4" t="str">
        <f>IF(J3196&lt;&gt;1,"",IF(I3196="SBJ","CB","?"))</f>
        <v> </v>
      </c>
      <c r="I3196" s="25" t="str">
        <f>IF(OR(E3196="",E3196="!!!",F3196="NEW"),"",INDEX(B3195:B$2,-1+SUMPRODUCT(MAX(ROW(E3195:E$2)*(E3196=E3195:E$2)))))</f>
        <v> </v>
      </c>
      <c r="J3196" s="25" t="str">
        <f>IF(OR(E3196="",E3196="!!!",F3196="NEW"),"",COUNTBLANK(OFFSET(A$1,,,SUMPRODUCT(MAX(ROW(E$2:E3196)*(E3196=E$2:E3196)))))-COUNTBLANK(OFFSET(A$1,,,SUMPRODUCT(MAX(ROW(E$1:E3195)*(E2=E$1:E3195))))))</f>
        <v> </v>
      </c>
      <c r="K3196" s="25" t="str">
        <f>IF(OR(E3196="",E3196="!!!",F3196="NEW"),"",INDEX(J$1:J3195,SUMPRODUCT(MAX(ROW(E$1:E3195)*(E3196=E$1:E3195)))))</f>
        <v> </v>
      </c>
      <c r="L3196" s="26"/>
    </row>
    <row r="3197" spans="1:12">
      <c r="A3197" s="20" t="s">
        <v>964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1018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2184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817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59</v>
      </c>
      <c r="B3201" s="27" t="s">
        <v>2185</v>
      </c>
      <c r="C3201" s="27" t="s">
        <v>800</v>
      </c>
      <c r="D3201" s="27" t="s">
        <v>801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795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877</v>
      </c>
      <c r="B3203" s="27" t="s">
        <v>2186</v>
      </c>
      <c r="C3203" s="27" t="s">
        <v>879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913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 t="s">
        <v>333</v>
      </c>
      <c r="E3205" s="21">
        <f>IF(D3205="?OLD","!!!","")</f>
        <v/>
      </c>
      <c r="F3205" s="22" t="str">
        <f>IF(OR(E3205="",E3205="!!!"),"",IF(NOT(ISNA(VLOOKUP(E3205,E$1:E3204,1,FALSE()))),"OLD",IF(AND(E3205&lt;&gt;"",E3205&lt;&gt;"!!!"),"NEW","")))</f>
        <v> </v>
      </c>
      <c r="G3205" s="23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4" t="str">
        <f>IF(J3205&lt;&gt;1,"",IF(I3205="SBJ","CB","?"))</f>
        <v> </v>
      </c>
      <c r="I3205" s="25" t="str">
        <f>IF(OR(E3205="",E3205="!!!",F3205="NEW"),"",INDEX(B3204:B$2,-1+SUMPRODUCT(MAX(ROW(E3204:E$2)*(E3205=E3204:E$2)))))</f>
        <v> </v>
      </c>
      <c r="J3205" s="25" t="str">
        <f>IF(OR(E3205="",E3205="!!!",F3205="NEW"),"",COUNTBLANK(OFFSET(A$1,,,SUMPRODUCT(MAX(ROW(E$2:E3205)*(E3205=E$2:E3205)))))-COUNTBLANK(OFFSET(A$1,,,SUMPRODUCT(MAX(ROW(E$1:E3204)*(E2=E$1:E3204))))))</f>
        <v> </v>
      </c>
      <c r="K3205" s="25" t="str">
        <f>IF(OR(E3205="",E3205="!!!",F3205="NEW"),"",INDEX(J$1:J3204,SUMPRODUCT(MAX(ROW(E$1:E3204)*(E3205=E$1:E3204)))))</f>
        <v> </v>
      </c>
      <c r="L3205" s="26"/>
    </row>
    <row r="3206" spans="1:12">
      <c r="A3206" s="20" t="s">
        <v>817</v>
      </c>
      <c r="E3206" s="21">
        <f>IF(D3206="?OLD","!!!","")</f>
        <v/>
      </c>
      <c r="F3206" s="22" t="str">
        <f>IF(OR(E3206="",E3206="!!!"),"",IF(NOT(ISNA(VLOOKUP(E3206,E$1:E3205,1,FALSE()))),"OLD",IF(AND(E3206&lt;&gt;"",E3206&lt;&gt;"!!!"),"NEW","")))</f>
        <v> </v>
      </c>
      <c r="G3206" s="23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4" t="str">
        <f>IF(J3206&lt;&gt;1,"",IF(I3206="SBJ","CB","?"))</f>
        <v> </v>
      </c>
      <c r="I3206" s="25" t="str">
        <f>IF(OR(E3206="",E3206="!!!",F3206="NEW"),"",INDEX(B3205:B$2,-1+SUMPRODUCT(MAX(ROW(E3205:E$2)*(E3206=E3205:E$2)))))</f>
        <v> </v>
      </c>
      <c r="J3206" s="25" t="str">
        <f>IF(OR(E3206="",E3206="!!!",F3206="NEW"),"",COUNTBLANK(OFFSET(A$1,,,SUMPRODUCT(MAX(ROW(E$2:E3206)*(E3206=E$2:E3206)))))-COUNTBLANK(OFFSET(A$1,,,SUMPRODUCT(MAX(ROW(E$1:E3205)*(E2=E$1:E3205))))))</f>
        <v> </v>
      </c>
      <c r="K3206" s="25" t="str">
        <f>IF(OR(E3206="",E3206="!!!",F3206="NEW"),"",INDEX(J$1:J3205,SUMPRODUCT(MAX(ROW(E$1:E3205)*(E3206=E$1:E3205)))))</f>
        <v> </v>
      </c>
      <c r="L3206" s="26"/>
    </row>
    <row r="3207" spans="1:12">
      <c r="A3207" s="20" t="s">
        <v>821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822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 t="s">
        <v>2075</v>
      </c>
      <c r="E3209" s="21">
        <f>IF(D3209="?OLD","!!!","")</f>
        <v/>
      </c>
      <c r="F3209" s="22" t="str">
        <f>IF(OR(E3209="",E3209="!!!"),"",IF(NOT(ISNA(VLOOKUP(E3209,E$1:E3208,1,FALSE()))),"OLD",IF(AND(E3209&lt;&gt;"",E3209&lt;&gt;"!!!"),"NEW","")))</f>
        <v> </v>
      </c>
      <c r="G3209" s="23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4" t="str">
        <f>IF(J3209&lt;&gt;1,"",IF(I3209="SBJ","CB","?"))</f>
        <v> </v>
      </c>
      <c r="I3209" s="25" t="str">
        <f>IF(OR(E3209="",E3209="!!!",F3209="NEW"),"",INDEX(B3208:B$2,-1+SUMPRODUCT(MAX(ROW(E3208:E$2)*(E3209=E3208:E$2)))))</f>
        <v> </v>
      </c>
      <c r="J3209" s="25" t="str">
        <f>IF(OR(E3209="",E3209="!!!",F3209="NEW"),"",COUNTBLANK(OFFSET(A$1,,,SUMPRODUCT(MAX(ROW(E$2:E3209)*(E3209=E$2:E3209)))))-COUNTBLANK(OFFSET(A$1,,,SUMPRODUCT(MAX(ROW(E$1:E3208)*(E2=E$1:E3208))))))</f>
        <v> </v>
      </c>
      <c r="K3209" s="25" t="str">
        <f>IF(OR(E3209="",E3209="!!!",F3209="NEW"),"",INDEX(J$1:J3208,SUMPRODUCT(MAX(ROW(E$1:E3208)*(E3209=E$1:E3208)))))</f>
        <v> </v>
      </c>
      <c r="L3209" s="26"/>
    </row>
    <row r="3210" spans="1:12">
      <c r="A3210" s="20" t="s">
        <v>803</v>
      </c>
      <c r="E3210" s="21">
        <f>IF(D3210="?OLD","!!!","")</f>
        <v/>
      </c>
      <c r="F3210" s="22" t="str">
        <f>IF(OR(E3210="",E3210="!!!"),"",IF(NOT(ISNA(VLOOKUP(E3210,E$1:E3209,1,FALSE()))),"OLD",IF(AND(E3210&lt;&gt;"",E3210&lt;&gt;"!!!"),"NEW","")))</f>
        <v> </v>
      </c>
      <c r="G3210" s="23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4" t="str">
        <f>IF(J3210&lt;&gt;1,"",IF(I3210="SBJ","CB","?"))</f>
        <v> </v>
      </c>
      <c r="I3210" s="25" t="str">
        <f>IF(OR(E3210="",E3210="!!!",F3210="NEW"),"",INDEX(B3209:B$2,-1+SUMPRODUCT(MAX(ROW(E3209:E$2)*(E3210=E3209:E$2)))))</f>
        <v> </v>
      </c>
      <c r="J3210" s="25" t="str">
        <f>IF(OR(E3210="",E3210="!!!",F3210="NEW"),"",COUNTBLANK(OFFSET(A$1,,,SUMPRODUCT(MAX(ROW(E$2:E3210)*(E3210=E$2:E3210)))))-COUNTBLANK(OFFSET(A$1,,,SUMPRODUCT(MAX(ROW(E$1:E3209)*(E2=E$1:E3209))))))</f>
        <v> </v>
      </c>
      <c r="K3210" s="25" t="str">
        <f>IF(OR(E3210="",E3210="!!!",F3210="NEW"),"",INDEX(J$1:J3209,SUMPRODUCT(MAX(ROW(E$1:E3209)*(E3210=E$1:E3209)))))</f>
        <v> </v>
      </c>
      <c r="L3210" s="26"/>
    </row>
    <row r="3211" spans="1:12">
      <c r="A3211" s="20"/>
    </row>
    <row r="3212" spans="1:12">
      <c r="A3212" s="20" t="s">
        <v>2187</v>
      </c>
    </row>
    <row r="3213" spans="1:12">
      <c r="A3213" s="20" t="s">
        <v>1016</v>
      </c>
      <c r="B3213" s="27" t="s">
        <v>799</v>
      </c>
      <c r="C3213" s="27" t="s">
        <v>816</v>
      </c>
      <c r="D3213" s="27" t="s">
        <v>801</v>
      </c>
      <c r="E3213" s="21">
        <f>IF(D3213="?OLD","!!!","")</f>
        <v/>
      </c>
      <c r="F3213" s="22" t="str">
        <f>IF(OR(E3213="",E3213="!!!"),"",IF(NOT(ISNA(VLOOKUP(E3213,E$1:E3212,1,FALSE()))),"OLD",IF(AND(E3213&lt;&gt;"",E3213&lt;&gt;"!!!"),"NEW","")))</f>
        <v> </v>
      </c>
      <c r="G3213" s="23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4" t="str">
        <f>IF(J3213&lt;&gt;1,"",IF(I3213="SBJ","CB","?"))</f>
        <v> </v>
      </c>
      <c r="I3213" s="25" t="str">
        <f>IF(OR(E3213="",E3213="!!!",F3213="NEW"),"",INDEX(B3212:B$2,-1+SUMPRODUCT(MAX(ROW(E3212:E$2)*(E3213=E3212:E$2)))))</f>
        <v> </v>
      </c>
      <c r="J3213" s="25" t="str">
        <f>IF(OR(E3213="",E3213="!!!",F3213="NEW"),"",COUNTBLANK(OFFSET(A$1,,,SUMPRODUCT(MAX(ROW(E$2:E3213)*(E3213=E$2:E3213)))))-COUNTBLANK(OFFSET(A$1,,,SUMPRODUCT(MAX(ROW(E$1:E3212)*(E2=E$1:E3212))))))</f>
        <v> </v>
      </c>
      <c r="K3213" s="25" t="str">
        <f>IF(OR(E3213="",E3213="!!!",F3213="NEW"),"",INDEX(J$1:J3212,SUMPRODUCT(MAX(ROW(E$1:E3212)*(E3213=E$1:E3212)))))</f>
        <v> </v>
      </c>
      <c r="L3213" s="26"/>
    </row>
    <row r="3214" spans="1:12">
      <c r="A3214" s="20" t="s">
        <v>2184</v>
      </c>
      <c r="E3214" s="21">
        <f>IF(D3214="?OLD","!!!","")</f>
        <v/>
      </c>
      <c r="F3214" s="22" t="str">
        <f>IF(OR(E3214="",E3214="!!!"),"",IF(NOT(ISNA(VLOOKUP(E3214,E$1:E3213,1,FALSE()))),"OLD",IF(AND(E3214&lt;&gt;"",E3214&lt;&gt;"!!!"),"NEW","")))</f>
        <v> </v>
      </c>
      <c r="G3214" s="23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4" t="str">
        <f>IF(J3214&lt;&gt;1,"",IF(I3214="SBJ","CB","?"))</f>
        <v> </v>
      </c>
      <c r="I3214" s="25" t="str">
        <f>IF(OR(E3214="",E3214="!!!",F3214="NEW"),"",INDEX(B3213:B$2,-1+SUMPRODUCT(MAX(ROW(E3213:E$2)*(E3214=E3213:E$2)))))</f>
        <v> </v>
      </c>
      <c r="J3214" s="25" t="str">
        <f>IF(OR(E3214="",E3214="!!!",F3214="NEW"),"",COUNTBLANK(OFFSET(A$1,,,SUMPRODUCT(MAX(ROW(E$2:E3214)*(E3214=E$2:E3214)))))-COUNTBLANK(OFFSET(A$1,,,SUMPRODUCT(MAX(ROW(E$1:E3213)*(E2=E$1:E3213))))))</f>
        <v> </v>
      </c>
      <c r="K3214" s="25" t="str">
        <f>IF(OR(E3214="",E3214="!!!",F3214="NEW"),"",INDEX(J$1:J3213,SUMPRODUCT(MAX(ROW(E$1:E3213)*(E3214=E$1:E3213)))))</f>
        <v> </v>
      </c>
      <c r="L3214" s="26"/>
    </row>
    <row r="3215" spans="1:12">
      <c r="A3215" s="20" t="s">
        <v>34</v>
      </c>
      <c r="B3215" s="27" t="s">
        <v>921</v>
      </c>
      <c r="C3215" s="27" t="s">
        <v>855</v>
      </c>
      <c r="D3215" s="27" t="s">
        <v>801</v>
      </c>
      <c r="E3215" s="21">
        <f>IF(D3215="?OLD","!!!","")</f>
        <v/>
      </c>
      <c r="F3215" s="22" t="str">
        <f>IF(OR(E3215="",E3215="!!!"),"",IF(NOT(ISNA(VLOOKUP(E3215,E$1:E3214,1,FALSE()))),"OLD",IF(AND(E3215&lt;&gt;"",E3215&lt;&gt;"!!!"),"NEW","")))</f>
        <v> </v>
      </c>
      <c r="G3215" s="23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4" t="str">
        <f>IF(J3215&lt;&gt;1,"",IF(I3215="SBJ","CB","?"))</f>
        <v> </v>
      </c>
      <c r="I3215" s="25" t="str">
        <f>IF(OR(E3215="",E3215="!!!",F3215="NEW"),"",INDEX(B3214:B$2,-1+SUMPRODUCT(MAX(ROW(E3214:E$2)*(E3215=E3214:E$2)))))</f>
        <v> </v>
      </c>
      <c r="J3215" s="25" t="str">
        <f>IF(OR(E3215="",E3215="!!!",F3215="NEW"),"",COUNTBLANK(OFFSET(A$1,,,SUMPRODUCT(MAX(ROW(E$2:E3215)*(E3215=E$2:E3215)))))-COUNTBLANK(OFFSET(A$1,,,SUMPRODUCT(MAX(ROW(E$1:E3214)*(E2=E$1:E3214))))))</f>
        <v> </v>
      </c>
      <c r="K3215" s="25" t="str">
        <f>IF(OR(E3215="",E3215="!!!",F3215="NEW"),"",INDEX(J$1:J3214,SUMPRODUCT(MAX(ROW(E$1:E3214)*(E3215=E$1:E3214)))))</f>
        <v> </v>
      </c>
      <c r="L3215" s="26"/>
    </row>
    <row r="3216" spans="1:12">
      <c r="A3216" s="20" t="s">
        <v>860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872</v>
      </c>
      <c r="B3217" s="27" t="s">
        <v>857</v>
      </c>
      <c r="C3217" s="27" t="s">
        <v>800</v>
      </c>
      <c r="D3217" s="27" t="s">
        <v>801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 t="s">
        <v>795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822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1989</v>
      </c>
      <c r="B3220" s="27" t="s">
        <v>943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2188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2189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 t="s">
        <v>837</v>
      </c>
      <c r="E3223" s="21">
        <f>IF(D3223="?OLD","!!!","")</f>
        <v/>
      </c>
      <c r="F3223" s="22" t="str">
        <f>IF(OR(E3223="",E3223="!!!"),"",IF(NOT(ISNA(VLOOKUP(E3223,E$1:E3222,1,FALSE()))),"OLD",IF(AND(E3223&lt;&gt;"",E3223&lt;&gt;"!!!"),"NEW","")))</f>
        <v> </v>
      </c>
      <c r="G3223" s="23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4" t="str">
        <f>IF(J3223&lt;&gt;1,"",IF(I3223="SBJ","CB","?"))</f>
        <v> </v>
      </c>
      <c r="I3223" s="25" t="str">
        <f>IF(OR(E3223="",E3223="!!!",F3223="NEW"),"",INDEX(B3222:B$2,-1+SUMPRODUCT(MAX(ROW(E3222:E$2)*(E3223=E3222:E$2)))))</f>
        <v> </v>
      </c>
      <c r="J3223" s="25" t="str">
        <f>IF(OR(E3223="",E3223="!!!",F3223="NEW"),"",COUNTBLANK(OFFSET(A$1,,,SUMPRODUCT(MAX(ROW(E$2:E3223)*(E3223=E$2:E3223)))))-COUNTBLANK(OFFSET(A$1,,,SUMPRODUCT(MAX(ROW(E$1:E3222)*(E2=E$1:E3222))))))</f>
        <v> </v>
      </c>
      <c r="K3223" s="25" t="str">
        <f>IF(OR(E3223="",E3223="!!!",F3223="NEW"),"",INDEX(J$1:J3222,SUMPRODUCT(MAX(ROW(E$1:E3222)*(E3223=E$1:E3222)))))</f>
        <v> </v>
      </c>
      <c r="L3223" s="26"/>
    </row>
    <row r="3224" spans="1:12">
      <c r="A3224" s="20" t="s">
        <v>1888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795</v>
      </c>
      <c r="E3225" s="21">
        <f>IF(D3225="?OLD","!!!","")</f>
        <v/>
      </c>
      <c r="F3225" s="22" t="str">
        <f>IF(OR(E3225="",E3225="!!!"),"",IF(NOT(ISNA(VLOOKUP(E3225,E$1:E3224,1,FALSE()))),"OLD",IF(AND(E3225&lt;&gt;"",E3225&lt;&gt;"!!!"),"NEW","")))</f>
        <v> </v>
      </c>
      <c r="G3225" s="23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4" t="str">
        <f>IF(J3225&lt;&gt;1,"",IF(I3225="SBJ","CB","?"))</f>
        <v> </v>
      </c>
      <c r="I3225" s="25" t="str">
        <f>IF(OR(E3225="",E3225="!!!",F3225="NEW"),"",INDEX(B3224:B$2,-1+SUMPRODUCT(MAX(ROW(E3224:E$2)*(E3225=E3224:E$2)))))</f>
        <v> </v>
      </c>
      <c r="J3225" s="25" t="str">
        <f>IF(OR(E3225="",E3225="!!!",F3225="NEW"),"",COUNTBLANK(OFFSET(A$1,,,SUMPRODUCT(MAX(ROW(E$2:E3225)*(E3225=E$2:E3225)))))-COUNTBLANK(OFFSET(A$1,,,SUMPRODUCT(MAX(ROW(E$1:E3224)*(E2=E$1:E3224))))))</f>
        <v> </v>
      </c>
      <c r="K3225" s="25" t="str">
        <f>IF(OR(E3225="",E3225="!!!",F3225="NEW"),"",INDEX(J$1:J3224,SUMPRODUCT(MAX(ROW(E$1:E3224)*(E3225=E$1:E3224)))))</f>
        <v> </v>
      </c>
      <c r="L3225" s="26"/>
    </row>
    <row r="3226" spans="1:12">
      <c r="A3226" s="20" t="s">
        <v>844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1349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 t="s">
        <v>795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877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946</v>
      </c>
      <c r="B3230" s="27" t="s">
        <v>1179</v>
      </c>
      <c r="C3230" s="27" t="s">
        <v>816</v>
      </c>
      <c r="D3230" s="27" t="s">
        <v>801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2190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817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2191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 t="s">
        <v>803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/>
    </row>
    <row r="3236" spans="1:12">
      <c r="A3236" s="20" t="s">
        <v>2192</v>
      </c>
    </row>
    <row r="3237" spans="1:12">
      <c r="A3237" s="20" t="s">
        <v>1016</v>
      </c>
      <c r="B3237" s="27" t="s">
        <v>799</v>
      </c>
      <c r="C3237" s="27" t="s">
        <v>816</v>
      </c>
      <c r="D3237" s="27" t="s">
        <v>801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 t="s">
        <v>1989</v>
      </c>
      <c r="E3238" s="21">
        <f>IF(D3238="?OLD","!!!","")</f>
        <v/>
      </c>
      <c r="F3238" s="22" t="str">
        <f>IF(OR(E3238="",E3238="!!!"),"",IF(NOT(ISNA(VLOOKUP(E3238,E$1:E3237,1,FALSE()))),"OLD",IF(AND(E3238&lt;&gt;"",E3238&lt;&gt;"!!!"),"NEW","")))</f>
        <v> </v>
      </c>
      <c r="G3238" s="23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4" t="str">
        <f>IF(J3238&lt;&gt;1,"",IF(I3238="SBJ","CB","?"))</f>
        <v> </v>
      </c>
      <c r="I3238" s="25" t="str">
        <f>IF(OR(E3238="",E3238="!!!",F3238="NEW"),"",INDEX(B3237:B$2,-1+SUMPRODUCT(MAX(ROW(E3237:E$2)*(E3238=E3237:E$2)))))</f>
        <v> </v>
      </c>
      <c r="J3238" s="25" t="str">
        <f>IF(OR(E3238="",E3238="!!!",F3238="NEW"),"",COUNTBLANK(OFFSET(A$1,,,SUMPRODUCT(MAX(ROW(E$2:E3238)*(E3238=E$2:E3238)))))-COUNTBLANK(OFFSET(A$1,,,SUMPRODUCT(MAX(ROW(E$1:E3237)*(E2=E$1:E3237))))))</f>
        <v> </v>
      </c>
      <c r="K3238" s="25" t="str">
        <f>IF(OR(E3238="",E3238="!!!",F3238="NEW"),"",INDEX(J$1:J3237,SUMPRODUCT(MAX(ROW(E$1:E3237)*(E3238=E$1:E3237)))))</f>
        <v> </v>
      </c>
      <c r="L3238" s="26"/>
    </row>
    <row r="3239" spans="1:12">
      <c r="A3239" s="20" t="s">
        <v>997</v>
      </c>
      <c r="E3239" s="21">
        <f>IF(D3239="?OLD","!!!","")</f>
        <v/>
      </c>
      <c r="F3239" s="22" t="str">
        <f>IF(OR(E3239="",E3239="!!!"),"",IF(NOT(ISNA(VLOOKUP(E3239,E$1:E3238,1,FALSE()))),"OLD",IF(AND(E3239&lt;&gt;"",E3239&lt;&gt;"!!!"),"NEW","")))</f>
        <v> </v>
      </c>
      <c r="G3239" s="23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4" t="str">
        <f>IF(J3239&lt;&gt;1,"",IF(I3239="SBJ","CB","?"))</f>
        <v> </v>
      </c>
      <c r="I3239" s="25" t="str">
        <f>IF(OR(E3239="",E3239="!!!",F3239="NEW"),"",INDEX(B3238:B$2,-1+SUMPRODUCT(MAX(ROW(E3238:E$2)*(E3239=E3238:E$2)))))</f>
        <v> </v>
      </c>
      <c r="J3239" s="25" t="str">
        <f>IF(OR(E3239="",E3239="!!!",F3239="NEW"),"",COUNTBLANK(OFFSET(A$1,,,SUMPRODUCT(MAX(ROW(E$2:E3239)*(E3239=E$2:E3239)))))-COUNTBLANK(OFFSET(A$1,,,SUMPRODUCT(MAX(ROW(E$1:E3238)*(E2=E$1:E3238))))))</f>
        <v> </v>
      </c>
      <c r="K3239" s="25" t="str">
        <f>IF(OR(E3239="",E3239="!!!",F3239="NEW"),"",INDEX(J$1:J3238,SUMPRODUCT(MAX(ROW(E$1:E3238)*(E3239=E$1:E3238)))))</f>
        <v> </v>
      </c>
      <c r="L3239" s="26"/>
    </row>
    <row r="3240" spans="1:12">
      <c r="A3240" s="20" t="s">
        <v>860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954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1966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1405</v>
      </c>
      <c r="B3243" s="27" t="s">
        <v>842</v>
      </c>
      <c r="C3243" s="27" t="s">
        <v>843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12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2193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795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2194</v>
      </c>
      <c r="B3247" s="27" t="s">
        <v>1121</v>
      </c>
      <c r="C3247" s="27" t="s">
        <v>879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845</v>
      </c>
      <c r="B3248" s="27" t="s">
        <v>1001</v>
      </c>
      <c r="C3248" s="27" t="s">
        <v>816</v>
      </c>
      <c r="D3248" s="27" t="s">
        <v>801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 t="s">
        <v>2195</v>
      </c>
      <c r="E3249" s="21">
        <f>IF(D3249="?OLD","!!!","")</f>
        <v/>
      </c>
      <c r="F3249" s="22" t="str">
        <f>IF(OR(E3249="",E3249="!!!"),"",IF(NOT(ISNA(VLOOKUP(E3249,E$1:E3248,1,FALSE()))),"OLD",IF(AND(E3249&lt;&gt;"",E3249&lt;&gt;"!!!"),"NEW","")))</f>
        <v> </v>
      </c>
      <c r="G3249" s="23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4" t="str">
        <f>IF(J3249&lt;&gt;1,"",IF(I3249="SBJ","CB","?"))</f>
        <v> </v>
      </c>
      <c r="I3249" s="25" t="str">
        <f>IF(OR(E3249="",E3249="!!!",F3249="NEW"),"",INDEX(B3248:B$2,-1+SUMPRODUCT(MAX(ROW(E3248:E$2)*(E3249=E3248:E$2)))))</f>
        <v> </v>
      </c>
      <c r="J3249" s="25" t="str">
        <f>IF(OR(E3249="",E3249="!!!",F3249="NEW"),"",COUNTBLANK(OFFSET(A$1,,,SUMPRODUCT(MAX(ROW(E$2:E3249)*(E3249=E$2:E3249)))))-COUNTBLANK(OFFSET(A$1,,,SUMPRODUCT(MAX(ROW(E$1:E3248)*(E2=E$1:E3248))))))</f>
        <v> </v>
      </c>
      <c r="K3249" s="25" t="str">
        <f>IF(OR(E3249="",E3249="!!!",F3249="NEW"),"",INDEX(J$1:J3248,SUMPRODUCT(MAX(ROW(E$1:E3248)*(E3249=E$1:E3248)))))</f>
        <v> </v>
      </c>
      <c r="L3249" s="26"/>
    </row>
    <row r="3250" spans="1:12">
      <c r="A3250" s="20" t="s">
        <v>1694</v>
      </c>
      <c r="E3250" s="21">
        <f>IF(D3250="?OLD","!!!","")</f>
        <v/>
      </c>
      <c r="F3250" s="22" t="str">
        <f>IF(OR(E3250="",E3250="!!!"),"",IF(NOT(ISNA(VLOOKUP(E3250,E$1:E3249,1,FALSE()))),"OLD",IF(AND(E3250&lt;&gt;"",E3250&lt;&gt;"!!!"),"NEW","")))</f>
        <v> </v>
      </c>
      <c r="G3250" s="23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4" t="str">
        <f>IF(J3250&lt;&gt;1,"",IF(I3250="SBJ","CB","?"))</f>
        <v> </v>
      </c>
      <c r="I3250" s="25" t="str">
        <f>IF(OR(E3250="",E3250="!!!",F3250="NEW"),"",INDEX(B3249:B$2,-1+SUMPRODUCT(MAX(ROW(E3249:E$2)*(E3250=E3249:E$2)))))</f>
        <v> </v>
      </c>
      <c r="J3250" s="25" t="str">
        <f>IF(OR(E3250="",E3250="!!!",F3250="NEW"),"",COUNTBLANK(OFFSET(A$1,,,SUMPRODUCT(MAX(ROW(E$2:E3250)*(E3250=E$2:E3250)))))-COUNTBLANK(OFFSET(A$1,,,SUMPRODUCT(MAX(ROW(E$1:E3249)*(E2=E$1:E3249))))))</f>
        <v> </v>
      </c>
      <c r="K3250" s="25" t="str">
        <f>IF(OR(E3250="",E3250="!!!",F3250="NEW"),"",INDEX(J$1:J3249,SUMPRODUCT(MAX(ROW(E$1:E3249)*(E3250=E$1:E3249)))))</f>
        <v> </v>
      </c>
      <c r="L3250" s="26"/>
    </row>
    <row r="3251" spans="1:12">
      <c r="A3251" s="20" t="s">
        <v>803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/>
    </row>
    <row r="3253" spans="1:12">
      <c r="A3253" s="20" t="s">
        <v>2196</v>
      </c>
    </row>
    <row r="3254" spans="1:12">
      <c r="A3254" s="20" t="s">
        <v>2197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 t="s">
        <v>1432</v>
      </c>
      <c r="B3255" s="27" t="s">
        <v>842</v>
      </c>
      <c r="C3255" s="27" t="s">
        <v>816</v>
      </c>
      <c r="D3255" s="27" t="s">
        <v>801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 t="s">
        <v>1109</v>
      </c>
      <c r="E3256" s="21">
        <f>IF(D3256="?OLD","!!!","")</f>
        <v/>
      </c>
      <c r="F3256" s="22" t="str">
        <f>IF(OR(E3256="",E3256="!!!"),"",IF(NOT(ISNA(VLOOKUP(E3256,E$1:E3255,1,FALSE()))),"OLD",IF(AND(E3256&lt;&gt;"",E3256&lt;&gt;"!!!"),"NEW","")))</f>
        <v> </v>
      </c>
      <c r="G3256" s="23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4" t="str">
        <f>IF(J3256&lt;&gt;1,"",IF(I3256="SBJ","CB","?"))</f>
        <v> </v>
      </c>
      <c r="I3256" s="25" t="str">
        <f>IF(OR(E3256="",E3256="!!!",F3256="NEW"),"",INDEX(B3255:B$2,-1+SUMPRODUCT(MAX(ROW(E3255:E$2)*(E3256=E3255:E$2)))))</f>
        <v> </v>
      </c>
      <c r="J3256" s="25" t="str">
        <f>IF(OR(E3256="",E3256="!!!",F3256="NEW"),"",COUNTBLANK(OFFSET(A$1,,,SUMPRODUCT(MAX(ROW(E$2:E3256)*(E3256=E$2:E3256)))))-COUNTBLANK(OFFSET(A$1,,,SUMPRODUCT(MAX(ROW(E$1:E3255)*(E2=E$1:E3255))))))</f>
        <v> </v>
      </c>
      <c r="K3256" s="25" t="str">
        <f>IF(OR(E3256="",E3256="!!!",F3256="NEW"),"",INDEX(J$1:J3255,SUMPRODUCT(MAX(ROW(E$1:E3255)*(E3256=E$1:E3255)))))</f>
        <v> </v>
      </c>
      <c r="L3256" s="26"/>
    </row>
    <row r="3257" spans="1:12">
      <c r="A3257" s="20" t="s">
        <v>1389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2198</v>
      </c>
      <c r="B3258" s="27" t="s">
        <v>799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2199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 t="s">
        <v>803</v>
      </c>
      <c r="E3260" s="21">
        <f>IF(D3260="?OLD","!!!","")</f>
        <v/>
      </c>
      <c r="F3260" s="22" t="str">
        <f>IF(OR(E3260="",E3260="!!!"),"",IF(NOT(ISNA(VLOOKUP(E3260,E$1:E3259,1,FALSE()))),"OLD",IF(AND(E3260&lt;&gt;"",E3260&lt;&gt;"!!!"),"NEW","")))</f>
        <v> </v>
      </c>
      <c r="G3260" s="23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4" t="str">
        <f>IF(J3260&lt;&gt;1,"",IF(I3260="SBJ","CB","?"))</f>
        <v> </v>
      </c>
      <c r="I3260" s="25" t="str">
        <f>IF(OR(E3260="",E3260="!!!",F3260="NEW"),"",INDEX(B3259:B$2,-1+SUMPRODUCT(MAX(ROW(E3259:E$2)*(E3260=E3259:E$2)))))</f>
        <v> </v>
      </c>
      <c r="J3260" s="25" t="str">
        <f>IF(OR(E3260="",E3260="!!!",F3260="NEW"),"",COUNTBLANK(OFFSET(A$1,,,SUMPRODUCT(MAX(ROW(E$2:E3260)*(E3260=E$2:E3260)))))-COUNTBLANK(OFFSET(A$1,,,SUMPRODUCT(MAX(ROW(E$1:E3259)*(E2=E$1:E3259))))))</f>
        <v> </v>
      </c>
      <c r="K3260" s="25" t="str">
        <f>IF(OR(E3260="",E3260="!!!",F3260="NEW"),"",INDEX(J$1:J3259,SUMPRODUCT(MAX(ROW(E$1:E3259)*(E3260=E$1:E3259)))))</f>
        <v> </v>
      </c>
      <c r="L3260" s="26"/>
    </row>
    <row r="3261" spans="1:12">
      <c r="A3261" s="20"/>
    </row>
    <row r="3262" spans="1:12">
      <c r="A3262" s="20" t="s">
        <v>2200</v>
      </c>
    </row>
    <row r="3263" spans="1:12">
      <c r="A3263" s="20" t="s">
        <v>1452</v>
      </c>
      <c r="B3263" s="27" t="s">
        <v>799</v>
      </c>
      <c r="C3263" s="27" t="s">
        <v>816</v>
      </c>
      <c r="D3263" s="27" t="s">
        <v>801</v>
      </c>
      <c r="E3263" s="21">
        <f>IF(D3263="?OLD","!!!","")</f>
        <v/>
      </c>
      <c r="F3263" s="22" t="str">
        <f>IF(OR(E3263="",E3263="!!!"),"",IF(NOT(ISNA(VLOOKUP(E3263,E$1:E3262,1,FALSE()))),"OLD",IF(AND(E3263&lt;&gt;"",E3263&lt;&gt;"!!!"),"NEW","")))</f>
        <v> </v>
      </c>
      <c r="G3263" s="23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4" t="str">
        <f>IF(J3263&lt;&gt;1,"",IF(I3263="SBJ","CB","?"))</f>
        <v> </v>
      </c>
      <c r="I3263" s="25" t="str">
        <f>IF(OR(E3263="",E3263="!!!",F3263="NEW"),"",INDEX(B3262:B$2,-1+SUMPRODUCT(MAX(ROW(E3262:E$2)*(E3263=E3262:E$2)))))</f>
        <v> </v>
      </c>
      <c r="J3263" s="25" t="str">
        <f>IF(OR(E3263="",E3263="!!!",F3263="NEW"),"",COUNTBLANK(OFFSET(A$1,,,SUMPRODUCT(MAX(ROW(E$2:E3263)*(E3263=E$2:E3263)))))-COUNTBLANK(OFFSET(A$1,,,SUMPRODUCT(MAX(ROW(E$1:E3262)*(E2=E$1:E3262))))))</f>
        <v> </v>
      </c>
      <c r="K3263" s="25" t="str">
        <f>IF(OR(E3263="",E3263="!!!",F3263="NEW"),"",INDEX(J$1:J3262,SUMPRODUCT(MAX(ROW(E$1:E3262)*(E3263=E$1:E3262)))))</f>
        <v> </v>
      </c>
      <c r="L3263" s="26"/>
    </row>
    <row r="3264" spans="1:12">
      <c r="A3264" s="20" t="s">
        <v>2201</v>
      </c>
      <c r="E3264" s="21">
        <f>IF(D3264="?OLD","!!!","")</f>
        <v/>
      </c>
      <c r="F3264" s="22" t="str">
        <f>IF(OR(E3264="",E3264="!!!"),"",IF(NOT(ISNA(VLOOKUP(E3264,E$1:E3263,1,FALSE()))),"OLD",IF(AND(E3264&lt;&gt;"",E3264&lt;&gt;"!!!"),"NEW","")))</f>
        <v> </v>
      </c>
      <c r="G3264" s="23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4" t="str">
        <f>IF(J3264&lt;&gt;1,"",IF(I3264="SBJ","CB","?"))</f>
        <v> </v>
      </c>
      <c r="I3264" s="25" t="str">
        <f>IF(OR(E3264="",E3264="!!!",F3264="NEW"),"",INDEX(B3263:B$2,-1+SUMPRODUCT(MAX(ROW(E3263:E$2)*(E3264=E3263:E$2)))))</f>
        <v> </v>
      </c>
      <c r="J3264" s="25" t="str">
        <f>IF(OR(E3264="",E3264="!!!",F3264="NEW"),"",COUNTBLANK(OFFSET(A$1,,,SUMPRODUCT(MAX(ROW(E$2:E3264)*(E3264=E$2:E3264)))))-COUNTBLANK(OFFSET(A$1,,,SUMPRODUCT(MAX(ROW(E$1:E3263)*(E2=E$1:E3263))))))</f>
        <v> </v>
      </c>
      <c r="K3264" s="25" t="str">
        <f>IF(OR(E3264="",E3264="!!!",F3264="NEW"),"",INDEX(J$1:J3263,SUMPRODUCT(MAX(ROW(E$1:E3263)*(E3264=E$1:E3263)))))</f>
        <v> </v>
      </c>
      <c r="L3264" s="26"/>
    </row>
    <row r="3265" spans="1:12">
      <c r="A3265" s="20" t="s">
        <v>325</v>
      </c>
      <c r="B3265" s="27" t="s">
        <v>799</v>
      </c>
      <c r="C3265" s="27" t="s">
        <v>816</v>
      </c>
      <c r="D3265" s="27" t="s">
        <v>801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2202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 t="s">
        <v>2203</v>
      </c>
      <c r="E3267" s="21">
        <f>IF(D3267="?OLD","!!!","")</f>
        <v/>
      </c>
      <c r="F3267" s="22" t="str">
        <f>IF(OR(E3267="",E3267="!!!"),"",IF(NOT(ISNA(VLOOKUP(E3267,E$1:E3266,1,FALSE()))),"OLD",IF(AND(E3267&lt;&gt;"",E3267&lt;&gt;"!!!"),"NEW","")))</f>
        <v> </v>
      </c>
      <c r="G3267" s="23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4" t="str">
        <f>IF(J3267&lt;&gt;1,"",IF(I3267="SBJ","CB","?"))</f>
        <v> </v>
      </c>
      <c r="I3267" s="25" t="str">
        <f>IF(OR(E3267="",E3267="!!!",F3267="NEW"),"",INDEX(B3266:B$2,-1+SUMPRODUCT(MAX(ROW(E3266:E$2)*(E3267=E3266:E$2)))))</f>
        <v> </v>
      </c>
      <c r="J3267" s="25" t="str">
        <f>IF(OR(E3267="",E3267="!!!",F3267="NEW"),"",COUNTBLANK(OFFSET(A$1,,,SUMPRODUCT(MAX(ROW(E$2:E3267)*(E3267=E$2:E3267)))))-COUNTBLANK(OFFSET(A$1,,,SUMPRODUCT(MAX(ROW(E$1:E3266)*(E2=E$1:E3266))))))</f>
        <v> </v>
      </c>
      <c r="K3267" s="25" t="str">
        <f>IF(OR(E3267="",E3267="!!!",F3267="NEW"),"",INDEX(J$1:J3266,SUMPRODUCT(MAX(ROW(E$1:E3266)*(E3267=E$1:E3266)))))</f>
        <v> </v>
      </c>
      <c r="L3267" s="26"/>
    </row>
    <row r="3268" spans="1:12">
      <c r="A3268" s="20" t="s">
        <v>803</v>
      </c>
      <c r="E3268" s="21">
        <f>IF(D3268="?OLD","!!!","")</f>
        <v/>
      </c>
      <c r="F3268" s="22" t="str">
        <f>IF(OR(E3268="",E3268="!!!"),"",IF(NOT(ISNA(VLOOKUP(E3268,E$1:E3267,1,FALSE()))),"OLD",IF(AND(E3268&lt;&gt;"",E3268&lt;&gt;"!!!"),"NEW","")))</f>
        <v> </v>
      </c>
      <c r="G3268" s="23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4" t="str">
        <f>IF(J3268&lt;&gt;1,"",IF(I3268="SBJ","CB","?"))</f>
        <v> </v>
      </c>
      <c r="I3268" s="25" t="str">
        <f>IF(OR(E3268="",E3268="!!!",F3268="NEW"),"",INDEX(B3267:B$2,-1+SUMPRODUCT(MAX(ROW(E3267:E$2)*(E3268=E3267:E$2)))))</f>
        <v> </v>
      </c>
      <c r="J3268" s="25" t="str">
        <f>IF(OR(E3268="",E3268="!!!",F3268="NEW"),"",COUNTBLANK(OFFSET(A$1,,,SUMPRODUCT(MAX(ROW(E$2:E3268)*(E3268=E$2:E3268)))))-COUNTBLANK(OFFSET(A$1,,,SUMPRODUCT(MAX(ROW(E$1:E3267)*(E2=E$1:E3267))))))</f>
        <v> </v>
      </c>
      <c r="K3268" s="25" t="str">
        <f>IF(OR(E3268="",E3268="!!!",F3268="NEW"),"",INDEX(J$1:J3267,SUMPRODUCT(MAX(ROW(E$1:E3267)*(E3268=E$1:E3267)))))</f>
        <v> </v>
      </c>
      <c r="L3268" s="26"/>
    </row>
    <row r="3269" spans="1:12">
      <c r="A3269" s="20"/>
    </row>
    <row r="3270" spans="1:12">
      <c r="A3270" s="20" t="s">
        <v>2204</v>
      </c>
    </row>
    <row r="3271" spans="1:12">
      <c r="A3271" s="20" t="s">
        <v>2205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1351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2206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 t="s">
        <v>955</v>
      </c>
      <c r="B3274" s="27" t="s">
        <v>857</v>
      </c>
      <c r="C3274" s="27" t="s">
        <v>816</v>
      </c>
      <c r="D3274" s="27" t="s">
        <v>801</v>
      </c>
      <c r="E3274" s="21">
        <f>IF(D3274="?OLD","!!!","")</f>
        <v/>
      </c>
      <c r="F3274" s="22" t="str">
        <f>IF(OR(E3274="",E3274="!!!"),"",IF(NOT(ISNA(VLOOKUP(E3274,E$1:E3273,1,FALSE()))),"OLD",IF(AND(E3274&lt;&gt;"",E3274&lt;&gt;"!!!"),"NEW","")))</f>
        <v> </v>
      </c>
      <c r="G3274" s="23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4" t="str">
        <f>IF(J3274&lt;&gt;1,"",IF(I3274="SBJ","CB","?"))</f>
        <v> </v>
      </c>
      <c r="I3274" s="25" t="str">
        <f>IF(OR(E3274="",E3274="!!!",F3274="NEW"),"",INDEX(B3273:B$2,-1+SUMPRODUCT(MAX(ROW(E3273:E$2)*(E3274=E3273:E$2)))))</f>
        <v> </v>
      </c>
      <c r="J3274" s="25" t="str">
        <f>IF(OR(E3274="",E3274="!!!",F3274="NEW"),"",COUNTBLANK(OFFSET(A$1,,,SUMPRODUCT(MAX(ROW(E$2:E3274)*(E3274=E$2:E3274)))))-COUNTBLANK(OFFSET(A$1,,,SUMPRODUCT(MAX(ROW(E$1:E3273)*(E2=E$1:E3273))))))</f>
        <v> </v>
      </c>
      <c r="K3274" s="25" t="str">
        <f>IF(OR(E3274="",E3274="!!!",F3274="NEW"),"",INDEX(J$1:J3273,SUMPRODUCT(MAX(ROW(E$1:E3273)*(E3274=E$1:E3273)))))</f>
        <v> </v>
      </c>
      <c r="L3274" s="26"/>
    </row>
    <row r="3275" spans="1:12">
      <c r="A3275" s="20" t="s">
        <v>962</v>
      </c>
      <c r="B3275" s="27" t="s">
        <v>799</v>
      </c>
      <c r="C3275" s="27" t="s">
        <v>855</v>
      </c>
      <c r="D3275" s="27" t="s">
        <v>801</v>
      </c>
      <c r="E3275" s="21">
        <f>IF(D3275="?OLD","!!!","")</f>
        <v/>
      </c>
      <c r="F3275" s="22" t="str">
        <f>IF(OR(E3275="",E3275="!!!"),"",IF(NOT(ISNA(VLOOKUP(E3275,E$1:E3274,1,FALSE()))),"OLD",IF(AND(E3275&lt;&gt;"",E3275&lt;&gt;"!!!"),"NEW","")))</f>
        <v> </v>
      </c>
      <c r="G3275" s="23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4" t="str">
        <f>IF(J3275&lt;&gt;1,"",IF(I3275="SBJ","CB","?"))</f>
        <v> </v>
      </c>
      <c r="I3275" s="25" t="str">
        <f>IF(OR(E3275="",E3275="!!!",F3275="NEW"),"",INDEX(B3274:B$2,-1+SUMPRODUCT(MAX(ROW(E3274:E$2)*(E3275=E3274:E$2)))))</f>
        <v> </v>
      </c>
      <c r="J3275" s="25" t="str">
        <f>IF(OR(E3275="",E3275="!!!",F3275="NEW"),"",COUNTBLANK(OFFSET(A$1,,,SUMPRODUCT(MAX(ROW(E$2:E3275)*(E3275=E$2:E3275)))))-COUNTBLANK(OFFSET(A$1,,,SUMPRODUCT(MAX(ROW(E$1:E3274)*(E2=E$1:E3274))))))</f>
        <v> </v>
      </c>
      <c r="K3275" s="25" t="str">
        <f>IF(OR(E3275="",E3275="!!!",F3275="NEW"),"",INDEX(J$1:J3274,SUMPRODUCT(MAX(ROW(E$1:E3274)*(E3275=E$1:E3274)))))</f>
        <v> </v>
      </c>
      <c r="L3275" s="26"/>
    </row>
    <row r="3276" spans="1:12">
      <c r="A3276" s="20" t="s">
        <v>929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964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 t="s">
        <v>1018</v>
      </c>
      <c r="E3278" s="21">
        <f>IF(D3278="?OLD","!!!","")</f>
        <v/>
      </c>
      <c r="F3278" s="22" t="str">
        <f>IF(OR(E3278="",E3278="!!!"),"",IF(NOT(ISNA(VLOOKUP(E3278,E$1:E3277,1,FALSE()))),"OLD",IF(AND(E3278&lt;&gt;"",E3278&lt;&gt;"!!!"),"NEW","")))</f>
        <v> </v>
      </c>
      <c r="G3278" s="23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4" t="str">
        <f>IF(J3278&lt;&gt;1,"",IF(I3278="SBJ","CB","?"))</f>
        <v> </v>
      </c>
      <c r="I3278" s="25" t="str">
        <f>IF(OR(E3278="",E3278="!!!",F3278="NEW"),"",INDEX(B3277:B$2,-1+SUMPRODUCT(MAX(ROW(E3277:E$2)*(E3278=E3277:E$2)))))</f>
        <v> </v>
      </c>
      <c r="J3278" s="25" t="str">
        <f>IF(OR(E3278="",E3278="!!!",F3278="NEW"),"",COUNTBLANK(OFFSET(A$1,,,SUMPRODUCT(MAX(ROW(E$2:E3278)*(E3278=E$2:E3278)))))-COUNTBLANK(OFFSET(A$1,,,SUMPRODUCT(MAX(ROW(E$1:E3277)*(E2=E$1:E3277))))))</f>
        <v> </v>
      </c>
      <c r="K3278" s="25" t="str">
        <f>IF(OR(E3278="",E3278="!!!",F3278="NEW"),"",INDEX(J$1:J3277,SUMPRODUCT(MAX(ROW(E$1:E3277)*(E3278=E$1:E3277)))))</f>
        <v> </v>
      </c>
      <c r="L3278" s="26"/>
    </row>
    <row r="3279" spans="1:12">
      <c r="A3279" s="20" t="s">
        <v>2207</v>
      </c>
      <c r="B3279" s="27" t="s">
        <v>891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 t="s">
        <v>860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 t="s">
        <v>2208</v>
      </c>
      <c r="B3281" s="27" t="s">
        <v>846</v>
      </c>
      <c r="C3281" s="27" t="s">
        <v>855</v>
      </c>
      <c r="D3281" s="27" t="s">
        <v>801</v>
      </c>
      <c r="E3281" s="21">
        <f>IF(D3281="?OLD","!!!","")</f>
        <v/>
      </c>
      <c r="F3281" s="22" t="str">
        <f>IF(OR(E3281="",E3281="!!!"),"",IF(NOT(ISNA(VLOOKUP(E3281,E$1:E3280,1,FALSE()))),"OLD",IF(AND(E3281&lt;&gt;"",E3281&lt;&gt;"!!!"),"NEW","")))</f>
        <v> </v>
      </c>
      <c r="G3281" s="23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4" t="str">
        <f>IF(J3281&lt;&gt;1,"",IF(I3281="SBJ","CB","?"))</f>
        <v> </v>
      </c>
      <c r="I3281" s="25" t="str">
        <f>IF(OR(E3281="",E3281="!!!",F3281="NEW"),"",INDEX(B3280:B$2,-1+SUMPRODUCT(MAX(ROW(E3280:E$2)*(E3281=E3280:E$2)))))</f>
        <v> </v>
      </c>
      <c r="J3281" s="25" t="str">
        <f>IF(OR(E3281="",E3281="!!!",F3281="NEW"),"",COUNTBLANK(OFFSET(A$1,,,SUMPRODUCT(MAX(ROW(E$2:E3281)*(E3281=E$2:E3281)))))-COUNTBLANK(OFFSET(A$1,,,SUMPRODUCT(MAX(ROW(E$1:E3280)*(E2=E$1:E3280))))))</f>
        <v> </v>
      </c>
      <c r="K3281" s="25" t="str">
        <f>IF(OR(E3281="",E3281="!!!",F3281="NEW"),"",INDEX(J$1:J3280,SUMPRODUCT(MAX(ROW(E$1:E3280)*(E3281=E$1:E3280)))))</f>
        <v> </v>
      </c>
      <c r="L3281" s="26"/>
    </row>
    <row r="3282" spans="1:12">
      <c r="A3282" s="20" t="s">
        <v>1721</v>
      </c>
      <c r="E3282" s="21">
        <f>IF(D3282="?OLD","!!!","")</f>
        <v/>
      </c>
      <c r="F3282" s="22" t="str">
        <f>IF(OR(E3282="",E3282="!!!"),"",IF(NOT(ISNA(VLOOKUP(E3282,E$1:E3281,1,FALSE()))),"OLD",IF(AND(E3282&lt;&gt;"",E3282&lt;&gt;"!!!"),"NEW","")))</f>
        <v> </v>
      </c>
      <c r="G3282" s="23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4" t="str">
        <f>IF(J3282&lt;&gt;1,"",IF(I3282="SBJ","CB","?"))</f>
        <v> </v>
      </c>
      <c r="I3282" s="25" t="str">
        <f>IF(OR(E3282="",E3282="!!!",F3282="NEW"),"",INDEX(B3281:B$2,-1+SUMPRODUCT(MAX(ROW(E3281:E$2)*(E3282=E3281:E$2)))))</f>
        <v> </v>
      </c>
      <c r="J3282" s="25" t="str">
        <f>IF(OR(E3282="",E3282="!!!",F3282="NEW"),"",COUNTBLANK(OFFSET(A$1,,,SUMPRODUCT(MAX(ROW(E$2:E3282)*(E3282=E$2:E3282)))))-COUNTBLANK(OFFSET(A$1,,,SUMPRODUCT(MAX(ROW(E$1:E3281)*(E2=E$1:E3281))))))</f>
        <v> </v>
      </c>
      <c r="K3282" s="25" t="str">
        <f>IF(OR(E3282="",E3282="!!!",F3282="NEW"),"",INDEX(J$1:J3281,SUMPRODUCT(MAX(ROW(E$1:E3281)*(E3282=E$1:E3281)))))</f>
        <v> </v>
      </c>
      <c r="L3282" s="26"/>
    </row>
    <row r="3283" spans="1:12">
      <c r="A3283" s="20" t="s">
        <v>59</v>
      </c>
      <c r="B3283" s="27" t="s">
        <v>957</v>
      </c>
      <c r="C3283" s="27" t="s">
        <v>800</v>
      </c>
      <c r="D3283" s="27" t="s">
        <v>801</v>
      </c>
      <c r="E3283" s="21">
        <f>IF(D3283="?OLD","!!!","")</f>
        <v/>
      </c>
      <c r="F3283" s="22" t="str">
        <f>IF(OR(E3283="",E3283="!!!"),"",IF(NOT(ISNA(VLOOKUP(E3283,E$1:E3282,1,FALSE()))),"OLD",IF(AND(E3283&lt;&gt;"",E3283&lt;&gt;"!!!"),"NEW","")))</f>
        <v> </v>
      </c>
      <c r="G3283" s="23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4" t="str">
        <f>IF(J3283&lt;&gt;1,"",IF(I3283="SBJ","CB","?"))</f>
        <v> </v>
      </c>
      <c r="I3283" s="25" t="str">
        <f>IF(OR(E3283="",E3283="!!!",F3283="NEW"),"",INDEX(B3282:B$2,-1+SUMPRODUCT(MAX(ROW(E3282:E$2)*(E3283=E3282:E$2)))))</f>
        <v> </v>
      </c>
      <c r="J3283" s="25" t="str">
        <f>IF(OR(E3283="",E3283="!!!",F3283="NEW"),"",COUNTBLANK(OFFSET(A$1,,,SUMPRODUCT(MAX(ROW(E$2:E3283)*(E3283=E$2:E3283)))))-COUNTBLANK(OFFSET(A$1,,,SUMPRODUCT(MAX(ROW(E$1:E3282)*(E2=E$1:E3282))))))</f>
        <v> </v>
      </c>
      <c r="K3283" s="25" t="str">
        <f>IF(OR(E3283="",E3283="!!!",F3283="NEW"),"",INDEX(J$1:J3282,SUMPRODUCT(MAX(ROW(E$1:E3282)*(E3283=E$1:E3282)))))</f>
        <v> </v>
      </c>
      <c r="L3283" s="26"/>
    </row>
    <row r="3284" spans="1:12">
      <c r="A3284" s="20" t="s">
        <v>795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1219</v>
      </c>
      <c r="B3285" s="27" t="s">
        <v>953</v>
      </c>
      <c r="C3285" s="27" t="s">
        <v>879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2209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1109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2210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 t="s">
        <v>797</v>
      </c>
      <c r="E3289" s="21">
        <f>IF(D3289="?OLD","!!!","")</f>
        <v/>
      </c>
      <c r="F3289" s="22" t="str">
        <f>IF(OR(E3289="",E3289="!!!"),"",IF(NOT(ISNA(VLOOKUP(E3289,E$1:E3288,1,FALSE()))),"OLD",IF(AND(E3289&lt;&gt;"",E3289&lt;&gt;"!!!"),"NEW","")))</f>
        <v> </v>
      </c>
      <c r="G3289" s="23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4" t="str">
        <f>IF(J3289&lt;&gt;1,"",IF(I3289="SBJ","CB","?"))</f>
        <v> </v>
      </c>
      <c r="I3289" s="25" t="str">
        <f>IF(OR(E3289="",E3289="!!!",F3289="NEW"),"",INDEX(B3288:B$2,-1+SUMPRODUCT(MAX(ROW(E3288:E$2)*(E3289=E3288:E$2)))))</f>
        <v> </v>
      </c>
      <c r="J3289" s="25" t="str">
        <f>IF(OR(E3289="",E3289="!!!",F3289="NEW"),"",COUNTBLANK(OFFSET(A$1,,,SUMPRODUCT(MAX(ROW(E$2:E3289)*(E3289=E$2:E3289)))))-COUNTBLANK(OFFSET(A$1,,,SUMPRODUCT(MAX(ROW(E$1:E3288)*(E2=E$1:E3288))))))</f>
        <v> </v>
      </c>
      <c r="K3289" s="25" t="str">
        <f>IF(OR(E3289="",E3289="!!!",F3289="NEW"),"",INDEX(J$1:J3288,SUMPRODUCT(MAX(ROW(E$1:E3288)*(E3289=E$1:E3288)))))</f>
        <v> </v>
      </c>
      <c r="L3289" s="26"/>
    </row>
    <row r="3290" spans="1:12">
      <c r="A3290" s="20" t="s">
        <v>2211</v>
      </c>
      <c r="E3290" s="21">
        <f>IF(D3290="?OLD","!!!","")</f>
        <v/>
      </c>
      <c r="F3290" s="22" t="str">
        <f>IF(OR(E3290="",E3290="!!!"),"",IF(NOT(ISNA(VLOOKUP(E3290,E$1:E3289,1,FALSE()))),"OLD",IF(AND(E3290&lt;&gt;"",E3290&lt;&gt;"!!!"),"NEW","")))</f>
        <v> </v>
      </c>
      <c r="G3290" s="23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4" t="str">
        <f>IF(J3290&lt;&gt;1,"",IF(I3290="SBJ","CB","?"))</f>
        <v> </v>
      </c>
      <c r="I3290" s="25" t="str">
        <f>IF(OR(E3290="",E3290="!!!",F3290="NEW"),"",INDEX(B3289:B$2,-1+SUMPRODUCT(MAX(ROW(E3289:E$2)*(E3290=E3289:E$2)))))</f>
        <v> </v>
      </c>
      <c r="J3290" s="25" t="str">
        <f>IF(OR(E3290="",E3290="!!!",F3290="NEW"),"",COUNTBLANK(OFFSET(A$1,,,SUMPRODUCT(MAX(ROW(E$2:E3290)*(E3290=E$2:E3290)))))-COUNTBLANK(OFFSET(A$1,,,SUMPRODUCT(MAX(ROW(E$1:E3289)*(E2=E$1:E3289))))))</f>
        <v> </v>
      </c>
      <c r="K3290" s="25" t="str">
        <f>IF(OR(E3290="",E3290="!!!",F3290="NEW"),"",INDEX(J$1:J3289,SUMPRODUCT(MAX(ROW(E$1:E3289)*(E3290=E$1:E3289)))))</f>
        <v> </v>
      </c>
      <c r="L3290" s="26"/>
    </row>
    <row r="3291" spans="1:12">
      <c r="A3291" s="20" t="s">
        <v>1405</v>
      </c>
      <c r="B3291" s="27" t="s">
        <v>953</v>
      </c>
      <c r="C3291" s="27" t="s">
        <v>800</v>
      </c>
      <c r="E3291" s="21">
        <f>IF(D3291="?OLD","!!!","")</f>
        <v/>
      </c>
      <c r="F3291" s="22" t="str">
        <f>IF(OR(E3291="",E3291="!!!"),"",IF(NOT(ISNA(VLOOKUP(E3291,E$1:E3290,1,FALSE()))),"OLD",IF(AND(E3291&lt;&gt;"",E3291&lt;&gt;"!!!"),"NEW","")))</f>
        <v> </v>
      </c>
      <c r="G3291" s="23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4" t="str">
        <f>IF(J3291&lt;&gt;1,"",IF(I3291="SBJ","CB","?"))</f>
        <v> </v>
      </c>
      <c r="I3291" s="25" t="str">
        <f>IF(OR(E3291="",E3291="!!!",F3291="NEW"),"",INDEX(B3290:B$2,-1+SUMPRODUCT(MAX(ROW(E3290:E$2)*(E3291=E3290:E$2)))))</f>
        <v> </v>
      </c>
      <c r="J3291" s="25" t="str">
        <f>IF(OR(E3291="",E3291="!!!",F3291="NEW"),"",COUNTBLANK(OFFSET(A$1,,,SUMPRODUCT(MAX(ROW(E$2:E3291)*(E3291=E$2:E3291)))))-COUNTBLANK(OFFSET(A$1,,,SUMPRODUCT(MAX(ROW(E$1:E3290)*(E2=E$1:E3290))))))</f>
        <v> </v>
      </c>
      <c r="K3291" s="25" t="str">
        <f>IF(OR(E3291="",E3291="!!!",F3291="NEW"),"",INDEX(J$1:J3290,SUMPRODUCT(MAX(ROW(E$1:E3290)*(E3291=E$1:E3290)))))</f>
        <v> </v>
      </c>
      <c r="L3291" s="26"/>
    </row>
    <row r="3292" spans="1:12">
      <c r="A3292" s="20" t="s">
        <v>822</v>
      </c>
      <c r="E3292" s="21">
        <f>IF(D3292="?OLD","!!!","")</f>
        <v/>
      </c>
      <c r="F3292" s="22" t="str">
        <f>IF(OR(E3292="",E3292="!!!"),"",IF(NOT(ISNA(VLOOKUP(E3292,E$1:E3291,1,FALSE()))),"OLD",IF(AND(E3292&lt;&gt;"",E3292&lt;&gt;"!!!"),"NEW","")))</f>
        <v> </v>
      </c>
      <c r="G3292" s="23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4" t="str">
        <f>IF(J3292&lt;&gt;1,"",IF(I3292="SBJ","CB","?"))</f>
        <v> </v>
      </c>
      <c r="I3292" s="25" t="str">
        <f>IF(OR(E3292="",E3292="!!!",F3292="NEW"),"",INDEX(B3291:B$2,-1+SUMPRODUCT(MAX(ROW(E3291:E$2)*(E3292=E3291:E$2)))))</f>
        <v> </v>
      </c>
      <c r="J3292" s="25" t="str">
        <f>IF(OR(E3292="",E3292="!!!",F3292="NEW"),"",COUNTBLANK(OFFSET(A$1,,,SUMPRODUCT(MAX(ROW(E$2:E3292)*(E3292=E$2:E3292)))))-COUNTBLANK(OFFSET(A$1,,,SUMPRODUCT(MAX(ROW(E$1:E3291)*(E2=E$1:E3291))))))</f>
        <v> </v>
      </c>
      <c r="K3292" s="25" t="str">
        <f>IF(OR(E3292="",E3292="!!!",F3292="NEW"),"",INDEX(J$1:J3291,SUMPRODUCT(MAX(ROW(E$1:E3291)*(E3292=E$1:E3291)))))</f>
        <v> </v>
      </c>
      <c r="L3292" s="26"/>
    </row>
    <row r="3293" spans="1:12">
      <c r="A3293" s="20" t="s">
        <v>935</v>
      </c>
      <c r="B3293" s="27" t="s">
        <v>1099</v>
      </c>
      <c r="C3293" s="27" t="s">
        <v>816</v>
      </c>
      <c r="D3293" s="27" t="s">
        <v>801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2212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 t="s">
        <v>825</v>
      </c>
      <c r="E3295" s="21">
        <f>IF(D3295="?OLD","!!!","")</f>
        <v/>
      </c>
      <c r="F3295" s="22" t="str">
        <f>IF(OR(E3295="",E3295="!!!"),"",IF(NOT(ISNA(VLOOKUP(E3295,E$1:E3294,1,FALSE()))),"OLD",IF(AND(E3295&lt;&gt;"",E3295&lt;&gt;"!!!"),"NEW","")))</f>
        <v> </v>
      </c>
      <c r="G3295" s="23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4" t="str">
        <f>IF(J3295&lt;&gt;1,"",IF(I3295="SBJ","CB","?"))</f>
        <v> </v>
      </c>
      <c r="I3295" s="25" t="str">
        <f>IF(OR(E3295="",E3295="!!!",F3295="NEW"),"",INDEX(B3294:B$2,-1+SUMPRODUCT(MAX(ROW(E3294:E$2)*(E3295=E3294:E$2)))))</f>
        <v> </v>
      </c>
      <c r="J3295" s="25" t="str">
        <f>IF(OR(E3295="",E3295="!!!",F3295="NEW"),"",COUNTBLANK(OFFSET(A$1,,,SUMPRODUCT(MAX(ROW(E$2:E3295)*(E3295=E$2:E3295)))))-COUNTBLANK(OFFSET(A$1,,,SUMPRODUCT(MAX(ROW(E$1:E3294)*(E2=E$1:E3294))))))</f>
        <v> </v>
      </c>
      <c r="K3295" s="25" t="str">
        <f>IF(OR(E3295="",E3295="!!!",F3295="NEW"),"",INDEX(J$1:J3294,SUMPRODUCT(MAX(ROW(E$1:E3294)*(E3295=E$1:E3294)))))</f>
        <v> </v>
      </c>
      <c r="L3295" s="26"/>
    </row>
    <row r="3296" spans="1:12">
      <c r="A3296" s="20" t="s">
        <v>1413</v>
      </c>
      <c r="E3296" s="21">
        <f>IF(D3296="?OLD","!!!","")</f>
        <v/>
      </c>
      <c r="F3296" s="22" t="str">
        <f>IF(OR(E3296="",E3296="!!!"),"",IF(NOT(ISNA(VLOOKUP(E3296,E$1:E3295,1,FALSE()))),"OLD",IF(AND(E3296&lt;&gt;"",E3296&lt;&gt;"!!!"),"NEW","")))</f>
        <v> </v>
      </c>
      <c r="G3296" s="23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4" t="str">
        <f>IF(J3296&lt;&gt;1,"",IF(I3296="SBJ","CB","?"))</f>
        <v> </v>
      </c>
      <c r="I3296" s="25" t="str">
        <f>IF(OR(E3296="",E3296="!!!",F3296="NEW"),"",INDEX(B3295:B$2,-1+SUMPRODUCT(MAX(ROW(E3295:E$2)*(E3296=E3295:E$2)))))</f>
        <v> </v>
      </c>
      <c r="J3296" s="25" t="str">
        <f>IF(OR(E3296="",E3296="!!!",F3296="NEW"),"",COUNTBLANK(OFFSET(A$1,,,SUMPRODUCT(MAX(ROW(E$2:E3296)*(E3296=E$2:E3296)))))-COUNTBLANK(OFFSET(A$1,,,SUMPRODUCT(MAX(ROW(E$1:E3295)*(E2=E$1:E3295))))))</f>
        <v> </v>
      </c>
      <c r="K3296" s="25" t="str">
        <f>IF(OR(E3296="",E3296="!!!",F3296="NEW"),"",INDEX(J$1:J3295,SUMPRODUCT(MAX(ROW(E$1:E3295)*(E3296=E$1:E3295)))))</f>
        <v> </v>
      </c>
      <c r="L3296" s="26"/>
    </row>
    <row r="3297" spans="1:12">
      <c r="A3297" s="20" t="s">
        <v>795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2194</v>
      </c>
      <c r="B3298" s="27" t="s">
        <v>2213</v>
      </c>
      <c r="C3298" s="27" t="s">
        <v>879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 t="s">
        <v>2214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803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/>
    </row>
    <row r="3302" spans="1:12">
      <c r="A3302" s="20" t="s">
        <v>2215</v>
      </c>
    </row>
    <row r="3303" spans="1:12">
      <c r="A3303" s="20" t="s">
        <v>975</v>
      </c>
      <c r="E3303" s="21">
        <f>IF(D3303="?OLD","!!!","")</f>
        <v/>
      </c>
      <c r="F3303" s="22" t="str">
        <f>IF(OR(E3303="",E3303="!!!"),"",IF(NOT(ISNA(VLOOKUP(E3303,E$1:E3302,1,FALSE()))),"OLD",IF(AND(E3303&lt;&gt;"",E3303&lt;&gt;"!!!"),"NEW","")))</f>
        <v> </v>
      </c>
      <c r="G3303" s="23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4" t="str">
        <f>IF(J3303&lt;&gt;1,"",IF(I3303="SBJ","CB","?"))</f>
        <v> </v>
      </c>
      <c r="I3303" s="25" t="str">
        <f>IF(OR(E3303="",E3303="!!!",F3303="NEW"),"",INDEX(B3302:B$2,-1+SUMPRODUCT(MAX(ROW(E3302:E$2)*(E3303=E3302:E$2)))))</f>
        <v> </v>
      </c>
      <c r="J3303" s="25" t="str">
        <f>IF(OR(E3303="",E3303="!!!",F3303="NEW"),"",COUNTBLANK(OFFSET(A$1,,,SUMPRODUCT(MAX(ROW(E$2:E3303)*(E3303=E$2:E3303)))))-COUNTBLANK(OFFSET(A$1,,,SUMPRODUCT(MAX(ROW(E$1:E3302)*(E2=E$1:E3302))))))</f>
        <v> </v>
      </c>
      <c r="K3303" s="25" t="str">
        <f>IF(OR(E3303="",E3303="!!!",F3303="NEW"),"",INDEX(J$1:J3302,SUMPRODUCT(MAX(ROW(E$1:E3302)*(E3303=E$1:E3302)))))</f>
        <v> </v>
      </c>
      <c r="L3303" s="26"/>
    </row>
    <row r="3304" spans="1:12">
      <c r="A3304" s="20" t="s">
        <v>935</v>
      </c>
      <c r="B3304" s="27" t="s">
        <v>799</v>
      </c>
      <c r="C3304" s="27" t="s">
        <v>816</v>
      </c>
      <c r="D3304" s="27" t="s">
        <v>801</v>
      </c>
      <c r="E3304" s="21">
        <f>IF(D3304="?OLD","!!!","")</f>
        <v/>
      </c>
      <c r="F3304" s="22" t="str">
        <f>IF(OR(E3304="",E3304="!!!"),"",IF(NOT(ISNA(VLOOKUP(E3304,E$1:E3303,1,FALSE()))),"OLD",IF(AND(E3304&lt;&gt;"",E3304&lt;&gt;"!!!"),"NEW","")))</f>
        <v> </v>
      </c>
      <c r="G3304" s="23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4" t="str">
        <f>IF(J3304&lt;&gt;1,"",IF(I3304="SBJ","CB","?"))</f>
        <v> </v>
      </c>
      <c r="I3304" s="25" t="str">
        <f>IF(OR(E3304="",E3304="!!!",F3304="NEW"),"",INDEX(B3303:B$2,-1+SUMPRODUCT(MAX(ROW(E3303:E$2)*(E3304=E3303:E$2)))))</f>
        <v> </v>
      </c>
      <c r="J3304" s="25" t="str">
        <f>IF(OR(E3304="",E3304="!!!",F3304="NEW"),"",COUNTBLANK(OFFSET(A$1,,,SUMPRODUCT(MAX(ROW(E$2:E3304)*(E3304=E$2:E3304)))))-COUNTBLANK(OFFSET(A$1,,,SUMPRODUCT(MAX(ROW(E$1:E3303)*(E2=E$1:E3303))))))</f>
        <v> </v>
      </c>
      <c r="K3304" s="25" t="str">
        <f>IF(OR(E3304="",E3304="!!!",F3304="NEW"),"",INDEX(J$1:J3303,SUMPRODUCT(MAX(ROW(E$1:E3303)*(E3304=E$1:E3303)))))</f>
        <v> </v>
      </c>
      <c r="L3304" s="26"/>
    </row>
    <row r="3305" spans="1:12">
      <c r="A3305" s="20" t="s">
        <v>2216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795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877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2217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110</v>
      </c>
      <c r="B3309" s="27" t="s">
        <v>849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 t="s">
        <v>913</v>
      </c>
      <c r="E3310" s="21">
        <f>IF(D3310="?OLD","!!!","")</f>
        <v/>
      </c>
      <c r="F3310" s="22" t="str">
        <f>IF(OR(E3310="",E3310="!!!"),"",IF(NOT(ISNA(VLOOKUP(E3310,E$1:E3309,1,FALSE()))),"OLD",IF(AND(E3310&lt;&gt;"",E3310&lt;&gt;"!!!"),"NEW","")))</f>
        <v> </v>
      </c>
      <c r="G3310" s="23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4" t="str">
        <f>IF(J3310&lt;&gt;1,"",IF(I3310="SBJ","CB","?"))</f>
        <v> </v>
      </c>
      <c r="I3310" s="25" t="str">
        <f>IF(OR(E3310="",E3310="!!!",F3310="NEW"),"",INDEX(B3309:B$2,-1+SUMPRODUCT(MAX(ROW(E3309:E$2)*(E3310=E3309:E$2)))))</f>
        <v> </v>
      </c>
      <c r="J3310" s="25" t="str">
        <f>IF(OR(E3310="",E3310="!!!",F3310="NEW"),"",COUNTBLANK(OFFSET(A$1,,,SUMPRODUCT(MAX(ROW(E$2:E3310)*(E3310=E$2:E3310)))))-COUNTBLANK(OFFSET(A$1,,,SUMPRODUCT(MAX(ROW(E$1:E3309)*(E2=E$1:E3309))))))</f>
        <v> </v>
      </c>
      <c r="K3310" s="25" t="str">
        <f>IF(OR(E3310="",E3310="!!!",F3310="NEW"),"",INDEX(J$1:J3309,SUMPRODUCT(MAX(ROW(E$1:E3309)*(E3310=E$1:E3309)))))</f>
        <v> </v>
      </c>
      <c r="L3310" s="26"/>
    </row>
    <row r="3311" spans="1:12">
      <c r="A3311" s="20" t="s">
        <v>344</v>
      </c>
      <c r="E3311" s="21">
        <f>IF(D3311="?OLD","!!!","")</f>
        <v/>
      </c>
      <c r="F3311" s="22" t="str">
        <f>IF(OR(E3311="",E3311="!!!"),"",IF(NOT(ISNA(VLOOKUP(E3311,E$1:E3310,1,FALSE()))),"OLD",IF(AND(E3311&lt;&gt;"",E3311&lt;&gt;"!!!"),"NEW","")))</f>
        <v> </v>
      </c>
      <c r="G3311" s="23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4" t="str">
        <f>IF(J3311&lt;&gt;1,"",IF(I3311="SBJ","CB","?"))</f>
        <v> </v>
      </c>
      <c r="I3311" s="25" t="str">
        <f>IF(OR(E3311="",E3311="!!!",F3311="NEW"),"",INDEX(B3310:B$2,-1+SUMPRODUCT(MAX(ROW(E3310:E$2)*(E3311=E3310:E$2)))))</f>
        <v> </v>
      </c>
      <c r="J3311" s="25" t="str">
        <f>IF(OR(E3311="",E3311="!!!",F3311="NEW"),"",COUNTBLANK(OFFSET(A$1,,,SUMPRODUCT(MAX(ROW(E$2:E3311)*(E3311=E$2:E3311)))))-COUNTBLANK(OFFSET(A$1,,,SUMPRODUCT(MAX(ROW(E$1:E3310)*(E2=E$1:E3310))))))</f>
        <v> </v>
      </c>
      <c r="K3311" s="25" t="str">
        <f>IF(OR(E3311="",E3311="!!!",F3311="NEW"),"",INDEX(J$1:J3310,SUMPRODUCT(MAX(ROW(E$1:E3310)*(E3311=E$1:E3310)))))</f>
        <v> </v>
      </c>
      <c r="L3311" s="26"/>
    </row>
    <row r="3312" spans="1:12">
      <c r="A3312" s="20" t="s">
        <v>2218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1405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 t="s">
        <v>795</v>
      </c>
      <c r="E3314" s="21">
        <f>IF(D3314="?OLD","!!!","")</f>
        <v/>
      </c>
      <c r="F3314" s="22" t="str">
        <f>IF(OR(E3314="",E3314="!!!"),"",IF(NOT(ISNA(VLOOKUP(E3314,E$1:E3313,1,FALSE()))),"OLD",IF(AND(E3314&lt;&gt;"",E3314&lt;&gt;"!!!"),"NEW","")))</f>
        <v> </v>
      </c>
      <c r="G3314" s="23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4" t="str">
        <f>IF(J3314&lt;&gt;1,"",IF(I3314="SBJ","CB","?"))</f>
        <v> </v>
      </c>
      <c r="I3314" s="25" t="str">
        <f>IF(OR(E3314="",E3314="!!!",F3314="NEW"),"",INDEX(B3313:B$2,-1+SUMPRODUCT(MAX(ROW(E3313:E$2)*(E3314=E3313:E$2)))))</f>
        <v> </v>
      </c>
      <c r="J3314" s="25" t="str">
        <f>IF(OR(E3314="",E3314="!!!",F3314="NEW"),"",COUNTBLANK(OFFSET(A$1,,,SUMPRODUCT(MAX(ROW(E$2:E3314)*(E3314=E$2:E3314)))))-COUNTBLANK(OFFSET(A$1,,,SUMPRODUCT(MAX(ROW(E$1:E3313)*(E2=E$1:E3313))))))</f>
        <v> </v>
      </c>
      <c r="K3314" s="25" t="str">
        <f>IF(OR(E3314="",E3314="!!!",F3314="NEW"),"",INDEX(J$1:J3313,SUMPRODUCT(MAX(ROW(E$1:E3313)*(E3314=E$1:E3313)))))</f>
        <v> </v>
      </c>
      <c r="L3314" s="26"/>
    </row>
    <row r="3315" spans="1:12">
      <c r="A3315" s="20" t="s">
        <v>791</v>
      </c>
      <c r="E3315" s="21">
        <f>IF(D3315="?OLD","!!!","")</f>
        <v/>
      </c>
      <c r="F3315" s="22" t="str">
        <f>IF(OR(E3315="",E3315="!!!"),"",IF(NOT(ISNA(VLOOKUP(E3315,E$1:E3314,1,FALSE()))),"OLD",IF(AND(E3315&lt;&gt;"",E3315&lt;&gt;"!!!"),"NEW","")))</f>
        <v> </v>
      </c>
      <c r="G3315" s="23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4" t="str">
        <f>IF(J3315&lt;&gt;1,"",IF(I3315="SBJ","CB","?"))</f>
        <v> </v>
      </c>
      <c r="I3315" s="25" t="str">
        <f>IF(OR(E3315="",E3315="!!!",F3315="NEW"),"",INDEX(B3314:B$2,-1+SUMPRODUCT(MAX(ROW(E3314:E$2)*(E3315=E3314:E$2)))))</f>
        <v> </v>
      </c>
      <c r="J3315" s="25" t="str">
        <f>IF(OR(E3315="",E3315="!!!",F3315="NEW"),"",COUNTBLANK(OFFSET(A$1,,,SUMPRODUCT(MAX(ROW(E$2:E3315)*(E3315=E$2:E3315)))))-COUNTBLANK(OFFSET(A$1,,,SUMPRODUCT(MAX(ROW(E$1:E3314)*(E2=E$1:E3314))))))</f>
        <v> </v>
      </c>
      <c r="K3315" s="25" t="str">
        <f>IF(OR(E3315="",E3315="!!!",F3315="NEW"),"",INDEX(J$1:J3314,SUMPRODUCT(MAX(ROW(E$1:E3314)*(E3315=E$1:E3314)))))</f>
        <v> </v>
      </c>
      <c r="L3315" s="26"/>
    </row>
    <row r="3316" spans="1:12">
      <c r="A3316" s="20" t="s">
        <v>980</v>
      </c>
      <c r="E3316" s="21">
        <f>IF(D3316="?OLD","!!!","")</f>
        <v/>
      </c>
      <c r="F3316" s="22" t="str">
        <f>IF(OR(E3316="",E3316="!!!"),"",IF(NOT(ISNA(VLOOKUP(E3316,E$1:E3315,1,FALSE()))),"OLD",IF(AND(E3316&lt;&gt;"",E3316&lt;&gt;"!!!"),"NEW","")))</f>
        <v> </v>
      </c>
      <c r="G3316" s="23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4" t="str">
        <f>IF(J3316&lt;&gt;1,"",IF(I3316="SBJ","CB","?"))</f>
        <v> </v>
      </c>
      <c r="I3316" s="25" t="str">
        <f>IF(OR(E3316="",E3316="!!!",F3316="NEW"),"",INDEX(B3315:B$2,-1+SUMPRODUCT(MAX(ROW(E3315:E$2)*(E3316=E3315:E$2)))))</f>
        <v> </v>
      </c>
      <c r="J3316" s="25" t="str">
        <f>IF(OR(E3316="",E3316="!!!",F3316="NEW"),"",COUNTBLANK(OFFSET(A$1,,,SUMPRODUCT(MAX(ROW(E$2:E3316)*(E3316=E$2:E3316)))))-COUNTBLANK(OFFSET(A$1,,,SUMPRODUCT(MAX(ROW(E$1:E3315)*(E2=E$1:E3315))))))</f>
        <v> </v>
      </c>
      <c r="K3316" s="25" t="str">
        <f>IF(OR(E3316="",E3316="!!!",F3316="NEW"),"",INDEX(J$1:J3315,SUMPRODUCT(MAX(ROW(E$1:E3315)*(E3316=E$1:E3315)))))</f>
        <v> </v>
      </c>
      <c r="L3316" s="26"/>
    </row>
    <row r="3317" spans="1:12">
      <c r="A3317" s="20" t="s">
        <v>1432</v>
      </c>
      <c r="B3317" s="27" t="s">
        <v>957</v>
      </c>
      <c r="C3317" s="27" t="s">
        <v>816</v>
      </c>
      <c r="D3317" s="27" t="s">
        <v>801</v>
      </c>
      <c r="E3317" s="21">
        <f>IF(D3317="?OLD","!!!","")</f>
        <v/>
      </c>
      <c r="F3317" s="22" t="str">
        <f>IF(OR(E3317="",E3317="!!!"),"",IF(NOT(ISNA(VLOOKUP(E3317,E$1:E3316,1,FALSE()))),"OLD",IF(AND(E3317&lt;&gt;"",E3317&lt;&gt;"!!!"),"NEW","")))</f>
        <v> </v>
      </c>
      <c r="G3317" s="23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4" t="str">
        <f>IF(J3317&lt;&gt;1,"",IF(I3317="SBJ","CB","?"))</f>
        <v> </v>
      </c>
      <c r="I3317" s="25" t="str">
        <f>IF(OR(E3317="",E3317="!!!",F3317="NEW"),"",INDEX(B3316:B$2,-1+SUMPRODUCT(MAX(ROW(E3316:E$2)*(E3317=E3316:E$2)))))</f>
        <v> </v>
      </c>
      <c r="J3317" s="25" t="str">
        <f>IF(OR(E3317="",E3317="!!!",F3317="NEW"),"",COUNTBLANK(OFFSET(A$1,,,SUMPRODUCT(MAX(ROW(E$2:E3317)*(E3317=E$2:E3317)))))-COUNTBLANK(OFFSET(A$1,,,SUMPRODUCT(MAX(ROW(E$1:E3316)*(E2=E$1:E3316))))))</f>
        <v> </v>
      </c>
      <c r="K3317" s="25" t="str">
        <f>IF(OR(E3317="",E3317="!!!",F3317="NEW"),"",INDEX(J$1:J3316,SUMPRODUCT(MAX(ROW(E$1:E3316)*(E3317=E$1:E3316)))))</f>
        <v> </v>
      </c>
      <c r="L3317" s="26"/>
    </row>
    <row r="3318" spans="1:12">
      <c r="A3318" s="20" t="s">
        <v>1417</v>
      </c>
      <c r="E3318" s="21">
        <f>IF(D3318="?OLD","!!!","")</f>
        <v/>
      </c>
      <c r="F3318" s="22" t="str">
        <f>IF(OR(E3318="",E3318="!!!"),"",IF(NOT(ISNA(VLOOKUP(E3318,E$1:E3317,1,FALSE()))),"OLD",IF(AND(E3318&lt;&gt;"",E3318&lt;&gt;"!!!"),"NEW","")))</f>
        <v> </v>
      </c>
      <c r="G3318" s="23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4" t="str">
        <f>IF(J3318&lt;&gt;1,"",IF(I3318="SBJ","CB","?"))</f>
        <v> </v>
      </c>
      <c r="I3318" s="25" t="str">
        <f>IF(OR(E3318="",E3318="!!!",F3318="NEW"),"",INDEX(B3317:B$2,-1+SUMPRODUCT(MAX(ROW(E3317:E$2)*(E3318=E3317:E$2)))))</f>
        <v> </v>
      </c>
      <c r="J3318" s="25" t="str">
        <f>IF(OR(E3318="",E3318="!!!",F3318="NEW"),"",COUNTBLANK(OFFSET(A$1,,,SUMPRODUCT(MAX(ROW(E$2:E3318)*(E3318=E$2:E3318)))))-COUNTBLANK(OFFSET(A$1,,,SUMPRODUCT(MAX(ROW(E$1:E3317)*(E2=E$1:E3317))))))</f>
        <v> </v>
      </c>
      <c r="K3318" s="25" t="str">
        <f>IF(OR(E3318="",E3318="!!!",F3318="NEW"),"",INDEX(J$1:J3317,SUMPRODUCT(MAX(ROW(E$1:E3317)*(E3318=E$1:E3317)))))</f>
        <v> </v>
      </c>
      <c r="L3318" s="26"/>
    </row>
    <row r="3319" spans="1:12">
      <c r="A3319" s="20" t="s">
        <v>2219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 t="s">
        <v>2220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1062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978</v>
      </c>
      <c r="B3322" s="27" t="s">
        <v>829</v>
      </c>
      <c r="C3322" s="27" t="s">
        <v>800</v>
      </c>
      <c r="D3322" s="27" t="s">
        <v>801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803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/>
    </row>
    <row r="3325" spans="1:12">
      <c r="A3325" s="20" t="s">
        <v>2221</v>
      </c>
    </row>
    <row r="3326" spans="1:12">
      <c r="A3326" s="20" t="s">
        <v>2222</v>
      </c>
      <c r="B3326" s="27" t="s">
        <v>857</v>
      </c>
      <c r="C3326" s="27" t="s">
        <v>896</v>
      </c>
      <c r="D3326" s="27" t="s">
        <v>801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 t="s">
        <v>2223</v>
      </c>
      <c r="B3327" s="27" t="s">
        <v>799</v>
      </c>
      <c r="E3327" s="21">
        <f>IF(D3327="?OLD","!!!","")</f>
        <v/>
      </c>
      <c r="F3327" s="22" t="str">
        <f>IF(OR(E3327="",E3327="!!!"),"",IF(NOT(ISNA(VLOOKUP(E3327,E$1:E3326,1,FALSE()))),"OLD",IF(AND(E3327&lt;&gt;"",E3327&lt;&gt;"!!!"),"NEW","")))</f>
        <v> </v>
      </c>
      <c r="G3327" s="23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4" t="str">
        <f>IF(J3327&lt;&gt;1,"",IF(I3327="SBJ","CB","?"))</f>
        <v> </v>
      </c>
      <c r="I3327" s="25" t="str">
        <f>IF(OR(E3327="",E3327="!!!",F3327="NEW"),"",INDEX(B3326:B$2,-1+SUMPRODUCT(MAX(ROW(E3326:E$2)*(E3327=E3326:E$2)))))</f>
        <v> </v>
      </c>
      <c r="J3327" s="25" t="str">
        <f>IF(OR(E3327="",E3327="!!!",F3327="NEW"),"",COUNTBLANK(OFFSET(A$1,,,SUMPRODUCT(MAX(ROW(E$2:E3327)*(E3327=E$2:E3327)))))-COUNTBLANK(OFFSET(A$1,,,SUMPRODUCT(MAX(ROW(E$1:E3326)*(E2=E$1:E3326))))))</f>
        <v> </v>
      </c>
      <c r="K3327" s="25" t="str">
        <f>IF(OR(E3327="",E3327="!!!",F3327="NEW"),"",INDEX(J$1:J3326,SUMPRODUCT(MAX(ROW(E$1:E3326)*(E3327=E$1:E3326)))))</f>
        <v> </v>
      </c>
      <c r="L3327" s="26"/>
    </row>
    <row r="3328" spans="1:12">
      <c r="A3328" s="20" t="s">
        <v>797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2224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658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 t="s">
        <v>2225</v>
      </c>
      <c r="E3331" s="21">
        <f>IF(D3331="?OLD","!!!","")</f>
        <v/>
      </c>
      <c r="F3331" s="22" t="str">
        <f>IF(OR(E3331="",E3331="!!!"),"",IF(NOT(ISNA(VLOOKUP(E3331,E$1:E3330,1,FALSE()))),"OLD",IF(AND(E3331&lt;&gt;"",E3331&lt;&gt;"!!!"),"NEW","")))</f>
        <v> </v>
      </c>
      <c r="G3331" s="23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4" t="str">
        <f>IF(J3331&lt;&gt;1,"",IF(I3331="SBJ","CB","?"))</f>
        <v> </v>
      </c>
      <c r="I3331" s="25" t="str">
        <f>IF(OR(E3331="",E3331="!!!",F3331="NEW"),"",INDEX(B3330:B$2,-1+SUMPRODUCT(MAX(ROW(E3330:E$2)*(E3331=E3330:E$2)))))</f>
        <v> </v>
      </c>
      <c r="J3331" s="25" t="str">
        <f>IF(OR(E3331="",E3331="!!!",F3331="NEW"),"",COUNTBLANK(OFFSET(A$1,,,SUMPRODUCT(MAX(ROW(E$2:E3331)*(E3331=E$2:E3331)))))-COUNTBLANK(OFFSET(A$1,,,SUMPRODUCT(MAX(ROW(E$1:E3330)*(E2=E$1:E3330))))))</f>
        <v> </v>
      </c>
      <c r="K3331" s="25" t="str">
        <f>IF(OR(E3331="",E3331="!!!",F3331="NEW"),"",INDEX(J$1:J3330,SUMPRODUCT(MAX(ROW(E$1:E3330)*(E3331=E$1:E3330)))))</f>
        <v> </v>
      </c>
      <c r="L3331" s="26"/>
    </row>
    <row r="3332" spans="1:12">
      <c r="A3332" s="20" t="s">
        <v>1186</v>
      </c>
      <c r="B3332" s="27" t="s">
        <v>842</v>
      </c>
      <c r="C3332" s="27" t="s">
        <v>843</v>
      </c>
      <c r="E3332" s="21">
        <f>IF(D3332="?OLD","!!!","")</f>
        <v/>
      </c>
      <c r="F3332" s="22" t="str">
        <f>IF(OR(E3332="",E3332="!!!"),"",IF(NOT(ISNA(VLOOKUP(E3332,E$1:E3331,1,FALSE()))),"OLD",IF(AND(E3332&lt;&gt;"",E3332&lt;&gt;"!!!"),"NEW","")))</f>
        <v> </v>
      </c>
      <c r="G3332" s="23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4" t="str">
        <f>IF(J3332&lt;&gt;1,"",IF(I3332="SBJ","CB","?"))</f>
        <v> </v>
      </c>
      <c r="I3332" s="25" t="str">
        <f>IF(OR(E3332="",E3332="!!!",F3332="NEW"),"",INDEX(B3331:B$2,-1+SUMPRODUCT(MAX(ROW(E3331:E$2)*(E3332=E3331:E$2)))))</f>
        <v> </v>
      </c>
      <c r="J3332" s="25" t="str">
        <f>IF(OR(E3332="",E3332="!!!",F3332="NEW"),"",COUNTBLANK(OFFSET(A$1,,,SUMPRODUCT(MAX(ROW(E$2:E3332)*(E3332=E$2:E3332)))))-COUNTBLANK(OFFSET(A$1,,,SUMPRODUCT(MAX(ROW(E$1:E3331)*(E2=E$1:E3331))))))</f>
        <v> </v>
      </c>
      <c r="K3332" s="25" t="str">
        <f>IF(OR(E3332="",E3332="!!!",F3332="NEW"),"",INDEX(J$1:J3331,SUMPRODUCT(MAX(ROW(E$1:E3331)*(E3332=E$1:E3331)))))</f>
        <v> </v>
      </c>
      <c r="L3332" s="26"/>
    </row>
    <row r="3333" spans="1:12">
      <c r="A3333" s="20" t="s">
        <v>2226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2227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837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2228</v>
      </c>
      <c r="B3336" s="27" t="s">
        <v>857</v>
      </c>
      <c r="C3336" s="27" t="s">
        <v>858</v>
      </c>
      <c r="D3336" s="27" t="s">
        <v>801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803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/>
    </row>
    <row r="3339" spans="1:12">
      <c r="A3339" s="20" t="s">
        <v>2229</v>
      </c>
    </row>
    <row r="3340" spans="1:12">
      <c r="A3340" s="20" t="s">
        <v>2197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1008</v>
      </c>
      <c r="B3341" s="27" t="s">
        <v>842</v>
      </c>
      <c r="C3341" s="27" t="s">
        <v>816</v>
      </c>
      <c r="D3341" s="27" t="s">
        <v>801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 t="s">
        <v>1109</v>
      </c>
      <c r="E3342" s="21">
        <f>IF(D3342="?OLD","!!!","")</f>
        <v/>
      </c>
      <c r="F3342" s="22" t="str">
        <f>IF(OR(E3342="",E3342="!!!"),"",IF(NOT(ISNA(VLOOKUP(E3342,E$1:E3341,1,FALSE()))),"OLD",IF(AND(E3342&lt;&gt;"",E3342&lt;&gt;"!!!"),"NEW","")))</f>
        <v> </v>
      </c>
      <c r="G3342" s="23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4" t="str">
        <f>IF(J3342&lt;&gt;1,"",IF(I3342="SBJ","CB","?"))</f>
        <v> </v>
      </c>
      <c r="I3342" s="25" t="str">
        <f>IF(OR(E3342="",E3342="!!!",F3342="NEW"),"",INDEX(B3341:B$2,-1+SUMPRODUCT(MAX(ROW(E3341:E$2)*(E3342=E3341:E$2)))))</f>
        <v> </v>
      </c>
      <c r="J3342" s="25" t="str">
        <f>IF(OR(E3342="",E3342="!!!",F3342="NEW"),"",COUNTBLANK(OFFSET(A$1,,,SUMPRODUCT(MAX(ROW(E$2:E3342)*(E3342=E$2:E3342)))))-COUNTBLANK(OFFSET(A$1,,,SUMPRODUCT(MAX(ROW(E$1:E3341)*(E2=E$1:E3341))))))</f>
        <v> </v>
      </c>
      <c r="K3342" s="25" t="str">
        <f>IF(OR(E3342="",E3342="!!!",F3342="NEW"),"",INDEX(J$1:J3341,SUMPRODUCT(MAX(ROW(E$1:E3341)*(E3342=E$1:E3341)))))</f>
        <v> </v>
      </c>
      <c r="L3342" s="26"/>
    </row>
    <row r="3343" spans="1:12">
      <c r="A3343" s="20" t="s">
        <v>2230</v>
      </c>
      <c r="B3343" s="27" t="s">
        <v>799</v>
      </c>
      <c r="E3343" s="21">
        <f>IF(D3343="?OLD","!!!","")</f>
        <v/>
      </c>
      <c r="F3343" s="22" t="str">
        <f>IF(OR(E3343="",E3343="!!!"),"",IF(NOT(ISNA(VLOOKUP(E3343,E$1:E3342,1,FALSE()))),"OLD",IF(AND(E3343&lt;&gt;"",E3343&lt;&gt;"!!!"),"NEW","")))</f>
        <v> </v>
      </c>
      <c r="G3343" s="23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4" t="str">
        <f>IF(J3343&lt;&gt;1,"",IF(I3343="SBJ","CB","?"))</f>
        <v> </v>
      </c>
      <c r="I3343" s="25" t="str">
        <f>IF(OR(E3343="",E3343="!!!",F3343="NEW"),"",INDEX(B3342:B$2,-1+SUMPRODUCT(MAX(ROW(E3342:E$2)*(E3343=E3342:E$2)))))</f>
        <v> </v>
      </c>
      <c r="J3343" s="25" t="str">
        <f>IF(OR(E3343="",E3343="!!!",F3343="NEW"),"",COUNTBLANK(OFFSET(A$1,,,SUMPRODUCT(MAX(ROW(E$2:E3343)*(E3343=E$2:E3343)))))-COUNTBLANK(OFFSET(A$1,,,SUMPRODUCT(MAX(ROW(E$1:E3342)*(E2=E$1:E3342))))))</f>
        <v> </v>
      </c>
      <c r="K3343" s="25" t="str">
        <f>IF(OR(E3343="",E3343="!!!",F3343="NEW"),"",INDEX(J$1:J3342,SUMPRODUCT(MAX(ROW(E$1:E3342)*(E3343=E$1:E3342)))))</f>
        <v> </v>
      </c>
      <c r="L3343" s="26"/>
    </row>
    <row r="3344" spans="1:12">
      <c r="A3344" s="20" t="s">
        <v>863</v>
      </c>
      <c r="E3344" s="21">
        <f>IF(D3344="?OLD","!!!","")</f>
        <v/>
      </c>
      <c r="F3344" s="22" t="str">
        <f>IF(OR(E3344="",E3344="!!!"),"",IF(NOT(ISNA(VLOOKUP(E3344,E$1:E3343,1,FALSE()))),"OLD",IF(AND(E3344&lt;&gt;"",E3344&lt;&gt;"!!!"),"NEW","")))</f>
        <v> </v>
      </c>
      <c r="G3344" s="23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4" t="str">
        <f>IF(J3344&lt;&gt;1,"",IF(I3344="SBJ","CB","?"))</f>
        <v> </v>
      </c>
      <c r="I3344" s="25" t="str">
        <f>IF(OR(E3344="",E3344="!!!",F3344="NEW"),"",INDEX(B3343:B$2,-1+SUMPRODUCT(MAX(ROW(E3343:E$2)*(E3344=E3343:E$2)))))</f>
        <v> </v>
      </c>
      <c r="J3344" s="25" t="str">
        <f>IF(OR(E3344="",E3344="!!!",F3344="NEW"),"",COUNTBLANK(OFFSET(A$1,,,SUMPRODUCT(MAX(ROW(E$2:E3344)*(E3344=E$2:E3344)))))-COUNTBLANK(OFFSET(A$1,,,SUMPRODUCT(MAX(ROW(E$1:E3343)*(E2=E$1:E3343))))))</f>
        <v> </v>
      </c>
      <c r="K3344" s="25" t="str">
        <f>IF(OR(E3344="",E3344="!!!",F3344="NEW"),"",INDEX(J$1:J3343,SUMPRODUCT(MAX(ROW(E$1:E3343)*(E3344=E$1:E3343)))))</f>
        <v> </v>
      </c>
      <c r="L3344" s="26"/>
    </row>
    <row r="3345" spans="1:12">
      <c r="A3345" s="20" t="s">
        <v>2231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 t="s">
        <v>795</v>
      </c>
      <c r="E3346" s="21">
        <f>IF(D3346="?OLD","!!!","")</f>
        <v/>
      </c>
      <c r="F3346" s="22" t="str">
        <f>IF(OR(E3346="",E3346="!!!"),"",IF(NOT(ISNA(VLOOKUP(E3346,E$1:E3345,1,FALSE()))),"OLD",IF(AND(E3346&lt;&gt;"",E3346&lt;&gt;"!!!"),"NEW","")))</f>
        <v> </v>
      </c>
      <c r="G3346" s="23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4" t="str">
        <f>IF(J3346&lt;&gt;1,"",IF(I3346="SBJ","CB","?"))</f>
        <v> </v>
      </c>
      <c r="I3346" s="25" t="str">
        <f>IF(OR(E3346="",E3346="!!!",F3346="NEW"),"",INDEX(B3345:B$2,-1+SUMPRODUCT(MAX(ROW(E3345:E$2)*(E3346=E3345:E$2)))))</f>
        <v> </v>
      </c>
      <c r="J3346" s="25" t="str">
        <f>IF(OR(E3346="",E3346="!!!",F3346="NEW"),"",COUNTBLANK(OFFSET(A$1,,,SUMPRODUCT(MAX(ROW(E$2:E3346)*(E3346=E$2:E3346)))))-COUNTBLANK(OFFSET(A$1,,,SUMPRODUCT(MAX(ROW(E$1:E3345)*(E2=E$1:E3345))))))</f>
        <v> </v>
      </c>
      <c r="K3346" s="25" t="str">
        <f>IF(OR(E3346="",E3346="!!!",F3346="NEW"),"",INDEX(J$1:J3345,SUMPRODUCT(MAX(ROW(E$1:E3345)*(E3346=E$1:E3345)))))</f>
        <v> </v>
      </c>
      <c r="L3346" s="26"/>
    </row>
    <row r="3347" spans="1:12">
      <c r="A3347" s="20" t="s">
        <v>837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2232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795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2233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999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1186</v>
      </c>
      <c r="B3352" s="27" t="s">
        <v>1001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 t="s">
        <v>803</v>
      </c>
      <c r="E3353" s="21">
        <f>IF(D3353="?OLD","!!!","")</f>
        <v/>
      </c>
      <c r="F3353" s="22" t="str">
        <f>IF(OR(E3353="",E3353="!!!"),"",IF(NOT(ISNA(VLOOKUP(E3353,E$1:E3352,1,FALSE()))),"OLD",IF(AND(E3353&lt;&gt;"",E3353&lt;&gt;"!!!"),"NEW","")))</f>
        <v> </v>
      </c>
      <c r="G3353" s="23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4" t="str">
        <f>IF(J3353&lt;&gt;1,"",IF(I3353="SBJ","CB","?"))</f>
        <v> </v>
      </c>
      <c r="I3353" s="25" t="str">
        <f>IF(OR(E3353="",E3353="!!!",F3353="NEW"),"",INDEX(B3352:B$2,-1+SUMPRODUCT(MAX(ROW(E3352:E$2)*(E3353=E3352:E$2)))))</f>
        <v> </v>
      </c>
      <c r="J3353" s="25" t="str">
        <f>IF(OR(E3353="",E3353="!!!",F3353="NEW"),"",COUNTBLANK(OFFSET(A$1,,,SUMPRODUCT(MAX(ROW(E$2:E3353)*(E3353=E$2:E3353)))))-COUNTBLANK(OFFSET(A$1,,,SUMPRODUCT(MAX(ROW(E$1:E3352)*(E2=E$1:E3352))))))</f>
        <v> </v>
      </c>
      <c r="K3353" s="25" t="str">
        <f>IF(OR(E3353="",E3353="!!!",F3353="NEW"),"",INDEX(J$1:J3352,SUMPRODUCT(MAX(ROW(E$1:E3352)*(E3353=E$1:E3352)))))</f>
        <v> </v>
      </c>
      <c r="L3353" s="26"/>
    </row>
    <row r="3354" spans="1:12">
      <c r="A3354" s="20"/>
    </row>
    <row r="3355" spans="1:12">
      <c r="A3355" s="20" t="s">
        <v>2234</v>
      </c>
    </row>
    <row r="3356" spans="1:12">
      <c r="A3356" s="20" t="s">
        <v>2197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 t="s">
        <v>912</v>
      </c>
      <c r="B3357" s="27" t="s">
        <v>842</v>
      </c>
      <c r="C3357" s="27" t="s">
        <v>816</v>
      </c>
      <c r="D3357" s="27" t="s">
        <v>801</v>
      </c>
      <c r="E3357" s="21">
        <f>IF(D3357="?OLD","!!!","")</f>
        <v/>
      </c>
      <c r="F3357" s="22" t="str">
        <f>IF(OR(E3357="",E3357="!!!"),"",IF(NOT(ISNA(VLOOKUP(E3357,E$1:E3356,1,FALSE()))),"OLD",IF(AND(E3357&lt;&gt;"",E3357&lt;&gt;"!!!"),"NEW","")))</f>
        <v> </v>
      </c>
      <c r="G3357" s="23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4" t="str">
        <f>IF(J3357&lt;&gt;1,"",IF(I3357="SBJ","CB","?"))</f>
        <v> </v>
      </c>
      <c r="I3357" s="25" t="str">
        <f>IF(OR(E3357="",E3357="!!!",F3357="NEW"),"",INDEX(B3356:B$2,-1+SUMPRODUCT(MAX(ROW(E3356:E$2)*(E3357=E3356:E$2)))))</f>
        <v> </v>
      </c>
      <c r="J3357" s="25" t="str">
        <f>IF(OR(E3357="",E3357="!!!",F3357="NEW"),"",COUNTBLANK(OFFSET(A$1,,,SUMPRODUCT(MAX(ROW(E$2:E3357)*(E3357=E$2:E3357)))))-COUNTBLANK(OFFSET(A$1,,,SUMPRODUCT(MAX(ROW(E$1:E3356)*(E2=E$1:E3356))))))</f>
        <v> </v>
      </c>
      <c r="K3357" s="25" t="str">
        <f>IF(OR(E3357="",E3357="!!!",F3357="NEW"),"",INDEX(J$1:J3356,SUMPRODUCT(MAX(ROW(E$1:E3356)*(E3357=E$1:E3356)))))</f>
        <v> </v>
      </c>
      <c r="L3357" s="26"/>
    </row>
    <row r="3358" spans="1:12">
      <c r="A3358" s="20" t="s">
        <v>894</v>
      </c>
      <c r="E3358" s="21">
        <f>IF(D3358="?OLD","!!!","")</f>
        <v/>
      </c>
      <c r="F3358" s="22" t="str">
        <f>IF(OR(E3358="",E3358="!!!"),"",IF(NOT(ISNA(VLOOKUP(E3358,E$1:E3357,1,FALSE()))),"OLD",IF(AND(E3358&lt;&gt;"",E3358&lt;&gt;"!!!"),"NEW","")))</f>
        <v> </v>
      </c>
      <c r="G3358" s="23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4" t="str">
        <f>IF(J3358&lt;&gt;1,"",IF(I3358="SBJ","CB","?"))</f>
        <v> </v>
      </c>
      <c r="I3358" s="25" t="str">
        <f>IF(OR(E3358="",E3358="!!!",F3358="NEW"),"",INDEX(B3357:B$2,-1+SUMPRODUCT(MAX(ROW(E3357:E$2)*(E3358=E3357:E$2)))))</f>
        <v> </v>
      </c>
      <c r="J3358" s="25" t="str">
        <f>IF(OR(E3358="",E3358="!!!",F3358="NEW"),"",COUNTBLANK(OFFSET(A$1,,,SUMPRODUCT(MAX(ROW(E$2:E3358)*(E3358=E$2:E3358)))))-COUNTBLANK(OFFSET(A$1,,,SUMPRODUCT(MAX(ROW(E$1:E3357)*(E2=E$1:E3357))))))</f>
        <v> </v>
      </c>
      <c r="K3358" s="25" t="str">
        <f>IF(OR(E3358="",E3358="!!!",F3358="NEW"),"",INDEX(J$1:J3357,SUMPRODUCT(MAX(ROW(E$1:E3357)*(E3358=E$1:E3357)))))</f>
        <v> </v>
      </c>
      <c r="L3358" s="26"/>
    </row>
    <row r="3359" spans="1:12">
      <c r="A3359" s="20" t="s">
        <v>1113</v>
      </c>
      <c r="B3359" s="27" t="s">
        <v>842</v>
      </c>
      <c r="C3359" s="27" t="s">
        <v>816</v>
      </c>
      <c r="D3359" s="27" t="s">
        <v>801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882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 t="s">
        <v>2235</v>
      </c>
      <c r="B3361" s="27" t="s">
        <v>799</v>
      </c>
      <c r="E3361" s="21">
        <f>IF(D3361="?OLD","!!!","")</f>
        <v/>
      </c>
      <c r="F3361" s="22" t="str">
        <f>IF(OR(E3361="",E3361="!!!"),"",IF(NOT(ISNA(VLOOKUP(E3361,E$1:E3360,1,FALSE()))),"OLD",IF(AND(E3361&lt;&gt;"",E3361&lt;&gt;"!!!"),"NEW","")))</f>
        <v> </v>
      </c>
      <c r="G3361" s="23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4" t="str">
        <f>IF(J3361&lt;&gt;1,"",IF(I3361="SBJ","CB","?"))</f>
        <v> </v>
      </c>
      <c r="I3361" s="25" t="str">
        <f>IF(OR(E3361="",E3361="!!!",F3361="NEW"),"",INDEX(B3360:B$2,-1+SUMPRODUCT(MAX(ROW(E3360:E$2)*(E3361=E3360:E$2)))))</f>
        <v> </v>
      </c>
      <c r="J3361" s="25" t="str">
        <f>IF(OR(E3361="",E3361="!!!",F3361="NEW"),"",COUNTBLANK(OFFSET(A$1,,,SUMPRODUCT(MAX(ROW(E$2:E3361)*(E3361=E$2:E3361)))))-COUNTBLANK(OFFSET(A$1,,,SUMPRODUCT(MAX(ROW(E$1:E3360)*(E2=E$1:E3360))))))</f>
        <v> </v>
      </c>
      <c r="K3361" s="25" t="str">
        <f>IF(OR(E3361="",E3361="!!!",F3361="NEW"),"",INDEX(J$1:J3360,SUMPRODUCT(MAX(ROW(E$1:E3360)*(E3361=E$1:E3360)))))</f>
        <v> </v>
      </c>
      <c r="L3361" s="26"/>
    </row>
    <row r="3362" spans="1:12">
      <c r="A3362" s="20" t="s">
        <v>803</v>
      </c>
      <c r="E3362" s="21">
        <f>IF(D3362="?OLD","!!!","")</f>
        <v/>
      </c>
      <c r="F3362" s="22" t="str">
        <f>IF(OR(E3362="",E3362="!!!"),"",IF(NOT(ISNA(VLOOKUP(E3362,E$1:E3361,1,FALSE()))),"OLD",IF(AND(E3362&lt;&gt;"",E3362&lt;&gt;"!!!"),"NEW","")))</f>
        <v> </v>
      </c>
      <c r="G3362" s="23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4" t="str">
        <f>IF(J3362&lt;&gt;1,"",IF(I3362="SBJ","CB","?"))</f>
        <v> </v>
      </c>
      <c r="I3362" s="25" t="str">
        <f>IF(OR(E3362="",E3362="!!!",F3362="NEW"),"",INDEX(B3361:B$2,-1+SUMPRODUCT(MAX(ROW(E3361:E$2)*(E3362=E3361:E$2)))))</f>
        <v> </v>
      </c>
      <c r="J3362" s="25" t="str">
        <f>IF(OR(E3362="",E3362="!!!",F3362="NEW"),"",COUNTBLANK(OFFSET(A$1,,,SUMPRODUCT(MAX(ROW(E$2:E3362)*(E3362=E$2:E3362)))))-COUNTBLANK(OFFSET(A$1,,,SUMPRODUCT(MAX(ROW(E$1:E3361)*(E2=E$1:E3361))))))</f>
        <v> </v>
      </c>
      <c r="K3362" s="25" t="str">
        <f>IF(OR(E3362="",E3362="!!!",F3362="NEW"),"",INDEX(J$1:J3361,SUMPRODUCT(MAX(ROW(E$1:E3361)*(E3362=E$1:E3361)))))</f>
        <v> </v>
      </c>
      <c r="L3362" s="26"/>
    </row>
    <row r="3363" spans="1:12">
      <c r="A3363" s="20"/>
    </row>
    <row r="3364" spans="1:12">
      <c r="A3364" s="20" t="s">
        <v>2236</v>
      </c>
    </row>
    <row r="3365" spans="1:12">
      <c r="A3365" s="20" t="s">
        <v>1050</v>
      </c>
      <c r="B3365" s="27" t="s">
        <v>799</v>
      </c>
      <c r="C3365" s="27" t="s">
        <v>816</v>
      </c>
      <c r="D3365" s="27" t="s">
        <v>801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 t="s">
        <v>2237</v>
      </c>
      <c r="E3366" s="21">
        <f>IF(D3366="?OLD","!!!","")</f>
        <v/>
      </c>
      <c r="F3366" s="22" t="str">
        <f>IF(OR(E3366="",E3366="!!!"),"",IF(NOT(ISNA(VLOOKUP(E3366,E$1:E3365,1,FALSE()))),"OLD",IF(AND(E3366&lt;&gt;"",E3366&lt;&gt;"!!!"),"NEW","")))</f>
        <v> </v>
      </c>
      <c r="G3366" s="23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4" t="str">
        <f>IF(J3366&lt;&gt;1,"",IF(I3366="SBJ","CB","?"))</f>
        <v> </v>
      </c>
      <c r="I3366" s="25" t="str">
        <f>IF(OR(E3366="",E3366="!!!",F3366="NEW"),"",INDEX(B3365:B$2,-1+SUMPRODUCT(MAX(ROW(E3365:E$2)*(E3366=E3365:E$2)))))</f>
        <v> </v>
      </c>
      <c r="J3366" s="25" t="str">
        <f>IF(OR(E3366="",E3366="!!!",F3366="NEW"),"",COUNTBLANK(OFFSET(A$1,,,SUMPRODUCT(MAX(ROW(E$2:E3366)*(E3366=E$2:E3366)))))-COUNTBLANK(OFFSET(A$1,,,SUMPRODUCT(MAX(ROW(E$1:E3365)*(E2=E$1:E3365))))))</f>
        <v> </v>
      </c>
      <c r="K3366" s="25" t="str">
        <f>IF(OR(E3366="",E3366="!!!",F3366="NEW"),"",INDEX(J$1:J3365,SUMPRODUCT(MAX(ROW(E$1:E3365)*(E3366=E$1:E3365)))))</f>
        <v> </v>
      </c>
      <c r="L3366" s="26"/>
    </row>
    <row r="3367" spans="1:12">
      <c r="A3367" s="20" t="s">
        <v>837</v>
      </c>
      <c r="E3367" s="21">
        <f>IF(D3367="?OLD","!!!","")</f>
        <v/>
      </c>
      <c r="F3367" s="22" t="str">
        <f>IF(OR(E3367="",E3367="!!!"),"",IF(NOT(ISNA(VLOOKUP(E3367,E$1:E3366,1,FALSE()))),"OLD",IF(AND(E3367&lt;&gt;"",E3367&lt;&gt;"!!!"),"NEW","")))</f>
        <v> </v>
      </c>
      <c r="G3367" s="23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4" t="str">
        <f>IF(J3367&lt;&gt;1,"",IF(I3367="SBJ","CB","?"))</f>
        <v> </v>
      </c>
      <c r="I3367" s="25" t="str">
        <f>IF(OR(E3367="",E3367="!!!",F3367="NEW"),"",INDEX(B3366:B$2,-1+SUMPRODUCT(MAX(ROW(E3366:E$2)*(E3367=E3366:E$2)))))</f>
        <v> </v>
      </c>
      <c r="J3367" s="25" t="str">
        <f>IF(OR(E3367="",E3367="!!!",F3367="NEW"),"",COUNTBLANK(OFFSET(A$1,,,SUMPRODUCT(MAX(ROW(E$2:E3367)*(E3367=E$2:E3367)))))-COUNTBLANK(OFFSET(A$1,,,SUMPRODUCT(MAX(ROW(E$1:E3366)*(E2=E$1:E3366))))))</f>
        <v> </v>
      </c>
      <c r="K3367" s="25" t="str">
        <f>IF(OR(E3367="",E3367="!!!",F3367="NEW"),"",INDEX(J$1:J3366,SUMPRODUCT(MAX(ROW(E$1:E3366)*(E3367=E$1:E3366)))))</f>
        <v> </v>
      </c>
      <c r="L3367" s="26"/>
    </row>
    <row r="3368" spans="1:12">
      <c r="A3368" s="20" t="s">
        <v>2238</v>
      </c>
      <c r="B3368" s="27" t="s">
        <v>842</v>
      </c>
      <c r="C3368" s="27" t="s">
        <v>858</v>
      </c>
      <c r="D3368" s="27" t="s">
        <v>801</v>
      </c>
      <c r="E3368" s="21">
        <f>IF(D3368="?OLD","!!!","")</f>
        <v/>
      </c>
      <c r="F3368" s="22" t="str">
        <f>IF(OR(E3368="",E3368="!!!"),"",IF(NOT(ISNA(VLOOKUP(E3368,E$1:E3367,1,FALSE()))),"OLD",IF(AND(E3368&lt;&gt;"",E3368&lt;&gt;"!!!"),"NEW","")))</f>
        <v> </v>
      </c>
      <c r="G3368" s="23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4" t="str">
        <f>IF(J3368&lt;&gt;1,"",IF(I3368="SBJ","CB","?"))</f>
        <v> </v>
      </c>
      <c r="I3368" s="25" t="str">
        <f>IF(OR(E3368="",E3368="!!!",F3368="NEW"),"",INDEX(B3367:B$2,-1+SUMPRODUCT(MAX(ROW(E3367:E$2)*(E3368=E3367:E$2)))))</f>
        <v> </v>
      </c>
      <c r="J3368" s="25" t="str">
        <f>IF(OR(E3368="",E3368="!!!",F3368="NEW"),"",COUNTBLANK(OFFSET(A$1,,,SUMPRODUCT(MAX(ROW(E$2:E3368)*(E3368=E$2:E3368)))))-COUNTBLANK(OFFSET(A$1,,,SUMPRODUCT(MAX(ROW(E$1:E3367)*(E2=E$1:E3367))))))</f>
        <v> </v>
      </c>
      <c r="K3368" s="25" t="str">
        <f>IF(OR(E3368="",E3368="!!!",F3368="NEW"),"",INDEX(J$1:J3367,SUMPRODUCT(MAX(ROW(E$1:E3367)*(E3368=E$1:E3367)))))</f>
        <v> </v>
      </c>
      <c r="L3368" s="26"/>
    </row>
    <row r="3369" spans="1:12">
      <c r="A3369" s="20" t="s">
        <v>803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/>
    </row>
    <row r="3371" spans="1:12">
      <c r="A3371" s="20" t="s">
        <v>2239</v>
      </c>
    </row>
    <row r="3372" spans="1:12">
      <c r="A3372" s="20" t="s">
        <v>851</v>
      </c>
      <c r="E3372" s="21">
        <f>IF(D3372="?OLD","!!!","")</f>
        <v/>
      </c>
      <c r="F3372" s="22" t="str">
        <f>IF(OR(E3372="",E3372="!!!"),"",IF(NOT(ISNA(VLOOKUP(E3372,E$1:E3371,1,FALSE()))),"OLD",IF(AND(E3372&lt;&gt;"",E3372&lt;&gt;"!!!"),"NEW","")))</f>
        <v> </v>
      </c>
      <c r="G3372" s="23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4" t="str">
        <f>IF(J3372&lt;&gt;1,"",IF(I3372="SBJ","CB","?"))</f>
        <v> </v>
      </c>
      <c r="I3372" s="25" t="str">
        <f>IF(OR(E3372="",E3372="!!!",F3372="NEW"),"",INDEX(B3371:B$2,-1+SUMPRODUCT(MAX(ROW(E3371:E$2)*(E3372=E3371:E$2)))))</f>
        <v> </v>
      </c>
      <c r="J3372" s="25" t="str">
        <f>IF(OR(E3372="",E3372="!!!",F3372="NEW"),"",COUNTBLANK(OFFSET(A$1,,,SUMPRODUCT(MAX(ROW(E$2:E3372)*(E3372=E$2:E3372)))))-COUNTBLANK(OFFSET(A$1,,,SUMPRODUCT(MAX(ROW(E$1:E3371)*(E2=E$1:E3371))))))</f>
        <v> </v>
      </c>
      <c r="K3372" s="25" t="str">
        <f>IF(OR(E3372="",E3372="!!!",F3372="NEW"),"",INDEX(J$1:J3371,SUMPRODUCT(MAX(ROW(E$1:E3371)*(E3372=E$1:E3371)))))</f>
        <v> </v>
      </c>
      <c r="L3372" s="26"/>
    </row>
    <row r="3373" spans="1:12">
      <c r="A3373" s="20" t="s">
        <v>980</v>
      </c>
      <c r="E3373" s="21">
        <f>IF(D3373="?OLD","!!!","")</f>
        <v/>
      </c>
      <c r="F3373" s="22" t="str">
        <f>IF(OR(E3373="",E3373="!!!"),"",IF(NOT(ISNA(VLOOKUP(E3373,E$1:E3372,1,FALSE()))),"OLD",IF(AND(E3373&lt;&gt;"",E3373&lt;&gt;"!!!"),"NEW","")))</f>
        <v> </v>
      </c>
      <c r="G3373" s="23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4" t="str">
        <f>IF(J3373&lt;&gt;1,"",IF(I3373="SBJ","CB","?"))</f>
        <v> </v>
      </c>
      <c r="I3373" s="25" t="str">
        <f>IF(OR(E3373="",E3373="!!!",F3373="NEW"),"",INDEX(B3372:B$2,-1+SUMPRODUCT(MAX(ROW(E3372:E$2)*(E3373=E3372:E$2)))))</f>
        <v> </v>
      </c>
      <c r="J3373" s="25" t="str">
        <f>IF(OR(E3373="",E3373="!!!",F3373="NEW"),"",COUNTBLANK(OFFSET(A$1,,,SUMPRODUCT(MAX(ROW(E$2:E3373)*(E3373=E$2:E3373)))))-COUNTBLANK(OFFSET(A$1,,,SUMPRODUCT(MAX(ROW(E$1:E3372)*(E2=E$1:E3372))))))</f>
        <v> </v>
      </c>
      <c r="K3373" s="25" t="str">
        <f>IF(OR(E3373="",E3373="!!!",F3373="NEW"),"",INDEX(J$1:J3372,SUMPRODUCT(MAX(ROW(E$1:E3372)*(E3373=E$1:E3372)))))</f>
        <v> </v>
      </c>
      <c r="L3373" s="26"/>
    </row>
    <row r="3374" spans="1:12">
      <c r="A3374" s="20" t="s">
        <v>912</v>
      </c>
      <c r="B3374" s="27" t="s">
        <v>842</v>
      </c>
      <c r="C3374" s="27" t="s">
        <v>816</v>
      </c>
      <c r="D3374" s="27" t="s">
        <v>801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894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2240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882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1394</v>
      </c>
      <c r="B3378" s="27" t="s">
        <v>799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 t="s">
        <v>795</v>
      </c>
      <c r="E3379" s="21">
        <f>IF(D3379="?OLD","!!!","")</f>
        <v/>
      </c>
      <c r="F3379" s="22" t="str">
        <f>IF(OR(E3379="",E3379="!!!"),"",IF(NOT(ISNA(VLOOKUP(E3379,E$1:E3378,1,FALSE()))),"OLD",IF(AND(E3379&lt;&gt;"",E3379&lt;&gt;"!!!"),"NEW","")))</f>
        <v> </v>
      </c>
      <c r="G3379" s="23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4" t="str">
        <f>IF(J3379&lt;&gt;1,"",IF(I3379="SBJ","CB","?"))</f>
        <v> </v>
      </c>
      <c r="I3379" s="25" t="str">
        <f>IF(OR(E3379="",E3379="!!!",F3379="NEW"),"",INDEX(B3378:B$2,-1+SUMPRODUCT(MAX(ROW(E3378:E$2)*(E3379=E3378:E$2)))))</f>
        <v> </v>
      </c>
      <c r="J3379" s="25" t="str">
        <f>IF(OR(E3379="",E3379="!!!",F3379="NEW"),"",COUNTBLANK(OFFSET(A$1,,,SUMPRODUCT(MAX(ROW(E$2:E3379)*(E3379=E$2:E3379)))))-COUNTBLANK(OFFSET(A$1,,,SUMPRODUCT(MAX(ROW(E$1:E3378)*(E2=E$1:E3378))))))</f>
        <v> </v>
      </c>
      <c r="K3379" s="25" t="str">
        <f>IF(OR(E3379="",E3379="!!!",F3379="NEW"),"",INDEX(J$1:J3378,SUMPRODUCT(MAX(ROW(E$1:E3378)*(E3379=E$1:E3378)))))</f>
        <v> </v>
      </c>
      <c r="L3379" s="26"/>
    </row>
    <row r="3380" spans="1:12">
      <c r="A3380" s="20" t="s">
        <v>2241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 t="s">
        <v>894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2242</v>
      </c>
      <c r="B3382" s="27" t="s">
        <v>846</v>
      </c>
      <c r="C3382" s="27" t="s">
        <v>816</v>
      </c>
      <c r="D3382" s="27" t="s">
        <v>801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1767</v>
      </c>
      <c r="E3383" s="21">
        <f>IF(D3383="?OLD","!!!","")</f>
        <v/>
      </c>
      <c r="F3383" s="22" t="str">
        <f>IF(OR(E3383="",E3383="!!!"),"",IF(NOT(ISNA(VLOOKUP(E3383,E$1:E3382,1,FALSE()))),"OLD",IF(AND(E3383&lt;&gt;"",E3383&lt;&gt;"!!!"),"NEW","")))</f>
        <v> </v>
      </c>
      <c r="G3383" s="23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4" t="str">
        <f>IF(J3383&lt;&gt;1,"",IF(I3383="SBJ","CB","?"))</f>
        <v> </v>
      </c>
      <c r="I3383" s="25" t="str">
        <f>IF(OR(E3383="",E3383="!!!",F3383="NEW"),"",INDEX(B3382:B$2,-1+SUMPRODUCT(MAX(ROW(E3382:E$2)*(E3383=E3382:E$2)))))</f>
        <v> </v>
      </c>
      <c r="J3383" s="25" t="str">
        <f>IF(OR(E3383="",E3383="!!!",F3383="NEW"),"",COUNTBLANK(OFFSET(A$1,,,SUMPRODUCT(MAX(ROW(E$2:E3383)*(E3383=E$2:E3383)))))-COUNTBLANK(OFFSET(A$1,,,SUMPRODUCT(MAX(ROW(E$1:E3382)*(E2=E$1:E3382))))))</f>
        <v> </v>
      </c>
      <c r="K3383" s="25" t="str">
        <f>IF(OR(E3383="",E3383="!!!",F3383="NEW"),"",INDEX(J$1:J3382,SUMPRODUCT(MAX(ROW(E$1:E3382)*(E3383=E$1:E3382)))))</f>
        <v> </v>
      </c>
      <c r="L3383" s="26"/>
    </row>
    <row r="3384" spans="1:12">
      <c r="A3384" s="20" t="s">
        <v>803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/>
    </row>
    <row r="3386" spans="1:12">
      <c r="A3386" s="20" t="s">
        <v>2243</v>
      </c>
    </row>
    <row r="3387" spans="1:12">
      <c r="A3387" s="20" t="s">
        <v>1016</v>
      </c>
      <c r="B3387" s="27" t="s">
        <v>799</v>
      </c>
      <c r="C3387" s="27" t="s">
        <v>816</v>
      </c>
      <c r="D3387" s="27" t="s">
        <v>801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 t="s">
        <v>955</v>
      </c>
      <c r="B3388" s="27" t="s">
        <v>842</v>
      </c>
      <c r="C3388" s="27" t="s">
        <v>816</v>
      </c>
      <c r="D3388" s="27" t="s">
        <v>801</v>
      </c>
      <c r="E3388" s="21">
        <f>IF(D3388="?OLD","!!!","")</f>
        <v/>
      </c>
      <c r="F3388" s="22" t="str">
        <f>IF(OR(E3388="",E3388="!!!"),"",IF(NOT(ISNA(VLOOKUP(E3388,E$1:E3387,1,FALSE()))),"OLD",IF(AND(E3388&lt;&gt;"",E3388&lt;&gt;"!!!"),"NEW","")))</f>
        <v> </v>
      </c>
      <c r="G3388" s="23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4" t="str">
        <f>IF(J3388&lt;&gt;1,"",IF(I3388="SBJ","CB","?"))</f>
        <v> </v>
      </c>
      <c r="I3388" s="25" t="str">
        <f>IF(OR(E3388="",E3388="!!!",F3388="NEW"),"",INDEX(B3387:B$2,-1+SUMPRODUCT(MAX(ROW(E3387:E$2)*(E3388=E3387:E$2)))))</f>
        <v> </v>
      </c>
      <c r="J3388" s="25" t="str">
        <f>IF(OR(E3388="",E3388="!!!",F3388="NEW"),"",COUNTBLANK(OFFSET(A$1,,,SUMPRODUCT(MAX(ROW(E$2:E3388)*(E3388=E$2:E3388)))))-COUNTBLANK(OFFSET(A$1,,,SUMPRODUCT(MAX(ROW(E$1:E3387)*(E2=E$1:E3387))))))</f>
        <v> </v>
      </c>
      <c r="K3388" s="25" t="str">
        <f>IF(OR(E3388="",E3388="!!!",F3388="NEW"),"",INDEX(J$1:J3387,SUMPRODUCT(MAX(ROW(E$1:E3387)*(E3388=E$1:E3387)))))</f>
        <v> </v>
      </c>
      <c r="L3388" s="26"/>
    </row>
    <row r="3389" spans="1:12">
      <c r="A3389" s="20" t="s">
        <v>2224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 t="s">
        <v>658</v>
      </c>
      <c r="B3390" s="27" t="s">
        <v>842</v>
      </c>
      <c r="C3390" s="27" t="s">
        <v>855</v>
      </c>
      <c r="D3390" s="27" t="s">
        <v>801</v>
      </c>
      <c r="E3390" s="21">
        <f>IF(D3390="?OLD","!!!","")</f>
        <v/>
      </c>
      <c r="F3390" s="22" t="str">
        <f>IF(OR(E3390="",E3390="!!!"),"",IF(NOT(ISNA(VLOOKUP(E3390,E$1:E3389,1,FALSE()))),"OLD",IF(AND(E3390&lt;&gt;"",E3390&lt;&gt;"!!!"),"NEW","")))</f>
        <v> </v>
      </c>
      <c r="G3390" s="23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4" t="str">
        <f>IF(J3390&lt;&gt;1,"",IF(I3390="SBJ","CB","?"))</f>
        <v> </v>
      </c>
      <c r="I3390" s="25" t="str">
        <f>IF(OR(E3390="",E3390="!!!",F3390="NEW"),"",INDEX(B3389:B$2,-1+SUMPRODUCT(MAX(ROW(E3389:E$2)*(E3390=E3389:E$2)))))</f>
        <v> </v>
      </c>
      <c r="J3390" s="25" t="str">
        <f>IF(OR(E3390="",E3390="!!!",F3390="NEW"),"",COUNTBLANK(OFFSET(A$1,,,SUMPRODUCT(MAX(ROW(E$2:E3390)*(E3390=E$2:E3390)))))-COUNTBLANK(OFFSET(A$1,,,SUMPRODUCT(MAX(ROW(E$1:E3389)*(E2=E$1:E3389))))))</f>
        <v> </v>
      </c>
      <c r="K3390" s="25" t="str">
        <f>IF(OR(E3390="",E3390="!!!",F3390="NEW"),"",INDEX(J$1:J3389,SUMPRODUCT(MAX(ROW(E$1:E3389)*(E3390=E$1:E3389)))))</f>
        <v> </v>
      </c>
      <c r="L3390" s="26"/>
    </row>
    <row r="3391" spans="1:12">
      <c r="A3391" s="20" t="s">
        <v>795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925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2244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 t="s">
        <v>899</v>
      </c>
      <c r="E3394" s="21">
        <f>IF(D3394="?OLD","!!!","")</f>
        <v/>
      </c>
      <c r="F3394" s="22" t="str">
        <f>IF(OR(E3394="",E3394="!!!"),"",IF(NOT(ISNA(VLOOKUP(E3394,E$1:E3393,1,FALSE()))),"OLD",IF(AND(E3394&lt;&gt;"",E3394&lt;&gt;"!!!"),"NEW","")))</f>
        <v> </v>
      </c>
      <c r="G3394" s="23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4" t="str">
        <f>IF(J3394&lt;&gt;1,"",IF(I3394="SBJ","CB","?"))</f>
        <v> </v>
      </c>
      <c r="I3394" s="25" t="str">
        <f>IF(OR(E3394="",E3394="!!!",F3394="NEW"),"",INDEX(B3393:B$2,-1+SUMPRODUCT(MAX(ROW(E3393:E$2)*(E3394=E3393:E$2)))))</f>
        <v> </v>
      </c>
      <c r="J3394" s="25" t="str">
        <f>IF(OR(E3394="",E3394="!!!",F3394="NEW"),"",COUNTBLANK(OFFSET(A$1,,,SUMPRODUCT(MAX(ROW(E$2:E3394)*(E3394=E$2:E3394)))))-COUNTBLANK(OFFSET(A$1,,,SUMPRODUCT(MAX(ROW(E$1:E3393)*(E2=E$1:E3393))))))</f>
        <v> </v>
      </c>
      <c r="K3394" s="25" t="str">
        <f>IF(OR(E3394="",E3394="!!!",F3394="NEW"),"",INDEX(J$1:J3393,SUMPRODUCT(MAX(ROW(E$1:E3393)*(E3394=E$1:E3393)))))</f>
        <v> </v>
      </c>
      <c r="L3394" s="26"/>
    </row>
    <row r="3395" spans="1:12">
      <c r="A3395" s="20" t="s">
        <v>2245</v>
      </c>
      <c r="E3395" s="21">
        <f>IF(D3395="?OLD","!!!","")</f>
        <v/>
      </c>
      <c r="F3395" s="22" t="str">
        <f>IF(OR(E3395="",E3395="!!!"),"",IF(NOT(ISNA(VLOOKUP(E3395,E$1:E3394,1,FALSE()))),"OLD",IF(AND(E3395&lt;&gt;"",E3395&lt;&gt;"!!!"),"NEW","")))</f>
        <v> </v>
      </c>
      <c r="G3395" s="23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4" t="str">
        <f>IF(J3395&lt;&gt;1,"",IF(I3395="SBJ","CB","?"))</f>
        <v> </v>
      </c>
      <c r="I3395" s="25" t="str">
        <f>IF(OR(E3395="",E3395="!!!",F3395="NEW"),"",INDEX(B3394:B$2,-1+SUMPRODUCT(MAX(ROW(E3394:E$2)*(E3395=E3394:E$2)))))</f>
        <v> </v>
      </c>
      <c r="J3395" s="25" t="str">
        <f>IF(OR(E3395="",E3395="!!!",F3395="NEW"),"",COUNTBLANK(OFFSET(A$1,,,SUMPRODUCT(MAX(ROW(E$2:E3395)*(E3395=E$2:E3395)))))-COUNTBLANK(OFFSET(A$1,,,SUMPRODUCT(MAX(ROW(E$1:E3394)*(E2=E$1:E3394))))))</f>
        <v> </v>
      </c>
      <c r="K3395" s="25" t="str">
        <f>IF(OR(E3395="",E3395="!!!",F3395="NEW"),"",INDEX(J$1:J3394,SUMPRODUCT(MAX(ROW(E$1:E3394)*(E3395=E$1:E3394)))))</f>
        <v> </v>
      </c>
      <c r="L3395" s="26"/>
    </row>
    <row r="3396" spans="1:12">
      <c r="A3396" s="20" t="s">
        <v>2246</v>
      </c>
      <c r="B3396" s="27" t="s">
        <v>849</v>
      </c>
      <c r="C3396" s="27" t="s">
        <v>858</v>
      </c>
      <c r="D3396" s="27" t="s">
        <v>801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797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2247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 t="s">
        <v>795</v>
      </c>
      <c r="E3399" s="21">
        <f>IF(D3399="?OLD","!!!","")</f>
        <v/>
      </c>
      <c r="F3399" s="22" t="str">
        <f>IF(OR(E3399="",E3399="!!!"),"",IF(NOT(ISNA(VLOOKUP(E3399,E$1:E3398,1,FALSE()))),"OLD",IF(AND(E3399&lt;&gt;"",E3399&lt;&gt;"!!!"),"NEW","")))</f>
        <v> </v>
      </c>
      <c r="G3399" s="23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4" t="str">
        <f>IF(J3399&lt;&gt;1,"",IF(I3399="SBJ","CB","?"))</f>
        <v> </v>
      </c>
      <c r="I3399" s="25" t="str">
        <f>IF(OR(E3399="",E3399="!!!",F3399="NEW"),"",INDEX(B3398:B$2,-1+SUMPRODUCT(MAX(ROW(E3398:E$2)*(E3399=E3398:E$2)))))</f>
        <v> </v>
      </c>
      <c r="J3399" s="25" t="str">
        <f>IF(OR(E3399="",E3399="!!!",F3399="NEW"),"",COUNTBLANK(OFFSET(A$1,,,SUMPRODUCT(MAX(ROW(E$2:E3399)*(E3399=E$2:E3399)))))-COUNTBLANK(OFFSET(A$1,,,SUMPRODUCT(MAX(ROW(E$1:E3398)*(E2=E$1:E3398))))))</f>
        <v> </v>
      </c>
      <c r="K3399" s="25" t="str">
        <f>IF(OR(E3399="",E3399="!!!",F3399="NEW"),"",INDEX(J$1:J3398,SUMPRODUCT(MAX(ROW(E$1:E3398)*(E3399=E$1:E3398)))))</f>
        <v> </v>
      </c>
      <c r="L3399" s="26"/>
    </row>
    <row r="3400" spans="1:12">
      <c r="A3400" s="20" t="s">
        <v>962</v>
      </c>
      <c r="B3400" s="27" t="s">
        <v>957</v>
      </c>
      <c r="C3400" s="27" t="s">
        <v>855</v>
      </c>
      <c r="D3400" s="27" t="s">
        <v>801</v>
      </c>
      <c r="E3400" s="21">
        <f>IF(D3400="?OLD","!!!","")</f>
        <v/>
      </c>
      <c r="F3400" s="22" t="str">
        <f>IF(OR(E3400="",E3400="!!!"),"",IF(NOT(ISNA(VLOOKUP(E3400,E$1:E3399,1,FALSE()))),"OLD",IF(AND(E3400&lt;&gt;"",E3400&lt;&gt;"!!!"),"NEW","")))</f>
        <v> </v>
      </c>
      <c r="G3400" s="23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4" t="str">
        <f>IF(J3400&lt;&gt;1,"",IF(I3400="SBJ","CB","?"))</f>
        <v> </v>
      </c>
      <c r="I3400" s="25" t="str">
        <f>IF(OR(E3400="",E3400="!!!",F3400="NEW"),"",INDEX(B3399:B$2,-1+SUMPRODUCT(MAX(ROW(E3399:E$2)*(E3400=E3399:E$2)))))</f>
        <v> </v>
      </c>
      <c r="J3400" s="25" t="str">
        <f>IF(OR(E3400="",E3400="!!!",F3400="NEW"),"",COUNTBLANK(OFFSET(A$1,,,SUMPRODUCT(MAX(ROW(E$2:E3400)*(E3400=E$2:E3400)))))-COUNTBLANK(OFFSET(A$1,,,SUMPRODUCT(MAX(ROW(E$1:E3399)*(E2=E$1:E3399))))))</f>
        <v> </v>
      </c>
      <c r="K3400" s="25" t="str">
        <f>IF(OR(E3400="",E3400="!!!",F3400="NEW"),"",INDEX(J$1:J3399,SUMPRODUCT(MAX(ROW(E$1:E3399)*(E3400=E$1:E3399)))))</f>
        <v> </v>
      </c>
      <c r="L3400" s="26"/>
    </row>
    <row r="3401" spans="1:12">
      <c r="A3401" s="20" t="s">
        <v>2248</v>
      </c>
      <c r="B3401" s="27" t="s">
        <v>829</v>
      </c>
      <c r="C3401" s="27" t="s">
        <v>858</v>
      </c>
      <c r="D3401" s="27" t="s">
        <v>801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825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2249</v>
      </c>
      <c r="B3403" s="27" t="s">
        <v>957</v>
      </c>
      <c r="C3403" s="27" t="s">
        <v>858</v>
      </c>
      <c r="D3403" s="27" t="s">
        <v>801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 t="s">
        <v>2250</v>
      </c>
      <c r="E3404" s="21">
        <f>IF(D3404="?OLD","!!!","")</f>
        <v/>
      </c>
      <c r="F3404" s="22" t="str">
        <f>IF(OR(E3404="",E3404="!!!"),"",IF(NOT(ISNA(VLOOKUP(E3404,E$1:E3403,1,FALSE()))),"OLD",IF(AND(E3404&lt;&gt;"",E3404&lt;&gt;"!!!"),"NEW","")))</f>
        <v> </v>
      </c>
      <c r="G3404" s="23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4" t="str">
        <f>IF(J3404&lt;&gt;1,"",IF(I3404="SBJ","CB","?"))</f>
        <v> </v>
      </c>
      <c r="I3404" s="25" t="str">
        <f>IF(OR(E3404="",E3404="!!!",F3404="NEW"),"",INDEX(B3403:B$2,-1+SUMPRODUCT(MAX(ROW(E3403:E$2)*(E3404=E3403:E$2)))))</f>
        <v> </v>
      </c>
      <c r="J3404" s="25" t="str">
        <f>IF(OR(E3404="",E3404="!!!",F3404="NEW"),"",COUNTBLANK(OFFSET(A$1,,,SUMPRODUCT(MAX(ROW(E$2:E3404)*(E3404=E$2:E3404)))))-COUNTBLANK(OFFSET(A$1,,,SUMPRODUCT(MAX(ROW(E$1:E3403)*(E2=E$1:E3403))))))</f>
        <v> </v>
      </c>
      <c r="K3404" s="25" t="str">
        <f>IF(OR(E3404="",E3404="!!!",F3404="NEW"),"",INDEX(J$1:J3403,SUMPRODUCT(MAX(ROW(E$1:E3403)*(E3404=E$1:E3403)))))</f>
        <v> </v>
      </c>
      <c r="L3404" s="26"/>
    </row>
    <row r="3405" spans="1:12">
      <c r="A3405" s="20" t="s">
        <v>837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 t="s">
        <v>2228</v>
      </c>
      <c r="B3406" s="27" t="s">
        <v>953</v>
      </c>
      <c r="C3406" s="27" t="s">
        <v>858</v>
      </c>
      <c r="D3406" s="27" t="s">
        <v>801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803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/>
    </row>
    <row r="3409" spans="1:12">
      <c r="A3409" s="20" t="s">
        <v>2251</v>
      </c>
    </row>
    <row r="3410" spans="1:12">
      <c r="A3410" s="20" t="s">
        <v>2252</v>
      </c>
      <c r="E3410" s="21">
        <f>IF(D3410="?OLD","!!!","")</f>
        <v/>
      </c>
      <c r="F3410" s="22" t="str">
        <f>IF(OR(E3410="",E3410="!!!"),"",IF(NOT(ISNA(VLOOKUP(E3410,E$1:E3409,1,FALSE()))),"OLD",IF(AND(E3410&lt;&gt;"",E3410&lt;&gt;"!!!"),"NEW","")))</f>
        <v> </v>
      </c>
      <c r="G3410" s="23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4" t="str">
        <f>IF(J3410&lt;&gt;1,"",IF(I3410="SBJ","CB","?"))</f>
        <v> </v>
      </c>
      <c r="I3410" s="25" t="str">
        <f>IF(OR(E3410="",E3410="!!!",F3410="NEW"),"",INDEX(B3409:B$2,-1+SUMPRODUCT(MAX(ROW(E3409:E$2)*(E3410=E3409:E$2)))))</f>
        <v> </v>
      </c>
      <c r="J3410" s="25" t="str">
        <f>IF(OR(E3410="",E3410="!!!",F3410="NEW"),"",COUNTBLANK(OFFSET(A$1,,,SUMPRODUCT(MAX(ROW(E$2:E3410)*(E3410=E$2:E3410)))))-COUNTBLANK(OFFSET(A$1,,,SUMPRODUCT(MAX(ROW(E$1:E3409)*(E2=E$1:E3409))))))</f>
        <v> </v>
      </c>
      <c r="K3410" s="25" t="str">
        <f>IF(OR(E3410="",E3410="!!!",F3410="NEW"),"",INDEX(J$1:J3409,SUMPRODUCT(MAX(ROW(E$1:E3409)*(E3410=E$1:E3409)))))</f>
        <v> </v>
      </c>
      <c r="L3410" s="26"/>
    </row>
    <row r="3411" spans="1:12">
      <c r="A3411" s="20" t="s">
        <v>964</v>
      </c>
      <c r="E3411" s="21">
        <f>IF(D3411="?OLD","!!!","")</f>
        <v/>
      </c>
      <c r="F3411" s="22" t="str">
        <f>IF(OR(E3411="",E3411="!!!"),"",IF(NOT(ISNA(VLOOKUP(E3411,E$1:E3410,1,FALSE()))),"OLD",IF(AND(E3411&lt;&gt;"",E3411&lt;&gt;"!!!"),"NEW","")))</f>
        <v> </v>
      </c>
      <c r="G3411" s="23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4" t="str">
        <f>IF(J3411&lt;&gt;1,"",IF(I3411="SBJ","CB","?"))</f>
        <v> </v>
      </c>
      <c r="I3411" s="25" t="str">
        <f>IF(OR(E3411="",E3411="!!!",F3411="NEW"),"",INDEX(B3410:B$2,-1+SUMPRODUCT(MAX(ROW(E3410:E$2)*(E3411=E3410:E$2)))))</f>
        <v> </v>
      </c>
      <c r="J3411" s="25" t="str">
        <f>IF(OR(E3411="",E3411="!!!",F3411="NEW"),"",COUNTBLANK(OFFSET(A$1,,,SUMPRODUCT(MAX(ROW(E$2:E3411)*(E3411=E$2:E3411)))))-COUNTBLANK(OFFSET(A$1,,,SUMPRODUCT(MAX(ROW(E$1:E3410)*(E2=E$1:E3410))))))</f>
        <v> </v>
      </c>
      <c r="K3411" s="25" t="str">
        <f>IF(OR(E3411="",E3411="!!!",F3411="NEW"),"",INDEX(J$1:J3410,SUMPRODUCT(MAX(ROW(E$1:E3410)*(E3411=E$1:E3410)))))</f>
        <v> </v>
      </c>
      <c r="L3411" s="26"/>
    </row>
    <row r="3412" spans="1:12">
      <c r="A3412" s="20" t="s">
        <v>2253</v>
      </c>
      <c r="E3412" s="21">
        <f>IF(D3412="?OLD","!!!","")</f>
        <v/>
      </c>
      <c r="F3412" s="22" t="str">
        <f>IF(OR(E3412="",E3412="!!!"),"",IF(NOT(ISNA(VLOOKUP(E3412,E$1:E3411,1,FALSE()))),"OLD",IF(AND(E3412&lt;&gt;"",E3412&lt;&gt;"!!!"),"NEW","")))</f>
        <v> </v>
      </c>
      <c r="G3412" s="23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4" t="str">
        <f>IF(J3412&lt;&gt;1,"",IF(I3412="SBJ","CB","?"))</f>
        <v> </v>
      </c>
      <c r="I3412" s="25" t="str">
        <f>IF(OR(E3412="",E3412="!!!",F3412="NEW"),"",INDEX(B3411:B$2,-1+SUMPRODUCT(MAX(ROW(E3411:E$2)*(E3412=E3411:E$2)))))</f>
        <v> </v>
      </c>
      <c r="J3412" s="25" t="str">
        <f>IF(OR(E3412="",E3412="!!!",F3412="NEW"),"",COUNTBLANK(OFFSET(A$1,,,SUMPRODUCT(MAX(ROW(E$2:E3412)*(E3412=E$2:E3412)))))-COUNTBLANK(OFFSET(A$1,,,SUMPRODUCT(MAX(ROW(E$1:E3411)*(E2=E$1:E3411))))))</f>
        <v> </v>
      </c>
      <c r="K3412" s="25" t="str">
        <f>IF(OR(E3412="",E3412="!!!",F3412="NEW"),"",INDEX(J$1:J3411,SUMPRODUCT(MAX(ROW(E$1:E3411)*(E3412=E$1:E3411)))))</f>
        <v> </v>
      </c>
      <c r="L3412" s="26"/>
    </row>
    <row r="3413" spans="1:12">
      <c r="A3413" s="20" t="s">
        <v>1189</v>
      </c>
      <c r="B3413" s="27" t="s">
        <v>842</v>
      </c>
      <c r="C3413" s="27" t="s">
        <v>843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 t="s">
        <v>795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2254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1186</v>
      </c>
      <c r="B3416" s="27" t="s">
        <v>857</v>
      </c>
      <c r="C3416" s="27" t="s">
        <v>843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795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 t="s">
        <v>847</v>
      </c>
      <c r="E3418" s="21">
        <f>IF(D3418="?OLD","!!!","")</f>
        <v/>
      </c>
      <c r="F3418" s="22" t="str">
        <f>IF(OR(E3418="",E3418="!!!"),"",IF(NOT(ISNA(VLOOKUP(E3418,E$1:E3417,1,FALSE()))),"OLD",IF(AND(E3418&lt;&gt;"",E3418&lt;&gt;"!!!"),"NEW","")))</f>
        <v> </v>
      </c>
      <c r="G3418" s="23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4" t="str">
        <f>IF(J3418&lt;&gt;1,"",IF(I3418="SBJ","CB","?"))</f>
        <v> </v>
      </c>
      <c r="I3418" s="25" t="str">
        <f>IF(OR(E3418="",E3418="!!!",F3418="NEW"),"",INDEX(B3417:B$2,-1+SUMPRODUCT(MAX(ROW(E3417:E$2)*(E3418=E3417:E$2)))))</f>
        <v> </v>
      </c>
      <c r="J3418" s="25" t="str">
        <f>IF(OR(E3418="",E3418="!!!",F3418="NEW"),"",COUNTBLANK(OFFSET(A$1,,,SUMPRODUCT(MAX(ROW(E$2:E3418)*(E3418=E$2:E3418)))))-COUNTBLANK(OFFSET(A$1,,,SUMPRODUCT(MAX(ROW(E$1:E3417)*(E2=E$1:E3417))))))</f>
        <v> </v>
      </c>
      <c r="K3418" s="25" t="str">
        <f>IF(OR(E3418="",E3418="!!!",F3418="NEW"),"",INDEX(J$1:J3417,SUMPRODUCT(MAX(ROW(E$1:E3417)*(E3418=E$1:E3417)))))</f>
        <v> </v>
      </c>
      <c r="L3418" s="26"/>
    </row>
    <row r="3419" spans="1:12">
      <c r="A3419" s="20" t="s">
        <v>2255</v>
      </c>
      <c r="B3419" s="27" t="s">
        <v>857</v>
      </c>
      <c r="C3419" s="27" t="s">
        <v>843</v>
      </c>
      <c r="E3419" s="21">
        <f>IF(D3419="?OLD","!!!","")</f>
        <v/>
      </c>
      <c r="F3419" s="22" t="str">
        <f>IF(OR(E3419="",E3419="!!!"),"",IF(NOT(ISNA(VLOOKUP(E3419,E$1:E3418,1,FALSE()))),"OLD",IF(AND(E3419&lt;&gt;"",E3419&lt;&gt;"!!!"),"NEW","")))</f>
        <v> </v>
      </c>
      <c r="G3419" s="23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4" t="str">
        <f>IF(J3419&lt;&gt;1,"",IF(I3419="SBJ","CB","?"))</f>
        <v> </v>
      </c>
      <c r="I3419" s="25" t="str">
        <f>IF(OR(E3419="",E3419="!!!",F3419="NEW"),"",INDEX(B3418:B$2,-1+SUMPRODUCT(MAX(ROW(E3418:E$2)*(E3419=E3418:E$2)))))</f>
        <v> </v>
      </c>
      <c r="J3419" s="25" t="str">
        <f>IF(OR(E3419="",E3419="!!!",F3419="NEW"),"",COUNTBLANK(OFFSET(A$1,,,SUMPRODUCT(MAX(ROW(E$2:E3419)*(E3419=E$2:E3419)))))-COUNTBLANK(OFFSET(A$1,,,SUMPRODUCT(MAX(ROW(E$1:E3418)*(E2=E$1:E3418))))))</f>
        <v> </v>
      </c>
      <c r="K3419" s="25" t="str">
        <f>IF(OR(E3419="",E3419="!!!",F3419="NEW"),"",INDEX(J$1:J3418,SUMPRODUCT(MAX(ROW(E$1:E3418)*(E3419=E$1:E3418)))))</f>
        <v> </v>
      </c>
      <c r="L3419" s="26"/>
    </row>
    <row r="3420" spans="1:12">
      <c r="A3420" s="20" t="s">
        <v>803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/>
    </row>
    <row r="3422" spans="1:12">
      <c r="A3422" s="20" t="s">
        <v>2256</v>
      </c>
    </row>
    <row r="3423" spans="1:12">
      <c r="A3423" s="20" t="s">
        <v>2257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 t="s">
        <v>1046</v>
      </c>
      <c r="B3424" s="27" t="s">
        <v>799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795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1330</v>
      </c>
      <c r="B3426" s="27" t="s">
        <v>874</v>
      </c>
      <c r="C3426" s="27" t="s">
        <v>879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 t="s">
        <v>2258</v>
      </c>
      <c r="E3427" s="21">
        <f>IF(D3427="?OLD","!!!","")</f>
        <v/>
      </c>
      <c r="F3427" s="22" t="str">
        <f>IF(OR(E3427="",E3427="!!!"),"",IF(NOT(ISNA(VLOOKUP(E3427,E$1:E3426,1,FALSE()))),"OLD",IF(AND(E3427&lt;&gt;"",E3427&lt;&gt;"!!!"),"NEW","")))</f>
        <v> </v>
      </c>
      <c r="G3427" s="23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4" t="str">
        <f>IF(J3427&lt;&gt;1,"",IF(I3427="SBJ","CB","?"))</f>
        <v> </v>
      </c>
      <c r="I3427" s="25" t="str">
        <f>IF(OR(E3427="",E3427="!!!",F3427="NEW"),"",INDEX(B3426:B$2,-1+SUMPRODUCT(MAX(ROW(E3426:E$2)*(E3427=E3426:E$2)))))</f>
        <v> </v>
      </c>
      <c r="J3427" s="25" t="str">
        <f>IF(OR(E3427="",E3427="!!!",F3427="NEW"),"",COUNTBLANK(OFFSET(A$1,,,SUMPRODUCT(MAX(ROW(E$2:E3427)*(E3427=E$2:E3427)))))-COUNTBLANK(OFFSET(A$1,,,SUMPRODUCT(MAX(ROW(E$1:E3426)*(E2=E$1:E3426))))))</f>
        <v> </v>
      </c>
      <c r="K3427" s="25" t="str">
        <f>IF(OR(E3427="",E3427="!!!",F3427="NEW"),"",INDEX(J$1:J3426,SUMPRODUCT(MAX(ROW(E$1:E3426)*(E3427=E$1:E3426)))))</f>
        <v> </v>
      </c>
      <c r="L3427" s="26"/>
    </row>
    <row r="3428" spans="1:12">
      <c r="A3428" s="20" t="s">
        <v>795</v>
      </c>
      <c r="E3428" s="21">
        <f>IF(D3428="?OLD","!!!","")</f>
        <v/>
      </c>
      <c r="F3428" s="22" t="str">
        <f>IF(OR(E3428="",E3428="!!!"),"",IF(NOT(ISNA(VLOOKUP(E3428,E$1:E3427,1,FALSE()))),"OLD",IF(AND(E3428&lt;&gt;"",E3428&lt;&gt;"!!!"),"NEW","")))</f>
        <v> </v>
      </c>
      <c r="G3428" s="23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4" t="str">
        <f>IF(J3428&lt;&gt;1,"",IF(I3428="SBJ","CB","?"))</f>
        <v> </v>
      </c>
      <c r="I3428" s="25" t="str">
        <f>IF(OR(E3428="",E3428="!!!",F3428="NEW"),"",INDEX(B3427:B$2,-1+SUMPRODUCT(MAX(ROW(E3427:E$2)*(E3428=E3427:E$2)))))</f>
        <v> </v>
      </c>
      <c r="J3428" s="25" t="str">
        <f>IF(OR(E3428="",E3428="!!!",F3428="NEW"),"",COUNTBLANK(OFFSET(A$1,,,SUMPRODUCT(MAX(ROW(E$2:E3428)*(E3428=E$2:E3428)))))-COUNTBLANK(OFFSET(A$1,,,SUMPRODUCT(MAX(ROW(E$1:E3427)*(E2=E$1:E3427))))))</f>
        <v> </v>
      </c>
      <c r="K3428" s="25" t="str">
        <f>IF(OR(E3428="",E3428="!!!",F3428="NEW"),"",INDEX(J$1:J3427,SUMPRODUCT(MAX(ROW(E$1:E3427)*(E3428=E$1:E3427)))))</f>
        <v> </v>
      </c>
      <c r="L3428" s="26"/>
    </row>
    <row r="3429" spans="1:12">
      <c r="A3429" s="20" t="s">
        <v>877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1930</v>
      </c>
      <c r="B3430" s="27" t="s">
        <v>943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 t="s">
        <v>952</v>
      </c>
      <c r="B3431" s="27" t="s">
        <v>953</v>
      </c>
      <c r="C3431" s="27" t="s">
        <v>896</v>
      </c>
      <c r="D3431" s="27" t="s">
        <v>801</v>
      </c>
      <c r="E3431" s="21">
        <f>IF(D3431="?OLD","!!!","")</f>
        <v/>
      </c>
      <c r="F3431" s="22" t="str">
        <f>IF(OR(E3431="",E3431="!!!"),"",IF(NOT(ISNA(VLOOKUP(E3431,E$1:E3430,1,FALSE()))),"OLD",IF(AND(E3431&lt;&gt;"",E3431&lt;&gt;"!!!"),"NEW","")))</f>
        <v> </v>
      </c>
      <c r="G3431" s="23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4" t="str">
        <f>IF(J3431&lt;&gt;1,"",IF(I3431="SBJ","CB","?"))</f>
        <v> </v>
      </c>
      <c r="I3431" s="25" t="str">
        <f>IF(OR(E3431="",E3431="!!!",F3431="NEW"),"",INDEX(B3430:B$2,-1+SUMPRODUCT(MAX(ROW(E3430:E$2)*(E3431=E3430:E$2)))))</f>
        <v> </v>
      </c>
      <c r="J3431" s="25" t="str">
        <f>IF(OR(E3431="",E3431="!!!",F3431="NEW"),"",COUNTBLANK(OFFSET(A$1,,,SUMPRODUCT(MAX(ROW(E$2:E3431)*(E3431=E$2:E3431)))))-COUNTBLANK(OFFSET(A$1,,,SUMPRODUCT(MAX(ROW(E$1:E3430)*(E2=E$1:E3430))))))</f>
        <v> </v>
      </c>
      <c r="K3431" s="25" t="str">
        <f>IF(OR(E3431="",E3431="!!!",F3431="NEW"),"",INDEX(J$1:J3430,SUMPRODUCT(MAX(ROW(E$1:E3430)*(E3431=E$1:E3430)))))</f>
        <v> </v>
      </c>
      <c r="L3431" s="26"/>
    </row>
    <row r="3432" spans="1:12">
      <c r="A3432" s="20" t="s">
        <v>1464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2259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795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 t="s">
        <v>2260</v>
      </c>
      <c r="E3435" s="21">
        <f>IF(D3435="?OLD","!!!","")</f>
        <v/>
      </c>
      <c r="F3435" s="22" t="str">
        <f>IF(OR(E3435="",E3435="!!!"),"",IF(NOT(ISNA(VLOOKUP(E3435,E$1:E3434,1,FALSE()))),"OLD",IF(AND(E3435&lt;&gt;"",E3435&lt;&gt;"!!!"),"NEW","")))</f>
        <v> </v>
      </c>
      <c r="G3435" s="23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4" t="str">
        <f>IF(J3435&lt;&gt;1,"",IF(I3435="SBJ","CB","?"))</f>
        <v> </v>
      </c>
      <c r="I3435" s="25" t="str">
        <f>IF(OR(E3435="",E3435="!!!",F3435="NEW"),"",INDEX(B3434:B$2,-1+SUMPRODUCT(MAX(ROW(E3434:E$2)*(E3435=E3434:E$2)))))</f>
        <v> </v>
      </c>
      <c r="J3435" s="25" t="str">
        <f>IF(OR(E3435="",E3435="!!!",F3435="NEW"),"",COUNTBLANK(OFFSET(A$1,,,SUMPRODUCT(MAX(ROW(E$2:E3435)*(E3435=E$2:E3435)))))-COUNTBLANK(OFFSET(A$1,,,SUMPRODUCT(MAX(ROW(E$1:E3434)*(E2=E$1:E3434))))))</f>
        <v> </v>
      </c>
      <c r="K3435" s="25" t="str">
        <f>IF(OR(E3435="",E3435="!!!",F3435="NEW"),"",INDEX(J$1:J3434,SUMPRODUCT(MAX(ROW(E$1:E3434)*(E3435=E$1:E3434)))))</f>
        <v> </v>
      </c>
      <c r="L3435" s="26"/>
    </row>
    <row r="3436" spans="1:12">
      <c r="A3436" s="20" t="s">
        <v>1130</v>
      </c>
      <c r="E3436" s="21">
        <f>IF(D3436="?OLD","!!!","")</f>
        <v/>
      </c>
      <c r="F3436" s="22" t="str">
        <f>IF(OR(E3436="",E3436="!!!"),"",IF(NOT(ISNA(VLOOKUP(E3436,E$1:E3435,1,FALSE()))),"OLD",IF(AND(E3436&lt;&gt;"",E3436&lt;&gt;"!!!"),"NEW","")))</f>
        <v> </v>
      </c>
      <c r="G3436" s="23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4" t="str">
        <f>IF(J3436&lt;&gt;1,"",IF(I3436="SBJ","CB","?"))</f>
        <v> </v>
      </c>
      <c r="I3436" s="25" t="str">
        <f>IF(OR(E3436="",E3436="!!!",F3436="NEW"),"",INDEX(B3435:B$2,-1+SUMPRODUCT(MAX(ROW(E3435:E$2)*(E3436=E3435:E$2)))))</f>
        <v> </v>
      </c>
      <c r="J3436" s="25" t="str">
        <f>IF(OR(E3436="",E3436="!!!",F3436="NEW"),"",COUNTBLANK(OFFSET(A$1,,,SUMPRODUCT(MAX(ROW(E$2:E3436)*(E3436=E$2:E3436)))))-COUNTBLANK(OFFSET(A$1,,,SUMPRODUCT(MAX(ROW(E$1:E3435)*(E2=E$1:E3435))))))</f>
        <v> </v>
      </c>
      <c r="K3436" s="25" t="str">
        <f>IF(OR(E3436="",E3436="!!!",F3436="NEW"),"",INDEX(J$1:J3435,SUMPRODUCT(MAX(ROW(E$1:E3435)*(E3436=E$1:E3435)))))</f>
        <v> </v>
      </c>
      <c r="L3436" s="26"/>
    </row>
    <row r="3437" spans="1:12">
      <c r="A3437" s="20" t="s">
        <v>2261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 t="s">
        <v>2262</v>
      </c>
      <c r="B3438" s="27" t="s">
        <v>878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 t="s">
        <v>1194</v>
      </c>
      <c r="B3439" s="27" t="s">
        <v>1480</v>
      </c>
      <c r="C3439" s="27" t="s">
        <v>896</v>
      </c>
      <c r="D3439" s="27" t="s">
        <v>801</v>
      </c>
      <c r="E3439" s="21">
        <f>IF(D3439="?OLD","!!!","")</f>
        <v/>
      </c>
      <c r="F3439" s="22" t="str">
        <f>IF(OR(E3439="",E3439="!!!"),"",IF(NOT(ISNA(VLOOKUP(E3439,E$1:E3438,1,FALSE()))),"OLD",IF(AND(E3439&lt;&gt;"",E3439&lt;&gt;"!!!"),"NEW","")))</f>
        <v> </v>
      </c>
      <c r="G3439" s="23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4" t="str">
        <f>IF(J3439&lt;&gt;1,"",IF(I3439="SBJ","CB","?"))</f>
        <v> </v>
      </c>
      <c r="I3439" s="25" t="str">
        <f>IF(OR(E3439="",E3439="!!!",F3439="NEW"),"",INDEX(B3438:B$2,-1+SUMPRODUCT(MAX(ROW(E3438:E$2)*(E3439=E3438:E$2)))))</f>
        <v> </v>
      </c>
      <c r="J3439" s="25" t="str">
        <f>IF(OR(E3439="",E3439="!!!",F3439="NEW"),"",COUNTBLANK(OFFSET(A$1,,,SUMPRODUCT(MAX(ROW(E$2:E3439)*(E3439=E$2:E3439)))))-COUNTBLANK(OFFSET(A$1,,,SUMPRODUCT(MAX(ROW(E$1:E3438)*(E2=E$1:E3438))))))</f>
        <v> </v>
      </c>
      <c r="K3439" s="25" t="str">
        <f>IF(OR(E3439="",E3439="!!!",F3439="NEW"),"",INDEX(J$1:J3438,SUMPRODUCT(MAX(ROW(E$1:E3438)*(E3439=E$1:E3438)))))</f>
        <v> </v>
      </c>
      <c r="L3439" s="26"/>
    </row>
    <row r="3440" spans="1:12">
      <c r="A3440" s="20" t="s">
        <v>1631</v>
      </c>
      <c r="E3440" s="21">
        <f>IF(D3440="?OLD","!!!","")</f>
        <v/>
      </c>
      <c r="F3440" s="22" t="str">
        <f>IF(OR(E3440="",E3440="!!!"),"",IF(NOT(ISNA(VLOOKUP(E3440,E$1:E3439,1,FALSE()))),"OLD",IF(AND(E3440&lt;&gt;"",E3440&lt;&gt;"!!!"),"NEW","")))</f>
        <v> </v>
      </c>
      <c r="G3440" s="23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4" t="str">
        <f>IF(J3440&lt;&gt;1,"",IF(I3440="SBJ","CB","?"))</f>
        <v> </v>
      </c>
      <c r="I3440" s="25" t="str">
        <f>IF(OR(E3440="",E3440="!!!",F3440="NEW"),"",INDEX(B3439:B$2,-1+SUMPRODUCT(MAX(ROW(E3439:E$2)*(E3440=E3439:E$2)))))</f>
        <v> </v>
      </c>
      <c r="J3440" s="25" t="str">
        <f>IF(OR(E3440="",E3440="!!!",F3440="NEW"),"",COUNTBLANK(OFFSET(A$1,,,SUMPRODUCT(MAX(ROW(E$2:E3440)*(E3440=E$2:E3440)))))-COUNTBLANK(OFFSET(A$1,,,SUMPRODUCT(MAX(ROW(E$1:E3439)*(E2=E$1:E3439))))))</f>
        <v> </v>
      </c>
      <c r="K3440" s="25" t="str">
        <f>IF(OR(E3440="",E3440="!!!",F3440="NEW"),"",INDEX(J$1:J3439,SUMPRODUCT(MAX(ROW(E$1:E3439)*(E3440=E$1:E3439)))))</f>
        <v> </v>
      </c>
      <c r="L3440" s="26"/>
    </row>
    <row r="3441" spans="1:12">
      <c r="A3441" s="20" t="s">
        <v>803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/>
    </row>
    <row r="3443" spans="1:12">
      <c r="A3443" s="20" t="s">
        <v>2263</v>
      </c>
    </row>
    <row r="3444" spans="1:12">
      <c r="A3444" s="20" t="s">
        <v>851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 t="s">
        <v>882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 t="s">
        <v>1939</v>
      </c>
      <c r="B3446" s="27" t="s">
        <v>799</v>
      </c>
      <c r="E3446" s="21">
        <f>IF(D3446="?OLD","!!!","")</f>
        <v/>
      </c>
      <c r="F3446" s="22" t="str">
        <f>IF(OR(E3446="",E3446="!!!"),"",IF(NOT(ISNA(VLOOKUP(E3446,E$1:E3445,1,FALSE()))),"OLD",IF(AND(E3446&lt;&gt;"",E3446&lt;&gt;"!!!"),"NEW","")))</f>
        <v> </v>
      </c>
      <c r="G3446" s="23" t="str">
        <f>IF(OR(E3446="",E3446="!!!"),"",IF(OR(J3446=0,AND(J3446=1,K3446=1),AND(J3446=1,I3446="SBJ"),AND(J3446=1,I3446=0)),"?IN_FOCUS",IF(J3446&lt;=2,"?ACTIVATED",IF(J3446&lt;&gt;"","?FAMILIAR",IF(F3446="NEW",IF(ISNA(VLOOKUP(E3446,#REF!,1,FALSE())),"?TYPE_IDENTIFIABLE","?REFERENTIAL"),"_")))))</f>
        <v> </v>
      </c>
      <c r="H3446" s="24" t="str">
        <f>IF(J3446&lt;&gt;1,"",IF(I3446="SBJ","CB","?"))</f>
        <v> </v>
      </c>
      <c r="I3446" s="25" t="str">
        <f>IF(OR(E3446="",E3446="!!!",F3446="NEW"),"",INDEX(B3445:B$2,-1+SUMPRODUCT(MAX(ROW(E3445:E$2)*(E3446=E3445:E$2)))))</f>
        <v> </v>
      </c>
      <c r="J3446" s="25" t="str">
        <f>IF(OR(E3446="",E3446="!!!",F3446="NEW"),"",COUNTBLANK(OFFSET(A$1,,,SUMPRODUCT(MAX(ROW(E$2:E3446)*(E3446=E$2:E3446)))))-COUNTBLANK(OFFSET(A$1,,,SUMPRODUCT(MAX(ROW(E$1:E3445)*(E2=E$1:E3445))))))</f>
        <v> </v>
      </c>
      <c r="K3446" s="25" t="str">
        <f>IF(OR(E3446="",E3446="!!!",F3446="NEW"),"",INDEX(J$1:J3445,SUMPRODUCT(MAX(ROW(E$1:E3445)*(E3446=E$1:E3445)))))</f>
        <v> </v>
      </c>
      <c r="L3446" s="26"/>
    </row>
    <row r="3447" spans="1:12">
      <c r="A3447" s="20" t="s">
        <v>795</v>
      </c>
      <c r="E3447" s="21">
        <f>IF(D3447="?OLD","!!!","")</f>
        <v/>
      </c>
      <c r="F3447" s="22" t="str">
        <f>IF(OR(E3447="",E3447="!!!"),"",IF(NOT(ISNA(VLOOKUP(E3447,E$1:E3446,1,FALSE()))),"OLD",IF(AND(E3447&lt;&gt;"",E3447&lt;&gt;"!!!"),"NEW","")))</f>
        <v> </v>
      </c>
      <c r="G3447" s="23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4" t="str">
        <f>IF(J3447&lt;&gt;1,"",IF(I3447="SBJ","CB","?"))</f>
        <v> </v>
      </c>
      <c r="I3447" s="25" t="str">
        <f>IF(OR(E3447="",E3447="!!!",F3447="NEW"),"",INDEX(B3446:B$2,-1+SUMPRODUCT(MAX(ROW(E3446:E$2)*(E3447=E3446:E$2)))))</f>
        <v> </v>
      </c>
      <c r="J3447" s="25" t="str">
        <f>IF(OR(E3447="",E3447="!!!",F3447="NEW"),"",COUNTBLANK(OFFSET(A$1,,,SUMPRODUCT(MAX(ROW(E$2:E3447)*(E3447=E$2:E3447)))))-COUNTBLANK(OFFSET(A$1,,,SUMPRODUCT(MAX(ROW(E$1:E3446)*(E2=E$1:E3446))))))</f>
        <v> </v>
      </c>
      <c r="K3447" s="25" t="str">
        <f>IF(OR(E3447="",E3447="!!!",F3447="NEW"),"",INDEX(J$1:J3446,SUMPRODUCT(MAX(ROW(E$1:E3446)*(E3447=E$1:E3446)))))</f>
        <v> </v>
      </c>
      <c r="L3447" s="26"/>
    </row>
    <row r="3448" spans="1:12">
      <c r="A3448" s="20" t="s">
        <v>1468</v>
      </c>
      <c r="B3448" s="27" t="s">
        <v>874</v>
      </c>
      <c r="C3448" s="27" t="s">
        <v>879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2264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 t="s">
        <v>795</v>
      </c>
      <c r="E3450" s="21">
        <f>IF(D3450="?OLD","!!!","")</f>
        <v/>
      </c>
      <c r="F3450" s="22" t="str">
        <f>IF(OR(E3450="",E3450="!!!"),"",IF(NOT(ISNA(VLOOKUP(E3450,E$1:E3449,1,FALSE()))),"OLD",IF(AND(E3450&lt;&gt;"",E3450&lt;&gt;"!!!"),"NEW","")))</f>
        <v> </v>
      </c>
      <c r="G3450" s="23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4" t="str">
        <f>IF(J3450&lt;&gt;1,"",IF(I3450="SBJ","CB","?"))</f>
        <v> </v>
      </c>
      <c r="I3450" s="25" t="str">
        <f>IF(OR(E3450="",E3450="!!!",F3450="NEW"),"",INDEX(B3449:B$2,-1+SUMPRODUCT(MAX(ROW(E3449:E$2)*(E3450=E3449:E$2)))))</f>
        <v> </v>
      </c>
      <c r="J3450" s="25" t="str">
        <f>IF(OR(E3450="",E3450="!!!",F3450="NEW"),"",COUNTBLANK(OFFSET(A$1,,,SUMPRODUCT(MAX(ROW(E$2:E3450)*(E3450=E$2:E3450)))))-COUNTBLANK(OFFSET(A$1,,,SUMPRODUCT(MAX(ROW(E$1:E3449)*(E2=E$1:E3449))))))</f>
        <v> </v>
      </c>
      <c r="K3450" s="25" t="str">
        <f>IF(OR(E3450="",E3450="!!!",F3450="NEW"),"",INDEX(J$1:J3449,SUMPRODUCT(MAX(ROW(E$1:E3449)*(E3450=E$1:E3449)))))</f>
        <v> </v>
      </c>
      <c r="L3450" s="26"/>
    </row>
    <row r="3451" spans="1:12">
      <c r="A3451" s="20" t="s">
        <v>877</v>
      </c>
      <c r="E3451" s="21">
        <f>IF(D3451="?OLD","!!!","")</f>
        <v/>
      </c>
      <c r="F3451" s="22" t="str">
        <f>IF(OR(E3451="",E3451="!!!"),"",IF(NOT(ISNA(VLOOKUP(E3451,E$1:E3450,1,FALSE()))),"OLD",IF(AND(E3451&lt;&gt;"",E3451&lt;&gt;"!!!"),"NEW","")))</f>
        <v> </v>
      </c>
      <c r="G3451" s="23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4" t="str">
        <f>IF(J3451&lt;&gt;1,"",IF(I3451="SBJ","CB","?"))</f>
        <v> </v>
      </c>
      <c r="I3451" s="25" t="str">
        <f>IF(OR(E3451="",E3451="!!!",F3451="NEW"),"",INDEX(B3450:B$2,-1+SUMPRODUCT(MAX(ROW(E3450:E$2)*(E3451=E3450:E$2)))))</f>
        <v> </v>
      </c>
      <c r="J3451" s="25" t="str">
        <f>IF(OR(E3451="",E3451="!!!",F3451="NEW"),"",COUNTBLANK(OFFSET(A$1,,,SUMPRODUCT(MAX(ROW(E$2:E3451)*(E3451=E$2:E3451)))))-COUNTBLANK(OFFSET(A$1,,,SUMPRODUCT(MAX(ROW(E$1:E3450)*(E2=E$1:E3450))))))</f>
        <v> </v>
      </c>
      <c r="K3451" s="25" t="str">
        <f>IF(OR(E3451="",E3451="!!!",F3451="NEW"),"",INDEX(J$1:J3450,SUMPRODUCT(MAX(ROW(E$1:E3450)*(E3451=E$1:E3450)))))</f>
        <v> </v>
      </c>
      <c r="L3451" s="26"/>
    </row>
    <row r="3452" spans="1:12">
      <c r="A3452" s="20" t="s">
        <v>1464</v>
      </c>
      <c r="B3452" s="27" t="s">
        <v>943</v>
      </c>
      <c r="E3452" s="21">
        <f>IF(D3452="?OLD","!!!","")</f>
        <v/>
      </c>
      <c r="F3452" s="22" t="str">
        <f>IF(OR(E3452="",E3452="!!!"),"",IF(NOT(ISNA(VLOOKUP(E3452,E$1:E3451,1,FALSE()))),"OLD",IF(AND(E3452&lt;&gt;"",E3452&lt;&gt;"!!!"),"NEW","")))</f>
        <v> </v>
      </c>
      <c r="G3452" s="23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4" t="str">
        <f>IF(J3452&lt;&gt;1,"",IF(I3452="SBJ","CB","?"))</f>
        <v> </v>
      </c>
      <c r="I3452" s="25" t="str">
        <f>IF(OR(E3452="",E3452="!!!",F3452="NEW"),"",INDEX(B3451:B$2,-1+SUMPRODUCT(MAX(ROW(E3451:E$2)*(E3452=E3451:E$2)))))</f>
        <v> </v>
      </c>
      <c r="J3452" s="25" t="str">
        <f>IF(OR(E3452="",E3452="!!!",F3452="NEW"),"",COUNTBLANK(OFFSET(A$1,,,SUMPRODUCT(MAX(ROW(E$2:E3452)*(E3452=E$2:E3452)))))-COUNTBLANK(OFFSET(A$1,,,SUMPRODUCT(MAX(ROW(E$1:E3451)*(E2=E$1:E3451))))))</f>
        <v> </v>
      </c>
      <c r="K3452" s="25" t="str">
        <f>IF(OR(E3452="",E3452="!!!",F3452="NEW"),"",INDEX(J$1:J3451,SUMPRODUCT(MAX(ROW(E$1:E3451)*(E3452=E$1:E3451)))))</f>
        <v> </v>
      </c>
      <c r="L3452" s="26"/>
    </row>
    <row r="3453" spans="1:12">
      <c r="A3453" s="20" t="s">
        <v>2265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 t="s">
        <v>952</v>
      </c>
      <c r="B3454" s="27" t="s">
        <v>829</v>
      </c>
      <c r="C3454" s="27" t="s">
        <v>896</v>
      </c>
      <c r="D3454" s="27" t="s">
        <v>801</v>
      </c>
      <c r="E3454" s="21">
        <f>IF(D3454="?OLD","!!!","")</f>
        <v/>
      </c>
      <c r="F3454" s="22" t="str">
        <f>IF(OR(E3454="",E3454="!!!"),"",IF(NOT(ISNA(VLOOKUP(E3454,E$1:E3453,1,FALSE()))),"OLD",IF(AND(E3454&lt;&gt;"",E3454&lt;&gt;"!!!"),"NEW","")))</f>
        <v> </v>
      </c>
      <c r="G3454" s="23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4" t="str">
        <f>IF(J3454&lt;&gt;1,"",IF(I3454="SBJ","CB","?"))</f>
        <v> </v>
      </c>
      <c r="I3454" s="25" t="str">
        <f>IF(OR(E3454="",E3454="!!!",F3454="NEW"),"",INDEX(B3453:B$2,-1+SUMPRODUCT(MAX(ROW(E3453:E$2)*(E3454=E3453:E$2)))))</f>
        <v> </v>
      </c>
      <c r="J3454" s="25" t="str">
        <f>IF(OR(E3454="",E3454="!!!",F3454="NEW"),"",COUNTBLANK(OFFSET(A$1,,,SUMPRODUCT(MAX(ROW(E$2:E3454)*(E3454=E$2:E3454)))))-COUNTBLANK(OFFSET(A$1,,,SUMPRODUCT(MAX(ROW(E$1:E3453)*(E2=E$1:E3453))))))</f>
        <v> </v>
      </c>
      <c r="K3454" s="25" t="str">
        <f>IF(OR(E3454="",E3454="!!!",F3454="NEW"),"",INDEX(J$1:J3453,SUMPRODUCT(MAX(ROW(E$1:E3453)*(E3454=E$1:E3453)))))</f>
        <v> </v>
      </c>
      <c r="L3454" s="26"/>
    </row>
    <row r="3455" spans="1:12">
      <c r="A3455" s="20" t="s">
        <v>817</v>
      </c>
      <c r="E3455" s="21">
        <f>IF(D3455="?OLD","!!!","")</f>
        <v/>
      </c>
      <c r="F3455" s="22" t="str">
        <f>IF(OR(E3455="",E3455="!!!"),"",IF(NOT(ISNA(VLOOKUP(E3455,E$1:E3454,1,FALSE()))),"OLD",IF(AND(E3455&lt;&gt;"",E3455&lt;&gt;"!!!"),"NEW","")))</f>
        <v> </v>
      </c>
      <c r="G3455" s="23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4" t="str">
        <f>IF(J3455&lt;&gt;1,"",IF(I3455="SBJ","CB","?"))</f>
        <v> </v>
      </c>
      <c r="I3455" s="25" t="str">
        <f>IF(OR(E3455="",E3455="!!!",F3455="NEW"),"",INDEX(B3454:B$2,-1+SUMPRODUCT(MAX(ROW(E3454:E$2)*(E3455=E3454:E$2)))))</f>
        <v> </v>
      </c>
      <c r="J3455" s="25" t="str">
        <f>IF(OR(E3455="",E3455="!!!",F3455="NEW"),"",COUNTBLANK(OFFSET(A$1,,,SUMPRODUCT(MAX(ROW(E$2:E3455)*(E3455=E$2:E3455)))))-COUNTBLANK(OFFSET(A$1,,,SUMPRODUCT(MAX(ROW(E$1:E3454)*(E2=E$1:E3454))))))</f>
        <v> </v>
      </c>
      <c r="K3455" s="25" t="str">
        <f>IF(OR(E3455="",E3455="!!!",F3455="NEW"),"",INDEX(J$1:J3454,SUMPRODUCT(MAX(ROW(E$1:E3454)*(E3455=E$1:E3454)))))</f>
        <v> </v>
      </c>
      <c r="L3455" s="26"/>
    </row>
    <row r="3456" spans="1:12">
      <c r="A3456" s="20" t="s">
        <v>1894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253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803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/>
    </row>
    <row r="3460" spans="1:12">
      <c r="A3460" s="20" t="s">
        <v>2266</v>
      </c>
    </row>
    <row r="3461" spans="1:12">
      <c r="A3461" s="20" t="s">
        <v>1016</v>
      </c>
      <c r="B3461" s="27" t="s">
        <v>799</v>
      </c>
      <c r="C3461" s="27" t="s">
        <v>816</v>
      </c>
      <c r="D3461" s="27" t="s">
        <v>801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817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2267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2268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2269</v>
      </c>
      <c r="B3465" s="27" t="s">
        <v>921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2188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803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/>
    </row>
    <row r="3469" spans="1:12">
      <c r="A3469" s="20" t="s">
        <v>2270</v>
      </c>
    </row>
    <row r="3470" spans="1:12">
      <c r="A3470" s="20" t="s">
        <v>1196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2271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803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/>
    </row>
    <row r="3474" spans="1:12">
      <c r="A3474" s="20" t="s">
        <v>2272</v>
      </c>
    </row>
    <row r="3475" spans="1:12">
      <c r="A3475" s="20" t="s">
        <v>975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 t="s">
        <v>935</v>
      </c>
      <c r="B3476" s="27" t="s">
        <v>799</v>
      </c>
      <c r="C3476" s="27" t="s">
        <v>816</v>
      </c>
      <c r="D3476" s="27" t="s">
        <v>801</v>
      </c>
      <c r="E3476" s="21">
        <f>IF(D3476="?OLD","!!!","")</f>
        <v/>
      </c>
      <c r="F3476" s="22" t="str">
        <f>IF(OR(E3476="",E3476="!!!"),"",IF(NOT(ISNA(VLOOKUP(E3476,E$1:E3475,1,FALSE()))),"OLD",IF(AND(E3476&lt;&gt;"",E3476&lt;&gt;"!!!"),"NEW","")))</f>
        <v> </v>
      </c>
      <c r="G3476" s="23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4" t="str">
        <f>IF(J3476&lt;&gt;1,"",IF(I3476="SBJ","CB","?"))</f>
        <v> </v>
      </c>
      <c r="I3476" s="25" t="str">
        <f>IF(OR(E3476="",E3476="!!!",F3476="NEW"),"",INDEX(B3475:B$2,-1+SUMPRODUCT(MAX(ROW(E3475:E$2)*(E3476=E3475:E$2)))))</f>
        <v> </v>
      </c>
      <c r="J3476" s="25" t="str">
        <f>IF(OR(E3476="",E3476="!!!",F3476="NEW"),"",COUNTBLANK(OFFSET(A$1,,,SUMPRODUCT(MAX(ROW(E$2:E3476)*(E3476=E$2:E3476)))))-COUNTBLANK(OFFSET(A$1,,,SUMPRODUCT(MAX(ROW(E$1:E3475)*(E2=E$1:E3475))))))</f>
        <v> </v>
      </c>
      <c r="K3476" s="25" t="str">
        <f>IF(OR(E3476="",E3476="!!!",F3476="NEW"),"",INDEX(J$1:J3475,SUMPRODUCT(MAX(ROW(E$1:E3475)*(E3476=E$1:E3475)))))</f>
        <v> </v>
      </c>
      <c r="L3476" s="26"/>
    </row>
    <row r="3477" spans="1:12">
      <c r="A3477" s="20" t="s">
        <v>1855</v>
      </c>
      <c r="E3477" s="21">
        <f>IF(D3477="?OLD","!!!","")</f>
        <v/>
      </c>
      <c r="F3477" s="22" t="str">
        <f>IF(OR(E3477="",E3477="!!!"),"",IF(NOT(ISNA(VLOOKUP(E3477,E$1:E3476,1,FALSE()))),"OLD",IF(AND(E3477&lt;&gt;"",E3477&lt;&gt;"!!!"),"NEW","")))</f>
        <v> </v>
      </c>
      <c r="G3477" s="23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4" t="str">
        <f>IF(J3477&lt;&gt;1,"",IF(I3477="SBJ","CB","?"))</f>
        <v> </v>
      </c>
      <c r="I3477" s="25" t="str">
        <f>IF(OR(E3477="",E3477="!!!",F3477="NEW"),"",INDEX(B3476:B$2,-1+SUMPRODUCT(MAX(ROW(E3476:E$2)*(E3477=E3476:E$2)))))</f>
        <v> </v>
      </c>
      <c r="J3477" s="25" t="str">
        <f>IF(OR(E3477="",E3477="!!!",F3477="NEW"),"",COUNTBLANK(OFFSET(A$1,,,SUMPRODUCT(MAX(ROW(E$2:E3477)*(E3477=E$2:E3477)))))-COUNTBLANK(OFFSET(A$1,,,SUMPRODUCT(MAX(ROW(E$1:E3476)*(E2=E$1:E3476))))))</f>
        <v> </v>
      </c>
      <c r="K3477" s="25" t="str">
        <f>IF(OR(E3477="",E3477="!!!",F3477="NEW"),"",INDEX(J$1:J3476,SUMPRODUCT(MAX(ROW(E$1:E3476)*(E3477=E$1:E3476)))))</f>
        <v> </v>
      </c>
      <c r="L3477" s="26"/>
    </row>
    <row r="3478" spans="1:12">
      <c r="A3478" s="20" t="s">
        <v>795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 t="s">
        <v>877</v>
      </c>
      <c r="E3479" s="21">
        <f>IF(D3479="?OLD","!!!","")</f>
        <v/>
      </c>
      <c r="F3479" s="22" t="str">
        <f>IF(OR(E3479="",E3479="!!!"),"",IF(NOT(ISNA(VLOOKUP(E3479,E$1:E3478,1,FALSE()))),"OLD",IF(AND(E3479&lt;&gt;"",E3479&lt;&gt;"!!!"),"NEW","")))</f>
        <v> </v>
      </c>
      <c r="G3479" s="23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4" t="str">
        <f>IF(J3479&lt;&gt;1,"",IF(I3479="SBJ","CB","?"))</f>
        <v> </v>
      </c>
      <c r="I3479" s="25" t="str">
        <f>IF(OR(E3479="",E3479="!!!",F3479="NEW"),"",INDEX(B3478:B$2,-1+SUMPRODUCT(MAX(ROW(E3478:E$2)*(E3479=E3478:E$2)))))</f>
        <v> </v>
      </c>
      <c r="J3479" s="25" t="str">
        <f>IF(OR(E3479="",E3479="!!!",F3479="NEW"),"",COUNTBLANK(OFFSET(A$1,,,SUMPRODUCT(MAX(ROW(E$2:E3479)*(E3479=E$2:E3479)))))-COUNTBLANK(OFFSET(A$1,,,SUMPRODUCT(MAX(ROW(E$1:E3478)*(E2=E$1:E3478))))))</f>
        <v> </v>
      </c>
      <c r="K3479" s="25" t="str">
        <f>IF(OR(E3479="",E3479="!!!",F3479="NEW"),"",INDEX(J$1:J3478,SUMPRODUCT(MAX(ROW(E$1:E3478)*(E3479=E$1:E3478)))))</f>
        <v> </v>
      </c>
      <c r="L3479" s="26"/>
    </row>
    <row r="3480" spans="1:12">
      <c r="A3480" s="20" t="s">
        <v>821</v>
      </c>
      <c r="E3480" s="21">
        <f>IF(D3480="?OLD","!!!","")</f>
        <v/>
      </c>
      <c r="F3480" s="22" t="str">
        <f>IF(OR(E3480="",E3480="!!!"),"",IF(NOT(ISNA(VLOOKUP(E3480,E$1:E3479,1,FALSE()))),"OLD",IF(AND(E3480&lt;&gt;"",E3480&lt;&gt;"!!!"),"NEW","")))</f>
        <v> </v>
      </c>
      <c r="G3480" s="23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4" t="str">
        <f>IF(J3480&lt;&gt;1,"",IF(I3480="SBJ","CB","?"))</f>
        <v> </v>
      </c>
      <c r="I3480" s="25" t="str">
        <f>IF(OR(E3480="",E3480="!!!",F3480="NEW"),"",INDEX(B3479:B$2,-1+SUMPRODUCT(MAX(ROW(E3479:E$2)*(E3480=E3479:E$2)))))</f>
        <v> </v>
      </c>
      <c r="J3480" s="25" t="str">
        <f>IF(OR(E3480="",E3480="!!!",F3480="NEW"),"",COUNTBLANK(OFFSET(A$1,,,SUMPRODUCT(MAX(ROW(E$2:E3480)*(E3480=E$2:E3480)))))-COUNTBLANK(OFFSET(A$1,,,SUMPRODUCT(MAX(ROW(E$1:E3479)*(E2=E$1:E3479))))))</f>
        <v> </v>
      </c>
      <c r="K3480" s="25" t="str">
        <f>IF(OR(E3480="",E3480="!!!",F3480="NEW"),"",INDEX(J$1:J3479,SUMPRODUCT(MAX(ROW(E$1:E3479)*(E3480=E$1:E3479)))))</f>
        <v> </v>
      </c>
      <c r="L3480" s="26"/>
    </row>
    <row r="3481" spans="1:12">
      <c r="A3481" s="20" t="s">
        <v>1125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822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1298</v>
      </c>
      <c r="B3483" s="27" t="s">
        <v>891</v>
      </c>
      <c r="C3483" s="27" t="s">
        <v>816</v>
      </c>
      <c r="D3483" s="27" t="s">
        <v>801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1331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2273</v>
      </c>
      <c r="B3485" s="27" t="s">
        <v>849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2274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795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1213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329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795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877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2275</v>
      </c>
      <c r="B3492" s="27" t="s">
        <v>829</v>
      </c>
      <c r="C3492" s="27" t="s">
        <v>896</v>
      </c>
      <c r="D3492" s="27" t="s">
        <v>801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2276</v>
      </c>
      <c r="B3493" s="27" t="s">
        <v>943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2277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 t="s">
        <v>2278</v>
      </c>
      <c r="E3495" s="21">
        <f>IF(D3495="?OLD","!!!","")</f>
        <v/>
      </c>
      <c r="F3495" s="22" t="str">
        <f>IF(OR(E3495="",E3495="!!!"),"",IF(NOT(ISNA(VLOOKUP(E3495,E$1:E3494,1,FALSE()))),"OLD",IF(AND(E3495&lt;&gt;"",E3495&lt;&gt;"!!!"),"NEW","")))</f>
        <v> </v>
      </c>
      <c r="G3495" s="23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4" t="str">
        <f>IF(J3495&lt;&gt;1,"",IF(I3495="SBJ","CB","?"))</f>
        <v> </v>
      </c>
      <c r="I3495" s="25" t="str">
        <f>IF(OR(E3495="",E3495="!!!",F3495="NEW"),"",INDEX(B3494:B$2,-1+SUMPRODUCT(MAX(ROW(E3494:E$2)*(E3495=E3494:E$2)))))</f>
        <v> </v>
      </c>
      <c r="J3495" s="25" t="str">
        <f>IF(OR(E3495="",E3495="!!!",F3495="NEW"),"",COUNTBLANK(OFFSET(A$1,,,SUMPRODUCT(MAX(ROW(E$2:E3495)*(E3495=E$2:E3495)))))-COUNTBLANK(OFFSET(A$1,,,SUMPRODUCT(MAX(ROW(E$1:E3494)*(E2=E$1:E3494))))))</f>
        <v> </v>
      </c>
      <c r="K3495" s="25" t="str">
        <f>IF(OR(E3495="",E3495="!!!",F3495="NEW"),"",INDEX(J$1:J3494,SUMPRODUCT(MAX(ROW(E$1:E3494)*(E3495=E$1:E3494)))))</f>
        <v> </v>
      </c>
      <c r="L3495" s="26"/>
    </row>
    <row r="3496" spans="1:12">
      <c r="A3496" s="20" t="s">
        <v>795</v>
      </c>
      <c r="E3496" s="21">
        <f>IF(D3496="?OLD","!!!","")</f>
        <v/>
      </c>
      <c r="F3496" s="22" t="str">
        <f>IF(OR(E3496="",E3496="!!!"),"",IF(NOT(ISNA(VLOOKUP(E3496,E$1:E3495,1,FALSE()))),"OLD",IF(AND(E3496&lt;&gt;"",E3496&lt;&gt;"!!!"),"NEW","")))</f>
        <v> </v>
      </c>
      <c r="G3496" s="23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4" t="str">
        <f>IF(J3496&lt;&gt;1,"",IF(I3496="SBJ","CB","?"))</f>
        <v> </v>
      </c>
      <c r="I3496" s="25" t="str">
        <f>IF(OR(E3496="",E3496="!!!",F3496="NEW"),"",INDEX(B3495:B$2,-1+SUMPRODUCT(MAX(ROW(E3495:E$2)*(E3496=E3495:E$2)))))</f>
        <v> </v>
      </c>
      <c r="J3496" s="25" t="str">
        <f>IF(OR(E3496="",E3496="!!!",F3496="NEW"),"",COUNTBLANK(OFFSET(A$1,,,SUMPRODUCT(MAX(ROW(E$2:E3496)*(E3496=E$2:E3496)))))-COUNTBLANK(OFFSET(A$1,,,SUMPRODUCT(MAX(ROW(E$1:E3495)*(E2=E$1:E3495))))))</f>
        <v> </v>
      </c>
      <c r="K3496" s="25" t="str">
        <f>IF(OR(E3496="",E3496="!!!",F3496="NEW"),"",INDEX(J$1:J3495,SUMPRODUCT(MAX(ROW(E$1:E3495)*(E3496=E$1:E3495)))))</f>
        <v> </v>
      </c>
      <c r="L3496" s="26"/>
    </row>
    <row r="3497" spans="1:12">
      <c r="A3497" s="20" t="s">
        <v>821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 t="s">
        <v>1125</v>
      </c>
      <c r="E3498" s="21">
        <f>IF(D3498="?OLD","!!!","")</f>
        <v/>
      </c>
      <c r="F3498" s="22" t="str">
        <f>IF(OR(E3498="",E3498="!!!"),"",IF(NOT(ISNA(VLOOKUP(E3498,E$1:E3497,1,FALSE()))),"OLD",IF(AND(E3498&lt;&gt;"",E3498&lt;&gt;"!!!"),"NEW","")))</f>
        <v> </v>
      </c>
      <c r="G3498" s="23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4" t="str">
        <f>IF(J3498&lt;&gt;1,"",IF(I3498="SBJ","CB","?"))</f>
        <v> </v>
      </c>
      <c r="I3498" s="25" t="str">
        <f>IF(OR(E3498="",E3498="!!!",F3498="NEW"),"",INDEX(B3497:B$2,-1+SUMPRODUCT(MAX(ROW(E3497:E$2)*(E3498=E3497:E$2)))))</f>
        <v> </v>
      </c>
      <c r="J3498" s="25" t="str">
        <f>IF(OR(E3498="",E3498="!!!",F3498="NEW"),"",COUNTBLANK(OFFSET(A$1,,,SUMPRODUCT(MAX(ROW(E$2:E3498)*(E3498=E$2:E3498)))))-COUNTBLANK(OFFSET(A$1,,,SUMPRODUCT(MAX(ROW(E$1:E3497)*(E2=E$1:E3497))))))</f>
        <v> </v>
      </c>
      <c r="K3498" s="25" t="str">
        <f>IF(OR(E3498="",E3498="!!!",F3498="NEW"),"",INDEX(J$1:J3497,SUMPRODUCT(MAX(ROW(E$1:E3497)*(E3498=E$1:E3497)))))</f>
        <v> </v>
      </c>
      <c r="L3498" s="26"/>
    </row>
    <row r="3499" spans="1:12">
      <c r="A3499" s="20" t="s">
        <v>1298</v>
      </c>
      <c r="B3499" s="27" t="s">
        <v>1001</v>
      </c>
      <c r="C3499" s="27" t="s">
        <v>816</v>
      </c>
      <c r="D3499" s="27" t="s">
        <v>801</v>
      </c>
      <c r="E3499" s="21">
        <f>IF(D3499="?OLD","!!!","")</f>
        <v/>
      </c>
      <c r="F3499" s="22" t="str">
        <f>IF(OR(E3499="",E3499="!!!"),"",IF(NOT(ISNA(VLOOKUP(E3499,E$1:E3498,1,FALSE()))),"OLD",IF(AND(E3499&lt;&gt;"",E3499&lt;&gt;"!!!"),"NEW","")))</f>
        <v> </v>
      </c>
      <c r="G3499" s="23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4" t="str">
        <f>IF(J3499&lt;&gt;1,"",IF(I3499="SBJ","CB","?"))</f>
        <v> </v>
      </c>
      <c r="I3499" s="25" t="str">
        <f>IF(OR(E3499="",E3499="!!!",F3499="NEW"),"",INDEX(B3498:B$2,-1+SUMPRODUCT(MAX(ROW(E3498:E$2)*(E3499=E3498:E$2)))))</f>
        <v> </v>
      </c>
      <c r="J3499" s="25" t="str">
        <f>IF(OR(E3499="",E3499="!!!",F3499="NEW"),"",COUNTBLANK(OFFSET(A$1,,,SUMPRODUCT(MAX(ROW(E$2:E3499)*(E3499=E$2:E3499)))))-COUNTBLANK(OFFSET(A$1,,,SUMPRODUCT(MAX(ROW(E$1:E3498)*(E2=E$1:E3498))))))</f>
        <v> </v>
      </c>
      <c r="K3499" s="25" t="str">
        <f>IF(OR(E3499="",E3499="!!!",F3499="NEW"),"",INDEX(J$1:J3498,SUMPRODUCT(MAX(ROW(E$1:E3498)*(E3499=E$1:E3498)))))</f>
        <v> </v>
      </c>
      <c r="L3499" s="26"/>
    </row>
    <row r="3500" spans="1:12">
      <c r="A3500" s="20" t="s">
        <v>2279</v>
      </c>
      <c r="E3500" s="21">
        <f>IF(D3500="?OLD","!!!","")</f>
        <v/>
      </c>
      <c r="F3500" s="22" t="str">
        <f>IF(OR(E3500="",E3500="!!!"),"",IF(NOT(ISNA(VLOOKUP(E3500,E$1:E3499,1,FALSE()))),"OLD",IF(AND(E3500&lt;&gt;"",E3500&lt;&gt;"!!!"),"NEW","")))</f>
        <v> </v>
      </c>
      <c r="G3500" s="23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4" t="str">
        <f>IF(J3500&lt;&gt;1,"",IF(I3500="SBJ","CB","?"))</f>
        <v> </v>
      </c>
      <c r="I3500" s="25" t="str">
        <f>IF(OR(E3500="",E3500="!!!",F3500="NEW"),"",INDEX(B3499:B$2,-1+SUMPRODUCT(MAX(ROW(E3499:E$2)*(E3500=E3499:E$2)))))</f>
        <v> </v>
      </c>
      <c r="J3500" s="25" t="str">
        <f>IF(OR(E3500="",E3500="!!!",F3500="NEW"),"",COUNTBLANK(OFFSET(A$1,,,SUMPRODUCT(MAX(ROW(E$2:E3500)*(E3500=E$2:E3500)))))-COUNTBLANK(OFFSET(A$1,,,SUMPRODUCT(MAX(ROW(E$1:E3499)*(E2=E$1:E3499))))))</f>
        <v> </v>
      </c>
      <c r="K3500" s="25" t="str">
        <f>IF(OR(E3500="",E3500="!!!",F3500="NEW"),"",INDEX(J$1:J3499,SUMPRODUCT(MAX(ROW(E$1:E3499)*(E3500=E$1:E3499)))))</f>
        <v> </v>
      </c>
      <c r="L3500" s="26"/>
    </row>
    <row r="3501" spans="1:12">
      <c r="A3501" s="20" t="s">
        <v>2273</v>
      </c>
      <c r="B3501" s="27" t="s">
        <v>943</v>
      </c>
      <c r="E3501" s="21">
        <f>IF(D3501="?OLD","!!!","")</f>
        <v/>
      </c>
      <c r="F3501" s="22" t="str">
        <f>IF(OR(E3501="",E3501="!!!"),"",IF(NOT(ISNA(VLOOKUP(E3501,E$1:E3500,1,FALSE()))),"OLD",IF(AND(E3501&lt;&gt;"",E3501&lt;&gt;"!!!"),"NEW","")))</f>
        <v> </v>
      </c>
      <c r="G3501" s="23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4" t="str">
        <f>IF(J3501&lt;&gt;1,"",IF(I3501="SBJ","CB","?"))</f>
        <v> </v>
      </c>
      <c r="I3501" s="25" t="str">
        <f>IF(OR(E3501="",E3501="!!!",F3501="NEW"),"",INDEX(B3500:B$2,-1+SUMPRODUCT(MAX(ROW(E3500:E$2)*(E3501=E3500:E$2)))))</f>
        <v> </v>
      </c>
      <c r="J3501" s="25" t="str">
        <f>IF(OR(E3501="",E3501="!!!",F3501="NEW"),"",COUNTBLANK(OFFSET(A$1,,,SUMPRODUCT(MAX(ROW(E$2:E3501)*(E3501=E$2:E3501)))))-COUNTBLANK(OFFSET(A$1,,,SUMPRODUCT(MAX(ROW(E$1:E3500)*(E2=E$1:E3500))))))</f>
        <v> </v>
      </c>
      <c r="K3501" s="25" t="str">
        <f>IF(OR(E3501="",E3501="!!!",F3501="NEW"),"",INDEX(J$1:J3500,SUMPRODUCT(MAX(ROW(E$1:E3500)*(E3501=E$1:E3500)))))</f>
        <v> </v>
      </c>
      <c r="L3501" s="26"/>
    </row>
    <row r="3502" spans="1:12">
      <c r="A3502" s="20" t="s">
        <v>2188</v>
      </c>
      <c r="E3502" s="21">
        <f>IF(D3502="?OLD","!!!","")</f>
        <v/>
      </c>
      <c r="F3502" s="22" t="str">
        <f>IF(OR(E3502="",E3502="!!!"),"",IF(NOT(ISNA(VLOOKUP(E3502,E$1:E3501,1,FALSE()))),"OLD",IF(AND(E3502&lt;&gt;"",E3502&lt;&gt;"!!!"),"NEW","")))</f>
        <v> </v>
      </c>
      <c r="G3502" s="23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4" t="str">
        <f>IF(J3502&lt;&gt;1,"",IF(I3502="SBJ","CB","?"))</f>
        <v> </v>
      </c>
      <c r="I3502" s="25" t="str">
        <f>IF(OR(E3502="",E3502="!!!",F3502="NEW"),"",INDEX(B3501:B$2,-1+SUMPRODUCT(MAX(ROW(E3501:E$2)*(E3502=E3501:E$2)))))</f>
        <v> </v>
      </c>
      <c r="J3502" s="25" t="str">
        <f>IF(OR(E3502="",E3502="!!!",F3502="NEW"),"",COUNTBLANK(OFFSET(A$1,,,SUMPRODUCT(MAX(ROW(E$2:E3502)*(E3502=E$2:E3502)))))-COUNTBLANK(OFFSET(A$1,,,SUMPRODUCT(MAX(ROW(E$1:E3501)*(E2=E$1:E3501))))))</f>
        <v> </v>
      </c>
      <c r="K3502" s="25" t="str">
        <f>IF(OR(E3502="",E3502="!!!",F3502="NEW"),"",INDEX(J$1:J3501,SUMPRODUCT(MAX(ROW(E$1:E3501)*(E3502=E$1:E3501)))))</f>
        <v> </v>
      </c>
      <c r="L3502" s="26"/>
    </row>
    <row r="3503" spans="1:12">
      <c r="A3503" s="20" t="s">
        <v>795</v>
      </c>
      <c r="E3503" s="21">
        <f>IF(D3503="?OLD","!!!","")</f>
        <v/>
      </c>
      <c r="F3503" s="22" t="str">
        <f>IF(OR(E3503="",E3503="!!!"),"",IF(NOT(ISNA(VLOOKUP(E3503,E$1:E3502,1,FALSE()))),"OLD",IF(AND(E3503&lt;&gt;"",E3503&lt;&gt;"!!!"),"NEW","")))</f>
        <v> </v>
      </c>
      <c r="G3503" s="23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4" t="str">
        <f>IF(J3503&lt;&gt;1,"",IF(I3503="SBJ","CB","?"))</f>
        <v> </v>
      </c>
      <c r="I3503" s="25" t="str">
        <f>IF(OR(E3503="",E3503="!!!",F3503="NEW"),"",INDEX(B3502:B$2,-1+SUMPRODUCT(MAX(ROW(E3502:E$2)*(E3503=E3502:E$2)))))</f>
        <v> </v>
      </c>
      <c r="J3503" s="25" t="str">
        <f>IF(OR(E3503="",E3503="!!!",F3503="NEW"),"",COUNTBLANK(OFFSET(A$1,,,SUMPRODUCT(MAX(ROW(E$2:E3503)*(E3503=E$2:E3503)))))-COUNTBLANK(OFFSET(A$1,,,SUMPRODUCT(MAX(ROW(E$1:E3502)*(E2=E$1:E3502))))))</f>
        <v> </v>
      </c>
      <c r="K3503" s="25" t="str">
        <f>IF(OR(E3503="",E3503="!!!",F3503="NEW"),"",INDEX(J$1:J3502,SUMPRODUCT(MAX(ROW(E$1:E3502)*(E3503=E$1:E3502)))))</f>
        <v> </v>
      </c>
      <c r="L3503" s="26"/>
    </row>
    <row r="3504" spans="1:12">
      <c r="A3504" s="20" t="s">
        <v>2273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1631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1062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2280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2281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2282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 t="s">
        <v>803</v>
      </c>
      <c r="E3510" s="21">
        <f>IF(D3510="?OLD","!!!","")</f>
        <v/>
      </c>
      <c r="F3510" s="22" t="str">
        <f>IF(OR(E3510="",E3510="!!!"),"",IF(NOT(ISNA(VLOOKUP(E3510,E$1:E3509,1,FALSE()))),"OLD",IF(AND(E3510&lt;&gt;"",E3510&lt;&gt;"!!!"),"NEW","")))</f>
        <v> </v>
      </c>
      <c r="G3510" s="23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4" t="str">
        <f>IF(J3510&lt;&gt;1,"",IF(I3510="SBJ","CB","?"))</f>
        <v> </v>
      </c>
      <c r="I3510" s="25" t="str">
        <f>IF(OR(E3510="",E3510="!!!",F3510="NEW"),"",INDEX(B3509:B$2,-1+SUMPRODUCT(MAX(ROW(E3509:E$2)*(E3510=E3509:E$2)))))</f>
        <v> </v>
      </c>
      <c r="J3510" s="25" t="str">
        <f>IF(OR(E3510="",E3510="!!!",F3510="NEW"),"",COUNTBLANK(OFFSET(A$1,,,SUMPRODUCT(MAX(ROW(E$2:E3510)*(E3510=E$2:E3510)))))-COUNTBLANK(OFFSET(A$1,,,SUMPRODUCT(MAX(ROW(E$1:E3509)*(E2=E$1:E3509))))))</f>
        <v> </v>
      </c>
      <c r="K3510" s="25" t="str">
        <f>IF(OR(E3510="",E3510="!!!",F3510="NEW"),"",INDEX(J$1:J3509,SUMPRODUCT(MAX(ROW(E$1:E3509)*(E3510=E$1:E3509)))))</f>
        <v> </v>
      </c>
      <c r="L3510" s="26"/>
    </row>
    <row r="3511" spans="1:12">
      <c r="A3511" s="20"/>
    </row>
    <row r="3512" spans="1:12">
      <c r="A3512" s="20" t="s">
        <v>2283</v>
      </c>
    </row>
    <row r="3513" spans="1:12">
      <c r="A3513" s="20" t="s">
        <v>2284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2285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1519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 t="s">
        <v>2286</v>
      </c>
      <c r="E3516" s="21">
        <f>IF(D3516="?OLD","!!!","")</f>
        <v/>
      </c>
      <c r="F3516" s="22" t="str">
        <f>IF(OR(E3516="",E3516="!!!"),"",IF(NOT(ISNA(VLOOKUP(E3516,E$1:E3515,1,FALSE()))),"OLD",IF(AND(E3516&lt;&gt;"",E3516&lt;&gt;"!!!"),"NEW","")))</f>
        <v> </v>
      </c>
      <c r="G3516" s="23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4" t="str">
        <f>IF(J3516&lt;&gt;1,"",IF(I3516="SBJ","CB","?"))</f>
        <v> </v>
      </c>
      <c r="I3516" s="25" t="str">
        <f>IF(OR(E3516="",E3516="!!!",F3516="NEW"),"",INDEX(B3515:B$2,-1+SUMPRODUCT(MAX(ROW(E3515:E$2)*(E3516=E3515:E$2)))))</f>
        <v> </v>
      </c>
      <c r="J3516" s="25" t="str">
        <f>IF(OR(E3516="",E3516="!!!",F3516="NEW"),"",COUNTBLANK(OFFSET(A$1,,,SUMPRODUCT(MAX(ROW(E$2:E3516)*(E3516=E$2:E3516)))))-COUNTBLANK(OFFSET(A$1,,,SUMPRODUCT(MAX(ROW(E$1:E3515)*(E2=E$1:E3515))))))</f>
        <v> </v>
      </c>
      <c r="K3516" s="25" t="str">
        <f>IF(OR(E3516="",E3516="!!!",F3516="NEW"),"",INDEX(J$1:J3515,SUMPRODUCT(MAX(ROW(E$1:E3515)*(E3516=E$1:E3515)))))</f>
        <v> </v>
      </c>
      <c r="L3516" s="26"/>
    </row>
    <row r="3517" spans="1:12">
      <c r="A3517" s="20" t="s">
        <v>2287</v>
      </c>
      <c r="E3517" s="21">
        <f>IF(D3517="?OLD","!!!","")</f>
        <v/>
      </c>
      <c r="F3517" s="22" t="str">
        <f>IF(OR(E3517="",E3517="!!!"),"",IF(NOT(ISNA(VLOOKUP(E3517,E$1:E3516,1,FALSE()))),"OLD",IF(AND(E3517&lt;&gt;"",E3517&lt;&gt;"!!!"),"NEW","")))</f>
        <v> </v>
      </c>
      <c r="G3517" s="23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4" t="str">
        <f>IF(J3517&lt;&gt;1,"",IF(I3517="SBJ","CB","?"))</f>
        <v> </v>
      </c>
      <c r="I3517" s="25" t="str">
        <f>IF(OR(E3517="",E3517="!!!",F3517="NEW"),"",INDEX(B3516:B$2,-1+SUMPRODUCT(MAX(ROW(E3516:E$2)*(E3517=E3516:E$2)))))</f>
        <v> </v>
      </c>
      <c r="J3517" s="25" t="str">
        <f>IF(OR(E3517="",E3517="!!!",F3517="NEW"),"",COUNTBLANK(OFFSET(A$1,,,SUMPRODUCT(MAX(ROW(E$2:E3517)*(E3517=E$2:E3517)))))-COUNTBLANK(OFFSET(A$1,,,SUMPRODUCT(MAX(ROW(E$1:E3516)*(E2=E$1:E3516))))))</f>
        <v> </v>
      </c>
      <c r="K3517" s="25" t="str">
        <f>IF(OR(E3517="",E3517="!!!",F3517="NEW"),"",INDEX(J$1:J3516,SUMPRODUCT(MAX(ROW(E$1:E3516)*(E3517=E$1:E3516)))))</f>
        <v> </v>
      </c>
      <c r="L3517" s="26"/>
    </row>
    <row r="3518" spans="1:12">
      <c r="A3518" s="20" t="s">
        <v>1723</v>
      </c>
      <c r="B3518" s="27" t="s">
        <v>957</v>
      </c>
      <c r="C3518" s="27" t="s">
        <v>896</v>
      </c>
      <c r="D3518" s="27" t="s">
        <v>801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1413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 t="s">
        <v>795</v>
      </c>
      <c r="E3520" s="21">
        <f>IF(D3520="?OLD","!!!","")</f>
        <v/>
      </c>
      <c r="F3520" s="22" t="str">
        <f>IF(OR(E3520="",E3520="!!!"),"",IF(NOT(ISNA(VLOOKUP(E3520,E$1:E3519,1,FALSE()))),"OLD",IF(AND(E3520&lt;&gt;"",E3520&lt;&gt;"!!!"),"NEW","")))</f>
        <v> </v>
      </c>
      <c r="G3520" s="23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4" t="str">
        <f>IF(J3520&lt;&gt;1,"",IF(I3520="SBJ","CB","?"))</f>
        <v> </v>
      </c>
      <c r="I3520" s="25" t="str">
        <f>IF(OR(E3520="",E3520="!!!",F3520="NEW"),"",INDEX(B3519:B$2,-1+SUMPRODUCT(MAX(ROW(E3519:E$2)*(E3520=E3519:E$2)))))</f>
        <v> </v>
      </c>
      <c r="J3520" s="25" t="str">
        <f>IF(OR(E3520="",E3520="!!!",F3520="NEW"),"",COUNTBLANK(OFFSET(A$1,,,SUMPRODUCT(MAX(ROW(E$2:E3520)*(E3520=E$2:E3520)))))-COUNTBLANK(OFFSET(A$1,,,SUMPRODUCT(MAX(ROW(E$1:E3519)*(E2=E$1:E3519))))))</f>
        <v> </v>
      </c>
      <c r="K3520" s="25" t="str">
        <f>IF(OR(E3520="",E3520="!!!",F3520="NEW"),"",INDEX(J$1:J3519,SUMPRODUCT(MAX(ROW(E$1:E3519)*(E3520=E$1:E3519)))))</f>
        <v> </v>
      </c>
      <c r="L3520" s="26"/>
    </row>
    <row r="3521" spans="1:12">
      <c r="A3521" s="20" t="s">
        <v>837</v>
      </c>
      <c r="E3521" s="21">
        <f>IF(D3521="?OLD","!!!","")</f>
        <v/>
      </c>
      <c r="F3521" s="22" t="str">
        <f>IF(OR(E3521="",E3521="!!!"),"",IF(NOT(ISNA(VLOOKUP(E3521,E$1:E3520,1,FALSE()))),"OLD",IF(AND(E3521&lt;&gt;"",E3521&lt;&gt;"!!!"),"NEW","")))</f>
        <v> </v>
      </c>
      <c r="G3521" s="23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4" t="str">
        <f>IF(J3521&lt;&gt;1,"",IF(I3521="SBJ","CB","?"))</f>
        <v> </v>
      </c>
      <c r="I3521" s="25" t="str">
        <f>IF(OR(E3521="",E3521="!!!",F3521="NEW"),"",INDEX(B3520:B$2,-1+SUMPRODUCT(MAX(ROW(E3520:E$2)*(E3521=E3520:E$2)))))</f>
        <v> </v>
      </c>
      <c r="J3521" s="25" t="str">
        <f>IF(OR(E3521="",E3521="!!!",F3521="NEW"),"",COUNTBLANK(OFFSET(A$1,,,SUMPRODUCT(MAX(ROW(E$2:E3521)*(E3521=E$2:E3521)))))-COUNTBLANK(OFFSET(A$1,,,SUMPRODUCT(MAX(ROW(E$1:E3520)*(E2=E$1:E3520))))))</f>
        <v> </v>
      </c>
      <c r="K3521" s="25" t="str">
        <f>IF(OR(E3521="",E3521="!!!",F3521="NEW"),"",INDEX(J$1:J3520,SUMPRODUCT(MAX(ROW(E$1:E3520)*(E3521=E$1:E3520)))))</f>
        <v> </v>
      </c>
      <c r="L3521" s="26"/>
    </row>
    <row r="3522" spans="1:12">
      <c r="A3522" s="20" t="s">
        <v>2288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1239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2289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 t="s">
        <v>2290</v>
      </c>
      <c r="B3525" s="27" t="s">
        <v>921</v>
      </c>
      <c r="E3525" s="21">
        <f>IF(D3525="?OLD","!!!","")</f>
        <v/>
      </c>
      <c r="F3525" s="22" t="str">
        <f>IF(OR(E3525="",E3525="!!!"),"",IF(NOT(ISNA(VLOOKUP(E3525,E$1:E3524,1,FALSE()))),"OLD",IF(AND(E3525&lt;&gt;"",E3525&lt;&gt;"!!!"),"NEW","")))</f>
        <v> </v>
      </c>
      <c r="G3525" s="23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4" t="str">
        <f>IF(J3525&lt;&gt;1,"",IF(I3525="SBJ","CB","?"))</f>
        <v> </v>
      </c>
      <c r="I3525" s="25" t="str">
        <f>IF(OR(E3525="",E3525="!!!",F3525="NEW"),"",INDEX(B3524:B$2,-1+SUMPRODUCT(MAX(ROW(E3524:E$2)*(E3525=E3524:E$2)))))</f>
        <v> </v>
      </c>
      <c r="J3525" s="25" t="str">
        <f>IF(OR(E3525="",E3525="!!!",F3525="NEW"),"",COUNTBLANK(OFFSET(A$1,,,SUMPRODUCT(MAX(ROW(E$2:E3525)*(E3525=E$2:E3525)))))-COUNTBLANK(OFFSET(A$1,,,SUMPRODUCT(MAX(ROW(E$1:E3524)*(E2=E$1:E3524))))))</f>
        <v> </v>
      </c>
      <c r="K3525" s="25" t="str">
        <f>IF(OR(E3525="",E3525="!!!",F3525="NEW"),"",INDEX(J$1:J3524,SUMPRODUCT(MAX(ROW(E$1:E3524)*(E3525=E$1:E3524)))))</f>
        <v> </v>
      </c>
      <c r="L3525" s="26"/>
    </row>
    <row r="3526" spans="1:12">
      <c r="A3526" s="20" t="s">
        <v>803</v>
      </c>
      <c r="E3526" s="21">
        <f>IF(D3526="?OLD","!!!","")</f>
        <v/>
      </c>
      <c r="F3526" s="22" t="str">
        <f>IF(OR(E3526="",E3526="!!!"),"",IF(NOT(ISNA(VLOOKUP(E3526,E$1:E3525,1,FALSE()))),"OLD",IF(AND(E3526&lt;&gt;"",E3526&lt;&gt;"!!!"),"NEW","")))</f>
        <v> </v>
      </c>
      <c r="G3526" s="23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4" t="str">
        <f>IF(J3526&lt;&gt;1,"",IF(I3526="SBJ","CB","?"))</f>
        <v> </v>
      </c>
      <c r="I3526" s="25" t="str">
        <f>IF(OR(E3526="",E3526="!!!",F3526="NEW"),"",INDEX(B3525:B$2,-1+SUMPRODUCT(MAX(ROW(E3525:E$2)*(E3526=E3525:E$2)))))</f>
        <v> </v>
      </c>
      <c r="J3526" s="25" t="str">
        <f>IF(OR(E3526="",E3526="!!!",F3526="NEW"),"",COUNTBLANK(OFFSET(A$1,,,SUMPRODUCT(MAX(ROW(E$2:E3526)*(E3526=E$2:E3526)))))-COUNTBLANK(OFFSET(A$1,,,SUMPRODUCT(MAX(ROW(E$1:E3525)*(E2=E$1:E3525))))))</f>
        <v> </v>
      </c>
      <c r="K3526" s="25" t="str">
        <f>IF(OR(E3526="",E3526="!!!",F3526="NEW"),"",INDEX(J$1:J3525,SUMPRODUCT(MAX(ROW(E$1:E3525)*(E3526=E$1:E3525)))))</f>
        <v> </v>
      </c>
      <c r="L3526" s="26"/>
    </row>
    <row r="3527" spans="1:12">
      <c r="A3527" s="20"/>
    </row>
    <row r="3528" spans="1:12">
      <c r="A3528" s="20" t="s">
        <v>2291</v>
      </c>
    </row>
    <row r="3529" spans="1:12">
      <c r="A3529" s="20" t="s">
        <v>2292</v>
      </c>
      <c r="B3529" s="27" t="s">
        <v>799</v>
      </c>
      <c r="E3529" s="21">
        <f>IF(D3529="?OLD","!!!","")</f>
        <v/>
      </c>
      <c r="F3529" s="22" t="str">
        <f>IF(OR(E3529="",E3529="!!!"),"",IF(NOT(ISNA(VLOOKUP(E3529,E$1:E3528,1,FALSE()))),"OLD",IF(AND(E3529&lt;&gt;"",E3529&lt;&gt;"!!!"),"NEW","")))</f>
        <v> </v>
      </c>
      <c r="G3529" s="23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4" t="str">
        <f>IF(J3529&lt;&gt;1,"",IF(I3529="SBJ","CB","?"))</f>
        <v> </v>
      </c>
      <c r="I3529" s="25" t="str">
        <f>IF(OR(E3529="",E3529="!!!",F3529="NEW"),"",INDEX(B3528:B$2,-1+SUMPRODUCT(MAX(ROW(E3528:E$2)*(E3529=E3528:E$2)))))</f>
        <v> </v>
      </c>
      <c r="J3529" s="25" t="str">
        <f>IF(OR(E3529="",E3529="!!!",F3529="NEW"),"",COUNTBLANK(OFFSET(A$1,,,SUMPRODUCT(MAX(ROW(E$2:E3529)*(E3529=E$2:E3529)))))-COUNTBLANK(OFFSET(A$1,,,SUMPRODUCT(MAX(ROW(E$1:E3528)*(E2=E$1:E3528))))))</f>
        <v> </v>
      </c>
      <c r="K3529" s="25" t="str">
        <f>IF(OR(E3529="",E3529="!!!",F3529="NEW"),"",INDEX(J$1:J3528,SUMPRODUCT(MAX(ROW(E$1:E3528)*(E3529=E$1:E3528)))))</f>
        <v> </v>
      </c>
      <c r="L3529" s="26"/>
    </row>
    <row r="3530" spans="1:12">
      <c r="A3530" s="20" t="s">
        <v>817</v>
      </c>
      <c r="E3530" s="21">
        <f>IF(D3530="?OLD","!!!","")</f>
        <v/>
      </c>
      <c r="F3530" s="22" t="str">
        <f>IF(OR(E3530="",E3530="!!!"),"",IF(NOT(ISNA(VLOOKUP(E3530,E$1:E3529,1,FALSE()))),"OLD",IF(AND(E3530&lt;&gt;"",E3530&lt;&gt;"!!!"),"NEW","")))</f>
        <v> </v>
      </c>
      <c r="G3530" s="23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4" t="str">
        <f>IF(J3530&lt;&gt;1,"",IF(I3530="SBJ","CB","?"))</f>
        <v> </v>
      </c>
      <c r="I3530" s="25" t="str">
        <f>IF(OR(E3530="",E3530="!!!",F3530="NEW"),"",INDEX(B3529:B$2,-1+SUMPRODUCT(MAX(ROW(E3529:E$2)*(E3530=E3529:E$2)))))</f>
        <v> </v>
      </c>
      <c r="J3530" s="25" t="str">
        <f>IF(OR(E3530="",E3530="!!!",F3530="NEW"),"",COUNTBLANK(OFFSET(A$1,,,SUMPRODUCT(MAX(ROW(E$2:E3530)*(E3530=E$2:E3530)))))-COUNTBLANK(OFFSET(A$1,,,SUMPRODUCT(MAX(ROW(E$1:E3529)*(E2=E$1:E3529))))))</f>
        <v> </v>
      </c>
      <c r="K3530" s="25" t="str">
        <f>IF(OR(E3530="",E3530="!!!",F3530="NEW"),"",INDEX(J$1:J3529,SUMPRODUCT(MAX(ROW(E$1:E3529)*(E3530=E$1:E3529)))))</f>
        <v> </v>
      </c>
      <c r="L3530" s="26"/>
    </row>
    <row r="3531" spans="1:12">
      <c r="A3531" s="20" t="s">
        <v>2293</v>
      </c>
      <c r="E3531" s="21">
        <f>IF(D3531="?OLD","!!!","")</f>
        <v/>
      </c>
      <c r="F3531" s="22" t="str">
        <f>IF(OR(E3531="",E3531="!!!"),"",IF(NOT(ISNA(VLOOKUP(E3531,E$1:E3530,1,FALSE()))),"OLD",IF(AND(E3531&lt;&gt;"",E3531&lt;&gt;"!!!"),"NEW","")))</f>
        <v> </v>
      </c>
      <c r="G3531" s="23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4" t="str">
        <f>IF(J3531&lt;&gt;1,"",IF(I3531="SBJ","CB","?"))</f>
        <v> </v>
      </c>
      <c r="I3531" s="25" t="str">
        <f>IF(OR(E3531="",E3531="!!!",F3531="NEW"),"",INDEX(B3530:B$2,-1+SUMPRODUCT(MAX(ROW(E3530:E$2)*(E3531=E3530:E$2)))))</f>
        <v> </v>
      </c>
      <c r="J3531" s="25" t="str">
        <f>IF(OR(E3531="",E3531="!!!",F3531="NEW"),"",COUNTBLANK(OFFSET(A$1,,,SUMPRODUCT(MAX(ROW(E$2:E3531)*(E3531=E$2:E3531)))))-COUNTBLANK(OFFSET(A$1,,,SUMPRODUCT(MAX(ROW(E$1:E3530)*(E2=E$1:E3530))))))</f>
        <v> </v>
      </c>
      <c r="K3531" s="25" t="str">
        <f>IF(OR(E3531="",E3531="!!!",F3531="NEW"),"",INDEX(J$1:J3530,SUMPRODUCT(MAX(ROW(E$1:E3530)*(E3531=E$1:E3530)))))</f>
        <v> </v>
      </c>
      <c r="L3531" s="26"/>
    </row>
    <row r="3532" spans="1:12">
      <c r="A3532" s="20" t="s">
        <v>2294</v>
      </c>
      <c r="B3532" s="27" t="s">
        <v>921</v>
      </c>
      <c r="E3532" s="21">
        <f>IF(D3532="?OLD","!!!","")</f>
        <v/>
      </c>
      <c r="F3532" s="22" t="str">
        <f>IF(OR(E3532="",E3532="!!!"),"",IF(NOT(ISNA(VLOOKUP(E3532,E$1:E3531,1,FALSE()))),"OLD",IF(AND(E3532&lt;&gt;"",E3532&lt;&gt;"!!!"),"NEW","")))</f>
        <v> </v>
      </c>
      <c r="G3532" s="23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4" t="str">
        <f>IF(J3532&lt;&gt;1,"",IF(I3532="SBJ","CB","?"))</f>
        <v> </v>
      </c>
      <c r="I3532" s="25" t="str">
        <f>IF(OR(E3532="",E3532="!!!",F3532="NEW"),"",INDEX(B3531:B$2,-1+SUMPRODUCT(MAX(ROW(E3531:E$2)*(E3532=E3531:E$2)))))</f>
        <v> </v>
      </c>
      <c r="J3532" s="25" t="str">
        <f>IF(OR(E3532="",E3532="!!!",F3532="NEW"),"",COUNTBLANK(OFFSET(A$1,,,SUMPRODUCT(MAX(ROW(E$2:E3532)*(E3532=E$2:E3532)))))-COUNTBLANK(OFFSET(A$1,,,SUMPRODUCT(MAX(ROW(E$1:E3531)*(E2=E$1:E3531))))))</f>
        <v> </v>
      </c>
      <c r="K3532" s="25" t="str">
        <f>IF(OR(E3532="",E3532="!!!",F3532="NEW"),"",INDEX(J$1:J3531,SUMPRODUCT(MAX(ROW(E$1:E3531)*(E3532=E$1:E3531)))))</f>
        <v> </v>
      </c>
      <c r="L3532" s="26"/>
    </row>
    <row r="3533" spans="1:12">
      <c r="A3533" s="20" t="s">
        <v>2295</v>
      </c>
      <c r="E3533" s="21">
        <f>IF(D3533="?OLD","!!!","")</f>
        <v/>
      </c>
      <c r="F3533" s="22" t="str">
        <f>IF(OR(E3533="",E3533="!!!"),"",IF(NOT(ISNA(VLOOKUP(E3533,E$1:E3532,1,FALSE()))),"OLD",IF(AND(E3533&lt;&gt;"",E3533&lt;&gt;"!!!"),"NEW","")))</f>
        <v> </v>
      </c>
      <c r="G3533" s="23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4" t="str">
        <f>IF(J3533&lt;&gt;1,"",IF(I3533="SBJ","CB","?"))</f>
        <v> </v>
      </c>
      <c r="I3533" s="25" t="str">
        <f>IF(OR(E3533="",E3533="!!!",F3533="NEW"),"",INDEX(B3532:B$2,-1+SUMPRODUCT(MAX(ROW(E3532:E$2)*(E3533=E3532:E$2)))))</f>
        <v> </v>
      </c>
      <c r="J3533" s="25" t="str">
        <f>IF(OR(E3533="",E3533="!!!",F3533="NEW"),"",COUNTBLANK(OFFSET(A$1,,,SUMPRODUCT(MAX(ROW(E$2:E3533)*(E3533=E$2:E3533)))))-COUNTBLANK(OFFSET(A$1,,,SUMPRODUCT(MAX(ROW(E$1:E3532)*(E2=E$1:E3532))))))</f>
        <v> </v>
      </c>
      <c r="K3533" s="25" t="str">
        <f>IF(OR(E3533="",E3533="!!!",F3533="NEW"),"",INDEX(J$1:J3532,SUMPRODUCT(MAX(ROW(E$1:E3532)*(E3533=E$1:E3532)))))</f>
        <v> </v>
      </c>
      <c r="L3533" s="26"/>
    </row>
    <row r="3534" spans="1:12">
      <c r="A3534" s="20" t="s">
        <v>1749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 t="s">
        <v>803</v>
      </c>
      <c r="E3535" s="21">
        <f>IF(D3535="?OLD","!!!","")</f>
        <v/>
      </c>
      <c r="F3535" s="22" t="str">
        <f>IF(OR(E3535="",E3535="!!!"),"",IF(NOT(ISNA(VLOOKUP(E3535,E$1:E3534,1,FALSE()))),"OLD",IF(AND(E3535&lt;&gt;"",E3535&lt;&gt;"!!!"),"NEW","")))</f>
        <v> </v>
      </c>
      <c r="G3535" s="23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4" t="str">
        <f>IF(J3535&lt;&gt;1,"",IF(I3535="SBJ","CB","?"))</f>
        <v> </v>
      </c>
      <c r="I3535" s="25" t="str">
        <f>IF(OR(E3535="",E3535="!!!",F3535="NEW"),"",INDEX(B3534:B$2,-1+SUMPRODUCT(MAX(ROW(E3534:E$2)*(E3535=E3534:E$2)))))</f>
        <v> </v>
      </c>
      <c r="J3535" s="25" t="str">
        <f>IF(OR(E3535="",E3535="!!!",F3535="NEW"),"",COUNTBLANK(OFFSET(A$1,,,SUMPRODUCT(MAX(ROW(E$2:E3535)*(E3535=E$2:E3535)))))-COUNTBLANK(OFFSET(A$1,,,SUMPRODUCT(MAX(ROW(E$1:E3534)*(E2=E$1:E3534))))))</f>
        <v> </v>
      </c>
      <c r="K3535" s="25" t="str">
        <f>IF(OR(E3535="",E3535="!!!",F3535="NEW"),"",INDEX(J$1:J3534,SUMPRODUCT(MAX(ROW(E$1:E3534)*(E3535=E$1:E3534)))))</f>
        <v> </v>
      </c>
      <c r="L3535" s="26"/>
    </row>
    <row r="3536" spans="1:12">
      <c r="A3536" s="20"/>
    </row>
    <row r="3537" spans="1:12">
      <c r="A3537" s="20" t="s">
        <v>2296</v>
      </c>
    </row>
    <row r="3538" spans="1:12">
      <c r="A3538" s="20" t="s">
        <v>2297</v>
      </c>
      <c r="B3538" s="27" t="s">
        <v>799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 t="s">
        <v>929</v>
      </c>
      <c r="E3539" s="21">
        <f>IF(D3539="?OLD","!!!","")</f>
        <v/>
      </c>
      <c r="F3539" s="22" t="str">
        <f>IF(OR(E3539="",E3539="!!!"),"",IF(NOT(ISNA(VLOOKUP(E3539,E$1:E3538,1,FALSE()))),"OLD",IF(AND(E3539&lt;&gt;"",E3539&lt;&gt;"!!!"),"NEW","")))</f>
        <v> </v>
      </c>
      <c r="G3539" s="23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4" t="str">
        <f>IF(J3539&lt;&gt;1,"",IF(I3539="SBJ","CB","?"))</f>
        <v> </v>
      </c>
      <c r="I3539" s="25" t="str">
        <f>IF(OR(E3539="",E3539="!!!",F3539="NEW"),"",INDEX(B3538:B$2,-1+SUMPRODUCT(MAX(ROW(E3538:E$2)*(E3539=E3538:E$2)))))</f>
        <v> </v>
      </c>
      <c r="J3539" s="25" t="str">
        <f>IF(OR(E3539="",E3539="!!!",F3539="NEW"),"",COUNTBLANK(OFFSET(A$1,,,SUMPRODUCT(MAX(ROW(E$2:E3539)*(E3539=E$2:E3539)))))-COUNTBLANK(OFFSET(A$1,,,SUMPRODUCT(MAX(ROW(E$1:E3538)*(E2=E$1:E3538))))))</f>
        <v> </v>
      </c>
      <c r="K3539" s="25" t="str">
        <f>IF(OR(E3539="",E3539="!!!",F3539="NEW"),"",INDEX(J$1:J3538,SUMPRODUCT(MAX(ROW(E$1:E3538)*(E3539=E$1:E3538)))))</f>
        <v> </v>
      </c>
      <c r="L3539" s="26"/>
    </row>
    <row r="3540" spans="1:12">
      <c r="A3540" s="20" t="s">
        <v>795</v>
      </c>
      <c r="E3540" s="21">
        <f>IF(D3540="?OLD","!!!","")</f>
        <v/>
      </c>
      <c r="F3540" s="22" t="str">
        <f>IF(OR(E3540="",E3540="!!!"),"",IF(NOT(ISNA(VLOOKUP(E3540,E$1:E3539,1,FALSE()))),"OLD",IF(AND(E3540&lt;&gt;"",E3540&lt;&gt;"!!!"),"NEW","")))</f>
        <v> </v>
      </c>
      <c r="G3540" s="23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4" t="str">
        <f>IF(J3540&lt;&gt;1,"",IF(I3540="SBJ","CB","?"))</f>
        <v> </v>
      </c>
      <c r="I3540" s="25" t="str">
        <f>IF(OR(E3540="",E3540="!!!",F3540="NEW"),"",INDEX(B3539:B$2,-1+SUMPRODUCT(MAX(ROW(E3539:E$2)*(E3540=E3539:E$2)))))</f>
        <v> </v>
      </c>
      <c r="J3540" s="25" t="str">
        <f>IF(OR(E3540="",E3540="!!!",F3540="NEW"),"",COUNTBLANK(OFFSET(A$1,,,SUMPRODUCT(MAX(ROW(E$2:E3540)*(E3540=E$2:E3540)))))-COUNTBLANK(OFFSET(A$1,,,SUMPRODUCT(MAX(ROW(E$1:E3539)*(E2=E$1:E3539))))))</f>
        <v> </v>
      </c>
      <c r="K3540" s="25" t="str">
        <f>IF(OR(E3540="",E3540="!!!",F3540="NEW"),"",INDEX(J$1:J3539,SUMPRODUCT(MAX(ROW(E$1:E3539)*(E3540=E$1:E3539)))))</f>
        <v> </v>
      </c>
      <c r="L3540" s="26"/>
    </row>
    <row r="3541" spans="1:12">
      <c r="A3541" s="20" t="s">
        <v>877</v>
      </c>
      <c r="E3541" s="21">
        <f>IF(D3541="?OLD","!!!","")</f>
        <v/>
      </c>
      <c r="F3541" s="22" t="str">
        <f>IF(OR(E3541="",E3541="!!!"),"",IF(NOT(ISNA(VLOOKUP(E3541,E$1:E3540,1,FALSE()))),"OLD",IF(AND(E3541&lt;&gt;"",E3541&lt;&gt;"!!!"),"NEW","")))</f>
        <v> </v>
      </c>
      <c r="G3541" s="23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4" t="str">
        <f>IF(J3541&lt;&gt;1,"",IF(I3541="SBJ","CB","?"))</f>
        <v> </v>
      </c>
      <c r="I3541" s="25" t="str">
        <f>IF(OR(E3541="",E3541="!!!",F3541="NEW"),"",INDEX(B3540:B$2,-1+SUMPRODUCT(MAX(ROW(E3540:E$2)*(E3541=E3540:E$2)))))</f>
        <v> </v>
      </c>
      <c r="J3541" s="25" t="str">
        <f>IF(OR(E3541="",E3541="!!!",F3541="NEW"),"",COUNTBLANK(OFFSET(A$1,,,SUMPRODUCT(MAX(ROW(E$2:E3541)*(E3541=E$2:E3541)))))-COUNTBLANK(OFFSET(A$1,,,SUMPRODUCT(MAX(ROW(E$1:E3540)*(E2=E$1:E3540))))))</f>
        <v> </v>
      </c>
      <c r="K3541" s="25" t="str">
        <f>IF(OR(E3541="",E3541="!!!",F3541="NEW"),"",INDEX(J$1:J3540,SUMPRODUCT(MAX(ROW(E$1:E3540)*(E3541=E$1:E3540)))))</f>
        <v> </v>
      </c>
      <c r="L3541" s="26"/>
    </row>
    <row r="3542" spans="1:12">
      <c r="A3542" s="20" t="s">
        <v>1399</v>
      </c>
      <c r="E3542" s="21">
        <f>IF(D3542="?OLD","!!!","")</f>
        <v/>
      </c>
      <c r="F3542" s="22" t="str">
        <f>IF(OR(E3542="",E3542="!!!"),"",IF(NOT(ISNA(VLOOKUP(E3542,E$1:E3541,1,FALSE()))),"OLD",IF(AND(E3542&lt;&gt;"",E3542&lt;&gt;"!!!"),"NEW","")))</f>
        <v> </v>
      </c>
      <c r="G3542" s="23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4" t="str">
        <f>IF(J3542&lt;&gt;1,"",IF(I3542="SBJ","CB","?"))</f>
        <v> </v>
      </c>
      <c r="I3542" s="25" t="str">
        <f>IF(OR(E3542="",E3542="!!!",F3542="NEW"),"",INDEX(B3541:B$2,-1+SUMPRODUCT(MAX(ROW(E3541:E$2)*(E3542=E3541:E$2)))))</f>
        <v> </v>
      </c>
      <c r="J3542" s="25" t="str">
        <f>IF(OR(E3542="",E3542="!!!",F3542="NEW"),"",COUNTBLANK(OFFSET(A$1,,,SUMPRODUCT(MAX(ROW(E$2:E3542)*(E3542=E$2:E3542)))))-COUNTBLANK(OFFSET(A$1,,,SUMPRODUCT(MAX(ROW(E$1:E3541)*(E2=E$1:E3541))))))</f>
        <v> </v>
      </c>
      <c r="K3542" s="25" t="str">
        <f>IF(OR(E3542="",E3542="!!!",F3542="NEW"),"",INDEX(J$1:J3541,SUMPRODUCT(MAX(ROW(E$1:E3541)*(E3542=E$1:E3541)))))</f>
        <v> </v>
      </c>
      <c r="L3542" s="26"/>
    </row>
    <row r="3543" spans="1:12">
      <c r="A3543" s="20" t="s">
        <v>980</v>
      </c>
      <c r="E3543" s="21">
        <f>IF(D3543="?OLD","!!!","")</f>
        <v/>
      </c>
      <c r="F3543" s="22" t="str">
        <f>IF(OR(E3543="",E3543="!!!"),"",IF(NOT(ISNA(VLOOKUP(E3543,E$1:E3542,1,FALSE()))),"OLD",IF(AND(E3543&lt;&gt;"",E3543&lt;&gt;"!!!"),"NEW","")))</f>
        <v> </v>
      </c>
      <c r="G3543" s="23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4" t="str">
        <f>IF(J3543&lt;&gt;1,"",IF(I3543="SBJ","CB","?"))</f>
        <v> </v>
      </c>
      <c r="I3543" s="25" t="str">
        <f>IF(OR(E3543="",E3543="!!!",F3543="NEW"),"",INDEX(B3542:B$2,-1+SUMPRODUCT(MAX(ROW(E3542:E$2)*(E3543=E3542:E$2)))))</f>
        <v> </v>
      </c>
      <c r="J3543" s="25" t="str">
        <f>IF(OR(E3543="",E3543="!!!",F3543="NEW"),"",COUNTBLANK(OFFSET(A$1,,,SUMPRODUCT(MAX(ROW(E$2:E3543)*(E3543=E$2:E3543)))))-COUNTBLANK(OFFSET(A$1,,,SUMPRODUCT(MAX(ROW(E$1:E3542)*(E2=E$1:E3542))))))</f>
        <v> </v>
      </c>
      <c r="K3543" s="25" t="str">
        <f>IF(OR(E3543="",E3543="!!!",F3543="NEW"),"",INDEX(J$1:J3542,SUMPRODUCT(MAX(ROW(E$1:E3542)*(E3543=E$1:E3542)))))</f>
        <v> </v>
      </c>
      <c r="L3543" s="26"/>
    </row>
    <row r="3544" spans="1:12">
      <c r="A3544" s="20" t="s">
        <v>1432</v>
      </c>
      <c r="B3544" s="27" t="s">
        <v>857</v>
      </c>
      <c r="C3544" s="27" t="s">
        <v>816</v>
      </c>
      <c r="D3544" s="27" t="s">
        <v>801</v>
      </c>
      <c r="E3544" s="21">
        <f>IF(D3544="?OLD","!!!","")</f>
        <v/>
      </c>
      <c r="F3544" s="22" t="str">
        <f>IF(OR(E3544="",E3544="!!!"),"",IF(NOT(ISNA(VLOOKUP(E3544,E$1:E3543,1,FALSE()))),"OLD",IF(AND(E3544&lt;&gt;"",E3544&lt;&gt;"!!!"),"NEW","")))</f>
        <v> </v>
      </c>
      <c r="G3544" s="23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4" t="str">
        <f>IF(J3544&lt;&gt;1,"",IF(I3544="SBJ","CB","?"))</f>
        <v> </v>
      </c>
      <c r="I3544" s="25" t="str">
        <f>IF(OR(E3544="",E3544="!!!",F3544="NEW"),"",INDEX(B3543:B$2,-1+SUMPRODUCT(MAX(ROW(E3543:E$2)*(E3544=E3543:E$2)))))</f>
        <v> </v>
      </c>
      <c r="J3544" s="25" t="str">
        <f>IF(OR(E3544="",E3544="!!!",F3544="NEW"),"",COUNTBLANK(OFFSET(A$1,,,SUMPRODUCT(MAX(ROW(E$2:E3544)*(E3544=E$2:E3544)))))-COUNTBLANK(OFFSET(A$1,,,SUMPRODUCT(MAX(ROW(E$1:E3543)*(E2=E$1:E3543))))))</f>
        <v> </v>
      </c>
      <c r="K3544" s="25" t="str">
        <f>IF(OR(E3544="",E3544="!!!",F3544="NEW"),"",INDEX(J$1:J3543,SUMPRODUCT(MAX(ROW(E$1:E3543)*(E3544=E$1:E3543)))))</f>
        <v> </v>
      </c>
      <c r="L3544" s="26"/>
    </row>
    <row r="3545" spans="1:12">
      <c r="A3545" s="20" t="s">
        <v>2298</v>
      </c>
      <c r="E3545" s="21">
        <f>IF(D3545="?OLD","!!!","")</f>
        <v/>
      </c>
      <c r="F3545" s="22" t="str">
        <f>IF(OR(E3545="",E3545="!!!"),"",IF(NOT(ISNA(VLOOKUP(E3545,E$1:E3544,1,FALSE()))),"OLD",IF(AND(E3545&lt;&gt;"",E3545&lt;&gt;"!!!"),"NEW","")))</f>
        <v> </v>
      </c>
      <c r="G3545" s="23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4" t="str">
        <f>IF(J3545&lt;&gt;1,"",IF(I3545="SBJ","CB","?"))</f>
        <v> </v>
      </c>
      <c r="I3545" s="25" t="str">
        <f>IF(OR(E3545="",E3545="!!!",F3545="NEW"),"",INDEX(B3544:B$2,-1+SUMPRODUCT(MAX(ROW(E3544:E$2)*(E3545=E3544:E$2)))))</f>
        <v> </v>
      </c>
      <c r="J3545" s="25" t="str">
        <f>IF(OR(E3545="",E3545="!!!",F3545="NEW"),"",COUNTBLANK(OFFSET(A$1,,,SUMPRODUCT(MAX(ROW(E$2:E3545)*(E3545=E$2:E3545)))))-COUNTBLANK(OFFSET(A$1,,,SUMPRODUCT(MAX(ROW(E$1:E3544)*(E2=E$1:E3544))))))</f>
        <v> </v>
      </c>
      <c r="K3545" s="25" t="str">
        <f>IF(OR(E3545="",E3545="!!!",F3545="NEW"),"",INDEX(J$1:J3544,SUMPRODUCT(MAX(ROW(E$1:E3544)*(E3545=E$1:E3544)))))</f>
        <v> </v>
      </c>
      <c r="L3545" s="26"/>
    </row>
    <row r="3546" spans="1:12">
      <c r="A3546" s="20" t="s">
        <v>2299</v>
      </c>
      <c r="B3546" s="27" t="s">
        <v>874</v>
      </c>
      <c r="E3546" s="21">
        <f>IF(D3546="?OLD","!!!","")</f>
        <v/>
      </c>
      <c r="F3546" s="22" t="str">
        <f>IF(OR(E3546="",E3546="!!!"),"",IF(NOT(ISNA(VLOOKUP(E3546,E$1:E3545,1,FALSE()))),"OLD",IF(AND(E3546&lt;&gt;"",E3546&lt;&gt;"!!!"),"NEW","")))</f>
        <v> </v>
      </c>
      <c r="G3546" s="23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4" t="str">
        <f>IF(J3546&lt;&gt;1,"",IF(I3546="SBJ","CB","?"))</f>
        <v> </v>
      </c>
      <c r="I3546" s="25" t="str">
        <f>IF(OR(E3546="",E3546="!!!",F3546="NEW"),"",INDEX(B3545:B$2,-1+SUMPRODUCT(MAX(ROW(E3545:E$2)*(E3546=E3545:E$2)))))</f>
        <v> </v>
      </c>
      <c r="J3546" s="25" t="str">
        <f>IF(OR(E3546="",E3546="!!!",F3546="NEW"),"",COUNTBLANK(OFFSET(A$1,,,SUMPRODUCT(MAX(ROW(E$2:E3546)*(E3546=E$2:E3546)))))-COUNTBLANK(OFFSET(A$1,,,SUMPRODUCT(MAX(ROW(E$1:E3545)*(E2=E$1:E3545))))))</f>
        <v> </v>
      </c>
      <c r="K3546" s="25" t="str">
        <f>IF(OR(E3546="",E3546="!!!",F3546="NEW"),"",INDEX(J$1:J3545,SUMPRODUCT(MAX(ROW(E$1:E3545)*(E3546=E$1:E3545)))))</f>
        <v> </v>
      </c>
      <c r="L3546" s="26"/>
    </row>
    <row r="3547" spans="1:12">
      <c r="A3547" s="20" t="s">
        <v>803</v>
      </c>
      <c r="E3547" s="21">
        <f>IF(D3547="?OLD","!!!","")</f>
        <v/>
      </c>
      <c r="F3547" s="22" t="str">
        <f>IF(OR(E3547="",E3547="!!!"),"",IF(NOT(ISNA(VLOOKUP(E3547,E$1:E3546,1,FALSE()))),"OLD",IF(AND(E3547&lt;&gt;"",E3547&lt;&gt;"!!!"),"NEW","")))</f>
        <v> </v>
      </c>
      <c r="G3547" s="23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4" t="str">
        <f>IF(J3547&lt;&gt;1,"",IF(I3547="SBJ","CB","?"))</f>
        <v> </v>
      </c>
      <c r="I3547" s="25" t="str">
        <f>IF(OR(E3547="",E3547="!!!",F3547="NEW"),"",INDEX(B3546:B$2,-1+SUMPRODUCT(MAX(ROW(E3546:E$2)*(E3547=E3546:E$2)))))</f>
        <v> </v>
      </c>
      <c r="J3547" s="25" t="str">
        <f>IF(OR(E3547="",E3547="!!!",F3547="NEW"),"",COUNTBLANK(OFFSET(A$1,,,SUMPRODUCT(MAX(ROW(E$2:E3547)*(E3547=E$2:E3547)))))-COUNTBLANK(OFFSET(A$1,,,SUMPRODUCT(MAX(ROW(E$1:E3546)*(E2=E$1:E3546))))))</f>
        <v> </v>
      </c>
      <c r="K3547" s="25" t="str">
        <f>IF(OR(E3547="",E3547="!!!",F3547="NEW"),"",INDEX(J$1:J3546,SUMPRODUCT(MAX(ROW(E$1:E3546)*(E3547=E$1:E3546)))))</f>
        <v> </v>
      </c>
      <c r="L3547" s="26"/>
    </row>
    <row r="3548" spans="1:12">
      <c r="A3548" s="20"/>
    </row>
    <row r="3549" spans="1:12">
      <c r="A3549" s="20" t="s">
        <v>2300</v>
      </c>
    </row>
    <row r="3550" spans="1:12">
      <c r="A3550" s="20" t="s">
        <v>1452</v>
      </c>
      <c r="B3550" s="27" t="s">
        <v>799</v>
      </c>
      <c r="C3550" s="27" t="s">
        <v>816</v>
      </c>
      <c r="D3550" s="27" t="s">
        <v>801</v>
      </c>
      <c r="E3550" s="21">
        <f>IF(D3550="?OLD","!!!","")</f>
        <v/>
      </c>
      <c r="F3550" s="22" t="str">
        <f>IF(OR(E3550="",E3550="!!!"),"",IF(NOT(ISNA(VLOOKUP(E3550,E$1:E3549,1,FALSE()))),"OLD",IF(AND(E3550&lt;&gt;"",E3550&lt;&gt;"!!!"),"NEW","")))</f>
        <v> </v>
      </c>
      <c r="G3550" s="23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4" t="str">
        <f>IF(J3550&lt;&gt;1,"",IF(I3550="SBJ","CB","?"))</f>
        <v> </v>
      </c>
      <c r="I3550" s="25" t="str">
        <f>IF(OR(E3550="",E3550="!!!",F3550="NEW"),"",INDEX(B3549:B$2,-1+SUMPRODUCT(MAX(ROW(E3549:E$2)*(E3550=E3549:E$2)))))</f>
        <v> </v>
      </c>
      <c r="J3550" s="25" t="str">
        <f>IF(OR(E3550="",E3550="!!!",F3550="NEW"),"",COUNTBLANK(OFFSET(A$1,,,SUMPRODUCT(MAX(ROW(E$2:E3550)*(E3550=E$2:E3550)))))-COUNTBLANK(OFFSET(A$1,,,SUMPRODUCT(MAX(ROW(E$1:E3549)*(E2=E$1:E3549))))))</f>
        <v> </v>
      </c>
      <c r="K3550" s="25" t="str">
        <f>IF(OR(E3550="",E3550="!!!",F3550="NEW"),"",INDEX(J$1:J3549,SUMPRODUCT(MAX(ROW(E$1:E3549)*(E3550=E$1:E3549)))))</f>
        <v> </v>
      </c>
      <c r="L3550" s="26"/>
    </row>
    <row r="3551" spans="1:12">
      <c r="A3551" s="20" t="s">
        <v>2293</v>
      </c>
      <c r="E3551" s="21">
        <f>IF(D3551="?OLD","!!!","")</f>
        <v/>
      </c>
      <c r="F3551" s="22" t="str">
        <f>IF(OR(E3551="",E3551="!!!"),"",IF(NOT(ISNA(VLOOKUP(E3551,E$1:E3550,1,FALSE()))),"OLD",IF(AND(E3551&lt;&gt;"",E3551&lt;&gt;"!!!"),"NEW","")))</f>
        <v> </v>
      </c>
      <c r="G3551" s="23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4" t="str">
        <f>IF(J3551&lt;&gt;1,"",IF(I3551="SBJ","CB","?"))</f>
        <v> </v>
      </c>
      <c r="I3551" s="25" t="str">
        <f>IF(OR(E3551="",E3551="!!!",F3551="NEW"),"",INDEX(B3550:B$2,-1+SUMPRODUCT(MAX(ROW(E3550:E$2)*(E3551=E3550:E$2)))))</f>
        <v> </v>
      </c>
      <c r="J3551" s="25" t="str">
        <f>IF(OR(E3551="",E3551="!!!",F3551="NEW"),"",COUNTBLANK(OFFSET(A$1,,,SUMPRODUCT(MAX(ROW(E$2:E3551)*(E3551=E$2:E3551)))))-COUNTBLANK(OFFSET(A$1,,,SUMPRODUCT(MAX(ROW(E$1:E3550)*(E2=E$1:E3550))))))</f>
        <v> </v>
      </c>
      <c r="K3551" s="25" t="str">
        <f>IF(OR(E3551="",E3551="!!!",F3551="NEW"),"",INDEX(J$1:J3550,SUMPRODUCT(MAX(ROW(E$1:E3550)*(E3551=E$1:E3550)))))</f>
        <v> </v>
      </c>
      <c r="L3551" s="26"/>
    </row>
    <row r="3552" spans="1:12">
      <c r="A3552" s="20" t="s">
        <v>2294</v>
      </c>
      <c r="B3552" s="27" t="s">
        <v>921</v>
      </c>
      <c r="E3552" s="21">
        <f>IF(D3552="?OLD","!!!","")</f>
        <v/>
      </c>
      <c r="F3552" s="22" t="str">
        <f>IF(OR(E3552="",E3552="!!!"),"",IF(NOT(ISNA(VLOOKUP(E3552,E$1:E3551,1,FALSE()))),"OLD",IF(AND(E3552&lt;&gt;"",E3552&lt;&gt;"!!!"),"NEW","")))</f>
        <v> </v>
      </c>
      <c r="G3552" s="23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4" t="str">
        <f>IF(J3552&lt;&gt;1,"",IF(I3552="SBJ","CB","?"))</f>
        <v> </v>
      </c>
      <c r="I3552" s="25" t="str">
        <f>IF(OR(E3552="",E3552="!!!",F3552="NEW"),"",INDEX(B3551:B$2,-1+SUMPRODUCT(MAX(ROW(E3551:E$2)*(E3552=E3551:E$2)))))</f>
        <v> </v>
      </c>
      <c r="J3552" s="25" t="str">
        <f>IF(OR(E3552="",E3552="!!!",F3552="NEW"),"",COUNTBLANK(OFFSET(A$1,,,SUMPRODUCT(MAX(ROW(E$2:E3552)*(E3552=E$2:E3552)))))-COUNTBLANK(OFFSET(A$1,,,SUMPRODUCT(MAX(ROW(E$1:E3551)*(E2=E$1:E3551))))))</f>
        <v> </v>
      </c>
      <c r="K3552" s="25" t="str">
        <f>IF(OR(E3552="",E3552="!!!",F3552="NEW"),"",INDEX(J$1:J3551,SUMPRODUCT(MAX(ROW(E$1:E3551)*(E3552=E$1:E3551)))))</f>
        <v> </v>
      </c>
      <c r="L3552" s="26"/>
    </row>
    <row r="3553" spans="1:12">
      <c r="A3553" s="20" t="s">
        <v>795</v>
      </c>
      <c r="E3553" s="21">
        <f>IF(D3553="?OLD","!!!","")</f>
        <v/>
      </c>
      <c r="F3553" s="22" t="str">
        <f>IF(OR(E3553="",E3553="!!!"),"",IF(NOT(ISNA(VLOOKUP(E3553,E$1:E3552,1,FALSE()))),"OLD",IF(AND(E3553&lt;&gt;"",E3553&lt;&gt;"!!!"),"NEW","")))</f>
        <v> </v>
      </c>
      <c r="G3553" s="23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4" t="str">
        <f>IF(J3553&lt;&gt;1,"",IF(I3553="SBJ","CB","?"))</f>
        <v> </v>
      </c>
      <c r="I3553" s="25" t="str">
        <f>IF(OR(E3553="",E3553="!!!",F3553="NEW"),"",INDEX(B3552:B$2,-1+SUMPRODUCT(MAX(ROW(E3552:E$2)*(E3553=E3552:E$2)))))</f>
        <v> </v>
      </c>
      <c r="J3553" s="25" t="str">
        <f>IF(OR(E3553="",E3553="!!!",F3553="NEW"),"",COUNTBLANK(OFFSET(A$1,,,SUMPRODUCT(MAX(ROW(E$2:E3553)*(E3553=E$2:E3553)))))-COUNTBLANK(OFFSET(A$1,,,SUMPRODUCT(MAX(ROW(E$1:E3552)*(E2=E$1:E3552))))))</f>
        <v> </v>
      </c>
      <c r="K3553" s="25" t="str">
        <f>IF(OR(E3553="",E3553="!!!",F3553="NEW"),"",INDEX(J$1:J3552,SUMPRODUCT(MAX(ROW(E$1:E3552)*(E3553=E$1:E3552)))))</f>
        <v> </v>
      </c>
      <c r="L3553" s="26"/>
    </row>
    <row r="3554" spans="1:12">
      <c r="A3554" s="20" t="s">
        <v>1114</v>
      </c>
      <c r="E3554" s="21">
        <f>IF(D3554="?OLD","!!!","")</f>
        <v/>
      </c>
      <c r="F3554" s="22" t="str">
        <f>IF(OR(E3554="",E3554="!!!"),"",IF(NOT(ISNA(VLOOKUP(E3554,E$1:E3553,1,FALSE()))),"OLD",IF(AND(E3554&lt;&gt;"",E3554&lt;&gt;"!!!"),"NEW","")))</f>
        <v> </v>
      </c>
      <c r="G3554" s="23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4" t="str">
        <f>IF(J3554&lt;&gt;1,"",IF(I3554="SBJ","CB","?"))</f>
        <v> </v>
      </c>
      <c r="I3554" s="25" t="str">
        <f>IF(OR(E3554="",E3554="!!!",F3554="NEW"),"",INDEX(B3553:B$2,-1+SUMPRODUCT(MAX(ROW(E3553:E$2)*(E3554=E3553:E$2)))))</f>
        <v> </v>
      </c>
      <c r="J3554" s="25" t="str">
        <f>IF(OR(E3554="",E3554="!!!",F3554="NEW"),"",COUNTBLANK(OFFSET(A$1,,,SUMPRODUCT(MAX(ROW(E$2:E3554)*(E3554=E$2:E3554)))))-COUNTBLANK(OFFSET(A$1,,,SUMPRODUCT(MAX(ROW(E$1:E3553)*(E2=E$1:E3553))))))</f>
        <v> </v>
      </c>
      <c r="K3554" s="25" t="str">
        <f>IF(OR(E3554="",E3554="!!!",F3554="NEW"),"",INDEX(J$1:J3553,SUMPRODUCT(MAX(ROW(E$1:E3553)*(E3554=E$1:E3553)))))</f>
        <v> </v>
      </c>
      <c r="L3554" s="26"/>
    </row>
    <row r="3555" spans="1:12">
      <c r="A3555" s="20" t="s">
        <v>817</v>
      </c>
      <c r="E3555" s="21">
        <f>IF(D3555="?OLD","!!!","")</f>
        <v/>
      </c>
      <c r="F3555" s="22" t="str">
        <f>IF(OR(E3555="",E3555="!!!"),"",IF(NOT(ISNA(VLOOKUP(E3555,E$1:E3554,1,FALSE()))),"OLD",IF(AND(E3555&lt;&gt;"",E3555&lt;&gt;"!!!"),"NEW","")))</f>
        <v> </v>
      </c>
      <c r="G3555" s="23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4" t="str">
        <f>IF(J3555&lt;&gt;1,"",IF(I3555="SBJ","CB","?"))</f>
        <v> </v>
      </c>
      <c r="I3555" s="25" t="str">
        <f>IF(OR(E3555="",E3555="!!!",F3555="NEW"),"",INDEX(B3554:B$2,-1+SUMPRODUCT(MAX(ROW(E3554:E$2)*(E3555=E3554:E$2)))))</f>
        <v> </v>
      </c>
      <c r="J3555" s="25" t="str">
        <f>IF(OR(E3555="",E3555="!!!",F3555="NEW"),"",COUNTBLANK(OFFSET(A$1,,,SUMPRODUCT(MAX(ROW(E$2:E3555)*(E3555=E$2:E3555)))))-COUNTBLANK(OFFSET(A$1,,,SUMPRODUCT(MAX(ROW(E$1:E3554)*(E2=E$1:E3554))))))</f>
        <v> </v>
      </c>
      <c r="K3555" s="25" t="str">
        <f>IF(OR(E3555="",E3555="!!!",F3555="NEW"),"",INDEX(J$1:J3554,SUMPRODUCT(MAX(ROW(E$1:E3554)*(E3555=E$1:E3554)))))</f>
        <v> </v>
      </c>
      <c r="L3555" s="26"/>
    </row>
    <row r="3556" spans="1:12">
      <c r="A3556" s="20" t="s">
        <v>2301</v>
      </c>
      <c r="E3556" s="21">
        <f>IF(D3556="?OLD","!!!","")</f>
        <v/>
      </c>
      <c r="F3556" s="22" t="str">
        <f>IF(OR(E3556="",E3556="!!!"),"",IF(NOT(ISNA(VLOOKUP(E3556,E$1:E3555,1,FALSE()))),"OLD",IF(AND(E3556&lt;&gt;"",E3556&lt;&gt;"!!!"),"NEW","")))</f>
        <v> </v>
      </c>
      <c r="G3556" s="23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4" t="str">
        <f>IF(J3556&lt;&gt;1,"",IF(I3556="SBJ","CB","?"))</f>
        <v> </v>
      </c>
      <c r="I3556" s="25" t="str">
        <f>IF(OR(E3556="",E3556="!!!",F3556="NEW"),"",INDEX(B3555:B$2,-1+SUMPRODUCT(MAX(ROW(E3555:E$2)*(E3556=E3555:E$2)))))</f>
        <v> </v>
      </c>
      <c r="J3556" s="25" t="str">
        <f>IF(OR(E3556="",E3556="!!!",F3556="NEW"),"",COUNTBLANK(OFFSET(A$1,,,SUMPRODUCT(MAX(ROW(E$2:E3556)*(E3556=E$2:E3556)))))-COUNTBLANK(OFFSET(A$1,,,SUMPRODUCT(MAX(ROW(E$1:E3555)*(E2=E$1:E3555))))))</f>
        <v> </v>
      </c>
      <c r="K3556" s="25" t="str">
        <f>IF(OR(E3556="",E3556="!!!",F3556="NEW"),"",INDEX(J$1:J3555,SUMPRODUCT(MAX(ROW(E$1:E3555)*(E3556=E$1:E3555)))))</f>
        <v> </v>
      </c>
      <c r="L3556" s="26"/>
    </row>
    <row r="3557" spans="1:12">
      <c r="A3557" s="20" t="s">
        <v>795</v>
      </c>
      <c r="E3557" s="21">
        <f>IF(D3557="?OLD","!!!","")</f>
        <v/>
      </c>
      <c r="F3557" s="22" t="str">
        <f>IF(OR(E3557="",E3557="!!!"),"",IF(NOT(ISNA(VLOOKUP(E3557,E$1:E3556,1,FALSE()))),"OLD",IF(AND(E3557&lt;&gt;"",E3557&lt;&gt;"!!!"),"NEW","")))</f>
        <v> </v>
      </c>
      <c r="G3557" s="23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4" t="str">
        <f>IF(J3557&lt;&gt;1,"",IF(I3557="SBJ","CB","?"))</f>
        <v> </v>
      </c>
      <c r="I3557" s="25" t="str">
        <f>IF(OR(E3557="",E3557="!!!",F3557="NEW"),"",INDEX(B3556:B$2,-1+SUMPRODUCT(MAX(ROW(E3556:E$2)*(E3557=E3556:E$2)))))</f>
        <v> </v>
      </c>
      <c r="J3557" s="25" t="str">
        <f>IF(OR(E3557="",E3557="!!!",F3557="NEW"),"",COUNTBLANK(OFFSET(A$1,,,SUMPRODUCT(MAX(ROW(E$2:E3557)*(E3557=E$2:E3557)))))-COUNTBLANK(OFFSET(A$1,,,SUMPRODUCT(MAX(ROW(E$1:E3556)*(E2=E$1:E3556))))))</f>
        <v> </v>
      </c>
      <c r="K3557" s="25" t="str">
        <f>IF(OR(E3557="",E3557="!!!",F3557="NEW"),"",INDEX(J$1:J3556,SUMPRODUCT(MAX(ROW(E$1:E3556)*(E3557=E$1:E3556)))))</f>
        <v> </v>
      </c>
      <c r="L3557" s="26"/>
    </row>
    <row r="3558" spans="1:12">
      <c r="A3558" s="20" t="s">
        <v>877</v>
      </c>
      <c r="E3558" s="21">
        <f>IF(D3558="?OLD","!!!","")</f>
        <v/>
      </c>
      <c r="F3558" s="22" t="str">
        <f>IF(OR(E3558="",E3558="!!!"),"",IF(NOT(ISNA(VLOOKUP(E3558,E$1:E3557,1,FALSE()))),"OLD",IF(AND(E3558&lt;&gt;"",E3558&lt;&gt;"!!!"),"NEW","")))</f>
        <v> </v>
      </c>
      <c r="G3558" s="23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4" t="str">
        <f>IF(J3558&lt;&gt;1,"",IF(I3558="SBJ","CB","?"))</f>
        <v> </v>
      </c>
      <c r="I3558" s="25" t="str">
        <f>IF(OR(E3558="",E3558="!!!",F3558="NEW"),"",INDEX(B3557:B$2,-1+SUMPRODUCT(MAX(ROW(E3557:E$2)*(E3558=E3557:E$2)))))</f>
        <v> </v>
      </c>
      <c r="J3558" s="25" t="str">
        <f>IF(OR(E3558="",E3558="!!!",F3558="NEW"),"",COUNTBLANK(OFFSET(A$1,,,SUMPRODUCT(MAX(ROW(E$2:E3558)*(E3558=E$2:E3558)))))-COUNTBLANK(OFFSET(A$1,,,SUMPRODUCT(MAX(ROW(E$1:E3557)*(E2=E$1:E3557))))))</f>
        <v> </v>
      </c>
      <c r="K3558" s="25" t="str">
        <f>IF(OR(E3558="",E3558="!!!",F3558="NEW"),"",INDEX(J$1:J3557,SUMPRODUCT(MAX(ROW(E$1:E3557)*(E3558=E$1:E3557)))))</f>
        <v> </v>
      </c>
      <c r="L3558" s="26"/>
    </row>
    <row r="3559" spans="1:12">
      <c r="A3559" s="20" t="s">
        <v>863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 t="s">
        <v>1116</v>
      </c>
      <c r="B3560" s="27" t="s">
        <v>957</v>
      </c>
      <c r="C3560" s="27" t="s">
        <v>896</v>
      </c>
      <c r="D3560" s="27" t="s">
        <v>801</v>
      </c>
      <c r="E3560" s="21">
        <f>IF(D3560="?OLD","!!!","")</f>
        <v/>
      </c>
      <c r="F3560" s="22" t="str">
        <f>IF(OR(E3560="",E3560="!!!"),"",IF(NOT(ISNA(VLOOKUP(E3560,E$1:E3559,1,FALSE()))),"OLD",IF(AND(E3560&lt;&gt;"",E3560&lt;&gt;"!!!"),"NEW","")))</f>
        <v> </v>
      </c>
      <c r="G3560" s="23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4" t="str">
        <f>IF(J3560&lt;&gt;1,"",IF(I3560="SBJ","CB","?"))</f>
        <v> </v>
      </c>
      <c r="I3560" s="25" t="str">
        <f>IF(OR(E3560="",E3560="!!!",F3560="NEW"),"",INDEX(B3559:B$2,-1+SUMPRODUCT(MAX(ROW(E3559:E$2)*(E3560=E3559:E$2)))))</f>
        <v> </v>
      </c>
      <c r="J3560" s="25" t="str">
        <f>IF(OR(E3560="",E3560="!!!",F3560="NEW"),"",COUNTBLANK(OFFSET(A$1,,,SUMPRODUCT(MAX(ROW(E$2:E3560)*(E3560=E$2:E3560)))))-COUNTBLANK(OFFSET(A$1,,,SUMPRODUCT(MAX(ROW(E$1:E3559)*(E2=E$1:E3559))))))</f>
        <v> </v>
      </c>
      <c r="K3560" s="25" t="str">
        <f>IF(OR(E3560="",E3560="!!!",F3560="NEW"),"",INDEX(J$1:J3559,SUMPRODUCT(MAX(ROW(E$1:E3559)*(E3560=E$1:E3559)))))</f>
        <v> </v>
      </c>
      <c r="L3560" s="26"/>
    </row>
    <row r="3561" spans="1:12">
      <c r="A3561" s="20" t="s">
        <v>2302</v>
      </c>
      <c r="E3561" s="21">
        <f>IF(D3561="?OLD","!!!","")</f>
        <v/>
      </c>
      <c r="F3561" s="22" t="str">
        <f>IF(OR(E3561="",E3561="!!!"),"",IF(NOT(ISNA(VLOOKUP(E3561,E$1:E3560,1,FALSE()))),"OLD",IF(AND(E3561&lt;&gt;"",E3561&lt;&gt;"!!!"),"NEW","")))</f>
        <v> </v>
      </c>
      <c r="G3561" s="23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4" t="str">
        <f>IF(J3561&lt;&gt;1,"",IF(I3561="SBJ","CB","?"))</f>
        <v> </v>
      </c>
      <c r="I3561" s="25" t="str">
        <f>IF(OR(E3561="",E3561="!!!",F3561="NEW"),"",INDEX(B3560:B$2,-1+SUMPRODUCT(MAX(ROW(E3560:E$2)*(E3561=E3560:E$2)))))</f>
        <v> </v>
      </c>
      <c r="J3561" s="25" t="str">
        <f>IF(OR(E3561="",E3561="!!!",F3561="NEW"),"",COUNTBLANK(OFFSET(A$1,,,SUMPRODUCT(MAX(ROW(E$2:E3561)*(E3561=E$2:E3561)))))-COUNTBLANK(OFFSET(A$1,,,SUMPRODUCT(MAX(ROW(E$1:E3560)*(E2=E$1:E3560))))))</f>
        <v> </v>
      </c>
      <c r="K3561" s="25" t="str">
        <f>IF(OR(E3561="",E3561="!!!",F3561="NEW"),"",INDEX(J$1:J3560,SUMPRODUCT(MAX(ROW(E$1:E3560)*(E3561=E$1:E3560)))))</f>
        <v> </v>
      </c>
      <c r="L3561" s="26"/>
    </row>
    <row r="3562" spans="1:12">
      <c r="A3562" s="20" t="s">
        <v>2303</v>
      </c>
      <c r="E3562" s="21">
        <f>IF(D3562="?OLD","!!!","")</f>
        <v/>
      </c>
      <c r="F3562" s="22" t="str">
        <f>IF(OR(E3562="",E3562="!!!"),"",IF(NOT(ISNA(VLOOKUP(E3562,E$1:E3561,1,FALSE()))),"OLD",IF(AND(E3562&lt;&gt;"",E3562&lt;&gt;"!!!"),"NEW","")))</f>
        <v> </v>
      </c>
      <c r="G3562" s="23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4" t="str">
        <f>IF(J3562&lt;&gt;1,"",IF(I3562="SBJ","CB","?"))</f>
        <v> </v>
      </c>
      <c r="I3562" s="25" t="str">
        <f>IF(OR(E3562="",E3562="!!!",F3562="NEW"),"",INDEX(B3561:B$2,-1+SUMPRODUCT(MAX(ROW(E3561:E$2)*(E3562=E3561:E$2)))))</f>
        <v> </v>
      </c>
      <c r="J3562" s="25" t="str">
        <f>IF(OR(E3562="",E3562="!!!",F3562="NEW"),"",COUNTBLANK(OFFSET(A$1,,,SUMPRODUCT(MAX(ROW(E$2:E3562)*(E3562=E$2:E3562)))))-COUNTBLANK(OFFSET(A$1,,,SUMPRODUCT(MAX(ROW(E$1:E3561)*(E2=E$1:E3561))))))</f>
        <v> </v>
      </c>
      <c r="K3562" s="25" t="str">
        <f>IF(OR(E3562="",E3562="!!!",F3562="NEW"),"",INDEX(J$1:J3561,SUMPRODUCT(MAX(ROW(E$1:E3561)*(E3562=E$1:E3561)))))</f>
        <v> </v>
      </c>
      <c r="L3562" s="26"/>
    </row>
    <row r="3563" spans="1:12">
      <c r="A3563" s="20" t="s">
        <v>2304</v>
      </c>
      <c r="E3563" s="21">
        <f>IF(D3563="?OLD","!!!","")</f>
        <v/>
      </c>
      <c r="F3563" s="22" t="str">
        <f>IF(OR(E3563="",E3563="!!!"),"",IF(NOT(ISNA(VLOOKUP(E3563,E$1:E3562,1,FALSE()))),"OLD",IF(AND(E3563&lt;&gt;"",E3563&lt;&gt;"!!!"),"NEW","")))</f>
        <v> </v>
      </c>
      <c r="G3563" s="23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4" t="str">
        <f>IF(J3563&lt;&gt;1,"",IF(I3563="SBJ","CB","?"))</f>
        <v> </v>
      </c>
      <c r="I3563" s="25" t="str">
        <f>IF(OR(E3563="",E3563="!!!",F3563="NEW"),"",INDEX(B3562:B$2,-1+SUMPRODUCT(MAX(ROW(E3562:E$2)*(E3563=E3562:E$2)))))</f>
        <v> </v>
      </c>
      <c r="J3563" s="25" t="str">
        <f>IF(OR(E3563="",E3563="!!!",F3563="NEW"),"",COUNTBLANK(OFFSET(A$1,,,SUMPRODUCT(MAX(ROW(E$2:E3563)*(E3563=E$2:E3563)))))-COUNTBLANK(OFFSET(A$1,,,SUMPRODUCT(MAX(ROW(E$1:E3562)*(E2=E$1:E3562))))))</f>
        <v> </v>
      </c>
      <c r="K3563" s="25" t="str">
        <f>IF(OR(E3563="",E3563="!!!",F3563="NEW"),"",INDEX(J$1:J3562,SUMPRODUCT(MAX(ROW(E$1:E3562)*(E3563=E$1:E3562)))))</f>
        <v> </v>
      </c>
      <c r="L3563" s="26"/>
    </row>
    <row r="3564" spans="1:12">
      <c r="A3564" s="20" t="s">
        <v>970</v>
      </c>
      <c r="E3564" s="21">
        <f>IF(D3564="?OLD","!!!","")</f>
        <v/>
      </c>
      <c r="F3564" s="22" t="str">
        <f>IF(OR(E3564="",E3564="!!!"),"",IF(NOT(ISNA(VLOOKUP(E3564,E$1:E3563,1,FALSE()))),"OLD",IF(AND(E3564&lt;&gt;"",E3564&lt;&gt;"!!!"),"NEW","")))</f>
        <v> </v>
      </c>
      <c r="G3564" s="23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4" t="str">
        <f>IF(J3564&lt;&gt;1,"",IF(I3564="SBJ","CB","?"))</f>
        <v> </v>
      </c>
      <c r="I3564" s="25" t="str">
        <f>IF(OR(E3564="",E3564="!!!",F3564="NEW"),"",INDEX(B3563:B$2,-1+SUMPRODUCT(MAX(ROW(E3563:E$2)*(E3564=E3563:E$2)))))</f>
        <v> </v>
      </c>
      <c r="J3564" s="25" t="str">
        <f>IF(OR(E3564="",E3564="!!!",F3564="NEW"),"",COUNTBLANK(OFFSET(A$1,,,SUMPRODUCT(MAX(ROW(E$2:E3564)*(E3564=E$2:E3564)))))-COUNTBLANK(OFFSET(A$1,,,SUMPRODUCT(MAX(ROW(E$1:E3563)*(E2=E$1:E3563))))))</f>
        <v> </v>
      </c>
      <c r="K3564" s="25" t="str">
        <f>IF(OR(E3564="",E3564="!!!",F3564="NEW"),"",INDEX(J$1:J3563,SUMPRODUCT(MAX(ROW(E$1:E3563)*(E3564=E$1:E3563)))))</f>
        <v> </v>
      </c>
      <c r="L3564" s="26"/>
    </row>
    <row r="3565" spans="1:12">
      <c r="A3565" s="20" t="s">
        <v>2305</v>
      </c>
      <c r="E3565" s="21">
        <f>IF(D3565="?OLD","!!!","")</f>
        <v/>
      </c>
      <c r="F3565" s="22" t="str">
        <f>IF(OR(E3565="",E3565="!!!"),"",IF(NOT(ISNA(VLOOKUP(E3565,E$1:E3564,1,FALSE()))),"OLD",IF(AND(E3565&lt;&gt;"",E3565&lt;&gt;"!!!"),"NEW","")))</f>
        <v> </v>
      </c>
      <c r="G3565" s="23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4" t="str">
        <f>IF(J3565&lt;&gt;1,"",IF(I3565="SBJ","CB","?"))</f>
        <v> </v>
      </c>
      <c r="I3565" s="25" t="str">
        <f>IF(OR(E3565="",E3565="!!!",F3565="NEW"),"",INDEX(B3564:B$2,-1+SUMPRODUCT(MAX(ROW(E3564:E$2)*(E3565=E3564:E$2)))))</f>
        <v> </v>
      </c>
      <c r="J3565" s="25" t="str">
        <f>IF(OR(E3565="",E3565="!!!",F3565="NEW"),"",COUNTBLANK(OFFSET(A$1,,,SUMPRODUCT(MAX(ROW(E$2:E3565)*(E3565=E$2:E3565)))))-COUNTBLANK(OFFSET(A$1,,,SUMPRODUCT(MAX(ROW(E$1:E3564)*(E2=E$1:E3564))))))</f>
        <v> </v>
      </c>
      <c r="K3565" s="25" t="str">
        <f>IF(OR(E3565="",E3565="!!!",F3565="NEW"),"",INDEX(J$1:J3564,SUMPRODUCT(MAX(ROW(E$1:E3564)*(E3565=E$1:E3564)))))</f>
        <v> </v>
      </c>
      <c r="L3565" s="26"/>
    </row>
    <row r="3566" spans="1:12">
      <c r="A3566" s="20" t="s">
        <v>837</v>
      </c>
      <c r="E3566" s="21">
        <f>IF(D3566="?OLD","!!!","")</f>
        <v/>
      </c>
      <c r="F3566" s="22" t="str">
        <f>IF(OR(E3566="",E3566="!!!"),"",IF(NOT(ISNA(VLOOKUP(E3566,E$1:E3565,1,FALSE()))),"OLD",IF(AND(E3566&lt;&gt;"",E3566&lt;&gt;"!!!"),"NEW","")))</f>
        <v> </v>
      </c>
      <c r="G3566" s="23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4" t="str">
        <f>IF(J3566&lt;&gt;1,"",IF(I3566="SBJ","CB","?"))</f>
        <v> </v>
      </c>
      <c r="I3566" s="25" t="str">
        <f>IF(OR(E3566="",E3566="!!!",F3566="NEW"),"",INDEX(B3565:B$2,-1+SUMPRODUCT(MAX(ROW(E3565:E$2)*(E3566=E3565:E$2)))))</f>
        <v> </v>
      </c>
      <c r="J3566" s="25" t="str">
        <f>IF(OR(E3566="",E3566="!!!",F3566="NEW"),"",COUNTBLANK(OFFSET(A$1,,,SUMPRODUCT(MAX(ROW(E$2:E3566)*(E3566=E$2:E3566)))))-COUNTBLANK(OFFSET(A$1,,,SUMPRODUCT(MAX(ROW(E$1:E3565)*(E2=E$1:E3565))))))</f>
        <v> </v>
      </c>
      <c r="K3566" s="25" t="str">
        <f>IF(OR(E3566="",E3566="!!!",F3566="NEW"),"",INDEX(J$1:J3565,SUMPRODUCT(MAX(ROW(E$1:E3565)*(E3566=E$1:E3565)))))</f>
        <v> </v>
      </c>
      <c r="L3566" s="26"/>
    </row>
    <row r="3567" spans="1:12">
      <c r="A3567" s="20" t="s">
        <v>2306</v>
      </c>
      <c r="E3567" s="21">
        <f>IF(D3567="?OLD","!!!","")</f>
        <v/>
      </c>
      <c r="F3567" s="22" t="str">
        <f>IF(OR(E3567="",E3567="!!!"),"",IF(NOT(ISNA(VLOOKUP(E3567,E$1:E3566,1,FALSE()))),"OLD",IF(AND(E3567&lt;&gt;"",E3567&lt;&gt;"!!!"),"NEW","")))</f>
        <v> </v>
      </c>
      <c r="G3567" s="23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4" t="str">
        <f>IF(J3567&lt;&gt;1,"",IF(I3567="SBJ","CB","?"))</f>
        <v> </v>
      </c>
      <c r="I3567" s="25" t="str">
        <f>IF(OR(E3567="",E3567="!!!",F3567="NEW"),"",INDEX(B3566:B$2,-1+SUMPRODUCT(MAX(ROW(E3566:E$2)*(E3567=E3566:E$2)))))</f>
        <v> </v>
      </c>
      <c r="J3567" s="25" t="str">
        <f>IF(OR(E3567="",E3567="!!!",F3567="NEW"),"",COUNTBLANK(OFFSET(A$1,,,SUMPRODUCT(MAX(ROW(E$2:E3567)*(E3567=E$2:E3567)))))-COUNTBLANK(OFFSET(A$1,,,SUMPRODUCT(MAX(ROW(E$1:E3566)*(E2=E$1:E3566))))))</f>
        <v> </v>
      </c>
      <c r="K3567" s="25" t="str">
        <f>IF(OR(E3567="",E3567="!!!",F3567="NEW"),"",INDEX(J$1:J3566,SUMPRODUCT(MAX(ROW(E$1:E3566)*(E3567=E$1:E3566)))))</f>
        <v> </v>
      </c>
      <c r="L3567" s="26"/>
    </row>
    <row r="3568" spans="1:12">
      <c r="A3568" s="20" t="s">
        <v>2307</v>
      </c>
      <c r="E3568" s="21">
        <f>IF(D3568="?OLD","!!!","")</f>
        <v/>
      </c>
      <c r="F3568" s="22" t="str">
        <f>IF(OR(E3568="",E3568="!!!"),"",IF(NOT(ISNA(VLOOKUP(E3568,E$1:E3567,1,FALSE()))),"OLD",IF(AND(E3568&lt;&gt;"",E3568&lt;&gt;"!!!"),"NEW","")))</f>
        <v> </v>
      </c>
      <c r="G3568" s="23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4" t="str">
        <f>IF(J3568&lt;&gt;1,"",IF(I3568="SBJ","CB","?"))</f>
        <v> </v>
      </c>
      <c r="I3568" s="25" t="str">
        <f>IF(OR(E3568="",E3568="!!!",F3568="NEW"),"",INDEX(B3567:B$2,-1+SUMPRODUCT(MAX(ROW(E3567:E$2)*(E3568=E3567:E$2)))))</f>
        <v> </v>
      </c>
      <c r="J3568" s="25" t="str">
        <f>IF(OR(E3568="",E3568="!!!",F3568="NEW"),"",COUNTBLANK(OFFSET(A$1,,,SUMPRODUCT(MAX(ROW(E$2:E3568)*(E3568=E$2:E3568)))))-COUNTBLANK(OFFSET(A$1,,,SUMPRODUCT(MAX(ROW(E$1:E3567)*(E2=E$1:E3567))))))</f>
        <v> </v>
      </c>
      <c r="K3568" s="25" t="str">
        <f>IF(OR(E3568="",E3568="!!!",F3568="NEW"),"",INDEX(J$1:J3567,SUMPRODUCT(MAX(ROW(E$1:E3567)*(E3568=E$1:E3567)))))</f>
        <v> </v>
      </c>
      <c r="L3568" s="26"/>
    </row>
    <row r="3569" spans="1:12">
      <c r="A3569" s="20" t="s">
        <v>803</v>
      </c>
      <c r="E3569" s="21">
        <f>IF(D3569="?OLD","!!!","")</f>
        <v/>
      </c>
      <c r="F3569" s="22" t="str">
        <f>IF(OR(E3569="",E3569="!!!"),"",IF(NOT(ISNA(VLOOKUP(E3569,E$1:E3568,1,FALSE()))),"OLD",IF(AND(E3569&lt;&gt;"",E3569&lt;&gt;"!!!"),"NEW","")))</f>
        <v> </v>
      </c>
      <c r="G3569" s="23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4" t="str">
        <f>IF(J3569&lt;&gt;1,"",IF(I3569="SBJ","CB","?"))</f>
        <v> </v>
      </c>
      <c r="I3569" s="25" t="str">
        <f>IF(OR(E3569="",E3569="!!!",F3569="NEW"),"",INDEX(B3568:B$2,-1+SUMPRODUCT(MAX(ROW(E3568:E$2)*(E3569=E3568:E$2)))))</f>
        <v> </v>
      </c>
      <c r="J3569" s="25" t="str">
        <f>IF(OR(E3569="",E3569="!!!",F3569="NEW"),"",COUNTBLANK(OFFSET(A$1,,,SUMPRODUCT(MAX(ROW(E$2:E3569)*(E3569=E$2:E3569)))))-COUNTBLANK(OFFSET(A$1,,,SUMPRODUCT(MAX(ROW(E$1:E3568)*(E2=E$1:E3568))))))</f>
        <v> </v>
      </c>
      <c r="K3569" s="25" t="str">
        <f>IF(OR(E3569="",E3569="!!!",F3569="NEW"),"",INDEX(J$1:J3568,SUMPRODUCT(MAX(ROW(E$1:E3568)*(E3569=E$1:E3568)))))</f>
        <v> </v>
      </c>
      <c r="L3569" s="26"/>
    </row>
    <row r="3570" spans="1:12">
      <c r="A3570" s="20"/>
    </row>
    <row r="3571" spans="1:12">
      <c r="A3571" s="20" t="s">
        <v>2308</v>
      </c>
    </row>
    <row r="3572" spans="1:12">
      <c r="A3572" s="20" t="s">
        <v>2309</v>
      </c>
      <c r="E3572" s="21">
        <f>IF(D3572="?OLD","!!!","")</f>
        <v/>
      </c>
      <c r="F3572" s="22" t="str">
        <f>IF(OR(E3572="",E3572="!!!"),"",IF(NOT(ISNA(VLOOKUP(E3572,E$1:E3571,1,FALSE()))),"OLD",IF(AND(E3572&lt;&gt;"",E3572&lt;&gt;"!!!"),"NEW","")))</f>
        <v> </v>
      </c>
      <c r="G3572" s="23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4" t="str">
        <f>IF(J3572&lt;&gt;1,"",IF(I3572="SBJ","CB","?"))</f>
        <v> </v>
      </c>
      <c r="I3572" s="25" t="str">
        <f>IF(OR(E3572="",E3572="!!!",F3572="NEW"),"",INDEX(B3571:B$2,-1+SUMPRODUCT(MAX(ROW(E3571:E$2)*(E3572=E3571:E$2)))))</f>
        <v> </v>
      </c>
      <c r="J3572" s="25" t="str">
        <f>IF(OR(E3572="",E3572="!!!",F3572="NEW"),"",COUNTBLANK(OFFSET(A$1,,,SUMPRODUCT(MAX(ROW(E$2:E3572)*(E3572=E$2:E3572)))))-COUNTBLANK(OFFSET(A$1,,,SUMPRODUCT(MAX(ROW(E$1:E3571)*(E2=E$1:E3571))))))</f>
        <v> </v>
      </c>
      <c r="K3572" s="25" t="str">
        <f>IF(OR(E3572="",E3572="!!!",F3572="NEW"),"",INDEX(J$1:J3571,SUMPRODUCT(MAX(ROW(E$1:E3571)*(E3572=E$1:E3571)))))</f>
        <v> </v>
      </c>
      <c r="L3572" s="26"/>
    </row>
    <row r="3573" spans="1:12">
      <c r="A3573" s="20" t="s">
        <v>1125</v>
      </c>
      <c r="E3573" s="21">
        <f>IF(D3573="?OLD","!!!","")</f>
        <v/>
      </c>
      <c r="F3573" s="22" t="str">
        <f>IF(OR(E3573="",E3573="!!!"),"",IF(NOT(ISNA(VLOOKUP(E3573,E$1:E3572,1,FALSE()))),"OLD",IF(AND(E3573&lt;&gt;"",E3573&lt;&gt;"!!!"),"NEW","")))</f>
        <v> </v>
      </c>
      <c r="G3573" s="23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4" t="str">
        <f>IF(J3573&lt;&gt;1,"",IF(I3573="SBJ","CB","?"))</f>
        <v> </v>
      </c>
      <c r="I3573" s="25" t="str">
        <f>IF(OR(E3573="",E3573="!!!",F3573="NEW"),"",INDEX(B3572:B$2,-1+SUMPRODUCT(MAX(ROW(E3572:E$2)*(E3573=E3572:E$2)))))</f>
        <v> </v>
      </c>
      <c r="J3573" s="25" t="str">
        <f>IF(OR(E3573="",E3573="!!!",F3573="NEW"),"",COUNTBLANK(OFFSET(A$1,,,SUMPRODUCT(MAX(ROW(E$2:E3573)*(E3573=E$2:E3573)))))-COUNTBLANK(OFFSET(A$1,,,SUMPRODUCT(MAX(ROW(E$1:E3572)*(E2=E$1:E3572))))))</f>
        <v> </v>
      </c>
      <c r="K3573" s="25" t="str">
        <f>IF(OR(E3573="",E3573="!!!",F3573="NEW"),"",INDEX(J$1:J3572,SUMPRODUCT(MAX(ROW(E$1:E3572)*(E3573=E$1:E3572)))))</f>
        <v> </v>
      </c>
      <c r="L3573" s="26"/>
    </row>
    <row r="3574" spans="1:12">
      <c r="A3574" s="20" t="s">
        <v>980</v>
      </c>
      <c r="E3574" s="21">
        <f>IF(D3574="?OLD","!!!","")</f>
        <v/>
      </c>
      <c r="F3574" s="22" t="str">
        <f>IF(OR(E3574="",E3574="!!!"),"",IF(NOT(ISNA(VLOOKUP(E3574,E$1:E3573,1,FALSE()))),"OLD",IF(AND(E3574&lt;&gt;"",E3574&lt;&gt;"!!!"),"NEW","")))</f>
        <v> </v>
      </c>
      <c r="G3574" s="23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4" t="str">
        <f>IF(J3574&lt;&gt;1,"",IF(I3574="SBJ","CB","?"))</f>
        <v> </v>
      </c>
      <c r="I3574" s="25" t="str">
        <f>IF(OR(E3574="",E3574="!!!",F3574="NEW"),"",INDEX(B3573:B$2,-1+SUMPRODUCT(MAX(ROW(E3573:E$2)*(E3574=E3573:E$2)))))</f>
        <v> </v>
      </c>
      <c r="J3574" s="25" t="str">
        <f>IF(OR(E3574="",E3574="!!!",F3574="NEW"),"",COUNTBLANK(OFFSET(A$1,,,SUMPRODUCT(MAX(ROW(E$2:E3574)*(E3574=E$2:E3574)))))-COUNTBLANK(OFFSET(A$1,,,SUMPRODUCT(MAX(ROW(E$1:E3573)*(E2=E$1:E3573))))))</f>
        <v> </v>
      </c>
      <c r="K3574" s="25" t="str">
        <f>IF(OR(E3574="",E3574="!!!",F3574="NEW"),"",INDEX(J$1:J3573,SUMPRODUCT(MAX(ROW(E$1:E3573)*(E3574=E$1:E3573)))))</f>
        <v> </v>
      </c>
      <c r="L3574" s="26"/>
    </row>
    <row r="3575" spans="1:12">
      <c r="A3575" s="20" t="s">
        <v>1432</v>
      </c>
      <c r="B3575" s="27" t="s">
        <v>842</v>
      </c>
      <c r="C3575" s="27" t="s">
        <v>816</v>
      </c>
      <c r="D3575" s="27" t="s">
        <v>801</v>
      </c>
      <c r="E3575" s="21">
        <f>IF(D3575="?OLD","!!!","")</f>
        <v/>
      </c>
      <c r="F3575" s="22" t="str">
        <f>IF(OR(E3575="",E3575="!!!"),"",IF(NOT(ISNA(VLOOKUP(E3575,E$1:E3574,1,FALSE()))),"OLD",IF(AND(E3575&lt;&gt;"",E3575&lt;&gt;"!!!"),"NEW","")))</f>
        <v> </v>
      </c>
      <c r="G3575" s="23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4" t="str">
        <f>IF(J3575&lt;&gt;1,"",IF(I3575="SBJ","CB","?"))</f>
        <v> </v>
      </c>
      <c r="I3575" s="25" t="str">
        <f>IF(OR(E3575="",E3575="!!!",F3575="NEW"),"",INDEX(B3574:B$2,-1+SUMPRODUCT(MAX(ROW(E3574:E$2)*(E3575=E3574:E$2)))))</f>
        <v> </v>
      </c>
      <c r="J3575" s="25" t="str">
        <f>IF(OR(E3575="",E3575="!!!",F3575="NEW"),"",COUNTBLANK(OFFSET(A$1,,,SUMPRODUCT(MAX(ROW(E$2:E3575)*(E3575=E$2:E3575)))))-COUNTBLANK(OFFSET(A$1,,,SUMPRODUCT(MAX(ROW(E$1:E3574)*(E2=E$1:E3574))))))</f>
        <v> </v>
      </c>
      <c r="K3575" s="25" t="str">
        <f>IF(OR(E3575="",E3575="!!!",F3575="NEW"),"",INDEX(J$1:J3574,SUMPRODUCT(MAX(ROW(E$1:E3574)*(E3575=E$1:E3574)))))</f>
        <v> </v>
      </c>
      <c r="L3575" s="26"/>
    </row>
    <row r="3576" spans="1:12">
      <c r="A3576" s="20" t="s">
        <v>1109</v>
      </c>
      <c r="E3576" s="21">
        <f>IF(D3576="?OLD","!!!","")</f>
        <v/>
      </c>
      <c r="F3576" s="22" t="str">
        <f>IF(OR(E3576="",E3576="!!!"),"",IF(NOT(ISNA(VLOOKUP(E3576,E$1:E3575,1,FALSE()))),"OLD",IF(AND(E3576&lt;&gt;"",E3576&lt;&gt;"!!!"),"NEW","")))</f>
        <v> </v>
      </c>
      <c r="G3576" s="23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4" t="str">
        <f>IF(J3576&lt;&gt;1,"",IF(I3576="SBJ","CB","?"))</f>
        <v> </v>
      </c>
      <c r="I3576" s="25" t="str">
        <f>IF(OR(E3576="",E3576="!!!",F3576="NEW"),"",INDEX(B3575:B$2,-1+SUMPRODUCT(MAX(ROW(E3575:E$2)*(E3576=E3575:E$2)))))</f>
        <v> </v>
      </c>
      <c r="J3576" s="25" t="str">
        <f>IF(OR(E3576="",E3576="!!!",F3576="NEW"),"",COUNTBLANK(OFFSET(A$1,,,SUMPRODUCT(MAX(ROW(E$2:E3576)*(E3576=E$2:E3576)))))-COUNTBLANK(OFFSET(A$1,,,SUMPRODUCT(MAX(ROW(E$1:E3575)*(E2=E$1:E3575))))))</f>
        <v> </v>
      </c>
      <c r="K3576" s="25" t="str">
        <f>IF(OR(E3576="",E3576="!!!",F3576="NEW"),"",INDEX(J$1:J3575,SUMPRODUCT(MAX(ROW(E$1:E3575)*(E3576=E$1:E3575)))))</f>
        <v> </v>
      </c>
      <c r="L3576" s="26"/>
    </row>
    <row r="3577" spans="1:12">
      <c r="A3577" s="20" t="s">
        <v>2310</v>
      </c>
      <c r="E3577" s="21">
        <f>IF(D3577="?OLD","!!!","")</f>
        <v/>
      </c>
      <c r="F3577" s="22" t="str">
        <f>IF(OR(E3577="",E3577="!!!"),"",IF(NOT(ISNA(VLOOKUP(E3577,E$1:E3576,1,FALSE()))),"OLD",IF(AND(E3577&lt;&gt;"",E3577&lt;&gt;"!!!"),"NEW","")))</f>
        <v> </v>
      </c>
      <c r="G3577" s="23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4" t="str">
        <f>IF(J3577&lt;&gt;1,"",IF(I3577="SBJ","CB","?"))</f>
        <v> </v>
      </c>
      <c r="I3577" s="25" t="str">
        <f>IF(OR(E3577="",E3577="!!!",F3577="NEW"),"",INDEX(B3576:B$2,-1+SUMPRODUCT(MAX(ROW(E3576:E$2)*(E3577=E3576:E$2)))))</f>
        <v> </v>
      </c>
      <c r="J3577" s="25" t="str">
        <f>IF(OR(E3577="",E3577="!!!",F3577="NEW"),"",COUNTBLANK(OFFSET(A$1,,,SUMPRODUCT(MAX(ROW(E$2:E3577)*(E3577=E$2:E3577)))))-COUNTBLANK(OFFSET(A$1,,,SUMPRODUCT(MAX(ROW(E$1:E3576)*(E2=E$1:E3576))))))</f>
        <v> </v>
      </c>
      <c r="K3577" s="25" t="str">
        <f>IF(OR(E3577="",E3577="!!!",F3577="NEW"),"",INDEX(J$1:J3576,SUMPRODUCT(MAX(ROW(E$1:E3576)*(E3577=E$1:E3576)))))</f>
        <v> </v>
      </c>
      <c r="L3577" s="26"/>
    </row>
    <row r="3578" spans="1:12">
      <c r="A3578" s="20" t="s">
        <v>2311</v>
      </c>
      <c r="E3578" s="21">
        <f>IF(D3578="?OLD","!!!","")</f>
        <v/>
      </c>
      <c r="F3578" s="22" t="str">
        <f>IF(OR(E3578="",E3578="!!!"),"",IF(NOT(ISNA(VLOOKUP(E3578,E$1:E3577,1,FALSE()))),"OLD",IF(AND(E3578&lt;&gt;"",E3578&lt;&gt;"!!!"),"NEW","")))</f>
        <v> </v>
      </c>
      <c r="G3578" s="23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4" t="str">
        <f>IF(J3578&lt;&gt;1,"",IF(I3578="SBJ","CB","?"))</f>
        <v> </v>
      </c>
      <c r="I3578" s="25" t="str">
        <f>IF(OR(E3578="",E3578="!!!",F3578="NEW"),"",INDEX(B3577:B$2,-1+SUMPRODUCT(MAX(ROW(E3577:E$2)*(E3578=E3577:E$2)))))</f>
        <v> </v>
      </c>
      <c r="J3578" s="25" t="str">
        <f>IF(OR(E3578="",E3578="!!!",F3578="NEW"),"",COUNTBLANK(OFFSET(A$1,,,SUMPRODUCT(MAX(ROW(E$2:E3578)*(E3578=E$2:E3578)))))-COUNTBLANK(OFFSET(A$1,,,SUMPRODUCT(MAX(ROW(E$1:E3577)*(E2=E$1:E3577))))))</f>
        <v> </v>
      </c>
      <c r="K3578" s="25" t="str">
        <f>IF(OR(E3578="",E3578="!!!",F3578="NEW"),"",INDEX(J$1:J3577,SUMPRODUCT(MAX(ROW(E$1:E3577)*(E3578=E$1:E3577)))))</f>
        <v> </v>
      </c>
      <c r="L3578" s="26"/>
    </row>
    <row r="3579" spans="1:12">
      <c r="A3579" s="20" t="s">
        <v>2312</v>
      </c>
      <c r="B3579" s="27" t="s">
        <v>842</v>
      </c>
      <c r="C3579" s="27" t="s">
        <v>855</v>
      </c>
      <c r="D3579" s="27" t="s">
        <v>801</v>
      </c>
      <c r="E3579" s="21">
        <f>IF(D3579="?OLD","!!!","")</f>
        <v/>
      </c>
      <c r="F3579" s="22" t="str">
        <f>IF(OR(E3579="",E3579="!!!"),"",IF(NOT(ISNA(VLOOKUP(E3579,E$1:E3578,1,FALSE()))),"OLD",IF(AND(E3579&lt;&gt;"",E3579&lt;&gt;"!!!"),"NEW","")))</f>
        <v> </v>
      </c>
      <c r="G3579" s="23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4" t="str">
        <f>IF(J3579&lt;&gt;1,"",IF(I3579="SBJ","CB","?"))</f>
        <v> </v>
      </c>
      <c r="I3579" s="25" t="str">
        <f>IF(OR(E3579="",E3579="!!!",F3579="NEW"),"",INDEX(B3578:B$2,-1+SUMPRODUCT(MAX(ROW(E3578:E$2)*(E3579=E3578:E$2)))))</f>
        <v> </v>
      </c>
      <c r="J3579" s="25" t="str">
        <f>IF(OR(E3579="",E3579="!!!",F3579="NEW"),"",COUNTBLANK(OFFSET(A$1,,,SUMPRODUCT(MAX(ROW(E$2:E3579)*(E3579=E$2:E3579)))))-COUNTBLANK(OFFSET(A$1,,,SUMPRODUCT(MAX(ROW(E$1:E3578)*(E2=E$1:E3578))))))</f>
        <v> </v>
      </c>
      <c r="K3579" s="25" t="str">
        <f>IF(OR(E3579="",E3579="!!!",F3579="NEW"),"",INDEX(J$1:J3578,SUMPRODUCT(MAX(ROW(E$1:E3578)*(E3579=E$1:E3578)))))</f>
        <v> </v>
      </c>
      <c r="L3579" s="26"/>
    </row>
    <row r="3580" spans="1:12">
      <c r="A3580" s="20" t="s">
        <v>795</v>
      </c>
      <c r="E3580" s="21">
        <f>IF(D3580="?OLD","!!!","")</f>
        <v/>
      </c>
      <c r="F3580" s="22" t="str">
        <f>IF(OR(E3580="",E3580="!!!"),"",IF(NOT(ISNA(VLOOKUP(E3580,E$1:E3579,1,FALSE()))),"OLD",IF(AND(E3580&lt;&gt;"",E3580&lt;&gt;"!!!"),"NEW","")))</f>
        <v> </v>
      </c>
      <c r="G3580" s="23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4" t="str">
        <f>IF(J3580&lt;&gt;1,"",IF(I3580="SBJ","CB","?"))</f>
        <v> </v>
      </c>
      <c r="I3580" s="25" t="str">
        <f>IF(OR(E3580="",E3580="!!!",F3580="NEW"),"",INDEX(B3579:B$2,-1+SUMPRODUCT(MAX(ROW(E3579:E$2)*(E3580=E3579:E$2)))))</f>
        <v> </v>
      </c>
      <c r="J3580" s="25" t="str">
        <f>IF(OR(E3580="",E3580="!!!",F3580="NEW"),"",COUNTBLANK(OFFSET(A$1,,,SUMPRODUCT(MAX(ROW(E$2:E3580)*(E3580=E$2:E3580)))))-COUNTBLANK(OFFSET(A$1,,,SUMPRODUCT(MAX(ROW(E$1:E3579)*(E2=E$1:E3579))))))</f>
        <v> </v>
      </c>
      <c r="K3580" s="25" t="str">
        <f>IF(OR(E3580="",E3580="!!!",F3580="NEW"),"",INDEX(J$1:J3579,SUMPRODUCT(MAX(ROW(E$1:E3579)*(E3580=E$1:E3579)))))</f>
        <v> </v>
      </c>
      <c r="L3580" s="26"/>
    </row>
    <row r="3581" spans="1:12">
      <c r="A3581" s="20" t="s">
        <v>877</v>
      </c>
      <c r="B3581" s="27" t="s">
        <v>849</v>
      </c>
      <c r="C3581" s="27" t="s">
        <v>879</v>
      </c>
      <c r="E3581" s="21">
        <f>IF(D3581="?OLD","!!!","")</f>
        <v/>
      </c>
      <c r="F3581" s="22" t="str">
        <f>IF(OR(E3581="",E3581="!!!"),"",IF(NOT(ISNA(VLOOKUP(E3581,E$1:E3580,1,FALSE()))),"OLD",IF(AND(E3581&lt;&gt;"",E3581&lt;&gt;"!!!"),"NEW","")))</f>
        <v> </v>
      </c>
      <c r="G3581" s="23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4" t="str">
        <f>IF(J3581&lt;&gt;1,"",IF(I3581="SBJ","CB","?"))</f>
        <v> </v>
      </c>
      <c r="I3581" s="25" t="str">
        <f>IF(OR(E3581="",E3581="!!!",F3581="NEW"),"",INDEX(B3580:B$2,-1+SUMPRODUCT(MAX(ROW(E3580:E$2)*(E3581=E3580:E$2)))))</f>
        <v> </v>
      </c>
      <c r="J3581" s="25" t="str">
        <f>IF(OR(E3581="",E3581="!!!",F3581="NEW"),"",COUNTBLANK(OFFSET(A$1,,,SUMPRODUCT(MAX(ROW(E$2:E3581)*(E3581=E$2:E3581)))))-COUNTBLANK(OFFSET(A$1,,,SUMPRODUCT(MAX(ROW(E$1:E3580)*(E2=E$1:E3580))))))</f>
        <v> </v>
      </c>
      <c r="K3581" s="25" t="str">
        <f>IF(OR(E3581="",E3581="!!!",F3581="NEW"),"",INDEX(J$1:J3580,SUMPRODUCT(MAX(ROW(E$1:E3580)*(E3581=E$1:E3580)))))</f>
        <v> </v>
      </c>
      <c r="L3581" s="26"/>
    </row>
    <row r="3582" spans="1:12">
      <c r="A3582" s="20" t="s">
        <v>2303</v>
      </c>
      <c r="E3582" s="21">
        <f>IF(D3582="?OLD","!!!","")</f>
        <v/>
      </c>
      <c r="F3582" s="22" t="str">
        <f>IF(OR(E3582="",E3582="!!!"),"",IF(NOT(ISNA(VLOOKUP(E3582,E$1:E3581,1,FALSE()))),"OLD",IF(AND(E3582&lt;&gt;"",E3582&lt;&gt;"!!!"),"NEW","")))</f>
        <v> </v>
      </c>
      <c r="G3582" s="23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4" t="str">
        <f>IF(J3582&lt;&gt;1,"",IF(I3582="SBJ","CB","?"))</f>
        <v> </v>
      </c>
      <c r="I3582" s="25" t="str">
        <f>IF(OR(E3582="",E3582="!!!",F3582="NEW"),"",INDEX(B3581:B$2,-1+SUMPRODUCT(MAX(ROW(E3581:E$2)*(E3582=E3581:E$2)))))</f>
        <v> </v>
      </c>
      <c r="J3582" s="25" t="str">
        <f>IF(OR(E3582="",E3582="!!!",F3582="NEW"),"",COUNTBLANK(OFFSET(A$1,,,SUMPRODUCT(MAX(ROW(E$2:E3582)*(E3582=E$2:E3582)))))-COUNTBLANK(OFFSET(A$1,,,SUMPRODUCT(MAX(ROW(E$1:E3581)*(E2=E$1:E3581))))))</f>
        <v> </v>
      </c>
      <c r="K3582" s="25" t="str">
        <f>IF(OR(E3582="",E3582="!!!",F3582="NEW"),"",INDEX(J$1:J3581,SUMPRODUCT(MAX(ROW(E$1:E3581)*(E3582=E$1:E3581)))))</f>
        <v> </v>
      </c>
      <c r="L3582" s="26"/>
    </row>
    <row r="3583" spans="1:12">
      <c r="A3583" s="20" t="s">
        <v>2304</v>
      </c>
      <c r="E3583" s="21">
        <f>IF(D3583="?OLD","!!!","")</f>
        <v/>
      </c>
      <c r="F3583" s="22" t="str">
        <f>IF(OR(E3583="",E3583="!!!"),"",IF(NOT(ISNA(VLOOKUP(E3583,E$1:E3582,1,FALSE()))),"OLD",IF(AND(E3583&lt;&gt;"",E3583&lt;&gt;"!!!"),"NEW","")))</f>
        <v> </v>
      </c>
      <c r="G3583" s="23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4" t="str">
        <f>IF(J3583&lt;&gt;1,"",IF(I3583="SBJ","CB","?"))</f>
        <v> </v>
      </c>
      <c r="I3583" s="25" t="str">
        <f>IF(OR(E3583="",E3583="!!!",F3583="NEW"),"",INDEX(B3582:B$2,-1+SUMPRODUCT(MAX(ROW(E3582:E$2)*(E3583=E3582:E$2)))))</f>
        <v> </v>
      </c>
      <c r="J3583" s="25" t="str">
        <f>IF(OR(E3583="",E3583="!!!",F3583="NEW"),"",COUNTBLANK(OFFSET(A$1,,,SUMPRODUCT(MAX(ROW(E$2:E3583)*(E3583=E$2:E3583)))))-COUNTBLANK(OFFSET(A$1,,,SUMPRODUCT(MAX(ROW(E$1:E3582)*(E2=E$1:E3582))))))</f>
        <v> </v>
      </c>
      <c r="K3583" s="25" t="str">
        <f>IF(OR(E3583="",E3583="!!!",F3583="NEW"),"",INDEX(J$1:J3582,SUMPRODUCT(MAX(ROW(E$1:E3582)*(E3583=E$1:E3582)))))</f>
        <v> </v>
      </c>
      <c r="L3583" s="26"/>
    </row>
    <row r="3584" spans="1:12">
      <c r="A3584" s="20" t="s">
        <v>970</v>
      </c>
      <c r="E3584" s="21">
        <f>IF(D3584="?OLD","!!!","")</f>
        <v/>
      </c>
      <c r="F3584" s="22" t="str">
        <f>IF(OR(E3584="",E3584="!!!"),"",IF(NOT(ISNA(VLOOKUP(E3584,E$1:E3583,1,FALSE()))),"OLD",IF(AND(E3584&lt;&gt;"",E3584&lt;&gt;"!!!"),"NEW","")))</f>
        <v> </v>
      </c>
      <c r="G3584" s="23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4" t="str">
        <f>IF(J3584&lt;&gt;1,"",IF(I3584="SBJ","CB","?"))</f>
        <v> </v>
      </c>
      <c r="I3584" s="25" t="str">
        <f>IF(OR(E3584="",E3584="!!!",F3584="NEW"),"",INDEX(B3583:B$2,-1+SUMPRODUCT(MAX(ROW(E3583:E$2)*(E3584=E3583:E$2)))))</f>
        <v> </v>
      </c>
      <c r="J3584" s="25" t="str">
        <f>IF(OR(E3584="",E3584="!!!",F3584="NEW"),"",COUNTBLANK(OFFSET(A$1,,,SUMPRODUCT(MAX(ROW(E$2:E3584)*(E3584=E$2:E3584)))))-COUNTBLANK(OFFSET(A$1,,,SUMPRODUCT(MAX(ROW(E$1:E3583)*(E2=E$1:E3583))))))</f>
        <v> </v>
      </c>
      <c r="K3584" s="25" t="str">
        <f>IF(OR(E3584="",E3584="!!!",F3584="NEW"),"",INDEX(J$1:J3583,SUMPRODUCT(MAX(ROW(E$1:E3583)*(E3584=E$1:E3583)))))</f>
        <v> </v>
      </c>
      <c r="L3584" s="26"/>
    </row>
    <row r="3585" spans="1:12">
      <c r="A3585" s="20" t="s">
        <v>2313</v>
      </c>
      <c r="E3585" s="21">
        <f>IF(D3585="?OLD","!!!","")</f>
        <v/>
      </c>
      <c r="F3585" s="22" t="str">
        <f>IF(OR(E3585="",E3585="!!!"),"",IF(NOT(ISNA(VLOOKUP(E3585,E$1:E3584,1,FALSE()))),"OLD",IF(AND(E3585&lt;&gt;"",E3585&lt;&gt;"!!!"),"NEW","")))</f>
        <v> </v>
      </c>
      <c r="G3585" s="23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4" t="str">
        <f>IF(J3585&lt;&gt;1,"",IF(I3585="SBJ","CB","?"))</f>
        <v> </v>
      </c>
      <c r="I3585" s="25" t="str">
        <f>IF(OR(E3585="",E3585="!!!",F3585="NEW"),"",INDEX(B3584:B$2,-1+SUMPRODUCT(MAX(ROW(E3584:E$2)*(E3585=E3584:E$2)))))</f>
        <v> </v>
      </c>
      <c r="J3585" s="25" t="str">
        <f>IF(OR(E3585="",E3585="!!!",F3585="NEW"),"",COUNTBLANK(OFFSET(A$1,,,SUMPRODUCT(MAX(ROW(E$2:E3585)*(E3585=E$2:E3585)))))-COUNTBLANK(OFFSET(A$1,,,SUMPRODUCT(MAX(ROW(E$1:E3584)*(E2=E$1:E3584))))))</f>
        <v> </v>
      </c>
      <c r="K3585" s="25" t="str">
        <f>IF(OR(E3585="",E3585="!!!",F3585="NEW"),"",INDEX(J$1:J3584,SUMPRODUCT(MAX(ROW(E$1:E3584)*(E3585=E$1:E3584)))))</f>
        <v> </v>
      </c>
      <c r="L3585" s="26"/>
    </row>
    <row r="3586" spans="1:12">
      <c r="A3586" s="20" t="s">
        <v>803</v>
      </c>
      <c r="E3586" s="21">
        <f>IF(D3586="?OLD","!!!","")</f>
        <v/>
      </c>
      <c r="F3586" s="22" t="str">
        <f>IF(OR(E3586="",E3586="!!!"),"",IF(NOT(ISNA(VLOOKUP(E3586,E$1:E3585,1,FALSE()))),"OLD",IF(AND(E3586&lt;&gt;"",E3586&lt;&gt;"!!!"),"NEW","")))</f>
        <v> </v>
      </c>
      <c r="G3586" s="23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4" t="str">
        <f>IF(J3586&lt;&gt;1,"",IF(I3586="SBJ","CB","?"))</f>
        <v> </v>
      </c>
      <c r="I3586" s="25" t="str">
        <f>IF(OR(E3586="",E3586="!!!",F3586="NEW"),"",INDEX(B3585:B$2,-1+SUMPRODUCT(MAX(ROW(E3585:E$2)*(E3586=E3585:E$2)))))</f>
        <v> </v>
      </c>
      <c r="J3586" s="25" t="str">
        <f>IF(OR(E3586="",E3586="!!!",F3586="NEW"),"",COUNTBLANK(OFFSET(A$1,,,SUMPRODUCT(MAX(ROW(E$2:E3586)*(E3586=E$2:E3586)))))-COUNTBLANK(OFFSET(A$1,,,SUMPRODUCT(MAX(ROW(E$1:E3585)*(E2=E$1:E3585))))))</f>
        <v> </v>
      </c>
      <c r="K3586" s="25" t="str">
        <f>IF(OR(E3586="",E3586="!!!",F3586="NEW"),"",INDEX(J$1:J3585,SUMPRODUCT(MAX(ROW(E$1:E3585)*(E3586=E$1:E3585)))))</f>
        <v> </v>
      </c>
      <c r="L3586" s="26"/>
    </row>
    <row r="3587" spans="1:12">
      <c r="A3587" s="20"/>
    </row>
    <row r="3588" spans="1:12">
      <c r="A3588" s="20" t="s">
        <v>2314</v>
      </c>
    </row>
    <row r="3589" spans="1:12">
      <c r="A3589" s="20" t="s">
        <v>890</v>
      </c>
      <c r="E3589" s="21">
        <f>IF(D3589="?OLD","!!!","")</f>
        <v/>
      </c>
      <c r="F3589" s="22" t="str">
        <f>IF(OR(E3589="",E3589="!!!"),"",IF(NOT(ISNA(VLOOKUP(E3589,E$1:E3588,1,FALSE()))),"OLD",IF(AND(E3589&lt;&gt;"",E3589&lt;&gt;"!!!"),"NEW","")))</f>
        <v> </v>
      </c>
      <c r="G3589" s="23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4" t="str">
        <f>IF(J3589&lt;&gt;1,"",IF(I3589="SBJ","CB","?"))</f>
        <v> </v>
      </c>
      <c r="I3589" s="25" t="str">
        <f>IF(OR(E3589="",E3589="!!!",F3589="NEW"),"",INDEX(B3588:B$2,-1+SUMPRODUCT(MAX(ROW(E3588:E$2)*(E3589=E3588:E$2)))))</f>
        <v> </v>
      </c>
      <c r="J3589" s="25" t="str">
        <f>IF(OR(E3589="",E3589="!!!",F3589="NEW"),"",COUNTBLANK(OFFSET(A$1,,,SUMPRODUCT(MAX(ROW(E$2:E3589)*(E3589=E$2:E3589)))))-COUNTBLANK(OFFSET(A$1,,,SUMPRODUCT(MAX(ROW(E$1:E3588)*(E2=E$1:E3588))))))</f>
        <v> </v>
      </c>
      <c r="K3589" s="25" t="str">
        <f>IF(OR(E3589="",E3589="!!!",F3589="NEW"),"",INDEX(J$1:J3588,SUMPRODUCT(MAX(ROW(E$1:E3588)*(E3589=E$1:E3588)))))</f>
        <v> </v>
      </c>
      <c r="L3589" s="26"/>
    </row>
    <row r="3590" spans="1:12">
      <c r="A3590" s="20" t="s">
        <v>938</v>
      </c>
      <c r="B3590" s="27" t="s">
        <v>799</v>
      </c>
      <c r="C3590" s="27" t="s">
        <v>816</v>
      </c>
      <c r="D3590" s="27" t="s">
        <v>801</v>
      </c>
      <c r="E3590" s="21">
        <f>IF(D3590="?OLD","!!!","")</f>
        <v/>
      </c>
      <c r="F3590" s="22" t="str">
        <f>IF(OR(E3590="",E3590="!!!"),"",IF(NOT(ISNA(VLOOKUP(E3590,E$1:E3589,1,FALSE()))),"OLD",IF(AND(E3590&lt;&gt;"",E3590&lt;&gt;"!!!"),"NEW","")))</f>
        <v> </v>
      </c>
      <c r="G3590" s="23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4" t="str">
        <f>IF(J3590&lt;&gt;1,"",IF(I3590="SBJ","CB","?"))</f>
        <v> </v>
      </c>
      <c r="I3590" s="25" t="str">
        <f>IF(OR(E3590="",E3590="!!!",F3590="NEW"),"",INDEX(B3589:B$2,-1+SUMPRODUCT(MAX(ROW(E3589:E$2)*(E3590=E3589:E$2)))))</f>
        <v> </v>
      </c>
      <c r="J3590" s="25" t="str">
        <f>IF(OR(E3590="",E3590="!!!",F3590="NEW"),"",COUNTBLANK(OFFSET(A$1,,,SUMPRODUCT(MAX(ROW(E$2:E3590)*(E3590=E$2:E3590)))))-COUNTBLANK(OFFSET(A$1,,,SUMPRODUCT(MAX(ROW(E$1:E3589)*(E2=E$1:E3589))))))</f>
        <v> </v>
      </c>
      <c r="K3590" s="25" t="str">
        <f>IF(OR(E3590="",E3590="!!!",F3590="NEW"),"",INDEX(J$1:J3589,SUMPRODUCT(MAX(ROW(E$1:E3589)*(E3590=E$1:E3589)))))</f>
        <v> </v>
      </c>
      <c r="L3590" s="26"/>
    </row>
    <row r="3591" spans="1:12">
      <c r="A3591" s="20" t="s">
        <v>946</v>
      </c>
      <c r="E3591" s="21">
        <f>IF(D3591="?OLD","!!!","")</f>
        <v/>
      </c>
      <c r="F3591" s="22" t="str">
        <f>IF(OR(E3591="",E3591="!!!"),"",IF(NOT(ISNA(VLOOKUP(E3591,E$1:E3590,1,FALSE()))),"OLD",IF(AND(E3591&lt;&gt;"",E3591&lt;&gt;"!!!"),"NEW","")))</f>
        <v> </v>
      </c>
      <c r="G3591" s="23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4" t="str">
        <f>IF(J3591&lt;&gt;1,"",IF(I3591="SBJ","CB","?"))</f>
        <v> </v>
      </c>
      <c r="I3591" s="25" t="str">
        <f>IF(OR(E3591="",E3591="!!!",F3591="NEW"),"",INDEX(B3590:B$2,-1+SUMPRODUCT(MAX(ROW(E3590:E$2)*(E3591=E3590:E$2)))))</f>
        <v> </v>
      </c>
      <c r="J3591" s="25" t="str">
        <f>IF(OR(E3591="",E3591="!!!",F3591="NEW"),"",COUNTBLANK(OFFSET(A$1,,,SUMPRODUCT(MAX(ROW(E$2:E3591)*(E3591=E$2:E3591)))))-COUNTBLANK(OFFSET(A$1,,,SUMPRODUCT(MAX(ROW(E$1:E3590)*(E2=E$1:E3590))))))</f>
        <v> </v>
      </c>
      <c r="K3591" s="25" t="str">
        <f>IF(OR(E3591="",E3591="!!!",F3591="NEW"),"",INDEX(J$1:J3590,SUMPRODUCT(MAX(ROW(E$1:E3590)*(E3591=E$1:E3590)))))</f>
        <v> </v>
      </c>
      <c r="L3591" s="26"/>
    </row>
    <row r="3592" spans="1:12">
      <c r="A3592" s="20" t="s">
        <v>798</v>
      </c>
      <c r="B3592" s="27" t="s">
        <v>921</v>
      </c>
      <c r="C3592" s="27" t="s">
        <v>800</v>
      </c>
      <c r="D3592" s="27" t="s">
        <v>801</v>
      </c>
      <c r="E3592" s="21">
        <f>IF(D3592="?OLD","!!!","")</f>
        <v/>
      </c>
      <c r="F3592" s="22" t="str">
        <f>IF(OR(E3592="",E3592="!!!"),"",IF(NOT(ISNA(VLOOKUP(E3592,E$1:E3591,1,FALSE()))),"OLD",IF(AND(E3592&lt;&gt;"",E3592&lt;&gt;"!!!"),"NEW","")))</f>
        <v> </v>
      </c>
      <c r="G3592" s="23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4" t="str">
        <f>IF(J3592&lt;&gt;1,"",IF(I3592="SBJ","CB","?"))</f>
        <v> </v>
      </c>
      <c r="I3592" s="25" t="str">
        <f>IF(OR(E3592="",E3592="!!!",F3592="NEW"),"",INDEX(B3591:B$2,-1+SUMPRODUCT(MAX(ROW(E3591:E$2)*(E3592=E3591:E$2)))))</f>
        <v> </v>
      </c>
      <c r="J3592" s="25" t="str">
        <f>IF(OR(E3592="",E3592="!!!",F3592="NEW"),"",COUNTBLANK(OFFSET(A$1,,,SUMPRODUCT(MAX(ROW(E$2:E3592)*(E3592=E$2:E3592)))))-COUNTBLANK(OFFSET(A$1,,,SUMPRODUCT(MAX(ROW(E$1:E3591)*(E2=E$1:E3591))))))</f>
        <v> </v>
      </c>
      <c r="K3592" s="25" t="str">
        <f>IF(OR(E3592="",E3592="!!!",F3592="NEW"),"",INDEX(J$1:J3591,SUMPRODUCT(MAX(ROW(E$1:E3591)*(E3592=E$1:E3591)))))</f>
        <v> </v>
      </c>
      <c r="L3592" s="26"/>
    </row>
    <row r="3593" spans="1:12">
      <c r="A3593" s="20" t="s">
        <v>929</v>
      </c>
      <c r="E3593" s="21">
        <f>IF(D3593="?OLD","!!!","")</f>
        <v/>
      </c>
      <c r="F3593" s="22" t="str">
        <f>IF(OR(E3593="",E3593="!!!"),"",IF(NOT(ISNA(VLOOKUP(E3593,E$1:E3592,1,FALSE()))),"OLD",IF(AND(E3593&lt;&gt;"",E3593&lt;&gt;"!!!"),"NEW","")))</f>
        <v> </v>
      </c>
      <c r="G3593" s="23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4" t="str">
        <f>IF(J3593&lt;&gt;1,"",IF(I3593="SBJ","CB","?"))</f>
        <v> </v>
      </c>
      <c r="I3593" s="25" t="str">
        <f>IF(OR(E3593="",E3593="!!!",F3593="NEW"),"",INDEX(B3592:B$2,-1+SUMPRODUCT(MAX(ROW(E3592:E$2)*(E3593=E3592:E$2)))))</f>
        <v> </v>
      </c>
      <c r="J3593" s="25" t="str">
        <f>IF(OR(E3593="",E3593="!!!",F3593="NEW"),"",COUNTBLANK(OFFSET(A$1,,,SUMPRODUCT(MAX(ROW(E$2:E3593)*(E3593=E$2:E3593)))))-COUNTBLANK(OFFSET(A$1,,,SUMPRODUCT(MAX(ROW(E$1:E3592)*(E2=E$1:E3592))))))</f>
        <v> </v>
      </c>
      <c r="K3593" s="25" t="str">
        <f>IF(OR(E3593="",E3593="!!!",F3593="NEW"),"",INDEX(J$1:J3592,SUMPRODUCT(MAX(ROW(E$1:E3592)*(E3593=E$1:E3592)))))</f>
        <v> </v>
      </c>
      <c r="L3593" s="26"/>
    </row>
    <row r="3594" spans="1:12">
      <c r="A3594" s="20" t="s">
        <v>795</v>
      </c>
      <c r="E3594" s="21">
        <f>IF(D3594="?OLD","!!!","")</f>
        <v/>
      </c>
      <c r="F3594" s="22" t="str">
        <f>IF(OR(E3594="",E3594="!!!"),"",IF(NOT(ISNA(VLOOKUP(E3594,E$1:E3593,1,FALSE()))),"OLD",IF(AND(E3594&lt;&gt;"",E3594&lt;&gt;"!!!"),"NEW","")))</f>
        <v> </v>
      </c>
      <c r="G3594" s="23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4" t="str">
        <f>IF(J3594&lt;&gt;1,"",IF(I3594="SBJ","CB","?"))</f>
        <v> </v>
      </c>
      <c r="I3594" s="25" t="str">
        <f>IF(OR(E3594="",E3594="!!!",F3594="NEW"),"",INDEX(B3593:B$2,-1+SUMPRODUCT(MAX(ROW(E3593:E$2)*(E3594=E3593:E$2)))))</f>
        <v> </v>
      </c>
      <c r="J3594" s="25" t="str">
        <f>IF(OR(E3594="",E3594="!!!",F3594="NEW"),"",COUNTBLANK(OFFSET(A$1,,,SUMPRODUCT(MAX(ROW(E$2:E3594)*(E3594=E$2:E3594)))))-COUNTBLANK(OFFSET(A$1,,,SUMPRODUCT(MAX(ROW(E$1:E3593)*(E2=E$1:E3593))))))</f>
        <v> </v>
      </c>
      <c r="K3594" s="25" t="str">
        <f>IF(OR(E3594="",E3594="!!!",F3594="NEW"),"",INDEX(J$1:J3593,SUMPRODUCT(MAX(ROW(E$1:E3593)*(E3594=E$1:E3593)))))</f>
        <v> </v>
      </c>
      <c r="L3594" s="26"/>
    </row>
    <row r="3595" spans="1:12">
      <c r="A3595" s="20" t="s">
        <v>925</v>
      </c>
      <c r="E3595" s="21">
        <f>IF(D3595="?OLD","!!!","")</f>
        <v/>
      </c>
      <c r="F3595" s="22" t="str">
        <f>IF(OR(E3595="",E3595="!!!"),"",IF(NOT(ISNA(VLOOKUP(E3595,E$1:E3594,1,FALSE()))),"OLD",IF(AND(E3595&lt;&gt;"",E3595&lt;&gt;"!!!"),"NEW","")))</f>
        <v> </v>
      </c>
      <c r="G3595" s="23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4" t="str">
        <f>IF(J3595&lt;&gt;1,"",IF(I3595="SBJ","CB","?"))</f>
        <v> </v>
      </c>
      <c r="I3595" s="25" t="str">
        <f>IF(OR(E3595="",E3595="!!!",F3595="NEW"),"",INDEX(B3594:B$2,-1+SUMPRODUCT(MAX(ROW(E3594:E$2)*(E3595=E3594:E$2)))))</f>
        <v> </v>
      </c>
      <c r="J3595" s="25" t="str">
        <f>IF(OR(E3595="",E3595="!!!",F3595="NEW"),"",COUNTBLANK(OFFSET(A$1,,,SUMPRODUCT(MAX(ROW(E$2:E3595)*(E3595=E$2:E3595)))))-COUNTBLANK(OFFSET(A$1,,,SUMPRODUCT(MAX(ROW(E$1:E3594)*(E2=E$1:E3594))))))</f>
        <v> </v>
      </c>
      <c r="K3595" s="25" t="str">
        <f>IF(OR(E3595="",E3595="!!!",F3595="NEW"),"",INDEX(J$1:J3594,SUMPRODUCT(MAX(ROW(E$1:E3594)*(E3595=E$1:E3594)))))</f>
        <v> </v>
      </c>
      <c r="L3595" s="26"/>
    </row>
    <row r="3596" spans="1:12">
      <c r="A3596" s="20" t="s">
        <v>2315</v>
      </c>
      <c r="E3596" s="21">
        <f>IF(D3596="?OLD","!!!","")</f>
        <v/>
      </c>
      <c r="F3596" s="22" t="str">
        <f>IF(OR(E3596="",E3596="!!!"),"",IF(NOT(ISNA(VLOOKUP(E3596,E$1:E3595,1,FALSE()))),"OLD",IF(AND(E3596&lt;&gt;"",E3596&lt;&gt;"!!!"),"NEW","")))</f>
        <v> </v>
      </c>
      <c r="G3596" s="23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4" t="str">
        <f>IF(J3596&lt;&gt;1,"",IF(I3596="SBJ","CB","?"))</f>
        <v> </v>
      </c>
      <c r="I3596" s="25" t="str">
        <f>IF(OR(E3596="",E3596="!!!",F3596="NEW"),"",INDEX(B3595:B$2,-1+SUMPRODUCT(MAX(ROW(E3595:E$2)*(E3596=E3595:E$2)))))</f>
        <v> </v>
      </c>
      <c r="J3596" s="25" t="str">
        <f>IF(OR(E3596="",E3596="!!!",F3596="NEW"),"",COUNTBLANK(OFFSET(A$1,,,SUMPRODUCT(MAX(ROW(E$2:E3596)*(E3596=E$2:E3596)))))-COUNTBLANK(OFFSET(A$1,,,SUMPRODUCT(MAX(ROW(E$1:E3595)*(E2=E$1:E3595))))))</f>
        <v> </v>
      </c>
      <c r="K3596" s="25" t="str">
        <f>IF(OR(E3596="",E3596="!!!",F3596="NEW"),"",INDEX(J$1:J3595,SUMPRODUCT(MAX(ROW(E$1:E3595)*(E3596=E$1:E3595)))))</f>
        <v> </v>
      </c>
      <c r="L3596" s="26"/>
    </row>
    <row r="3597" spans="1:12">
      <c r="A3597" s="20" t="s">
        <v>795</v>
      </c>
      <c r="E3597" s="21">
        <f>IF(D3597="?OLD","!!!","")</f>
        <v/>
      </c>
      <c r="F3597" s="22" t="str">
        <f>IF(OR(E3597="",E3597="!!!"),"",IF(NOT(ISNA(VLOOKUP(E3597,E$1:E3596,1,FALSE()))),"OLD",IF(AND(E3597&lt;&gt;"",E3597&lt;&gt;"!!!"),"NEW","")))</f>
        <v> </v>
      </c>
      <c r="G3597" s="23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4" t="str">
        <f>IF(J3597&lt;&gt;1,"",IF(I3597="SBJ","CB","?"))</f>
        <v> </v>
      </c>
      <c r="I3597" s="25" t="str">
        <f>IF(OR(E3597="",E3597="!!!",F3597="NEW"),"",INDEX(B3596:B$2,-1+SUMPRODUCT(MAX(ROW(E3596:E$2)*(E3597=E3596:E$2)))))</f>
        <v> </v>
      </c>
      <c r="J3597" s="25" t="str">
        <f>IF(OR(E3597="",E3597="!!!",F3597="NEW"),"",COUNTBLANK(OFFSET(A$1,,,SUMPRODUCT(MAX(ROW(E$2:E3597)*(E3597=E$2:E3597)))))-COUNTBLANK(OFFSET(A$1,,,SUMPRODUCT(MAX(ROW(E$1:E3596)*(E2=E$1:E3596))))))</f>
        <v> </v>
      </c>
      <c r="K3597" s="25" t="str">
        <f>IF(OR(E3597="",E3597="!!!",F3597="NEW"),"",INDEX(J$1:J3596,SUMPRODUCT(MAX(ROW(E$1:E3596)*(E3597=E$1:E3596)))))</f>
        <v> </v>
      </c>
      <c r="L3597" s="26"/>
    </row>
    <row r="3598" spans="1:12">
      <c r="A3598" s="20" t="s">
        <v>877</v>
      </c>
      <c r="E3598" s="21">
        <f>IF(D3598="?OLD","!!!","")</f>
        <v/>
      </c>
      <c r="F3598" s="22" t="str">
        <f>IF(OR(E3598="",E3598="!!!"),"",IF(NOT(ISNA(VLOOKUP(E3598,E$1:E3597,1,FALSE()))),"OLD",IF(AND(E3598&lt;&gt;"",E3598&lt;&gt;"!!!"),"NEW","")))</f>
        <v> </v>
      </c>
      <c r="G3598" s="23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4" t="str">
        <f>IF(J3598&lt;&gt;1,"",IF(I3598="SBJ","CB","?"))</f>
        <v> </v>
      </c>
      <c r="I3598" s="25" t="str">
        <f>IF(OR(E3598="",E3598="!!!",F3598="NEW"),"",INDEX(B3597:B$2,-1+SUMPRODUCT(MAX(ROW(E3597:E$2)*(E3598=E3597:E$2)))))</f>
        <v> </v>
      </c>
      <c r="J3598" s="25" t="str">
        <f>IF(OR(E3598="",E3598="!!!",F3598="NEW"),"",COUNTBLANK(OFFSET(A$1,,,SUMPRODUCT(MAX(ROW(E$2:E3598)*(E3598=E$2:E3598)))))-COUNTBLANK(OFFSET(A$1,,,SUMPRODUCT(MAX(ROW(E$1:E3597)*(E2=E$1:E3597))))))</f>
        <v> </v>
      </c>
      <c r="K3598" s="25" t="str">
        <f>IF(OR(E3598="",E3598="!!!",F3598="NEW"),"",INDEX(J$1:J3597,SUMPRODUCT(MAX(ROW(E$1:E3597)*(E3598=E$1:E3597)))))</f>
        <v> </v>
      </c>
      <c r="L3598" s="26"/>
    </row>
    <row r="3599" spans="1:12">
      <c r="A3599" s="20" t="s">
        <v>2316</v>
      </c>
      <c r="B3599" s="27" t="s">
        <v>874</v>
      </c>
      <c r="C3599" s="27" t="s">
        <v>879</v>
      </c>
      <c r="E3599" s="21">
        <f>IF(D3599="?OLD","!!!","")</f>
        <v/>
      </c>
      <c r="F3599" s="22" t="str">
        <f>IF(OR(E3599="",E3599="!!!"),"",IF(NOT(ISNA(VLOOKUP(E3599,E$1:E3598,1,FALSE()))),"OLD",IF(AND(E3599&lt;&gt;"",E3599&lt;&gt;"!!!"),"NEW","")))</f>
        <v> </v>
      </c>
      <c r="G3599" s="23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4" t="str">
        <f>IF(J3599&lt;&gt;1,"",IF(I3599="SBJ","CB","?"))</f>
        <v> </v>
      </c>
      <c r="I3599" s="25" t="str">
        <f>IF(OR(E3599="",E3599="!!!",F3599="NEW"),"",INDEX(B3598:B$2,-1+SUMPRODUCT(MAX(ROW(E3598:E$2)*(E3599=E3598:E$2)))))</f>
        <v> </v>
      </c>
      <c r="J3599" s="25" t="str">
        <f>IF(OR(E3599="",E3599="!!!",F3599="NEW"),"",COUNTBLANK(OFFSET(A$1,,,SUMPRODUCT(MAX(ROW(E$2:E3599)*(E3599=E$2:E3599)))))-COUNTBLANK(OFFSET(A$1,,,SUMPRODUCT(MAX(ROW(E$1:E3598)*(E2=E$1:E3598))))))</f>
        <v> </v>
      </c>
      <c r="K3599" s="25" t="str">
        <f>IF(OR(E3599="",E3599="!!!",F3599="NEW"),"",INDEX(J$1:J3598,SUMPRODUCT(MAX(ROW(E$1:E3598)*(E3599=E$1:E3598)))))</f>
        <v> </v>
      </c>
      <c r="L3599" s="26"/>
    </row>
    <row r="3600" spans="1:12">
      <c r="A3600" s="20" t="s">
        <v>2161</v>
      </c>
      <c r="E3600" s="21">
        <f>IF(D3600="?OLD","!!!","")</f>
        <v/>
      </c>
      <c r="F3600" s="22" t="str">
        <f>IF(OR(E3600="",E3600="!!!"),"",IF(NOT(ISNA(VLOOKUP(E3600,E$1:E3599,1,FALSE()))),"OLD",IF(AND(E3600&lt;&gt;"",E3600&lt;&gt;"!!!"),"NEW","")))</f>
        <v> </v>
      </c>
      <c r="G3600" s="23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4" t="str">
        <f>IF(J3600&lt;&gt;1,"",IF(I3600="SBJ","CB","?"))</f>
        <v> </v>
      </c>
      <c r="I3600" s="25" t="str">
        <f>IF(OR(E3600="",E3600="!!!",F3600="NEW"),"",INDEX(B3599:B$2,-1+SUMPRODUCT(MAX(ROW(E3599:E$2)*(E3600=E3599:E$2)))))</f>
        <v> </v>
      </c>
      <c r="J3600" s="25" t="str">
        <f>IF(OR(E3600="",E3600="!!!",F3600="NEW"),"",COUNTBLANK(OFFSET(A$1,,,SUMPRODUCT(MAX(ROW(E$2:E3600)*(E3600=E$2:E3600)))))-COUNTBLANK(OFFSET(A$1,,,SUMPRODUCT(MAX(ROW(E$1:E3599)*(E2=E$1:E3599))))))</f>
        <v> </v>
      </c>
      <c r="K3600" s="25" t="str">
        <f>IF(OR(E3600="",E3600="!!!",F3600="NEW"),"",INDEX(J$1:J3599,SUMPRODUCT(MAX(ROW(E$1:E3599)*(E3600=E$1:E3599)))))</f>
        <v> </v>
      </c>
      <c r="L3600" s="26"/>
    </row>
    <row r="3601" spans="1:12">
      <c r="A3601" s="20" t="s">
        <v>1008</v>
      </c>
      <c r="B3601" s="27" t="s">
        <v>1156</v>
      </c>
      <c r="C3601" s="27" t="s">
        <v>816</v>
      </c>
      <c r="D3601" s="27" t="s">
        <v>801</v>
      </c>
      <c r="E3601" s="21">
        <f>IF(D3601="?OLD","!!!","")</f>
        <v/>
      </c>
      <c r="F3601" s="22" t="str">
        <f>IF(OR(E3601="",E3601="!!!"),"",IF(NOT(ISNA(VLOOKUP(E3601,E$1:E3600,1,FALSE()))),"OLD",IF(AND(E3601&lt;&gt;"",E3601&lt;&gt;"!!!"),"NEW","")))</f>
        <v> </v>
      </c>
      <c r="G3601" s="23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4" t="str">
        <f>IF(J3601&lt;&gt;1,"",IF(I3601="SBJ","CB","?"))</f>
        <v> </v>
      </c>
      <c r="I3601" s="25" t="str">
        <f>IF(OR(E3601="",E3601="!!!",F3601="NEW"),"",INDEX(B3600:B$2,-1+SUMPRODUCT(MAX(ROW(E3600:E$2)*(E3601=E3600:E$2)))))</f>
        <v> </v>
      </c>
      <c r="J3601" s="25" t="str">
        <f>IF(OR(E3601="",E3601="!!!",F3601="NEW"),"",COUNTBLANK(OFFSET(A$1,,,SUMPRODUCT(MAX(ROW(E$2:E3601)*(E3601=E$2:E3601)))))-COUNTBLANK(OFFSET(A$1,,,SUMPRODUCT(MAX(ROW(E$1:E3600)*(E2=E$1:E3600))))))</f>
        <v> </v>
      </c>
      <c r="K3601" s="25" t="str">
        <f>IF(OR(E3601="",E3601="!!!",F3601="NEW"),"",INDEX(J$1:J3600,SUMPRODUCT(MAX(ROW(E$1:E3600)*(E3601=E$1:E3600)))))</f>
        <v> </v>
      </c>
      <c r="L3601" s="26"/>
    </row>
    <row r="3602" spans="1:12">
      <c r="A3602" s="20" t="s">
        <v>2317</v>
      </c>
      <c r="E3602" s="21">
        <f>IF(D3602="?OLD","!!!","")</f>
        <v/>
      </c>
      <c r="F3602" s="22" t="str">
        <f>IF(OR(E3602="",E3602="!!!"),"",IF(NOT(ISNA(VLOOKUP(E3602,E$1:E3601,1,FALSE()))),"OLD",IF(AND(E3602&lt;&gt;"",E3602&lt;&gt;"!!!"),"NEW","")))</f>
        <v> </v>
      </c>
      <c r="G3602" s="23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4" t="str">
        <f>IF(J3602&lt;&gt;1,"",IF(I3602="SBJ","CB","?"))</f>
        <v> </v>
      </c>
      <c r="I3602" s="25" t="str">
        <f>IF(OR(E3602="",E3602="!!!",F3602="NEW"),"",INDEX(B3601:B$2,-1+SUMPRODUCT(MAX(ROW(E3601:E$2)*(E3602=E3601:E$2)))))</f>
        <v> </v>
      </c>
      <c r="J3602" s="25" t="str">
        <f>IF(OR(E3602="",E3602="!!!",F3602="NEW"),"",COUNTBLANK(OFFSET(A$1,,,SUMPRODUCT(MAX(ROW(E$2:E3602)*(E3602=E$2:E3602)))))-COUNTBLANK(OFFSET(A$1,,,SUMPRODUCT(MAX(ROW(E$1:E3601)*(E2=E$1:E3601))))))</f>
        <v> </v>
      </c>
      <c r="K3602" s="25" t="str">
        <f>IF(OR(E3602="",E3602="!!!",F3602="NEW"),"",INDEX(J$1:J3601,SUMPRODUCT(MAX(ROW(E$1:E3601)*(E3602=E$1:E3601)))))</f>
        <v> </v>
      </c>
      <c r="L3602" s="26"/>
    </row>
    <row r="3603" spans="1:12">
      <c r="A3603" s="20" t="s">
        <v>803</v>
      </c>
      <c r="E3603" s="21">
        <f>IF(D3603="?OLD","!!!","")</f>
        <v/>
      </c>
      <c r="F3603" s="22" t="str">
        <f>IF(OR(E3603="",E3603="!!!"),"",IF(NOT(ISNA(VLOOKUP(E3603,E$1:E3602,1,FALSE()))),"OLD",IF(AND(E3603&lt;&gt;"",E3603&lt;&gt;"!!!"),"NEW","")))</f>
        <v> </v>
      </c>
      <c r="G3603" s="23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4" t="str">
        <f>IF(J3603&lt;&gt;1,"",IF(I3603="SBJ","CB","?"))</f>
        <v> </v>
      </c>
      <c r="I3603" s="25" t="str">
        <f>IF(OR(E3603="",E3603="!!!",F3603="NEW"),"",INDEX(B3602:B$2,-1+SUMPRODUCT(MAX(ROW(E3602:E$2)*(E3603=E3602:E$2)))))</f>
        <v> </v>
      </c>
      <c r="J3603" s="25" t="str">
        <f>IF(OR(E3603="",E3603="!!!",F3603="NEW"),"",COUNTBLANK(OFFSET(A$1,,,SUMPRODUCT(MAX(ROW(E$2:E3603)*(E3603=E$2:E3603)))))-COUNTBLANK(OFFSET(A$1,,,SUMPRODUCT(MAX(ROW(E$1:E3602)*(E2=E$1:E3602))))))</f>
        <v> </v>
      </c>
      <c r="K3603" s="25" t="str">
        <f>IF(OR(E3603="",E3603="!!!",F3603="NEW"),"",INDEX(J$1:J3602,SUMPRODUCT(MAX(ROW(E$1:E3602)*(E3603=E$1:E3602)))))</f>
        <v> </v>
      </c>
      <c r="L3603" s="26"/>
    </row>
    <row r="3604" spans="1:12">
      <c r="A3604" s="20"/>
    </row>
    <row r="3605" spans="1:12">
      <c r="A3605" s="20" t="s">
        <v>2318</v>
      </c>
    </row>
    <row r="3606" spans="1:12">
      <c r="A3606" s="20" t="s">
        <v>1016</v>
      </c>
      <c r="B3606" s="27" t="s">
        <v>799</v>
      </c>
      <c r="C3606" s="27" t="s">
        <v>816</v>
      </c>
      <c r="D3606" s="27" t="s">
        <v>801</v>
      </c>
      <c r="E3606" s="21">
        <f>IF(D3606="?OLD","!!!","")</f>
        <v/>
      </c>
      <c r="F3606" s="22" t="str">
        <f>IF(OR(E3606="",E3606="!!!"),"",IF(NOT(ISNA(VLOOKUP(E3606,E$1:E3605,1,FALSE()))),"OLD",IF(AND(E3606&lt;&gt;"",E3606&lt;&gt;"!!!"),"NEW","")))</f>
        <v> </v>
      </c>
      <c r="G3606" s="23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4" t="str">
        <f>IF(J3606&lt;&gt;1,"",IF(I3606="SBJ","CB","?"))</f>
        <v> </v>
      </c>
      <c r="I3606" s="25" t="str">
        <f>IF(OR(E3606="",E3606="!!!",F3606="NEW"),"",INDEX(B3605:B$2,-1+SUMPRODUCT(MAX(ROW(E3605:E$2)*(E3606=E3605:E$2)))))</f>
        <v> </v>
      </c>
      <c r="J3606" s="25" t="str">
        <f>IF(OR(E3606="",E3606="!!!",F3606="NEW"),"",COUNTBLANK(OFFSET(A$1,,,SUMPRODUCT(MAX(ROW(E$2:E3606)*(E3606=E$2:E3606)))))-COUNTBLANK(OFFSET(A$1,,,SUMPRODUCT(MAX(ROW(E$1:E3605)*(E2=E$1:E3605))))))</f>
        <v> </v>
      </c>
      <c r="K3606" s="25" t="str">
        <f>IF(OR(E3606="",E3606="!!!",F3606="NEW"),"",INDEX(J$1:J3605,SUMPRODUCT(MAX(ROW(E$1:E3605)*(E3606=E$1:E3605)))))</f>
        <v> </v>
      </c>
      <c r="L3606" s="26"/>
    </row>
    <row r="3607" spans="1:12">
      <c r="A3607" s="20" t="s">
        <v>1230</v>
      </c>
      <c r="E3607" s="21">
        <f>IF(D3607="?OLD","!!!","")</f>
        <v/>
      </c>
      <c r="F3607" s="22" t="str">
        <f>IF(OR(E3607="",E3607="!!!"),"",IF(NOT(ISNA(VLOOKUP(E3607,E$1:E3606,1,FALSE()))),"OLD",IF(AND(E3607&lt;&gt;"",E3607&lt;&gt;"!!!"),"NEW","")))</f>
        <v> </v>
      </c>
      <c r="G3607" s="23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4" t="str">
        <f>IF(J3607&lt;&gt;1,"",IF(I3607="SBJ","CB","?"))</f>
        <v> </v>
      </c>
      <c r="I3607" s="25" t="str">
        <f>IF(OR(E3607="",E3607="!!!",F3607="NEW"),"",INDEX(B3606:B$2,-1+SUMPRODUCT(MAX(ROW(E3606:E$2)*(E3607=E3606:E$2)))))</f>
        <v> </v>
      </c>
      <c r="J3607" s="25" t="str">
        <f>IF(OR(E3607="",E3607="!!!",F3607="NEW"),"",COUNTBLANK(OFFSET(A$1,,,SUMPRODUCT(MAX(ROW(E$2:E3607)*(E3607=E$2:E3607)))))-COUNTBLANK(OFFSET(A$1,,,SUMPRODUCT(MAX(ROW(E$1:E3606)*(E2=E$1:E3606))))))</f>
        <v> </v>
      </c>
      <c r="K3607" s="25" t="str">
        <f>IF(OR(E3607="",E3607="!!!",F3607="NEW"),"",INDEX(J$1:J3606,SUMPRODUCT(MAX(ROW(E$1:E3606)*(E3607=E$1:E3606)))))</f>
        <v> </v>
      </c>
      <c r="L3607" s="26"/>
    </row>
    <row r="3608" spans="1:12">
      <c r="A3608" s="20" t="s">
        <v>795</v>
      </c>
      <c r="E3608" s="21">
        <f>IF(D3608="?OLD","!!!","")</f>
        <v/>
      </c>
      <c r="F3608" s="22" t="str">
        <f>IF(OR(E3608="",E3608="!!!"),"",IF(NOT(ISNA(VLOOKUP(E3608,E$1:E3607,1,FALSE()))),"OLD",IF(AND(E3608&lt;&gt;"",E3608&lt;&gt;"!!!"),"NEW","")))</f>
        <v> </v>
      </c>
      <c r="G3608" s="23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4" t="str">
        <f>IF(J3608&lt;&gt;1,"",IF(I3608="SBJ","CB","?"))</f>
        <v> </v>
      </c>
      <c r="I3608" s="25" t="str">
        <f>IF(OR(E3608="",E3608="!!!",F3608="NEW"),"",INDEX(B3607:B$2,-1+SUMPRODUCT(MAX(ROW(E3607:E$2)*(E3608=E3607:E$2)))))</f>
        <v> </v>
      </c>
      <c r="J3608" s="25" t="str">
        <f>IF(OR(E3608="",E3608="!!!",F3608="NEW"),"",COUNTBLANK(OFFSET(A$1,,,SUMPRODUCT(MAX(ROW(E$2:E3608)*(E3608=E$2:E3608)))))-COUNTBLANK(OFFSET(A$1,,,SUMPRODUCT(MAX(ROW(E$1:E3607)*(E2=E$1:E3607))))))</f>
        <v> </v>
      </c>
      <c r="K3608" s="25" t="str">
        <f>IF(OR(E3608="",E3608="!!!",F3608="NEW"),"",INDEX(J$1:J3607,SUMPRODUCT(MAX(ROW(E$1:E3607)*(E3608=E$1:E3607)))))</f>
        <v> </v>
      </c>
      <c r="L3608" s="26"/>
    </row>
    <row r="3609" spans="1:12">
      <c r="A3609" s="20" t="s">
        <v>877</v>
      </c>
      <c r="E3609" s="21">
        <f>IF(D3609="?OLD","!!!","")</f>
        <v/>
      </c>
      <c r="F3609" s="22" t="str">
        <f>IF(OR(E3609="",E3609="!!!"),"",IF(NOT(ISNA(VLOOKUP(E3609,E$1:E3608,1,FALSE()))),"OLD",IF(AND(E3609&lt;&gt;"",E3609&lt;&gt;"!!!"),"NEW","")))</f>
        <v> </v>
      </c>
      <c r="G3609" s="23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4" t="str">
        <f>IF(J3609&lt;&gt;1,"",IF(I3609="SBJ","CB","?"))</f>
        <v> </v>
      </c>
      <c r="I3609" s="25" t="str">
        <f>IF(OR(E3609="",E3609="!!!",F3609="NEW"),"",INDEX(B3608:B$2,-1+SUMPRODUCT(MAX(ROW(E3608:E$2)*(E3609=E3608:E$2)))))</f>
        <v> </v>
      </c>
      <c r="J3609" s="25" t="str">
        <f>IF(OR(E3609="",E3609="!!!",F3609="NEW"),"",COUNTBLANK(OFFSET(A$1,,,SUMPRODUCT(MAX(ROW(E$2:E3609)*(E3609=E$2:E3609)))))-COUNTBLANK(OFFSET(A$1,,,SUMPRODUCT(MAX(ROW(E$1:E3608)*(E2=E$1:E3608))))))</f>
        <v> </v>
      </c>
      <c r="K3609" s="25" t="str">
        <f>IF(OR(E3609="",E3609="!!!",F3609="NEW"),"",INDEX(J$1:J3608,SUMPRODUCT(MAX(ROW(E$1:E3608)*(E3609=E$1:E3608)))))</f>
        <v> </v>
      </c>
      <c r="L3609" s="26"/>
    </row>
    <row r="3610" spans="1:12">
      <c r="A3610" s="20" t="s">
        <v>2319</v>
      </c>
      <c r="E3610" s="21">
        <f>IF(D3610="?OLD","!!!","")</f>
        <v/>
      </c>
      <c r="F3610" s="22" t="str">
        <f>IF(OR(E3610="",E3610="!!!"),"",IF(NOT(ISNA(VLOOKUP(E3610,E$1:E3609,1,FALSE()))),"OLD",IF(AND(E3610&lt;&gt;"",E3610&lt;&gt;"!!!"),"NEW","")))</f>
        <v> </v>
      </c>
      <c r="G3610" s="23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4" t="str">
        <f>IF(J3610&lt;&gt;1,"",IF(I3610="SBJ","CB","?"))</f>
        <v> </v>
      </c>
      <c r="I3610" s="25" t="str">
        <f>IF(OR(E3610="",E3610="!!!",F3610="NEW"),"",INDEX(B3609:B$2,-1+SUMPRODUCT(MAX(ROW(E3609:E$2)*(E3610=E3609:E$2)))))</f>
        <v> </v>
      </c>
      <c r="J3610" s="25" t="str">
        <f>IF(OR(E3610="",E3610="!!!",F3610="NEW"),"",COUNTBLANK(OFFSET(A$1,,,SUMPRODUCT(MAX(ROW(E$2:E3610)*(E3610=E$2:E3610)))))-COUNTBLANK(OFFSET(A$1,,,SUMPRODUCT(MAX(ROW(E$1:E3609)*(E2=E$1:E3609))))))</f>
        <v> </v>
      </c>
      <c r="K3610" s="25" t="str">
        <f>IF(OR(E3610="",E3610="!!!",F3610="NEW"),"",INDEX(J$1:J3609,SUMPRODUCT(MAX(ROW(E$1:E3609)*(E3610=E$1:E3609)))))</f>
        <v> </v>
      </c>
      <c r="L3610" s="26"/>
    </row>
    <row r="3611" spans="1:12">
      <c r="A3611" s="20" t="s">
        <v>2174</v>
      </c>
      <c r="E3611" s="21">
        <f>IF(D3611="?OLD","!!!","")</f>
        <v/>
      </c>
      <c r="F3611" s="22" t="str">
        <f>IF(OR(E3611="",E3611="!!!"),"",IF(NOT(ISNA(VLOOKUP(E3611,E$1:E3610,1,FALSE()))),"OLD",IF(AND(E3611&lt;&gt;"",E3611&lt;&gt;"!!!"),"NEW","")))</f>
        <v> </v>
      </c>
      <c r="G3611" s="23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4" t="str">
        <f>IF(J3611&lt;&gt;1,"",IF(I3611="SBJ","CB","?"))</f>
        <v> </v>
      </c>
      <c r="I3611" s="25" t="str">
        <f>IF(OR(E3611="",E3611="!!!",F3611="NEW"),"",INDEX(B3610:B$2,-1+SUMPRODUCT(MAX(ROW(E3610:E$2)*(E3611=E3610:E$2)))))</f>
        <v> </v>
      </c>
      <c r="J3611" s="25" t="str">
        <f>IF(OR(E3611="",E3611="!!!",F3611="NEW"),"",COUNTBLANK(OFFSET(A$1,,,SUMPRODUCT(MAX(ROW(E$2:E3611)*(E3611=E$2:E3611)))))-COUNTBLANK(OFFSET(A$1,,,SUMPRODUCT(MAX(ROW(E$1:E3610)*(E2=E$1:E3610))))))</f>
        <v> </v>
      </c>
      <c r="K3611" s="25" t="str">
        <f>IF(OR(E3611="",E3611="!!!",F3611="NEW"),"",INDEX(J$1:J3610,SUMPRODUCT(MAX(ROW(E$1:E3610)*(E3611=E$1:E3610)))))</f>
        <v> </v>
      </c>
      <c r="L3611" s="26"/>
    </row>
    <row r="3612" spans="1:12">
      <c r="A3612" s="20" t="s">
        <v>1961</v>
      </c>
      <c r="E3612" s="21">
        <f>IF(D3612="?OLD","!!!","")</f>
        <v/>
      </c>
      <c r="F3612" s="22" t="str">
        <f>IF(OR(E3612="",E3612="!!!"),"",IF(NOT(ISNA(VLOOKUP(E3612,E$1:E3611,1,FALSE()))),"OLD",IF(AND(E3612&lt;&gt;"",E3612&lt;&gt;"!!!"),"NEW","")))</f>
        <v> </v>
      </c>
      <c r="G3612" s="23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4" t="str">
        <f>IF(J3612&lt;&gt;1,"",IF(I3612="SBJ","CB","?"))</f>
        <v> </v>
      </c>
      <c r="I3612" s="25" t="str">
        <f>IF(OR(E3612="",E3612="!!!",F3612="NEW"),"",INDEX(B3611:B$2,-1+SUMPRODUCT(MAX(ROW(E3611:E$2)*(E3612=E3611:E$2)))))</f>
        <v> </v>
      </c>
      <c r="J3612" s="25" t="str">
        <f>IF(OR(E3612="",E3612="!!!",F3612="NEW"),"",COUNTBLANK(OFFSET(A$1,,,SUMPRODUCT(MAX(ROW(E$2:E3612)*(E3612=E$2:E3612)))))-COUNTBLANK(OFFSET(A$1,,,SUMPRODUCT(MAX(ROW(E$1:E3611)*(E2=E$1:E3611))))))</f>
        <v> </v>
      </c>
      <c r="K3612" s="25" t="str">
        <f>IF(OR(E3612="",E3612="!!!",F3612="NEW"),"",INDEX(J$1:J3611,SUMPRODUCT(MAX(ROW(E$1:E3611)*(E3612=E$1:E3611)))))</f>
        <v> </v>
      </c>
      <c r="L3612" s="26"/>
    </row>
    <row r="3613" spans="1:12">
      <c r="A3613" s="20" t="s">
        <v>2320</v>
      </c>
      <c r="E3613" s="21">
        <f>IF(D3613="?OLD","!!!","")</f>
        <v/>
      </c>
      <c r="F3613" s="22" t="str">
        <f>IF(OR(E3613="",E3613="!!!"),"",IF(NOT(ISNA(VLOOKUP(E3613,E$1:E3612,1,FALSE()))),"OLD",IF(AND(E3613&lt;&gt;"",E3613&lt;&gt;"!!!"),"NEW","")))</f>
        <v> </v>
      </c>
      <c r="G3613" s="23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4" t="str">
        <f>IF(J3613&lt;&gt;1,"",IF(I3613="SBJ","CB","?"))</f>
        <v> </v>
      </c>
      <c r="I3613" s="25" t="str">
        <f>IF(OR(E3613="",E3613="!!!",F3613="NEW"),"",INDEX(B3612:B$2,-1+SUMPRODUCT(MAX(ROW(E3612:E$2)*(E3613=E3612:E$2)))))</f>
        <v> </v>
      </c>
      <c r="J3613" s="25" t="str">
        <f>IF(OR(E3613="",E3613="!!!",F3613="NEW"),"",COUNTBLANK(OFFSET(A$1,,,SUMPRODUCT(MAX(ROW(E$2:E3613)*(E3613=E$2:E3613)))))-COUNTBLANK(OFFSET(A$1,,,SUMPRODUCT(MAX(ROW(E$1:E3612)*(E2=E$1:E3612))))))</f>
        <v> </v>
      </c>
      <c r="K3613" s="25" t="str">
        <f>IF(OR(E3613="",E3613="!!!",F3613="NEW"),"",INDEX(J$1:J3612,SUMPRODUCT(MAX(ROW(E$1:E3612)*(E3613=E$1:E3612)))))</f>
        <v> </v>
      </c>
      <c r="L3613" s="26"/>
    </row>
    <row r="3614" spans="1:12">
      <c r="A3614" s="20" t="s">
        <v>860</v>
      </c>
      <c r="E3614" s="21">
        <f>IF(D3614="?OLD","!!!","")</f>
        <v/>
      </c>
      <c r="F3614" s="22" t="str">
        <f>IF(OR(E3614="",E3614="!!!"),"",IF(NOT(ISNA(VLOOKUP(E3614,E$1:E3613,1,FALSE()))),"OLD",IF(AND(E3614&lt;&gt;"",E3614&lt;&gt;"!!!"),"NEW","")))</f>
        <v> </v>
      </c>
      <c r="G3614" s="23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4" t="str">
        <f>IF(J3614&lt;&gt;1,"",IF(I3614="SBJ","CB","?"))</f>
        <v> </v>
      </c>
      <c r="I3614" s="25" t="str">
        <f>IF(OR(E3614="",E3614="!!!",F3614="NEW"),"",INDEX(B3613:B$2,-1+SUMPRODUCT(MAX(ROW(E3613:E$2)*(E3614=E3613:E$2)))))</f>
        <v> </v>
      </c>
      <c r="J3614" s="25" t="str">
        <f>IF(OR(E3614="",E3614="!!!",F3614="NEW"),"",COUNTBLANK(OFFSET(A$1,,,SUMPRODUCT(MAX(ROW(E$2:E3614)*(E3614=E$2:E3614)))))-COUNTBLANK(OFFSET(A$1,,,SUMPRODUCT(MAX(ROW(E$1:E3613)*(E2=E$1:E3613))))))</f>
        <v> </v>
      </c>
      <c r="K3614" s="25" t="str">
        <f>IF(OR(E3614="",E3614="!!!",F3614="NEW"),"",INDEX(J$1:J3613,SUMPRODUCT(MAX(ROW(E$1:E3613)*(E3614=E$1:E3613)))))</f>
        <v> </v>
      </c>
      <c r="L3614" s="26"/>
    </row>
    <row r="3615" spans="1:12">
      <c r="A3615" s="20" t="s">
        <v>872</v>
      </c>
      <c r="B3615" s="27" t="s">
        <v>857</v>
      </c>
      <c r="C3615" s="27" t="s">
        <v>800</v>
      </c>
      <c r="D3615" s="27" t="s">
        <v>801</v>
      </c>
      <c r="E3615" s="21">
        <f>IF(D3615="?OLD","!!!","")</f>
        <v/>
      </c>
      <c r="F3615" s="22" t="str">
        <f>IF(OR(E3615="",E3615="!!!"),"",IF(NOT(ISNA(VLOOKUP(E3615,E$1:E3614,1,FALSE()))),"OLD",IF(AND(E3615&lt;&gt;"",E3615&lt;&gt;"!!!"),"NEW","")))</f>
        <v> </v>
      </c>
      <c r="G3615" s="23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4" t="str">
        <f>IF(J3615&lt;&gt;1,"",IF(I3615="SBJ","CB","?"))</f>
        <v> </v>
      </c>
      <c r="I3615" s="25" t="str">
        <f>IF(OR(E3615="",E3615="!!!",F3615="NEW"),"",INDEX(B3614:B$2,-1+SUMPRODUCT(MAX(ROW(E3614:E$2)*(E3615=E3614:E$2)))))</f>
        <v> </v>
      </c>
      <c r="J3615" s="25" t="str">
        <f>IF(OR(E3615="",E3615="!!!",F3615="NEW"),"",COUNTBLANK(OFFSET(A$1,,,SUMPRODUCT(MAX(ROW(E$2:E3615)*(E3615=E$2:E3615)))))-COUNTBLANK(OFFSET(A$1,,,SUMPRODUCT(MAX(ROW(E$1:E3614)*(E2=E$1:E3614))))))</f>
        <v> </v>
      </c>
      <c r="K3615" s="25" t="str">
        <f>IF(OR(E3615="",E3615="!!!",F3615="NEW"),"",INDEX(J$1:J3614,SUMPRODUCT(MAX(ROW(E$1:E3614)*(E3615=E$1:E3614)))))</f>
        <v> </v>
      </c>
      <c r="L3615" s="26"/>
    </row>
    <row r="3616" spans="1:12">
      <c r="A3616" s="20" t="s">
        <v>795</v>
      </c>
      <c r="E3616" s="21">
        <f>IF(D3616="?OLD","!!!","")</f>
        <v/>
      </c>
      <c r="F3616" s="22" t="str">
        <f>IF(OR(E3616="",E3616="!!!"),"",IF(NOT(ISNA(VLOOKUP(E3616,E$1:E3615,1,FALSE()))),"OLD",IF(AND(E3616&lt;&gt;"",E3616&lt;&gt;"!!!"),"NEW","")))</f>
        <v> </v>
      </c>
      <c r="G3616" s="23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4" t="str">
        <f>IF(J3616&lt;&gt;1,"",IF(I3616="SBJ","CB","?"))</f>
        <v> </v>
      </c>
      <c r="I3616" s="25" t="str">
        <f>IF(OR(E3616="",E3616="!!!",F3616="NEW"),"",INDEX(B3615:B$2,-1+SUMPRODUCT(MAX(ROW(E3615:E$2)*(E3616=E3615:E$2)))))</f>
        <v> </v>
      </c>
      <c r="J3616" s="25" t="str">
        <f>IF(OR(E3616="",E3616="!!!",F3616="NEW"),"",COUNTBLANK(OFFSET(A$1,,,SUMPRODUCT(MAX(ROW(E$2:E3616)*(E3616=E$2:E3616)))))-COUNTBLANK(OFFSET(A$1,,,SUMPRODUCT(MAX(ROW(E$1:E3615)*(E2=E$1:E3615))))))</f>
        <v> </v>
      </c>
      <c r="K3616" s="25" t="str">
        <f>IF(OR(E3616="",E3616="!!!",F3616="NEW"),"",INDEX(J$1:J3615,SUMPRODUCT(MAX(ROW(E$1:E3615)*(E3616=E$1:E3615)))))</f>
        <v> </v>
      </c>
      <c r="L3616" s="26"/>
    </row>
    <row r="3617" spans="1:12">
      <c r="A3617" s="20" t="s">
        <v>822</v>
      </c>
      <c r="E3617" s="21">
        <f>IF(D3617="?OLD","!!!","")</f>
        <v/>
      </c>
      <c r="F3617" s="22" t="str">
        <f>IF(OR(E3617="",E3617="!!!"),"",IF(NOT(ISNA(VLOOKUP(E3617,E$1:E3616,1,FALSE()))),"OLD",IF(AND(E3617&lt;&gt;"",E3617&lt;&gt;"!!!"),"NEW","")))</f>
        <v> </v>
      </c>
      <c r="G3617" s="23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4" t="str">
        <f>IF(J3617&lt;&gt;1,"",IF(I3617="SBJ","CB","?"))</f>
        <v> </v>
      </c>
      <c r="I3617" s="25" t="str">
        <f>IF(OR(E3617="",E3617="!!!",F3617="NEW"),"",INDEX(B3616:B$2,-1+SUMPRODUCT(MAX(ROW(E3616:E$2)*(E3617=E3616:E$2)))))</f>
        <v> </v>
      </c>
      <c r="J3617" s="25" t="str">
        <f>IF(OR(E3617="",E3617="!!!",F3617="NEW"),"",COUNTBLANK(OFFSET(A$1,,,SUMPRODUCT(MAX(ROW(E$2:E3617)*(E3617=E$2:E3617)))))-COUNTBLANK(OFFSET(A$1,,,SUMPRODUCT(MAX(ROW(E$1:E3616)*(E2=E$1:E3616))))))</f>
        <v> </v>
      </c>
      <c r="K3617" s="25" t="str">
        <f>IF(OR(E3617="",E3617="!!!",F3617="NEW"),"",INDEX(J$1:J3616,SUMPRODUCT(MAX(ROW(E$1:E3616)*(E3617=E$1:E3616)))))</f>
        <v> </v>
      </c>
      <c r="L3617" s="26"/>
    </row>
    <row r="3618" spans="1:12">
      <c r="A3618" s="20" t="s">
        <v>1989</v>
      </c>
      <c r="E3618" s="21">
        <f>IF(D3618="?OLD","!!!","")</f>
        <v/>
      </c>
      <c r="F3618" s="22" t="str">
        <f>IF(OR(E3618="",E3618="!!!"),"",IF(NOT(ISNA(VLOOKUP(E3618,E$1:E3617,1,FALSE()))),"OLD",IF(AND(E3618&lt;&gt;"",E3618&lt;&gt;"!!!"),"NEW","")))</f>
        <v> </v>
      </c>
      <c r="G3618" s="23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4" t="str">
        <f>IF(J3618&lt;&gt;1,"",IF(I3618="SBJ","CB","?"))</f>
        <v> </v>
      </c>
      <c r="I3618" s="25" t="str">
        <f>IF(OR(E3618="",E3618="!!!",F3618="NEW"),"",INDEX(B3617:B$2,-1+SUMPRODUCT(MAX(ROW(E3617:E$2)*(E3618=E3617:E$2)))))</f>
        <v> </v>
      </c>
      <c r="J3618" s="25" t="str">
        <f>IF(OR(E3618="",E3618="!!!",F3618="NEW"),"",COUNTBLANK(OFFSET(A$1,,,SUMPRODUCT(MAX(ROW(E$2:E3618)*(E3618=E$2:E3618)))))-COUNTBLANK(OFFSET(A$1,,,SUMPRODUCT(MAX(ROW(E$1:E3617)*(E2=E$1:E3617))))))</f>
        <v> </v>
      </c>
      <c r="K3618" s="25" t="str">
        <f>IF(OR(E3618="",E3618="!!!",F3618="NEW"),"",INDEX(J$1:J3617,SUMPRODUCT(MAX(ROW(E$1:E3617)*(E3618=E$1:E3617)))))</f>
        <v> </v>
      </c>
      <c r="L3618" s="26"/>
    </row>
    <row r="3619" spans="1:12">
      <c r="A3619" s="20" t="s">
        <v>1570</v>
      </c>
      <c r="E3619" s="21">
        <f>IF(D3619="?OLD","!!!","")</f>
        <v/>
      </c>
      <c r="F3619" s="22" t="str">
        <f>IF(OR(E3619="",E3619="!!!"),"",IF(NOT(ISNA(VLOOKUP(E3619,E$1:E3618,1,FALSE()))),"OLD",IF(AND(E3619&lt;&gt;"",E3619&lt;&gt;"!!!"),"NEW","")))</f>
        <v> </v>
      </c>
      <c r="G3619" s="23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4" t="str">
        <f>IF(J3619&lt;&gt;1,"",IF(I3619="SBJ","CB","?"))</f>
        <v> </v>
      </c>
      <c r="I3619" s="25" t="str">
        <f>IF(OR(E3619="",E3619="!!!",F3619="NEW"),"",INDEX(B3618:B$2,-1+SUMPRODUCT(MAX(ROW(E3618:E$2)*(E3619=E3618:E$2)))))</f>
        <v> </v>
      </c>
      <c r="J3619" s="25" t="str">
        <f>IF(OR(E3619="",E3619="!!!",F3619="NEW"),"",COUNTBLANK(OFFSET(A$1,,,SUMPRODUCT(MAX(ROW(E$2:E3619)*(E3619=E$2:E3619)))))-COUNTBLANK(OFFSET(A$1,,,SUMPRODUCT(MAX(ROW(E$1:E3618)*(E2=E$1:E3618))))))</f>
        <v> </v>
      </c>
      <c r="K3619" s="25" t="str">
        <f>IF(OR(E3619="",E3619="!!!",F3619="NEW"),"",INDEX(J$1:J3618,SUMPRODUCT(MAX(ROW(E$1:E3618)*(E3619=E$1:E3618)))))</f>
        <v> </v>
      </c>
      <c r="L3619" s="26"/>
    </row>
    <row r="3620" spans="1:12">
      <c r="A3620" s="20" t="s">
        <v>2080</v>
      </c>
      <c r="E3620" s="21">
        <f>IF(D3620="?OLD","!!!","")</f>
        <v/>
      </c>
      <c r="F3620" s="22" t="str">
        <f>IF(OR(E3620="",E3620="!!!"),"",IF(NOT(ISNA(VLOOKUP(E3620,E$1:E3619,1,FALSE()))),"OLD",IF(AND(E3620&lt;&gt;"",E3620&lt;&gt;"!!!"),"NEW","")))</f>
        <v> </v>
      </c>
      <c r="G3620" s="23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4" t="str">
        <f>IF(J3620&lt;&gt;1,"",IF(I3620="SBJ","CB","?"))</f>
        <v> </v>
      </c>
      <c r="I3620" s="25" t="str">
        <f>IF(OR(E3620="",E3620="!!!",F3620="NEW"),"",INDEX(B3619:B$2,-1+SUMPRODUCT(MAX(ROW(E3619:E$2)*(E3620=E3619:E$2)))))</f>
        <v> </v>
      </c>
      <c r="J3620" s="25" t="str">
        <f>IF(OR(E3620="",E3620="!!!",F3620="NEW"),"",COUNTBLANK(OFFSET(A$1,,,SUMPRODUCT(MAX(ROW(E$2:E3620)*(E3620=E$2:E3620)))))-COUNTBLANK(OFFSET(A$1,,,SUMPRODUCT(MAX(ROW(E$1:E3619)*(E2=E$1:E3619))))))</f>
        <v> </v>
      </c>
      <c r="K3620" s="25" t="str">
        <f>IF(OR(E3620="",E3620="!!!",F3620="NEW"),"",INDEX(J$1:J3619,SUMPRODUCT(MAX(ROW(E$1:E3619)*(E3620=E$1:E3619)))))</f>
        <v> </v>
      </c>
      <c r="L3620" s="26"/>
    </row>
    <row r="3621" spans="1:12">
      <c r="A3621" s="20" t="s">
        <v>1191</v>
      </c>
      <c r="B3621" s="27" t="s">
        <v>943</v>
      </c>
      <c r="C3621" s="27" t="s">
        <v>855</v>
      </c>
      <c r="D3621" s="27" t="s">
        <v>801</v>
      </c>
      <c r="E3621" s="21">
        <f>IF(D3621="?OLD","!!!","")</f>
        <v/>
      </c>
      <c r="F3621" s="22" t="str">
        <f>IF(OR(E3621="",E3621="!!!"),"",IF(NOT(ISNA(VLOOKUP(E3621,E$1:E3620,1,FALSE()))),"OLD",IF(AND(E3621&lt;&gt;"",E3621&lt;&gt;"!!!"),"NEW","")))</f>
        <v> </v>
      </c>
      <c r="G3621" s="23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4" t="str">
        <f>IF(J3621&lt;&gt;1,"",IF(I3621="SBJ","CB","?"))</f>
        <v> </v>
      </c>
      <c r="I3621" s="25" t="str">
        <f>IF(OR(E3621="",E3621="!!!",F3621="NEW"),"",INDEX(B3620:B$2,-1+SUMPRODUCT(MAX(ROW(E3620:E$2)*(E3621=E3620:E$2)))))</f>
        <v> </v>
      </c>
      <c r="J3621" s="25" t="str">
        <f>IF(OR(E3621="",E3621="!!!",F3621="NEW"),"",COUNTBLANK(OFFSET(A$1,,,SUMPRODUCT(MAX(ROW(E$2:E3621)*(E3621=E$2:E3621)))))-COUNTBLANK(OFFSET(A$1,,,SUMPRODUCT(MAX(ROW(E$1:E3620)*(E2=E$1:E3620))))))</f>
        <v> </v>
      </c>
      <c r="K3621" s="25" t="str">
        <f>IF(OR(E3621="",E3621="!!!",F3621="NEW"),"",INDEX(J$1:J3620,SUMPRODUCT(MAX(ROW(E$1:E3620)*(E3621=E$1:E3620)))))</f>
        <v> </v>
      </c>
      <c r="L3621" s="26"/>
    </row>
    <row r="3622" spans="1:12">
      <c r="A3622" s="20" t="s">
        <v>837</v>
      </c>
      <c r="E3622" s="21">
        <f>IF(D3622="?OLD","!!!","")</f>
        <v/>
      </c>
      <c r="F3622" s="22" t="str">
        <f>IF(OR(E3622="",E3622="!!!"),"",IF(NOT(ISNA(VLOOKUP(E3622,E$1:E3621,1,FALSE()))),"OLD",IF(AND(E3622&lt;&gt;"",E3622&lt;&gt;"!!!"),"NEW","")))</f>
        <v> </v>
      </c>
      <c r="G3622" s="23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4" t="str">
        <f>IF(J3622&lt;&gt;1,"",IF(I3622="SBJ","CB","?"))</f>
        <v> </v>
      </c>
      <c r="I3622" s="25" t="str">
        <f>IF(OR(E3622="",E3622="!!!",F3622="NEW"),"",INDEX(B3621:B$2,-1+SUMPRODUCT(MAX(ROW(E3621:E$2)*(E3622=E3621:E$2)))))</f>
        <v> </v>
      </c>
      <c r="J3622" s="25" t="str">
        <f>IF(OR(E3622="",E3622="!!!",F3622="NEW"),"",COUNTBLANK(OFFSET(A$1,,,SUMPRODUCT(MAX(ROW(E$2:E3622)*(E3622=E$2:E3622)))))-COUNTBLANK(OFFSET(A$1,,,SUMPRODUCT(MAX(ROW(E$1:E3621)*(E2=E$1:E3621))))))</f>
        <v> </v>
      </c>
      <c r="K3622" s="25" t="str">
        <f>IF(OR(E3622="",E3622="!!!",F3622="NEW"),"",INDEX(J$1:J3621,SUMPRODUCT(MAX(ROW(E$1:E3621)*(E3622=E$1:E3621)))))</f>
        <v> </v>
      </c>
      <c r="L3622" s="26"/>
    </row>
    <row r="3623" spans="1:12">
      <c r="A3623" s="20" t="s">
        <v>872</v>
      </c>
      <c r="B3623" s="27" t="s">
        <v>829</v>
      </c>
      <c r="C3623" s="27" t="s">
        <v>800</v>
      </c>
      <c r="D3623" s="27" t="s">
        <v>801</v>
      </c>
      <c r="E3623" s="21">
        <f>IF(D3623="?OLD","!!!","")</f>
        <v/>
      </c>
      <c r="F3623" s="22" t="str">
        <f>IF(OR(E3623="",E3623="!!!"),"",IF(NOT(ISNA(VLOOKUP(E3623,E$1:E3622,1,FALSE()))),"OLD",IF(AND(E3623&lt;&gt;"",E3623&lt;&gt;"!!!"),"NEW","")))</f>
        <v> </v>
      </c>
      <c r="G3623" s="23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4" t="str">
        <f>IF(J3623&lt;&gt;1,"",IF(I3623="SBJ","CB","?"))</f>
        <v> </v>
      </c>
      <c r="I3623" s="25" t="str">
        <f>IF(OR(E3623="",E3623="!!!",F3623="NEW"),"",INDEX(B3622:B$2,-1+SUMPRODUCT(MAX(ROW(E3622:E$2)*(E3623=E3622:E$2)))))</f>
        <v> </v>
      </c>
      <c r="J3623" s="25" t="str">
        <f>IF(OR(E3623="",E3623="!!!",F3623="NEW"),"",COUNTBLANK(OFFSET(A$1,,,SUMPRODUCT(MAX(ROW(E$2:E3623)*(E3623=E$2:E3623)))))-COUNTBLANK(OFFSET(A$1,,,SUMPRODUCT(MAX(ROW(E$1:E3622)*(E2=E$1:E3622))))))</f>
        <v> </v>
      </c>
      <c r="K3623" s="25" t="str">
        <f>IF(OR(E3623="",E3623="!!!",F3623="NEW"),"",INDEX(J$1:J3622,SUMPRODUCT(MAX(ROW(E$1:E3622)*(E3623=E$1:E3622)))))</f>
        <v> </v>
      </c>
      <c r="L3623" s="26"/>
    </row>
    <row r="3624" spans="1:12">
      <c r="A3624" s="20" t="s">
        <v>795</v>
      </c>
      <c r="E3624" s="21">
        <f>IF(D3624="?OLD","!!!","")</f>
        <v/>
      </c>
      <c r="F3624" s="22" t="str">
        <f>IF(OR(E3624="",E3624="!!!"),"",IF(NOT(ISNA(VLOOKUP(E3624,E$1:E3623,1,FALSE()))),"OLD",IF(AND(E3624&lt;&gt;"",E3624&lt;&gt;"!!!"),"NEW","")))</f>
        <v> </v>
      </c>
      <c r="G3624" s="23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4" t="str">
        <f>IF(J3624&lt;&gt;1,"",IF(I3624="SBJ","CB","?"))</f>
        <v> </v>
      </c>
      <c r="I3624" s="25" t="str">
        <f>IF(OR(E3624="",E3624="!!!",F3624="NEW"),"",INDEX(B3623:B$2,-1+SUMPRODUCT(MAX(ROW(E3623:E$2)*(E3624=E3623:E$2)))))</f>
        <v> </v>
      </c>
      <c r="J3624" s="25" t="str">
        <f>IF(OR(E3624="",E3624="!!!",F3624="NEW"),"",COUNTBLANK(OFFSET(A$1,,,SUMPRODUCT(MAX(ROW(E$2:E3624)*(E3624=E$2:E3624)))))-COUNTBLANK(OFFSET(A$1,,,SUMPRODUCT(MAX(ROW(E$1:E3623)*(E2=E$1:E3623))))))</f>
        <v> </v>
      </c>
      <c r="K3624" s="25" t="str">
        <f>IF(OR(E3624="",E3624="!!!",F3624="NEW"),"",INDEX(J$1:J3623,SUMPRODUCT(MAX(ROW(E$1:E3623)*(E3624=E$1:E3623)))))</f>
        <v> </v>
      </c>
      <c r="L3624" s="26"/>
    </row>
    <row r="3625" spans="1:12">
      <c r="A3625" s="20" t="s">
        <v>877</v>
      </c>
      <c r="E3625" s="21">
        <f>IF(D3625="?OLD","!!!","")</f>
        <v/>
      </c>
      <c r="F3625" s="22" t="str">
        <f>IF(OR(E3625="",E3625="!!!"),"",IF(NOT(ISNA(VLOOKUP(E3625,E$1:E3624,1,FALSE()))),"OLD",IF(AND(E3625&lt;&gt;"",E3625&lt;&gt;"!!!"),"NEW","")))</f>
        <v> </v>
      </c>
      <c r="G3625" s="23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4" t="str">
        <f>IF(J3625&lt;&gt;1,"",IF(I3625="SBJ","CB","?"))</f>
        <v> </v>
      </c>
      <c r="I3625" s="25" t="str">
        <f>IF(OR(E3625="",E3625="!!!",F3625="NEW"),"",INDEX(B3624:B$2,-1+SUMPRODUCT(MAX(ROW(E3624:E$2)*(E3625=E3624:E$2)))))</f>
        <v> </v>
      </c>
      <c r="J3625" s="25" t="str">
        <f>IF(OR(E3625="",E3625="!!!",F3625="NEW"),"",COUNTBLANK(OFFSET(A$1,,,SUMPRODUCT(MAX(ROW(E$2:E3625)*(E3625=E$2:E3625)))))-COUNTBLANK(OFFSET(A$1,,,SUMPRODUCT(MAX(ROW(E$1:E3624)*(E2=E$1:E3624))))))</f>
        <v> </v>
      </c>
      <c r="K3625" s="25" t="str">
        <f>IF(OR(E3625="",E3625="!!!",F3625="NEW"),"",INDEX(J$1:J3624,SUMPRODUCT(MAX(ROW(E$1:E3624)*(E3625=E$1:E3624)))))</f>
        <v> </v>
      </c>
      <c r="L3625" s="26"/>
    </row>
    <row r="3626" spans="1:12">
      <c r="A3626" s="20" t="s">
        <v>1194</v>
      </c>
      <c r="B3626" s="27" t="s">
        <v>1477</v>
      </c>
      <c r="C3626" s="27" t="s">
        <v>816</v>
      </c>
      <c r="D3626" s="27" t="s">
        <v>801</v>
      </c>
      <c r="E3626" s="21">
        <f>IF(D3626="?OLD","!!!","")</f>
        <v/>
      </c>
      <c r="F3626" s="22" t="str">
        <f>IF(OR(E3626="",E3626="!!!"),"",IF(NOT(ISNA(VLOOKUP(E3626,E$1:E3625,1,FALSE()))),"OLD",IF(AND(E3626&lt;&gt;"",E3626&lt;&gt;"!!!"),"NEW","")))</f>
        <v> </v>
      </c>
      <c r="G3626" s="23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4" t="str">
        <f>IF(J3626&lt;&gt;1,"",IF(I3626="SBJ","CB","?"))</f>
        <v> </v>
      </c>
      <c r="I3626" s="25" t="str">
        <f>IF(OR(E3626="",E3626="!!!",F3626="NEW"),"",INDEX(B3625:B$2,-1+SUMPRODUCT(MAX(ROW(E3625:E$2)*(E3626=E3625:E$2)))))</f>
        <v> </v>
      </c>
      <c r="J3626" s="25" t="str">
        <f>IF(OR(E3626="",E3626="!!!",F3626="NEW"),"",COUNTBLANK(OFFSET(A$1,,,SUMPRODUCT(MAX(ROW(E$2:E3626)*(E3626=E$2:E3626)))))-COUNTBLANK(OFFSET(A$1,,,SUMPRODUCT(MAX(ROW(E$1:E3625)*(E2=E$1:E3625))))))</f>
        <v> </v>
      </c>
      <c r="K3626" s="25" t="str">
        <f>IF(OR(E3626="",E3626="!!!",F3626="NEW"),"",INDEX(J$1:J3625,SUMPRODUCT(MAX(ROW(E$1:E3625)*(E3626=E$1:E3625)))))</f>
        <v> </v>
      </c>
      <c r="L3626" s="26"/>
    </row>
    <row r="3627" spans="1:12">
      <c r="A3627" s="20" t="s">
        <v>1214</v>
      </c>
      <c r="B3627" s="27" t="s">
        <v>881</v>
      </c>
      <c r="C3627" s="27" t="s">
        <v>855</v>
      </c>
      <c r="D3627" s="27" t="s">
        <v>801</v>
      </c>
      <c r="E3627" s="21">
        <f>IF(D3627="?OLD","!!!","")</f>
        <v/>
      </c>
      <c r="F3627" s="22" t="str">
        <f>IF(OR(E3627="",E3627="!!!"),"",IF(NOT(ISNA(VLOOKUP(E3627,E$1:E3626,1,FALSE()))),"OLD",IF(AND(E3627&lt;&gt;"",E3627&lt;&gt;"!!!"),"NEW","")))</f>
        <v> </v>
      </c>
      <c r="G3627" s="23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4" t="str">
        <f>IF(J3627&lt;&gt;1,"",IF(I3627="SBJ","CB","?"))</f>
        <v> </v>
      </c>
      <c r="I3627" s="25" t="str">
        <f>IF(OR(E3627="",E3627="!!!",F3627="NEW"),"",INDEX(B3626:B$2,-1+SUMPRODUCT(MAX(ROW(E3626:E$2)*(E3627=E3626:E$2)))))</f>
        <v> </v>
      </c>
      <c r="J3627" s="25" t="str">
        <f>IF(OR(E3627="",E3627="!!!",F3627="NEW"),"",COUNTBLANK(OFFSET(A$1,,,SUMPRODUCT(MAX(ROW(E$2:E3627)*(E3627=E$2:E3627)))))-COUNTBLANK(OFFSET(A$1,,,SUMPRODUCT(MAX(ROW(E$1:E3626)*(E2=E$1:E3626))))))</f>
        <v> </v>
      </c>
      <c r="K3627" s="25" t="str">
        <f>IF(OR(E3627="",E3627="!!!",F3627="NEW"),"",INDEX(J$1:J3626,SUMPRODUCT(MAX(ROW(E$1:E3626)*(E3627=E$1:E3626)))))</f>
        <v> </v>
      </c>
      <c r="L3627" s="26"/>
    </row>
    <row r="3628" spans="1:12">
      <c r="A3628" s="20" t="s">
        <v>906</v>
      </c>
      <c r="E3628" s="21">
        <f>IF(D3628="?OLD","!!!","")</f>
        <v/>
      </c>
      <c r="F3628" s="22" t="str">
        <f>IF(OR(E3628="",E3628="!!!"),"",IF(NOT(ISNA(VLOOKUP(E3628,E$1:E3627,1,FALSE()))),"OLD",IF(AND(E3628&lt;&gt;"",E3628&lt;&gt;"!!!"),"NEW","")))</f>
        <v> </v>
      </c>
      <c r="G3628" s="23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4" t="str">
        <f>IF(J3628&lt;&gt;1,"",IF(I3628="SBJ","CB","?"))</f>
        <v> </v>
      </c>
      <c r="I3628" s="25" t="str">
        <f>IF(OR(E3628="",E3628="!!!",F3628="NEW"),"",INDEX(B3627:B$2,-1+SUMPRODUCT(MAX(ROW(E3627:E$2)*(E3628=E3627:E$2)))))</f>
        <v> </v>
      </c>
      <c r="J3628" s="25" t="str">
        <f>IF(OR(E3628="",E3628="!!!",F3628="NEW"),"",COUNTBLANK(OFFSET(A$1,,,SUMPRODUCT(MAX(ROW(E$2:E3628)*(E3628=E$2:E3628)))))-COUNTBLANK(OFFSET(A$1,,,SUMPRODUCT(MAX(ROW(E$1:E3627)*(E2=E$1:E3627))))))</f>
        <v> </v>
      </c>
      <c r="K3628" s="25" t="str">
        <f>IF(OR(E3628="",E3628="!!!",F3628="NEW"),"",INDEX(J$1:J3627,SUMPRODUCT(MAX(ROW(E$1:E3627)*(E3628=E$1:E3627)))))</f>
        <v> </v>
      </c>
      <c r="L3628" s="26"/>
    </row>
    <row r="3629" spans="1:12">
      <c r="A3629" s="20" t="s">
        <v>2321</v>
      </c>
      <c r="E3629" s="21">
        <f>IF(D3629="?OLD","!!!","")</f>
        <v/>
      </c>
      <c r="F3629" s="22" t="str">
        <f>IF(OR(E3629="",E3629="!!!"),"",IF(NOT(ISNA(VLOOKUP(E3629,E$1:E3628,1,FALSE()))),"OLD",IF(AND(E3629&lt;&gt;"",E3629&lt;&gt;"!!!"),"NEW","")))</f>
        <v> </v>
      </c>
      <c r="G3629" s="23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4" t="str">
        <f>IF(J3629&lt;&gt;1,"",IF(I3629="SBJ","CB","?"))</f>
        <v> </v>
      </c>
      <c r="I3629" s="25" t="str">
        <f>IF(OR(E3629="",E3629="!!!",F3629="NEW"),"",INDEX(B3628:B$2,-1+SUMPRODUCT(MAX(ROW(E3628:E$2)*(E3629=E3628:E$2)))))</f>
        <v> </v>
      </c>
      <c r="J3629" s="25" t="str">
        <f>IF(OR(E3629="",E3629="!!!",F3629="NEW"),"",COUNTBLANK(OFFSET(A$1,,,SUMPRODUCT(MAX(ROW(E$2:E3629)*(E3629=E$2:E3629)))))-COUNTBLANK(OFFSET(A$1,,,SUMPRODUCT(MAX(ROW(E$1:E3628)*(E2=E$1:E3628))))))</f>
        <v> </v>
      </c>
      <c r="K3629" s="25" t="str">
        <f>IF(OR(E3629="",E3629="!!!",F3629="NEW"),"",INDEX(J$1:J3628,SUMPRODUCT(MAX(ROW(E$1:E3628)*(E3629=E$1:E3628)))))</f>
        <v> </v>
      </c>
      <c r="L3629" s="26"/>
    </row>
    <row r="3630" spans="1:12">
      <c r="A3630" s="20" t="s">
        <v>825</v>
      </c>
      <c r="E3630" s="21">
        <f>IF(D3630="?OLD","!!!","")</f>
        <v/>
      </c>
      <c r="F3630" s="22" t="str">
        <f>IF(OR(E3630="",E3630="!!!"),"",IF(NOT(ISNA(VLOOKUP(E3630,E$1:E3629,1,FALSE()))),"OLD",IF(AND(E3630&lt;&gt;"",E3630&lt;&gt;"!!!"),"NEW","")))</f>
        <v> </v>
      </c>
      <c r="G3630" s="23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4" t="str">
        <f>IF(J3630&lt;&gt;1,"",IF(I3630="SBJ","CB","?"))</f>
        <v> </v>
      </c>
      <c r="I3630" s="25" t="str">
        <f>IF(OR(E3630="",E3630="!!!",F3630="NEW"),"",INDEX(B3629:B$2,-1+SUMPRODUCT(MAX(ROW(E3629:E$2)*(E3630=E3629:E$2)))))</f>
        <v> </v>
      </c>
      <c r="J3630" s="25" t="str">
        <f>IF(OR(E3630="",E3630="!!!",F3630="NEW"),"",COUNTBLANK(OFFSET(A$1,,,SUMPRODUCT(MAX(ROW(E$2:E3630)*(E3630=E$2:E3630)))))-COUNTBLANK(OFFSET(A$1,,,SUMPRODUCT(MAX(ROW(E$1:E3629)*(E2=E$1:E3629))))))</f>
        <v> </v>
      </c>
      <c r="K3630" s="25" t="str">
        <f>IF(OR(E3630="",E3630="!!!",F3630="NEW"),"",INDEX(J$1:J3629,SUMPRODUCT(MAX(ROW(E$1:E3629)*(E3630=E$1:E3629)))))</f>
        <v> </v>
      </c>
      <c r="L3630" s="26"/>
    </row>
    <row r="3631" spans="1:12">
      <c r="A3631" s="20" t="s">
        <v>935</v>
      </c>
      <c r="B3631" s="27" t="s">
        <v>1099</v>
      </c>
      <c r="C3631" s="27" t="s">
        <v>816</v>
      </c>
      <c r="D3631" s="27" t="s">
        <v>801</v>
      </c>
      <c r="E3631" s="21">
        <f>IF(D3631="?OLD","!!!","")</f>
        <v/>
      </c>
      <c r="F3631" s="22" t="str">
        <f>IF(OR(E3631="",E3631="!!!"),"",IF(NOT(ISNA(VLOOKUP(E3631,E$1:E3630,1,FALSE()))),"OLD",IF(AND(E3631&lt;&gt;"",E3631&lt;&gt;"!!!"),"NEW","")))</f>
        <v> </v>
      </c>
      <c r="G3631" s="23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4" t="str">
        <f>IF(J3631&lt;&gt;1,"",IF(I3631="SBJ","CB","?"))</f>
        <v> </v>
      </c>
      <c r="I3631" s="25" t="str">
        <f>IF(OR(E3631="",E3631="!!!",F3631="NEW"),"",INDEX(B3630:B$2,-1+SUMPRODUCT(MAX(ROW(E3630:E$2)*(E3631=E3630:E$2)))))</f>
        <v> </v>
      </c>
      <c r="J3631" s="25" t="str">
        <f>IF(OR(E3631="",E3631="!!!",F3631="NEW"),"",COUNTBLANK(OFFSET(A$1,,,SUMPRODUCT(MAX(ROW(E$2:E3631)*(E3631=E$2:E3631)))))-COUNTBLANK(OFFSET(A$1,,,SUMPRODUCT(MAX(ROW(E$1:E3630)*(E2=E$1:E3630))))))</f>
        <v> </v>
      </c>
      <c r="K3631" s="25" t="str">
        <f>IF(OR(E3631="",E3631="!!!",F3631="NEW"),"",INDEX(J$1:J3630,SUMPRODUCT(MAX(ROW(E$1:E3630)*(E3631=E$1:E3630)))))</f>
        <v> </v>
      </c>
      <c r="L3631" s="26"/>
    </row>
    <row r="3632" spans="1:12">
      <c r="A3632" s="20" t="s">
        <v>817</v>
      </c>
      <c r="E3632" s="21">
        <f>IF(D3632="?OLD","!!!","")</f>
        <v/>
      </c>
      <c r="F3632" s="22" t="str">
        <f>IF(OR(E3632="",E3632="!!!"),"",IF(NOT(ISNA(VLOOKUP(E3632,E$1:E3631,1,FALSE()))),"OLD",IF(AND(E3632&lt;&gt;"",E3632&lt;&gt;"!!!"),"NEW","")))</f>
        <v> </v>
      </c>
      <c r="G3632" s="23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4" t="str">
        <f>IF(J3632&lt;&gt;1,"",IF(I3632="SBJ","CB","?"))</f>
        <v> </v>
      </c>
      <c r="I3632" s="25" t="str">
        <f>IF(OR(E3632="",E3632="!!!",F3632="NEW"),"",INDEX(B3631:B$2,-1+SUMPRODUCT(MAX(ROW(E3631:E$2)*(E3632=E3631:E$2)))))</f>
        <v> </v>
      </c>
      <c r="J3632" s="25" t="str">
        <f>IF(OR(E3632="",E3632="!!!",F3632="NEW"),"",COUNTBLANK(OFFSET(A$1,,,SUMPRODUCT(MAX(ROW(E$2:E3632)*(E3632=E$2:E3632)))))-COUNTBLANK(OFFSET(A$1,,,SUMPRODUCT(MAX(ROW(E$1:E3631)*(E2=E$1:E3631))))))</f>
        <v> </v>
      </c>
      <c r="K3632" s="25" t="str">
        <f>IF(OR(E3632="",E3632="!!!",F3632="NEW"),"",INDEX(J$1:J3631,SUMPRODUCT(MAX(ROW(E$1:E3631)*(E3632=E$1:E3631)))))</f>
        <v> </v>
      </c>
      <c r="L3632" s="26"/>
    </row>
    <row r="3633" spans="1:12">
      <c r="A3633" s="20" t="s">
        <v>2056</v>
      </c>
      <c r="E3633" s="21">
        <f>IF(D3633="?OLD","!!!","")</f>
        <v/>
      </c>
      <c r="F3633" s="22" t="str">
        <f>IF(OR(E3633="",E3633="!!!"),"",IF(NOT(ISNA(VLOOKUP(E3633,E$1:E3632,1,FALSE()))),"OLD",IF(AND(E3633&lt;&gt;"",E3633&lt;&gt;"!!!"),"NEW","")))</f>
        <v> </v>
      </c>
      <c r="G3633" s="23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4" t="str">
        <f>IF(J3633&lt;&gt;1,"",IF(I3633="SBJ","CB","?"))</f>
        <v> </v>
      </c>
      <c r="I3633" s="25" t="str">
        <f>IF(OR(E3633="",E3633="!!!",F3633="NEW"),"",INDEX(B3632:B$2,-1+SUMPRODUCT(MAX(ROW(E3632:E$2)*(E3633=E3632:E$2)))))</f>
        <v> </v>
      </c>
      <c r="J3633" s="25" t="str">
        <f>IF(OR(E3633="",E3633="!!!",F3633="NEW"),"",COUNTBLANK(OFFSET(A$1,,,SUMPRODUCT(MAX(ROW(E$2:E3633)*(E3633=E$2:E3633)))))-COUNTBLANK(OFFSET(A$1,,,SUMPRODUCT(MAX(ROW(E$1:E3632)*(E2=E$1:E3632))))))</f>
        <v> </v>
      </c>
      <c r="K3633" s="25" t="str">
        <f>IF(OR(E3633="",E3633="!!!",F3633="NEW"),"",INDEX(J$1:J3632,SUMPRODUCT(MAX(ROW(E$1:E3632)*(E3633=E$1:E3632)))))</f>
        <v> </v>
      </c>
      <c r="L3633" s="26"/>
    </row>
    <row r="3634" spans="1:12">
      <c r="A3634" s="20" t="s">
        <v>2322</v>
      </c>
      <c r="E3634" s="21">
        <f>IF(D3634="?OLD","!!!","")</f>
        <v/>
      </c>
      <c r="F3634" s="22" t="str">
        <f>IF(OR(E3634="",E3634="!!!"),"",IF(NOT(ISNA(VLOOKUP(E3634,E$1:E3633,1,FALSE()))),"OLD",IF(AND(E3634&lt;&gt;"",E3634&lt;&gt;"!!!"),"NEW","")))</f>
        <v> </v>
      </c>
      <c r="G3634" s="23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4" t="str">
        <f>IF(J3634&lt;&gt;1,"",IF(I3634="SBJ","CB","?"))</f>
        <v> </v>
      </c>
      <c r="I3634" s="25" t="str">
        <f>IF(OR(E3634="",E3634="!!!",F3634="NEW"),"",INDEX(B3633:B$2,-1+SUMPRODUCT(MAX(ROW(E3633:E$2)*(E3634=E3633:E$2)))))</f>
        <v> </v>
      </c>
      <c r="J3634" s="25" t="str">
        <f>IF(OR(E3634="",E3634="!!!",F3634="NEW"),"",COUNTBLANK(OFFSET(A$1,,,SUMPRODUCT(MAX(ROW(E$2:E3634)*(E3634=E$2:E3634)))))-COUNTBLANK(OFFSET(A$1,,,SUMPRODUCT(MAX(ROW(E$1:E3633)*(E2=E$1:E3633))))))</f>
        <v> </v>
      </c>
      <c r="K3634" s="25" t="str">
        <f>IF(OR(E3634="",E3634="!!!",F3634="NEW"),"",INDEX(J$1:J3633,SUMPRODUCT(MAX(ROW(E$1:E3633)*(E3634=E$1:E3633)))))</f>
        <v> </v>
      </c>
      <c r="L3634" s="26"/>
    </row>
    <row r="3635" spans="1:12">
      <c r="A3635" s="20" t="s">
        <v>1194</v>
      </c>
      <c r="B3635" s="27" t="s">
        <v>1665</v>
      </c>
      <c r="C3635" s="27" t="s">
        <v>896</v>
      </c>
      <c r="D3635" s="27" t="s">
        <v>801</v>
      </c>
      <c r="E3635" s="21">
        <f>IF(D3635="?OLD","!!!","")</f>
        <v/>
      </c>
      <c r="F3635" s="22" t="str">
        <f>IF(OR(E3635="",E3635="!!!"),"",IF(NOT(ISNA(VLOOKUP(E3635,E$1:E3634,1,FALSE()))),"OLD",IF(AND(E3635&lt;&gt;"",E3635&lt;&gt;"!!!"),"NEW","")))</f>
        <v> </v>
      </c>
      <c r="G3635" s="23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4" t="str">
        <f>IF(J3635&lt;&gt;1,"",IF(I3635="SBJ","CB","?"))</f>
        <v> </v>
      </c>
      <c r="I3635" s="25" t="str">
        <f>IF(OR(E3635="",E3635="!!!",F3635="NEW"),"",INDEX(B3634:B$2,-1+SUMPRODUCT(MAX(ROW(E3634:E$2)*(E3635=E3634:E$2)))))</f>
        <v> </v>
      </c>
      <c r="J3635" s="25" t="str">
        <f>IF(OR(E3635="",E3635="!!!",F3635="NEW"),"",COUNTBLANK(OFFSET(A$1,,,SUMPRODUCT(MAX(ROW(E$2:E3635)*(E3635=E$2:E3635)))))-COUNTBLANK(OFFSET(A$1,,,SUMPRODUCT(MAX(ROW(E$1:E3634)*(E2=E$1:E3634))))))</f>
        <v> </v>
      </c>
      <c r="K3635" s="25" t="str">
        <f>IF(OR(E3635="",E3635="!!!",F3635="NEW"),"",INDEX(J$1:J3634,SUMPRODUCT(MAX(ROW(E$1:E3634)*(E3635=E$1:E3634)))))</f>
        <v> </v>
      </c>
      <c r="L3635" s="26"/>
    </row>
    <row r="3636" spans="1:12">
      <c r="A3636" s="20" t="s">
        <v>2323</v>
      </c>
      <c r="B3636" s="27" t="s">
        <v>2125</v>
      </c>
      <c r="E3636" s="21">
        <f>IF(D3636="?OLD","!!!","")</f>
        <v/>
      </c>
      <c r="F3636" s="22" t="str">
        <f>IF(OR(E3636="",E3636="!!!"),"",IF(NOT(ISNA(VLOOKUP(E3636,E$1:E3635,1,FALSE()))),"OLD",IF(AND(E3636&lt;&gt;"",E3636&lt;&gt;"!!!"),"NEW","")))</f>
        <v> </v>
      </c>
      <c r="G3636" s="23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4" t="str">
        <f>IF(J3636&lt;&gt;1,"",IF(I3636="SBJ","CB","?"))</f>
        <v> </v>
      </c>
      <c r="I3636" s="25" t="str">
        <f>IF(OR(E3636="",E3636="!!!",F3636="NEW"),"",INDEX(B3635:B$2,-1+SUMPRODUCT(MAX(ROW(E3635:E$2)*(E3636=E3635:E$2)))))</f>
        <v> </v>
      </c>
      <c r="J3636" s="25" t="str">
        <f>IF(OR(E3636="",E3636="!!!",F3636="NEW"),"",COUNTBLANK(OFFSET(A$1,,,SUMPRODUCT(MAX(ROW(E$2:E3636)*(E3636=E$2:E3636)))))-COUNTBLANK(OFFSET(A$1,,,SUMPRODUCT(MAX(ROW(E$1:E3635)*(E2=E$1:E3635))))))</f>
        <v> </v>
      </c>
      <c r="K3636" s="25" t="str">
        <f>IF(OR(E3636="",E3636="!!!",F3636="NEW"),"",INDEX(J$1:J3635,SUMPRODUCT(MAX(ROW(E$1:E3635)*(E3636=E$1:E3635)))))</f>
        <v> </v>
      </c>
      <c r="L3636" s="26"/>
    </row>
    <row r="3637" spans="1:12">
      <c r="A3637" s="20" t="s">
        <v>803</v>
      </c>
      <c r="E3637" s="21">
        <f>IF(D3637="?OLD","!!!","")</f>
        <v/>
      </c>
      <c r="F3637" s="22" t="str">
        <f>IF(OR(E3637="",E3637="!!!"),"",IF(NOT(ISNA(VLOOKUP(E3637,E$1:E3636,1,FALSE()))),"OLD",IF(AND(E3637&lt;&gt;"",E3637&lt;&gt;"!!!"),"NEW","")))</f>
        <v> </v>
      </c>
      <c r="G3637" s="23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4" t="str">
        <f>IF(J3637&lt;&gt;1,"",IF(I3637="SBJ","CB","?"))</f>
        <v> </v>
      </c>
      <c r="I3637" s="25" t="str">
        <f>IF(OR(E3637="",E3637="!!!",F3637="NEW"),"",INDEX(B3636:B$2,-1+SUMPRODUCT(MAX(ROW(E3636:E$2)*(E3637=E3636:E$2)))))</f>
        <v> </v>
      </c>
      <c r="J3637" s="25" t="str">
        <f>IF(OR(E3637="",E3637="!!!",F3637="NEW"),"",COUNTBLANK(OFFSET(A$1,,,SUMPRODUCT(MAX(ROW(E$2:E3637)*(E3637=E$2:E3637)))))-COUNTBLANK(OFFSET(A$1,,,SUMPRODUCT(MAX(ROW(E$1:E3636)*(E2=E$1:E3636))))))</f>
        <v> </v>
      </c>
      <c r="K3637" s="25" t="str">
        <f>IF(OR(E3637="",E3637="!!!",F3637="NEW"),"",INDEX(J$1:J3636,SUMPRODUCT(MAX(ROW(E$1:E3636)*(E3637=E$1:E3636)))))</f>
        <v> </v>
      </c>
      <c r="L3637" s="26"/>
    </row>
    <row r="3638" spans="1:12">
      <c r="A3638" s="20"/>
    </row>
    <row r="3639" spans="1:12">
      <c r="A3639" s="20" t="s">
        <v>2324</v>
      </c>
    </row>
    <row r="3640" spans="1:12">
      <c r="A3640" s="20" t="s">
        <v>945</v>
      </c>
      <c r="B3640" s="27" t="s">
        <v>799</v>
      </c>
      <c r="C3640" s="27" t="s">
        <v>800</v>
      </c>
      <c r="D3640" s="27" t="s">
        <v>801</v>
      </c>
      <c r="E3640" s="21">
        <f>IF(D3640="?OLD","!!!","")</f>
        <v/>
      </c>
      <c r="F3640" s="22" t="str">
        <f>IF(OR(E3640="",E3640="!!!"),"",IF(NOT(ISNA(VLOOKUP(E3640,E$1:E3639,1,FALSE()))),"OLD",IF(AND(E3640&lt;&gt;"",E3640&lt;&gt;"!!!"),"NEW","")))</f>
        <v> </v>
      </c>
      <c r="G3640" s="23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4" t="str">
        <f>IF(J3640&lt;&gt;1,"",IF(I3640="SBJ","CB","?"))</f>
        <v> </v>
      </c>
      <c r="I3640" s="25" t="str">
        <f>IF(OR(E3640="",E3640="!!!",F3640="NEW"),"",INDEX(B3639:B$2,-1+SUMPRODUCT(MAX(ROW(E3639:E$2)*(E3640=E3639:E$2)))))</f>
        <v> </v>
      </c>
      <c r="J3640" s="25" t="str">
        <f>IF(OR(E3640="",E3640="!!!",F3640="NEW"),"",COUNTBLANK(OFFSET(A$1,,,SUMPRODUCT(MAX(ROW(E$2:E3640)*(E3640=E$2:E3640)))))-COUNTBLANK(OFFSET(A$1,,,SUMPRODUCT(MAX(ROW(E$1:E3639)*(E2=E$1:E3639))))))</f>
        <v> </v>
      </c>
      <c r="K3640" s="25" t="str">
        <f>IF(OR(E3640="",E3640="!!!",F3640="NEW"),"",INDEX(J$1:J3639,SUMPRODUCT(MAX(ROW(E$1:E3639)*(E3640=E$1:E3639)))))</f>
        <v> </v>
      </c>
      <c r="L3640" s="26"/>
    </row>
    <row r="3641" spans="1:12">
      <c r="A3641" s="20" t="s">
        <v>795</v>
      </c>
      <c r="E3641" s="21">
        <f>IF(D3641="?OLD","!!!","")</f>
        <v/>
      </c>
      <c r="F3641" s="22" t="str">
        <f>IF(OR(E3641="",E3641="!!!"),"",IF(NOT(ISNA(VLOOKUP(E3641,E$1:E3640,1,FALSE()))),"OLD",IF(AND(E3641&lt;&gt;"",E3641&lt;&gt;"!!!"),"NEW","")))</f>
        <v> </v>
      </c>
      <c r="G3641" s="23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4" t="str">
        <f>IF(J3641&lt;&gt;1,"",IF(I3641="SBJ","CB","?"))</f>
        <v> </v>
      </c>
      <c r="I3641" s="25" t="str">
        <f>IF(OR(E3641="",E3641="!!!",F3641="NEW"),"",INDEX(B3640:B$2,-1+SUMPRODUCT(MAX(ROW(E3640:E$2)*(E3641=E3640:E$2)))))</f>
        <v> </v>
      </c>
      <c r="J3641" s="25" t="str">
        <f>IF(OR(E3641="",E3641="!!!",F3641="NEW"),"",COUNTBLANK(OFFSET(A$1,,,SUMPRODUCT(MAX(ROW(E$2:E3641)*(E3641=E$2:E3641)))))-COUNTBLANK(OFFSET(A$1,,,SUMPRODUCT(MAX(ROW(E$1:E3640)*(E2=E$1:E3640))))))</f>
        <v> </v>
      </c>
      <c r="K3641" s="25" t="str">
        <f>IF(OR(E3641="",E3641="!!!",F3641="NEW"),"",INDEX(J$1:J3640,SUMPRODUCT(MAX(ROW(E$1:E3640)*(E3641=E$1:E3640)))))</f>
        <v> </v>
      </c>
      <c r="L3641" s="26"/>
    </row>
    <row r="3642" spans="1:12">
      <c r="A3642" s="20" t="s">
        <v>894</v>
      </c>
      <c r="E3642" s="21">
        <f>IF(D3642="?OLD","!!!","")</f>
        <v/>
      </c>
      <c r="F3642" s="22" t="str">
        <f>IF(OR(E3642="",E3642="!!!"),"",IF(NOT(ISNA(VLOOKUP(E3642,E$1:E3641,1,FALSE()))),"OLD",IF(AND(E3642&lt;&gt;"",E3642&lt;&gt;"!!!"),"NEW","")))</f>
        <v> </v>
      </c>
      <c r="G3642" s="23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4" t="str">
        <f>IF(J3642&lt;&gt;1,"",IF(I3642="SBJ","CB","?"))</f>
        <v> </v>
      </c>
      <c r="I3642" s="25" t="str">
        <f>IF(OR(E3642="",E3642="!!!",F3642="NEW"),"",INDEX(B3641:B$2,-1+SUMPRODUCT(MAX(ROW(E3641:E$2)*(E3642=E3641:E$2)))))</f>
        <v> </v>
      </c>
      <c r="J3642" s="25" t="str">
        <f>IF(OR(E3642="",E3642="!!!",F3642="NEW"),"",COUNTBLANK(OFFSET(A$1,,,SUMPRODUCT(MAX(ROW(E$2:E3642)*(E3642=E$2:E3642)))))-COUNTBLANK(OFFSET(A$1,,,SUMPRODUCT(MAX(ROW(E$1:E3641)*(E2=E$1:E3641))))))</f>
        <v> </v>
      </c>
      <c r="K3642" s="25" t="str">
        <f>IF(OR(E3642="",E3642="!!!",F3642="NEW"),"",INDEX(J$1:J3641,SUMPRODUCT(MAX(ROW(E$1:E3641)*(E3642=E$1:E3641)))))</f>
        <v> </v>
      </c>
      <c r="L3642" s="26"/>
    </row>
    <row r="3643" spans="1:12">
      <c r="A3643" s="20" t="s">
        <v>1136</v>
      </c>
      <c r="B3643" s="27" t="s">
        <v>957</v>
      </c>
      <c r="C3643" s="27" t="s">
        <v>879</v>
      </c>
      <c r="E3643" s="21">
        <f>IF(D3643="?OLD","!!!","")</f>
        <v/>
      </c>
      <c r="F3643" s="22" t="str">
        <f>IF(OR(E3643="",E3643="!!!"),"",IF(NOT(ISNA(VLOOKUP(E3643,E$1:E3642,1,FALSE()))),"OLD",IF(AND(E3643&lt;&gt;"",E3643&lt;&gt;"!!!"),"NEW","")))</f>
        <v> </v>
      </c>
      <c r="G3643" s="23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4" t="str">
        <f>IF(J3643&lt;&gt;1,"",IF(I3643="SBJ","CB","?"))</f>
        <v> </v>
      </c>
      <c r="I3643" s="25" t="str">
        <f>IF(OR(E3643="",E3643="!!!",F3643="NEW"),"",INDEX(B3642:B$2,-1+SUMPRODUCT(MAX(ROW(E3642:E$2)*(E3643=E3642:E$2)))))</f>
        <v> </v>
      </c>
      <c r="J3643" s="25" t="str">
        <f>IF(OR(E3643="",E3643="!!!",F3643="NEW"),"",COUNTBLANK(OFFSET(A$1,,,SUMPRODUCT(MAX(ROW(E$2:E3643)*(E3643=E$2:E3643)))))-COUNTBLANK(OFFSET(A$1,,,SUMPRODUCT(MAX(ROW(E$1:E3642)*(E2=E$1:E3642))))))</f>
        <v> </v>
      </c>
      <c r="K3643" s="25" t="str">
        <f>IF(OR(E3643="",E3643="!!!",F3643="NEW"),"",INDEX(J$1:J3642,SUMPRODUCT(MAX(ROW(E$1:E3642)*(E3643=E$1:E3642)))))</f>
        <v> </v>
      </c>
      <c r="L3643" s="26"/>
    </row>
    <row r="3644" spans="1:12">
      <c r="A3644" s="20" t="s">
        <v>845</v>
      </c>
      <c r="B3644" s="27" t="s">
        <v>1156</v>
      </c>
      <c r="C3644" s="27" t="s">
        <v>816</v>
      </c>
      <c r="D3644" s="27" t="s">
        <v>801</v>
      </c>
      <c r="E3644" s="21">
        <f>IF(D3644="?OLD","!!!","")</f>
        <v/>
      </c>
      <c r="F3644" s="22" t="str">
        <f>IF(OR(E3644="",E3644="!!!"),"",IF(NOT(ISNA(VLOOKUP(E3644,E$1:E3643,1,FALSE()))),"OLD",IF(AND(E3644&lt;&gt;"",E3644&lt;&gt;"!!!"),"NEW","")))</f>
        <v> </v>
      </c>
      <c r="G3644" s="23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4" t="str">
        <f>IF(J3644&lt;&gt;1,"",IF(I3644="SBJ","CB","?"))</f>
        <v> </v>
      </c>
      <c r="I3644" s="25" t="str">
        <f>IF(OR(E3644="",E3644="!!!",F3644="NEW"),"",INDEX(B3643:B$2,-1+SUMPRODUCT(MAX(ROW(E3643:E$2)*(E3644=E3643:E$2)))))</f>
        <v> </v>
      </c>
      <c r="J3644" s="25" t="str">
        <f>IF(OR(E3644="",E3644="!!!",F3644="NEW"),"",COUNTBLANK(OFFSET(A$1,,,SUMPRODUCT(MAX(ROW(E$2:E3644)*(E3644=E$2:E3644)))))-COUNTBLANK(OFFSET(A$1,,,SUMPRODUCT(MAX(ROW(E$1:E3643)*(E2=E$1:E3643))))))</f>
        <v> </v>
      </c>
      <c r="K3644" s="25" t="str">
        <f>IF(OR(E3644="",E3644="!!!",F3644="NEW"),"",INDEX(J$1:J3643,SUMPRODUCT(MAX(ROW(E$1:E3643)*(E3644=E$1:E3643)))))</f>
        <v> </v>
      </c>
      <c r="L3644" s="26"/>
    </row>
    <row r="3645" spans="1:12">
      <c r="A3645" s="20" t="s">
        <v>2325</v>
      </c>
      <c r="E3645" s="21">
        <f>IF(D3645="?OLD","!!!","")</f>
        <v/>
      </c>
      <c r="F3645" s="22" t="str">
        <f>IF(OR(E3645="",E3645="!!!"),"",IF(NOT(ISNA(VLOOKUP(E3645,E$1:E3644,1,FALSE()))),"OLD",IF(AND(E3645&lt;&gt;"",E3645&lt;&gt;"!!!"),"NEW","")))</f>
        <v> </v>
      </c>
      <c r="G3645" s="23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4" t="str">
        <f>IF(J3645&lt;&gt;1,"",IF(I3645="SBJ","CB","?"))</f>
        <v> </v>
      </c>
      <c r="I3645" s="25" t="str">
        <f>IF(OR(E3645="",E3645="!!!",F3645="NEW"),"",INDEX(B3644:B$2,-1+SUMPRODUCT(MAX(ROW(E3644:E$2)*(E3645=E3644:E$2)))))</f>
        <v> </v>
      </c>
      <c r="J3645" s="25" t="str">
        <f>IF(OR(E3645="",E3645="!!!",F3645="NEW"),"",COUNTBLANK(OFFSET(A$1,,,SUMPRODUCT(MAX(ROW(E$2:E3645)*(E3645=E$2:E3645)))))-COUNTBLANK(OFFSET(A$1,,,SUMPRODUCT(MAX(ROW(E$1:E3644)*(E2=E$1:E3644))))))</f>
        <v> </v>
      </c>
      <c r="K3645" s="25" t="str">
        <f>IF(OR(E3645="",E3645="!!!",F3645="NEW"),"",INDEX(J$1:J3644,SUMPRODUCT(MAX(ROW(E$1:E3644)*(E3645=E$1:E3644)))))</f>
        <v> </v>
      </c>
      <c r="L3645" s="26"/>
    </row>
    <row r="3646" spans="1:12">
      <c r="A3646" s="20" t="s">
        <v>2326</v>
      </c>
      <c r="E3646" s="21">
        <f>IF(D3646="?OLD","!!!","")</f>
        <v/>
      </c>
      <c r="F3646" s="22" t="str">
        <f>IF(OR(E3646="",E3646="!!!"),"",IF(NOT(ISNA(VLOOKUP(E3646,E$1:E3645,1,FALSE()))),"OLD",IF(AND(E3646&lt;&gt;"",E3646&lt;&gt;"!!!"),"NEW","")))</f>
        <v> </v>
      </c>
      <c r="G3646" s="23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4" t="str">
        <f>IF(J3646&lt;&gt;1,"",IF(I3646="SBJ","CB","?"))</f>
        <v> </v>
      </c>
      <c r="I3646" s="25" t="str">
        <f>IF(OR(E3646="",E3646="!!!",F3646="NEW"),"",INDEX(B3645:B$2,-1+SUMPRODUCT(MAX(ROW(E3645:E$2)*(E3646=E3645:E$2)))))</f>
        <v> </v>
      </c>
      <c r="J3646" s="25" t="str">
        <f>IF(OR(E3646="",E3646="!!!",F3646="NEW"),"",COUNTBLANK(OFFSET(A$1,,,SUMPRODUCT(MAX(ROW(E$2:E3646)*(E3646=E$2:E3646)))))-COUNTBLANK(OFFSET(A$1,,,SUMPRODUCT(MAX(ROW(E$1:E3645)*(E2=E$1:E3645))))))</f>
        <v> </v>
      </c>
      <c r="K3646" s="25" t="str">
        <f>IF(OR(E3646="",E3646="!!!",F3646="NEW"),"",INDEX(J$1:J3645,SUMPRODUCT(MAX(ROW(E$1:E3645)*(E3646=E$1:E3645)))))</f>
        <v> </v>
      </c>
      <c r="L3646" s="26"/>
    </row>
    <row r="3647" spans="1:12">
      <c r="A3647" s="20" t="s">
        <v>797</v>
      </c>
      <c r="E3647" s="21">
        <f>IF(D3647="?OLD","!!!","")</f>
        <v/>
      </c>
      <c r="F3647" s="22" t="str">
        <f>IF(OR(E3647="",E3647="!!!"),"",IF(NOT(ISNA(VLOOKUP(E3647,E$1:E3646,1,FALSE()))),"OLD",IF(AND(E3647&lt;&gt;"",E3647&lt;&gt;"!!!"),"NEW","")))</f>
        <v> </v>
      </c>
      <c r="G3647" s="23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4" t="str">
        <f>IF(J3647&lt;&gt;1,"",IF(I3647="SBJ","CB","?"))</f>
        <v> </v>
      </c>
      <c r="I3647" s="25" t="str">
        <f>IF(OR(E3647="",E3647="!!!",F3647="NEW"),"",INDEX(B3646:B$2,-1+SUMPRODUCT(MAX(ROW(E3646:E$2)*(E3647=E3646:E$2)))))</f>
        <v> </v>
      </c>
      <c r="J3647" s="25" t="str">
        <f>IF(OR(E3647="",E3647="!!!",F3647="NEW"),"",COUNTBLANK(OFFSET(A$1,,,SUMPRODUCT(MAX(ROW(E$2:E3647)*(E3647=E$2:E3647)))))-COUNTBLANK(OFFSET(A$1,,,SUMPRODUCT(MAX(ROW(E$1:E3646)*(E2=E$1:E3646))))))</f>
        <v> </v>
      </c>
      <c r="K3647" s="25" t="str">
        <f>IF(OR(E3647="",E3647="!!!",F3647="NEW"),"",INDEX(J$1:J3646,SUMPRODUCT(MAX(ROW(E$1:E3646)*(E3647=E$1:E3646)))))</f>
        <v> </v>
      </c>
      <c r="L3647" s="26"/>
    </row>
    <row r="3648" spans="1:12">
      <c r="A3648" s="20" t="s">
        <v>798</v>
      </c>
      <c r="B3648" s="27" t="s">
        <v>799</v>
      </c>
      <c r="C3648" s="27" t="s">
        <v>800</v>
      </c>
      <c r="D3648" s="27" t="s">
        <v>801</v>
      </c>
      <c r="E3648" s="21">
        <f>IF(D3648="?OLD","!!!","")</f>
        <v/>
      </c>
      <c r="F3648" s="22" t="str">
        <f>IF(OR(E3648="",E3648="!!!"),"",IF(NOT(ISNA(VLOOKUP(E3648,E$1:E3647,1,FALSE()))),"OLD",IF(AND(E3648&lt;&gt;"",E3648&lt;&gt;"!!!"),"NEW","")))</f>
        <v> </v>
      </c>
      <c r="G3648" s="23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4" t="str">
        <f>IF(J3648&lt;&gt;1,"",IF(I3648="SBJ","CB","?"))</f>
        <v> </v>
      </c>
      <c r="I3648" s="25" t="str">
        <f>IF(OR(E3648="",E3648="!!!",F3648="NEW"),"",INDEX(B3647:B$2,-1+SUMPRODUCT(MAX(ROW(E3647:E$2)*(E3648=E3647:E$2)))))</f>
        <v> </v>
      </c>
      <c r="J3648" s="25" t="str">
        <f>IF(OR(E3648="",E3648="!!!",F3648="NEW"),"",COUNTBLANK(OFFSET(A$1,,,SUMPRODUCT(MAX(ROW(E$2:E3648)*(E3648=E$2:E3648)))))-COUNTBLANK(OFFSET(A$1,,,SUMPRODUCT(MAX(ROW(E$1:E3647)*(E2=E$1:E3647))))))</f>
        <v> </v>
      </c>
      <c r="K3648" s="25" t="str">
        <f>IF(OR(E3648="",E3648="!!!",F3648="NEW"),"",INDEX(J$1:J3647,SUMPRODUCT(MAX(ROW(E$1:E3647)*(E3648=E$1:E3647)))))</f>
        <v> </v>
      </c>
      <c r="L3648" s="26"/>
    </row>
    <row r="3649" spans="1:12">
      <c r="A3649" s="20" t="s">
        <v>721</v>
      </c>
      <c r="E3649" s="21">
        <f>IF(D3649="?OLD","!!!","")</f>
        <v/>
      </c>
      <c r="F3649" s="22" t="str">
        <f>IF(OR(E3649="",E3649="!!!"),"",IF(NOT(ISNA(VLOOKUP(E3649,E$1:E3648,1,FALSE()))),"OLD",IF(AND(E3649&lt;&gt;"",E3649&lt;&gt;"!!!"),"NEW","")))</f>
        <v> </v>
      </c>
      <c r="G3649" s="23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4" t="str">
        <f>IF(J3649&lt;&gt;1,"",IF(I3649="SBJ","CB","?"))</f>
        <v> </v>
      </c>
      <c r="I3649" s="25" t="str">
        <f>IF(OR(E3649="",E3649="!!!",F3649="NEW"),"",INDEX(B3648:B$2,-1+SUMPRODUCT(MAX(ROW(E3648:E$2)*(E3649=E3648:E$2)))))</f>
        <v> </v>
      </c>
      <c r="J3649" s="25" t="str">
        <f>IF(OR(E3649="",E3649="!!!",F3649="NEW"),"",COUNTBLANK(OFFSET(A$1,,,SUMPRODUCT(MAX(ROW(E$2:E3649)*(E3649=E$2:E3649)))))-COUNTBLANK(OFFSET(A$1,,,SUMPRODUCT(MAX(ROW(E$1:E3648)*(E2=E$1:E3648))))))</f>
        <v> </v>
      </c>
      <c r="K3649" s="25" t="str">
        <f>IF(OR(E3649="",E3649="!!!",F3649="NEW"),"",INDEX(J$1:J3648,SUMPRODUCT(MAX(ROW(E$1:E3648)*(E3649=E$1:E3648)))))</f>
        <v> </v>
      </c>
      <c r="L3649" s="26"/>
    </row>
    <row r="3650" spans="1:12">
      <c r="A3650" s="20" t="s">
        <v>795</v>
      </c>
      <c r="E3650" s="21">
        <f>IF(D3650="?OLD","!!!","")</f>
        <v/>
      </c>
      <c r="F3650" s="22" t="str">
        <f>IF(OR(E3650="",E3650="!!!"),"",IF(NOT(ISNA(VLOOKUP(E3650,E$1:E3649,1,FALSE()))),"OLD",IF(AND(E3650&lt;&gt;"",E3650&lt;&gt;"!!!"),"NEW","")))</f>
        <v> </v>
      </c>
      <c r="G3650" s="23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4" t="str">
        <f>IF(J3650&lt;&gt;1,"",IF(I3650="SBJ","CB","?"))</f>
        <v> </v>
      </c>
      <c r="I3650" s="25" t="str">
        <f>IF(OR(E3650="",E3650="!!!",F3650="NEW"),"",INDEX(B3649:B$2,-1+SUMPRODUCT(MAX(ROW(E3649:E$2)*(E3650=E3649:E$2)))))</f>
        <v> </v>
      </c>
      <c r="J3650" s="25" t="str">
        <f>IF(OR(E3650="",E3650="!!!",F3650="NEW"),"",COUNTBLANK(OFFSET(A$1,,,SUMPRODUCT(MAX(ROW(E$2:E3650)*(E3650=E$2:E3650)))))-COUNTBLANK(OFFSET(A$1,,,SUMPRODUCT(MAX(ROW(E$1:E3649)*(E2=E$1:E3649))))))</f>
        <v> </v>
      </c>
      <c r="K3650" s="25" t="str">
        <f>IF(OR(E3650="",E3650="!!!",F3650="NEW"),"",INDEX(J$1:J3649,SUMPRODUCT(MAX(ROW(E$1:E3649)*(E3650=E$1:E3649)))))</f>
        <v> </v>
      </c>
      <c r="L3650" s="26"/>
    </row>
    <row r="3651" spans="1:12">
      <c r="A3651" s="20" t="s">
        <v>825</v>
      </c>
      <c r="E3651" s="21">
        <f>IF(D3651="?OLD","!!!","")</f>
        <v/>
      </c>
      <c r="F3651" s="22" t="str">
        <f>IF(OR(E3651="",E3651="!!!"),"",IF(NOT(ISNA(VLOOKUP(E3651,E$1:E3650,1,FALSE()))),"OLD",IF(AND(E3651&lt;&gt;"",E3651&lt;&gt;"!!!"),"NEW","")))</f>
        <v> </v>
      </c>
      <c r="G3651" s="23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4" t="str">
        <f>IF(J3651&lt;&gt;1,"",IF(I3651="SBJ","CB","?"))</f>
        <v> </v>
      </c>
      <c r="I3651" s="25" t="str">
        <f>IF(OR(E3651="",E3651="!!!",F3651="NEW"),"",INDEX(B3650:B$2,-1+SUMPRODUCT(MAX(ROW(E3650:E$2)*(E3651=E3650:E$2)))))</f>
        <v> </v>
      </c>
      <c r="J3651" s="25" t="str">
        <f>IF(OR(E3651="",E3651="!!!",F3651="NEW"),"",COUNTBLANK(OFFSET(A$1,,,SUMPRODUCT(MAX(ROW(E$2:E3651)*(E3651=E$2:E3651)))))-COUNTBLANK(OFFSET(A$1,,,SUMPRODUCT(MAX(ROW(E$1:E3650)*(E2=E$1:E3650))))))</f>
        <v> </v>
      </c>
      <c r="K3651" s="25" t="str">
        <f>IF(OR(E3651="",E3651="!!!",F3651="NEW"),"",INDEX(J$1:J3650,SUMPRODUCT(MAX(ROW(E$1:E3650)*(E3651=E$1:E3650)))))</f>
        <v> </v>
      </c>
      <c r="L3651" s="26"/>
    </row>
    <row r="3652" spans="1:12">
      <c r="A3652" s="20" t="s">
        <v>822</v>
      </c>
      <c r="E3652" s="21">
        <f>IF(D3652="?OLD","!!!","")</f>
        <v/>
      </c>
      <c r="F3652" s="22" t="str">
        <f>IF(OR(E3652="",E3652="!!!"),"",IF(NOT(ISNA(VLOOKUP(E3652,E$1:E3651,1,FALSE()))),"OLD",IF(AND(E3652&lt;&gt;"",E3652&lt;&gt;"!!!"),"NEW","")))</f>
        <v> </v>
      </c>
      <c r="G3652" s="23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4" t="str">
        <f>IF(J3652&lt;&gt;1,"",IF(I3652="SBJ","CB","?"))</f>
        <v> </v>
      </c>
      <c r="I3652" s="25" t="str">
        <f>IF(OR(E3652="",E3652="!!!",F3652="NEW"),"",INDEX(B3651:B$2,-1+SUMPRODUCT(MAX(ROW(E3651:E$2)*(E3652=E3651:E$2)))))</f>
        <v> </v>
      </c>
      <c r="J3652" s="25" t="str">
        <f>IF(OR(E3652="",E3652="!!!",F3652="NEW"),"",COUNTBLANK(OFFSET(A$1,,,SUMPRODUCT(MAX(ROW(E$2:E3652)*(E3652=E$2:E3652)))))-COUNTBLANK(OFFSET(A$1,,,SUMPRODUCT(MAX(ROW(E$1:E3651)*(E2=E$1:E3651))))))</f>
        <v> </v>
      </c>
      <c r="K3652" s="25" t="str">
        <f>IF(OR(E3652="",E3652="!!!",F3652="NEW"),"",INDEX(J$1:J3651,SUMPRODUCT(MAX(ROW(E$1:E3651)*(E3652=E$1:E3651)))))</f>
        <v> </v>
      </c>
      <c r="L3652" s="26"/>
    </row>
    <row r="3653" spans="1:12">
      <c r="A3653" s="20" t="s">
        <v>1161</v>
      </c>
      <c r="E3653" s="21">
        <f>IF(D3653="?OLD","!!!","")</f>
        <v/>
      </c>
      <c r="F3653" s="22" t="str">
        <f>IF(OR(E3653="",E3653="!!!"),"",IF(NOT(ISNA(VLOOKUP(E3653,E$1:E3652,1,FALSE()))),"OLD",IF(AND(E3653&lt;&gt;"",E3653&lt;&gt;"!!!"),"NEW","")))</f>
        <v> </v>
      </c>
      <c r="G3653" s="23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4" t="str">
        <f>IF(J3653&lt;&gt;1,"",IF(I3653="SBJ","CB","?"))</f>
        <v> </v>
      </c>
      <c r="I3653" s="25" t="str">
        <f>IF(OR(E3653="",E3653="!!!",F3653="NEW"),"",INDEX(B3652:B$2,-1+SUMPRODUCT(MAX(ROW(E3652:E$2)*(E3653=E3652:E$2)))))</f>
        <v> </v>
      </c>
      <c r="J3653" s="25" t="str">
        <f>IF(OR(E3653="",E3653="!!!",F3653="NEW"),"",COUNTBLANK(OFFSET(A$1,,,SUMPRODUCT(MAX(ROW(E$2:E3653)*(E3653=E$2:E3653)))))-COUNTBLANK(OFFSET(A$1,,,SUMPRODUCT(MAX(ROW(E$1:E3652)*(E2=E$1:E3652))))))</f>
        <v> </v>
      </c>
      <c r="K3653" s="25" t="str">
        <f>IF(OR(E3653="",E3653="!!!",F3653="NEW"),"",INDEX(J$1:J3652,SUMPRODUCT(MAX(ROW(E$1:E3652)*(E3653=E$1:E3652)))))</f>
        <v> </v>
      </c>
      <c r="L3653" s="26"/>
    </row>
    <row r="3654" spans="1:12">
      <c r="A3654" s="20" t="s">
        <v>1191</v>
      </c>
      <c r="B3654" s="27" t="s">
        <v>849</v>
      </c>
      <c r="C3654" s="27" t="s">
        <v>843</v>
      </c>
      <c r="E3654" s="21">
        <f>IF(D3654="?OLD","!!!","")</f>
        <v/>
      </c>
      <c r="F3654" s="22" t="str">
        <f>IF(OR(E3654="",E3654="!!!"),"",IF(NOT(ISNA(VLOOKUP(E3654,E$1:E3653,1,FALSE()))),"OLD",IF(AND(E3654&lt;&gt;"",E3654&lt;&gt;"!!!"),"NEW","")))</f>
        <v> </v>
      </c>
      <c r="G3654" s="23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4" t="str">
        <f>IF(J3654&lt;&gt;1,"",IF(I3654="SBJ","CB","?"))</f>
        <v> </v>
      </c>
      <c r="I3654" s="25" t="str">
        <f>IF(OR(E3654="",E3654="!!!",F3654="NEW"),"",INDEX(B3653:B$2,-1+SUMPRODUCT(MAX(ROW(E3653:E$2)*(E3654=E3653:E$2)))))</f>
        <v> </v>
      </c>
      <c r="J3654" s="25" t="str">
        <f>IF(OR(E3654="",E3654="!!!",F3654="NEW"),"",COUNTBLANK(OFFSET(A$1,,,SUMPRODUCT(MAX(ROW(E$2:E3654)*(E3654=E$2:E3654)))))-COUNTBLANK(OFFSET(A$1,,,SUMPRODUCT(MAX(ROW(E$1:E3653)*(E2=E$1:E3653))))))</f>
        <v> </v>
      </c>
      <c r="K3654" s="25" t="str">
        <f>IF(OR(E3654="",E3654="!!!",F3654="NEW"),"",INDEX(J$1:J3653,SUMPRODUCT(MAX(ROW(E$1:E3653)*(E3654=E$1:E3653)))))</f>
        <v> </v>
      </c>
      <c r="L3654" s="26"/>
    </row>
    <row r="3655" spans="1:12">
      <c r="A3655" s="20" t="s">
        <v>894</v>
      </c>
      <c r="E3655" s="21">
        <f>IF(D3655="?OLD","!!!","")</f>
        <v/>
      </c>
      <c r="F3655" s="22" t="str">
        <f>IF(OR(E3655="",E3655="!!!"),"",IF(NOT(ISNA(VLOOKUP(E3655,E$1:E3654,1,FALSE()))),"OLD",IF(AND(E3655&lt;&gt;"",E3655&lt;&gt;"!!!"),"NEW","")))</f>
        <v> </v>
      </c>
      <c r="G3655" s="23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4" t="str">
        <f>IF(J3655&lt;&gt;1,"",IF(I3655="SBJ","CB","?"))</f>
        <v> </v>
      </c>
      <c r="I3655" s="25" t="str">
        <f>IF(OR(E3655="",E3655="!!!",F3655="NEW"),"",INDEX(B3654:B$2,-1+SUMPRODUCT(MAX(ROW(E3654:E$2)*(E3655=E3654:E$2)))))</f>
        <v> </v>
      </c>
      <c r="J3655" s="25" t="str">
        <f>IF(OR(E3655="",E3655="!!!",F3655="NEW"),"",COUNTBLANK(OFFSET(A$1,,,SUMPRODUCT(MAX(ROW(E$2:E3655)*(E3655=E$2:E3655)))))-COUNTBLANK(OFFSET(A$1,,,SUMPRODUCT(MAX(ROW(E$1:E3654)*(E2=E$1:E3654))))))</f>
        <v> </v>
      </c>
      <c r="K3655" s="25" t="str">
        <f>IF(OR(E3655="",E3655="!!!",F3655="NEW"),"",INDEX(J$1:J3654,SUMPRODUCT(MAX(ROW(E$1:E3654)*(E3655=E$1:E3654)))))</f>
        <v> </v>
      </c>
      <c r="L3655" s="26"/>
    </row>
    <row r="3656" spans="1:12">
      <c r="A3656" s="20" t="s">
        <v>2327</v>
      </c>
      <c r="E3656" s="21">
        <f>IF(D3656="?OLD","!!!","")</f>
        <v/>
      </c>
      <c r="F3656" s="22" t="str">
        <f>IF(OR(E3656="",E3656="!!!"),"",IF(NOT(ISNA(VLOOKUP(E3656,E$1:E3655,1,FALSE()))),"OLD",IF(AND(E3656&lt;&gt;"",E3656&lt;&gt;"!!!"),"NEW","")))</f>
        <v> </v>
      </c>
      <c r="G3656" s="23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4" t="str">
        <f>IF(J3656&lt;&gt;1,"",IF(I3656="SBJ","CB","?"))</f>
        <v> </v>
      </c>
      <c r="I3656" s="25" t="str">
        <f>IF(OR(E3656="",E3656="!!!",F3656="NEW"),"",INDEX(B3655:B$2,-1+SUMPRODUCT(MAX(ROW(E3655:E$2)*(E3656=E3655:E$2)))))</f>
        <v> </v>
      </c>
      <c r="J3656" s="25" t="str">
        <f>IF(OR(E3656="",E3656="!!!",F3656="NEW"),"",COUNTBLANK(OFFSET(A$1,,,SUMPRODUCT(MAX(ROW(E$2:E3656)*(E3656=E$2:E3656)))))-COUNTBLANK(OFFSET(A$1,,,SUMPRODUCT(MAX(ROW(E$1:E3655)*(E2=E$1:E3655))))))</f>
        <v> </v>
      </c>
      <c r="K3656" s="25" t="str">
        <f>IF(OR(E3656="",E3656="!!!",F3656="NEW"),"",INDEX(J$1:J3655,SUMPRODUCT(MAX(ROW(E$1:E3655)*(E3656=E$1:E3655)))))</f>
        <v> </v>
      </c>
      <c r="L3656" s="26"/>
    </row>
    <row r="3657" spans="1:12">
      <c r="A3657" s="20" t="s">
        <v>1685</v>
      </c>
      <c r="E3657" s="21">
        <f>IF(D3657="?OLD","!!!","")</f>
        <v/>
      </c>
      <c r="F3657" s="22" t="str">
        <f>IF(OR(E3657="",E3657="!!!"),"",IF(NOT(ISNA(VLOOKUP(E3657,E$1:E3656,1,FALSE()))),"OLD",IF(AND(E3657&lt;&gt;"",E3657&lt;&gt;"!!!"),"NEW","")))</f>
        <v> </v>
      </c>
      <c r="G3657" s="23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4" t="str">
        <f>IF(J3657&lt;&gt;1,"",IF(I3657="SBJ","CB","?"))</f>
        <v> </v>
      </c>
      <c r="I3657" s="25" t="str">
        <f>IF(OR(E3657="",E3657="!!!",F3657="NEW"),"",INDEX(B3656:B$2,-1+SUMPRODUCT(MAX(ROW(E3656:E$2)*(E3657=E3656:E$2)))))</f>
        <v> </v>
      </c>
      <c r="J3657" s="25" t="str">
        <f>IF(OR(E3657="",E3657="!!!",F3657="NEW"),"",COUNTBLANK(OFFSET(A$1,,,SUMPRODUCT(MAX(ROW(E$2:E3657)*(E3657=E$2:E3657)))))-COUNTBLANK(OFFSET(A$1,,,SUMPRODUCT(MAX(ROW(E$1:E3656)*(E2=E$1:E3656))))))</f>
        <v> </v>
      </c>
      <c r="K3657" s="25" t="str">
        <f>IF(OR(E3657="",E3657="!!!",F3657="NEW"),"",INDEX(J$1:J3656,SUMPRODUCT(MAX(ROW(E$1:E3656)*(E3657=E$1:E3656)))))</f>
        <v> </v>
      </c>
      <c r="L3657" s="26"/>
    </row>
    <row r="3658" spans="1:12">
      <c r="A3658" s="20" t="s">
        <v>935</v>
      </c>
      <c r="B3658" s="27" t="s">
        <v>849</v>
      </c>
      <c r="C3658" s="27" t="s">
        <v>816</v>
      </c>
      <c r="D3658" s="27" t="s">
        <v>801</v>
      </c>
      <c r="E3658" s="21">
        <f>IF(D3658="?OLD","!!!","")</f>
        <v/>
      </c>
      <c r="F3658" s="22" t="str">
        <f>IF(OR(E3658="",E3658="!!!"),"",IF(NOT(ISNA(VLOOKUP(E3658,E$1:E3657,1,FALSE()))),"OLD",IF(AND(E3658&lt;&gt;"",E3658&lt;&gt;"!!!"),"NEW","")))</f>
        <v> </v>
      </c>
      <c r="G3658" s="23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4" t="str">
        <f>IF(J3658&lt;&gt;1,"",IF(I3658="SBJ","CB","?"))</f>
        <v> </v>
      </c>
      <c r="I3658" s="25" t="str">
        <f>IF(OR(E3658="",E3658="!!!",F3658="NEW"),"",INDEX(B3657:B$2,-1+SUMPRODUCT(MAX(ROW(E3657:E$2)*(E3658=E3657:E$2)))))</f>
        <v> </v>
      </c>
      <c r="J3658" s="25" t="str">
        <f>IF(OR(E3658="",E3658="!!!",F3658="NEW"),"",COUNTBLANK(OFFSET(A$1,,,SUMPRODUCT(MAX(ROW(E$2:E3658)*(E3658=E$2:E3658)))))-COUNTBLANK(OFFSET(A$1,,,SUMPRODUCT(MAX(ROW(E$1:E3657)*(E2=E$1:E3657))))))</f>
        <v> </v>
      </c>
      <c r="K3658" s="25" t="str">
        <f>IF(OR(E3658="",E3658="!!!",F3658="NEW"),"",INDEX(J$1:J3657,SUMPRODUCT(MAX(ROW(E$1:E3657)*(E3658=E$1:E3657)))))</f>
        <v> </v>
      </c>
      <c r="L3658" s="26"/>
    </row>
    <row r="3659" spans="1:12">
      <c r="A3659" s="20" t="s">
        <v>1316</v>
      </c>
      <c r="E3659" s="21">
        <f>IF(D3659="?OLD","!!!","")</f>
        <v/>
      </c>
      <c r="F3659" s="22" t="str">
        <f>IF(OR(E3659="",E3659="!!!"),"",IF(NOT(ISNA(VLOOKUP(E3659,E$1:E3658,1,FALSE()))),"OLD",IF(AND(E3659&lt;&gt;"",E3659&lt;&gt;"!!!"),"NEW","")))</f>
        <v> </v>
      </c>
      <c r="G3659" s="23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4" t="str">
        <f>IF(J3659&lt;&gt;1,"",IF(I3659="SBJ","CB","?"))</f>
        <v> </v>
      </c>
      <c r="I3659" s="25" t="str">
        <f>IF(OR(E3659="",E3659="!!!",F3659="NEW"),"",INDEX(B3658:B$2,-1+SUMPRODUCT(MAX(ROW(E3658:E$2)*(E3659=E3658:E$2)))))</f>
        <v> </v>
      </c>
      <c r="J3659" s="25" t="str">
        <f>IF(OR(E3659="",E3659="!!!",F3659="NEW"),"",COUNTBLANK(OFFSET(A$1,,,SUMPRODUCT(MAX(ROW(E$2:E3659)*(E3659=E$2:E3659)))))-COUNTBLANK(OFFSET(A$1,,,SUMPRODUCT(MAX(ROW(E$1:E3658)*(E2=E$1:E3658))))))</f>
        <v> </v>
      </c>
      <c r="K3659" s="25" t="str">
        <f>IF(OR(E3659="",E3659="!!!",F3659="NEW"),"",INDEX(J$1:J3658,SUMPRODUCT(MAX(ROW(E$1:E3658)*(E3659=E$1:E3658)))))</f>
        <v> </v>
      </c>
      <c r="L3659" s="26"/>
    </row>
    <row r="3660" spans="1:12">
      <c r="A3660" s="20" t="s">
        <v>2328</v>
      </c>
      <c r="E3660" s="21">
        <f>IF(D3660="?OLD","!!!","")</f>
        <v/>
      </c>
      <c r="F3660" s="22" t="str">
        <f>IF(OR(E3660="",E3660="!!!"),"",IF(NOT(ISNA(VLOOKUP(E3660,E$1:E3659,1,FALSE()))),"OLD",IF(AND(E3660&lt;&gt;"",E3660&lt;&gt;"!!!"),"NEW","")))</f>
        <v> </v>
      </c>
      <c r="G3660" s="23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4" t="str">
        <f>IF(J3660&lt;&gt;1,"",IF(I3660="SBJ","CB","?"))</f>
        <v> </v>
      </c>
      <c r="I3660" s="25" t="str">
        <f>IF(OR(E3660="",E3660="!!!",F3660="NEW"),"",INDEX(B3659:B$2,-1+SUMPRODUCT(MAX(ROW(E3659:E$2)*(E3660=E3659:E$2)))))</f>
        <v> </v>
      </c>
      <c r="J3660" s="25" t="str">
        <f>IF(OR(E3660="",E3660="!!!",F3660="NEW"),"",COUNTBLANK(OFFSET(A$1,,,SUMPRODUCT(MAX(ROW(E$2:E3660)*(E3660=E$2:E3660)))))-COUNTBLANK(OFFSET(A$1,,,SUMPRODUCT(MAX(ROW(E$1:E3659)*(E2=E$1:E3659))))))</f>
        <v> </v>
      </c>
      <c r="K3660" s="25" t="str">
        <f>IF(OR(E3660="",E3660="!!!",F3660="NEW"),"",INDEX(J$1:J3659,SUMPRODUCT(MAX(ROW(E$1:E3659)*(E3660=E$1:E3659)))))</f>
        <v> </v>
      </c>
      <c r="L3660" s="26"/>
    </row>
    <row r="3661" spans="1:12">
      <c r="A3661" s="20" t="s">
        <v>1818</v>
      </c>
      <c r="E3661" s="21">
        <f>IF(D3661="?OLD","!!!","")</f>
        <v/>
      </c>
      <c r="F3661" s="22" t="str">
        <f>IF(OR(E3661="",E3661="!!!"),"",IF(NOT(ISNA(VLOOKUP(E3661,E$1:E3660,1,FALSE()))),"OLD",IF(AND(E3661&lt;&gt;"",E3661&lt;&gt;"!!!"),"NEW","")))</f>
        <v> </v>
      </c>
      <c r="G3661" s="23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4" t="str">
        <f>IF(J3661&lt;&gt;1,"",IF(I3661="SBJ","CB","?"))</f>
        <v> </v>
      </c>
      <c r="I3661" s="25" t="str">
        <f>IF(OR(E3661="",E3661="!!!",F3661="NEW"),"",INDEX(B3660:B$2,-1+SUMPRODUCT(MAX(ROW(E3660:E$2)*(E3661=E3660:E$2)))))</f>
        <v> </v>
      </c>
      <c r="J3661" s="25" t="str">
        <f>IF(OR(E3661="",E3661="!!!",F3661="NEW"),"",COUNTBLANK(OFFSET(A$1,,,SUMPRODUCT(MAX(ROW(E$2:E3661)*(E3661=E$2:E3661)))))-COUNTBLANK(OFFSET(A$1,,,SUMPRODUCT(MAX(ROW(E$1:E3660)*(E2=E$1:E3660))))))</f>
        <v> </v>
      </c>
      <c r="K3661" s="25" t="str">
        <f>IF(OR(E3661="",E3661="!!!",F3661="NEW"),"",INDEX(J$1:J3660,SUMPRODUCT(MAX(ROW(E$1:E3660)*(E3661=E$1:E3660)))))</f>
        <v> </v>
      </c>
      <c r="L3661" s="26"/>
    </row>
    <row r="3662" spans="1:12">
      <c r="A3662" s="20" t="s">
        <v>1405</v>
      </c>
      <c r="E3662" s="21">
        <f>IF(D3662="?OLD","!!!","")</f>
        <v/>
      </c>
      <c r="F3662" s="22" t="str">
        <f>IF(OR(E3662="",E3662="!!!"),"",IF(NOT(ISNA(VLOOKUP(E3662,E$1:E3661,1,FALSE()))),"OLD",IF(AND(E3662&lt;&gt;"",E3662&lt;&gt;"!!!"),"NEW","")))</f>
        <v> </v>
      </c>
      <c r="G3662" s="23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4" t="str">
        <f>IF(J3662&lt;&gt;1,"",IF(I3662="SBJ","CB","?"))</f>
        <v> </v>
      </c>
      <c r="I3662" s="25" t="str">
        <f>IF(OR(E3662="",E3662="!!!",F3662="NEW"),"",INDEX(B3661:B$2,-1+SUMPRODUCT(MAX(ROW(E3661:E$2)*(E3662=E3661:E$2)))))</f>
        <v> </v>
      </c>
      <c r="J3662" s="25" t="str">
        <f>IF(OR(E3662="",E3662="!!!",F3662="NEW"),"",COUNTBLANK(OFFSET(A$1,,,SUMPRODUCT(MAX(ROW(E$2:E3662)*(E3662=E$2:E3662)))))-COUNTBLANK(OFFSET(A$1,,,SUMPRODUCT(MAX(ROW(E$1:E3661)*(E2=E$1:E3661))))))</f>
        <v> </v>
      </c>
      <c r="K3662" s="25" t="str">
        <f>IF(OR(E3662="",E3662="!!!",F3662="NEW"),"",INDEX(J$1:J3661,SUMPRODUCT(MAX(ROW(E$1:E3661)*(E3662=E$1:E3661)))))</f>
        <v> </v>
      </c>
      <c r="L3662" s="26"/>
    </row>
    <row r="3663" spans="1:12">
      <c r="A3663" s="20" t="s">
        <v>793</v>
      </c>
      <c r="E3663" s="21">
        <f>IF(D3663="?OLD","!!!","")</f>
        <v/>
      </c>
      <c r="F3663" s="22" t="str">
        <f>IF(OR(E3663="",E3663="!!!"),"",IF(NOT(ISNA(VLOOKUP(E3663,E$1:E3662,1,FALSE()))),"OLD",IF(AND(E3663&lt;&gt;"",E3663&lt;&gt;"!!!"),"NEW","")))</f>
        <v> </v>
      </c>
      <c r="G3663" s="23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4" t="str">
        <f>IF(J3663&lt;&gt;1,"",IF(I3663="SBJ","CB","?"))</f>
        <v> </v>
      </c>
      <c r="I3663" s="25" t="str">
        <f>IF(OR(E3663="",E3663="!!!",F3663="NEW"),"",INDEX(B3662:B$2,-1+SUMPRODUCT(MAX(ROW(E3662:E$2)*(E3663=E3662:E$2)))))</f>
        <v> </v>
      </c>
      <c r="J3663" s="25" t="str">
        <f>IF(OR(E3663="",E3663="!!!",F3663="NEW"),"",COUNTBLANK(OFFSET(A$1,,,SUMPRODUCT(MAX(ROW(E$2:E3663)*(E3663=E$2:E3663)))))-COUNTBLANK(OFFSET(A$1,,,SUMPRODUCT(MAX(ROW(E$1:E3662)*(E2=E$1:E3662))))))</f>
        <v> </v>
      </c>
      <c r="K3663" s="25" t="str">
        <f>IF(OR(E3663="",E3663="!!!",F3663="NEW"),"",INDEX(J$1:J3662,SUMPRODUCT(MAX(ROW(E$1:E3662)*(E3663=E$1:E3662)))))</f>
        <v> </v>
      </c>
      <c r="L3663" s="26"/>
    </row>
    <row r="3664" spans="1:12">
      <c r="A3664" s="20" t="s">
        <v>2329</v>
      </c>
      <c r="E3664" s="21">
        <f>IF(D3664="?OLD","!!!","")</f>
        <v/>
      </c>
      <c r="F3664" s="22" t="str">
        <f>IF(OR(E3664="",E3664="!!!"),"",IF(NOT(ISNA(VLOOKUP(E3664,E$1:E3663,1,FALSE()))),"OLD",IF(AND(E3664&lt;&gt;"",E3664&lt;&gt;"!!!"),"NEW","")))</f>
        <v> </v>
      </c>
      <c r="G3664" s="23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4" t="str">
        <f>IF(J3664&lt;&gt;1,"",IF(I3664="SBJ","CB","?"))</f>
        <v> </v>
      </c>
      <c r="I3664" s="25" t="str">
        <f>IF(OR(E3664="",E3664="!!!",F3664="NEW"),"",INDEX(B3663:B$2,-1+SUMPRODUCT(MAX(ROW(E3663:E$2)*(E3664=E3663:E$2)))))</f>
        <v> </v>
      </c>
      <c r="J3664" s="25" t="str">
        <f>IF(OR(E3664="",E3664="!!!",F3664="NEW"),"",COUNTBLANK(OFFSET(A$1,,,SUMPRODUCT(MAX(ROW(E$2:E3664)*(E3664=E$2:E3664)))))-COUNTBLANK(OFFSET(A$1,,,SUMPRODUCT(MAX(ROW(E$1:E3663)*(E2=E$1:E3663))))))</f>
        <v> </v>
      </c>
      <c r="K3664" s="25" t="str">
        <f>IF(OR(E3664="",E3664="!!!",F3664="NEW"),"",INDEX(J$1:J3663,SUMPRODUCT(MAX(ROW(E$1:E3663)*(E3664=E$1:E3663)))))</f>
        <v> </v>
      </c>
      <c r="L3664" s="26"/>
    </row>
    <row r="3665" spans="1:12">
      <c r="A3665" s="20" t="s">
        <v>803</v>
      </c>
      <c r="E3665" s="21">
        <f>IF(D3665="?OLD","!!!","")</f>
        <v/>
      </c>
      <c r="F3665" s="22" t="str">
        <f>IF(OR(E3665="",E3665="!!!"),"",IF(NOT(ISNA(VLOOKUP(E3665,E$1:E3664,1,FALSE()))),"OLD",IF(AND(E3665&lt;&gt;"",E3665&lt;&gt;"!!!"),"NEW","")))</f>
        <v> </v>
      </c>
      <c r="G3665" s="23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4" t="str">
        <f>IF(J3665&lt;&gt;1,"",IF(I3665="SBJ","CB","?"))</f>
        <v> </v>
      </c>
      <c r="I3665" s="25" t="str">
        <f>IF(OR(E3665="",E3665="!!!",F3665="NEW"),"",INDEX(B3664:B$2,-1+SUMPRODUCT(MAX(ROW(E3664:E$2)*(E3665=E3664:E$2)))))</f>
        <v> </v>
      </c>
      <c r="J3665" s="25" t="str">
        <f>IF(OR(E3665="",E3665="!!!",F3665="NEW"),"",COUNTBLANK(OFFSET(A$1,,,SUMPRODUCT(MAX(ROW(E$2:E3665)*(E3665=E$2:E3665)))))-COUNTBLANK(OFFSET(A$1,,,SUMPRODUCT(MAX(ROW(E$1:E3664)*(E2=E$1:E3664))))))</f>
        <v> </v>
      </c>
      <c r="K3665" s="25" t="str">
        <f>IF(OR(E3665="",E3665="!!!",F3665="NEW"),"",INDEX(J$1:J3664,SUMPRODUCT(MAX(ROW(E$1:E3664)*(E3665=E$1:E3664)))))</f>
        <v> </v>
      </c>
      <c r="L3665" s="26"/>
    </row>
    <row r="3666" spans="1:12">
      <c r="A3666" s="20"/>
    </row>
    <row r="3667" spans="1:12">
      <c r="A3667" s="20" t="s">
        <v>2330</v>
      </c>
    </row>
    <row r="3668" spans="1:12">
      <c r="A3668" s="20" t="s">
        <v>1016</v>
      </c>
      <c r="B3668" s="27" t="s">
        <v>799</v>
      </c>
      <c r="C3668" s="27" t="s">
        <v>816</v>
      </c>
      <c r="D3668" s="27" t="s">
        <v>801</v>
      </c>
      <c r="E3668" s="21">
        <f>IF(D3668="?OLD","!!!","")</f>
        <v/>
      </c>
      <c r="F3668" s="22" t="str">
        <f>IF(OR(E3668="",E3668="!!!"),"",IF(NOT(ISNA(VLOOKUP(E3668,E$1:E3667,1,FALSE()))),"OLD",IF(AND(E3668&lt;&gt;"",E3668&lt;&gt;"!!!"),"NEW","")))</f>
        <v> </v>
      </c>
      <c r="G3668" s="23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4" t="str">
        <f>IF(J3668&lt;&gt;1,"",IF(I3668="SBJ","CB","?"))</f>
        <v> </v>
      </c>
      <c r="I3668" s="25" t="str">
        <f>IF(OR(E3668="",E3668="!!!",F3668="NEW"),"",INDEX(B3667:B$2,-1+SUMPRODUCT(MAX(ROW(E3667:E$2)*(E3668=E3667:E$2)))))</f>
        <v> </v>
      </c>
      <c r="J3668" s="25" t="str">
        <f>IF(OR(E3668="",E3668="!!!",F3668="NEW"),"",COUNTBLANK(OFFSET(A$1,,,SUMPRODUCT(MAX(ROW(E$2:E3668)*(E3668=E$2:E3668)))))-COUNTBLANK(OFFSET(A$1,,,SUMPRODUCT(MAX(ROW(E$1:E3667)*(E2=E$1:E3667))))))</f>
        <v> </v>
      </c>
      <c r="K3668" s="25" t="str">
        <f>IF(OR(E3668="",E3668="!!!",F3668="NEW"),"",INDEX(J$1:J3667,SUMPRODUCT(MAX(ROW(E$1:E3667)*(E3668=E$1:E3667)))))</f>
        <v> </v>
      </c>
      <c r="L3668" s="26"/>
    </row>
    <row r="3669" spans="1:12">
      <c r="A3669" s="20" t="s">
        <v>821</v>
      </c>
      <c r="E3669" s="21">
        <f>IF(D3669="?OLD","!!!","")</f>
        <v/>
      </c>
      <c r="F3669" s="22" t="str">
        <f>IF(OR(E3669="",E3669="!!!"),"",IF(NOT(ISNA(VLOOKUP(E3669,E$1:E3668,1,FALSE()))),"OLD",IF(AND(E3669&lt;&gt;"",E3669&lt;&gt;"!!!"),"NEW","")))</f>
        <v> </v>
      </c>
      <c r="G3669" s="23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4" t="str">
        <f>IF(J3669&lt;&gt;1,"",IF(I3669="SBJ","CB","?"))</f>
        <v> </v>
      </c>
      <c r="I3669" s="25" t="str">
        <f>IF(OR(E3669="",E3669="!!!",F3669="NEW"),"",INDEX(B3668:B$2,-1+SUMPRODUCT(MAX(ROW(E3668:E$2)*(E3669=E3668:E$2)))))</f>
        <v> </v>
      </c>
      <c r="J3669" s="25" t="str">
        <f>IF(OR(E3669="",E3669="!!!",F3669="NEW"),"",COUNTBLANK(OFFSET(A$1,,,SUMPRODUCT(MAX(ROW(E$2:E3669)*(E3669=E$2:E3669)))))-COUNTBLANK(OFFSET(A$1,,,SUMPRODUCT(MAX(ROW(E$1:E3668)*(E2=E$1:E3668))))))</f>
        <v> </v>
      </c>
      <c r="K3669" s="25" t="str">
        <f>IF(OR(E3669="",E3669="!!!",F3669="NEW"),"",INDEX(J$1:J3668,SUMPRODUCT(MAX(ROW(E$1:E3668)*(E3669=E$1:E3668)))))</f>
        <v> </v>
      </c>
      <c r="L3669" s="26"/>
    </row>
    <row r="3670" spans="1:12">
      <c r="A3670" s="20" t="s">
        <v>1125</v>
      </c>
      <c r="E3670" s="21">
        <f>IF(D3670="?OLD","!!!","")</f>
        <v/>
      </c>
      <c r="F3670" s="22" t="str">
        <f>IF(OR(E3670="",E3670="!!!"),"",IF(NOT(ISNA(VLOOKUP(E3670,E$1:E3669,1,FALSE()))),"OLD",IF(AND(E3670&lt;&gt;"",E3670&lt;&gt;"!!!"),"NEW","")))</f>
        <v> </v>
      </c>
      <c r="G3670" s="23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4" t="str">
        <f>IF(J3670&lt;&gt;1,"",IF(I3670="SBJ","CB","?"))</f>
        <v> </v>
      </c>
      <c r="I3670" s="25" t="str">
        <f>IF(OR(E3670="",E3670="!!!",F3670="NEW"),"",INDEX(B3669:B$2,-1+SUMPRODUCT(MAX(ROW(E3669:E$2)*(E3670=E3669:E$2)))))</f>
        <v> </v>
      </c>
      <c r="J3670" s="25" t="str">
        <f>IF(OR(E3670="",E3670="!!!",F3670="NEW"),"",COUNTBLANK(OFFSET(A$1,,,SUMPRODUCT(MAX(ROW(E$2:E3670)*(E3670=E$2:E3670)))))-COUNTBLANK(OFFSET(A$1,,,SUMPRODUCT(MAX(ROW(E$1:E3669)*(E2=E$1:E3669))))))</f>
        <v> </v>
      </c>
      <c r="K3670" s="25" t="str">
        <f>IF(OR(E3670="",E3670="!!!",F3670="NEW"),"",INDEX(J$1:J3669,SUMPRODUCT(MAX(ROW(E$1:E3669)*(E3670=E$1:E3669)))))</f>
        <v> </v>
      </c>
      <c r="L3670" s="26"/>
    </row>
    <row r="3671" spans="1:12">
      <c r="A3671" s="20" t="s">
        <v>1316</v>
      </c>
      <c r="E3671" s="21">
        <f>IF(D3671="?OLD","!!!","")</f>
        <v/>
      </c>
      <c r="F3671" s="22" t="str">
        <f>IF(OR(E3671="",E3671="!!!"),"",IF(NOT(ISNA(VLOOKUP(E3671,E$1:E3670,1,FALSE()))),"OLD",IF(AND(E3671&lt;&gt;"",E3671&lt;&gt;"!!!"),"NEW","")))</f>
        <v> </v>
      </c>
      <c r="G3671" s="23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4" t="str">
        <f>IF(J3671&lt;&gt;1,"",IF(I3671="SBJ","CB","?"))</f>
        <v> </v>
      </c>
      <c r="I3671" s="25" t="str">
        <f>IF(OR(E3671="",E3671="!!!",F3671="NEW"),"",INDEX(B3670:B$2,-1+SUMPRODUCT(MAX(ROW(E3670:E$2)*(E3671=E3670:E$2)))))</f>
        <v> </v>
      </c>
      <c r="J3671" s="25" t="str">
        <f>IF(OR(E3671="",E3671="!!!",F3671="NEW"),"",COUNTBLANK(OFFSET(A$1,,,SUMPRODUCT(MAX(ROW(E$2:E3671)*(E3671=E$2:E3671)))))-COUNTBLANK(OFFSET(A$1,,,SUMPRODUCT(MAX(ROW(E$1:E3670)*(E2=E$1:E3670))))))</f>
        <v> </v>
      </c>
      <c r="K3671" s="25" t="str">
        <f>IF(OR(E3671="",E3671="!!!",F3671="NEW"),"",INDEX(J$1:J3670,SUMPRODUCT(MAX(ROW(E$1:E3670)*(E3671=E$1:E3670)))))</f>
        <v> </v>
      </c>
      <c r="L3671" s="26"/>
    </row>
    <row r="3672" spans="1:12">
      <c r="A3672" s="20" t="s">
        <v>2328</v>
      </c>
      <c r="E3672" s="21">
        <f>IF(D3672="?OLD","!!!","")</f>
        <v/>
      </c>
      <c r="F3672" s="22" t="str">
        <f>IF(OR(E3672="",E3672="!!!"),"",IF(NOT(ISNA(VLOOKUP(E3672,E$1:E3671,1,FALSE()))),"OLD",IF(AND(E3672&lt;&gt;"",E3672&lt;&gt;"!!!"),"NEW","")))</f>
        <v> </v>
      </c>
      <c r="G3672" s="23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4" t="str">
        <f>IF(J3672&lt;&gt;1,"",IF(I3672="SBJ","CB","?"))</f>
        <v> </v>
      </c>
      <c r="I3672" s="25" t="str">
        <f>IF(OR(E3672="",E3672="!!!",F3672="NEW"),"",INDEX(B3671:B$2,-1+SUMPRODUCT(MAX(ROW(E3671:E$2)*(E3672=E3671:E$2)))))</f>
        <v> </v>
      </c>
      <c r="J3672" s="25" t="str">
        <f>IF(OR(E3672="",E3672="!!!",F3672="NEW"),"",COUNTBLANK(OFFSET(A$1,,,SUMPRODUCT(MAX(ROW(E$2:E3672)*(E3672=E$2:E3672)))))-COUNTBLANK(OFFSET(A$1,,,SUMPRODUCT(MAX(ROW(E$1:E3671)*(E2=E$1:E3671))))))</f>
        <v> </v>
      </c>
      <c r="K3672" s="25" t="str">
        <f>IF(OR(E3672="",E3672="!!!",F3672="NEW"),"",INDEX(J$1:J3671,SUMPRODUCT(MAX(ROW(E$1:E3671)*(E3672=E$1:E3671)))))</f>
        <v> </v>
      </c>
      <c r="L3672" s="26"/>
    </row>
    <row r="3673" spans="1:12">
      <c r="A3673" s="20" t="s">
        <v>825</v>
      </c>
      <c r="E3673" s="21">
        <f>IF(D3673="?OLD","!!!","")</f>
        <v/>
      </c>
      <c r="F3673" s="22" t="str">
        <f>IF(OR(E3673="",E3673="!!!"),"",IF(NOT(ISNA(VLOOKUP(E3673,E$1:E3672,1,FALSE()))),"OLD",IF(AND(E3673&lt;&gt;"",E3673&lt;&gt;"!!!"),"NEW","")))</f>
        <v> </v>
      </c>
      <c r="G3673" s="23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4" t="str">
        <f>IF(J3673&lt;&gt;1,"",IF(I3673="SBJ","CB","?"))</f>
        <v> </v>
      </c>
      <c r="I3673" s="25" t="str">
        <f>IF(OR(E3673="",E3673="!!!",F3673="NEW"),"",INDEX(B3672:B$2,-1+SUMPRODUCT(MAX(ROW(E3672:E$2)*(E3673=E3672:E$2)))))</f>
        <v> </v>
      </c>
      <c r="J3673" s="25" t="str">
        <f>IF(OR(E3673="",E3673="!!!",F3673="NEW"),"",COUNTBLANK(OFFSET(A$1,,,SUMPRODUCT(MAX(ROW(E$2:E3673)*(E3673=E$2:E3673)))))-COUNTBLANK(OFFSET(A$1,,,SUMPRODUCT(MAX(ROW(E$1:E3672)*(E2=E$1:E3672))))))</f>
        <v> </v>
      </c>
      <c r="K3673" s="25" t="str">
        <f>IF(OR(E3673="",E3673="!!!",F3673="NEW"),"",INDEX(J$1:J3672,SUMPRODUCT(MAX(ROW(E$1:E3672)*(E3673=E$1:E3672)))))</f>
        <v> </v>
      </c>
      <c r="L3673" s="26"/>
    </row>
    <row r="3674" spans="1:12">
      <c r="A3674" s="20" t="s">
        <v>448</v>
      </c>
      <c r="E3674" s="21">
        <f>IF(D3674="?OLD","!!!","")</f>
        <v/>
      </c>
      <c r="F3674" s="22" t="str">
        <f>IF(OR(E3674="",E3674="!!!"),"",IF(NOT(ISNA(VLOOKUP(E3674,E$1:E3673,1,FALSE()))),"OLD",IF(AND(E3674&lt;&gt;"",E3674&lt;&gt;"!!!"),"NEW","")))</f>
        <v> </v>
      </c>
      <c r="G3674" s="23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4" t="str">
        <f>IF(J3674&lt;&gt;1,"",IF(I3674="SBJ","CB","?"))</f>
        <v> </v>
      </c>
      <c r="I3674" s="25" t="str">
        <f>IF(OR(E3674="",E3674="!!!",F3674="NEW"),"",INDEX(B3673:B$2,-1+SUMPRODUCT(MAX(ROW(E3673:E$2)*(E3674=E3673:E$2)))))</f>
        <v> </v>
      </c>
      <c r="J3674" s="25" t="str">
        <f>IF(OR(E3674="",E3674="!!!",F3674="NEW"),"",COUNTBLANK(OFFSET(A$1,,,SUMPRODUCT(MAX(ROW(E$2:E3674)*(E3674=E$2:E3674)))))-COUNTBLANK(OFFSET(A$1,,,SUMPRODUCT(MAX(ROW(E$1:E3673)*(E2=E$1:E3673))))))</f>
        <v> </v>
      </c>
      <c r="K3674" s="25" t="str">
        <f>IF(OR(E3674="",E3674="!!!",F3674="NEW"),"",INDEX(J$1:J3673,SUMPRODUCT(MAX(ROW(E$1:E3673)*(E3674=E$1:E3673)))))</f>
        <v> </v>
      </c>
      <c r="L3674" s="26"/>
    </row>
    <row r="3675" spans="1:12">
      <c r="A3675" s="20" t="s">
        <v>793</v>
      </c>
      <c r="E3675" s="21">
        <f>IF(D3675="?OLD","!!!","")</f>
        <v/>
      </c>
      <c r="F3675" s="22" t="str">
        <f>IF(OR(E3675="",E3675="!!!"),"",IF(NOT(ISNA(VLOOKUP(E3675,E$1:E3674,1,FALSE()))),"OLD",IF(AND(E3675&lt;&gt;"",E3675&lt;&gt;"!!!"),"NEW","")))</f>
        <v> </v>
      </c>
      <c r="G3675" s="23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4" t="str">
        <f>IF(J3675&lt;&gt;1,"",IF(I3675="SBJ","CB","?"))</f>
        <v> </v>
      </c>
      <c r="I3675" s="25" t="str">
        <f>IF(OR(E3675="",E3675="!!!",F3675="NEW"),"",INDEX(B3674:B$2,-1+SUMPRODUCT(MAX(ROW(E3674:E$2)*(E3675=E3674:E$2)))))</f>
        <v> </v>
      </c>
      <c r="J3675" s="25" t="str">
        <f>IF(OR(E3675="",E3675="!!!",F3675="NEW"),"",COUNTBLANK(OFFSET(A$1,,,SUMPRODUCT(MAX(ROW(E$2:E3675)*(E3675=E$2:E3675)))))-COUNTBLANK(OFFSET(A$1,,,SUMPRODUCT(MAX(ROW(E$1:E3674)*(E2=E$1:E3674))))))</f>
        <v> </v>
      </c>
      <c r="K3675" s="25" t="str">
        <f>IF(OR(E3675="",E3675="!!!",F3675="NEW"),"",INDEX(J$1:J3674,SUMPRODUCT(MAX(ROW(E$1:E3674)*(E3675=E$1:E3674)))))</f>
        <v> </v>
      </c>
      <c r="L3675" s="26"/>
    </row>
    <row r="3676" spans="1:12">
      <c r="A3676" s="20" t="s">
        <v>2329</v>
      </c>
      <c r="E3676" s="21">
        <f>IF(D3676="?OLD","!!!","")</f>
        <v/>
      </c>
      <c r="F3676" s="22" t="str">
        <f>IF(OR(E3676="",E3676="!!!"),"",IF(NOT(ISNA(VLOOKUP(E3676,E$1:E3675,1,FALSE()))),"OLD",IF(AND(E3676&lt;&gt;"",E3676&lt;&gt;"!!!"),"NEW","")))</f>
        <v> </v>
      </c>
      <c r="G3676" s="23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4" t="str">
        <f>IF(J3676&lt;&gt;1,"",IF(I3676="SBJ","CB","?"))</f>
        <v> </v>
      </c>
      <c r="I3676" s="25" t="str">
        <f>IF(OR(E3676="",E3676="!!!",F3676="NEW"),"",INDEX(B3675:B$2,-1+SUMPRODUCT(MAX(ROW(E3675:E$2)*(E3676=E3675:E$2)))))</f>
        <v> </v>
      </c>
      <c r="J3676" s="25" t="str">
        <f>IF(OR(E3676="",E3676="!!!",F3676="NEW"),"",COUNTBLANK(OFFSET(A$1,,,SUMPRODUCT(MAX(ROW(E$2:E3676)*(E3676=E$2:E3676)))))-COUNTBLANK(OFFSET(A$1,,,SUMPRODUCT(MAX(ROW(E$1:E3675)*(E2=E$1:E3675))))))</f>
        <v> </v>
      </c>
      <c r="K3676" s="25" t="str">
        <f>IF(OR(E3676="",E3676="!!!",F3676="NEW"),"",INDEX(J$1:J3675,SUMPRODUCT(MAX(ROW(E$1:E3675)*(E3676=E$1:E3675)))))</f>
        <v> </v>
      </c>
      <c r="L3676" s="26"/>
    </row>
    <row r="3677" spans="1:12">
      <c r="A3677" s="20" t="s">
        <v>803</v>
      </c>
      <c r="E3677" s="21">
        <f>IF(D3677="?OLD","!!!","")</f>
        <v/>
      </c>
      <c r="F3677" s="22" t="str">
        <f>IF(OR(E3677="",E3677="!!!"),"",IF(NOT(ISNA(VLOOKUP(E3677,E$1:E3676,1,FALSE()))),"OLD",IF(AND(E3677&lt;&gt;"",E3677&lt;&gt;"!!!"),"NEW","")))</f>
        <v> </v>
      </c>
      <c r="G3677" s="23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4" t="str">
        <f>IF(J3677&lt;&gt;1,"",IF(I3677="SBJ","CB","?"))</f>
        <v> </v>
      </c>
      <c r="I3677" s="25" t="str">
        <f>IF(OR(E3677="",E3677="!!!",F3677="NEW"),"",INDEX(B3676:B$2,-1+SUMPRODUCT(MAX(ROW(E3676:E$2)*(E3677=E3676:E$2)))))</f>
        <v> </v>
      </c>
      <c r="J3677" s="25" t="str">
        <f>IF(OR(E3677="",E3677="!!!",F3677="NEW"),"",COUNTBLANK(OFFSET(A$1,,,SUMPRODUCT(MAX(ROW(E$2:E3677)*(E3677=E$2:E3677)))))-COUNTBLANK(OFFSET(A$1,,,SUMPRODUCT(MAX(ROW(E$1:E3676)*(E2=E$1:E3676))))))</f>
        <v> </v>
      </c>
      <c r="K3677" s="25" t="str">
        <f>IF(OR(E3677="",E3677="!!!",F3677="NEW"),"",INDEX(J$1:J3676,SUMPRODUCT(MAX(ROW(E$1:E3676)*(E3677=E$1:E3676)))))</f>
        <v> </v>
      </c>
      <c r="L3677" s="26"/>
    </row>
    <row r="3678" spans="1:12">
      <c r="A3678" s="20"/>
    </row>
    <row r="3679" spans="1:12">
      <c r="A3679" s="20" t="s">
        <v>2331</v>
      </c>
    </row>
    <row r="3680" spans="1:12">
      <c r="A3680" s="20" t="s">
        <v>2332</v>
      </c>
      <c r="E3680" s="21">
        <f>IF(D3680="?OLD","!!!","")</f>
        <v/>
      </c>
      <c r="F3680" s="22" t="str">
        <f>IF(OR(E3680="",E3680="!!!"),"",IF(NOT(ISNA(VLOOKUP(E3680,E$1:E3679,1,FALSE()))),"OLD",IF(AND(E3680&lt;&gt;"",E3680&lt;&gt;"!!!"),"NEW","")))</f>
        <v> </v>
      </c>
      <c r="G3680" s="23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4" t="str">
        <f>IF(J3680&lt;&gt;1,"",IF(I3680="SBJ","CB","?"))</f>
        <v> </v>
      </c>
      <c r="I3680" s="25" t="str">
        <f>IF(OR(E3680="",E3680="!!!",F3680="NEW"),"",INDEX(B3679:B$2,-1+SUMPRODUCT(MAX(ROW(E3679:E$2)*(E3680=E3679:E$2)))))</f>
        <v> </v>
      </c>
      <c r="J3680" s="25" t="str">
        <f>IF(OR(E3680="",E3680="!!!",F3680="NEW"),"",COUNTBLANK(OFFSET(A$1,,,SUMPRODUCT(MAX(ROW(E$2:E3680)*(E3680=E$2:E3680)))))-COUNTBLANK(OFFSET(A$1,,,SUMPRODUCT(MAX(ROW(E$1:E3679)*(E2=E$1:E3679))))))</f>
        <v> </v>
      </c>
      <c r="K3680" s="25" t="str">
        <f>IF(OR(E3680="",E3680="!!!",F3680="NEW"),"",INDEX(J$1:J3679,SUMPRODUCT(MAX(ROW(E$1:E3679)*(E3680=E$1:E3679)))))</f>
        <v> </v>
      </c>
      <c r="L3680" s="26"/>
    </row>
    <row r="3681" spans="1:12">
      <c r="A3681" s="20" t="s">
        <v>2333</v>
      </c>
      <c r="E3681" s="21">
        <f>IF(D3681="?OLD","!!!","")</f>
        <v/>
      </c>
      <c r="F3681" s="22" t="str">
        <f>IF(OR(E3681="",E3681="!!!"),"",IF(NOT(ISNA(VLOOKUP(E3681,E$1:E3680,1,FALSE()))),"OLD",IF(AND(E3681&lt;&gt;"",E3681&lt;&gt;"!!!"),"NEW","")))</f>
        <v> </v>
      </c>
      <c r="G3681" s="23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4" t="str">
        <f>IF(J3681&lt;&gt;1,"",IF(I3681="SBJ","CB","?"))</f>
        <v> </v>
      </c>
      <c r="I3681" s="25" t="str">
        <f>IF(OR(E3681="",E3681="!!!",F3681="NEW"),"",INDEX(B3680:B$2,-1+SUMPRODUCT(MAX(ROW(E3680:E$2)*(E3681=E3680:E$2)))))</f>
        <v> </v>
      </c>
      <c r="J3681" s="25" t="str">
        <f>IF(OR(E3681="",E3681="!!!",F3681="NEW"),"",COUNTBLANK(OFFSET(A$1,,,SUMPRODUCT(MAX(ROW(E$2:E3681)*(E3681=E$2:E3681)))))-COUNTBLANK(OFFSET(A$1,,,SUMPRODUCT(MAX(ROW(E$1:E3680)*(E2=E$1:E3680))))))</f>
        <v> </v>
      </c>
      <c r="K3681" s="25" t="str">
        <f>IF(OR(E3681="",E3681="!!!",F3681="NEW"),"",INDEX(J$1:J3680,SUMPRODUCT(MAX(ROW(E$1:E3680)*(E3681=E$1:E3680)))))</f>
        <v> </v>
      </c>
      <c r="L3681" s="26"/>
    </row>
    <row r="3682" spans="1:12">
      <c r="A3682" s="20" t="s">
        <v>2334</v>
      </c>
      <c r="E3682" s="21">
        <f>IF(D3682="?OLD","!!!","")</f>
        <v/>
      </c>
      <c r="F3682" s="22" t="str">
        <f>IF(OR(E3682="",E3682="!!!"),"",IF(NOT(ISNA(VLOOKUP(E3682,E$1:E3681,1,FALSE()))),"OLD",IF(AND(E3682&lt;&gt;"",E3682&lt;&gt;"!!!"),"NEW","")))</f>
        <v> </v>
      </c>
      <c r="G3682" s="23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4" t="str">
        <f>IF(J3682&lt;&gt;1,"",IF(I3682="SBJ","CB","?"))</f>
        <v> </v>
      </c>
      <c r="I3682" s="25" t="str">
        <f>IF(OR(E3682="",E3682="!!!",F3682="NEW"),"",INDEX(B3681:B$2,-1+SUMPRODUCT(MAX(ROW(E3681:E$2)*(E3682=E3681:E$2)))))</f>
        <v> </v>
      </c>
      <c r="J3682" s="25" t="str">
        <f>IF(OR(E3682="",E3682="!!!",F3682="NEW"),"",COUNTBLANK(OFFSET(A$1,,,SUMPRODUCT(MAX(ROW(E$2:E3682)*(E3682=E$2:E3682)))))-COUNTBLANK(OFFSET(A$1,,,SUMPRODUCT(MAX(ROW(E$1:E3681)*(E2=E$1:E3681))))))</f>
        <v> </v>
      </c>
      <c r="K3682" s="25" t="str">
        <f>IF(OR(E3682="",E3682="!!!",F3682="NEW"),"",INDEX(J$1:J3681,SUMPRODUCT(MAX(ROW(E$1:E3681)*(E3682=E$1:E3681)))))</f>
        <v> </v>
      </c>
      <c r="L3682" s="26"/>
    </row>
    <row r="3683" spans="1:12">
      <c r="A3683" s="20" t="s">
        <v>795</v>
      </c>
      <c r="E3683" s="21">
        <f>IF(D3683="?OLD","!!!","")</f>
        <v/>
      </c>
      <c r="F3683" s="22" t="str">
        <f>IF(OR(E3683="",E3683="!!!"),"",IF(NOT(ISNA(VLOOKUP(E3683,E$1:E3682,1,FALSE()))),"OLD",IF(AND(E3683&lt;&gt;"",E3683&lt;&gt;"!!!"),"NEW","")))</f>
        <v> </v>
      </c>
      <c r="G3683" s="23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4" t="str">
        <f>IF(J3683&lt;&gt;1,"",IF(I3683="SBJ","CB","?"))</f>
        <v> </v>
      </c>
      <c r="I3683" s="25" t="str">
        <f>IF(OR(E3683="",E3683="!!!",F3683="NEW"),"",INDEX(B3682:B$2,-1+SUMPRODUCT(MAX(ROW(E3682:E$2)*(E3683=E3682:E$2)))))</f>
        <v> </v>
      </c>
      <c r="J3683" s="25" t="str">
        <f>IF(OR(E3683="",E3683="!!!",F3683="NEW"),"",COUNTBLANK(OFFSET(A$1,,,SUMPRODUCT(MAX(ROW(E$2:E3683)*(E3683=E$2:E3683)))))-COUNTBLANK(OFFSET(A$1,,,SUMPRODUCT(MAX(ROW(E$1:E3682)*(E2=E$1:E3682))))))</f>
        <v> </v>
      </c>
      <c r="K3683" s="25" t="str">
        <f>IF(OR(E3683="",E3683="!!!",F3683="NEW"),"",INDEX(J$1:J3682,SUMPRODUCT(MAX(ROW(E$1:E3682)*(E3683=E$1:E3682)))))</f>
        <v> </v>
      </c>
      <c r="L3683" s="26"/>
    </row>
    <row r="3684" spans="1:12">
      <c r="A3684" s="20" t="s">
        <v>935</v>
      </c>
      <c r="B3684" s="27" t="s">
        <v>849</v>
      </c>
      <c r="C3684" s="27" t="s">
        <v>816</v>
      </c>
      <c r="D3684" s="27" t="s">
        <v>801</v>
      </c>
      <c r="E3684" s="21">
        <f>IF(D3684="?OLD","!!!","")</f>
        <v/>
      </c>
      <c r="F3684" s="22" t="str">
        <f>IF(OR(E3684="",E3684="!!!"),"",IF(NOT(ISNA(VLOOKUP(E3684,E$1:E3683,1,FALSE()))),"OLD",IF(AND(E3684&lt;&gt;"",E3684&lt;&gt;"!!!"),"NEW","")))</f>
        <v> </v>
      </c>
      <c r="G3684" s="23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4" t="str">
        <f>IF(J3684&lt;&gt;1,"",IF(I3684="SBJ","CB","?"))</f>
        <v> </v>
      </c>
      <c r="I3684" s="25" t="str">
        <f>IF(OR(E3684="",E3684="!!!",F3684="NEW"),"",INDEX(B3683:B$2,-1+SUMPRODUCT(MAX(ROW(E3683:E$2)*(E3684=E3683:E$2)))))</f>
        <v> </v>
      </c>
      <c r="J3684" s="25" t="str">
        <f>IF(OR(E3684="",E3684="!!!",F3684="NEW"),"",COUNTBLANK(OFFSET(A$1,,,SUMPRODUCT(MAX(ROW(E$2:E3684)*(E3684=E$2:E3684)))))-COUNTBLANK(OFFSET(A$1,,,SUMPRODUCT(MAX(ROW(E$1:E3683)*(E2=E$1:E3683))))))</f>
        <v> </v>
      </c>
      <c r="K3684" s="25" t="str">
        <f>IF(OR(E3684="",E3684="!!!",F3684="NEW"),"",INDEX(J$1:J3683,SUMPRODUCT(MAX(ROW(E$1:E3683)*(E3684=E$1:E3683)))))</f>
        <v> </v>
      </c>
      <c r="L3684" s="26"/>
    </row>
    <row r="3685" spans="1:12">
      <c r="A3685" s="20" t="s">
        <v>1376</v>
      </c>
      <c r="E3685" s="21">
        <f>IF(D3685="?OLD","!!!","")</f>
        <v/>
      </c>
      <c r="F3685" s="22" t="str">
        <f>IF(OR(E3685="",E3685="!!!"),"",IF(NOT(ISNA(VLOOKUP(E3685,E$1:E3684,1,FALSE()))),"OLD",IF(AND(E3685&lt;&gt;"",E3685&lt;&gt;"!!!"),"NEW","")))</f>
        <v> </v>
      </c>
      <c r="G3685" s="23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4" t="str">
        <f>IF(J3685&lt;&gt;1,"",IF(I3685="SBJ","CB","?"))</f>
        <v> </v>
      </c>
      <c r="I3685" s="25" t="str">
        <f>IF(OR(E3685="",E3685="!!!",F3685="NEW"),"",INDEX(B3684:B$2,-1+SUMPRODUCT(MAX(ROW(E3684:E$2)*(E3685=E3684:E$2)))))</f>
        <v> </v>
      </c>
      <c r="J3685" s="25" t="str">
        <f>IF(OR(E3685="",E3685="!!!",F3685="NEW"),"",COUNTBLANK(OFFSET(A$1,,,SUMPRODUCT(MAX(ROW(E$2:E3685)*(E3685=E$2:E3685)))))-COUNTBLANK(OFFSET(A$1,,,SUMPRODUCT(MAX(ROW(E$1:E3684)*(E2=E$1:E3684))))))</f>
        <v> </v>
      </c>
      <c r="K3685" s="25" t="str">
        <f>IF(OR(E3685="",E3685="!!!",F3685="NEW"),"",INDEX(J$1:J3684,SUMPRODUCT(MAX(ROW(E$1:E3684)*(E3685=E$1:E3684)))))</f>
        <v> </v>
      </c>
      <c r="L3685" s="26"/>
    </row>
    <row r="3686" spans="1:12">
      <c r="A3686" s="20" t="s">
        <v>795</v>
      </c>
      <c r="E3686" s="21">
        <f>IF(D3686="?OLD","!!!","")</f>
        <v/>
      </c>
      <c r="F3686" s="22" t="str">
        <f>IF(OR(E3686="",E3686="!!!"),"",IF(NOT(ISNA(VLOOKUP(E3686,E$1:E3685,1,FALSE()))),"OLD",IF(AND(E3686&lt;&gt;"",E3686&lt;&gt;"!!!"),"NEW","")))</f>
        <v> </v>
      </c>
      <c r="G3686" s="23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4" t="str">
        <f>IF(J3686&lt;&gt;1,"",IF(I3686="SBJ","CB","?"))</f>
        <v> </v>
      </c>
      <c r="I3686" s="25" t="str">
        <f>IF(OR(E3686="",E3686="!!!",F3686="NEW"),"",INDEX(B3685:B$2,-1+SUMPRODUCT(MAX(ROW(E3685:E$2)*(E3686=E3685:E$2)))))</f>
        <v> </v>
      </c>
      <c r="J3686" s="25" t="str">
        <f>IF(OR(E3686="",E3686="!!!",F3686="NEW"),"",COUNTBLANK(OFFSET(A$1,,,SUMPRODUCT(MAX(ROW(E$2:E3686)*(E3686=E$2:E3686)))))-COUNTBLANK(OFFSET(A$1,,,SUMPRODUCT(MAX(ROW(E$1:E3685)*(E2=E$1:E3685))))))</f>
        <v> </v>
      </c>
      <c r="K3686" s="25" t="str">
        <f>IF(OR(E3686="",E3686="!!!",F3686="NEW"),"",INDEX(J$1:J3685,SUMPRODUCT(MAX(ROW(E$1:E3685)*(E3686=E$1:E3685)))))</f>
        <v> </v>
      </c>
      <c r="L3686" s="26"/>
    </row>
    <row r="3687" spans="1:12">
      <c r="A3687" s="20" t="s">
        <v>791</v>
      </c>
      <c r="E3687" s="21">
        <f>IF(D3687="?OLD","!!!","")</f>
        <v/>
      </c>
      <c r="F3687" s="22" t="str">
        <f>IF(OR(E3687="",E3687="!!!"),"",IF(NOT(ISNA(VLOOKUP(E3687,E$1:E3686,1,FALSE()))),"OLD",IF(AND(E3687&lt;&gt;"",E3687&lt;&gt;"!!!"),"NEW","")))</f>
        <v> </v>
      </c>
      <c r="G3687" s="23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4" t="str">
        <f>IF(J3687&lt;&gt;1,"",IF(I3687="SBJ","CB","?"))</f>
        <v> </v>
      </c>
      <c r="I3687" s="25" t="str">
        <f>IF(OR(E3687="",E3687="!!!",F3687="NEW"),"",INDEX(B3686:B$2,-1+SUMPRODUCT(MAX(ROW(E3686:E$2)*(E3687=E3686:E$2)))))</f>
        <v> </v>
      </c>
      <c r="J3687" s="25" t="str">
        <f>IF(OR(E3687="",E3687="!!!",F3687="NEW"),"",COUNTBLANK(OFFSET(A$1,,,SUMPRODUCT(MAX(ROW(E$2:E3687)*(E3687=E$2:E3687)))))-COUNTBLANK(OFFSET(A$1,,,SUMPRODUCT(MAX(ROW(E$1:E3686)*(E2=E$1:E3686))))))</f>
        <v> </v>
      </c>
      <c r="K3687" s="25" t="str">
        <f>IF(OR(E3687="",E3687="!!!",F3687="NEW"),"",INDEX(J$1:J3686,SUMPRODUCT(MAX(ROW(E$1:E3686)*(E3687=E$1:E3686)))))</f>
        <v> </v>
      </c>
      <c r="L3687" s="26"/>
    </row>
    <row r="3688" spans="1:12">
      <c r="A3688" s="20" t="s">
        <v>2335</v>
      </c>
      <c r="E3688" s="21">
        <f>IF(D3688="?OLD","!!!","")</f>
        <v/>
      </c>
      <c r="F3688" s="22" t="str">
        <f>IF(OR(E3688="",E3688="!!!"),"",IF(NOT(ISNA(VLOOKUP(E3688,E$1:E3687,1,FALSE()))),"OLD",IF(AND(E3688&lt;&gt;"",E3688&lt;&gt;"!!!"),"NEW","")))</f>
        <v> </v>
      </c>
      <c r="G3688" s="23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4" t="str">
        <f>IF(J3688&lt;&gt;1,"",IF(I3688="SBJ","CB","?"))</f>
        <v> </v>
      </c>
      <c r="I3688" s="25" t="str">
        <f>IF(OR(E3688="",E3688="!!!",F3688="NEW"),"",INDEX(B3687:B$2,-1+SUMPRODUCT(MAX(ROW(E3687:E$2)*(E3688=E3687:E$2)))))</f>
        <v> </v>
      </c>
      <c r="J3688" s="25" t="str">
        <f>IF(OR(E3688="",E3688="!!!",F3688="NEW"),"",COUNTBLANK(OFFSET(A$1,,,SUMPRODUCT(MAX(ROW(E$2:E3688)*(E3688=E$2:E3688)))))-COUNTBLANK(OFFSET(A$1,,,SUMPRODUCT(MAX(ROW(E$1:E3687)*(E2=E$1:E3687))))))</f>
        <v> </v>
      </c>
      <c r="K3688" s="25" t="str">
        <f>IF(OR(E3688="",E3688="!!!",F3688="NEW"),"",INDEX(J$1:J3687,SUMPRODUCT(MAX(ROW(E$1:E3687)*(E3688=E$1:E3687)))))</f>
        <v> </v>
      </c>
      <c r="L3688" s="26"/>
    </row>
    <row r="3689" spans="1:12">
      <c r="A3689" s="20" t="s">
        <v>795</v>
      </c>
      <c r="E3689" s="21">
        <f>IF(D3689="?OLD","!!!","")</f>
        <v/>
      </c>
      <c r="F3689" s="22" t="str">
        <f>IF(OR(E3689="",E3689="!!!"),"",IF(NOT(ISNA(VLOOKUP(E3689,E$1:E3688,1,FALSE()))),"OLD",IF(AND(E3689&lt;&gt;"",E3689&lt;&gt;"!!!"),"NEW","")))</f>
        <v> </v>
      </c>
      <c r="G3689" s="23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4" t="str">
        <f>IF(J3689&lt;&gt;1,"",IF(I3689="SBJ","CB","?"))</f>
        <v> </v>
      </c>
      <c r="I3689" s="25" t="str">
        <f>IF(OR(E3689="",E3689="!!!",F3689="NEW"),"",INDEX(B3688:B$2,-1+SUMPRODUCT(MAX(ROW(E3688:E$2)*(E3689=E3688:E$2)))))</f>
        <v> </v>
      </c>
      <c r="J3689" s="25" t="str">
        <f>IF(OR(E3689="",E3689="!!!",F3689="NEW"),"",COUNTBLANK(OFFSET(A$1,,,SUMPRODUCT(MAX(ROW(E$2:E3689)*(E3689=E$2:E3689)))))-COUNTBLANK(OFFSET(A$1,,,SUMPRODUCT(MAX(ROW(E$1:E3688)*(E2=E$1:E3688))))))</f>
        <v> </v>
      </c>
      <c r="K3689" s="25" t="str">
        <f>IF(OR(E3689="",E3689="!!!",F3689="NEW"),"",INDEX(J$1:J3688,SUMPRODUCT(MAX(ROW(E$1:E3688)*(E3689=E$1:E3688)))))</f>
        <v> </v>
      </c>
      <c r="L3689" s="26"/>
    </row>
    <row r="3690" spans="1:12">
      <c r="A3690" s="20" t="s">
        <v>877</v>
      </c>
      <c r="E3690" s="21">
        <f>IF(D3690="?OLD","!!!","")</f>
        <v/>
      </c>
      <c r="F3690" s="22" t="str">
        <f>IF(OR(E3690="",E3690="!!!"),"",IF(NOT(ISNA(VLOOKUP(E3690,E$1:E3689,1,FALSE()))),"OLD",IF(AND(E3690&lt;&gt;"",E3690&lt;&gt;"!!!"),"NEW","")))</f>
        <v> </v>
      </c>
      <c r="G3690" s="23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4" t="str">
        <f>IF(J3690&lt;&gt;1,"",IF(I3690="SBJ","CB","?"))</f>
        <v> </v>
      </c>
      <c r="I3690" s="25" t="str">
        <f>IF(OR(E3690="",E3690="!!!",F3690="NEW"),"",INDEX(B3689:B$2,-1+SUMPRODUCT(MAX(ROW(E3689:E$2)*(E3690=E3689:E$2)))))</f>
        <v> </v>
      </c>
      <c r="J3690" s="25" t="str">
        <f>IF(OR(E3690="",E3690="!!!",F3690="NEW"),"",COUNTBLANK(OFFSET(A$1,,,SUMPRODUCT(MAX(ROW(E$2:E3690)*(E3690=E$2:E3690)))))-COUNTBLANK(OFFSET(A$1,,,SUMPRODUCT(MAX(ROW(E$1:E3689)*(E2=E$1:E3689))))))</f>
        <v> </v>
      </c>
      <c r="K3690" s="25" t="str">
        <f>IF(OR(E3690="",E3690="!!!",F3690="NEW"),"",INDEX(J$1:J3689,SUMPRODUCT(MAX(ROW(E$1:E3689)*(E3690=E$1:E3689)))))</f>
        <v> </v>
      </c>
      <c r="L3690" s="26"/>
    </row>
    <row r="3691" spans="1:12">
      <c r="A3691" s="20" t="s">
        <v>325</v>
      </c>
      <c r="B3691" s="27" t="s">
        <v>943</v>
      </c>
      <c r="C3691" s="27" t="s">
        <v>816</v>
      </c>
      <c r="D3691" s="27" t="s">
        <v>801</v>
      </c>
      <c r="E3691" s="21">
        <f>IF(D3691="?OLD","!!!","")</f>
        <v/>
      </c>
      <c r="F3691" s="22" t="str">
        <f>IF(OR(E3691="",E3691="!!!"),"",IF(NOT(ISNA(VLOOKUP(E3691,E$1:E3690,1,FALSE()))),"OLD",IF(AND(E3691&lt;&gt;"",E3691&lt;&gt;"!!!"),"NEW","")))</f>
        <v> </v>
      </c>
      <c r="G3691" s="23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4" t="str">
        <f>IF(J3691&lt;&gt;1,"",IF(I3691="SBJ","CB","?"))</f>
        <v> </v>
      </c>
      <c r="I3691" s="25" t="str">
        <f>IF(OR(E3691="",E3691="!!!",F3691="NEW"),"",INDEX(B3690:B$2,-1+SUMPRODUCT(MAX(ROW(E3690:E$2)*(E3691=E3690:E$2)))))</f>
        <v> </v>
      </c>
      <c r="J3691" s="25" t="str">
        <f>IF(OR(E3691="",E3691="!!!",F3691="NEW"),"",COUNTBLANK(OFFSET(A$1,,,SUMPRODUCT(MAX(ROW(E$2:E3691)*(E3691=E$2:E3691)))))-COUNTBLANK(OFFSET(A$1,,,SUMPRODUCT(MAX(ROW(E$1:E3690)*(E2=E$1:E3690))))))</f>
        <v> </v>
      </c>
      <c r="K3691" s="25" t="str">
        <f>IF(OR(E3691="",E3691="!!!",F3691="NEW"),"",INDEX(J$1:J3690,SUMPRODUCT(MAX(ROW(E$1:E3690)*(E3691=E$1:E3690)))))</f>
        <v> </v>
      </c>
      <c r="L3691" s="26"/>
    </row>
    <row r="3692" spans="1:12">
      <c r="A3692" s="20" t="s">
        <v>2336</v>
      </c>
      <c r="E3692" s="21">
        <f>IF(D3692="?OLD","!!!","")</f>
        <v/>
      </c>
      <c r="F3692" s="22" t="str">
        <f>IF(OR(E3692="",E3692="!!!"),"",IF(NOT(ISNA(VLOOKUP(E3692,E$1:E3691,1,FALSE()))),"OLD",IF(AND(E3692&lt;&gt;"",E3692&lt;&gt;"!!!"),"NEW","")))</f>
        <v> </v>
      </c>
      <c r="G3692" s="23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4" t="str">
        <f>IF(J3692&lt;&gt;1,"",IF(I3692="SBJ","CB","?"))</f>
        <v> </v>
      </c>
      <c r="I3692" s="25" t="str">
        <f>IF(OR(E3692="",E3692="!!!",F3692="NEW"),"",INDEX(B3691:B$2,-1+SUMPRODUCT(MAX(ROW(E3691:E$2)*(E3692=E3691:E$2)))))</f>
        <v> </v>
      </c>
      <c r="J3692" s="25" t="str">
        <f>IF(OR(E3692="",E3692="!!!",F3692="NEW"),"",COUNTBLANK(OFFSET(A$1,,,SUMPRODUCT(MAX(ROW(E$2:E3692)*(E3692=E$2:E3692)))))-COUNTBLANK(OFFSET(A$1,,,SUMPRODUCT(MAX(ROW(E$1:E3691)*(E2=E$1:E3691))))))</f>
        <v> </v>
      </c>
      <c r="K3692" s="25" t="str">
        <f>IF(OR(E3692="",E3692="!!!",F3692="NEW"),"",INDEX(J$1:J3691,SUMPRODUCT(MAX(ROW(E$1:E3691)*(E3692=E$1:E3691)))))</f>
        <v> </v>
      </c>
      <c r="L3692" s="26"/>
    </row>
    <row r="3693" spans="1:12">
      <c r="A3693" s="20" t="s">
        <v>2337</v>
      </c>
      <c r="B3693" s="27" t="s">
        <v>957</v>
      </c>
      <c r="C3693" s="27" t="s">
        <v>879</v>
      </c>
      <c r="E3693" s="21">
        <f>IF(D3693="?OLD","!!!","")</f>
        <v/>
      </c>
      <c r="F3693" s="22" t="str">
        <f>IF(OR(E3693="",E3693="!!!"),"",IF(NOT(ISNA(VLOOKUP(E3693,E$1:E3692,1,FALSE()))),"OLD",IF(AND(E3693&lt;&gt;"",E3693&lt;&gt;"!!!"),"NEW","")))</f>
        <v> </v>
      </c>
      <c r="G3693" s="23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4" t="str">
        <f>IF(J3693&lt;&gt;1,"",IF(I3693="SBJ","CB","?"))</f>
        <v> </v>
      </c>
      <c r="I3693" s="25" t="str">
        <f>IF(OR(E3693="",E3693="!!!",F3693="NEW"),"",INDEX(B3692:B$2,-1+SUMPRODUCT(MAX(ROW(E3692:E$2)*(E3693=E3692:E$2)))))</f>
        <v> </v>
      </c>
      <c r="J3693" s="25" t="str">
        <f>IF(OR(E3693="",E3693="!!!",F3693="NEW"),"",COUNTBLANK(OFFSET(A$1,,,SUMPRODUCT(MAX(ROW(E$2:E3693)*(E3693=E$2:E3693)))))-COUNTBLANK(OFFSET(A$1,,,SUMPRODUCT(MAX(ROW(E$1:E3692)*(E2=E$1:E3692))))))</f>
        <v> </v>
      </c>
      <c r="K3693" s="25" t="str">
        <f>IF(OR(E3693="",E3693="!!!",F3693="NEW"),"",INDEX(J$1:J3692,SUMPRODUCT(MAX(ROW(E$1:E3692)*(E3693=E$1:E3692)))))</f>
        <v> </v>
      </c>
      <c r="L3693" s="26"/>
    </row>
    <row r="3694" spans="1:12">
      <c r="A3694" s="20" t="s">
        <v>911</v>
      </c>
      <c r="E3694" s="21">
        <f>IF(D3694="?OLD","!!!","")</f>
        <v/>
      </c>
      <c r="F3694" s="22" t="str">
        <f>IF(OR(E3694="",E3694="!!!"),"",IF(NOT(ISNA(VLOOKUP(E3694,E$1:E3693,1,FALSE()))),"OLD",IF(AND(E3694&lt;&gt;"",E3694&lt;&gt;"!!!"),"NEW","")))</f>
        <v> </v>
      </c>
      <c r="G3694" s="23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4" t="str">
        <f>IF(J3694&lt;&gt;1,"",IF(I3694="SBJ","CB","?"))</f>
        <v> </v>
      </c>
      <c r="I3694" s="25" t="str">
        <f>IF(OR(E3694="",E3694="!!!",F3694="NEW"),"",INDEX(B3693:B$2,-1+SUMPRODUCT(MAX(ROW(E3693:E$2)*(E3694=E3693:E$2)))))</f>
        <v> </v>
      </c>
      <c r="J3694" s="25" t="str">
        <f>IF(OR(E3694="",E3694="!!!",F3694="NEW"),"",COUNTBLANK(OFFSET(A$1,,,SUMPRODUCT(MAX(ROW(E$2:E3694)*(E3694=E$2:E3694)))))-COUNTBLANK(OFFSET(A$1,,,SUMPRODUCT(MAX(ROW(E$1:E3693)*(E2=E$1:E3693))))))</f>
        <v> </v>
      </c>
      <c r="K3694" s="25" t="str">
        <f>IF(OR(E3694="",E3694="!!!",F3694="NEW"),"",INDEX(J$1:J3693,SUMPRODUCT(MAX(ROW(E$1:E3693)*(E3694=E$1:E3693)))))</f>
        <v> </v>
      </c>
      <c r="L3694" s="26"/>
    </row>
    <row r="3695" spans="1:12">
      <c r="A3695" s="20" t="s">
        <v>978</v>
      </c>
      <c r="B3695" s="27" t="s">
        <v>829</v>
      </c>
      <c r="C3695" s="27" t="s">
        <v>800</v>
      </c>
      <c r="D3695" s="27" t="s">
        <v>801</v>
      </c>
      <c r="E3695" s="21">
        <f>IF(D3695="?OLD","!!!","")</f>
        <v/>
      </c>
      <c r="F3695" s="22" t="str">
        <f>IF(OR(E3695="",E3695="!!!"),"",IF(NOT(ISNA(VLOOKUP(E3695,E$1:E3694,1,FALSE()))),"OLD",IF(AND(E3695&lt;&gt;"",E3695&lt;&gt;"!!!"),"NEW","")))</f>
        <v> </v>
      </c>
      <c r="G3695" s="23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4" t="str">
        <f>IF(J3695&lt;&gt;1,"",IF(I3695="SBJ","CB","?"))</f>
        <v> </v>
      </c>
      <c r="I3695" s="25" t="str">
        <f>IF(OR(E3695="",E3695="!!!",F3695="NEW"),"",INDEX(B3694:B$2,-1+SUMPRODUCT(MAX(ROW(E3694:E$2)*(E3695=E3694:E$2)))))</f>
        <v> </v>
      </c>
      <c r="J3695" s="25" t="str">
        <f>IF(OR(E3695="",E3695="!!!",F3695="NEW"),"",COUNTBLANK(OFFSET(A$1,,,SUMPRODUCT(MAX(ROW(E$2:E3695)*(E3695=E$2:E3695)))))-COUNTBLANK(OFFSET(A$1,,,SUMPRODUCT(MAX(ROW(E$1:E3694)*(E2=E$1:E3694))))))</f>
        <v> </v>
      </c>
      <c r="K3695" s="25" t="str">
        <f>IF(OR(E3695="",E3695="!!!",F3695="NEW"),"",INDEX(J$1:J3694,SUMPRODUCT(MAX(ROW(E$1:E3694)*(E3695=E$1:E3694)))))</f>
        <v> </v>
      </c>
      <c r="L3695" s="26"/>
    </row>
    <row r="3696" spans="1:12">
      <c r="A3696" s="20" t="s">
        <v>795</v>
      </c>
      <c r="E3696" s="21">
        <f>IF(D3696="?OLD","!!!","")</f>
        <v/>
      </c>
      <c r="F3696" s="22" t="str">
        <f>IF(OR(E3696="",E3696="!!!"),"",IF(NOT(ISNA(VLOOKUP(E3696,E$1:E3695,1,FALSE()))),"OLD",IF(AND(E3696&lt;&gt;"",E3696&lt;&gt;"!!!"),"NEW","")))</f>
        <v> </v>
      </c>
      <c r="G3696" s="23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4" t="str">
        <f>IF(J3696&lt;&gt;1,"",IF(I3696="SBJ","CB","?"))</f>
        <v> </v>
      </c>
      <c r="I3696" s="25" t="str">
        <f>IF(OR(E3696="",E3696="!!!",F3696="NEW"),"",INDEX(B3695:B$2,-1+SUMPRODUCT(MAX(ROW(E3695:E$2)*(E3696=E3695:E$2)))))</f>
        <v> </v>
      </c>
      <c r="J3696" s="25" t="str">
        <f>IF(OR(E3696="",E3696="!!!",F3696="NEW"),"",COUNTBLANK(OFFSET(A$1,,,SUMPRODUCT(MAX(ROW(E$2:E3696)*(E3696=E$2:E3696)))))-COUNTBLANK(OFFSET(A$1,,,SUMPRODUCT(MAX(ROW(E$1:E3695)*(E2=E$1:E3695))))))</f>
        <v> </v>
      </c>
      <c r="K3696" s="25" t="str">
        <f>IF(OR(E3696="",E3696="!!!",F3696="NEW"),"",INDEX(J$1:J3695,SUMPRODUCT(MAX(ROW(E$1:E3695)*(E3696=E$1:E3695)))))</f>
        <v> </v>
      </c>
      <c r="L3696" s="26"/>
    </row>
    <row r="3697" spans="1:12">
      <c r="A3697" s="20" t="s">
        <v>59</v>
      </c>
      <c r="E3697" s="21">
        <f>IF(D3697="?OLD","!!!","")</f>
        <v/>
      </c>
      <c r="F3697" s="22" t="str">
        <f>IF(OR(E3697="",E3697="!!!"),"",IF(NOT(ISNA(VLOOKUP(E3697,E$1:E3696,1,FALSE()))),"OLD",IF(AND(E3697&lt;&gt;"",E3697&lt;&gt;"!!!"),"NEW","")))</f>
        <v> </v>
      </c>
      <c r="G3697" s="23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4" t="str">
        <f>IF(J3697&lt;&gt;1,"",IF(I3697="SBJ","CB","?"))</f>
        <v> </v>
      </c>
      <c r="I3697" s="25" t="str">
        <f>IF(OR(E3697="",E3697="!!!",F3697="NEW"),"",INDEX(B3696:B$2,-1+SUMPRODUCT(MAX(ROW(E3696:E$2)*(E3697=E3696:E$2)))))</f>
        <v> </v>
      </c>
      <c r="J3697" s="25" t="str">
        <f>IF(OR(E3697="",E3697="!!!",F3697="NEW"),"",COUNTBLANK(OFFSET(A$1,,,SUMPRODUCT(MAX(ROW(E$2:E3697)*(E3697=E$2:E3697)))))-COUNTBLANK(OFFSET(A$1,,,SUMPRODUCT(MAX(ROW(E$1:E3696)*(E2=E$1:E3696))))))</f>
        <v> </v>
      </c>
      <c r="K3697" s="25" t="str">
        <f>IF(OR(E3697="",E3697="!!!",F3697="NEW"),"",INDEX(J$1:J3696,SUMPRODUCT(MAX(ROW(E$1:E3696)*(E3697=E$1:E3696)))))</f>
        <v> </v>
      </c>
      <c r="L3697" s="26"/>
    </row>
    <row r="3698" spans="1:12">
      <c r="A3698" s="20" t="s">
        <v>798</v>
      </c>
      <c r="B3698" s="27" t="s">
        <v>799</v>
      </c>
      <c r="C3698" s="27" t="s">
        <v>800</v>
      </c>
      <c r="D3698" s="27" t="s">
        <v>801</v>
      </c>
      <c r="E3698" s="21">
        <f>IF(D3698="?OLD","!!!","")</f>
        <v/>
      </c>
      <c r="F3698" s="22" t="str">
        <f>IF(OR(E3698="",E3698="!!!"),"",IF(NOT(ISNA(VLOOKUP(E3698,E$1:E3697,1,FALSE()))),"OLD",IF(AND(E3698&lt;&gt;"",E3698&lt;&gt;"!!!"),"NEW","")))</f>
        <v> </v>
      </c>
      <c r="G3698" s="23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4" t="str">
        <f>IF(J3698&lt;&gt;1,"",IF(I3698="SBJ","CB","?"))</f>
        <v> </v>
      </c>
      <c r="I3698" s="25" t="str">
        <f>IF(OR(E3698="",E3698="!!!",F3698="NEW"),"",INDEX(B3697:B$2,-1+SUMPRODUCT(MAX(ROW(E3697:E$2)*(E3698=E3697:E$2)))))</f>
        <v> </v>
      </c>
      <c r="J3698" s="25" t="str">
        <f>IF(OR(E3698="",E3698="!!!",F3698="NEW"),"",COUNTBLANK(OFFSET(A$1,,,SUMPRODUCT(MAX(ROW(E$2:E3698)*(E3698=E$2:E3698)))))-COUNTBLANK(OFFSET(A$1,,,SUMPRODUCT(MAX(ROW(E$1:E3697)*(E2=E$1:E3697))))))</f>
        <v> </v>
      </c>
      <c r="K3698" s="25" t="str">
        <f>IF(OR(E3698="",E3698="!!!",F3698="NEW"),"",INDEX(J$1:J3697,SUMPRODUCT(MAX(ROW(E$1:E3697)*(E3698=E$1:E3697)))))</f>
        <v> </v>
      </c>
      <c r="L3698" s="26"/>
    </row>
    <row r="3699" spans="1:12">
      <c r="A3699" s="20" t="s">
        <v>2338</v>
      </c>
      <c r="E3699" s="21">
        <f>IF(D3699="?OLD","!!!","")</f>
        <v/>
      </c>
      <c r="F3699" s="22" t="str">
        <f>IF(OR(E3699="",E3699="!!!"),"",IF(NOT(ISNA(VLOOKUP(E3699,E$1:E3698,1,FALSE()))),"OLD",IF(AND(E3699&lt;&gt;"",E3699&lt;&gt;"!!!"),"NEW","")))</f>
        <v> </v>
      </c>
      <c r="G3699" s="23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4" t="str">
        <f>IF(J3699&lt;&gt;1,"",IF(I3699="SBJ","CB","?"))</f>
        <v> </v>
      </c>
      <c r="I3699" s="25" t="str">
        <f>IF(OR(E3699="",E3699="!!!",F3699="NEW"),"",INDEX(B3698:B$2,-1+SUMPRODUCT(MAX(ROW(E3698:E$2)*(E3699=E3698:E$2)))))</f>
        <v> </v>
      </c>
      <c r="J3699" s="25" t="str">
        <f>IF(OR(E3699="",E3699="!!!",F3699="NEW"),"",COUNTBLANK(OFFSET(A$1,,,SUMPRODUCT(MAX(ROW(E$2:E3699)*(E3699=E$2:E3699)))))-COUNTBLANK(OFFSET(A$1,,,SUMPRODUCT(MAX(ROW(E$1:E3698)*(E2=E$1:E3698))))))</f>
        <v> </v>
      </c>
      <c r="K3699" s="25" t="str">
        <f>IF(OR(E3699="",E3699="!!!",F3699="NEW"),"",INDEX(J$1:J3698,SUMPRODUCT(MAX(ROW(E$1:E3698)*(E3699=E$1:E3698)))))</f>
        <v> </v>
      </c>
      <c r="L3699" s="26"/>
    </row>
    <row r="3700" spans="1:12">
      <c r="A3700" s="20" t="s">
        <v>955</v>
      </c>
      <c r="B3700" s="27" t="s">
        <v>857</v>
      </c>
      <c r="C3700" s="27" t="s">
        <v>896</v>
      </c>
      <c r="D3700" s="27" t="s">
        <v>801</v>
      </c>
      <c r="E3700" s="21">
        <f>IF(D3700="?OLD","!!!","")</f>
        <v/>
      </c>
      <c r="F3700" s="22" t="str">
        <f>IF(OR(E3700="",E3700="!!!"),"",IF(NOT(ISNA(VLOOKUP(E3700,E$1:E3699,1,FALSE()))),"OLD",IF(AND(E3700&lt;&gt;"",E3700&lt;&gt;"!!!"),"NEW","")))</f>
        <v> </v>
      </c>
      <c r="G3700" s="23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4" t="str">
        <f>IF(J3700&lt;&gt;1,"",IF(I3700="SBJ","CB","?"))</f>
        <v> </v>
      </c>
      <c r="I3700" s="25" t="str">
        <f>IF(OR(E3700="",E3700="!!!",F3700="NEW"),"",INDEX(B3699:B$2,-1+SUMPRODUCT(MAX(ROW(E3699:E$2)*(E3700=E3699:E$2)))))</f>
        <v> </v>
      </c>
      <c r="J3700" s="25" t="str">
        <f>IF(OR(E3700="",E3700="!!!",F3700="NEW"),"",COUNTBLANK(OFFSET(A$1,,,SUMPRODUCT(MAX(ROW(E$2:E3700)*(E3700=E$2:E3700)))))-COUNTBLANK(OFFSET(A$1,,,SUMPRODUCT(MAX(ROW(E$1:E3699)*(E2=E$1:E3699))))))</f>
        <v> </v>
      </c>
      <c r="K3700" s="25" t="str">
        <f>IF(OR(E3700="",E3700="!!!",F3700="NEW"),"",INDEX(J$1:J3699,SUMPRODUCT(MAX(ROW(E$1:E3699)*(E3700=E$1:E3699)))))</f>
        <v> </v>
      </c>
      <c r="L3700" s="26"/>
    </row>
    <row r="3701" spans="1:12">
      <c r="A3701" s="20" t="s">
        <v>2339</v>
      </c>
      <c r="E3701" s="21">
        <f>IF(D3701="?OLD","!!!","")</f>
        <v/>
      </c>
      <c r="F3701" s="22" t="str">
        <f>IF(OR(E3701="",E3701="!!!"),"",IF(NOT(ISNA(VLOOKUP(E3701,E$1:E3700,1,FALSE()))),"OLD",IF(AND(E3701&lt;&gt;"",E3701&lt;&gt;"!!!"),"NEW","")))</f>
        <v> </v>
      </c>
      <c r="G3701" s="23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4" t="str">
        <f>IF(J3701&lt;&gt;1,"",IF(I3701="SBJ","CB","?"))</f>
        <v> </v>
      </c>
      <c r="I3701" s="25" t="str">
        <f>IF(OR(E3701="",E3701="!!!",F3701="NEW"),"",INDEX(B3700:B$2,-1+SUMPRODUCT(MAX(ROW(E3700:E$2)*(E3701=E3700:E$2)))))</f>
        <v> </v>
      </c>
      <c r="J3701" s="25" t="str">
        <f>IF(OR(E3701="",E3701="!!!",F3701="NEW"),"",COUNTBLANK(OFFSET(A$1,,,SUMPRODUCT(MAX(ROW(E$2:E3701)*(E3701=E$2:E3701)))))-COUNTBLANK(OFFSET(A$1,,,SUMPRODUCT(MAX(ROW(E$1:E3700)*(E2=E$1:E3700))))))</f>
        <v> </v>
      </c>
      <c r="K3701" s="25" t="str">
        <f>IF(OR(E3701="",E3701="!!!",F3701="NEW"),"",INDEX(J$1:J3700,SUMPRODUCT(MAX(ROW(E$1:E3700)*(E3701=E$1:E3700)))))</f>
        <v> </v>
      </c>
      <c r="L3701" s="26"/>
    </row>
    <row r="3702" spans="1:12">
      <c r="A3702" s="20" t="s">
        <v>2340</v>
      </c>
      <c r="E3702" s="21">
        <f>IF(D3702="?OLD","!!!","")</f>
        <v/>
      </c>
      <c r="F3702" s="22" t="str">
        <f>IF(OR(E3702="",E3702="!!!"),"",IF(NOT(ISNA(VLOOKUP(E3702,E$1:E3701,1,FALSE()))),"OLD",IF(AND(E3702&lt;&gt;"",E3702&lt;&gt;"!!!"),"NEW","")))</f>
        <v> </v>
      </c>
      <c r="G3702" s="23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4" t="str">
        <f>IF(J3702&lt;&gt;1,"",IF(I3702="SBJ","CB","?"))</f>
        <v> </v>
      </c>
      <c r="I3702" s="25" t="str">
        <f>IF(OR(E3702="",E3702="!!!",F3702="NEW"),"",INDEX(B3701:B$2,-1+SUMPRODUCT(MAX(ROW(E3701:E$2)*(E3702=E3701:E$2)))))</f>
        <v> </v>
      </c>
      <c r="J3702" s="25" t="str">
        <f>IF(OR(E3702="",E3702="!!!",F3702="NEW"),"",COUNTBLANK(OFFSET(A$1,,,SUMPRODUCT(MAX(ROW(E$2:E3702)*(E3702=E$2:E3702)))))-COUNTBLANK(OFFSET(A$1,,,SUMPRODUCT(MAX(ROW(E$1:E3701)*(E2=E$1:E3701))))))</f>
        <v> </v>
      </c>
      <c r="K3702" s="25" t="str">
        <f>IF(OR(E3702="",E3702="!!!",F3702="NEW"),"",INDEX(J$1:J3701,SUMPRODUCT(MAX(ROW(E$1:E3701)*(E3702=E$1:E3701)))))</f>
        <v> </v>
      </c>
      <c r="L3702" s="26"/>
    </row>
    <row r="3703" spans="1:12">
      <c r="A3703" s="20" t="s">
        <v>795</v>
      </c>
      <c r="E3703" s="21">
        <f>IF(D3703="?OLD","!!!","")</f>
        <v/>
      </c>
      <c r="F3703" s="22" t="str">
        <f>IF(OR(E3703="",E3703="!!!"),"",IF(NOT(ISNA(VLOOKUP(E3703,E$1:E3702,1,FALSE()))),"OLD",IF(AND(E3703&lt;&gt;"",E3703&lt;&gt;"!!!"),"NEW","")))</f>
        <v> </v>
      </c>
      <c r="G3703" s="23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4" t="str">
        <f>IF(J3703&lt;&gt;1,"",IF(I3703="SBJ","CB","?"))</f>
        <v> </v>
      </c>
      <c r="I3703" s="25" t="str">
        <f>IF(OR(E3703="",E3703="!!!",F3703="NEW"),"",INDEX(B3702:B$2,-1+SUMPRODUCT(MAX(ROW(E3702:E$2)*(E3703=E3702:E$2)))))</f>
        <v> </v>
      </c>
      <c r="J3703" s="25" t="str">
        <f>IF(OR(E3703="",E3703="!!!",F3703="NEW"),"",COUNTBLANK(OFFSET(A$1,,,SUMPRODUCT(MAX(ROW(E$2:E3703)*(E3703=E$2:E3703)))))-COUNTBLANK(OFFSET(A$1,,,SUMPRODUCT(MAX(ROW(E$1:E3702)*(E2=E$1:E3702))))))</f>
        <v> </v>
      </c>
      <c r="K3703" s="25" t="str">
        <f>IF(OR(E3703="",E3703="!!!",F3703="NEW"),"",INDEX(J$1:J3702,SUMPRODUCT(MAX(ROW(E$1:E3702)*(E3703=E$1:E3702)))))</f>
        <v> </v>
      </c>
      <c r="L3703" s="26"/>
    </row>
    <row r="3704" spans="1:12">
      <c r="A3704" s="20" t="s">
        <v>1887</v>
      </c>
      <c r="B3704" s="27" t="s">
        <v>874</v>
      </c>
      <c r="C3704" s="27" t="s">
        <v>879</v>
      </c>
      <c r="E3704" s="21">
        <f>IF(D3704="?OLD","!!!","")</f>
        <v/>
      </c>
      <c r="F3704" s="22" t="str">
        <f>IF(OR(E3704="",E3704="!!!"),"",IF(NOT(ISNA(VLOOKUP(E3704,E$1:E3703,1,FALSE()))),"OLD",IF(AND(E3704&lt;&gt;"",E3704&lt;&gt;"!!!"),"NEW","")))</f>
        <v> </v>
      </c>
      <c r="G3704" s="23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4" t="str">
        <f>IF(J3704&lt;&gt;1,"",IF(I3704="SBJ","CB","?"))</f>
        <v> </v>
      </c>
      <c r="I3704" s="25" t="str">
        <f>IF(OR(E3704="",E3704="!!!",F3704="NEW"),"",INDEX(B3703:B$2,-1+SUMPRODUCT(MAX(ROW(E3703:E$2)*(E3704=E3703:E$2)))))</f>
        <v> </v>
      </c>
      <c r="J3704" s="25" t="str">
        <f>IF(OR(E3704="",E3704="!!!",F3704="NEW"),"",COUNTBLANK(OFFSET(A$1,,,SUMPRODUCT(MAX(ROW(E$2:E3704)*(E3704=E$2:E3704)))))-COUNTBLANK(OFFSET(A$1,,,SUMPRODUCT(MAX(ROW(E$1:E3703)*(E2=E$1:E3703))))))</f>
        <v> </v>
      </c>
      <c r="K3704" s="25" t="str">
        <f>IF(OR(E3704="",E3704="!!!",F3704="NEW"),"",INDEX(J$1:J3703,SUMPRODUCT(MAX(ROW(E$1:E3703)*(E3704=E$1:E3703)))))</f>
        <v> </v>
      </c>
      <c r="L3704" s="26"/>
    </row>
    <row r="3705" spans="1:12">
      <c r="A3705" s="20" t="s">
        <v>2338</v>
      </c>
      <c r="E3705" s="21">
        <f>IF(D3705="?OLD","!!!","")</f>
        <v/>
      </c>
      <c r="F3705" s="22" t="str">
        <f>IF(OR(E3705="",E3705="!!!"),"",IF(NOT(ISNA(VLOOKUP(E3705,E$1:E3704,1,FALSE()))),"OLD",IF(AND(E3705&lt;&gt;"",E3705&lt;&gt;"!!!"),"NEW","")))</f>
        <v> </v>
      </c>
      <c r="G3705" s="23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4" t="str">
        <f>IF(J3705&lt;&gt;1,"",IF(I3705="SBJ","CB","?"))</f>
        <v> </v>
      </c>
      <c r="I3705" s="25" t="str">
        <f>IF(OR(E3705="",E3705="!!!",F3705="NEW"),"",INDEX(B3704:B$2,-1+SUMPRODUCT(MAX(ROW(E3704:E$2)*(E3705=E3704:E$2)))))</f>
        <v> </v>
      </c>
      <c r="J3705" s="25" t="str">
        <f>IF(OR(E3705="",E3705="!!!",F3705="NEW"),"",COUNTBLANK(OFFSET(A$1,,,SUMPRODUCT(MAX(ROW(E$2:E3705)*(E3705=E$2:E3705)))))-COUNTBLANK(OFFSET(A$1,,,SUMPRODUCT(MAX(ROW(E$1:E3704)*(E2=E$1:E3704))))))</f>
        <v> </v>
      </c>
      <c r="K3705" s="25" t="str">
        <f>IF(OR(E3705="",E3705="!!!",F3705="NEW"),"",INDEX(J$1:J3704,SUMPRODUCT(MAX(ROW(E$1:E3704)*(E3705=E$1:E3704)))))</f>
        <v> </v>
      </c>
      <c r="L3705" s="26"/>
    </row>
    <row r="3706" spans="1:12">
      <c r="A3706" s="20" t="s">
        <v>821</v>
      </c>
      <c r="E3706" s="21">
        <f>IF(D3706="?OLD","!!!","")</f>
        <v/>
      </c>
      <c r="F3706" s="22" t="str">
        <f>IF(OR(E3706="",E3706="!!!"),"",IF(NOT(ISNA(VLOOKUP(E3706,E$1:E3705,1,FALSE()))),"OLD",IF(AND(E3706&lt;&gt;"",E3706&lt;&gt;"!!!"),"NEW","")))</f>
        <v> </v>
      </c>
      <c r="G3706" s="23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4" t="str">
        <f>IF(J3706&lt;&gt;1,"",IF(I3706="SBJ","CB","?"))</f>
        <v> </v>
      </c>
      <c r="I3706" s="25" t="str">
        <f>IF(OR(E3706="",E3706="!!!",F3706="NEW"),"",INDEX(B3705:B$2,-1+SUMPRODUCT(MAX(ROW(E3705:E$2)*(E3706=E3705:E$2)))))</f>
        <v> </v>
      </c>
      <c r="J3706" s="25" t="str">
        <f>IF(OR(E3706="",E3706="!!!",F3706="NEW"),"",COUNTBLANK(OFFSET(A$1,,,SUMPRODUCT(MAX(ROW(E$2:E3706)*(E3706=E$2:E3706)))))-COUNTBLANK(OFFSET(A$1,,,SUMPRODUCT(MAX(ROW(E$1:E3705)*(E2=E$1:E3705))))))</f>
        <v> </v>
      </c>
      <c r="K3706" s="25" t="str">
        <f>IF(OR(E3706="",E3706="!!!",F3706="NEW"),"",INDEX(J$1:J3705,SUMPRODUCT(MAX(ROW(E$1:E3705)*(E3706=E$1:E3705)))))</f>
        <v> </v>
      </c>
      <c r="L3706" s="26"/>
    </row>
    <row r="3707" spans="1:12">
      <c r="A3707" s="20" t="s">
        <v>1125</v>
      </c>
      <c r="E3707" s="21">
        <f>IF(D3707="?OLD","!!!","")</f>
        <v/>
      </c>
      <c r="F3707" s="22" t="str">
        <f>IF(OR(E3707="",E3707="!!!"),"",IF(NOT(ISNA(VLOOKUP(E3707,E$1:E3706,1,FALSE()))),"OLD",IF(AND(E3707&lt;&gt;"",E3707&lt;&gt;"!!!"),"NEW","")))</f>
        <v> </v>
      </c>
      <c r="G3707" s="23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4" t="str">
        <f>IF(J3707&lt;&gt;1,"",IF(I3707="SBJ","CB","?"))</f>
        <v> </v>
      </c>
      <c r="I3707" s="25" t="str">
        <f>IF(OR(E3707="",E3707="!!!",F3707="NEW"),"",INDEX(B3706:B$2,-1+SUMPRODUCT(MAX(ROW(E3706:E$2)*(E3707=E3706:E$2)))))</f>
        <v> </v>
      </c>
      <c r="J3707" s="25" t="str">
        <f>IF(OR(E3707="",E3707="!!!",F3707="NEW"),"",COUNTBLANK(OFFSET(A$1,,,SUMPRODUCT(MAX(ROW(E$2:E3707)*(E3707=E$2:E3707)))))-COUNTBLANK(OFFSET(A$1,,,SUMPRODUCT(MAX(ROW(E$1:E3706)*(E2=E$1:E3706))))))</f>
        <v> </v>
      </c>
      <c r="K3707" s="25" t="str">
        <f>IF(OR(E3707="",E3707="!!!",F3707="NEW"),"",INDEX(J$1:J3706,SUMPRODUCT(MAX(ROW(E$1:E3706)*(E3707=E$1:E3706)))))</f>
        <v> </v>
      </c>
      <c r="L3707" s="26"/>
    </row>
    <row r="3708" spans="1:12">
      <c r="A3708" s="20" t="s">
        <v>825</v>
      </c>
      <c r="E3708" s="21">
        <f>IF(D3708="?OLD","!!!","")</f>
        <v/>
      </c>
      <c r="F3708" s="22" t="str">
        <f>IF(OR(E3708="",E3708="!!!"),"",IF(NOT(ISNA(VLOOKUP(E3708,E$1:E3707,1,FALSE()))),"OLD",IF(AND(E3708&lt;&gt;"",E3708&lt;&gt;"!!!"),"NEW","")))</f>
        <v> </v>
      </c>
      <c r="G3708" s="23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4" t="str">
        <f>IF(J3708&lt;&gt;1,"",IF(I3708="SBJ","CB","?"))</f>
        <v> </v>
      </c>
      <c r="I3708" s="25" t="str">
        <f>IF(OR(E3708="",E3708="!!!",F3708="NEW"),"",INDEX(B3707:B$2,-1+SUMPRODUCT(MAX(ROW(E3707:E$2)*(E3708=E3707:E$2)))))</f>
        <v> </v>
      </c>
      <c r="J3708" s="25" t="str">
        <f>IF(OR(E3708="",E3708="!!!",F3708="NEW"),"",COUNTBLANK(OFFSET(A$1,,,SUMPRODUCT(MAX(ROW(E$2:E3708)*(E3708=E$2:E3708)))))-COUNTBLANK(OFFSET(A$1,,,SUMPRODUCT(MAX(ROW(E$1:E3707)*(E2=E$1:E3707))))))</f>
        <v> </v>
      </c>
      <c r="K3708" s="25" t="str">
        <f>IF(OR(E3708="",E3708="!!!",F3708="NEW"),"",INDEX(J$1:J3707,SUMPRODUCT(MAX(ROW(E$1:E3707)*(E3708=E$1:E3707)))))</f>
        <v> </v>
      </c>
      <c r="L3708" s="26"/>
    </row>
    <row r="3709" spans="1:12">
      <c r="A3709" s="20" t="s">
        <v>952</v>
      </c>
      <c r="B3709" s="27" t="s">
        <v>829</v>
      </c>
      <c r="C3709" s="27" t="s">
        <v>896</v>
      </c>
      <c r="D3709" s="27" t="s">
        <v>801</v>
      </c>
      <c r="E3709" s="21">
        <f>IF(D3709="?OLD","!!!","")</f>
        <v/>
      </c>
      <c r="F3709" s="22" t="str">
        <f>IF(OR(E3709="",E3709="!!!"),"",IF(NOT(ISNA(VLOOKUP(E3709,E$1:E3708,1,FALSE()))),"OLD",IF(AND(E3709&lt;&gt;"",E3709&lt;&gt;"!!!"),"NEW","")))</f>
        <v> </v>
      </c>
      <c r="G3709" s="23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4" t="str">
        <f>IF(J3709&lt;&gt;1,"",IF(I3709="SBJ","CB","?"))</f>
        <v> </v>
      </c>
      <c r="I3709" s="25" t="str">
        <f>IF(OR(E3709="",E3709="!!!",F3709="NEW"),"",INDEX(B3708:B$2,-1+SUMPRODUCT(MAX(ROW(E3708:E$2)*(E3709=E3708:E$2)))))</f>
        <v> </v>
      </c>
      <c r="J3709" s="25" t="str">
        <f>IF(OR(E3709="",E3709="!!!",F3709="NEW"),"",COUNTBLANK(OFFSET(A$1,,,SUMPRODUCT(MAX(ROW(E$2:E3709)*(E3709=E$2:E3709)))))-COUNTBLANK(OFFSET(A$1,,,SUMPRODUCT(MAX(ROW(E$1:E3708)*(E2=E$1:E3708))))))</f>
        <v> </v>
      </c>
      <c r="K3709" s="25" t="str">
        <f>IF(OR(E3709="",E3709="!!!",F3709="NEW"),"",INDEX(J$1:J3708,SUMPRODUCT(MAX(ROW(E$1:E3708)*(E3709=E$1:E3708)))))</f>
        <v> </v>
      </c>
      <c r="L3709" s="26"/>
    </row>
    <row r="3710" spans="1:12">
      <c r="A3710" s="20" t="s">
        <v>2340</v>
      </c>
      <c r="E3710" s="21">
        <f>IF(D3710="?OLD","!!!","")</f>
        <v/>
      </c>
      <c r="F3710" s="22" t="str">
        <f>IF(OR(E3710="",E3710="!!!"),"",IF(NOT(ISNA(VLOOKUP(E3710,E$1:E3709,1,FALSE()))),"OLD",IF(AND(E3710&lt;&gt;"",E3710&lt;&gt;"!!!"),"NEW","")))</f>
        <v> </v>
      </c>
      <c r="G3710" s="23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4" t="str">
        <f>IF(J3710&lt;&gt;1,"",IF(I3710="SBJ","CB","?"))</f>
        <v> </v>
      </c>
      <c r="I3710" s="25" t="str">
        <f>IF(OR(E3710="",E3710="!!!",F3710="NEW"),"",INDEX(B3709:B$2,-1+SUMPRODUCT(MAX(ROW(E3709:E$2)*(E3710=E3709:E$2)))))</f>
        <v> </v>
      </c>
      <c r="J3710" s="25" t="str">
        <f>IF(OR(E3710="",E3710="!!!",F3710="NEW"),"",COUNTBLANK(OFFSET(A$1,,,SUMPRODUCT(MAX(ROW(E$2:E3710)*(E3710=E$2:E3710)))))-COUNTBLANK(OFFSET(A$1,,,SUMPRODUCT(MAX(ROW(E$1:E3709)*(E2=E$1:E3709))))))</f>
        <v> </v>
      </c>
      <c r="K3710" s="25" t="str">
        <f>IF(OR(E3710="",E3710="!!!",F3710="NEW"),"",INDEX(J$1:J3709,SUMPRODUCT(MAX(ROW(E$1:E3709)*(E3710=E$1:E3709)))))</f>
        <v> </v>
      </c>
      <c r="L3710" s="26"/>
    </row>
    <row r="3711" spans="1:12">
      <c r="A3711" s="20" t="s">
        <v>795</v>
      </c>
      <c r="E3711" s="21">
        <f>IF(D3711="?OLD","!!!","")</f>
        <v/>
      </c>
      <c r="F3711" s="22" t="str">
        <f>IF(OR(E3711="",E3711="!!!"),"",IF(NOT(ISNA(VLOOKUP(E3711,E$1:E3710,1,FALSE()))),"OLD",IF(AND(E3711&lt;&gt;"",E3711&lt;&gt;"!!!"),"NEW","")))</f>
        <v> </v>
      </c>
      <c r="G3711" s="23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4" t="str">
        <f>IF(J3711&lt;&gt;1,"",IF(I3711="SBJ","CB","?"))</f>
        <v> </v>
      </c>
      <c r="I3711" s="25" t="str">
        <f>IF(OR(E3711="",E3711="!!!",F3711="NEW"),"",INDEX(B3710:B$2,-1+SUMPRODUCT(MAX(ROW(E3710:E$2)*(E3711=E3710:E$2)))))</f>
        <v> </v>
      </c>
      <c r="J3711" s="25" t="str">
        <f>IF(OR(E3711="",E3711="!!!",F3711="NEW"),"",COUNTBLANK(OFFSET(A$1,,,SUMPRODUCT(MAX(ROW(E$2:E3711)*(E3711=E$2:E3711)))))-COUNTBLANK(OFFSET(A$1,,,SUMPRODUCT(MAX(ROW(E$1:E3710)*(E2=E$1:E3710))))))</f>
        <v> </v>
      </c>
      <c r="K3711" s="25" t="str">
        <f>IF(OR(E3711="",E3711="!!!",F3711="NEW"),"",INDEX(J$1:J3710,SUMPRODUCT(MAX(ROW(E$1:E3710)*(E3711=E$1:E3710)))))</f>
        <v> </v>
      </c>
      <c r="L3711" s="26"/>
    </row>
    <row r="3712" spans="1:12">
      <c r="A3712" s="20" t="s">
        <v>877</v>
      </c>
      <c r="E3712" s="21">
        <f>IF(D3712="?OLD","!!!","")</f>
        <v/>
      </c>
      <c r="F3712" s="22" t="str">
        <f>IF(OR(E3712="",E3712="!!!"),"",IF(NOT(ISNA(VLOOKUP(E3712,E$1:E3711,1,FALSE()))),"OLD",IF(AND(E3712&lt;&gt;"",E3712&lt;&gt;"!!!"),"NEW","")))</f>
        <v> </v>
      </c>
      <c r="G3712" s="23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4" t="str">
        <f>IF(J3712&lt;&gt;1,"",IF(I3712="SBJ","CB","?"))</f>
        <v> </v>
      </c>
      <c r="I3712" s="25" t="str">
        <f>IF(OR(E3712="",E3712="!!!",F3712="NEW"),"",INDEX(B3711:B$2,-1+SUMPRODUCT(MAX(ROW(E3711:E$2)*(E3712=E3711:E$2)))))</f>
        <v> </v>
      </c>
      <c r="J3712" s="25" t="str">
        <f>IF(OR(E3712="",E3712="!!!",F3712="NEW"),"",COUNTBLANK(OFFSET(A$1,,,SUMPRODUCT(MAX(ROW(E$2:E3712)*(E3712=E$2:E3712)))))-COUNTBLANK(OFFSET(A$1,,,SUMPRODUCT(MAX(ROW(E$1:E3711)*(E2=E$1:E3711))))))</f>
        <v> </v>
      </c>
      <c r="K3712" s="25" t="str">
        <f>IF(OR(E3712="",E3712="!!!",F3712="NEW"),"",INDEX(J$1:J3711,SUMPRODUCT(MAX(ROW(E$1:E3711)*(E3712=E$1:E3711)))))</f>
        <v> </v>
      </c>
      <c r="L3712" s="26"/>
    </row>
    <row r="3713" spans="1:12">
      <c r="A3713" s="20" t="s">
        <v>2341</v>
      </c>
      <c r="E3713" s="21">
        <f>IF(D3713="?OLD","!!!","")</f>
        <v/>
      </c>
      <c r="F3713" s="22" t="str">
        <f>IF(OR(E3713="",E3713="!!!"),"",IF(NOT(ISNA(VLOOKUP(E3713,E$1:E3712,1,FALSE()))),"OLD",IF(AND(E3713&lt;&gt;"",E3713&lt;&gt;"!!!"),"NEW","")))</f>
        <v> </v>
      </c>
      <c r="G3713" s="23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4" t="str">
        <f>IF(J3713&lt;&gt;1,"",IF(I3713="SBJ","CB","?"))</f>
        <v> </v>
      </c>
      <c r="I3713" s="25" t="str">
        <f>IF(OR(E3713="",E3713="!!!",F3713="NEW"),"",INDEX(B3712:B$2,-1+SUMPRODUCT(MAX(ROW(E3712:E$2)*(E3713=E3712:E$2)))))</f>
        <v> </v>
      </c>
      <c r="J3713" s="25" t="str">
        <f>IF(OR(E3713="",E3713="!!!",F3713="NEW"),"",COUNTBLANK(OFFSET(A$1,,,SUMPRODUCT(MAX(ROW(E$2:E3713)*(E3713=E$2:E3713)))))-COUNTBLANK(OFFSET(A$1,,,SUMPRODUCT(MAX(ROW(E$1:E3712)*(E2=E$1:E3712))))))</f>
        <v> </v>
      </c>
      <c r="K3713" s="25" t="str">
        <f>IF(OR(E3713="",E3713="!!!",F3713="NEW"),"",INDEX(J$1:J3712,SUMPRODUCT(MAX(ROW(E$1:E3712)*(E3713=E$1:E3712)))))</f>
        <v> </v>
      </c>
      <c r="L3713" s="26"/>
    </row>
    <row r="3714" spans="1:12">
      <c r="A3714" s="20" t="s">
        <v>795</v>
      </c>
      <c r="E3714" s="21">
        <f>IF(D3714="?OLD","!!!","")</f>
        <v/>
      </c>
      <c r="F3714" s="22" t="str">
        <f>IF(OR(E3714="",E3714="!!!"),"",IF(NOT(ISNA(VLOOKUP(E3714,E$1:E3713,1,FALSE()))),"OLD",IF(AND(E3714&lt;&gt;"",E3714&lt;&gt;"!!!"),"NEW","")))</f>
        <v> </v>
      </c>
      <c r="G3714" s="23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4" t="str">
        <f>IF(J3714&lt;&gt;1,"",IF(I3714="SBJ","CB","?"))</f>
        <v> </v>
      </c>
      <c r="I3714" s="25" t="str">
        <f>IF(OR(E3714="",E3714="!!!",F3714="NEW"),"",INDEX(B3713:B$2,-1+SUMPRODUCT(MAX(ROW(E3713:E$2)*(E3714=E3713:E$2)))))</f>
        <v> </v>
      </c>
      <c r="J3714" s="25" t="str">
        <f>IF(OR(E3714="",E3714="!!!",F3714="NEW"),"",COUNTBLANK(OFFSET(A$1,,,SUMPRODUCT(MAX(ROW(E$2:E3714)*(E3714=E$2:E3714)))))-COUNTBLANK(OFFSET(A$1,,,SUMPRODUCT(MAX(ROW(E$1:E3713)*(E2=E$1:E3713))))))</f>
        <v> </v>
      </c>
      <c r="K3714" s="25" t="str">
        <f>IF(OR(E3714="",E3714="!!!",F3714="NEW"),"",INDEX(J$1:J3713,SUMPRODUCT(MAX(ROW(E$1:E3713)*(E3714=E$1:E3713)))))</f>
        <v> </v>
      </c>
      <c r="L3714" s="26"/>
    </row>
    <row r="3715" spans="1:12">
      <c r="A3715" s="20" t="s">
        <v>721</v>
      </c>
      <c r="B3715" s="27" t="s">
        <v>1179</v>
      </c>
      <c r="E3715" s="21">
        <f>IF(D3715="?OLD","!!!","")</f>
        <v/>
      </c>
      <c r="F3715" s="22" t="str">
        <f>IF(OR(E3715="",E3715="!!!"),"",IF(NOT(ISNA(VLOOKUP(E3715,E$1:E3714,1,FALSE()))),"OLD",IF(AND(E3715&lt;&gt;"",E3715&lt;&gt;"!!!"),"NEW","")))</f>
        <v> </v>
      </c>
      <c r="G3715" s="23" t="str">
        <f>IF(OR(E3715="",E3715="!!!"),"",IF(OR(J3715=0,AND(J3715=1,K3715=1),AND(J3715=1,I3715="SBJ"),AND(J3715=1,I3715=0)),"?IN_FOCUS",IF(J3715&lt;=2,"?ACTIVATED",IF(J3715&lt;&gt;"","?FAMILIAR",IF(F3715="NEW",IF(ISNA(VLOOKUP(E3715,#REF!,1,FALSE())),"?TYPE_IDENTIFIABLE","?REFERENTIAL"),"_")))))</f>
        <v> </v>
      </c>
      <c r="H3715" s="24" t="str">
        <f>IF(J3715&lt;&gt;1,"",IF(I3715="SBJ","CB","?"))</f>
        <v> </v>
      </c>
      <c r="I3715" s="25" t="str">
        <f>IF(OR(E3715="",E3715="!!!",F3715="NEW"),"",INDEX(B3714:B$2,-1+SUMPRODUCT(MAX(ROW(E3714:E$2)*(E3715=E3714:E$2)))))</f>
        <v> </v>
      </c>
      <c r="J3715" s="25" t="str">
        <f>IF(OR(E3715="",E3715="!!!",F3715="NEW"),"",COUNTBLANK(OFFSET(A$1,,,SUMPRODUCT(MAX(ROW(E$2:E3715)*(E3715=E$2:E3715)))))-COUNTBLANK(OFFSET(A$1,,,SUMPRODUCT(MAX(ROW(E$1:E3714)*(E2=E$1:E3714))))))</f>
        <v> </v>
      </c>
      <c r="K3715" s="25" t="str">
        <f>IF(OR(E3715="",E3715="!!!",F3715="NEW"),"",INDEX(J$1:J3714,SUMPRODUCT(MAX(ROW(E$1:E3714)*(E3715=E$1:E3714)))))</f>
        <v> </v>
      </c>
      <c r="L3715" s="26"/>
    </row>
    <row r="3716" spans="1:12">
      <c r="A3716" s="20" t="s">
        <v>2338</v>
      </c>
      <c r="E3716" s="21">
        <f>IF(D3716="?OLD","!!!","")</f>
        <v/>
      </c>
      <c r="F3716" s="22" t="str">
        <f>IF(OR(E3716="",E3716="!!!"),"",IF(NOT(ISNA(VLOOKUP(E3716,E$1:E3715,1,FALSE()))),"OLD",IF(AND(E3716&lt;&gt;"",E3716&lt;&gt;"!!!"),"NEW","")))</f>
        <v> </v>
      </c>
      <c r="G3716" s="23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4" t="str">
        <f>IF(J3716&lt;&gt;1,"",IF(I3716="SBJ","CB","?"))</f>
        <v> </v>
      </c>
      <c r="I3716" s="25" t="str">
        <f>IF(OR(E3716="",E3716="!!!",F3716="NEW"),"",INDEX(B3715:B$2,-1+SUMPRODUCT(MAX(ROW(E3715:E$2)*(E3716=E3715:E$2)))))</f>
        <v> </v>
      </c>
      <c r="J3716" s="25" t="str">
        <f>IF(OR(E3716="",E3716="!!!",F3716="NEW"),"",COUNTBLANK(OFFSET(A$1,,,SUMPRODUCT(MAX(ROW(E$2:E3716)*(E3716=E$2:E3716)))))-COUNTBLANK(OFFSET(A$1,,,SUMPRODUCT(MAX(ROW(E$1:E3715)*(E2=E$1:E3715))))))</f>
        <v> </v>
      </c>
      <c r="K3716" s="25" t="str">
        <f>IF(OR(E3716="",E3716="!!!",F3716="NEW"),"",INDEX(J$1:J3715,SUMPRODUCT(MAX(ROW(E$1:E3715)*(E3716=E$1:E3715)))))</f>
        <v> </v>
      </c>
      <c r="L3716" s="26"/>
    </row>
    <row r="3717" spans="1:12">
      <c r="A3717" s="20" t="s">
        <v>2337</v>
      </c>
      <c r="B3717" s="27" t="s">
        <v>953</v>
      </c>
      <c r="C3717" s="27" t="s">
        <v>879</v>
      </c>
      <c r="E3717" s="21">
        <f>IF(D3717="?OLD","!!!","")</f>
        <v/>
      </c>
      <c r="F3717" s="22" t="str">
        <f>IF(OR(E3717="",E3717="!!!"),"",IF(NOT(ISNA(VLOOKUP(E3717,E$1:E3716,1,FALSE()))),"OLD",IF(AND(E3717&lt;&gt;"",E3717&lt;&gt;"!!!"),"NEW","")))</f>
        <v> </v>
      </c>
      <c r="G3717" s="23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4" t="str">
        <f>IF(J3717&lt;&gt;1,"",IF(I3717="SBJ","CB","?"))</f>
        <v> </v>
      </c>
      <c r="I3717" s="25" t="str">
        <f>IF(OR(E3717="",E3717="!!!",F3717="NEW"),"",INDEX(B3716:B$2,-1+SUMPRODUCT(MAX(ROW(E3716:E$2)*(E3717=E3716:E$2)))))</f>
        <v> </v>
      </c>
      <c r="J3717" s="25" t="str">
        <f>IF(OR(E3717="",E3717="!!!",F3717="NEW"),"",COUNTBLANK(OFFSET(A$1,,,SUMPRODUCT(MAX(ROW(E$2:E3717)*(E3717=E$2:E3717)))))-COUNTBLANK(OFFSET(A$1,,,SUMPRODUCT(MAX(ROW(E$1:E3716)*(E2=E$1:E3716))))))</f>
        <v> </v>
      </c>
      <c r="K3717" s="25" t="str">
        <f>IF(OR(E3717="",E3717="!!!",F3717="NEW"),"",INDEX(J$1:J3716,SUMPRODUCT(MAX(ROW(E$1:E3716)*(E3717=E$1:E3716)))))</f>
        <v> </v>
      </c>
      <c r="L3717" s="26"/>
    </row>
    <row r="3718" spans="1:12">
      <c r="A3718" s="20" t="s">
        <v>2342</v>
      </c>
      <c r="E3718" s="21">
        <f>IF(D3718="?OLD","!!!","")</f>
        <v/>
      </c>
      <c r="F3718" s="22" t="str">
        <f>IF(OR(E3718="",E3718="!!!"),"",IF(NOT(ISNA(VLOOKUP(E3718,E$1:E3717,1,FALSE()))),"OLD",IF(AND(E3718&lt;&gt;"",E3718&lt;&gt;"!!!"),"NEW","")))</f>
        <v> </v>
      </c>
      <c r="G3718" s="23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4" t="str">
        <f>IF(J3718&lt;&gt;1,"",IF(I3718="SBJ","CB","?"))</f>
        <v> </v>
      </c>
      <c r="I3718" s="25" t="str">
        <f>IF(OR(E3718="",E3718="!!!",F3718="NEW"),"",INDEX(B3717:B$2,-1+SUMPRODUCT(MAX(ROW(E3717:E$2)*(E3718=E3717:E$2)))))</f>
        <v> </v>
      </c>
      <c r="J3718" s="25" t="str">
        <f>IF(OR(E3718="",E3718="!!!",F3718="NEW"),"",COUNTBLANK(OFFSET(A$1,,,SUMPRODUCT(MAX(ROW(E$2:E3718)*(E3718=E$2:E3718)))))-COUNTBLANK(OFFSET(A$1,,,SUMPRODUCT(MAX(ROW(E$1:E3717)*(E2=E$1:E3717))))))</f>
        <v> </v>
      </c>
      <c r="K3718" s="25" t="str">
        <f>IF(OR(E3718="",E3718="!!!",F3718="NEW"),"",INDEX(J$1:J3717,SUMPRODUCT(MAX(ROW(E$1:E3717)*(E3718=E$1:E3717)))))</f>
        <v> </v>
      </c>
      <c r="L3718" s="26"/>
    </row>
    <row r="3719" spans="1:12">
      <c r="A3719" s="20" t="s">
        <v>803</v>
      </c>
      <c r="E3719" s="21">
        <f>IF(D3719="?OLD","!!!","")</f>
        <v/>
      </c>
      <c r="F3719" s="22" t="str">
        <f>IF(OR(E3719="",E3719="!!!"),"",IF(NOT(ISNA(VLOOKUP(E3719,E$1:E3718,1,FALSE()))),"OLD",IF(AND(E3719&lt;&gt;"",E3719&lt;&gt;"!!!"),"NEW","")))</f>
        <v> </v>
      </c>
      <c r="G3719" s="23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4" t="str">
        <f>IF(J3719&lt;&gt;1,"",IF(I3719="SBJ","CB","?"))</f>
        <v> </v>
      </c>
      <c r="I3719" s="25" t="str">
        <f>IF(OR(E3719="",E3719="!!!",F3719="NEW"),"",INDEX(B3718:B$2,-1+SUMPRODUCT(MAX(ROW(E3718:E$2)*(E3719=E3718:E$2)))))</f>
        <v> </v>
      </c>
      <c r="J3719" s="25" t="str">
        <f>IF(OR(E3719="",E3719="!!!",F3719="NEW"),"",COUNTBLANK(OFFSET(A$1,,,SUMPRODUCT(MAX(ROW(E$2:E3719)*(E3719=E$2:E3719)))))-COUNTBLANK(OFFSET(A$1,,,SUMPRODUCT(MAX(ROW(E$1:E3718)*(E2=E$1:E3718))))))</f>
        <v> </v>
      </c>
      <c r="K3719" s="25" t="str">
        <f>IF(OR(E3719="",E3719="!!!",F3719="NEW"),"",INDEX(J$1:J3718,SUMPRODUCT(MAX(ROW(E$1:E3718)*(E3719=E$1:E3718)))))</f>
        <v> </v>
      </c>
      <c r="L3719" s="26"/>
    </row>
    <row r="3720" spans="1:12">
      <c r="A3720" s="20"/>
    </row>
    <row r="3721" spans="1:12">
      <c r="A3721" s="20" t="s">
        <v>2343</v>
      </c>
    </row>
    <row r="3722" spans="1:12">
      <c r="A3722" s="20" t="s">
        <v>1762</v>
      </c>
      <c r="B3722" s="27" t="s">
        <v>799</v>
      </c>
      <c r="C3722" s="27" t="s">
        <v>816</v>
      </c>
      <c r="D3722" s="27" t="s">
        <v>801</v>
      </c>
      <c r="E3722" s="21">
        <f>IF(D3722="?OLD","!!!","")</f>
        <v/>
      </c>
      <c r="F3722" s="22" t="str">
        <f>IF(OR(E3722="",E3722="!!!"),"",IF(NOT(ISNA(VLOOKUP(E3722,E$1:E3721,1,FALSE()))),"OLD",IF(AND(E3722&lt;&gt;"",E3722&lt;&gt;"!!!"),"NEW","")))</f>
        <v> </v>
      </c>
      <c r="G3722" s="23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4" t="str">
        <f>IF(J3722&lt;&gt;1,"",IF(I3722="SBJ","CB","?"))</f>
        <v> </v>
      </c>
      <c r="I3722" s="25" t="str">
        <f>IF(OR(E3722="",E3722="!!!",F3722="NEW"),"",INDEX(B3721:B$2,-1+SUMPRODUCT(MAX(ROW(E3721:E$2)*(E3722=E3721:E$2)))))</f>
        <v> </v>
      </c>
      <c r="J3722" s="25" t="str">
        <f>IF(OR(E3722="",E3722="!!!",F3722="NEW"),"",COUNTBLANK(OFFSET(A$1,,,SUMPRODUCT(MAX(ROW(E$2:E3722)*(E3722=E$2:E3722)))))-COUNTBLANK(OFFSET(A$1,,,SUMPRODUCT(MAX(ROW(E$1:E3721)*(E2=E$1:E3721))))))</f>
        <v> </v>
      </c>
      <c r="K3722" s="25" t="str">
        <f>IF(OR(E3722="",E3722="!!!",F3722="NEW"),"",INDEX(J$1:J3721,SUMPRODUCT(MAX(ROW(E$1:E3721)*(E3722=E$1:E3721)))))</f>
        <v> </v>
      </c>
      <c r="L3722" s="26"/>
    </row>
    <row r="3723" spans="1:12">
      <c r="A3723" s="20" t="s">
        <v>2344</v>
      </c>
      <c r="E3723" s="21">
        <f>IF(D3723="?OLD","!!!","")</f>
        <v/>
      </c>
      <c r="F3723" s="22" t="str">
        <f>IF(OR(E3723="",E3723="!!!"),"",IF(NOT(ISNA(VLOOKUP(E3723,E$1:E3722,1,FALSE()))),"OLD",IF(AND(E3723&lt;&gt;"",E3723&lt;&gt;"!!!"),"NEW","")))</f>
        <v> </v>
      </c>
      <c r="G3723" s="23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4" t="str">
        <f>IF(J3723&lt;&gt;1,"",IF(I3723="SBJ","CB","?"))</f>
        <v> </v>
      </c>
      <c r="I3723" s="25" t="str">
        <f>IF(OR(E3723="",E3723="!!!",F3723="NEW"),"",INDEX(B3722:B$2,-1+SUMPRODUCT(MAX(ROW(E3722:E$2)*(E3723=E3722:E$2)))))</f>
        <v> </v>
      </c>
      <c r="J3723" s="25" t="str">
        <f>IF(OR(E3723="",E3723="!!!",F3723="NEW"),"",COUNTBLANK(OFFSET(A$1,,,SUMPRODUCT(MAX(ROW(E$2:E3723)*(E3723=E$2:E3723)))))-COUNTBLANK(OFFSET(A$1,,,SUMPRODUCT(MAX(ROW(E$1:E3722)*(E2=E$1:E3722))))))</f>
        <v> </v>
      </c>
      <c r="K3723" s="25" t="str">
        <f>IF(OR(E3723="",E3723="!!!",F3723="NEW"),"",INDEX(J$1:J3722,SUMPRODUCT(MAX(ROW(E$1:E3722)*(E3723=E$1:E3722)))))</f>
        <v> </v>
      </c>
      <c r="L3723" s="26"/>
    </row>
    <row r="3724" spans="1:12">
      <c r="A3724" s="20" t="s">
        <v>1384</v>
      </c>
      <c r="B3724" s="27" t="s">
        <v>921</v>
      </c>
      <c r="C3724" s="27" t="s">
        <v>816</v>
      </c>
      <c r="D3724" s="27" t="s">
        <v>801</v>
      </c>
      <c r="E3724" s="21">
        <f>IF(D3724="?OLD","!!!","")</f>
        <v/>
      </c>
      <c r="F3724" s="22" t="str">
        <f>IF(OR(E3724="",E3724="!!!"),"",IF(NOT(ISNA(VLOOKUP(E3724,E$1:E3723,1,FALSE()))),"OLD",IF(AND(E3724&lt;&gt;"",E3724&lt;&gt;"!!!"),"NEW","")))</f>
        <v> </v>
      </c>
      <c r="G3724" s="23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4" t="str">
        <f>IF(J3724&lt;&gt;1,"",IF(I3724="SBJ","CB","?"))</f>
        <v> </v>
      </c>
      <c r="I3724" s="25" t="str">
        <f>IF(OR(E3724="",E3724="!!!",F3724="NEW"),"",INDEX(B3723:B$2,-1+SUMPRODUCT(MAX(ROW(E3723:E$2)*(E3724=E3723:E$2)))))</f>
        <v> </v>
      </c>
      <c r="J3724" s="25" t="str">
        <f>IF(OR(E3724="",E3724="!!!",F3724="NEW"),"",COUNTBLANK(OFFSET(A$1,,,SUMPRODUCT(MAX(ROW(E$2:E3724)*(E3724=E$2:E3724)))))-COUNTBLANK(OFFSET(A$1,,,SUMPRODUCT(MAX(ROW(E$1:E3723)*(E2=E$1:E3723))))))</f>
        <v> </v>
      </c>
      <c r="K3724" s="25" t="str">
        <f>IF(OR(E3724="",E3724="!!!",F3724="NEW"),"",INDEX(J$1:J3723,SUMPRODUCT(MAX(ROW(E$1:E3723)*(E3724=E$1:E3723)))))</f>
        <v> </v>
      </c>
      <c r="L3724" s="26"/>
    </row>
    <row r="3725" spans="1:12">
      <c r="A3725" s="20" t="s">
        <v>2345</v>
      </c>
      <c r="E3725" s="21">
        <f>IF(D3725="?OLD","!!!","")</f>
        <v/>
      </c>
      <c r="F3725" s="22" t="str">
        <f>IF(OR(E3725="",E3725="!!!"),"",IF(NOT(ISNA(VLOOKUP(E3725,E$1:E3724,1,FALSE()))),"OLD",IF(AND(E3725&lt;&gt;"",E3725&lt;&gt;"!!!"),"NEW","")))</f>
        <v> </v>
      </c>
      <c r="G3725" s="23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4" t="str">
        <f>IF(J3725&lt;&gt;1,"",IF(I3725="SBJ","CB","?"))</f>
        <v> </v>
      </c>
      <c r="I3725" s="25" t="str">
        <f>IF(OR(E3725="",E3725="!!!",F3725="NEW"),"",INDEX(B3724:B$2,-1+SUMPRODUCT(MAX(ROW(E3724:E$2)*(E3725=E3724:E$2)))))</f>
        <v> </v>
      </c>
      <c r="J3725" s="25" t="str">
        <f>IF(OR(E3725="",E3725="!!!",F3725="NEW"),"",COUNTBLANK(OFFSET(A$1,,,SUMPRODUCT(MAX(ROW(E$2:E3725)*(E3725=E$2:E3725)))))-COUNTBLANK(OFFSET(A$1,,,SUMPRODUCT(MAX(ROW(E$1:E3724)*(E2=E$1:E3724))))))</f>
        <v> </v>
      </c>
      <c r="K3725" s="25" t="str">
        <f>IF(OR(E3725="",E3725="!!!",F3725="NEW"),"",INDEX(J$1:J3724,SUMPRODUCT(MAX(ROW(E$1:E3724)*(E3725=E$1:E3724)))))</f>
        <v> </v>
      </c>
      <c r="L3725" s="26"/>
    </row>
    <row r="3726" spans="1:12">
      <c r="A3726" s="20" t="s">
        <v>795</v>
      </c>
      <c r="E3726" s="21">
        <f>IF(D3726="?OLD","!!!","")</f>
        <v/>
      </c>
      <c r="F3726" s="22" t="str">
        <f>IF(OR(E3726="",E3726="!!!"),"",IF(NOT(ISNA(VLOOKUP(E3726,E$1:E3725,1,FALSE()))),"OLD",IF(AND(E3726&lt;&gt;"",E3726&lt;&gt;"!!!"),"NEW","")))</f>
        <v> </v>
      </c>
      <c r="G3726" s="23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4" t="str">
        <f>IF(J3726&lt;&gt;1,"",IF(I3726="SBJ","CB","?"))</f>
        <v> </v>
      </c>
      <c r="I3726" s="25" t="str">
        <f>IF(OR(E3726="",E3726="!!!",F3726="NEW"),"",INDEX(B3725:B$2,-1+SUMPRODUCT(MAX(ROW(E3725:E$2)*(E3726=E3725:E$2)))))</f>
        <v> </v>
      </c>
      <c r="J3726" s="25" t="str">
        <f>IF(OR(E3726="",E3726="!!!",F3726="NEW"),"",COUNTBLANK(OFFSET(A$1,,,SUMPRODUCT(MAX(ROW(E$2:E3726)*(E3726=E$2:E3726)))))-COUNTBLANK(OFFSET(A$1,,,SUMPRODUCT(MAX(ROW(E$1:E3725)*(E2=E$1:E3725))))))</f>
        <v> </v>
      </c>
      <c r="K3726" s="25" t="str">
        <f>IF(OR(E3726="",E3726="!!!",F3726="NEW"),"",INDEX(J$1:J3725,SUMPRODUCT(MAX(ROW(E$1:E3725)*(E3726=E$1:E3725)))))</f>
        <v> </v>
      </c>
      <c r="L3726" s="26"/>
    </row>
    <row r="3727" spans="1:12">
      <c r="A3727" s="20" t="s">
        <v>2346</v>
      </c>
      <c r="E3727" s="21">
        <f>IF(D3727="?OLD","!!!","")</f>
        <v/>
      </c>
      <c r="F3727" s="22" t="str">
        <f>IF(OR(E3727="",E3727="!!!"),"",IF(NOT(ISNA(VLOOKUP(E3727,E$1:E3726,1,FALSE()))),"OLD",IF(AND(E3727&lt;&gt;"",E3727&lt;&gt;"!!!"),"NEW","")))</f>
        <v> </v>
      </c>
      <c r="G3727" s="23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4" t="str">
        <f>IF(J3727&lt;&gt;1,"",IF(I3727="SBJ","CB","?"))</f>
        <v> </v>
      </c>
      <c r="I3727" s="25" t="str">
        <f>IF(OR(E3727="",E3727="!!!",F3727="NEW"),"",INDEX(B3726:B$2,-1+SUMPRODUCT(MAX(ROW(E3726:E$2)*(E3727=E3726:E$2)))))</f>
        <v> </v>
      </c>
      <c r="J3727" s="25" t="str">
        <f>IF(OR(E3727="",E3727="!!!",F3727="NEW"),"",COUNTBLANK(OFFSET(A$1,,,SUMPRODUCT(MAX(ROW(E$2:E3727)*(E3727=E$2:E3727)))))-COUNTBLANK(OFFSET(A$1,,,SUMPRODUCT(MAX(ROW(E$1:E3726)*(E2=E$1:E3726))))))</f>
        <v> </v>
      </c>
      <c r="K3727" s="25" t="str">
        <f>IF(OR(E3727="",E3727="!!!",F3727="NEW"),"",INDEX(J$1:J3726,SUMPRODUCT(MAX(ROW(E$1:E3726)*(E3727=E$1:E3726)))))</f>
        <v> </v>
      </c>
      <c r="L3727" s="26"/>
    </row>
    <row r="3728" spans="1:12">
      <c r="A3728" s="20" t="s">
        <v>2347</v>
      </c>
      <c r="B3728" s="27" t="s">
        <v>921</v>
      </c>
      <c r="E3728" s="21">
        <f>IF(D3728="?OLD","!!!","")</f>
        <v/>
      </c>
      <c r="F3728" s="22" t="str">
        <f>IF(OR(E3728="",E3728="!!!"),"",IF(NOT(ISNA(VLOOKUP(E3728,E$1:E3727,1,FALSE()))),"OLD",IF(AND(E3728&lt;&gt;"",E3728&lt;&gt;"!!!"),"NEW","")))</f>
        <v> </v>
      </c>
      <c r="G3728" s="23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4" t="str">
        <f>IF(J3728&lt;&gt;1,"",IF(I3728="SBJ","CB","?"))</f>
        <v> </v>
      </c>
      <c r="I3728" s="25" t="str">
        <f>IF(OR(E3728="",E3728="!!!",F3728="NEW"),"",INDEX(B3727:B$2,-1+SUMPRODUCT(MAX(ROW(E3727:E$2)*(E3728=E3727:E$2)))))</f>
        <v> </v>
      </c>
      <c r="J3728" s="25" t="str">
        <f>IF(OR(E3728="",E3728="!!!",F3728="NEW"),"",COUNTBLANK(OFFSET(A$1,,,SUMPRODUCT(MAX(ROW(E$2:E3728)*(E3728=E$2:E3728)))))-COUNTBLANK(OFFSET(A$1,,,SUMPRODUCT(MAX(ROW(E$1:E3727)*(E2=E$1:E3727))))))</f>
        <v> </v>
      </c>
      <c r="K3728" s="25" t="str">
        <f>IF(OR(E3728="",E3728="!!!",F3728="NEW"),"",INDEX(J$1:J3727,SUMPRODUCT(MAX(ROW(E$1:E3727)*(E3728=E$1:E3727)))))</f>
        <v> </v>
      </c>
      <c r="L3728" s="26"/>
    </row>
    <row r="3729" spans="1:12">
      <c r="A3729" s="20" t="s">
        <v>795</v>
      </c>
      <c r="E3729" s="21">
        <f>IF(D3729="?OLD","!!!","")</f>
        <v/>
      </c>
      <c r="F3729" s="22" t="str">
        <f>IF(OR(E3729="",E3729="!!!"),"",IF(NOT(ISNA(VLOOKUP(E3729,E$1:E3728,1,FALSE()))),"OLD",IF(AND(E3729&lt;&gt;"",E3729&lt;&gt;"!!!"),"NEW","")))</f>
        <v> </v>
      </c>
      <c r="G3729" s="23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4" t="str">
        <f>IF(J3729&lt;&gt;1,"",IF(I3729="SBJ","CB","?"))</f>
        <v> </v>
      </c>
      <c r="I3729" s="25" t="str">
        <f>IF(OR(E3729="",E3729="!!!",F3729="NEW"),"",INDEX(B3728:B$2,-1+SUMPRODUCT(MAX(ROW(E3728:E$2)*(E3729=E3728:E$2)))))</f>
        <v> </v>
      </c>
      <c r="J3729" s="25" t="str">
        <f>IF(OR(E3729="",E3729="!!!",F3729="NEW"),"",COUNTBLANK(OFFSET(A$1,,,SUMPRODUCT(MAX(ROW(E$2:E3729)*(E3729=E$2:E3729)))))-COUNTBLANK(OFFSET(A$1,,,SUMPRODUCT(MAX(ROW(E$1:E3728)*(E2=E$1:E3728))))))</f>
        <v> </v>
      </c>
      <c r="K3729" s="25" t="str">
        <f>IF(OR(E3729="",E3729="!!!",F3729="NEW"),"",INDEX(J$1:J3728,SUMPRODUCT(MAX(ROW(E$1:E3728)*(E3729=E$1:E3728)))))</f>
        <v> </v>
      </c>
      <c r="L3729" s="26"/>
    </row>
    <row r="3730" spans="1:12">
      <c r="A3730" s="20" t="s">
        <v>2348</v>
      </c>
      <c r="E3730" s="21">
        <f>IF(D3730="?OLD","!!!","")</f>
        <v/>
      </c>
      <c r="F3730" s="22" t="str">
        <f>IF(OR(E3730="",E3730="!!!"),"",IF(NOT(ISNA(VLOOKUP(E3730,E$1:E3729,1,FALSE()))),"OLD",IF(AND(E3730&lt;&gt;"",E3730&lt;&gt;"!!!"),"NEW","")))</f>
        <v> </v>
      </c>
      <c r="G3730" s="23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4" t="str">
        <f>IF(J3730&lt;&gt;1,"",IF(I3730="SBJ","CB","?"))</f>
        <v> </v>
      </c>
      <c r="I3730" s="25" t="str">
        <f>IF(OR(E3730="",E3730="!!!",F3730="NEW"),"",INDEX(B3729:B$2,-1+SUMPRODUCT(MAX(ROW(E3729:E$2)*(E3730=E3729:E$2)))))</f>
        <v> </v>
      </c>
      <c r="J3730" s="25" t="str">
        <f>IF(OR(E3730="",E3730="!!!",F3730="NEW"),"",COUNTBLANK(OFFSET(A$1,,,SUMPRODUCT(MAX(ROW(E$2:E3730)*(E3730=E$2:E3730)))))-COUNTBLANK(OFFSET(A$1,,,SUMPRODUCT(MAX(ROW(E$1:E3729)*(E2=E$1:E3729))))))</f>
        <v> </v>
      </c>
      <c r="K3730" s="25" t="str">
        <f>IF(OR(E3730="",E3730="!!!",F3730="NEW"),"",INDEX(J$1:J3729,SUMPRODUCT(MAX(ROW(E$1:E3729)*(E3730=E$1:E3729)))))</f>
        <v> </v>
      </c>
      <c r="L3730" s="26"/>
    </row>
    <row r="3731" spans="1:12">
      <c r="A3731" s="20" t="s">
        <v>914</v>
      </c>
      <c r="E3731" s="21">
        <f>IF(D3731="?OLD","!!!","")</f>
        <v/>
      </c>
      <c r="F3731" s="22" t="str">
        <f>IF(OR(E3731="",E3731="!!!"),"",IF(NOT(ISNA(VLOOKUP(E3731,E$1:E3730,1,FALSE()))),"OLD",IF(AND(E3731&lt;&gt;"",E3731&lt;&gt;"!!!"),"NEW","")))</f>
        <v> </v>
      </c>
      <c r="G3731" s="23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4" t="str">
        <f>IF(J3731&lt;&gt;1,"",IF(I3731="SBJ","CB","?"))</f>
        <v> </v>
      </c>
      <c r="I3731" s="25" t="str">
        <f>IF(OR(E3731="",E3731="!!!",F3731="NEW"),"",INDEX(B3730:B$2,-1+SUMPRODUCT(MAX(ROW(E3730:E$2)*(E3731=E3730:E$2)))))</f>
        <v> </v>
      </c>
      <c r="J3731" s="25" t="str">
        <f>IF(OR(E3731="",E3731="!!!",F3731="NEW"),"",COUNTBLANK(OFFSET(A$1,,,SUMPRODUCT(MAX(ROW(E$2:E3731)*(E3731=E$2:E3731)))))-COUNTBLANK(OFFSET(A$1,,,SUMPRODUCT(MAX(ROW(E$1:E3730)*(E2=E$1:E3730))))))</f>
        <v> </v>
      </c>
      <c r="K3731" s="25" t="str">
        <f>IF(OR(E3731="",E3731="!!!",F3731="NEW"),"",INDEX(J$1:J3730,SUMPRODUCT(MAX(ROW(E$1:E3730)*(E3731=E$1:E3730)))))</f>
        <v> </v>
      </c>
      <c r="L3731" s="26"/>
    </row>
    <row r="3732" spans="1:12">
      <c r="A3732" s="20" t="s">
        <v>980</v>
      </c>
      <c r="E3732" s="21">
        <f>IF(D3732="?OLD","!!!","")</f>
        <v/>
      </c>
      <c r="F3732" s="22" t="str">
        <f>IF(OR(E3732="",E3732="!!!"),"",IF(NOT(ISNA(VLOOKUP(E3732,E$1:E3731,1,FALSE()))),"OLD",IF(AND(E3732&lt;&gt;"",E3732&lt;&gt;"!!!"),"NEW","")))</f>
        <v> </v>
      </c>
      <c r="G3732" s="23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4" t="str">
        <f>IF(J3732&lt;&gt;1,"",IF(I3732="SBJ","CB","?"))</f>
        <v> </v>
      </c>
      <c r="I3732" s="25" t="str">
        <f>IF(OR(E3732="",E3732="!!!",F3732="NEW"),"",INDEX(B3731:B$2,-1+SUMPRODUCT(MAX(ROW(E3731:E$2)*(E3732=E3731:E$2)))))</f>
        <v> </v>
      </c>
      <c r="J3732" s="25" t="str">
        <f>IF(OR(E3732="",E3732="!!!",F3732="NEW"),"",COUNTBLANK(OFFSET(A$1,,,SUMPRODUCT(MAX(ROW(E$2:E3732)*(E3732=E$2:E3732)))))-COUNTBLANK(OFFSET(A$1,,,SUMPRODUCT(MAX(ROW(E$1:E3731)*(E2=E$1:E3731))))))</f>
        <v> </v>
      </c>
      <c r="K3732" s="25" t="str">
        <f>IF(OR(E3732="",E3732="!!!",F3732="NEW"),"",INDEX(J$1:J3731,SUMPRODUCT(MAX(ROW(E$1:E3731)*(E3732=E$1:E3731)))))</f>
        <v> </v>
      </c>
      <c r="L3732" s="26"/>
    </row>
    <row r="3733" spans="1:12">
      <c r="A3733" s="20" t="s">
        <v>2349</v>
      </c>
      <c r="E3733" s="21">
        <f>IF(D3733="?OLD","!!!","")</f>
        <v/>
      </c>
      <c r="F3733" s="22" t="str">
        <f>IF(OR(E3733="",E3733="!!!"),"",IF(NOT(ISNA(VLOOKUP(E3733,E$1:E3732,1,FALSE()))),"OLD",IF(AND(E3733&lt;&gt;"",E3733&lt;&gt;"!!!"),"NEW","")))</f>
        <v> </v>
      </c>
      <c r="G3733" s="23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4" t="str">
        <f>IF(J3733&lt;&gt;1,"",IF(I3733="SBJ","CB","?"))</f>
        <v> </v>
      </c>
      <c r="I3733" s="25" t="str">
        <f>IF(OR(E3733="",E3733="!!!",F3733="NEW"),"",INDEX(B3732:B$2,-1+SUMPRODUCT(MAX(ROW(E3732:E$2)*(E3733=E3732:E$2)))))</f>
        <v> </v>
      </c>
      <c r="J3733" s="25" t="str">
        <f>IF(OR(E3733="",E3733="!!!",F3733="NEW"),"",COUNTBLANK(OFFSET(A$1,,,SUMPRODUCT(MAX(ROW(E$2:E3733)*(E3733=E$2:E3733)))))-COUNTBLANK(OFFSET(A$1,,,SUMPRODUCT(MAX(ROW(E$1:E3732)*(E2=E$1:E3732))))))</f>
        <v> </v>
      </c>
      <c r="K3733" s="25" t="str">
        <f>IF(OR(E3733="",E3733="!!!",F3733="NEW"),"",INDEX(J$1:J3732,SUMPRODUCT(MAX(ROW(E$1:E3732)*(E3733=E$1:E3732)))))</f>
        <v> </v>
      </c>
      <c r="L3733" s="26"/>
    </row>
    <row r="3734" spans="1:12">
      <c r="A3734" s="20" t="s">
        <v>2350</v>
      </c>
      <c r="E3734" s="21">
        <f>IF(D3734="?OLD","!!!","")</f>
        <v/>
      </c>
      <c r="F3734" s="22" t="str">
        <f>IF(OR(E3734="",E3734="!!!"),"",IF(NOT(ISNA(VLOOKUP(E3734,E$1:E3733,1,FALSE()))),"OLD",IF(AND(E3734&lt;&gt;"",E3734&lt;&gt;"!!!"),"NEW","")))</f>
        <v> </v>
      </c>
      <c r="G3734" s="23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4" t="str">
        <f>IF(J3734&lt;&gt;1,"",IF(I3734="SBJ","CB","?"))</f>
        <v> </v>
      </c>
      <c r="I3734" s="25" t="str">
        <f>IF(OR(E3734="",E3734="!!!",F3734="NEW"),"",INDEX(B3733:B$2,-1+SUMPRODUCT(MAX(ROW(E3733:E$2)*(E3734=E3733:E$2)))))</f>
        <v> </v>
      </c>
      <c r="J3734" s="25" t="str">
        <f>IF(OR(E3734="",E3734="!!!",F3734="NEW"),"",COUNTBLANK(OFFSET(A$1,,,SUMPRODUCT(MAX(ROW(E$2:E3734)*(E3734=E$2:E3734)))))-COUNTBLANK(OFFSET(A$1,,,SUMPRODUCT(MAX(ROW(E$1:E3733)*(E2=E$1:E3733))))))</f>
        <v> </v>
      </c>
      <c r="K3734" s="25" t="str">
        <f>IF(OR(E3734="",E3734="!!!",F3734="NEW"),"",INDEX(J$1:J3733,SUMPRODUCT(MAX(ROW(E$1:E3733)*(E3734=E$1:E3733)))))</f>
        <v> </v>
      </c>
      <c r="L3734" s="26"/>
    </row>
    <row r="3735" spans="1:12">
      <c r="A3735" s="20" t="s">
        <v>970</v>
      </c>
      <c r="E3735" s="21">
        <f>IF(D3735="?OLD","!!!","")</f>
        <v/>
      </c>
      <c r="F3735" s="22" t="str">
        <f>IF(OR(E3735="",E3735="!!!"),"",IF(NOT(ISNA(VLOOKUP(E3735,E$1:E3734,1,FALSE()))),"OLD",IF(AND(E3735&lt;&gt;"",E3735&lt;&gt;"!!!"),"NEW","")))</f>
        <v> </v>
      </c>
      <c r="G3735" s="23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4" t="str">
        <f>IF(J3735&lt;&gt;1,"",IF(I3735="SBJ","CB","?"))</f>
        <v> </v>
      </c>
      <c r="I3735" s="25" t="str">
        <f>IF(OR(E3735="",E3735="!!!",F3735="NEW"),"",INDEX(B3734:B$2,-1+SUMPRODUCT(MAX(ROW(E3734:E$2)*(E3735=E3734:E$2)))))</f>
        <v> </v>
      </c>
      <c r="J3735" s="25" t="str">
        <f>IF(OR(E3735="",E3735="!!!",F3735="NEW"),"",COUNTBLANK(OFFSET(A$1,,,SUMPRODUCT(MAX(ROW(E$2:E3735)*(E3735=E$2:E3735)))))-COUNTBLANK(OFFSET(A$1,,,SUMPRODUCT(MAX(ROW(E$1:E3734)*(E2=E$1:E3734))))))</f>
        <v> </v>
      </c>
      <c r="K3735" s="25" t="str">
        <f>IF(OR(E3735="",E3735="!!!",F3735="NEW"),"",INDEX(J$1:J3734,SUMPRODUCT(MAX(ROW(E$1:E3734)*(E3735=E$1:E3734)))))</f>
        <v> </v>
      </c>
      <c r="L3735" s="26"/>
    </row>
    <row r="3736" spans="1:12">
      <c r="A3736" s="20" t="s">
        <v>2351</v>
      </c>
      <c r="E3736" s="21">
        <f>IF(D3736="?OLD","!!!","")</f>
        <v/>
      </c>
      <c r="F3736" s="22" t="str">
        <f>IF(OR(E3736="",E3736="!!!"),"",IF(NOT(ISNA(VLOOKUP(E3736,E$1:E3735,1,FALSE()))),"OLD",IF(AND(E3736&lt;&gt;"",E3736&lt;&gt;"!!!"),"NEW","")))</f>
        <v> </v>
      </c>
      <c r="G3736" s="23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4" t="str">
        <f>IF(J3736&lt;&gt;1,"",IF(I3736="SBJ","CB","?"))</f>
        <v> </v>
      </c>
      <c r="I3736" s="25" t="str">
        <f>IF(OR(E3736="",E3736="!!!",F3736="NEW"),"",INDEX(B3735:B$2,-1+SUMPRODUCT(MAX(ROW(E3735:E$2)*(E3736=E3735:E$2)))))</f>
        <v> </v>
      </c>
      <c r="J3736" s="25" t="str">
        <f>IF(OR(E3736="",E3736="!!!",F3736="NEW"),"",COUNTBLANK(OFFSET(A$1,,,SUMPRODUCT(MAX(ROW(E$2:E3736)*(E3736=E$2:E3736)))))-COUNTBLANK(OFFSET(A$1,,,SUMPRODUCT(MAX(ROW(E$1:E3735)*(E2=E$1:E3735))))))</f>
        <v> </v>
      </c>
      <c r="K3736" s="25" t="str">
        <f>IF(OR(E3736="",E3736="!!!",F3736="NEW"),"",INDEX(J$1:J3735,SUMPRODUCT(MAX(ROW(E$1:E3735)*(E3736=E$1:E3735)))))</f>
        <v> </v>
      </c>
      <c r="L3736" s="26"/>
    </row>
    <row r="3737" spans="1:12">
      <c r="A3737" s="20" t="s">
        <v>803</v>
      </c>
      <c r="E3737" s="21">
        <f>IF(D3737="?OLD","!!!","")</f>
        <v/>
      </c>
      <c r="F3737" s="22" t="str">
        <f>IF(OR(E3737="",E3737="!!!"),"",IF(NOT(ISNA(VLOOKUP(E3737,E$1:E3736,1,FALSE()))),"OLD",IF(AND(E3737&lt;&gt;"",E3737&lt;&gt;"!!!"),"NEW","")))</f>
        <v> </v>
      </c>
      <c r="G3737" s="23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4" t="str">
        <f>IF(J3737&lt;&gt;1,"",IF(I3737="SBJ","CB","?"))</f>
        <v> </v>
      </c>
      <c r="I3737" s="25" t="str">
        <f>IF(OR(E3737="",E3737="!!!",F3737="NEW"),"",INDEX(B3736:B$2,-1+SUMPRODUCT(MAX(ROW(E3736:E$2)*(E3737=E3736:E$2)))))</f>
        <v> </v>
      </c>
      <c r="J3737" s="25" t="str">
        <f>IF(OR(E3737="",E3737="!!!",F3737="NEW"),"",COUNTBLANK(OFFSET(A$1,,,SUMPRODUCT(MAX(ROW(E$2:E3737)*(E3737=E$2:E3737)))))-COUNTBLANK(OFFSET(A$1,,,SUMPRODUCT(MAX(ROW(E$1:E3736)*(E2=E$1:E3736))))))</f>
        <v> </v>
      </c>
      <c r="K3737" s="25" t="str">
        <f>IF(OR(E3737="",E3737="!!!",F3737="NEW"),"",INDEX(J$1:J3736,SUMPRODUCT(MAX(ROW(E$1:E3736)*(E3737=E$1:E3736)))))</f>
        <v> </v>
      </c>
      <c r="L3737" s="26"/>
    </row>
    <row r="3738" spans="1:12">
      <c r="A3738" s="20"/>
    </row>
    <row r="3739" spans="1:12">
      <c r="A3739" s="20" t="s">
        <v>2352</v>
      </c>
    </row>
    <row r="3740" spans="1:12">
      <c r="A3740" s="20" t="s">
        <v>1762</v>
      </c>
      <c r="B3740" s="27" t="s">
        <v>799</v>
      </c>
      <c r="C3740" s="27" t="s">
        <v>816</v>
      </c>
      <c r="D3740" s="27" t="s">
        <v>801</v>
      </c>
      <c r="E3740" s="21">
        <f>IF(D3740="?OLD","!!!","")</f>
        <v/>
      </c>
      <c r="F3740" s="22" t="str">
        <f>IF(OR(E3740="",E3740="!!!"),"",IF(NOT(ISNA(VLOOKUP(E3740,E$1:E3739,1,FALSE()))),"OLD",IF(AND(E3740&lt;&gt;"",E3740&lt;&gt;"!!!"),"NEW","")))</f>
        <v> </v>
      </c>
      <c r="G3740" s="23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4" t="str">
        <f>IF(J3740&lt;&gt;1,"",IF(I3740="SBJ","CB","?"))</f>
        <v> </v>
      </c>
      <c r="I3740" s="25" t="str">
        <f>IF(OR(E3740="",E3740="!!!",F3740="NEW"),"",INDEX(B3739:B$2,-1+SUMPRODUCT(MAX(ROW(E3739:E$2)*(E3740=E3739:E$2)))))</f>
        <v> </v>
      </c>
      <c r="J3740" s="25" t="str">
        <f>IF(OR(E3740="",E3740="!!!",F3740="NEW"),"",COUNTBLANK(OFFSET(A$1,,,SUMPRODUCT(MAX(ROW(E$2:E3740)*(E3740=E$2:E3740)))))-COUNTBLANK(OFFSET(A$1,,,SUMPRODUCT(MAX(ROW(E$1:E3739)*(E2=E$1:E3739))))))</f>
        <v> </v>
      </c>
      <c r="K3740" s="25" t="str">
        <f>IF(OR(E3740="",E3740="!!!",F3740="NEW"),"",INDEX(J$1:J3739,SUMPRODUCT(MAX(ROW(E$1:E3739)*(E3740=E$1:E3739)))))</f>
        <v> </v>
      </c>
      <c r="L3740" s="26"/>
    </row>
    <row r="3741" spans="1:12">
      <c r="A3741" s="20" t="s">
        <v>2353</v>
      </c>
      <c r="E3741" s="21">
        <f>IF(D3741="?OLD","!!!","")</f>
        <v/>
      </c>
      <c r="F3741" s="22" t="str">
        <f>IF(OR(E3741="",E3741="!!!"),"",IF(NOT(ISNA(VLOOKUP(E3741,E$1:E3740,1,FALSE()))),"OLD",IF(AND(E3741&lt;&gt;"",E3741&lt;&gt;"!!!"),"NEW","")))</f>
        <v> </v>
      </c>
      <c r="G3741" s="23" t="str">
        <f>IF(OR(E3741="",E3741="!!!"),"",IF(OR(J3741=0,AND(J3741=1,K3741=1),AND(J3741=1,I3741="SBJ"),AND(J3741=1,I3741=0)),"?IN_FOCUS",IF(J3741&lt;=2,"?ACTIVATED",IF(J3741&lt;&gt;"","?FAMILIAR",IF(F3741="NEW",IF(ISNA(VLOOKUP(E3741,#REF!,1,FALSE())),"?TYPE_IDENTIFIABLE","?REFERENTIAL"),"_")))))</f>
        <v> </v>
      </c>
      <c r="H3741" s="24" t="str">
        <f>IF(J3741&lt;&gt;1,"",IF(I3741="SBJ","CB","?"))</f>
        <v> </v>
      </c>
      <c r="I3741" s="25" t="str">
        <f>IF(OR(E3741="",E3741="!!!",F3741="NEW"),"",INDEX(B3740:B$2,-1+SUMPRODUCT(MAX(ROW(E3740:E$2)*(E3741=E3740:E$2)))))</f>
        <v> </v>
      </c>
      <c r="J3741" s="25" t="str">
        <f>IF(OR(E3741="",E3741="!!!",F3741="NEW"),"",COUNTBLANK(OFFSET(A$1,,,SUMPRODUCT(MAX(ROW(E$2:E3741)*(E3741=E$2:E3741)))))-COUNTBLANK(OFFSET(A$1,,,SUMPRODUCT(MAX(ROW(E$1:E3740)*(E2=E$1:E3740))))))</f>
        <v> </v>
      </c>
      <c r="K3741" s="25" t="str">
        <f>IF(OR(E3741="",E3741="!!!",F3741="NEW"),"",INDEX(J$1:J3740,SUMPRODUCT(MAX(ROW(E$1:E3740)*(E3741=E$1:E3740)))))</f>
        <v> </v>
      </c>
      <c r="L3741" s="26"/>
    </row>
    <row r="3742" spans="1:12">
      <c r="A3742" s="20" t="s">
        <v>448</v>
      </c>
      <c r="B3742" s="27" t="s">
        <v>921</v>
      </c>
      <c r="E3742" s="21">
        <f>IF(D3742="?OLD","!!!","")</f>
        <v/>
      </c>
      <c r="F3742" s="22" t="str">
        <f>IF(OR(E3742="",E3742="!!!"),"",IF(NOT(ISNA(VLOOKUP(E3742,E$1:E3741,1,FALSE()))),"OLD",IF(AND(E3742&lt;&gt;"",E3742&lt;&gt;"!!!"),"NEW","")))</f>
        <v> </v>
      </c>
      <c r="G3742" s="23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4" t="str">
        <f>IF(J3742&lt;&gt;1,"",IF(I3742="SBJ","CB","?"))</f>
        <v> </v>
      </c>
      <c r="I3742" s="25" t="str">
        <f>IF(OR(E3742="",E3742="!!!",F3742="NEW"),"",INDEX(B3741:B$2,-1+SUMPRODUCT(MAX(ROW(E3741:E$2)*(E3742=E3741:E$2)))))</f>
        <v> </v>
      </c>
      <c r="J3742" s="25" t="str">
        <f>IF(OR(E3742="",E3742="!!!",F3742="NEW"),"",COUNTBLANK(OFFSET(A$1,,,SUMPRODUCT(MAX(ROW(E$2:E3742)*(E3742=E$2:E3742)))))-COUNTBLANK(OFFSET(A$1,,,SUMPRODUCT(MAX(ROW(E$1:E3741)*(E2=E$1:E3741))))))</f>
        <v> </v>
      </c>
      <c r="K3742" s="25" t="str">
        <f>IF(OR(E3742="",E3742="!!!",F3742="NEW"),"",INDEX(J$1:J3741,SUMPRODUCT(MAX(ROW(E$1:E3741)*(E3742=E$1:E3741)))))</f>
        <v> </v>
      </c>
      <c r="L3742" s="26"/>
    </row>
    <row r="3743" spans="1:12">
      <c r="A3743" s="20" t="s">
        <v>2354</v>
      </c>
      <c r="E3743" s="21">
        <f>IF(D3743="?OLD","!!!","")</f>
        <v/>
      </c>
      <c r="F3743" s="22" t="str">
        <f>IF(OR(E3743="",E3743="!!!"),"",IF(NOT(ISNA(VLOOKUP(E3743,E$1:E3742,1,FALSE()))),"OLD",IF(AND(E3743&lt;&gt;"",E3743&lt;&gt;"!!!"),"NEW","")))</f>
        <v> </v>
      </c>
      <c r="G3743" s="23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4" t="str">
        <f>IF(J3743&lt;&gt;1,"",IF(I3743="SBJ","CB","?"))</f>
        <v> </v>
      </c>
      <c r="I3743" s="25" t="str">
        <f>IF(OR(E3743="",E3743="!!!",F3743="NEW"),"",INDEX(B3742:B$2,-1+SUMPRODUCT(MAX(ROW(E3742:E$2)*(E3743=E3742:E$2)))))</f>
        <v> </v>
      </c>
      <c r="J3743" s="25" t="str">
        <f>IF(OR(E3743="",E3743="!!!",F3743="NEW"),"",COUNTBLANK(OFFSET(A$1,,,SUMPRODUCT(MAX(ROW(E$2:E3743)*(E3743=E$2:E3743)))))-COUNTBLANK(OFFSET(A$1,,,SUMPRODUCT(MAX(ROW(E$1:E3742)*(E2=E$1:E3742))))))</f>
        <v> </v>
      </c>
      <c r="K3743" s="25" t="str">
        <f>IF(OR(E3743="",E3743="!!!",F3743="NEW"),"",INDEX(J$1:J3742,SUMPRODUCT(MAX(ROW(E$1:E3742)*(E3743=E$1:E3742)))))</f>
        <v> </v>
      </c>
      <c r="L3743" s="26"/>
    </row>
    <row r="3744" spans="1:12">
      <c r="A3744" s="20" t="s">
        <v>803</v>
      </c>
      <c r="E3744" s="21">
        <f>IF(D3744="?OLD","!!!","")</f>
        <v/>
      </c>
      <c r="F3744" s="22" t="str">
        <f>IF(OR(E3744="",E3744="!!!"),"",IF(NOT(ISNA(VLOOKUP(E3744,E$1:E3743,1,FALSE()))),"OLD",IF(AND(E3744&lt;&gt;"",E3744&lt;&gt;"!!!"),"NEW","")))</f>
        <v> </v>
      </c>
      <c r="G3744" s="23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4" t="str">
        <f>IF(J3744&lt;&gt;1,"",IF(I3744="SBJ","CB","?"))</f>
        <v> </v>
      </c>
      <c r="I3744" s="25" t="str">
        <f>IF(OR(E3744="",E3744="!!!",F3744="NEW"),"",INDEX(B3743:B$2,-1+SUMPRODUCT(MAX(ROW(E3743:E$2)*(E3744=E3743:E$2)))))</f>
        <v> </v>
      </c>
      <c r="J3744" s="25" t="str">
        <f>IF(OR(E3744="",E3744="!!!",F3744="NEW"),"",COUNTBLANK(OFFSET(A$1,,,SUMPRODUCT(MAX(ROW(E$2:E3744)*(E3744=E$2:E3744)))))-COUNTBLANK(OFFSET(A$1,,,SUMPRODUCT(MAX(ROW(E$1:E3743)*(E2=E$1:E3743))))))</f>
        <v> </v>
      </c>
      <c r="K3744" s="25" t="str">
        <f>IF(OR(E3744="",E3744="!!!",F3744="NEW"),"",INDEX(J$1:J3743,SUMPRODUCT(MAX(ROW(E$1:E3743)*(E3744=E$1:E3743)))))</f>
        <v> </v>
      </c>
      <c r="L3744" s="26"/>
    </row>
    <row r="3745" spans="1:12">
      <c r="A3745" s="20"/>
    </row>
    <row r="3746" spans="1:12">
      <c r="A3746" s="20" t="s">
        <v>2355</v>
      </c>
    </row>
    <row r="3747" spans="1:12">
      <c r="A3747" s="20" t="s">
        <v>2356</v>
      </c>
      <c r="E3747" s="21">
        <f>IF(D3747="?OLD","!!!","")</f>
        <v/>
      </c>
      <c r="F3747" s="22" t="str">
        <f>IF(OR(E3747="",E3747="!!!"),"",IF(NOT(ISNA(VLOOKUP(E3747,E$1:E3746,1,FALSE()))),"OLD",IF(AND(E3747&lt;&gt;"",E3747&lt;&gt;"!!!"),"NEW","")))</f>
        <v> </v>
      </c>
      <c r="G3747" s="23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4" t="str">
        <f>IF(J3747&lt;&gt;1,"",IF(I3747="SBJ","CB","?"))</f>
        <v> </v>
      </c>
      <c r="I3747" s="25" t="str">
        <f>IF(OR(E3747="",E3747="!!!",F3747="NEW"),"",INDEX(B3746:B$2,-1+SUMPRODUCT(MAX(ROW(E3746:E$2)*(E3747=E3746:E$2)))))</f>
        <v> </v>
      </c>
      <c r="J3747" s="25" t="str">
        <f>IF(OR(E3747="",E3747="!!!",F3747="NEW"),"",COUNTBLANK(OFFSET(A$1,,,SUMPRODUCT(MAX(ROW(E$2:E3747)*(E3747=E$2:E3747)))))-COUNTBLANK(OFFSET(A$1,,,SUMPRODUCT(MAX(ROW(E$1:E3746)*(E2=E$1:E3746))))))</f>
        <v> </v>
      </c>
      <c r="K3747" s="25" t="str">
        <f>IF(OR(E3747="",E3747="!!!",F3747="NEW"),"",INDEX(J$1:J3746,SUMPRODUCT(MAX(ROW(E$1:E3746)*(E3747=E$1:E3746)))))</f>
        <v> </v>
      </c>
      <c r="L3747" s="26"/>
    </row>
    <row r="3748" spans="1:12">
      <c r="A3748" s="20" t="s">
        <v>1991</v>
      </c>
      <c r="B3748" s="27" t="s">
        <v>842</v>
      </c>
      <c r="C3748" s="27" t="s">
        <v>843</v>
      </c>
      <c r="E3748" s="21">
        <f>IF(D3748="?OLD","!!!","")</f>
        <v/>
      </c>
      <c r="F3748" s="22" t="str">
        <f>IF(OR(E3748="",E3748="!!!"),"",IF(NOT(ISNA(VLOOKUP(E3748,E$1:E3747,1,FALSE()))),"OLD",IF(AND(E3748&lt;&gt;"",E3748&lt;&gt;"!!!"),"NEW","")))</f>
        <v> </v>
      </c>
      <c r="G3748" s="23" t="str">
        <f>IF(OR(E3748="",E3748="!!!"),"",IF(OR(J3748=0,AND(J3748=1,K3748=1),AND(J3748=1,I3748="SBJ"),AND(J3748=1,I3748=0)),"?IN_FOCUS",IF(J3748&lt;=2,"?ACTIVATED",IF(J3748&lt;&gt;"","?FAMILIAR",IF(F3748="NEW",IF(ISNA(VLOOKUP(E3748,#REF!,1,FALSE())),"?TYPE_IDENTIFIABLE","?REFERENTIAL"),"_")))))</f>
        <v> </v>
      </c>
      <c r="H3748" s="24" t="str">
        <f>IF(J3748&lt;&gt;1,"",IF(I3748="SBJ","CB","?"))</f>
        <v> </v>
      </c>
      <c r="I3748" s="25" t="str">
        <f>IF(OR(E3748="",E3748="!!!",F3748="NEW"),"",INDEX(B3747:B$2,-1+SUMPRODUCT(MAX(ROW(E3747:E$2)*(E3748=E3747:E$2)))))</f>
        <v> </v>
      </c>
      <c r="J3748" s="25" t="str">
        <f>IF(OR(E3748="",E3748="!!!",F3748="NEW"),"",COUNTBLANK(OFFSET(A$1,,,SUMPRODUCT(MAX(ROW(E$2:E3748)*(E3748=E$2:E3748)))))-COUNTBLANK(OFFSET(A$1,,,SUMPRODUCT(MAX(ROW(E$1:E3747)*(E2=E$1:E3747))))))</f>
        <v> </v>
      </c>
      <c r="K3748" s="25" t="str">
        <f>IF(OR(E3748="",E3748="!!!",F3748="NEW"),"",INDEX(J$1:J3747,SUMPRODUCT(MAX(ROW(E$1:E3747)*(E3748=E$1:E3747)))))</f>
        <v> </v>
      </c>
      <c r="L3748" s="26"/>
    </row>
    <row r="3749" spans="1:12">
      <c r="A3749" s="20" t="s">
        <v>2030</v>
      </c>
      <c r="E3749" s="21">
        <f>IF(D3749="?OLD","!!!","")</f>
        <v/>
      </c>
      <c r="F3749" s="22" t="str">
        <f>IF(OR(E3749="",E3749="!!!"),"",IF(NOT(ISNA(VLOOKUP(E3749,E$1:E3748,1,FALSE()))),"OLD",IF(AND(E3749&lt;&gt;"",E3749&lt;&gt;"!!!"),"NEW","")))</f>
        <v> </v>
      </c>
      <c r="G3749" s="23" t="str">
        <f>IF(OR(E3749="",E3749="!!!"),"",IF(OR(J3749=0,AND(J3749=1,K3749=1),AND(J3749=1,I3749="SBJ"),AND(J3749=1,I3749=0)),"?IN_FOCUS",IF(J3749&lt;=2,"?ACTIVATED",IF(J3749&lt;&gt;"","?FAMILIAR",IF(F3749="NEW",IF(ISNA(VLOOKUP(E3749,#REF!,1,FALSE())),"?TYPE_IDENTIFIABLE","?REFERENTIAL"),"_")))))</f>
        <v> </v>
      </c>
      <c r="H3749" s="24" t="str">
        <f>IF(J3749&lt;&gt;1,"",IF(I3749="SBJ","CB","?"))</f>
        <v> </v>
      </c>
      <c r="I3749" s="25" t="str">
        <f>IF(OR(E3749="",E3749="!!!",F3749="NEW"),"",INDEX(B3748:B$2,-1+SUMPRODUCT(MAX(ROW(E3748:E$2)*(E3749=E3748:E$2)))))</f>
        <v> </v>
      </c>
      <c r="J3749" s="25" t="str">
        <f>IF(OR(E3749="",E3749="!!!",F3749="NEW"),"",COUNTBLANK(OFFSET(A$1,,,SUMPRODUCT(MAX(ROW(E$2:E3749)*(E3749=E$2:E3749)))))-COUNTBLANK(OFFSET(A$1,,,SUMPRODUCT(MAX(ROW(E$1:E3748)*(E2=E$1:E3748))))))</f>
        <v> </v>
      </c>
      <c r="K3749" s="25" t="str">
        <f>IF(OR(E3749="",E3749="!!!",F3749="NEW"),"",INDEX(J$1:J3748,SUMPRODUCT(MAX(ROW(E$1:E3748)*(E3749=E$1:E3748)))))</f>
        <v> </v>
      </c>
      <c r="L3749" s="26"/>
    </row>
    <row r="3750" spans="1:12">
      <c r="A3750" s="20" t="s">
        <v>795</v>
      </c>
      <c r="E3750" s="21">
        <f>IF(D3750="?OLD","!!!","")</f>
        <v/>
      </c>
      <c r="F3750" s="22" t="str">
        <f>IF(OR(E3750="",E3750="!!!"),"",IF(NOT(ISNA(VLOOKUP(E3750,E$1:E3749,1,FALSE()))),"OLD",IF(AND(E3750&lt;&gt;"",E3750&lt;&gt;"!!!"),"NEW","")))</f>
        <v> </v>
      </c>
      <c r="G3750" s="23" t="str">
        <f>IF(OR(E3750="",E3750="!!!"),"",IF(OR(J3750=0,AND(J3750=1,K3750=1),AND(J3750=1,I3750="SBJ"),AND(J3750=1,I3750=0)),"?IN_FOCUS",IF(J3750&lt;=2,"?ACTIVATED",IF(J3750&lt;&gt;"","?FAMILIAR",IF(F3750="NEW",IF(ISNA(VLOOKUP(E3750,#REF!,1,FALSE())),"?TYPE_IDENTIFIABLE","?REFERENTIAL"),"_")))))</f>
        <v> </v>
      </c>
      <c r="H3750" s="24" t="str">
        <f>IF(J3750&lt;&gt;1,"",IF(I3750="SBJ","CB","?"))</f>
        <v> </v>
      </c>
      <c r="I3750" s="25" t="str">
        <f>IF(OR(E3750="",E3750="!!!",F3750="NEW"),"",INDEX(B3749:B$2,-1+SUMPRODUCT(MAX(ROW(E3749:E$2)*(E3750=E3749:E$2)))))</f>
        <v> </v>
      </c>
      <c r="J3750" s="25" t="str">
        <f>IF(OR(E3750="",E3750="!!!",F3750="NEW"),"",COUNTBLANK(OFFSET(A$1,,,SUMPRODUCT(MAX(ROW(E$2:E3750)*(E3750=E$2:E3750)))))-COUNTBLANK(OFFSET(A$1,,,SUMPRODUCT(MAX(ROW(E$1:E3749)*(E2=E$1:E3749))))))</f>
        <v> </v>
      </c>
      <c r="K3750" s="25" t="str">
        <f>IF(OR(E3750="",E3750="!!!",F3750="NEW"),"",INDEX(J$1:J3749,SUMPRODUCT(MAX(ROW(E$1:E3749)*(E3750=E$1:E3749)))))</f>
        <v> </v>
      </c>
      <c r="L3750" s="26"/>
    </row>
    <row r="3751" spans="1:12">
      <c r="A3751" s="20" t="s">
        <v>1298</v>
      </c>
      <c r="B3751" s="27" t="s">
        <v>921</v>
      </c>
      <c r="C3751" s="27" t="s">
        <v>816</v>
      </c>
      <c r="D3751" s="27" t="s">
        <v>801</v>
      </c>
      <c r="E3751" s="21">
        <f>IF(D3751="?OLD","!!!","")</f>
        <v/>
      </c>
      <c r="F3751" s="22" t="str">
        <f>IF(OR(E3751="",E3751="!!!"),"",IF(NOT(ISNA(VLOOKUP(E3751,E$1:E3750,1,FALSE()))),"OLD",IF(AND(E3751&lt;&gt;"",E3751&lt;&gt;"!!!"),"NEW","")))</f>
        <v> </v>
      </c>
      <c r="G3751" s="23" t="str">
        <f>IF(OR(E3751="",E3751="!!!"),"",IF(OR(J3751=0,AND(J3751=1,K3751=1),AND(J3751=1,I3751="SBJ"),AND(J3751=1,I3751=0)),"?IN_FOCUS",IF(J3751&lt;=2,"?ACTIVATED",IF(J3751&lt;&gt;"","?FAMILIAR",IF(F3751="NEW",IF(ISNA(VLOOKUP(E3751,#REF!,1,FALSE())),"?TYPE_IDENTIFIABLE","?REFERENTIAL"),"_")))))</f>
        <v> </v>
      </c>
      <c r="H3751" s="24" t="str">
        <f>IF(J3751&lt;&gt;1,"",IF(I3751="SBJ","CB","?"))</f>
        <v> </v>
      </c>
      <c r="I3751" s="25" t="str">
        <f>IF(OR(E3751="",E3751="!!!",F3751="NEW"),"",INDEX(B3750:B$2,-1+SUMPRODUCT(MAX(ROW(E3750:E$2)*(E3751=E3750:E$2)))))</f>
        <v> </v>
      </c>
      <c r="J3751" s="25" t="str">
        <f>IF(OR(E3751="",E3751="!!!",F3751="NEW"),"",COUNTBLANK(OFFSET(A$1,,,SUMPRODUCT(MAX(ROW(E$2:E3751)*(E3751=E$2:E3751)))))-COUNTBLANK(OFFSET(A$1,,,SUMPRODUCT(MAX(ROW(E$1:E3750)*(E2=E$1:E3750))))))</f>
        <v> </v>
      </c>
      <c r="K3751" s="25" t="str">
        <f>IF(OR(E3751="",E3751="!!!",F3751="NEW"),"",INDEX(J$1:J3750,SUMPRODUCT(MAX(ROW(E$1:E3750)*(E3751=E$1:E3750)))))</f>
        <v> </v>
      </c>
      <c r="L3751" s="26"/>
    </row>
    <row r="3752" spans="1:12">
      <c r="A3752" s="20" t="s">
        <v>1393</v>
      </c>
      <c r="E3752" s="21">
        <f>IF(D3752="?OLD","!!!","")</f>
        <v/>
      </c>
      <c r="F3752" s="22" t="str">
        <f>IF(OR(E3752="",E3752="!!!"),"",IF(NOT(ISNA(VLOOKUP(E3752,E$1:E3751,1,FALSE()))),"OLD",IF(AND(E3752&lt;&gt;"",E3752&lt;&gt;"!!!"),"NEW","")))</f>
        <v> </v>
      </c>
      <c r="G3752" s="23" t="str">
        <f>IF(OR(E3752="",E3752="!!!"),"",IF(OR(J3752=0,AND(J3752=1,K3752=1),AND(J3752=1,I3752="SBJ"),AND(J3752=1,I3752=0)),"?IN_FOCUS",IF(J3752&lt;=2,"?ACTIVATED",IF(J3752&lt;&gt;"","?FAMILIAR",IF(F3752="NEW",IF(ISNA(VLOOKUP(E3752,#REF!,1,FALSE())),"?TYPE_IDENTIFIABLE","?REFERENTIAL"),"_")))))</f>
        <v> </v>
      </c>
      <c r="H3752" s="24" t="str">
        <f>IF(J3752&lt;&gt;1,"",IF(I3752="SBJ","CB","?"))</f>
        <v> </v>
      </c>
      <c r="I3752" s="25" t="str">
        <f>IF(OR(E3752="",E3752="!!!",F3752="NEW"),"",INDEX(B3751:B$2,-1+SUMPRODUCT(MAX(ROW(E3751:E$2)*(E3752=E3751:E$2)))))</f>
        <v> </v>
      </c>
      <c r="J3752" s="25" t="str">
        <f>IF(OR(E3752="",E3752="!!!",F3752="NEW"),"",COUNTBLANK(OFFSET(A$1,,,SUMPRODUCT(MAX(ROW(E$2:E3752)*(E3752=E$2:E3752)))))-COUNTBLANK(OFFSET(A$1,,,SUMPRODUCT(MAX(ROW(E$1:E3751)*(E2=E$1:E3751))))))</f>
        <v> </v>
      </c>
      <c r="K3752" s="25" t="str">
        <f>IF(OR(E3752="",E3752="!!!",F3752="NEW"),"",INDEX(J$1:J3751,SUMPRODUCT(MAX(ROW(E$1:E3751)*(E3752=E$1:E3751)))))</f>
        <v> </v>
      </c>
      <c r="L3752" s="26"/>
    </row>
    <row r="3753" spans="1:12">
      <c r="A3753" s="20" t="s">
        <v>795</v>
      </c>
      <c r="E3753" s="21">
        <f>IF(D3753="?OLD","!!!","")</f>
        <v/>
      </c>
      <c r="F3753" s="22" t="str">
        <f>IF(OR(E3753="",E3753="!!!"),"",IF(NOT(ISNA(VLOOKUP(E3753,E$1:E3752,1,FALSE()))),"OLD",IF(AND(E3753&lt;&gt;"",E3753&lt;&gt;"!!!"),"NEW","")))</f>
        <v> </v>
      </c>
      <c r="G3753" s="23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4" t="str">
        <f>IF(J3753&lt;&gt;1,"",IF(I3753="SBJ","CB","?"))</f>
        <v> </v>
      </c>
      <c r="I3753" s="25" t="str">
        <f>IF(OR(E3753="",E3753="!!!",F3753="NEW"),"",INDEX(B3752:B$2,-1+SUMPRODUCT(MAX(ROW(E3752:E$2)*(E3753=E3752:E$2)))))</f>
        <v> </v>
      </c>
      <c r="J3753" s="25" t="str">
        <f>IF(OR(E3753="",E3753="!!!",F3753="NEW"),"",COUNTBLANK(OFFSET(A$1,,,SUMPRODUCT(MAX(ROW(E$2:E3753)*(E3753=E$2:E3753)))))-COUNTBLANK(OFFSET(A$1,,,SUMPRODUCT(MAX(ROW(E$1:E3752)*(E2=E$1:E3752))))))</f>
        <v> </v>
      </c>
      <c r="K3753" s="25" t="str">
        <f>IF(OR(E3753="",E3753="!!!",F3753="NEW"),"",INDEX(J$1:J3752,SUMPRODUCT(MAX(ROW(E$1:E3752)*(E3753=E$1:E3752)))))</f>
        <v> </v>
      </c>
      <c r="L3753" s="26"/>
    </row>
    <row r="3754" spans="1:12">
      <c r="A3754" s="20" t="s">
        <v>877</v>
      </c>
      <c r="E3754" s="21">
        <f>IF(D3754="?OLD","!!!","")</f>
        <v/>
      </c>
      <c r="F3754" s="22" t="str">
        <f>IF(OR(E3754="",E3754="!!!"),"",IF(NOT(ISNA(VLOOKUP(E3754,E$1:E3753,1,FALSE()))),"OLD",IF(AND(E3754&lt;&gt;"",E3754&lt;&gt;"!!!"),"NEW","")))</f>
        <v> </v>
      </c>
      <c r="G3754" s="23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4" t="str">
        <f>IF(J3754&lt;&gt;1,"",IF(I3754="SBJ","CB","?"))</f>
        <v> </v>
      </c>
      <c r="I3754" s="25" t="str">
        <f>IF(OR(E3754="",E3754="!!!",F3754="NEW"),"",INDEX(B3753:B$2,-1+SUMPRODUCT(MAX(ROW(E3753:E$2)*(E3754=E3753:E$2)))))</f>
        <v> </v>
      </c>
      <c r="J3754" s="25" t="str">
        <f>IF(OR(E3754="",E3754="!!!",F3754="NEW"),"",COUNTBLANK(OFFSET(A$1,,,SUMPRODUCT(MAX(ROW(E$2:E3754)*(E3754=E$2:E3754)))))-COUNTBLANK(OFFSET(A$1,,,SUMPRODUCT(MAX(ROW(E$1:E3753)*(E2=E$1:E3753))))))</f>
        <v> </v>
      </c>
      <c r="K3754" s="25" t="str">
        <f>IF(OR(E3754="",E3754="!!!",F3754="NEW"),"",INDEX(J$1:J3753,SUMPRODUCT(MAX(ROW(E$1:E3753)*(E3754=E$1:E3753)))))</f>
        <v> </v>
      </c>
      <c r="L3754" s="26"/>
    </row>
    <row r="3755" spans="1:12">
      <c r="A3755" s="20" t="s">
        <v>894</v>
      </c>
      <c r="E3755" s="21">
        <f>IF(D3755="?OLD","!!!","")</f>
        <v/>
      </c>
      <c r="F3755" s="22" t="str">
        <f>IF(OR(E3755="",E3755="!!!"),"",IF(NOT(ISNA(VLOOKUP(E3755,E$1:E3754,1,FALSE()))),"OLD",IF(AND(E3755&lt;&gt;"",E3755&lt;&gt;"!!!"),"NEW","")))</f>
        <v> </v>
      </c>
      <c r="G3755" s="23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4" t="str">
        <f>IF(J3755&lt;&gt;1,"",IF(I3755="SBJ","CB","?"))</f>
        <v> </v>
      </c>
      <c r="I3755" s="25" t="str">
        <f>IF(OR(E3755="",E3755="!!!",F3755="NEW"),"",INDEX(B3754:B$2,-1+SUMPRODUCT(MAX(ROW(E3754:E$2)*(E3755=E3754:E$2)))))</f>
        <v> </v>
      </c>
      <c r="J3755" s="25" t="str">
        <f>IF(OR(E3755="",E3755="!!!",F3755="NEW"),"",COUNTBLANK(OFFSET(A$1,,,SUMPRODUCT(MAX(ROW(E$2:E3755)*(E3755=E$2:E3755)))))-COUNTBLANK(OFFSET(A$1,,,SUMPRODUCT(MAX(ROW(E$1:E3754)*(E2=E$1:E3754))))))</f>
        <v> </v>
      </c>
      <c r="K3755" s="25" t="str">
        <f>IF(OR(E3755="",E3755="!!!",F3755="NEW"),"",INDEX(J$1:J3754,SUMPRODUCT(MAX(ROW(E$1:E3754)*(E3755=E$1:E3754)))))</f>
        <v> </v>
      </c>
      <c r="L3755" s="26"/>
    </row>
    <row r="3756" spans="1:12">
      <c r="A3756" s="20" t="s">
        <v>955</v>
      </c>
      <c r="B3756" s="27" t="s">
        <v>846</v>
      </c>
      <c r="C3756" s="27" t="s">
        <v>896</v>
      </c>
      <c r="D3756" s="27" t="s">
        <v>801</v>
      </c>
      <c r="E3756" s="21">
        <f>IF(D3756="?OLD","!!!","")</f>
        <v/>
      </c>
      <c r="F3756" s="22" t="str">
        <f>IF(OR(E3756="",E3756="!!!"),"",IF(NOT(ISNA(VLOOKUP(E3756,E$1:E3755,1,FALSE()))),"OLD",IF(AND(E3756&lt;&gt;"",E3756&lt;&gt;"!!!"),"NEW","")))</f>
        <v> </v>
      </c>
      <c r="G3756" s="23" t="str">
        <f>IF(OR(E3756="",E3756="!!!"),"",IF(OR(J3756=0,AND(J3756=1,K3756=1),AND(J3756=1,I3756="SBJ"),AND(J3756=1,I3756=0)),"?IN_FOCUS",IF(J3756&lt;=2,"?ACTIVATED",IF(J3756&lt;&gt;"","?FAMILIAR",IF(F3756="NEW",IF(ISNA(VLOOKUP(E3756,#REF!,1,FALSE())),"?TYPE_IDENTIFIABLE","?REFERENTIAL"),"_")))))</f>
        <v> </v>
      </c>
      <c r="H3756" s="24" t="str">
        <f>IF(J3756&lt;&gt;1,"",IF(I3756="SBJ","CB","?"))</f>
        <v> </v>
      </c>
      <c r="I3756" s="25" t="str">
        <f>IF(OR(E3756="",E3756="!!!",F3756="NEW"),"",INDEX(B3755:B$2,-1+SUMPRODUCT(MAX(ROW(E3755:E$2)*(E3756=E3755:E$2)))))</f>
        <v> </v>
      </c>
      <c r="J3756" s="25" t="str">
        <f>IF(OR(E3756="",E3756="!!!",F3756="NEW"),"",COUNTBLANK(OFFSET(A$1,,,SUMPRODUCT(MAX(ROW(E$2:E3756)*(E3756=E$2:E3756)))))-COUNTBLANK(OFFSET(A$1,,,SUMPRODUCT(MAX(ROW(E$1:E3755)*(E2=E$1:E3755))))))</f>
        <v> </v>
      </c>
      <c r="K3756" s="25" t="str">
        <f>IF(OR(E3756="",E3756="!!!",F3756="NEW"),"",INDEX(J$1:J3755,SUMPRODUCT(MAX(ROW(E$1:E3755)*(E3756=E$1:E3755)))))</f>
        <v> </v>
      </c>
      <c r="L3756" s="26"/>
    </row>
    <row r="3757" spans="1:12">
      <c r="A3757" s="20" t="s">
        <v>2357</v>
      </c>
      <c r="E3757" s="21">
        <f>IF(D3757="?OLD","!!!","")</f>
        <v/>
      </c>
      <c r="F3757" s="22" t="str">
        <f>IF(OR(E3757="",E3757="!!!"),"",IF(NOT(ISNA(VLOOKUP(E3757,E$1:E3756,1,FALSE()))),"OLD",IF(AND(E3757&lt;&gt;"",E3757&lt;&gt;"!!!"),"NEW","")))</f>
        <v> </v>
      </c>
      <c r="G3757" s="23" t="str">
        <f>IF(OR(E3757="",E3757="!!!"),"",IF(OR(J3757=0,AND(J3757=1,K3757=1),AND(J3757=1,I3757="SBJ"),AND(J3757=1,I3757=0)),"?IN_FOCUS",IF(J3757&lt;=2,"?ACTIVATED",IF(J3757&lt;&gt;"","?FAMILIAR",IF(F3757="NEW",IF(ISNA(VLOOKUP(E3757,#REF!,1,FALSE())),"?TYPE_IDENTIFIABLE","?REFERENTIAL"),"_")))))</f>
        <v> </v>
      </c>
      <c r="H3757" s="24" t="str">
        <f>IF(J3757&lt;&gt;1,"",IF(I3757="SBJ","CB","?"))</f>
        <v> </v>
      </c>
      <c r="I3757" s="25" t="str">
        <f>IF(OR(E3757="",E3757="!!!",F3757="NEW"),"",INDEX(B3756:B$2,-1+SUMPRODUCT(MAX(ROW(E3756:E$2)*(E3757=E3756:E$2)))))</f>
        <v> </v>
      </c>
      <c r="J3757" s="25" t="str">
        <f>IF(OR(E3757="",E3757="!!!",F3757="NEW"),"",COUNTBLANK(OFFSET(A$1,,,SUMPRODUCT(MAX(ROW(E$2:E3757)*(E3757=E$2:E3757)))))-COUNTBLANK(OFFSET(A$1,,,SUMPRODUCT(MAX(ROW(E$1:E3756)*(E2=E$1:E3756))))))</f>
        <v> </v>
      </c>
      <c r="K3757" s="25" t="str">
        <f>IF(OR(E3757="",E3757="!!!",F3757="NEW"),"",INDEX(J$1:J3756,SUMPRODUCT(MAX(ROW(E$1:E3756)*(E3757=E$1:E3756)))))</f>
        <v> </v>
      </c>
      <c r="L3757" s="26"/>
    </row>
    <row r="3758" spans="1:12">
      <c r="A3758" s="20" t="s">
        <v>946</v>
      </c>
      <c r="B3758" s="27" t="s">
        <v>857</v>
      </c>
      <c r="C3758" s="27" t="s">
        <v>816</v>
      </c>
      <c r="D3758" s="27" t="s">
        <v>801</v>
      </c>
      <c r="E3758" s="21">
        <f>IF(D3758="?OLD","!!!","")</f>
        <v/>
      </c>
      <c r="F3758" s="22" t="str">
        <f>IF(OR(E3758="",E3758="!!!"),"",IF(NOT(ISNA(VLOOKUP(E3758,E$1:E3757,1,FALSE()))),"OLD",IF(AND(E3758&lt;&gt;"",E3758&lt;&gt;"!!!"),"NEW","")))</f>
        <v> </v>
      </c>
      <c r="G3758" s="23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4" t="str">
        <f>IF(J3758&lt;&gt;1,"",IF(I3758="SBJ","CB","?"))</f>
        <v> </v>
      </c>
      <c r="I3758" s="25" t="str">
        <f>IF(OR(E3758="",E3758="!!!",F3758="NEW"),"",INDEX(B3757:B$2,-1+SUMPRODUCT(MAX(ROW(E3757:E$2)*(E3758=E3757:E$2)))))</f>
        <v> </v>
      </c>
      <c r="J3758" s="25" t="str">
        <f>IF(OR(E3758="",E3758="!!!",F3758="NEW"),"",COUNTBLANK(OFFSET(A$1,,,SUMPRODUCT(MAX(ROW(E$2:E3758)*(E3758=E$2:E3758)))))-COUNTBLANK(OFFSET(A$1,,,SUMPRODUCT(MAX(ROW(E$1:E3757)*(E2=E$1:E3757))))))</f>
        <v> </v>
      </c>
      <c r="K3758" s="25" t="str">
        <f>IF(OR(E3758="",E3758="!!!",F3758="NEW"),"",INDEX(J$1:J3757,SUMPRODUCT(MAX(ROW(E$1:E3757)*(E3758=E$1:E3757)))))</f>
        <v> </v>
      </c>
      <c r="L3758" s="26"/>
    </row>
    <row r="3759" spans="1:12">
      <c r="A3759" s="20" t="s">
        <v>837</v>
      </c>
      <c r="E3759" s="21">
        <f>IF(D3759="?OLD","!!!","")</f>
        <v/>
      </c>
      <c r="F3759" s="22" t="str">
        <f>IF(OR(E3759="",E3759="!!!"),"",IF(NOT(ISNA(VLOOKUP(E3759,E$1:E3758,1,FALSE()))),"OLD",IF(AND(E3759&lt;&gt;"",E3759&lt;&gt;"!!!"),"NEW","")))</f>
        <v> </v>
      </c>
      <c r="G3759" s="23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4" t="str">
        <f>IF(J3759&lt;&gt;1,"",IF(I3759="SBJ","CB","?"))</f>
        <v> </v>
      </c>
      <c r="I3759" s="25" t="str">
        <f>IF(OR(E3759="",E3759="!!!",F3759="NEW"),"",INDEX(B3758:B$2,-1+SUMPRODUCT(MAX(ROW(E3758:E$2)*(E3759=E3758:E$2)))))</f>
        <v> </v>
      </c>
      <c r="J3759" s="25" t="str">
        <f>IF(OR(E3759="",E3759="!!!",F3759="NEW"),"",COUNTBLANK(OFFSET(A$1,,,SUMPRODUCT(MAX(ROW(E$2:E3759)*(E3759=E$2:E3759)))))-COUNTBLANK(OFFSET(A$1,,,SUMPRODUCT(MAX(ROW(E$1:E3758)*(E2=E$1:E3758))))))</f>
        <v> </v>
      </c>
      <c r="K3759" s="25" t="str">
        <f>IF(OR(E3759="",E3759="!!!",F3759="NEW"),"",INDEX(J$1:J3758,SUMPRODUCT(MAX(ROW(E$1:E3758)*(E3759=E$1:E3758)))))</f>
        <v> </v>
      </c>
      <c r="L3759" s="26"/>
    </row>
    <row r="3760" spans="1:12">
      <c r="A3760" s="20" t="s">
        <v>2358</v>
      </c>
      <c r="B3760" s="27" t="s">
        <v>842</v>
      </c>
      <c r="C3760" s="27" t="s">
        <v>843</v>
      </c>
      <c r="E3760" s="21">
        <f>IF(D3760="?OLD","!!!","")</f>
        <v/>
      </c>
      <c r="F3760" s="22" t="str">
        <f>IF(OR(E3760="",E3760="!!!"),"",IF(NOT(ISNA(VLOOKUP(E3760,E$1:E3759,1,FALSE()))),"OLD",IF(AND(E3760&lt;&gt;"",E3760&lt;&gt;"!!!"),"NEW","")))</f>
        <v> </v>
      </c>
      <c r="G3760" s="23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4" t="str">
        <f>IF(J3760&lt;&gt;1,"",IF(I3760="SBJ","CB","?"))</f>
        <v> </v>
      </c>
      <c r="I3760" s="25" t="str">
        <f>IF(OR(E3760="",E3760="!!!",F3760="NEW"),"",INDEX(B3759:B$2,-1+SUMPRODUCT(MAX(ROW(E3759:E$2)*(E3760=E3759:E$2)))))</f>
        <v> </v>
      </c>
      <c r="J3760" s="25" t="str">
        <f>IF(OR(E3760="",E3760="!!!",F3760="NEW"),"",COUNTBLANK(OFFSET(A$1,,,SUMPRODUCT(MAX(ROW(E$2:E3760)*(E3760=E$2:E3760)))))-COUNTBLANK(OFFSET(A$1,,,SUMPRODUCT(MAX(ROW(E$1:E3759)*(E2=E$1:E3759))))))</f>
        <v> </v>
      </c>
      <c r="K3760" s="25" t="str">
        <f>IF(OR(E3760="",E3760="!!!",F3760="NEW"),"",INDEX(J$1:J3759,SUMPRODUCT(MAX(ROW(E$1:E3759)*(E3760=E$1:E3759)))))</f>
        <v> </v>
      </c>
      <c r="L3760" s="26"/>
    </row>
    <row r="3761" spans="1:12">
      <c r="A3761" s="20" t="s">
        <v>795</v>
      </c>
      <c r="E3761" s="21">
        <f>IF(D3761="?OLD","!!!","")</f>
        <v/>
      </c>
      <c r="F3761" s="22" t="str">
        <f>IF(OR(E3761="",E3761="!!!"),"",IF(NOT(ISNA(VLOOKUP(E3761,E$1:E3760,1,FALSE()))),"OLD",IF(AND(E3761&lt;&gt;"",E3761&lt;&gt;"!!!"),"NEW","")))</f>
        <v> </v>
      </c>
      <c r="G3761" s="23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4" t="str">
        <f>IF(J3761&lt;&gt;1,"",IF(I3761="SBJ","CB","?"))</f>
        <v> </v>
      </c>
      <c r="I3761" s="25" t="str">
        <f>IF(OR(E3761="",E3761="!!!",F3761="NEW"),"",INDEX(B3760:B$2,-1+SUMPRODUCT(MAX(ROW(E3760:E$2)*(E3761=E3760:E$2)))))</f>
        <v> </v>
      </c>
      <c r="J3761" s="25" t="str">
        <f>IF(OR(E3761="",E3761="!!!",F3761="NEW"),"",COUNTBLANK(OFFSET(A$1,,,SUMPRODUCT(MAX(ROW(E$2:E3761)*(E3761=E$2:E3761)))))-COUNTBLANK(OFFSET(A$1,,,SUMPRODUCT(MAX(ROW(E$1:E3760)*(E2=E$1:E3760))))))</f>
        <v> </v>
      </c>
      <c r="K3761" s="25" t="str">
        <f>IF(OR(E3761="",E3761="!!!",F3761="NEW"),"",INDEX(J$1:J3760,SUMPRODUCT(MAX(ROW(E$1:E3760)*(E3761=E$1:E3760)))))</f>
        <v> </v>
      </c>
      <c r="L3761" s="26"/>
    </row>
    <row r="3762" spans="1:12">
      <c r="A3762" s="20" t="s">
        <v>825</v>
      </c>
      <c r="E3762" s="21">
        <f>IF(D3762="?OLD","!!!","")</f>
        <v/>
      </c>
      <c r="F3762" s="22" t="str">
        <f>IF(OR(E3762="",E3762="!!!"),"",IF(NOT(ISNA(VLOOKUP(E3762,E$1:E3761,1,FALSE()))),"OLD",IF(AND(E3762&lt;&gt;"",E3762&lt;&gt;"!!!"),"NEW","")))</f>
        <v> </v>
      </c>
      <c r="G3762" s="23" t="str">
        <f>IF(OR(E3762="",E3762="!!!"),"",IF(OR(J3762=0,AND(J3762=1,K3762=1),AND(J3762=1,I3762="SBJ"),AND(J3762=1,I3762=0)),"?IN_FOCUS",IF(J3762&lt;=2,"?ACTIVATED",IF(J3762&lt;&gt;"","?FAMILIAR",IF(F3762="NEW",IF(ISNA(VLOOKUP(E3762,#REF!,1,FALSE())),"?TYPE_IDENTIFIABLE","?REFERENTIAL"),"_")))))</f>
        <v> </v>
      </c>
      <c r="H3762" s="24" t="str">
        <f>IF(J3762&lt;&gt;1,"",IF(I3762="SBJ","CB","?"))</f>
        <v> </v>
      </c>
      <c r="I3762" s="25" t="str">
        <f>IF(OR(E3762="",E3762="!!!",F3762="NEW"),"",INDEX(B3761:B$2,-1+SUMPRODUCT(MAX(ROW(E3761:E$2)*(E3762=E3761:E$2)))))</f>
        <v> </v>
      </c>
      <c r="J3762" s="25" t="str">
        <f>IF(OR(E3762="",E3762="!!!",F3762="NEW"),"",COUNTBLANK(OFFSET(A$1,,,SUMPRODUCT(MAX(ROW(E$2:E3762)*(E3762=E$2:E3762)))))-COUNTBLANK(OFFSET(A$1,,,SUMPRODUCT(MAX(ROW(E$1:E3761)*(E2=E$1:E3761))))))</f>
        <v> </v>
      </c>
      <c r="K3762" s="25" t="str">
        <f>IF(OR(E3762="",E3762="!!!",F3762="NEW"),"",INDEX(J$1:J3761,SUMPRODUCT(MAX(ROW(E$1:E3761)*(E3762=E$1:E3761)))))</f>
        <v> </v>
      </c>
      <c r="L3762" s="26"/>
    </row>
    <row r="3763" spans="1:12">
      <c r="A3763" s="20" t="s">
        <v>877</v>
      </c>
      <c r="E3763" s="21">
        <f>IF(D3763="?OLD","!!!","")</f>
        <v/>
      </c>
      <c r="F3763" s="22" t="str">
        <f>IF(OR(E3763="",E3763="!!!"),"",IF(NOT(ISNA(VLOOKUP(E3763,E$1:E3762,1,FALSE()))),"OLD",IF(AND(E3763&lt;&gt;"",E3763&lt;&gt;"!!!"),"NEW","")))</f>
        <v> </v>
      </c>
      <c r="G3763" s="23" t="str">
        <f>IF(OR(E3763="",E3763="!!!"),"",IF(OR(J3763=0,AND(J3763=1,K3763=1),AND(J3763=1,I3763="SBJ"),AND(J3763=1,I3763=0)),"?IN_FOCUS",IF(J3763&lt;=2,"?ACTIVATED",IF(J3763&lt;&gt;"","?FAMILIAR",IF(F3763="NEW",IF(ISNA(VLOOKUP(E3763,#REF!,1,FALSE())),"?TYPE_IDENTIFIABLE","?REFERENTIAL"),"_")))))</f>
        <v> </v>
      </c>
      <c r="H3763" s="24" t="str">
        <f>IF(J3763&lt;&gt;1,"",IF(I3763="SBJ","CB","?"))</f>
        <v> </v>
      </c>
      <c r="I3763" s="25" t="str">
        <f>IF(OR(E3763="",E3763="!!!",F3763="NEW"),"",INDEX(B3762:B$2,-1+SUMPRODUCT(MAX(ROW(E3762:E$2)*(E3763=E3762:E$2)))))</f>
        <v> </v>
      </c>
      <c r="J3763" s="25" t="str">
        <f>IF(OR(E3763="",E3763="!!!",F3763="NEW"),"",COUNTBLANK(OFFSET(A$1,,,SUMPRODUCT(MAX(ROW(E$2:E3763)*(E3763=E$2:E3763)))))-COUNTBLANK(OFFSET(A$1,,,SUMPRODUCT(MAX(ROW(E$1:E3762)*(E2=E$1:E3762))))))</f>
        <v> </v>
      </c>
      <c r="K3763" s="25" t="str">
        <f>IF(OR(E3763="",E3763="!!!",F3763="NEW"),"",INDEX(J$1:J3762,SUMPRODUCT(MAX(ROW(E$1:E3762)*(E3763=E$1:E3762)))))</f>
        <v> </v>
      </c>
      <c r="L3763" s="26"/>
    </row>
    <row r="3764" spans="1:12">
      <c r="A3764" s="20" t="s">
        <v>325</v>
      </c>
      <c r="B3764" s="27" t="s">
        <v>849</v>
      </c>
      <c r="C3764" s="27" t="s">
        <v>816</v>
      </c>
      <c r="D3764" s="27" t="s">
        <v>801</v>
      </c>
      <c r="E3764" s="21">
        <f>IF(D3764="?OLD","!!!","")</f>
        <v/>
      </c>
      <c r="F3764" s="22" t="str">
        <f>IF(OR(E3764="",E3764="!!!"),"",IF(NOT(ISNA(VLOOKUP(E3764,E$1:E3763,1,FALSE()))),"OLD",IF(AND(E3764&lt;&gt;"",E3764&lt;&gt;"!!!"),"NEW","")))</f>
        <v> </v>
      </c>
      <c r="G3764" s="23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4" t="str">
        <f>IF(J3764&lt;&gt;1,"",IF(I3764="SBJ","CB","?"))</f>
        <v> </v>
      </c>
      <c r="I3764" s="25" t="str">
        <f>IF(OR(E3764="",E3764="!!!",F3764="NEW"),"",INDEX(B3763:B$2,-1+SUMPRODUCT(MAX(ROW(E3763:E$2)*(E3764=E3763:E$2)))))</f>
        <v> </v>
      </c>
      <c r="J3764" s="25" t="str">
        <f>IF(OR(E3764="",E3764="!!!",F3764="NEW"),"",COUNTBLANK(OFFSET(A$1,,,SUMPRODUCT(MAX(ROW(E$2:E3764)*(E3764=E$2:E3764)))))-COUNTBLANK(OFFSET(A$1,,,SUMPRODUCT(MAX(ROW(E$1:E3763)*(E2=E$1:E3763))))))</f>
        <v> </v>
      </c>
      <c r="K3764" s="25" t="str">
        <f>IF(OR(E3764="",E3764="!!!",F3764="NEW"),"",INDEX(J$1:J3763,SUMPRODUCT(MAX(ROW(E$1:E3763)*(E3764=E$1:E3763)))))</f>
        <v> </v>
      </c>
      <c r="L3764" s="26"/>
    </row>
    <row r="3765" spans="1:12">
      <c r="A3765" s="20" t="s">
        <v>2359</v>
      </c>
      <c r="E3765" s="21">
        <f>IF(D3765="?OLD","!!!","")</f>
        <v/>
      </c>
      <c r="F3765" s="22" t="str">
        <f>IF(OR(E3765="",E3765="!!!"),"",IF(NOT(ISNA(VLOOKUP(E3765,E$1:E3764,1,FALSE()))),"OLD",IF(AND(E3765&lt;&gt;"",E3765&lt;&gt;"!!!"),"NEW","")))</f>
        <v> </v>
      </c>
      <c r="G3765" s="23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4" t="str">
        <f>IF(J3765&lt;&gt;1,"",IF(I3765="SBJ","CB","?"))</f>
        <v> </v>
      </c>
      <c r="I3765" s="25" t="str">
        <f>IF(OR(E3765="",E3765="!!!",F3765="NEW"),"",INDEX(B3764:B$2,-1+SUMPRODUCT(MAX(ROW(E3764:E$2)*(E3765=E3764:E$2)))))</f>
        <v> </v>
      </c>
      <c r="J3765" s="25" t="str">
        <f>IF(OR(E3765="",E3765="!!!",F3765="NEW"),"",COUNTBLANK(OFFSET(A$1,,,SUMPRODUCT(MAX(ROW(E$2:E3765)*(E3765=E$2:E3765)))))-COUNTBLANK(OFFSET(A$1,,,SUMPRODUCT(MAX(ROW(E$1:E3764)*(E2=E$1:E3764))))))</f>
        <v> </v>
      </c>
      <c r="K3765" s="25" t="str">
        <f>IF(OR(E3765="",E3765="!!!",F3765="NEW"),"",INDEX(J$1:J3764,SUMPRODUCT(MAX(ROW(E$1:E3764)*(E3765=E$1:E3764)))))</f>
        <v> </v>
      </c>
      <c r="L3765" s="26"/>
    </row>
    <row r="3766" spans="1:12">
      <c r="A3766" s="20" t="s">
        <v>701</v>
      </c>
      <c r="E3766" s="21">
        <f>IF(D3766="?OLD","!!!","")</f>
        <v/>
      </c>
      <c r="F3766" s="22" t="str">
        <f>IF(OR(E3766="",E3766="!!!"),"",IF(NOT(ISNA(VLOOKUP(E3766,E$1:E3765,1,FALSE()))),"OLD",IF(AND(E3766&lt;&gt;"",E3766&lt;&gt;"!!!"),"NEW","")))</f>
        <v> </v>
      </c>
      <c r="G3766" s="23" t="str">
        <f>IF(OR(E3766="",E3766="!!!"),"",IF(OR(J3766=0,AND(J3766=1,K3766=1),AND(J3766=1,I3766="SBJ"),AND(J3766=1,I3766=0)),"?IN_FOCUS",IF(J3766&lt;=2,"?ACTIVATED",IF(J3766&lt;&gt;"","?FAMILIAR",IF(F3766="NEW",IF(ISNA(VLOOKUP(E3766,#REF!,1,FALSE())),"?TYPE_IDENTIFIABLE","?REFERENTIAL"),"_")))))</f>
        <v> </v>
      </c>
      <c r="H3766" s="24" t="str">
        <f>IF(J3766&lt;&gt;1,"",IF(I3766="SBJ","CB","?"))</f>
        <v> </v>
      </c>
      <c r="I3766" s="25" t="str">
        <f>IF(OR(E3766="",E3766="!!!",F3766="NEW"),"",INDEX(B3765:B$2,-1+SUMPRODUCT(MAX(ROW(E3765:E$2)*(E3766=E3765:E$2)))))</f>
        <v> </v>
      </c>
      <c r="J3766" s="25" t="str">
        <f>IF(OR(E3766="",E3766="!!!",F3766="NEW"),"",COUNTBLANK(OFFSET(A$1,,,SUMPRODUCT(MAX(ROW(E$2:E3766)*(E3766=E$2:E3766)))))-COUNTBLANK(OFFSET(A$1,,,SUMPRODUCT(MAX(ROW(E$1:E3765)*(E2=E$1:E3765))))))</f>
        <v> </v>
      </c>
      <c r="K3766" s="25" t="str">
        <f>IF(OR(E3766="",E3766="!!!",F3766="NEW"),"",INDEX(J$1:J3765,SUMPRODUCT(MAX(ROW(E$1:E3765)*(E3766=E$1:E3765)))))</f>
        <v> </v>
      </c>
      <c r="L3766" s="26"/>
    </row>
    <row r="3767" spans="1:12">
      <c r="A3767" s="20" t="s">
        <v>2360</v>
      </c>
      <c r="B3767" s="27" t="s">
        <v>1156</v>
      </c>
      <c r="E3767" s="21">
        <f>IF(D3767="?OLD","!!!","")</f>
        <v/>
      </c>
      <c r="F3767" s="22" t="str">
        <f>IF(OR(E3767="",E3767="!!!"),"",IF(NOT(ISNA(VLOOKUP(E3767,E$1:E3766,1,FALSE()))),"OLD",IF(AND(E3767&lt;&gt;"",E3767&lt;&gt;"!!!"),"NEW","")))</f>
        <v> </v>
      </c>
      <c r="G3767" s="23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4" t="str">
        <f>IF(J3767&lt;&gt;1,"",IF(I3767="SBJ","CB","?"))</f>
        <v> </v>
      </c>
      <c r="I3767" s="25" t="str">
        <f>IF(OR(E3767="",E3767="!!!",F3767="NEW"),"",INDEX(B3766:B$2,-1+SUMPRODUCT(MAX(ROW(E3766:E$2)*(E3767=E3766:E$2)))))</f>
        <v> </v>
      </c>
      <c r="J3767" s="25" t="str">
        <f>IF(OR(E3767="",E3767="!!!",F3767="NEW"),"",COUNTBLANK(OFFSET(A$1,,,SUMPRODUCT(MAX(ROW(E$2:E3767)*(E3767=E$2:E3767)))))-COUNTBLANK(OFFSET(A$1,,,SUMPRODUCT(MAX(ROW(E$1:E3766)*(E2=E$1:E3766))))))</f>
        <v> </v>
      </c>
      <c r="K3767" s="25" t="str">
        <f>IF(OR(E3767="",E3767="!!!",F3767="NEW"),"",INDEX(J$1:J3766,SUMPRODUCT(MAX(ROW(E$1:E3766)*(E3767=E$1:E3766)))))</f>
        <v> </v>
      </c>
      <c r="L3767" s="26"/>
    </row>
    <row r="3768" spans="1:12">
      <c r="A3768" s="20" t="s">
        <v>822</v>
      </c>
      <c r="E3768" s="21">
        <f>IF(D3768="?OLD","!!!","")</f>
        <v/>
      </c>
      <c r="F3768" s="22" t="str">
        <f>IF(OR(E3768="",E3768="!!!"),"",IF(NOT(ISNA(VLOOKUP(E3768,E$1:E3767,1,FALSE()))),"OLD",IF(AND(E3768&lt;&gt;"",E3768&lt;&gt;"!!!"),"NEW","")))</f>
        <v> </v>
      </c>
      <c r="G3768" s="23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4" t="str">
        <f>IF(J3768&lt;&gt;1,"",IF(I3768="SBJ","CB","?"))</f>
        <v> </v>
      </c>
      <c r="I3768" s="25" t="str">
        <f>IF(OR(E3768="",E3768="!!!",F3768="NEW"),"",INDEX(B3767:B$2,-1+SUMPRODUCT(MAX(ROW(E3767:E$2)*(E3768=E3767:E$2)))))</f>
        <v> </v>
      </c>
      <c r="J3768" s="25" t="str">
        <f>IF(OR(E3768="",E3768="!!!",F3768="NEW"),"",COUNTBLANK(OFFSET(A$1,,,SUMPRODUCT(MAX(ROW(E$2:E3768)*(E3768=E$2:E3768)))))-COUNTBLANK(OFFSET(A$1,,,SUMPRODUCT(MAX(ROW(E$1:E3767)*(E2=E$1:E3767))))))</f>
        <v> </v>
      </c>
      <c r="K3768" s="25" t="str">
        <f>IF(OR(E3768="",E3768="!!!",F3768="NEW"),"",INDEX(J$1:J3767,SUMPRODUCT(MAX(ROW(E$1:E3767)*(E3768=E$1:E3767)))))</f>
        <v> </v>
      </c>
      <c r="L3768" s="26"/>
    </row>
    <row r="3769" spans="1:12">
      <c r="A3769" s="20" t="s">
        <v>930</v>
      </c>
      <c r="E3769" s="21">
        <f>IF(D3769="?OLD","!!!","")</f>
        <v/>
      </c>
      <c r="F3769" s="22" t="str">
        <f>IF(OR(E3769="",E3769="!!!"),"",IF(NOT(ISNA(VLOOKUP(E3769,E$1:E3768,1,FALSE()))),"OLD",IF(AND(E3769&lt;&gt;"",E3769&lt;&gt;"!!!"),"NEW","")))</f>
        <v> </v>
      </c>
      <c r="G3769" s="23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4" t="str">
        <f>IF(J3769&lt;&gt;1,"",IF(I3769="SBJ","CB","?"))</f>
        <v> </v>
      </c>
      <c r="I3769" s="25" t="str">
        <f>IF(OR(E3769="",E3769="!!!",F3769="NEW"),"",INDEX(B3768:B$2,-1+SUMPRODUCT(MAX(ROW(E3768:E$2)*(E3769=E3768:E$2)))))</f>
        <v> </v>
      </c>
      <c r="J3769" s="25" t="str">
        <f>IF(OR(E3769="",E3769="!!!",F3769="NEW"),"",COUNTBLANK(OFFSET(A$1,,,SUMPRODUCT(MAX(ROW(E$2:E3769)*(E3769=E$2:E3769)))))-COUNTBLANK(OFFSET(A$1,,,SUMPRODUCT(MAX(ROW(E$1:E3768)*(E2=E$1:E3768))))))</f>
        <v> </v>
      </c>
      <c r="K3769" s="25" t="str">
        <f>IF(OR(E3769="",E3769="!!!",F3769="NEW"),"",INDEX(J$1:J3768,SUMPRODUCT(MAX(ROW(E$1:E3768)*(E3769=E$1:E3768)))))</f>
        <v> </v>
      </c>
      <c r="L3769" s="26"/>
    </row>
    <row r="3770" spans="1:12">
      <c r="A3770" s="20" t="s">
        <v>803</v>
      </c>
      <c r="E3770" s="21">
        <f>IF(D3770="?OLD","!!!","")</f>
        <v/>
      </c>
      <c r="F3770" s="22" t="str">
        <f>IF(OR(E3770="",E3770="!!!"),"",IF(NOT(ISNA(VLOOKUP(E3770,E$1:E3769,1,FALSE()))),"OLD",IF(AND(E3770&lt;&gt;"",E3770&lt;&gt;"!!!"),"NEW","")))</f>
        <v> </v>
      </c>
      <c r="G3770" s="23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4" t="str">
        <f>IF(J3770&lt;&gt;1,"",IF(I3770="SBJ","CB","?"))</f>
        <v> </v>
      </c>
      <c r="I3770" s="25" t="str">
        <f>IF(OR(E3770="",E3770="!!!",F3770="NEW"),"",INDEX(B3769:B$2,-1+SUMPRODUCT(MAX(ROW(E3769:E$2)*(E3770=E3769:E$2)))))</f>
        <v> </v>
      </c>
      <c r="J3770" s="25" t="str">
        <f>IF(OR(E3770="",E3770="!!!",F3770="NEW"),"",COUNTBLANK(OFFSET(A$1,,,SUMPRODUCT(MAX(ROW(E$2:E3770)*(E3770=E$2:E3770)))))-COUNTBLANK(OFFSET(A$1,,,SUMPRODUCT(MAX(ROW(E$1:E3769)*(E2=E$1:E3769))))))</f>
        <v> </v>
      </c>
      <c r="K3770" s="25" t="str">
        <f>IF(OR(E3770="",E3770="!!!",F3770="NEW"),"",INDEX(J$1:J3769,SUMPRODUCT(MAX(ROW(E$1:E3769)*(E3770=E$1:E3769)))))</f>
        <v> </v>
      </c>
      <c r="L3770" s="26"/>
    </row>
    <row r="3771" spans="1:12">
      <c r="A3771" s="20"/>
    </row>
    <row r="3772" spans="1:12">
      <c r="A3772" s="20" t="s">
        <v>2361</v>
      </c>
    </row>
    <row r="3773" spans="1:12">
      <c r="A3773" s="20" t="s">
        <v>1016</v>
      </c>
      <c r="B3773" s="27" t="s">
        <v>799</v>
      </c>
      <c r="C3773" s="27" t="s">
        <v>816</v>
      </c>
      <c r="D3773" s="27" t="s">
        <v>801</v>
      </c>
      <c r="E3773" s="21">
        <f>IF(D3773="?OLD","!!!","")</f>
        <v/>
      </c>
      <c r="F3773" s="22" t="str">
        <f>IF(OR(E3773="",E3773="!!!"),"",IF(NOT(ISNA(VLOOKUP(E3773,E$1:E3772,1,FALSE()))),"OLD",IF(AND(E3773&lt;&gt;"",E3773&lt;&gt;"!!!"),"NEW","")))</f>
        <v> </v>
      </c>
      <c r="G3773" s="23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4" t="str">
        <f>IF(J3773&lt;&gt;1,"",IF(I3773="SBJ","CB","?"))</f>
        <v> </v>
      </c>
      <c r="I3773" s="25" t="str">
        <f>IF(OR(E3773="",E3773="!!!",F3773="NEW"),"",INDEX(B3772:B$2,-1+SUMPRODUCT(MAX(ROW(E3772:E$2)*(E3773=E3772:E$2)))))</f>
        <v> </v>
      </c>
      <c r="J3773" s="25" t="str">
        <f>IF(OR(E3773="",E3773="!!!",F3773="NEW"),"",COUNTBLANK(OFFSET(A$1,,,SUMPRODUCT(MAX(ROW(E$2:E3773)*(E3773=E$2:E3773)))))-COUNTBLANK(OFFSET(A$1,,,SUMPRODUCT(MAX(ROW(E$1:E3772)*(E2=E$1:E3772))))))</f>
        <v> </v>
      </c>
      <c r="K3773" s="25" t="str">
        <f>IF(OR(E3773="",E3773="!!!",F3773="NEW"),"",INDEX(J$1:J3772,SUMPRODUCT(MAX(ROW(E$1:E3772)*(E3773=E$1:E3772)))))</f>
        <v> </v>
      </c>
      <c r="L3773" s="26"/>
    </row>
    <row r="3774" spans="1:12">
      <c r="A3774" s="20" t="s">
        <v>1530</v>
      </c>
      <c r="E3774" s="21">
        <f>IF(D3774="?OLD","!!!","")</f>
        <v/>
      </c>
      <c r="F3774" s="22" t="str">
        <f>IF(OR(E3774="",E3774="!!!"),"",IF(NOT(ISNA(VLOOKUP(E3774,E$1:E3773,1,FALSE()))),"OLD",IF(AND(E3774&lt;&gt;"",E3774&lt;&gt;"!!!"),"NEW","")))</f>
        <v> </v>
      </c>
      <c r="G3774" s="23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4" t="str">
        <f>IF(J3774&lt;&gt;1,"",IF(I3774="SBJ","CB","?"))</f>
        <v> </v>
      </c>
      <c r="I3774" s="25" t="str">
        <f>IF(OR(E3774="",E3774="!!!",F3774="NEW"),"",INDEX(B3773:B$2,-1+SUMPRODUCT(MAX(ROW(E3773:E$2)*(E3774=E3773:E$2)))))</f>
        <v> </v>
      </c>
      <c r="J3774" s="25" t="str">
        <f>IF(OR(E3774="",E3774="!!!",F3774="NEW"),"",COUNTBLANK(OFFSET(A$1,,,SUMPRODUCT(MAX(ROW(E$2:E3774)*(E3774=E$2:E3774)))))-COUNTBLANK(OFFSET(A$1,,,SUMPRODUCT(MAX(ROW(E$1:E3773)*(E2=E$1:E3773))))))</f>
        <v> </v>
      </c>
      <c r="K3774" s="25" t="str">
        <f>IF(OR(E3774="",E3774="!!!",F3774="NEW"),"",INDEX(J$1:J3773,SUMPRODUCT(MAX(ROW(E$1:E3773)*(E3774=E$1:E3773)))))</f>
        <v> </v>
      </c>
      <c r="L3774" s="26"/>
    </row>
    <row r="3775" spans="1:12">
      <c r="A3775" s="20" t="s">
        <v>2362</v>
      </c>
      <c r="B3775" s="27" t="s">
        <v>921</v>
      </c>
      <c r="E3775" s="21">
        <f>IF(D3775="?OLD","!!!","")</f>
        <v/>
      </c>
      <c r="F3775" s="22" t="str">
        <f>IF(OR(E3775="",E3775="!!!"),"",IF(NOT(ISNA(VLOOKUP(E3775,E$1:E3774,1,FALSE()))),"OLD",IF(AND(E3775&lt;&gt;"",E3775&lt;&gt;"!!!"),"NEW","")))</f>
        <v> </v>
      </c>
      <c r="G3775" s="23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4" t="str">
        <f>IF(J3775&lt;&gt;1,"",IF(I3775="SBJ","CB","?"))</f>
        <v> </v>
      </c>
      <c r="I3775" s="25" t="str">
        <f>IF(OR(E3775="",E3775="!!!",F3775="NEW"),"",INDEX(B3774:B$2,-1+SUMPRODUCT(MAX(ROW(E3774:E$2)*(E3775=E3774:E$2)))))</f>
        <v> </v>
      </c>
      <c r="J3775" s="25" t="str">
        <f>IF(OR(E3775="",E3775="!!!",F3775="NEW"),"",COUNTBLANK(OFFSET(A$1,,,SUMPRODUCT(MAX(ROW(E$2:E3775)*(E3775=E$2:E3775)))))-COUNTBLANK(OFFSET(A$1,,,SUMPRODUCT(MAX(ROW(E$1:E3774)*(E2=E$1:E3774))))))</f>
        <v> </v>
      </c>
      <c r="K3775" s="25" t="str">
        <f>IF(OR(E3775="",E3775="!!!",F3775="NEW"),"",INDEX(J$1:J3774,SUMPRODUCT(MAX(ROW(E$1:E3774)*(E3775=E$1:E3774)))))</f>
        <v> </v>
      </c>
      <c r="L3775" s="26"/>
    </row>
    <row r="3776" spans="1:12">
      <c r="A3776" s="20" t="s">
        <v>795</v>
      </c>
      <c r="E3776" s="21">
        <f>IF(D3776="?OLD","!!!","")</f>
        <v/>
      </c>
      <c r="F3776" s="22" t="str">
        <f>IF(OR(E3776="",E3776="!!!"),"",IF(NOT(ISNA(VLOOKUP(E3776,E$1:E3775,1,FALSE()))),"OLD",IF(AND(E3776&lt;&gt;"",E3776&lt;&gt;"!!!"),"NEW","")))</f>
        <v> </v>
      </c>
      <c r="G3776" s="23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4" t="str">
        <f>IF(J3776&lt;&gt;1,"",IF(I3776="SBJ","CB","?"))</f>
        <v> </v>
      </c>
      <c r="I3776" s="25" t="str">
        <f>IF(OR(E3776="",E3776="!!!",F3776="NEW"),"",INDEX(B3775:B$2,-1+SUMPRODUCT(MAX(ROW(E3775:E$2)*(E3776=E3775:E$2)))))</f>
        <v> </v>
      </c>
      <c r="J3776" s="25" t="str">
        <f>IF(OR(E3776="",E3776="!!!",F3776="NEW"),"",COUNTBLANK(OFFSET(A$1,,,SUMPRODUCT(MAX(ROW(E$2:E3776)*(E3776=E$2:E3776)))))-COUNTBLANK(OFFSET(A$1,,,SUMPRODUCT(MAX(ROW(E$1:E3775)*(E2=E$1:E3775))))))</f>
        <v> </v>
      </c>
      <c r="K3776" s="25" t="str">
        <f>IF(OR(E3776="",E3776="!!!",F3776="NEW"),"",INDEX(J$1:J3775,SUMPRODUCT(MAX(ROW(E$1:E3775)*(E3776=E$1:E3775)))))</f>
        <v> </v>
      </c>
      <c r="L3776" s="26"/>
    </row>
    <row r="3777" spans="1:12">
      <c r="A3777" s="20" t="s">
        <v>837</v>
      </c>
      <c r="E3777" s="21">
        <f>IF(D3777="?OLD","!!!","")</f>
        <v/>
      </c>
      <c r="F3777" s="22" t="str">
        <f>IF(OR(E3777="",E3777="!!!"),"",IF(NOT(ISNA(VLOOKUP(E3777,E$1:E3776,1,FALSE()))),"OLD",IF(AND(E3777&lt;&gt;"",E3777&lt;&gt;"!!!"),"NEW","")))</f>
        <v> </v>
      </c>
      <c r="G3777" s="23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4" t="str">
        <f>IF(J3777&lt;&gt;1,"",IF(I3777="SBJ","CB","?"))</f>
        <v> </v>
      </c>
      <c r="I3777" s="25" t="str">
        <f>IF(OR(E3777="",E3777="!!!",F3777="NEW"),"",INDEX(B3776:B$2,-1+SUMPRODUCT(MAX(ROW(E3776:E$2)*(E3777=E3776:E$2)))))</f>
        <v> </v>
      </c>
      <c r="J3777" s="25" t="str">
        <f>IF(OR(E3777="",E3777="!!!",F3777="NEW"),"",COUNTBLANK(OFFSET(A$1,,,SUMPRODUCT(MAX(ROW(E$2:E3777)*(E3777=E$2:E3777)))))-COUNTBLANK(OFFSET(A$1,,,SUMPRODUCT(MAX(ROW(E$1:E3776)*(E2=E$1:E3776))))))</f>
        <v> </v>
      </c>
      <c r="K3777" s="25" t="str">
        <f>IF(OR(E3777="",E3777="!!!",F3777="NEW"),"",INDEX(J$1:J3776,SUMPRODUCT(MAX(ROW(E$1:E3776)*(E3777=E$1:E3776)))))</f>
        <v> </v>
      </c>
      <c r="L3777" s="26"/>
    </row>
    <row r="3778" spans="1:12">
      <c r="A3778" s="20" t="s">
        <v>2009</v>
      </c>
      <c r="B3778" s="27" t="s">
        <v>857</v>
      </c>
      <c r="C3778" s="27" t="s">
        <v>879</v>
      </c>
      <c r="E3778" s="21">
        <f>IF(D3778="?OLD","!!!","")</f>
        <v/>
      </c>
      <c r="F3778" s="22" t="str">
        <f>IF(OR(E3778="",E3778="!!!"),"",IF(NOT(ISNA(VLOOKUP(E3778,E$1:E3777,1,FALSE()))),"OLD",IF(AND(E3778&lt;&gt;"",E3778&lt;&gt;"!!!"),"NEW","")))</f>
        <v> </v>
      </c>
      <c r="G3778" s="23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4" t="str">
        <f>IF(J3778&lt;&gt;1,"",IF(I3778="SBJ","CB","?"))</f>
        <v> </v>
      </c>
      <c r="I3778" s="25" t="str">
        <f>IF(OR(E3778="",E3778="!!!",F3778="NEW"),"",INDEX(B3777:B$2,-1+SUMPRODUCT(MAX(ROW(E3777:E$2)*(E3778=E3777:E$2)))))</f>
        <v> </v>
      </c>
      <c r="J3778" s="25" t="str">
        <f>IF(OR(E3778="",E3778="!!!",F3778="NEW"),"",COUNTBLANK(OFFSET(A$1,,,SUMPRODUCT(MAX(ROW(E$2:E3778)*(E3778=E$2:E3778)))))-COUNTBLANK(OFFSET(A$1,,,SUMPRODUCT(MAX(ROW(E$1:E3777)*(E2=E$1:E3777))))))</f>
        <v> </v>
      </c>
      <c r="K3778" s="25" t="str">
        <f>IF(OR(E3778="",E3778="!!!",F3778="NEW"),"",INDEX(J$1:J3777,SUMPRODUCT(MAX(ROW(E$1:E3777)*(E3778=E$1:E3777)))))</f>
        <v> </v>
      </c>
      <c r="L3778" s="26"/>
    </row>
    <row r="3779" spans="1:12">
      <c r="A3779" s="20" t="s">
        <v>1125</v>
      </c>
      <c r="E3779" s="21">
        <f>IF(D3779="?OLD","!!!","")</f>
        <v/>
      </c>
      <c r="F3779" s="22" t="str">
        <f>IF(OR(E3779="",E3779="!!!"),"",IF(NOT(ISNA(VLOOKUP(E3779,E$1:E3778,1,FALSE()))),"OLD",IF(AND(E3779&lt;&gt;"",E3779&lt;&gt;"!!!"),"NEW","")))</f>
        <v> </v>
      </c>
      <c r="G3779" s="23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4" t="str">
        <f>IF(J3779&lt;&gt;1,"",IF(I3779="SBJ","CB","?"))</f>
        <v> </v>
      </c>
      <c r="I3779" s="25" t="str">
        <f>IF(OR(E3779="",E3779="!!!",F3779="NEW"),"",INDEX(B3778:B$2,-1+SUMPRODUCT(MAX(ROW(E3778:E$2)*(E3779=E3778:E$2)))))</f>
        <v> </v>
      </c>
      <c r="J3779" s="25" t="str">
        <f>IF(OR(E3779="",E3779="!!!",F3779="NEW"),"",COUNTBLANK(OFFSET(A$1,,,SUMPRODUCT(MAX(ROW(E$2:E3779)*(E3779=E$2:E3779)))))-COUNTBLANK(OFFSET(A$1,,,SUMPRODUCT(MAX(ROW(E$1:E3778)*(E2=E$1:E3778))))))</f>
        <v> </v>
      </c>
      <c r="K3779" s="25" t="str">
        <f>IF(OR(E3779="",E3779="!!!",F3779="NEW"),"",INDEX(J$1:J3778,SUMPRODUCT(MAX(ROW(E$1:E3778)*(E3779=E$1:E3778)))))</f>
        <v> </v>
      </c>
      <c r="L3779" s="26"/>
    </row>
    <row r="3780" spans="1:12">
      <c r="A3780" s="20" t="s">
        <v>835</v>
      </c>
      <c r="E3780" s="21">
        <f>IF(D3780="?OLD","!!!","")</f>
        <v/>
      </c>
      <c r="F3780" s="22" t="str">
        <f>IF(OR(E3780="",E3780="!!!"),"",IF(NOT(ISNA(VLOOKUP(E3780,E$1:E3779,1,FALSE()))),"OLD",IF(AND(E3780&lt;&gt;"",E3780&lt;&gt;"!!!"),"NEW","")))</f>
        <v> </v>
      </c>
      <c r="G3780" s="23" t="str">
        <f>IF(OR(E3780="",E3780="!!!"),"",IF(OR(J3780=0,AND(J3780=1,K3780=1),AND(J3780=1,I3780="SBJ"),AND(J3780=1,I3780=0)),"?IN_FOCUS",IF(J3780&lt;=2,"?ACTIVATED",IF(J3780&lt;&gt;"","?FAMILIAR",IF(F3780="NEW",IF(ISNA(VLOOKUP(E3780,#REF!,1,FALSE())),"?TYPE_IDENTIFIABLE","?REFERENTIAL"),"_")))))</f>
        <v> </v>
      </c>
      <c r="H3780" s="24" t="str">
        <f>IF(J3780&lt;&gt;1,"",IF(I3780="SBJ","CB","?"))</f>
        <v> </v>
      </c>
      <c r="I3780" s="25" t="str">
        <f>IF(OR(E3780="",E3780="!!!",F3780="NEW"),"",INDEX(B3779:B$2,-1+SUMPRODUCT(MAX(ROW(E3779:E$2)*(E3780=E3779:E$2)))))</f>
        <v> </v>
      </c>
      <c r="J3780" s="25" t="str">
        <f>IF(OR(E3780="",E3780="!!!",F3780="NEW"),"",COUNTBLANK(OFFSET(A$1,,,SUMPRODUCT(MAX(ROW(E$2:E3780)*(E3780=E$2:E3780)))))-COUNTBLANK(OFFSET(A$1,,,SUMPRODUCT(MAX(ROW(E$1:E3779)*(E2=E$1:E3779))))))</f>
        <v> </v>
      </c>
      <c r="K3780" s="25" t="str">
        <f>IF(OR(E3780="",E3780="!!!",F3780="NEW"),"",INDEX(J$1:J3779,SUMPRODUCT(MAX(ROW(E$1:E3779)*(E3780=E$1:E3779)))))</f>
        <v> </v>
      </c>
      <c r="L3780" s="26"/>
    </row>
    <row r="3781" spans="1:12">
      <c r="A3781" s="20" t="s">
        <v>2363</v>
      </c>
      <c r="E3781" s="21">
        <f>IF(D3781="?OLD","!!!","")</f>
        <v/>
      </c>
      <c r="F3781" s="22" t="str">
        <f>IF(OR(E3781="",E3781="!!!"),"",IF(NOT(ISNA(VLOOKUP(E3781,E$1:E3780,1,FALSE()))),"OLD",IF(AND(E3781&lt;&gt;"",E3781&lt;&gt;"!!!"),"NEW","")))</f>
        <v> </v>
      </c>
      <c r="G3781" s="23" t="str">
        <f>IF(OR(E3781="",E3781="!!!"),"",IF(OR(J3781=0,AND(J3781=1,K3781=1),AND(J3781=1,I3781="SBJ"),AND(J3781=1,I3781=0)),"?IN_FOCUS",IF(J3781&lt;=2,"?ACTIVATED",IF(J3781&lt;&gt;"","?FAMILIAR",IF(F3781="NEW",IF(ISNA(VLOOKUP(E3781,#REF!,1,FALSE())),"?TYPE_IDENTIFIABLE","?REFERENTIAL"),"_")))))</f>
        <v> </v>
      </c>
      <c r="H3781" s="24" t="str">
        <f>IF(J3781&lt;&gt;1,"",IF(I3781="SBJ","CB","?"))</f>
        <v> </v>
      </c>
      <c r="I3781" s="25" t="str">
        <f>IF(OR(E3781="",E3781="!!!",F3781="NEW"),"",INDEX(B3780:B$2,-1+SUMPRODUCT(MAX(ROW(E3780:E$2)*(E3781=E3780:E$2)))))</f>
        <v> </v>
      </c>
      <c r="J3781" s="25" t="str">
        <f>IF(OR(E3781="",E3781="!!!",F3781="NEW"),"",COUNTBLANK(OFFSET(A$1,,,SUMPRODUCT(MAX(ROW(E$2:E3781)*(E3781=E$2:E3781)))))-COUNTBLANK(OFFSET(A$1,,,SUMPRODUCT(MAX(ROW(E$1:E3780)*(E2=E$1:E3780))))))</f>
        <v> </v>
      </c>
      <c r="K3781" s="25" t="str">
        <f>IF(OR(E3781="",E3781="!!!",F3781="NEW"),"",INDEX(J$1:J3780,SUMPRODUCT(MAX(ROW(E$1:E3780)*(E3781=E$1:E3780)))))</f>
        <v> </v>
      </c>
      <c r="L3781" s="26"/>
    </row>
    <row r="3782" spans="1:12">
      <c r="A3782" s="20" t="s">
        <v>795</v>
      </c>
      <c r="E3782" s="21">
        <f>IF(D3782="?OLD","!!!","")</f>
        <v/>
      </c>
      <c r="F3782" s="22" t="str">
        <f>IF(OR(E3782="",E3782="!!!"),"",IF(NOT(ISNA(VLOOKUP(E3782,E$1:E3781,1,FALSE()))),"OLD",IF(AND(E3782&lt;&gt;"",E3782&lt;&gt;"!!!"),"NEW","")))</f>
        <v> </v>
      </c>
      <c r="G3782" s="23" t="str">
        <f>IF(OR(E3782="",E3782="!!!"),"",IF(OR(J3782=0,AND(J3782=1,K3782=1),AND(J3782=1,I3782="SBJ"),AND(J3782=1,I3782=0)),"?IN_FOCUS",IF(J3782&lt;=2,"?ACTIVATED",IF(J3782&lt;&gt;"","?FAMILIAR",IF(F3782="NEW",IF(ISNA(VLOOKUP(E3782,#REF!,1,FALSE())),"?TYPE_IDENTIFIABLE","?REFERENTIAL"),"_")))))</f>
        <v> </v>
      </c>
      <c r="H3782" s="24" t="str">
        <f>IF(J3782&lt;&gt;1,"",IF(I3782="SBJ","CB","?"))</f>
        <v> </v>
      </c>
      <c r="I3782" s="25" t="str">
        <f>IF(OR(E3782="",E3782="!!!",F3782="NEW"),"",INDEX(B3781:B$2,-1+SUMPRODUCT(MAX(ROW(E3781:E$2)*(E3782=E3781:E$2)))))</f>
        <v> </v>
      </c>
      <c r="J3782" s="25" t="str">
        <f>IF(OR(E3782="",E3782="!!!",F3782="NEW"),"",COUNTBLANK(OFFSET(A$1,,,SUMPRODUCT(MAX(ROW(E$2:E3782)*(E3782=E$2:E3782)))))-COUNTBLANK(OFFSET(A$1,,,SUMPRODUCT(MAX(ROW(E$1:E3781)*(E2=E$1:E3781))))))</f>
        <v> </v>
      </c>
      <c r="K3782" s="25" t="str">
        <f>IF(OR(E3782="",E3782="!!!",F3782="NEW"),"",INDEX(J$1:J3781,SUMPRODUCT(MAX(ROW(E$1:E3781)*(E3782=E$1:E3781)))))</f>
        <v> </v>
      </c>
      <c r="L3782" s="26"/>
    </row>
    <row r="3783" spans="1:12">
      <c r="A3783" s="20" t="s">
        <v>970</v>
      </c>
      <c r="E3783" s="21">
        <f>IF(D3783="?OLD","!!!","")</f>
        <v/>
      </c>
      <c r="F3783" s="22" t="str">
        <f>IF(OR(E3783="",E3783="!!!"),"",IF(NOT(ISNA(VLOOKUP(E3783,E$1:E3782,1,FALSE()))),"OLD",IF(AND(E3783&lt;&gt;"",E3783&lt;&gt;"!!!"),"NEW","")))</f>
        <v> </v>
      </c>
      <c r="G3783" s="23" t="str">
        <f>IF(OR(E3783="",E3783="!!!"),"",IF(OR(J3783=0,AND(J3783=1,K3783=1),AND(J3783=1,I3783="SBJ"),AND(J3783=1,I3783=0)),"?IN_FOCUS",IF(J3783&lt;=2,"?ACTIVATED",IF(J3783&lt;&gt;"","?FAMILIAR",IF(F3783="NEW",IF(ISNA(VLOOKUP(E3783,#REF!,1,FALSE())),"?TYPE_IDENTIFIABLE","?REFERENTIAL"),"_")))))</f>
        <v> </v>
      </c>
      <c r="H3783" s="24" t="str">
        <f>IF(J3783&lt;&gt;1,"",IF(I3783="SBJ","CB","?"))</f>
        <v> </v>
      </c>
      <c r="I3783" s="25" t="str">
        <f>IF(OR(E3783="",E3783="!!!",F3783="NEW"),"",INDEX(B3782:B$2,-1+SUMPRODUCT(MAX(ROW(E3782:E$2)*(E3783=E3782:E$2)))))</f>
        <v> </v>
      </c>
      <c r="J3783" s="25" t="str">
        <f>IF(OR(E3783="",E3783="!!!",F3783="NEW"),"",COUNTBLANK(OFFSET(A$1,,,SUMPRODUCT(MAX(ROW(E$2:E3783)*(E3783=E$2:E3783)))))-COUNTBLANK(OFFSET(A$1,,,SUMPRODUCT(MAX(ROW(E$1:E3782)*(E2=E$1:E3782))))))</f>
        <v> </v>
      </c>
      <c r="K3783" s="25" t="str">
        <f>IF(OR(E3783="",E3783="!!!",F3783="NEW"),"",INDEX(J$1:J3782,SUMPRODUCT(MAX(ROW(E$1:E3782)*(E3783=E$1:E3782)))))</f>
        <v> </v>
      </c>
      <c r="L3783" s="26"/>
    </row>
    <row r="3784" spans="1:12">
      <c r="A3784" s="20" t="s">
        <v>877</v>
      </c>
      <c r="B3784" s="27" t="s">
        <v>846</v>
      </c>
      <c r="C3784" s="27" t="s">
        <v>879</v>
      </c>
      <c r="E3784" s="21">
        <f>IF(D3784="?OLD","!!!","")</f>
        <v/>
      </c>
      <c r="F3784" s="22" t="str">
        <f>IF(OR(E3784="",E3784="!!!"),"",IF(NOT(ISNA(VLOOKUP(E3784,E$1:E3783,1,FALSE()))),"OLD",IF(AND(E3784&lt;&gt;"",E3784&lt;&gt;"!!!"),"NEW","")))</f>
        <v> </v>
      </c>
      <c r="G3784" s="23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4" t="str">
        <f>IF(J3784&lt;&gt;1,"",IF(I3784="SBJ","CB","?"))</f>
        <v> </v>
      </c>
      <c r="I3784" s="25" t="str">
        <f>IF(OR(E3784="",E3784="!!!",F3784="NEW"),"",INDEX(B3783:B$2,-1+SUMPRODUCT(MAX(ROW(E3783:E$2)*(E3784=E3783:E$2)))))</f>
        <v> </v>
      </c>
      <c r="J3784" s="25" t="str">
        <f>IF(OR(E3784="",E3784="!!!",F3784="NEW"),"",COUNTBLANK(OFFSET(A$1,,,SUMPRODUCT(MAX(ROW(E$2:E3784)*(E3784=E$2:E3784)))))-COUNTBLANK(OFFSET(A$1,,,SUMPRODUCT(MAX(ROW(E$1:E3783)*(E2=E$1:E3783))))))</f>
        <v> </v>
      </c>
      <c r="K3784" s="25" t="str">
        <f>IF(OR(E3784="",E3784="!!!",F3784="NEW"),"",INDEX(J$1:J3783,SUMPRODUCT(MAX(ROW(E$1:E3783)*(E3784=E$1:E3783)))))</f>
        <v> </v>
      </c>
      <c r="L3784" s="26"/>
    </row>
    <row r="3785" spans="1:12">
      <c r="A3785" s="20" t="s">
        <v>938</v>
      </c>
      <c r="B3785" s="27" t="s">
        <v>874</v>
      </c>
      <c r="C3785" s="27" t="s">
        <v>816</v>
      </c>
      <c r="D3785" s="27" t="s">
        <v>801</v>
      </c>
      <c r="E3785" s="21">
        <f>IF(D3785="?OLD","!!!","")</f>
        <v/>
      </c>
      <c r="F3785" s="22" t="str">
        <f>IF(OR(E3785="",E3785="!!!"),"",IF(NOT(ISNA(VLOOKUP(E3785,E$1:E3784,1,FALSE()))),"OLD",IF(AND(E3785&lt;&gt;"",E3785&lt;&gt;"!!!"),"NEW","")))</f>
        <v> </v>
      </c>
      <c r="G3785" s="23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4" t="str">
        <f>IF(J3785&lt;&gt;1,"",IF(I3785="SBJ","CB","?"))</f>
        <v> </v>
      </c>
      <c r="I3785" s="25" t="str">
        <f>IF(OR(E3785="",E3785="!!!",F3785="NEW"),"",INDEX(B3784:B$2,-1+SUMPRODUCT(MAX(ROW(E3784:E$2)*(E3785=E3784:E$2)))))</f>
        <v> </v>
      </c>
      <c r="J3785" s="25" t="str">
        <f>IF(OR(E3785="",E3785="!!!",F3785="NEW"),"",COUNTBLANK(OFFSET(A$1,,,SUMPRODUCT(MAX(ROW(E$2:E3785)*(E3785=E$2:E3785)))))-COUNTBLANK(OFFSET(A$1,,,SUMPRODUCT(MAX(ROW(E$1:E3784)*(E2=E$1:E3784))))))</f>
        <v> </v>
      </c>
      <c r="K3785" s="25" t="str">
        <f>IF(OR(E3785="",E3785="!!!",F3785="NEW"),"",INDEX(J$1:J3784,SUMPRODUCT(MAX(ROW(E$1:E3784)*(E3785=E$1:E3784)))))</f>
        <v> </v>
      </c>
      <c r="L3785" s="26"/>
    </row>
    <row r="3786" spans="1:12">
      <c r="A3786" s="20" t="s">
        <v>1541</v>
      </c>
      <c r="E3786" s="21">
        <f>IF(D3786="?OLD","!!!","")</f>
        <v/>
      </c>
      <c r="F3786" s="22" t="str">
        <f>IF(OR(E3786="",E3786="!!!"),"",IF(NOT(ISNA(VLOOKUP(E3786,E$1:E3785,1,FALSE()))),"OLD",IF(AND(E3786&lt;&gt;"",E3786&lt;&gt;"!!!"),"NEW","")))</f>
        <v> </v>
      </c>
      <c r="G3786" s="23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4" t="str">
        <f>IF(J3786&lt;&gt;1,"",IF(I3786="SBJ","CB","?"))</f>
        <v> </v>
      </c>
      <c r="I3786" s="25" t="str">
        <f>IF(OR(E3786="",E3786="!!!",F3786="NEW"),"",INDEX(B3785:B$2,-1+SUMPRODUCT(MAX(ROW(E3785:E$2)*(E3786=E3785:E$2)))))</f>
        <v> </v>
      </c>
      <c r="J3786" s="25" t="str">
        <f>IF(OR(E3786="",E3786="!!!",F3786="NEW"),"",COUNTBLANK(OFFSET(A$1,,,SUMPRODUCT(MAX(ROW(E$2:E3786)*(E3786=E$2:E3786)))))-COUNTBLANK(OFFSET(A$1,,,SUMPRODUCT(MAX(ROW(E$1:E3785)*(E2=E$1:E3785))))))</f>
        <v> </v>
      </c>
      <c r="K3786" s="25" t="str">
        <f>IF(OR(E3786="",E3786="!!!",F3786="NEW"),"",INDEX(J$1:J3785,SUMPRODUCT(MAX(ROW(E$1:E3785)*(E3786=E$1:E3785)))))</f>
        <v> </v>
      </c>
      <c r="L3786" s="26"/>
    </row>
    <row r="3787" spans="1:12">
      <c r="A3787" s="20" t="s">
        <v>795</v>
      </c>
      <c r="E3787" s="21">
        <f>IF(D3787="?OLD","!!!","")</f>
        <v/>
      </c>
      <c r="F3787" s="22" t="str">
        <f>IF(OR(E3787="",E3787="!!!"),"",IF(NOT(ISNA(VLOOKUP(E3787,E$1:E3786,1,FALSE()))),"OLD",IF(AND(E3787&lt;&gt;"",E3787&lt;&gt;"!!!"),"NEW","")))</f>
        <v> </v>
      </c>
      <c r="G3787" s="23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4" t="str">
        <f>IF(J3787&lt;&gt;1,"",IF(I3787="SBJ","CB","?"))</f>
        <v> </v>
      </c>
      <c r="I3787" s="25" t="str">
        <f>IF(OR(E3787="",E3787="!!!",F3787="NEW"),"",INDEX(B3786:B$2,-1+SUMPRODUCT(MAX(ROW(E3786:E$2)*(E3787=E3786:E$2)))))</f>
        <v> </v>
      </c>
      <c r="J3787" s="25" t="str">
        <f>IF(OR(E3787="",E3787="!!!",F3787="NEW"),"",COUNTBLANK(OFFSET(A$1,,,SUMPRODUCT(MAX(ROW(E$2:E3787)*(E3787=E$2:E3787)))))-COUNTBLANK(OFFSET(A$1,,,SUMPRODUCT(MAX(ROW(E$1:E3786)*(E2=E$1:E3786))))))</f>
        <v> </v>
      </c>
      <c r="K3787" s="25" t="str">
        <f>IF(OR(E3787="",E3787="!!!",F3787="NEW"),"",INDEX(J$1:J3786,SUMPRODUCT(MAX(ROW(E$1:E3786)*(E3787=E$1:E3786)))))</f>
        <v> </v>
      </c>
      <c r="L3787" s="26"/>
    </row>
    <row r="3788" spans="1:12">
      <c r="A3788" s="20" t="s">
        <v>877</v>
      </c>
      <c r="E3788" s="21">
        <f>IF(D3788="?OLD","!!!","")</f>
        <v/>
      </c>
      <c r="F3788" s="22" t="str">
        <f>IF(OR(E3788="",E3788="!!!"),"",IF(NOT(ISNA(VLOOKUP(E3788,E$1:E3787,1,FALSE()))),"OLD",IF(AND(E3788&lt;&gt;"",E3788&lt;&gt;"!!!"),"NEW","")))</f>
        <v> </v>
      </c>
      <c r="G3788" s="23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4" t="str">
        <f>IF(J3788&lt;&gt;1,"",IF(I3788="SBJ","CB","?"))</f>
        <v> </v>
      </c>
      <c r="I3788" s="25" t="str">
        <f>IF(OR(E3788="",E3788="!!!",F3788="NEW"),"",INDEX(B3787:B$2,-1+SUMPRODUCT(MAX(ROW(E3787:E$2)*(E3788=E3787:E$2)))))</f>
        <v> </v>
      </c>
      <c r="J3788" s="25" t="str">
        <f>IF(OR(E3788="",E3788="!!!",F3788="NEW"),"",COUNTBLANK(OFFSET(A$1,,,SUMPRODUCT(MAX(ROW(E$2:E3788)*(E3788=E$2:E3788)))))-COUNTBLANK(OFFSET(A$1,,,SUMPRODUCT(MAX(ROW(E$1:E3787)*(E2=E$1:E3787))))))</f>
        <v> </v>
      </c>
      <c r="K3788" s="25" t="str">
        <f>IF(OR(E3788="",E3788="!!!",F3788="NEW"),"",INDEX(J$1:J3787,SUMPRODUCT(MAX(ROW(E$1:E3787)*(E3788=E$1:E3787)))))</f>
        <v> </v>
      </c>
      <c r="L3788" s="26"/>
    </row>
    <row r="3789" spans="1:12">
      <c r="A3789" s="20" t="s">
        <v>2364</v>
      </c>
      <c r="E3789" s="21">
        <f>IF(D3789="?OLD","!!!","")</f>
        <v/>
      </c>
      <c r="F3789" s="22" t="str">
        <f>IF(OR(E3789="",E3789="!!!"),"",IF(NOT(ISNA(VLOOKUP(E3789,E$1:E3788,1,FALSE()))),"OLD",IF(AND(E3789&lt;&gt;"",E3789&lt;&gt;"!!!"),"NEW","")))</f>
        <v> </v>
      </c>
      <c r="G3789" s="23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4" t="str">
        <f>IF(J3789&lt;&gt;1,"",IF(I3789="SBJ","CB","?"))</f>
        <v> </v>
      </c>
      <c r="I3789" s="25" t="str">
        <f>IF(OR(E3789="",E3789="!!!",F3789="NEW"),"",INDEX(B3788:B$2,-1+SUMPRODUCT(MAX(ROW(E3788:E$2)*(E3789=E3788:E$2)))))</f>
        <v> </v>
      </c>
      <c r="J3789" s="25" t="str">
        <f>IF(OR(E3789="",E3789="!!!",F3789="NEW"),"",COUNTBLANK(OFFSET(A$1,,,SUMPRODUCT(MAX(ROW(E$2:E3789)*(E3789=E$2:E3789)))))-COUNTBLANK(OFFSET(A$1,,,SUMPRODUCT(MAX(ROW(E$1:E3788)*(E2=E$1:E3788))))))</f>
        <v> </v>
      </c>
      <c r="K3789" s="25" t="str">
        <f>IF(OR(E3789="",E3789="!!!",F3789="NEW"),"",INDEX(J$1:J3788,SUMPRODUCT(MAX(ROW(E$1:E3788)*(E3789=E$1:E3788)))))</f>
        <v> </v>
      </c>
      <c r="L3789" s="26"/>
    </row>
    <row r="3790" spans="1:12">
      <c r="A3790" s="20" t="s">
        <v>2365</v>
      </c>
      <c r="B3790" s="27" t="s">
        <v>957</v>
      </c>
      <c r="C3790" s="27" t="s">
        <v>1095</v>
      </c>
      <c r="D3790" s="27" t="s">
        <v>801</v>
      </c>
      <c r="E3790" s="21">
        <f>IF(D3790="?OLD","!!!","")</f>
        <v/>
      </c>
      <c r="F3790" s="22" t="str">
        <f>IF(OR(E3790="",E3790="!!!"),"",IF(NOT(ISNA(VLOOKUP(E3790,E$1:E3789,1,FALSE()))),"OLD",IF(AND(E3790&lt;&gt;"",E3790&lt;&gt;"!!!"),"NEW","")))</f>
        <v> </v>
      </c>
      <c r="G3790" s="23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4" t="str">
        <f>IF(J3790&lt;&gt;1,"",IF(I3790="SBJ","CB","?"))</f>
        <v> </v>
      </c>
      <c r="I3790" s="25" t="str">
        <f>IF(OR(E3790="",E3790="!!!",F3790="NEW"),"",INDEX(B3789:B$2,-1+SUMPRODUCT(MAX(ROW(E3789:E$2)*(E3790=E3789:E$2)))))</f>
        <v> </v>
      </c>
      <c r="J3790" s="25" t="str">
        <f>IF(OR(E3790="",E3790="!!!",F3790="NEW"),"",COUNTBLANK(OFFSET(A$1,,,SUMPRODUCT(MAX(ROW(E$2:E3790)*(E3790=E$2:E3790)))))-COUNTBLANK(OFFSET(A$1,,,SUMPRODUCT(MAX(ROW(E$1:E3789)*(E2=E$1:E3789))))))</f>
        <v> </v>
      </c>
      <c r="K3790" s="25" t="str">
        <f>IF(OR(E3790="",E3790="!!!",F3790="NEW"),"",INDEX(J$1:J3789,SUMPRODUCT(MAX(ROW(E$1:E3789)*(E3790=E$1:E3789)))))</f>
        <v> </v>
      </c>
      <c r="L3790" s="26"/>
    </row>
    <row r="3791" spans="1:12">
      <c r="A3791" s="20" t="s">
        <v>980</v>
      </c>
      <c r="E3791" s="21">
        <f>IF(D3791="?OLD","!!!","")</f>
        <v/>
      </c>
      <c r="F3791" s="22" t="str">
        <f>IF(OR(E3791="",E3791="!!!"),"",IF(NOT(ISNA(VLOOKUP(E3791,E$1:E3790,1,FALSE()))),"OLD",IF(AND(E3791&lt;&gt;"",E3791&lt;&gt;"!!!"),"NEW","")))</f>
        <v> </v>
      </c>
      <c r="G3791" s="23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4" t="str">
        <f>IF(J3791&lt;&gt;1,"",IF(I3791="SBJ","CB","?"))</f>
        <v> </v>
      </c>
      <c r="I3791" s="25" t="str">
        <f>IF(OR(E3791="",E3791="!!!",F3791="NEW"),"",INDEX(B3790:B$2,-1+SUMPRODUCT(MAX(ROW(E3790:E$2)*(E3791=E3790:E$2)))))</f>
        <v> </v>
      </c>
      <c r="J3791" s="25" t="str">
        <f>IF(OR(E3791="",E3791="!!!",F3791="NEW"),"",COUNTBLANK(OFFSET(A$1,,,SUMPRODUCT(MAX(ROW(E$2:E3791)*(E3791=E$2:E3791)))))-COUNTBLANK(OFFSET(A$1,,,SUMPRODUCT(MAX(ROW(E$1:E3790)*(E2=E$1:E3790))))))</f>
        <v> </v>
      </c>
      <c r="K3791" s="25" t="str">
        <f>IF(OR(E3791="",E3791="!!!",F3791="NEW"),"",INDEX(J$1:J3790,SUMPRODUCT(MAX(ROW(E$1:E3790)*(E3791=E$1:E3790)))))</f>
        <v> </v>
      </c>
      <c r="L3791" s="26"/>
    </row>
    <row r="3792" spans="1:12">
      <c r="A3792" s="20" t="s">
        <v>1432</v>
      </c>
      <c r="B3792" s="27" t="s">
        <v>957</v>
      </c>
      <c r="C3792" s="27" t="s">
        <v>816</v>
      </c>
      <c r="D3792" s="27" t="s">
        <v>801</v>
      </c>
      <c r="E3792" s="21">
        <f>IF(D3792="?OLD","!!!","")</f>
        <v/>
      </c>
      <c r="F3792" s="22" t="str">
        <f>IF(OR(E3792="",E3792="!!!"),"",IF(NOT(ISNA(VLOOKUP(E3792,E$1:E3791,1,FALSE()))),"OLD",IF(AND(E3792&lt;&gt;"",E3792&lt;&gt;"!!!"),"NEW","")))</f>
        <v> </v>
      </c>
      <c r="G3792" s="23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4" t="str">
        <f>IF(J3792&lt;&gt;1,"",IF(I3792="SBJ","CB","?"))</f>
        <v> </v>
      </c>
      <c r="I3792" s="25" t="str">
        <f>IF(OR(E3792="",E3792="!!!",F3792="NEW"),"",INDEX(B3791:B$2,-1+SUMPRODUCT(MAX(ROW(E3791:E$2)*(E3792=E3791:E$2)))))</f>
        <v> </v>
      </c>
      <c r="J3792" s="25" t="str">
        <f>IF(OR(E3792="",E3792="!!!",F3792="NEW"),"",COUNTBLANK(OFFSET(A$1,,,SUMPRODUCT(MAX(ROW(E$2:E3792)*(E3792=E$2:E3792)))))-COUNTBLANK(OFFSET(A$1,,,SUMPRODUCT(MAX(ROW(E$1:E3791)*(E2=E$1:E3791))))))</f>
        <v> </v>
      </c>
      <c r="K3792" s="25" t="str">
        <f>IF(OR(E3792="",E3792="!!!",F3792="NEW"),"",INDEX(J$1:J3791,SUMPRODUCT(MAX(ROW(E$1:E3791)*(E3792=E$1:E3791)))))</f>
        <v> </v>
      </c>
      <c r="L3792" s="26"/>
    </row>
    <row r="3793" spans="1:12">
      <c r="A3793" s="20" t="s">
        <v>795</v>
      </c>
      <c r="E3793" s="21">
        <f>IF(D3793="?OLD","!!!","")</f>
        <v/>
      </c>
      <c r="F3793" s="22" t="str">
        <f>IF(OR(E3793="",E3793="!!!"),"",IF(NOT(ISNA(VLOOKUP(E3793,E$1:E3792,1,FALSE()))),"OLD",IF(AND(E3793&lt;&gt;"",E3793&lt;&gt;"!!!"),"NEW","")))</f>
        <v> </v>
      </c>
      <c r="G3793" s="23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4" t="str">
        <f>IF(J3793&lt;&gt;1,"",IF(I3793="SBJ","CB","?"))</f>
        <v> </v>
      </c>
      <c r="I3793" s="25" t="str">
        <f>IF(OR(E3793="",E3793="!!!",F3793="NEW"),"",INDEX(B3792:B$2,-1+SUMPRODUCT(MAX(ROW(E3792:E$2)*(E3793=E3792:E$2)))))</f>
        <v> </v>
      </c>
      <c r="J3793" s="25" t="str">
        <f>IF(OR(E3793="",E3793="!!!",F3793="NEW"),"",COUNTBLANK(OFFSET(A$1,,,SUMPRODUCT(MAX(ROW(E$2:E3793)*(E3793=E$2:E3793)))))-COUNTBLANK(OFFSET(A$1,,,SUMPRODUCT(MAX(ROW(E$1:E3792)*(E2=E$1:E3792))))))</f>
        <v> </v>
      </c>
      <c r="K3793" s="25" t="str">
        <f>IF(OR(E3793="",E3793="!!!",F3793="NEW"),"",INDEX(J$1:J3792,SUMPRODUCT(MAX(ROW(E$1:E3792)*(E3793=E$1:E3792)))))</f>
        <v> </v>
      </c>
      <c r="L3793" s="26"/>
    </row>
    <row r="3794" spans="1:12">
      <c r="A3794" s="20" t="s">
        <v>1399</v>
      </c>
      <c r="E3794" s="21">
        <f>IF(D3794="?OLD","!!!","")</f>
        <v/>
      </c>
      <c r="F3794" s="22" t="str">
        <f>IF(OR(E3794="",E3794="!!!"),"",IF(NOT(ISNA(VLOOKUP(E3794,E$1:E3793,1,FALSE()))),"OLD",IF(AND(E3794&lt;&gt;"",E3794&lt;&gt;"!!!"),"NEW","")))</f>
        <v> </v>
      </c>
      <c r="G3794" s="23" t="str">
        <f>IF(OR(E3794="",E3794="!!!"),"",IF(OR(J3794=0,AND(J3794=1,K3794=1),AND(J3794=1,I3794="SBJ"),AND(J3794=1,I3794=0)),"?IN_FOCUS",IF(J3794&lt;=2,"?ACTIVATED",IF(J3794&lt;&gt;"","?FAMILIAR",IF(F3794="NEW",IF(ISNA(VLOOKUP(E3794,#REF!,1,FALSE())),"?TYPE_IDENTIFIABLE","?REFERENTIAL"),"_")))))</f>
        <v> </v>
      </c>
      <c r="H3794" s="24" t="str">
        <f>IF(J3794&lt;&gt;1,"",IF(I3794="SBJ","CB","?"))</f>
        <v> </v>
      </c>
      <c r="I3794" s="25" t="str">
        <f>IF(OR(E3794="",E3794="!!!",F3794="NEW"),"",INDEX(B3793:B$2,-1+SUMPRODUCT(MAX(ROW(E3793:E$2)*(E3794=E3793:E$2)))))</f>
        <v> </v>
      </c>
      <c r="J3794" s="25" t="str">
        <f>IF(OR(E3794="",E3794="!!!",F3794="NEW"),"",COUNTBLANK(OFFSET(A$1,,,SUMPRODUCT(MAX(ROW(E$2:E3794)*(E3794=E$2:E3794)))))-COUNTBLANK(OFFSET(A$1,,,SUMPRODUCT(MAX(ROW(E$1:E3793)*(E2=E$1:E3793))))))</f>
        <v> </v>
      </c>
      <c r="K3794" s="25" t="str">
        <f>IF(OR(E3794="",E3794="!!!",F3794="NEW"),"",INDEX(J$1:J3793,SUMPRODUCT(MAX(ROW(E$1:E3793)*(E3794=E$1:E3793)))))</f>
        <v> </v>
      </c>
      <c r="L3794" s="26"/>
    </row>
    <row r="3795" spans="1:12">
      <c r="A3795" s="20" t="s">
        <v>795</v>
      </c>
      <c r="E3795" s="21">
        <f>IF(D3795="?OLD","!!!","")</f>
        <v/>
      </c>
      <c r="F3795" s="22" t="str">
        <f>IF(OR(E3795="",E3795="!!!"),"",IF(NOT(ISNA(VLOOKUP(E3795,E$1:E3794,1,FALSE()))),"OLD",IF(AND(E3795&lt;&gt;"",E3795&lt;&gt;"!!!"),"NEW","")))</f>
        <v> </v>
      </c>
      <c r="G3795" s="23" t="str">
        <f>IF(OR(E3795="",E3795="!!!"),"",IF(OR(J3795=0,AND(J3795=1,K3795=1),AND(J3795=1,I3795="SBJ"),AND(J3795=1,I3795=0)),"?IN_FOCUS",IF(J3795&lt;=2,"?ACTIVATED",IF(J3795&lt;&gt;"","?FAMILIAR",IF(F3795="NEW",IF(ISNA(VLOOKUP(E3795,#REF!,1,FALSE())),"?TYPE_IDENTIFIABLE","?REFERENTIAL"),"_")))))</f>
        <v> </v>
      </c>
      <c r="H3795" s="24" t="str">
        <f>IF(J3795&lt;&gt;1,"",IF(I3795="SBJ","CB","?"))</f>
        <v> </v>
      </c>
      <c r="I3795" s="25" t="str">
        <f>IF(OR(E3795="",E3795="!!!",F3795="NEW"),"",INDEX(B3794:B$2,-1+SUMPRODUCT(MAX(ROW(E3794:E$2)*(E3795=E3794:E$2)))))</f>
        <v> </v>
      </c>
      <c r="J3795" s="25" t="str">
        <f>IF(OR(E3795="",E3795="!!!",F3795="NEW"),"",COUNTBLANK(OFFSET(A$1,,,SUMPRODUCT(MAX(ROW(E$2:E3795)*(E3795=E$2:E3795)))))-COUNTBLANK(OFFSET(A$1,,,SUMPRODUCT(MAX(ROW(E$1:E3794)*(E2=E$1:E3794))))))</f>
        <v> </v>
      </c>
      <c r="K3795" s="25" t="str">
        <f>IF(OR(E3795="",E3795="!!!",F3795="NEW"),"",INDEX(J$1:J3794,SUMPRODUCT(MAX(ROW(E$1:E3794)*(E3795=E$1:E3794)))))</f>
        <v> </v>
      </c>
      <c r="L3795" s="26"/>
    </row>
    <row r="3796" spans="1:12">
      <c r="A3796" s="20" t="s">
        <v>906</v>
      </c>
      <c r="E3796" s="21">
        <f>IF(D3796="?OLD","!!!","")</f>
        <v/>
      </c>
      <c r="F3796" s="22" t="str">
        <f>IF(OR(E3796="",E3796="!!!"),"",IF(NOT(ISNA(VLOOKUP(E3796,E$1:E3795,1,FALSE()))),"OLD",IF(AND(E3796&lt;&gt;"",E3796&lt;&gt;"!!!"),"NEW","")))</f>
        <v> </v>
      </c>
      <c r="G3796" s="23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4" t="str">
        <f>IF(J3796&lt;&gt;1,"",IF(I3796="SBJ","CB","?"))</f>
        <v> </v>
      </c>
      <c r="I3796" s="25" t="str">
        <f>IF(OR(E3796="",E3796="!!!",F3796="NEW"),"",INDEX(B3795:B$2,-1+SUMPRODUCT(MAX(ROW(E3795:E$2)*(E3796=E3795:E$2)))))</f>
        <v> </v>
      </c>
      <c r="J3796" s="25" t="str">
        <f>IF(OR(E3796="",E3796="!!!",F3796="NEW"),"",COUNTBLANK(OFFSET(A$1,,,SUMPRODUCT(MAX(ROW(E$2:E3796)*(E3796=E$2:E3796)))))-COUNTBLANK(OFFSET(A$1,,,SUMPRODUCT(MAX(ROW(E$1:E3795)*(E2=E$1:E3795))))))</f>
        <v> </v>
      </c>
      <c r="K3796" s="25" t="str">
        <f>IF(OR(E3796="",E3796="!!!",F3796="NEW"),"",INDEX(J$1:J3795,SUMPRODUCT(MAX(ROW(E$1:E3795)*(E3796=E$1:E3795)))))</f>
        <v> </v>
      </c>
      <c r="L3796" s="26"/>
    </row>
    <row r="3797" spans="1:12">
      <c r="A3797" s="20" t="s">
        <v>2366</v>
      </c>
      <c r="B3797" s="27" t="s">
        <v>943</v>
      </c>
      <c r="E3797" s="21">
        <f>IF(D3797="?OLD","!!!","")</f>
        <v/>
      </c>
      <c r="F3797" s="22" t="str">
        <f>IF(OR(E3797="",E3797="!!!"),"",IF(NOT(ISNA(VLOOKUP(E3797,E$1:E3796,1,FALSE()))),"OLD",IF(AND(E3797&lt;&gt;"",E3797&lt;&gt;"!!!"),"NEW","")))</f>
        <v> </v>
      </c>
      <c r="G3797" s="23" t="str">
        <f>IF(OR(E3797="",E3797="!!!"),"",IF(OR(J3797=0,AND(J3797=1,K3797=1),AND(J3797=1,I3797="SBJ"),AND(J3797=1,I3797=0)),"?IN_FOCUS",IF(J3797&lt;=2,"?ACTIVATED",IF(J3797&lt;&gt;"","?FAMILIAR",IF(F3797="NEW",IF(ISNA(VLOOKUP(E3797,#REF!,1,FALSE())),"?TYPE_IDENTIFIABLE","?REFERENTIAL"),"_")))))</f>
        <v> </v>
      </c>
      <c r="H3797" s="24" t="str">
        <f>IF(J3797&lt;&gt;1,"",IF(I3797="SBJ","CB","?"))</f>
        <v> </v>
      </c>
      <c r="I3797" s="25" t="str">
        <f>IF(OR(E3797="",E3797="!!!",F3797="NEW"),"",INDEX(B3796:B$2,-1+SUMPRODUCT(MAX(ROW(E3796:E$2)*(E3797=E3796:E$2)))))</f>
        <v> </v>
      </c>
      <c r="J3797" s="25" t="str">
        <f>IF(OR(E3797="",E3797="!!!",F3797="NEW"),"",COUNTBLANK(OFFSET(A$1,,,SUMPRODUCT(MAX(ROW(E$2:E3797)*(E3797=E$2:E3797)))))-COUNTBLANK(OFFSET(A$1,,,SUMPRODUCT(MAX(ROW(E$1:E3796)*(E2=E$1:E3796))))))</f>
        <v> </v>
      </c>
      <c r="K3797" s="25" t="str">
        <f>IF(OR(E3797="",E3797="!!!",F3797="NEW"),"",INDEX(J$1:J3796,SUMPRODUCT(MAX(ROW(E$1:E3796)*(E3797=E$1:E3796)))))</f>
        <v> </v>
      </c>
      <c r="L3797" s="26"/>
    </row>
    <row r="3798" spans="1:12">
      <c r="A3798" s="20" t="s">
        <v>803</v>
      </c>
      <c r="E3798" s="21">
        <f>IF(D3798="?OLD","!!!","")</f>
        <v/>
      </c>
      <c r="F3798" s="22" t="str">
        <f>IF(OR(E3798="",E3798="!!!"),"",IF(NOT(ISNA(VLOOKUP(E3798,E$1:E3797,1,FALSE()))),"OLD",IF(AND(E3798&lt;&gt;"",E3798&lt;&gt;"!!!"),"NEW","")))</f>
        <v> </v>
      </c>
      <c r="G3798" s="23" t="str">
        <f>IF(OR(E3798="",E3798="!!!"),"",IF(OR(J3798=0,AND(J3798=1,K3798=1),AND(J3798=1,I3798="SBJ"),AND(J3798=1,I3798=0)),"?IN_FOCUS",IF(J3798&lt;=2,"?ACTIVATED",IF(J3798&lt;&gt;"","?FAMILIAR",IF(F3798="NEW",IF(ISNA(VLOOKUP(E3798,#REF!,1,FALSE())),"?TYPE_IDENTIFIABLE","?REFERENTIAL"),"_")))))</f>
        <v> </v>
      </c>
      <c r="H3798" s="24" t="str">
        <f>IF(J3798&lt;&gt;1,"",IF(I3798="SBJ","CB","?"))</f>
        <v> </v>
      </c>
      <c r="I3798" s="25" t="str">
        <f>IF(OR(E3798="",E3798="!!!",F3798="NEW"),"",INDEX(B3797:B$2,-1+SUMPRODUCT(MAX(ROW(E3797:E$2)*(E3798=E3797:E$2)))))</f>
        <v> </v>
      </c>
      <c r="J3798" s="25" t="str">
        <f>IF(OR(E3798="",E3798="!!!",F3798="NEW"),"",COUNTBLANK(OFFSET(A$1,,,SUMPRODUCT(MAX(ROW(E$2:E3798)*(E3798=E$2:E3798)))))-COUNTBLANK(OFFSET(A$1,,,SUMPRODUCT(MAX(ROW(E$1:E3797)*(E2=E$1:E3797))))))</f>
        <v> </v>
      </c>
      <c r="K3798" s="25" t="str">
        <f>IF(OR(E3798="",E3798="!!!",F3798="NEW"),"",INDEX(J$1:J3797,SUMPRODUCT(MAX(ROW(E$1:E3797)*(E3798=E$1:E3797)))))</f>
        <v> </v>
      </c>
      <c r="L3798" s="26"/>
    </row>
    <row r="3799" spans="1:12">
      <c r="A3799" s="20"/>
    </row>
    <row r="3800" spans="1:12">
      <c r="A3800" s="20" t="s">
        <v>2367</v>
      </c>
    </row>
    <row r="3801" spans="1:12">
      <c r="A3801" s="20" t="s">
        <v>975</v>
      </c>
      <c r="E3801" s="21">
        <f>IF(D3801="?OLD","!!!","")</f>
        <v/>
      </c>
      <c r="F3801" s="22" t="str">
        <f>IF(OR(E3801="",E3801="!!!"),"",IF(NOT(ISNA(VLOOKUP(E3801,E$1:E3800,1,FALSE()))),"OLD",IF(AND(E3801&lt;&gt;"",E3801&lt;&gt;"!!!"),"NEW","")))</f>
        <v> </v>
      </c>
      <c r="G3801" s="23" t="str">
        <f>IF(OR(E3801="",E3801="!!!"),"",IF(OR(J3801=0,AND(J3801=1,K3801=1),AND(J3801=1,I3801="SBJ"),AND(J3801=1,I3801=0)),"?IN_FOCUS",IF(J3801&lt;=2,"?ACTIVATED",IF(J3801&lt;&gt;"","?FAMILIAR",IF(F3801="NEW",IF(ISNA(VLOOKUP(E3801,#REF!,1,FALSE())),"?TYPE_IDENTIFIABLE","?REFERENTIAL"),"_")))))</f>
        <v> </v>
      </c>
      <c r="H3801" s="24" t="str">
        <f>IF(J3801&lt;&gt;1,"",IF(I3801="SBJ","CB","?"))</f>
        <v> </v>
      </c>
      <c r="I3801" s="25" t="str">
        <f>IF(OR(E3801="",E3801="!!!",F3801="NEW"),"",INDEX(B3800:B$2,-1+SUMPRODUCT(MAX(ROW(E3800:E$2)*(E3801=E3800:E$2)))))</f>
        <v> </v>
      </c>
      <c r="J3801" s="25" t="str">
        <f>IF(OR(E3801="",E3801="!!!",F3801="NEW"),"",COUNTBLANK(OFFSET(A$1,,,SUMPRODUCT(MAX(ROW(E$2:E3801)*(E3801=E$2:E3801)))))-COUNTBLANK(OFFSET(A$1,,,SUMPRODUCT(MAX(ROW(E$1:E3800)*(E2=E$1:E3800))))))</f>
        <v> </v>
      </c>
      <c r="K3801" s="25" t="str">
        <f>IF(OR(E3801="",E3801="!!!",F3801="NEW"),"",INDEX(J$1:J3800,SUMPRODUCT(MAX(ROW(E$1:E3800)*(E3801=E$1:E3800)))))</f>
        <v> </v>
      </c>
      <c r="L3801" s="26"/>
    </row>
    <row r="3802" spans="1:12">
      <c r="A3802" s="20" t="s">
        <v>935</v>
      </c>
      <c r="B3802" s="27" t="s">
        <v>799</v>
      </c>
      <c r="C3802" s="27" t="s">
        <v>816</v>
      </c>
      <c r="D3802" s="27" t="s">
        <v>801</v>
      </c>
      <c r="E3802" s="21">
        <f>IF(D3802="?OLD","!!!","")</f>
        <v/>
      </c>
      <c r="F3802" s="22" t="str">
        <f>IF(OR(E3802="",E3802="!!!"),"",IF(NOT(ISNA(VLOOKUP(E3802,E$1:E3801,1,FALSE()))),"OLD",IF(AND(E3802&lt;&gt;"",E3802&lt;&gt;"!!!"),"NEW","")))</f>
        <v> </v>
      </c>
      <c r="G3802" s="23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4" t="str">
        <f>IF(J3802&lt;&gt;1,"",IF(I3802="SBJ","CB","?"))</f>
        <v> </v>
      </c>
      <c r="I3802" s="25" t="str">
        <f>IF(OR(E3802="",E3802="!!!",F3802="NEW"),"",INDEX(B3801:B$2,-1+SUMPRODUCT(MAX(ROW(E3801:E$2)*(E3802=E3801:E$2)))))</f>
        <v> </v>
      </c>
      <c r="J3802" s="25" t="str">
        <f>IF(OR(E3802="",E3802="!!!",F3802="NEW"),"",COUNTBLANK(OFFSET(A$1,,,SUMPRODUCT(MAX(ROW(E$2:E3802)*(E3802=E$2:E3802)))))-COUNTBLANK(OFFSET(A$1,,,SUMPRODUCT(MAX(ROW(E$1:E3801)*(E2=E$1:E3801))))))</f>
        <v> </v>
      </c>
      <c r="K3802" s="25" t="str">
        <f>IF(OR(E3802="",E3802="!!!",F3802="NEW"),"",INDEX(J$1:J3801,SUMPRODUCT(MAX(ROW(E$1:E3801)*(E3802=E$1:E3801)))))</f>
        <v> </v>
      </c>
      <c r="L3802" s="26"/>
    </row>
    <row r="3803" spans="1:12">
      <c r="A3803" s="20" t="s">
        <v>1230</v>
      </c>
      <c r="E3803" s="21">
        <f>IF(D3803="?OLD","!!!","")</f>
        <v/>
      </c>
      <c r="F3803" s="22" t="str">
        <f>IF(OR(E3803="",E3803="!!!"),"",IF(NOT(ISNA(VLOOKUP(E3803,E$1:E3802,1,FALSE()))),"OLD",IF(AND(E3803&lt;&gt;"",E3803&lt;&gt;"!!!"),"NEW","")))</f>
        <v> </v>
      </c>
      <c r="G3803" s="23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4" t="str">
        <f>IF(J3803&lt;&gt;1,"",IF(I3803="SBJ","CB","?"))</f>
        <v> </v>
      </c>
      <c r="I3803" s="25" t="str">
        <f>IF(OR(E3803="",E3803="!!!",F3803="NEW"),"",INDEX(B3802:B$2,-1+SUMPRODUCT(MAX(ROW(E3802:E$2)*(E3803=E3802:E$2)))))</f>
        <v> </v>
      </c>
      <c r="J3803" s="25" t="str">
        <f>IF(OR(E3803="",E3803="!!!",F3803="NEW"),"",COUNTBLANK(OFFSET(A$1,,,SUMPRODUCT(MAX(ROW(E$2:E3803)*(E3803=E$2:E3803)))))-COUNTBLANK(OFFSET(A$1,,,SUMPRODUCT(MAX(ROW(E$1:E3802)*(E2=E$1:E3802))))))</f>
        <v> </v>
      </c>
      <c r="K3803" s="25" t="str">
        <f>IF(OR(E3803="",E3803="!!!",F3803="NEW"),"",INDEX(J$1:J3802,SUMPRODUCT(MAX(ROW(E$1:E3802)*(E3803=E$1:E3802)))))</f>
        <v> </v>
      </c>
      <c r="L3803" s="26"/>
    </row>
    <row r="3804" spans="1:12">
      <c r="A3804" s="20" t="s">
        <v>795</v>
      </c>
      <c r="E3804" s="21">
        <f>IF(D3804="?OLD","!!!","")</f>
        <v/>
      </c>
      <c r="F3804" s="22" t="str">
        <f>IF(OR(E3804="",E3804="!!!"),"",IF(NOT(ISNA(VLOOKUP(E3804,E$1:E3803,1,FALSE()))),"OLD",IF(AND(E3804&lt;&gt;"",E3804&lt;&gt;"!!!"),"NEW","")))</f>
        <v> </v>
      </c>
      <c r="G3804" s="23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4" t="str">
        <f>IF(J3804&lt;&gt;1,"",IF(I3804="SBJ","CB","?"))</f>
        <v> </v>
      </c>
      <c r="I3804" s="25" t="str">
        <f>IF(OR(E3804="",E3804="!!!",F3804="NEW"),"",INDEX(B3803:B$2,-1+SUMPRODUCT(MAX(ROW(E3803:E$2)*(E3804=E3803:E$2)))))</f>
        <v> </v>
      </c>
      <c r="J3804" s="25" t="str">
        <f>IF(OR(E3804="",E3804="!!!",F3804="NEW"),"",COUNTBLANK(OFFSET(A$1,,,SUMPRODUCT(MAX(ROW(E$2:E3804)*(E3804=E$2:E3804)))))-COUNTBLANK(OFFSET(A$1,,,SUMPRODUCT(MAX(ROW(E$1:E3803)*(E2=E$1:E3803))))))</f>
        <v> </v>
      </c>
      <c r="K3804" s="25" t="str">
        <f>IF(OR(E3804="",E3804="!!!",F3804="NEW"),"",INDEX(J$1:J3803,SUMPRODUCT(MAX(ROW(E$1:E3803)*(E3804=E$1:E3803)))))</f>
        <v> </v>
      </c>
      <c r="L3804" s="26"/>
    </row>
    <row r="3805" spans="1:12">
      <c r="A3805" s="20" t="s">
        <v>877</v>
      </c>
      <c r="E3805" s="21">
        <f>IF(D3805="?OLD","!!!","")</f>
        <v/>
      </c>
      <c r="F3805" s="22" t="str">
        <f>IF(OR(E3805="",E3805="!!!"),"",IF(NOT(ISNA(VLOOKUP(E3805,E$1:E3804,1,FALSE()))),"OLD",IF(AND(E3805&lt;&gt;"",E3805&lt;&gt;"!!!"),"NEW","")))</f>
        <v> </v>
      </c>
      <c r="G3805" s="23" t="str">
        <f>IF(OR(E3805="",E3805="!!!"),"",IF(OR(J3805=0,AND(J3805=1,K3805=1),AND(J3805=1,I3805="SBJ"),AND(J3805=1,I3805=0)),"?IN_FOCUS",IF(J3805&lt;=2,"?ACTIVATED",IF(J3805&lt;&gt;"","?FAMILIAR",IF(F3805="NEW",IF(ISNA(VLOOKUP(E3805,#REF!,1,FALSE())),"?TYPE_IDENTIFIABLE","?REFERENTIAL"),"_")))))</f>
        <v> </v>
      </c>
      <c r="H3805" s="24" t="str">
        <f>IF(J3805&lt;&gt;1,"",IF(I3805="SBJ","CB","?"))</f>
        <v> </v>
      </c>
      <c r="I3805" s="25" t="str">
        <f>IF(OR(E3805="",E3805="!!!",F3805="NEW"),"",INDEX(B3804:B$2,-1+SUMPRODUCT(MAX(ROW(E3804:E$2)*(E3805=E3804:E$2)))))</f>
        <v> </v>
      </c>
      <c r="J3805" s="25" t="str">
        <f>IF(OR(E3805="",E3805="!!!",F3805="NEW"),"",COUNTBLANK(OFFSET(A$1,,,SUMPRODUCT(MAX(ROW(E$2:E3805)*(E3805=E$2:E3805)))))-COUNTBLANK(OFFSET(A$1,,,SUMPRODUCT(MAX(ROW(E$1:E3804)*(E2=E$1:E3804))))))</f>
        <v> </v>
      </c>
      <c r="K3805" s="25" t="str">
        <f>IF(OR(E3805="",E3805="!!!",F3805="NEW"),"",INDEX(J$1:J3804,SUMPRODUCT(MAX(ROW(E$1:E3804)*(E3805=E$1:E3804)))))</f>
        <v> </v>
      </c>
      <c r="L3805" s="26"/>
    </row>
    <row r="3806" spans="1:12">
      <c r="A3806" s="20" t="s">
        <v>961</v>
      </c>
      <c r="B3806" s="27" t="s">
        <v>846</v>
      </c>
      <c r="C3806" s="27" t="s">
        <v>896</v>
      </c>
      <c r="D3806" s="27" t="s">
        <v>801</v>
      </c>
      <c r="E3806" s="21">
        <f>IF(D3806="?OLD","!!!","")</f>
        <v/>
      </c>
      <c r="F3806" s="22" t="str">
        <f>IF(OR(E3806="",E3806="!!!"),"",IF(NOT(ISNA(VLOOKUP(E3806,E$1:E3805,1,FALSE()))),"OLD",IF(AND(E3806&lt;&gt;"",E3806&lt;&gt;"!!!"),"NEW","")))</f>
        <v> </v>
      </c>
      <c r="G3806" s="23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4" t="str">
        <f>IF(J3806&lt;&gt;1,"",IF(I3806="SBJ","CB","?"))</f>
        <v> </v>
      </c>
      <c r="I3806" s="25" t="str">
        <f>IF(OR(E3806="",E3806="!!!",F3806="NEW"),"",INDEX(B3805:B$2,-1+SUMPRODUCT(MAX(ROW(E3805:E$2)*(E3806=E3805:E$2)))))</f>
        <v> </v>
      </c>
      <c r="J3806" s="25" t="str">
        <f>IF(OR(E3806="",E3806="!!!",F3806="NEW"),"",COUNTBLANK(OFFSET(A$1,,,SUMPRODUCT(MAX(ROW(E$2:E3806)*(E3806=E$2:E3806)))))-COUNTBLANK(OFFSET(A$1,,,SUMPRODUCT(MAX(ROW(E$1:E3805)*(E2=E$1:E3805))))))</f>
        <v> </v>
      </c>
      <c r="K3806" s="25" t="str">
        <f>IF(OR(E3806="",E3806="!!!",F3806="NEW"),"",INDEX(J$1:J3805,SUMPRODUCT(MAX(ROW(E$1:E3805)*(E3806=E$1:E3805)))))</f>
        <v> </v>
      </c>
      <c r="L3806" s="26"/>
    </row>
    <row r="3807" spans="1:12">
      <c r="A3807" s="20" t="s">
        <v>2368</v>
      </c>
      <c r="B3807" s="27" t="s">
        <v>849</v>
      </c>
      <c r="E3807" s="21">
        <f>IF(D3807="?OLD","!!!","")</f>
        <v/>
      </c>
      <c r="F3807" s="22" t="str">
        <f>IF(OR(E3807="",E3807="!!!"),"",IF(NOT(ISNA(VLOOKUP(E3807,E$1:E3806,1,FALSE()))),"OLD",IF(AND(E3807&lt;&gt;"",E3807&lt;&gt;"!!!"),"NEW","")))</f>
        <v> </v>
      </c>
      <c r="G3807" s="23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4" t="str">
        <f>IF(J3807&lt;&gt;1,"",IF(I3807="SBJ","CB","?"))</f>
        <v> </v>
      </c>
      <c r="I3807" s="25" t="str">
        <f>IF(OR(E3807="",E3807="!!!",F3807="NEW"),"",INDEX(B3806:B$2,-1+SUMPRODUCT(MAX(ROW(E3806:E$2)*(E3807=E3806:E$2)))))</f>
        <v> </v>
      </c>
      <c r="J3807" s="25" t="str">
        <f>IF(OR(E3807="",E3807="!!!",F3807="NEW"),"",COUNTBLANK(OFFSET(A$1,,,SUMPRODUCT(MAX(ROW(E$2:E3807)*(E3807=E$2:E3807)))))-COUNTBLANK(OFFSET(A$1,,,SUMPRODUCT(MAX(ROW(E$1:E3806)*(E2=E$1:E3806))))))</f>
        <v> </v>
      </c>
      <c r="K3807" s="25" t="str">
        <f>IF(OR(E3807="",E3807="!!!",F3807="NEW"),"",INDEX(J$1:J3806,SUMPRODUCT(MAX(ROW(E$1:E3806)*(E3807=E$1:E3806)))))</f>
        <v> </v>
      </c>
      <c r="L3807" s="26"/>
    </row>
    <row r="3808" spans="1:12">
      <c r="A3808" s="20" t="s">
        <v>1109</v>
      </c>
      <c r="E3808" s="21">
        <f>IF(D3808="?OLD","!!!","")</f>
        <v/>
      </c>
      <c r="F3808" s="22" t="str">
        <f>IF(OR(E3808="",E3808="!!!"),"",IF(NOT(ISNA(VLOOKUP(E3808,E$1:E3807,1,FALSE()))),"OLD",IF(AND(E3808&lt;&gt;"",E3808&lt;&gt;"!!!"),"NEW","")))</f>
        <v> </v>
      </c>
      <c r="G3808" s="23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4" t="str">
        <f>IF(J3808&lt;&gt;1,"",IF(I3808="SBJ","CB","?"))</f>
        <v> </v>
      </c>
      <c r="I3808" s="25" t="str">
        <f>IF(OR(E3808="",E3808="!!!",F3808="NEW"),"",INDEX(B3807:B$2,-1+SUMPRODUCT(MAX(ROW(E3807:E$2)*(E3808=E3807:E$2)))))</f>
        <v> </v>
      </c>
      <c r="J3808" s="25" t="str">
        <f>IF(OR(E3808="",E3808="!!!",F3808="NEW"),"",COUNTBLANK(OFFSET(A$1,,,SUMPRODUCT(MAX(ROW(E$2:E3808)*(E3808=E$2:E3808)))))-COUNTBLANK(OFFSET(A$1,,,SUMPRODUCT(MAX(ROW(E$1:E3807)*(E2=E$1:E3807))))))</f>
        <v> </v>
      </c>
      <c r="K3808" s="25" t="str">
        <f>IF(OR(E3808="",E3808="!!!",F3808="NEW"),"",INDEX(J$1:J3807,SUMPRODUCT(MAX(ROW(E$1:E3807)*(E3808=E$1:E3807)))))</f>
        <v> </v>
      </c>
      <c r="L3808" s="26"/>
    </row>
    <row r="3809" spans="1:12">
      <c r="A3809" s="20" t="s">
        <v>1911</v>
      </c>
      <c r="E3809" s="21">
        <f>IF(D3809="?OLD","!!!","")</f>
        <v/>
      </c>
      <c r="F3809" s="22" t="str">
        <f>IF(OR(E3809="",E3809="!!!"),"",IF(NOT(ISNA(VLOOKUP(E3809,E$1:E3808,1,FALSE()))),"OLD",IF(AND(E3809&lt;&gt;"",E3809&lt;&gt;"!!!"),"NEW","")))</f>
        <v> </v>
      </c>
      <c r="G3809" s="23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4" t="str">
        <f>IF(J3809&lt;&gt;1,"",IF(I3809="SBJ","CB","?"))</f>
        <v> </v>
      </c>
      <c r="I3809" s="25" t="str">
        <f>IF(OR(E3809="",E3809="!!!",F3809="NEW"),"",INDEX(B3808:B$2,-1+SUMPRODUCT(MAX(ROW(E3808:E$2)*(E3809=E3808:E$2)))))</f>
        <v> </v>
      </c>
      <c r="J3809" s="25" t="str">
        <f>IF(OR(E3809="",E3809="!!!",F3809="NEW"),"",COUNTBLANK(OFFSET(A$1,,,SUMPRODUCT(MAX(ROW(E$2:E3809)*(E3809=E$2:E3809)))))-COUNTBLANK(OFFSET(A$1,,,SUMPRODUCT(MAX(ROW(E$1:E3808)*(E2=E$1:E3808))))))</f>
        <v> </v>
      </c>
      <c r="K3809" s="25" t="str">
        <f>IF(OR(E3809="",E3809="!!!",F3809="NEW"),"",INDEX(J$1:J3808,SUMPRODUCT(MAX(ROW(E$1:E3808)*(E3809=E$1:E3808)))))</f>
        <v> </v>
      </c>
      <c r="L3809" s="26"/>
    </row>
    <row r="3810" spans="1:12">
      <c r="A3810" s="20" t="s">
        <v>803</v>
      </c>
      <c r="E3810" s="21">
        <f>IF(D3810="?OLD","!!!","")</f>
        <v/>
      </c>
      <c r="F3810" s="22" t="str">
        <f>IF(OR(E3810="",E3810="!!!"),"",IF(NOT(ISNA(VLOOKUP(E3810,E$1:E3809,1,FALSE()))),"OLD",IF(AND(E3810&lt;&gt;"",E3810&lt;&gt;"!!!"),"NEW","")))</f>
        <v> </v>
      </c>
      <c r="G3810" s="23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4" t="str">
        <f>IF(J3810&lt;&gt;1,"",IF(I3810="SBJ","CB","?"))</f>
        <v> </v>
      </c>
      <c r="I3810" s="25" t="str">
        <f>IF(OR(E3810="",E3810="!!!",F3810="NEW"),"",INDEX(B3809:B$2,-1+SUMPRODUCT(MAX(ROW(E3809:E$2)*(E3810=E3809:E$2)))))</f>
        <v> </v>
      </c>
      <c r="J3810" s="25" t="str">
        <f>IF(OR(E3810="",E3810="!!!",F3810="NEW"),"",COUNTBLANK(OFFSET(A$1,,,SUMPRODUCT(MAX(ROW(E$2:E3810)*(E3810=E$2:E3810)))))-COUNTBLANK(OFFSET(A$1,,,SUMPRODUCT(MAX(ROW(E$1:E3809)*(E2=E$1:E3809))))))</f>
        <v> </v>
      </c>
      <c r="K3810" s="25" t="str">
        <f>IF(OR(E3810="",E3810="!!!",F3810="NEW"),"",INDEX(J$1:J3809,SUMPRODUCT(MAX(ROW(E$1:E3809)*(E3810=E$1:E3809)))))</f>
        <v> </v>
      </c>
      <c r="L3810" s="26"/>
    </row>
    <row r="3811" spans="1:12">
      <c r="A3811" s="20"/>
    </row>
    <row r="3812" spans="1:12">
      <c r="A3812" s="20" t="s">
        <v>2369</v>
      </c>
    </row>
    <row r="3813" spans="1:12">
      <c r="A3813" s="20" t="s">
        <v>2370</v>
      </c>
      <c r="B3813" s="27" t="s">
        <v>799</v>
      </c>
      <c r="E3813" s="21">
        <f>IF(D3813="?OLD","!!!","")</f>
        <v/>
      </c>
      <c r="F3813" s="22" t="str">
        <f>IF(OR(E3813="",E3813="!!!"),"",IF(NOT(ISNA(VLOOKUP(E3813,E$1:E3812,1,FALSE()))),"OLD",IF(AND(E3813&lt;&gt;"",E3813&lt;&gt;"!!!"),"NEW","")))</f>
        <v> </v>
      </c>
      <c r="G3813" s="23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4" t="str">
        <f>IF(J3813&lt;&gt;1,"",IF(I3813="SBJ","CB","?"))</f>
        <v> </v>
      </c>
      <c r="I3813" s="25" t="str">
        <f>IF(OR(E3813="",E3813="!!!",F3813="NEW"),"",INDEX(B3812:B$2,-1+SUMPRODUCT(MAX(ROW(E3812:E$2)*(E3813=E3812:E$2)))))</f>
        <v> </v>
      </c>
      <c r="J3813" s="25" t="str">
        <f>IF(OR(E3813="",E3813="!!!",F3813="NEW"),"",COUNTBLANK(OFFSET(A$1,,,SUMPRODUCT(MAX(ROW(E$2:E3813)*(E3813=E$2:E3813)))))-COUNTBLANK(OFFSET(A$1,,,SUMPRODUCT(MAX(ROW(E$1:E3812)*(E2=E$1:E3812))))))</f>
        <v> </v>
      </c>
      <c r="K3813" s="25" t="str">
        <f>IF(OR(E3813="",E3813="!!!",F3813="NEW"),"",INDEX(J$1:J3812,SUMPRODUCT(MAX(ROW(E$1:E3812)*(E3813=E$1:E3812)))))</f>
        <v> </v>
      </c>
      <c r="L3813" s="26"/>
    </row>
    <row r="3814" spans="1:12">
      <c r="A3814" s="20" t="s">
        <v>827</v>
      </c>
      <c r="E3814" s="21">
        <f>IF(D3814="?OLD","!!!","")</f>
        <v/>
      </c>
      <c r="F3814" s="22" t="str">
        <f>IF(OR(E3814="",E3814="!!!"),"",IF(NOT(ISNA(VLOOKUP(E3814,E$1:E3813,1,FALSE()))),"OLD",IF(AND(E3814&lt;&gt;"",E3814&lt;&gt;"!!!"),"NEW","")))</f>
        <v> </v>
      </c>
      <c r="G3814" s="23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4" t="str">
        <f>IF(J3814&lt;&gt;1,"",IF(I3814="SBJ","CB","?"))</f>
        <v> </v>
      </c>
      <c r="I3814" s="25" t="str">
        <f>IF(OR(E3814="",E3814="!!!",F3814="NEW"),"",INDEX(B3813:B$2,-1+SUMPRODUCT(MAX(ROW(E3813:E$2)*(E3814=E3813:E$2)))))</f>
        <v> </v>
      </c>
      <c r="J3814" s="25" t="str">
        <f>IF(OR(E3814="",E3814="!!!",F3814="NEW"),"",COUNTBLANK(OFFSET(A$1,,,SUMPRODUCT(MAX(ROW(E$2:E3814)*(E3814=E$2:E3814)))))-COUNTBLANK(OFFSET(A$1,,,SUMPRODUCT(MAX(ROW(E$1:E3813)*(E2=E$1:E3813))))))</f>
        <v> </v>
      </c>
      <c r="K3814" s="25" t="str">
        <f>IF(OR(E3814="",E3814="!!!",F3814="NEW"),"",INDEX(J$1:J3813,SUMPRODUCT(MAX(ROW(E$1:E3813)*(E3814=E$1:E3813)))))</f>
        <v> </v>
      </c>
      <c r="L3814" s="26"/>
    </row>
    <row r="3815" spans="1:12">
      <c r="A3815" s="20" t="s">
        <v>966</v>
      </c>
      <c r="E3815" s="21">
        <f>IF(D3815="?OLD","!!!","")</f>
        <v/>
      </c>
      <c r="F3815" s="22" t="str">
        <f>IF(OR(E3815="",E3815="!!!"),"",IF(NOT(ISNA(VLOOKUP(E3815,E$1:E3814,1,FALSE()))),"OLD",IF(AND(E3815&lt;&gt;"",E3815&lt;&gt;"!!!"),"NEW","")))</f>
        <v> </v>
      </c>
      <c r="G3815" s="23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4" t="str">
        <f>IF(J3815&lt;&gt;1,"",IF(I3815="SBJ","CB","?"))</f>
        <v> </v>
      </c>
      <c r="I3815" s="25" t="str">
        <f>IF(OR(E3815="",E3815="!!!",F3815="NEW"),"",INDEX(B3814:B$2,-1+SUMPRODUCT(MAX(ROW(E3814:E$2)*(E3815=E3814:E$2)))))</f>
        <v> </v>
      </c>
      <c r="J3815" s="25" t="str">
        <f>IF(OR(E3815="",E3815="!!!",F3815="NEW"),"",COUNTBLANK(OFFSET(A$1,,,SUMPRODUCT(MAX(ROW(E$2:E3815)*(E3815=E$2:E3815)))))-COUNTBLANK(OFFSET(A$1,,,SUMPRODUCT(MAX(ROW(E$1:E3814)*(E2=E$1:E3814))))))</f>
        <v> </v>
      </c>
      <c r="K3815" s="25" t="str">
        <f>IF(OR(E3815="",E3815="!!!",F3815="NEW"),"",INDEX(J$1:J3814,SUMPRODUCT(MAX(ROW(E$1:E3814)*(E3815=E$1:E3814)))))</f>
        <v> </v>
      </c>
      <c r="L3815" s="26"/>
    </row>
    <row r="3816" spans="1:12">
      <c r="A3816" s="20" t="s">
        <v>967</v>
      </c>
      <c r="E3816" s="21">
        <f>IF(D3816="?OLD","!!!","")</f>
        <v/>
      </c>
      <c r="F3816" s="22" t="str">
        <f>IF(OR(E3816="",E3816="!!!"),"",IF(NOT(ISNA(VLOOKUP(E3816,E$1:E3815,1,FALSE()))),"OLD",IF(AND(E3816&lt;&gt;"",E3816&lt;&gt;"!!!"),"NEW","")))</f>
        <v> </v>
      </c>
      <c r="G3816" s="23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4" t="str">
        <f>IF(J3816&lt;&gt;1,"",IF(I3816="SBJ","CB","?"))</f>
        <v> </v>
      </c>
      <c r="I3816" s="25" t="str">
        <f>IF(OR(E3816="",E3816="!!!",F3816="NEW"),"",INDEX(B3815:B$2,-1+SUMPRODUCT(MAX(ROW(E3815:E$2)*(E3816=E3815:E$2)))))</f>
        <v> </v>
      </c>
      <c r="J3816" s="25" t="str">
        <f>IF(OR(E3816="",E3816="!!!",F3816="NEW"),"",COUNTBLANK(OFFSET(A$1,,,SUMPRODUCT(MAX(ROW(E$2:E3816)*(E3816=E$2:E3816)))))-COUNTBLANK(OFFSET(A$1,,,SUMPRODUCT(MAX(ROW(E$1:E3815)*(E2=E$1:E3815))))))</f>
        <v> </v>
      </c>
      <c r="K3816" s="25" t="str">
        <f>IF(OR(E3816="",E3816="!!!",F3816="NEW"),"",INDEX(J$1:J3815,SUMPRODUCT(MAX(ROW(E$1:E3815)*(E3816=E$1:E3815)))))</f>
        <v> </v>
      </c>
      <c r="L3816" s="26"/>
    </row>
    <row r="3817" spans="1:12">
      <c r="A3817" s="20" t="s">
        <v>817</v>
      </c>
      <c r="E3817" s="21">
        <f>IF(D3817="?OLD","!!!","")</f>
        <v/>
      </c>
      <c r="F3817" s="22" t="str">
        <f>IF(OR(E3817="",E3817="!!!"),"",IF(NOT(ISNA(VLOOKUP(E3817,E$1:E3816,1,FALSE()))),"OLD",IF(AND(E3817&lt;&gt;"",E3817&lt;&gt;"!!!"),"NEW","")))</f>
        <v> </v>
      </c>
      <c r="G3817" s="23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4" t="str">
        <f>IF(J3817&lt;&gt;1,"",IF(I3817="SBJ","CB","?"))</f>
        <v> </v>
      </c>
      <c r="I3817" s="25" t="str">
        <f>IF(OR(E3817="",E3817="!!!",F3817="NEW"),"",INDEX(B3816:B$2,-1+SUMPRODUCT(MAX(ROW(E3816:E$2)*(E3817=E3816:E$2)))))</f>
        <v> </v>
      </c>
      <c r="J3817" s="25" t="str">
        <f>IF(OR(E3817="",E3817="!!!",F3817="NEW"),"",COUNTBLANK(OFFSET(A$1,,,SUMPRODUCT(MAX(ROW(E$2:E3817)*(E3817=E$2:E3817)))))-COUNTBLANK(OFFSET(A$1,,,SUMPRODUCT(MAX(ROW(E$1:E3816)*(E2=E$1:E3816))))))</f>
        <v> </v>
      </c>
      <c r="K3817" s="25" t="str">
        <f>IF(OR(E3817="",E3817="!!!",F3817="NEW"),"",INDEX(J$1:J3816,SUMPRODUCT(MAX(ROW(E$1:E3816)*(E3817=E$1:E3816)))))</f>
        <v> </v>
      </c>
      <c r="L3817" s="26"/>
    </row>
    <row r="3818" spans="1:12">
      <c r="A3818" s="20" t="s">
        <v>968</v>
      </c>
      <c r="E3818" s="21">
        <f>IF(D3818="?OLD","!!!","")</f>
        <v/>
      </c>
      <c r="F3818" s="22" t="str">
        <f>IF(OR(E3818="",E3818="!!!"),"",IF(NOT(ISNA(VLOOKUP(E3818,E$1:E3817,1,FALSE()))),"OLD",IF(AND(E3818&lt;&gt;"",E3818&lt;&gt;"!!!"),"NEW","")))</f>
        <v> </v>
      </c>
      <c r="G3818" s="23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4" t="str">
        <f>IF(J3818&lt;&gt;1,"",IF(I3818="SBJ","CB","?"))</f>
        <v> </v>
      </c>
      <c r="I3818" s="25" t="str">
        <f>IF(OR(E3818="",E3818="!!!",F3818="NEW"),"",INDEX(B3817:B$2,-1+SUMPRODUCT(MAX(ROW(E3817:E$2)*(E3818=E3817:E$2)))))</f>
        <v> </v>
      </c>
      <c r="J3818" s="25" t="str">
        <f>IF(OR(E3818="",E3818="!!!",F3818="NEW"),"",COUNTBLANK(OFFSET(A$1,,,SUMPRODUCT(MAX(ROW(E$2:E3818)*(E3818=E$2:E3818)))))-COUNTBLANK(OFFSET(A$1,,,SUMPRODUCT(MAX(ROW(E$1:E3817)*(E2=E$1:E3817))))))</f>
        <v> </v>
      </c>
      <c r="K3818" s="25" t="str">
        <f>IF(OR(E3818="",E3818="!!!",F3818="NEW"),"",INDEX(J$1:J3817,SUMPRODUCT(MAX(ROW(E$1:E3817)*(E3818=E$1:E3817)))))</f>
        <v> </v>
      </c>
      <c r="L3818" s="26"/>
    </row>
    <row r="3819" spans="1:12">
      <c r="A3819" s="20" t="s">
        <v>969</v>
      </c>
      <c r="E3819" s="21">
        <f>IF(D3819="?OLD","!!!","")</f>
        <v/>
      </c>
      <c r="F3819" s="22" t="str">
        <f>IF(OR(E3819="",E3819="!!!"),"",IF(NOT(ISNA(VLOOKUP(E3819,E$1:E3818,1,FALSE()))),"OLD",IF(AND(E3819&lt;&gt;"",E3819&lt;&gt;"!!!"),"NEW","")))</f>
        <v> </v>
      </c>
      <c r="G3819" s="23" t="str">
        <f>IF(OR(E3819="",E3819="!!!"),"",IF(OR(J3819=0,AND(J3819=1,K3819=1),AND(J3819=1,I3819="SBJ"),AND(J3819=1,I3819=0)),"?IN_FOCUS",IF(J3819&lt;=2,"?ACTIVATED",IF(J3819&lt;&gt;"","?FAMILIAR",IF(F3819="NEW",IF(ISNA(VLOOKUP(E3819,#REF!,1,FALSE())),"?TYPE_IDENTIFIABLE","?REFERENTIAL"),"_")))))</f>
        <v> </v>
      </c>
      <c r="H3819" s="24" t="str">
        <f>IF(J3819&lt;&gt;1,"",IF(I3819="SBJ","CB","?"))</f>
        <v> </v>
      </c>
      <c r="I3819" s="25" t="str">
        <f>IF(OR(E3819="",E3819="!!!",F3819="NEW"),"",INDEX(B3818:B$2,-1+SUMPRODUCT(MAX(ROW(E3818:E$2)*(E3819=E3818:E$2)))))</f>
        <v> </v>
      </c>
      <c r="J3819" s="25" t="str">
        <f>IF(OR(E3819="",E3819="!!!",F3819="NEW"),"",COUNTBLANK(OFFSET(A$1,,,SUMPRODUCT(MAX(ROW(E$2:E3819)*(E3819=E$2:E3819)))))-COUNTBLANK(OFFSET(A$1,,,SUMPRODUCT(MAX(ROW(E$1:E3818)*(E2=E$1:E3818))))))</f>
        <v> </v>
      </c>
      <c r="K3819" s="25" t="str">
        <f>IF(OR(E3819="",E3819="!!!",F3819="NEW"),"",INDEX(J$1:J3818,SUMPRODUCT(MAX(ROW(E$1:E3818)*(E3819=E$1:E3818)))))</f>
        <v> </v>
      </c>
      <c r="L3819" s="26"/>
    </row>
    <row r="3820" spans="1:12">
      <c r="A3820" s="20" t="s">
        <v>970</v>
      </c>
      <c r="E3820" s="21">
        <f>IF(D3820="?OLD","!!!","")</f>
        <v/>
      </c>
      <c r="F3820" s="22" t="str">
        <f>IF(OR(E3820="",E3820="!!!"),"",IF(NOT(ISNA(VLOOKUP(E3820,E$1:E3819,1,FALSE()))),"OLD",IF(AND(E3820&lt;&gt;"",E3820&lt;&gt;"!!!"),"NEW","")))</f>
        <v> </v>
      </c>
      <c r="G3820" s="23" t="str">
        <f>IF(OR(E3820="",E3820="!!!"),"",IF(OR(J3820=0,AND(J3820=1,K3820=1),AND(J3820=1,I3820="SBJ"),AND(J3820=1,I3820=0)),"?IN_FOCUS",IF(J3820&lt;=2,"?ACTIVATED",IF(J3820&lt;&gt;"","?FAMILIAR",IF(F3820="NEW",IF(ISNA(VLOOKUP(E3820,#REF!,1,FALSE())),"?TYPE_IDENTIFIABLE","?REFERENTIAL"),"_")))))</f>
        <v> </v>
      </c>
      <c r="H3820" s="24" t="str">
        <f>IF(J3820&lt;&gt;1,"",IF(I3820="SBJ","CB","?"))</f>
        <v> </v>
      </c>
      <c r="I3820" s="25" t="str">
        <f>IF(OR(E3820="",E3820="!!!",F3820="NEW"),"",INDEX(B3819:B$2,-1+SUMPRODUCT(MAX(ROW(E3819:E$2)*(E3820=E3819:E$2)))))</f>
        <v> </v>
      </c>
      <c r="J3820" s="25" t="str">
        <f>IF(OR(E3820="",E3820="!!!",F3820="NEW"),"",COUNTBLANK(OFFSET(A$1,,,SUMPRODUCT(MAX(ROW(E$2:E3820)*(E3820=E$2:E3820)))))-COUNTBLANK(OFFSET(A$1,,,SUMPRODUCT(MAX(ROW(E$1:E3819)*(E2=E$1:E3819))))))</f>
        <v> </v>
      </c>
      <c r="K3820" s="25" t="str">
        <f>IF(OR(E3820="",E3820="!!!",F3820="NEW"),"",INDEX(J$1:J3819,SUMPRODUCT(MAX(ROW(E$1:E3819)*(E3820=E$1:E3819)))))</f>
        <v> </v>
      </c>
      <c r="L3820" s="26"/>
    </row>
    <row r="3821" spans="1:12">
      <c r="A3821" s="20" t="s">
        <v>971</v>
      </c>
      <c r="E3821" s="21">
        <f>IF(D3821="?OLD","!!!","")</f>
        <v/>
      </c>
      <c r="F3821" s="22" t="str">
        <f>IF(OR(E3821="",E3821="!!!"),"",IF(NOT(ISNA(VLOOKUP(E3821,E$1:E3820,1,FALSE()))),"OLD",IF(AND(E3821&lt;&gt;"",E3821&lt;&gt;"!!!"),"NEW","")))</f>
        <v> </v>
      </c>
      <c r="G3821" s="23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4" t="str">
        <f>IF(J3821&lt;&gt;1,"",IF(I3821="SBJ","CB","?"))</f>
        <v> </v>
      </c>
      <c r="I3821" s="25" t="str">
        <f>IF(OR(E3821="",E3821="!!!",F3821="NEW"),"",INDEX(B3820:B$2,-1+SUMPRODUCT(MAX(ROW(E3820:E$2)*(E3821=E3820:E$2)))))</f>
        <v> </v>
      </c>
      <c r="J3821" s="25" t="str">
        <f>IF(OR(E3821="",E3821="!!!",F3821="NEW"),"",COUNTBLANK(OFFSET(A$1,,,SUMPRODUCT(MAX(ROW(E$2:E3821)*(E3821=E$2:E3821)))))-COUNTBLANK(OFFSET(A$1,,,SUMPRODUCT(MAX(ROW(E$1:E3820)*(E2=E$1:E3820))))))</f>
        <v> </v>
      </c>
      <c r="K3821" s="25" t="str">
        <f>IF(OR(E3821="",E3821="!!!",F3821="NEW"),"",INDEX(J$1:J3820,SUMPRODUCT(MAX(ROW(E$1:E3820)*(E3821=E$1:E3820)))))</f>
        <v> </v>
      </c>
      <c r="L3821" s="26"/>
    </row>
    <row r="3822" spans="1:12">
      <c r="A3822" s="20" t="s">
        <v>972</v>
      </c>
      <c r="E3822" s="21">
        <f>IF(D3822="?OLD","!!!","")</f>
        <v/>
      </c>
      <c r="F3822" s="22" t="str">
        <f>IF(OR(E3822="",E3822="!!!"),"",IF(NOT(ISNA(VLOOKUP(E3822,E$1:E3821,1,FALSE()))),"OLD",IF(AND(E3822&lt;&gt;"",E3822&lt;&gt;"!!!"),"NEW","")))</f>
        <v> </v>
      </c>
      <c r="G3822" s="23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4" t="str">
        <f>IF(J3822&lt;&gt;1,"",IF(I3822="SBJ","CB","?"))</f>
        <v> </v>
      </c>
      <c r="I3822" s="25" t="str">
        <f>IF(OR(E3822="",E3822="!!!",F3822="NEW"),"",INDEX(B3821:B$2,-1+SUMPRODUCT(MAX(ROW(E3821:E$2)*(E3822=E3821:E$2)))))</f>
        <v> </v>
      </c>
      <c r="J3822" s="25" t="str">
        <f>IF(OR(E3822="",E3822="!!!",F3822="NEW"),"",COUNTBLANK(OFFSET(A$1,,,SUMPRODUCT(MAX(ROW(E$2:E3822)*(E3822=E$2:E3822)))))-COUNTBLANK(OFFSET(A$1,,,SUMPRODUCT(MAX(ROW(E$1:E3821)*(E2=E$1:E3821))))))</f>
        <v> </v>
      </c>
      <c r="K3822" s="25" t="str">
        <f>IF(OR(E3822="",E3822="!!!",F3822="NEW"),"",INDEX(J$1:J3821,SUMPRODUCT(MAX(ROW(E$1:E3821)*(E3822=E$1:E3821)))))</f>
        <v> </v>
      </c>
      <c r="L3822" s="26"/>
    </row>
    <row r="3823" spans="1:12">
      <c r="A3823" s="20" t="s">
        <v>973</v>
      </c>
      <c r="E3823" s="21">
        <f>IF(D3823="?OLD","!!!","")</f>
        <v/>
      </c>
      <c r="F3823" s="22" t="str">
        <f>IF(OR(E3823="",E3823="!!!"),"",IF(NOT(ISNA(VLOOKUP(E3823,E$1:E3822,1,FALSE()))),"OLD",IF(AND(E3823&lt;&gt;"",E3823&lt;&gt;"!!!"),"NEW","")))</f>
        <v> </v>
      </c>
      <c r="G3823" s="23" t="str">
        <f>IF(OR(E3823="",E3823="!!!"),"",IF(OR(J3823=0,AND(J3823=1,K3823=1),AND(J3823=1,I3823="SBJ"),AND(J3823=1,I3823=0)),"?IN_FOCUS",IF(J3823&lt;=2,"?ACTIVATED",IF(J3823&lt;&gt;"","?FAMILIAR",IF(F3823="NEW",IF(ISNA(VLOOKUP(E3823,#REF!,1,FALSE())),"?TYPE_IDENTIFIABLE","?REFERENTIAL"),"_")))))</f>
        <v> </v>
      </c>
      <c r="H3823" s="24" t="str">
        <f>IF(J3823&lt;&gt;1,"",IF(I3823="SBJ","CB","?"))</f>
        <v> </v>
      </c>
      <c r="I3823" s="25" t="str">
        <f>IF(OR(E3823="",E3823="!!!",F3823="NEW"),"",INDEX(B3822:B$2,-1+SUMPRODUCT(MAX(ROW(E3822:E$2)*(E3823=E3822:E$2)))))</f>
        <v> </v>
      </c>
      <c r="J3823" s="25" t="str">
        <f>IF(OR(E3823="",E3823="!!!",F3823="NEW"),"",COUNTBLANK(OFFSET(A$1,,,SUMPRODUCT(MAX(ROW(E$2:E3823)*(E3823=E$2:E3823)))))-COUNTBLANK(OFFSET(A$1,,,SUMPRODUCT(MAX(ROW(E$1:E3822)*(E2=E$1:E3822))))))</f>
        <v> </v>
      </c>
      <c r="K3823" s="25" t="str">
        <f>IF(OR(E3823="",E3823="!!!",F3823="NEW"),"",INDEX(J$1:J3822,SUMPRODUCT(MAX(ROW(E$1:E3822)*(E3823=E$1:E3822)))))</f>
        <v> </v>
      </c>
      <c r="L3823" s="26"/>
    </row>
    <row r="3824" spans="1:12">
      <c r="A3824" s="20" t="s">
        <v>795</v>
      </c>
      <c r="E3824" s="21">
        <f>IF(D3824="?OLD","!!!","")</f>
        <v/>
      </c>
      <c r="F3824" s="22" t="str">
        <f>IF(OR(E3824="",E3824="!!!"),"",IF(NOT(ISNA(VLOOKUP(E3824,E$1:E3823,1,FALSE()))),"OLD",IF(AND(E3824&lt;&gt;"",E3824&lt;&gt;"!!!"),"NEW","")))</f>
        <v> </v>
      </c>
      <c r="G3824" s="23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4" t="str">
        <f>IF(J3824&lt;&gt;1,"",IF(I3824="SBJ","CB","?"))</f>
        <v> </v>
      </c>
      <c r="I3824" s="25" t="str">
        <f>IF(OR(E3824="",E3824="!!!",F3824="NEW"),"",INDEX(B3823:B$2,-1+SUMPRODUCT(MAX(ROW(E3823:E$2)*(E3824=E3823:E$2)))))</f>
        <v> </v>
      </c>
      <c r="J3824" s="25" t="str">
        <f>IF(OR(E3824="",E3824="!!!",F3824="NEW"),"",COUNTBLANK(OFFSET(A$1,,,SUMPRODUCT(MAX(ROW(E$2:E3824)*(E3824=E$2:E3824)))))-COUNTBLANK(OFFSET(A$1,,,SUMPRODUCT(MAX(ROW(E$1:E3823)*(E2=E$1:E3823))))))</f>
        <v> </v>
      </c>
      <c r="K3824" s="25" t="str">
        <f>IF(OR(E3824="",E3824="!!!",F3824="NEW"),"",INDEX(J$1:J3823,SUMPRODUCT(MAX(ROW(E$1:E3823)*(E3824=E$1:E3823)))))</f>
        <v> </v>
      </c>
      <c r="L3824" s="26"/>
    </row>
    <row r="3825" spans="1:12">
      <c r="A3825" s="20" t="s">
        <v>825</v>
      </c>
      <c r="E3825" s="21">
        <f>IF(D3825="?OLD","!!!","")</f>
        <v/>
      </c>
      <c r="F3825" s="22" t="str">
        <f>IF(OR(E3825="",E3825="!!!"),"",IF(NOT(ISNA(VLOOKUP(E3825,E$1:E3824,1,FALSE()))),"OLD",IF(AND(E3825&lt;&gt;"",E3825&lt;&gt;"!!!"),"NEW","")))</f>
        <v> </v>
      </c>
      <c r="G3825" s="23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4" t="str">
        <f>IF(J3825&lt;&gt;1,"",IF(I3825="SBJ","CB","?"))</f>
        <v> </v>
      </c>
      <c r="I3825" s="25" t="str">
        <f>IF(OR(E3825="",E3825="!!!",F3825="NEW"),"",INDEX(B3824:B$2,-1+SUMPRODUCT(MAX(ROW(E3824:E$2)*(E3825=E3824:E$2)))))</f>
        <v> </v>
      </c>
      <c r="J3825" s="25" t="str">
        <f>IF(OR(E3825="",E3825="!!!",F3825="NEW"),"",COUNTBLANK(OFFSET(A$1,,,SUMPRODUCT(MAX(ROW(E$2:E3825)*(E3825=E$2:E3825)))))-COUNTBLANK(OFFSET(A$1,,,SUMPRODUCT(MAX(ROW(E$1:E3824)*(E2=E$1:E3824))))))</f>
        <v> </v>
      </c>
      <c r="K3825" s="25" t="str">
        <f>IF(OR(E3825="",E3825="!!!",F3825="NEW"),"",INDEX(J$1:J3824,SUMPRODUCT(MAX(ROW(E$1:E3824)*(E3825=E$1:E3824)))))</f>
        <v> </v>
      </c>
      <c r="L3825" s="26"/>
    </row>
    <row r="3826" spans="1:12">
      <c r="A3826" s="20" t="s">
        <v>979</v>
      </c>
      <c r="E3826" s="21">
        <f>IF(D3826="?OLD","!!!","")</f>
        <v/>
      </c>
      <c r="F3826" s="22" t="str">
        <f>IF(OR(E3826="",E3826="!!!"),"",IF(NOT(ISNA(VLOOKUP(E3826,E$1:E3825,1,FALSE()))),"OLD",IF(AND(E3826&lt;&gt;"",E3826&lt;&gt;"!!!"),"NEW","")))</f>
        <v> </v>
      </c>
      <c r="G3826" s="23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4" t="str">
        <f>IF(J3826&lt;&gt;1,"",IF(I3826="SBJ","CB","?"))</f>
        <v> </v>
      </c>
      <c r="I3826" s="25" t="str">
        <f>IF(OR(E3826="",E3826="!!!",F3826="NEW"),"",INDEX(B3825:B$2,-1+SUMPRODUCT(MAX(ROW(E3825:E$2)*(E3826=E3825:E$2)))))</f>
        <v> </v>
      </c>
      <c r="J3826" s="25" t="str">
        <f>IF(OR(E3826="",E3826="!!!",F3826="NEW"),"",COUNTBLANK(OFFSET(A$1,,,SUMPRODUCT(MAX(ROW(E$2:E3826)*(E3826=E$2:E3826)))))-COUNTBLANK(OFFSET(A$1,,,SUMPRODUCT(MAX(ROW(E$1:E3825)*(E2=E$1:E3825))))))</f>
        <v> </v>
      </c>
      <c r="K3826" s="25" t="str">
        <f>IF(OR(E3826="",E3826="!!!",F3826="NEW"),"",INDEX(J$1:J3825,SUMPRODUCT(MAX(ROW(E$1:E3825)*(E3826=E$1:E3825)))))</f>
        <v> </v>
      </c>
      <c r="L3826" s="26"/>
    </row>
    <row r="3827" spans="1:12">
      <c r="A3827" s="20" t="s">
        <v>980</v>
      </c>
      <c r="E3827" s="21">
        <f>IF(D3827="?OLD","!!!","")</f>
        <v/>
      </c>
      <c r="F3827" s="22" t="str">
        <f>IF(OR(E3827="",E3827="!!!"),"",IF(NOT(ISNA(VLOOKUP(E3827,E$1:E3826,1,FALSE()))),"OLD",IF(AND(E3827&lt;&gt;"",E3827&lt;&gt;"!!!"),"NEW","")))</f>
        <v> </v>
      </c>
      <c r="G3827" s="23" t="str">
        <f>IF(OR(E3827="",E3827="!!!"),"",IF(OR(J3827=0,AND(J3827=1,K3827=1),AND(J3827=1,I3827="SBJ"),AND(J3827=1,I3827=0)),"?IN_FOCUS",IF(J3827&lt;=2,"?ACTIVATED",IF(J3827&lt;&gt;"","?FAMILIAR",IF(F3827="NEW",IF(ISNA(VLOOKUP(E3827,#REF!,1,FALSE())),"?TYPE_IDENTIFIABLE","?REFERENTIAL"),"_")))))</f>
        <v> </v>
      </c>
      <c r="H3827" s="24" t="str">
        <f>IF(J3827&lt;&gt;1,"",IF(I3827="SBJ","CB","?"))</f>
        <v> </v>
      </c>
      <c r="I3827" s="25" t="str">
        <f>IF(OR(E3827="",E3827="!!!",F3827="NEW"),"",INDEX(B3826:B$2,-1+SUMPRODUCT(MAX(ROW(E3826:E$2)*(E3827=E3826:E$2)))))</f>
        <v> </v>
      </c>
      <c r="J3827" s="25" t="str">
        <f>IF(OR(E3827="",E3827="!!!",F3827="NEW"),"",COUNTBLANK(OFFSET(A$1,,,SUMPRODUCT(MAX(ROW(E$2:E3827)*(E3827=E$2:E3827)))))-COUNTBLANK(OFFSET(A$1,,,SUMPRODUCT(MAX(ROW(E$1:E3826)*(E2=E$1:E3826))))))</f>
        <v> </v>
      </c>
      <c r="K3827" s="25" t="str">
        <f>IF(OR(E3827="",E3827="!!!",F3827="NEW"),"",INDEX(J$1:J3826,SUMPRODUCT(MAX(ROW(E$1:E3826)*(E3827=E$1:E3826)))))</f>
        <v> </v>
      </c>
      <c r="L3827" s="26"/>
    </row>
    <row r="3828" spans="1:12">
      <c r="A3828" s="20" t="s">
        <v>981</v>
      </c>
      <c r="B3828" s="27" t="s">
        <v>857</v>
      </c>
      <c r="C3828" s="27" t="s">
        <v>816</v>
      </c>
      <c r="D3828" s="27" t="s">
        <v>801</v>
      </c>
      <c r="E3828" s="21">
        <f>IF(D3828="?OLD","!!!","")</f>
        <v/>
      </c>
      <c r="F3828" s="22" t="str">
        <f>IF(OR(E3828="",E3828="!!!"),"",IF(NOT(ISNA(VLOOKUP(E3828,E$1:E3827,1,FALSE()))),"OLD",IF(AND(E3828&lt;&gt;"",E3828&lt;&gt;"!!!"),"NEW","")))</f>
        <v> </v>
      </c>
      <c r="G3828" s="23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4" t="str">
        <f>IF(J3828&lt;&gt;1,"",IF(I3828="SBJ","CB","?"))</f>
        <v> </v>
      </c>
      <c r="I3828" s="25" t="str">
        <f>IF(OR(E3828="",E3828="!!!",F3828="NEW"),"",INDEX(B3827:B$2,-1+SUMPRODUCT(MAX(ROW(E3827:E$2)*(E3828=E3827:E$2)))))</f>
        <v> </v>
      </c>
      <c r="J3828" s="25" t="str">
        <f>IF(OR(E3828="",E3828="!!!",F3828="NEW"),"",COUNTBLANK(OFFSET(A$1,,,SUMPRODUCT(MAX(ROW(E$2:E3828)*(E3828=E$2:E3828)))))-COUNTBLANK(OFFSET(A$1,,,SUMPRODUCT(MAX(ROW(E$1:E3827)*(E2=E$1:E3827))))))</f>
        <v> </v>
      </c>
      <c r="K3828" s="25" t="str">
        <f>IF(OR(E3828="",E3828="!!!",F3828="NEW"),"",INDEX(J$1:J3827,SUMPRODUCT(MAX(ROW(E$1:E3827)*(E3828=E$1:E3827)))))</f>
        <v> </v>
      </c>
      <c r="L3828" s="26"/>
    </row>
    <row r="3829" spans="1:12">
      <c r="A3829" s="20" t="s">
        <v>1100</v>
      </c>
      <c r="E3829" s="21">
        <f>IF(D3829="?OLD","!!!","")</f>
        <v/>
      </c>
      <c r="F3829" s="22" t="str">
        <f>IF(OR(E3829="",E3829="!!!"),"",IF(NOT(ISNA(VLOOKUP(E3829,E$1:E3828,1,FALSE()))),"OLD",IF(AND(E3829&lt;&gt;"",E3829&lt;&gt;"!!!"),"NEW","")))</f>
        <v> </v>
      </c>
      <c r="G3829" s="23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4" t="str">
        <f>IF(J3829&lt;&gt;1,"",IF(I3829="SBJ","CB","?"))</f>
        <v> </v>
      </c>
      <c r="I3829" s="25" t="str">
        <f>IF(OR(E3829="",E3829="!!!",F3829="NEW"),"",INDEX(B3828:B$2,-1+SUMPRODUCT(MAX(ROW(E3828:E$2)*(E3829=E3828:E$2)))))</f>
        <v> </v>
      </c>
      <c r="J3829" s="25" t="str">
        <f>IF(OR(E3829="",E3829="!!!",F3829="NEW"),"",COUNTBLANK(OFFSET(A$1,,,SUMPRODUCT(MAX(ROW(E$2:E3829)*(E3829=E$2:E3829)))))-COUNTBLANK(OFFSET(A$1,,,SUMPRODUCT(MAX(ROW(E$1:E3828)*(E2=E$1:E3828))))))</f>
        <v> </v>
      </c>
      <c r="K3829" s="25" t="str">
        <f>IF(OR(E3829="",E3829="!!!",F3829="NEW"),"",INDEX(J$1:J3828,SUMPRODUCT(MAX(ROW(E$1:E3828)*(E3829=E$1:E3828)))))</f>
        <v> </v>
      </c>
      <c r="L3829" s="26"/>
    </row>
    <row r="3830" spans="1:12">
      <c r="A3830" s="20" t="s">
        <v>1186</v>
      </c>
      <c r="B3830" s="27" t="s">
        <v>849</v>
      </c>
      <c r="E3830" s="21">
        <f>IF(D3830="?OLD","!!!","")</f>
        <v/>
      </c>
      <c r="F3830" s="22" t="str">
        <f>IF(OR(E3830="",E3830="!!!"),"",IF(NOT(ISNA(VLOOKUP(E3830,E$1:E3829,1,FALSE()))),"OLD",IF(AND(E3830&lt;&gt;"",E3830&lt;&gt;"!!!"),"NEW","")))</f>
        <v> </v>
      </c>
      <c r="G3830" s="23" t="str">
        <f>IF(OR(E3830="",E3830="!!!"),"",IF(OR(J3830=0,AND(J3830=1,K3830=1),AND(J3830=1,I3830="SBJ"),AND(J3830=1,I3830=0)),"?IN_FOCUS",IF(J3830&lt;=2,"?ACTIVATED",IF(J3830&lt;&gt;"","?FAMILIAR",IF(F3830="NEW",IF(ISNA(VLOOKUP(E3830,#REF!,1,FALSE())),"?TYPE_IDENTIFIABLE","?REFERENTIAL"),"_")))))</f>
        <v> </v>
      </c>
      <c r="H3830" s="24" t="str">
        <f>IF(J3830&lt;&gt;1,"",IF(I3830="SBJ","CB","?"))</f>
        <v> </v>
      </c>
      <c r="I3830" s="25" t="str">
        <f>IF(OR(E3830="",E3830="!!!",F3830="NEW"),"",INDEX(B3829:B$2,-1+SUMPRODUCT(MAX(ROW(E3829:E$2)*(E3830=E3829:E$2)))))</f>
        <v> </v>
      </c>
      <c r="J3830" s="25" t="str">
        <f>IF(OR(E3830="",E3830="!!!",F3830="NEW"),"",COUNTBLANK(OFFSET(A$1,,,SUMPRODUCT(MAX(ROW(E$2:E3830)*(E3830=E$2:E3830)))))-COUNTBLANK(OFFSET(A$1,,,SUMPRODUCT(MAX(ROW(E$1:E3829)*(E2=E$1:E3829))))))</f>
        <v> </v>
      </c>
      <c r="K3830" s="25" t="str">
        <f>IF(OR(E3830="",E3830="!!!",F3830="NEW"),"",INDEX(J$1:J3829,SUMPRODUCT(MAX(ROW(E$1:E3829)*(E3830=E$1:E3829)))))</f>
        <v> </v>
      </c>
      <c r="L3830" s="26"/>
    </row>
    <row r="3831" spans="1:12">
      <c r="A3831" s="20" t="s">
        <v>795</v>
      </c>
      <c r="E3831" s="21">
        <f>IF(D3831="?OLD","!!!","")</f>
        <v/>
      </c>
      <c r="F3831" s="22" t="str">
        <f>IF(OR(E3831="",E3831="!!!"),"",IF(NOT(ISNA(VLOOKUP(E3831,E$1:E3830,1,FALSE()))),"OLD",IF(AND(E3831&lt;&gt;"",E3831&lt;&gt;"!!!"),"NEW","")))</f>
        <v> </v>
      </c>
      <c r="G3831" s="23" t="str">
        <f>IF(OR(E3831="",E3831="!!!"),"",IF(OR(J3831=0,AND(J3831=1,K3831=1),AND(J3831=1,I3831="SBJ"),AND(J3831=1,I3831=0)),"?IN_FOCUS",IF(J3831&lt;=2,"?ACTIVATED",IF(J3831&lt;&gt;"","?FAMILIAR",IF(F3831="NEW",IF(ISNA(VLOOKUP(E3831,#REF!,1,FALSE())),"?TYPE_IDENTIFIABLE","?REFERENTIAL"),"_")))))</f>
        <v> </v>
      </c>
      <c r="H3831" s="24" t="str">
        <f>IF(J3831&lt;&gt;1,"",IF(I3831="SBJ","CB","?"))</f>
        <v> </v>
      </c>
      <c r="I3831" s="25" t="str">
        <f>IF(OR(E3831="",E3831="!!!",F3831="NEW"),"",INDEX(B3830:B$2,-1+SUMPRODUCT(MAX(ROW(E3830:E$2)*(E3831=E3830:E$2)))))</f>
        <v> </v>
      </c>
      <c r="J3831" s="25" t="str">
        <f>IF(OR(E3831="",E3831="!!!",F3831="NEW"),"",COUNTBLANK(OFFSET(A$1,,,SUMPRODUCT(MAX(ROW(E$2:E3831)*(E3831=E$2:E3831)))))-COUNTBLANK(OFFSET(A$1,,,SUMPRODUCT(MAX(ROW(E$1:E3830)*(E2=E$1:E3830))))))</f>
        <v> </v>
      </c>
      <c r="K3831" s="25" t="str">
        <f>IF(OR(E3831="",E3831="!!!",F3831="NEW"),"",INDEX(J$1:J3830,SUMPRODUCT(MAX(ROW(E$1:E3830)*(E3831=E$1:E3830)))))</f>
        <v> </v>
      </c>
      <c r="L3831" s="26"/>
    </row>
    <row r="3832" spans="1:12">
      <c r="A3832" s="20" t="s">
        <v>976</v>
      </c>
      <c r="B3832" s="27" t="s">
        <v>874</v>
      </c>
      <c r="C3832" s="27" t="s">
        <v>816</v>
      </c>
      <c r="D3832" s="27" t="s">
        <v>801</v>
      </c>
      <c r="E3832" s="21">
        <f>IF(D3832="?OLD","!!!","")</f>
        <v/>
      </c>
      <c r="F3832" s="22" t="str">
        <f>IF(OR(E3832="",E3832="!!!"),"",IF(NOT(ISNA(VLOOKUP(E3832,E$1:E3831,1,FALSE()))),"OLD",IF(AND(E3832&lt;&gt;"",E3832&lt;&gt;"!!!"),"NEW","")))</f>
        <v> </v>
      </c>
      <c r="G3832" s="23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4" t="str">
        <f>IF(J3832&lt;&gt;1,"",IF(I3832="SBJ","CB","?"))</f>
        <v> </v>
      </c>
      <c r="I3832" s="25" t="str">
        <f>IF(OR(E3832="",E3832="!!!",F3832="NEW"),"",INDEX(B3831:B$2,-1+SUMPRODUCT(MAX(ROW(E3831:E$2)*(E3832=E3831:E$2)))))</f>
        <v> </v>
      </c>
      <c r="J3832" s="25" t="str">
        <f>IF(OR(E3832="",E3832="!!!",F3832="NEW"),"",COUNTBLANK(OFFSET(A$1,,,SUMPRODUCT(MAX(ROW(E$2:E3832)*(E3832=E$2:E3832)))))-COUNTBLANK(OFFSET(A$1,,,SUMPRODUCT(MAX(ROW(E$1:E3831)*(E2=E$1:E3831))))))</f>
        <v> </v>
      </c>
      <c r="K3832" s="25" t="str">
        <f>IF(OR(E3832="",E3832="!!!",F3832="NEW"),"",INDEX(J$1:J3831,SUMPRODUCT(MAX(ROW(E$1:E3831)*(E3832=E$1:E3831)))))</f>
        <v> </v>
      </c>
      <c r="L3832" s="26"/>
    </row>
    <row r="3833" spans="1:12">
      <c r="A3833" s="20" t="s">
        <v>817</v>
      </c>
      <c r="E3833" s="21">
        <f>IF(D3833="?OLD","!!!","")</f>
        <v/>
      </c>
      <c r="F3833" s="22" t="str">
        <f>IF(OR(E3833="",E3833="!!!"),"",IF(NOT(ISNA(VLOOKUP(E3833,E$1:E3832,1,FALSE()))),"OLD",IF(AND(E3833&lt;&gt;"",E3833&lt;&gt;"!!!"),"NEW","")))</f>
        <v> </v>
      </c>
      <c r="G3833" s="23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4" t="str">
        <f>IF(J3833&lt;&gt;1,"",IF(I3833="SBJ","CB","?"))</f>
        <v> </v>
      </c>
      <c r="I3833" s="25" t="str">
        <f>IF(OR(E3833="",E3833="!!!",F3833="NEW"),"",INDEX(B3832:B$2,-1+SUMPRODUCT(MAX(ROW(E3832:E$2)*(E3833=E3832:E$2)))))</f>
        <v> </v>
      </c>
      <c r="J3833" s="25" t="str">
        <f>IF(OR(E3833="",E3833="!!!",F3833="NEW"),"",COUNTBLANK(OFFSET(A$1,,,SUMPRODUCT(MAX(ROW(E$2:E3833)*(E3833=E$2:E3833)))))-COUNTBLANK(OFFSET(A$1,,,SUMPRODUCT(MAX(ROW(E$1:E3832)*(E2=E$1:E3832))))))</f>
        <v> </v>
      </c>
      <c r="K3833" s="25" t="str">
        <f>IF(OR(E3833="",E3833="!!!",F3833="NEW"),"",INDEX(J$1:J3832,SUMPRODUCT(MAX(ROW(E$1:E3832)*(E3833=E$1:E3832)))))</f>
        <v> </v>
      </c>
      <c r="L3833" s="26"/>
    </row>
    <row r="3834" spans="1:12">
      <c r="A3834" s="20" t="s">
        <v>2371</v>
      </c>
      <c r="E3834" s="21">
        <f>IF(D3834="?OLD","!!!","")</f>
        <v/>
      </c>
      <c r="F3834" s="22" t="str">
        <f>IF(OR(E3834="",E3834="!!!"),"",IF(NOT(ISNA(VLOOKUP(E3834,E$1:E3833,1,FALSE()))),"OLD",IF(AND(E3834&lt;&gt;"",E3834&lt;&gt;"!!!"),"NEW","")))</f>
        <v> </v>
      </c>
      <c r="G3834" s="23" t="str">
        <f>IF(OR(E3834="",E3834="!!!"),"",IF(OR(J3834=0,AND(J3834=1,K3834=1),AND(J3834=1,I3834="SBJ"),AND(J3834=1,I3834=0)),"?IN_FOCUS",IF(J3834&lt;=2,"?ACTIVATED",IF(J3834&lt;&gt;"","?FAMILIAR",IF(F3834="NEW",IF(ISNA(VLOOKUP(E3834,#REF!,1,FALSE())),"?TYPE_IDENTIFIABLE","?REFERENTIAL"),"_")))))</f>
        <v> </v>
      </c>
      <c r="H3834" s="24" t="str">
        <f>IF(J3834&lt;&gt;1,"",IF(I3834="SBJ","CB","?"))</f>
        <v> </v>
      </c>
      <c r="I3834" s="25" t="str">
        <f>IF(OR(E3834="",E3834="!!!",F3834="NEW"),"",INDEX(B3833:B$2,-1+SUMPRODUCT(MAX(ROW(E3833:E$2)*(E3834=E3833:E$2)))))</f>
        <v> </v>
      </c>
      <c r="J3834" s="25" t="str">
        <f>IF(OR(E3834="",E3834="!!!",F3834="NEW"),"",COUNTBLANK(OFFSET(A$1,,,SUMPRODUCT(MAX(ROW(E$2:E3834)*(E3834=E$2:E3834)))))-COUNTBLANK(OFFSET(A$1,,,SUMPRODUCT(MAX(ROW(E$1:E3833)*(E2=E$1:E3833))))))</f>
        <v> </v>
      </c>
      <c r="K3834" s="25" t="str">
        <f>IF(OR(E3834="",E3834="!!!",F3834="NEW"),"",INDEX(J$1:J3833,SUMPRODUCT(MAX(ROW(E$1:E3833)*(E3834=E$1:E3833)))))</f>
        <v> </v>
      </c>
      <c r="L3834" s="26"/>
    </row>
    <row r="3835" spans="1:12">
      <c r="A3835" s="20" t="s">
        <v>877</v>
      </c>
      <c r="B3835" s="27" t="s">
        <v>846</v>
      </c>
      <c r="C3835" s="27" t="s">
        <v>879</v>
      </c>
      <c r="E3835" s="21">
        <f>IF(D3835="?OLD","!!!","")</f>
        <v/>
      </c>
      <c r="F3835" s="22" t="str">
        <f>IF(OR(E3835="",E3835="!!!"),"",IF(NOT(ISNA(VLOOKUP(E3835,E$1:E3834,1,FALSE()))),"OLD",IF(AND(E3835&lt;&gt;"",E3835&lt;&gt;"!!!"),"NEW","")))</f>
        <v> </v>
      </c>
      <c r="G3835" s="23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4" t="str">
        <f>IF(J3835&lt;&gt;1,"",IF(I3835="SBJ","CB","?"))</f>
        <v> </v>
      </c>
      <c r="I3835" s="25" t="str">
        <f>IF(OR(E3835="",E3835="!!!",F3835="NEW"),"",INDEX(B3834:B$2,-1+SUMPRODUCT(MAX(ROW(E3834:E$2)*(E3835=E3834:E$2)))))</f>
        <v> </v>
      </c>
      <c r="J3835" s="25" t="str">
        <f>IF(OR(E3835="",E3835="!!!",F3835="NEW"),"",COUNTBLANK(OFFSET(A$1,,,SUMPRODUCT(MAX(ROW(E$2:E3835)*(E3835=E$2:E3835)))))-COUNTBLANK(OFFSET(A$1,,,SUMPRODUCT(MAX(ROW(E$1:E3834)*(E2=E$1:E3834))))))</f>
        <v> </v>
      </c>
      <c r="K3835" s="25" t="str">
        <f>IF(OR(E3835="",E3835="!!!",F3835="NEW"),"",INDEX(J$1:J3834,SUMPRODUCT(MAX(ROW(E$1:E3834)*(E3835=E$1:E3834)))))</f>
        <v> </v>
      </c>
      <c r="L3835" s="26"/>
    </row>
    <row r="3836" spans="1:12">
      <c r="A3836" s="20" t="s">
        <v>798</v>
      </c>
      <c r="B3836" s="27" t="s">
        <v>849</v>
      </c>
      <c r="C3836" s="27" t="s">
        <v>800</v>
      </c>
      <c r="D3836" s="27" t="s">
        <v>801</v>
      </c>
      <c r="E3836" s="21">
        <f>IF(D3836="?OLD","!!!","")</f>
        <v/>
      </c>
      <c r="F3836" s="22" t="str">
        <f>IF(OR(E3836="",E3836="!!!"),"",IF(NOT(ISNA(VLOOKUP(E3836,E$1:E3835,1,FALSE()))),"OLD",IF(AND(E3836&lt;&gt;"",E3836&lt;&gt;"!!!"),"NEW","")))</f>
        <v> </v>
      </c>
      <c r="G3836" s="23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4" t="str">
        <f>IF(J3836&lt;&gt;1,"",IF(I3836="SBJ","CB","?"))</f>
        <v> </v>
      </c>
      <c r="I3836" s="25" t="str">
        <f>IF(OR(E3836="",E3836="!!!",F3836="NEW"),"",INDEX(B3835:B$2,-1+SUMPRODUCT(MAX(ROW(E3835:E$2)*(E3836=E3835:E$2)))))</f>
        <v> </v>
      </c>
      <c r="J3836" s="25" t="str">
        <f>IF(OR(E3836="",E3836="!!!",F3836="NEW"),"",COUNTBLANK(OFFSET(A$1,,,SUMPRODUCT(MAX(ROW(E$2:E3836)*(E3836=E$2:E3836)))))-COUNTBLANK(OFFSET(A$1,,,SUMPRODUCT(MAX(ROW(E$1:E3835)*(E2=E$1:E3835))))))</f>
        <v> </v>
      </c>
      <c r="K3836" s="25" t="str">
        <f>IF(OR(E3836="",E3836="!!!",F3836="NEW"),"",INDEX(J$1:J3835,SUMPRODUCT(MAX(ROW(E$1:E3835)*(E3836=E$1:E3835)))))</f>
        <v> </v>
      </c>
      <c r="L3836" s="26"/>
    </row>
    <row r="3837" spans="1:12">
      <c r="A3837" s="20" t="s">
        <v>1721</v>
      </c>
      <c r="E3837" s="21">
        <f>IF(D3837="?OLD","!!!","")</f>
        <v/>
      </c>
      <c r="F3837" s="22" t="str">
        <f>IF(OR(E3837="",E3837="!!!"),"",IF(NOT(ISNA(VLOOKUP(E3837,E$1:E3836,1,FALSE()))),"OLD",IF(AND(E3837&lt;&gt;"",E3837&lt;&gt;"!!!"),"NEW","")))</f>
        <v> </v>
      </c>
      <c r="G3837" s="23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4" t="str">
        <f>IF(J3837&lt;&gt;1,"",IF(I3837="SBJ","CB","?"))</f>
        <v> </v>
      </c>
      <c r="I3837" s="25" t="str">
        <f>IF(OR(E3837="",E3837="!!!",F3837="NEW"),"",INDEX(B3836:B$2,-1+SUMPRODUCT(MAX(ROW(E3836:E$2)*(E3837=E3836:E$2)))))</f>
        <v> </v>
      </c>
      <c r="J3837" s="25" t="str">
        <f>IF(OR(E3837="",E3837="!!!",F3837="NEW"),"",COUNTBLANK(OFFSET(A$1,,,SUMPRODUCT(MAX(ROW(E$2:E3837)*(E3837=E$2:E3837)))))-COUNTBLANK(OFFSET(A$1,,,SUMPRODUCT(MAX(ROW(E$1:E3836)*(E2=E$1:E3836))))))</f>
        <v> </v>
      </c>
      <c r="K3837" s="25" t="str">
        <f>IF(OR(E3837="",E3837="!!!",F3837="NEW"),"",INDEX(J$1:J3836,SUMPRODUCT(MAX(ROW(E$1:E3836)*(E3837=E$1:E3836)))))</f>
        <v> </v>
      </c>
      <c r="L3837" s="26"/>
    </row>
    <row r="3838" spans="1:12">
      <c r="A3838" s="20" t="s">
        <v>973</v>
      </c>
      <c r="E3838" s="21">
        <f>IF(D3838="?OLD","!!!","")</f>
        <v/>
      </c>
      <c r="F3838" s="22" t="str">
        <f>IF(OR(E3838="",E3838="!!!"),"",IF(NOT(ISNA(VLOOKUP(E3838,E$1:E3837,1,FALSE()))),"OLD",IF(AND(E3838&lt;&gt;"",E3838&lt;&gt;"!!!"),"NEW","")))</f>
        <v> </v>
      </c>
      <c r="G3838" s="23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4" t="str">
        <f>IF(J3838&lt;&gt;1,"",IF(I3838="SBJ","CB","?"))</f>
        <v> </v>
      </c>
      <c r="I3838" s="25" t="str">
        <f>IF(OR(E3838="",E3838="!!!",F3838="NEW"),"",INDEX(B3837:B$2,-1+SUMPRODUCT(MAX(ROW(E3837:E$2)*(E3838=E3837:E$2)))))</f>
        <v> </v>
      </c>
      <c r="J3838" s="25" t="str">
        <f>IF(OR(E3838="",E3838="!!!",F3838="NEW"),"",COUNTBLANK(OFFSET(A$1,,,SUMPRODUCT(MAX(ROW(E$2:E3838)*(E3838=E$2:E3838)))))-COUNTBLANK(OFFSET(A$1,,,SUMPRODUCT(MAX(ROW(E$1:E3837)*(E2=E$1:E3837))))))</f>
        <v> </v>
      </c>
      <c r="K3838" s="25" t="str">
        <f>IF(OR(E3838="",E3838="!!!",F3838="NEW"),"",INDEX(J$1:J3837,SUMPRODUCT(MAX(ROW(E$1:E3837)*(E3838=E$1:E3837)))))</f>
        <v> </v>
      </c>
      <c r="L3838" s="26"/>
    </row>
    <row r="3839" spans="1:12">
      <c r="A3839" s="20" t="s">
        <v>803</v>
      </c>
      <c r="E3839" s="21">
        <f>IF(D3839="?OLD","!!!","")</f>
        <v/>
      </c>
      <c r="F3839" s="22" t="str">
        <f>IF(OR(E3839="",E3839="!!!"),"",IF(NOT(ISNA(VLOOKUP(E3839,E$1:E3838,1,FALSE()))),"OLD",IF(AND(E3839&lt;&gt;"",E3839&lt;&gt;"!!!"),"NEW","")))</f>
        <v> </v>
      </c>
      <c r="G3839" s="23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4" t="str">
        <f>IF(J3839&lt;&gt;1,"",IF(I3839="SBJ","CB","?"))</f>
        <v> </v>
      </c>
      <c r="I3839" s="25" t="str">
        <f>IF(OR(E3839="",E3839="!!!",F3839="NEW"),"",INDEX(B3838:B$2,-1+SUMPRODUCT(MAX(ROW(E3838:E$2)*(E3839=E3838:E$2)))))</f>
        <v> </v>
      </c>
      <c r="J3839" s="25" t="str">
        <f>IF(OR(E3839="",E3839="!!!",F3839="NEW"),"",COUNTBLANK(OFFSET(A$1,,,SUMPRODUCT(MAX(ROW(E$2:E3839)*(E3839=E$2:E3839)))))-COUNTBLANK(OFFSET(A$1,,,SUMPRODUCT(MAX(ROW(E$1:E3838)*(E2=E$1:E3838))))))</f>
        <v> </v>
      </c>
      <c r="K3839" s="25" t="str">
        <f>IF(OR(E3839="",E3839="!!!",F3839="NEW"),"",INDEX(J$1:J3838,SUMPRODUCT(MAX(ROW(E$1:E3838)*(E3839=E$1:E3838)))))</f>
        <v> </v>
      </c>
      <c r="L3839" s="26"/>
    </row>
    <row r="3840" spans="1:12">
      <c r="A3840" s="20"/>
    </row>
    <row r="3841" spans="1:12">
      <c r="A3841" s="20" t="s">
        <v>2372</v>
      </c>
    </row>
    <row r="3842" spans="1:12">
      <c r="A3842" s="20" t="s">
        <v>2373</v>
      </c>
      <c r="E3842" s="21">
        <f>IF(D3842="?OLD","!!!","")</f>
        <v/>
      </c>
      <c r="F3842" s="22" t="str">
        <f>IF(OR(E3842="",E3842="!!!"),"",IF(NOT(ISNA(VLOOKUP(E3842,E$1:E3841,1,FALSE()))),"OLD",IF(AND(E3842&lt;&gt;"",E3842&lt;&gt;"!!!"),"NEW","")))</f>
        <v> </v>
      </c>
      <c r="G3842" s="23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4" t="str">
        <f>IF(J3842&lt;&gt;1,"",IF(I3842="SBJ","CB","?"))</f>
        <v> </v>
      </c>
      <c r="I3842" s="25" t="str">
        <f>IF(OR(E3842="",E3842="!!!",F3842="NEW"),"",INDEX(B3841:B$2,-1+SUMPRODUCT(MAX(ROW(E3841:E$2)*(E3842=E3841:E$2)))))</f>
        <v> </v>
      </c>
      <c r="J3842" s="25" t="str">
        <f>IF(OR(E3842="",E3842="!!!",F3842="NEW"),"",COUNTBLANK(OFFSET(A$1,,,SUMPRODUCT(MAX(ROW(E$2:E3842)*(E3842=E$2:E3842)))))-COUNTBLANK(OFFSET(A$1,,,SUMPRODUCT(MAX(ROW(E$1:E3841)*(E2=E$1:E3841))))))</f>
        <v> </v>
      </c>
      <c r="K3842" s="25" t="str">
        <f>IF(OR(E3842="",E3842="!!!",F3842="NEW"),"",INDEX(J$1:J3841,SUMPRODUCT(MAX(ROW(E$1:E3841)*(E3842=E$1:E3841)))))</f>
        <v> </v>
      </c>
      <c r="L3842" s="26"/>
    </row>
    <row r="3843" spans="1:12">
      <c r="A3843" s="20" t="s">
        <v>795</v>
      </c>
      <c r="E3843" s="21">
        <f>IF(D3843="?OLD","!!!","")</f>
        <v/>
      </c>
      <c r="F3843" s="22" t="str">
        <f>IF(OR(E3843="",E3843="!!!"),"",IF(NOT(ISNA(VLOOKUP(E3843,E$1:E3842,1,FALSE()))),"OLD",IF(AND(E3843&lt;&gt;"",E3843&lt;&gt;"!!!"),"NEW","")))</f>
        <v> </v>
      </c>
      <c r="G3843" s="23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4" t="str">
        <f>IF(J3843&lt;&gt;1,"",IF(I3843="SBJ","CB","?"))</f>
        <v> </v>
      </c>
      <c r="I3843" s="25" t="str">
        <f>IF(OR(E3843="",E3843="!!!",F3843="NEW"),"",INDEX(B3842:B$2,-1+SUMPRODUCT(MAX(ROW(E3842:E$2)*(E3843=E3842:E$2)))))</f>
        <v> </v>
      </c>
      <c r="J3843" s="25" t="str">
        <f>IF(OR(E3843="",E3843="!!!",F3843="NEW"),"",COUNTBLANK(OFFSET(A$1,,,SUMPRODUCT(MAX(ROW(E$2:E3843)*(E3843=E$2:E3843)))))-COUNTBLANK(OFFSET(A$1,,,SUMPRODUCT(MAX(ROW(E$1:E3842)*(E2=E$1:E3842))))))</f>
        <v> </v>
      </c>
      <c r="K3843" s="25" t="str">
        <f>IF(OR(E3843="",E3843="!!!",F3843="NEW"),"",INDEX(J$1:J3842,SUMPRODUCT(MAX(ROW(E$1:E3842)*(E3843=E$1:E3842)))))</f>
        <v> </v>
      </c>
      <c r="L3843" s="26"/>
    </row>
    <row r="3844" spans="1:12">
      <c r="A3844" s="20" t="s">
        <v>1214</v>
      </c>
      <c r="B3844" s="27" t="s">
        <v>799</v>
      </c>
      <c r="E3844" s="21">
        <f>IF(D3844="?OLD","!!!","")</f>
        <v/>
      </c>
      <c r="F3844" s="22" t="str">
        <f>IF(OR(E3844="",E3844="!!!"),"",IF(NOT(ISNA(VLOOKUP(E3844,E$1:E3843,1,FALSE()))),"OLD",IF(AND(E3844&lt;&gt;"",E3844&lt;&gt;"!!!"),"NEW","")))</f>
        <v> </v>
      </c>
      <c r="G3844" s="23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4" t="str">
        <f>IF(J3844&lt;&gt;1,"",IF(I3844="SBJ","CB","?"))</f>
        <v> </v>
      </c>
      <c r="I3844" s="25" t="str">
        <f>IF(OR(E3844="",E3844="!!!",F3844="NEW"),"",INDEX(B3843:B$2,-1+SUMPRODUCT(MAX(ROW(E3843:E$2)*(E3844=E3843:E$2)))))</f>
        <v> </v>
      </c>
      <c r="J3844" s="25" t="str">
        <f>IF(OR(E3844="",E3844="!!!",F3844="NEW"),"",COUNTBLANK(OFFSET(A$1,,,SUMPRODUCT(MAX(ROW(E$2:E3844)*(E3844=E$2:E3844)))))-COUNTBLANK(OFFSET(A$1,,,SUMPRODUCT(MAX(ROW(E$1:E3843)*(E2=E$1:E3843))))))</f>
        <v> </v>
      </c>
      <c r="K3844" s="25" t="str">
        <f>IF(OR(E3844="",E3844="!!!",F3844="NEW"),"",INDEX(J$1:J3843,SUMPRODUCT(MAX(ROW(E$1:E3843)*(E3844=E$1:E3843)))))</f>
        <v> </v>
      </c>
      <c r="L3844" s="26"/>
    </row>
    <row r="3845" spans="1:12">
      <c r="A3845" s="20" t="s">
        <v>2374</v>
      </c>
      <c r="E3845" s="21">
        <f>IF(D3845="?OLD","!!!","")</f>
        <v/>
      </c>
      <c r="F3845" s="22" t="str">
        <f>IF(OR(E3845="",E3845="!!!"),"",IF(NOT(ISNA(VLOOKUP(E3845,E$1:E3844,1,FALSE()))),"OLD",IF(AND(E3845&lt;&gt;"",E3845&lt;&gt;"!!!"),"NEW","")))</f>
        <v> </v>
      </c>
      <c r="G3845" s="23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4" t="str">
        <f>IF(J3845&lt;&gt;1,"",IF(I3845="SBJ","CB","?"))</f>
        <v> </v>
      </c>
      <c r="I3845" s="25" t="str">
        <f>IF(OR(E3845="",E3845="!!!",F3845="NEW"),"",INDEX(B3844:B$2,-1+SUMPRODUCT(MAX(ROW(E3844:E$2)*(E3845=E3844:E$2)))))</f>
        <v> </v>
      </c>
      <c r="J3845" s="25" t="str">
        <f>IF(OR(E3845="",E3845="!!!",F3845="NEW"),"",COUNTBLANK(OFFSET(A$1,,,SUMPRODUCT(MAX(ROW(E$2:E3845)*(E3845=E$2:E3845)))))-COUNTBLANK(OFFSET(A$1,,,SUMPRODUCT(MAX(ROW(E$1:E3844)*(E2=E$1:E3844))))))</f>
        <v> </v>
      </c>
      <c r="K3845" s="25" t="str">
        <f>IF(OR(E3845="",E3845="!!!",F3845="NEW"),"",INDEX(J$1:J3844,SUMPRODUCT(MAX(ROW(E$1:E3844)*(E3845=E$1:E3844)))))</f>
        <v> </v>
      </c>
      <c r="L3845" s="26"/>
    </row>
    <row r="3846" spans="1:12">
      <c r="A3846" s="20" t="s">
        <v>1008</v>
      </c>
      <c r="B3846" s="27" t="s">
        <v>921</v>
      </c>
      <c r="C3846" s="27" t="s">
        <v>816</v>
      </c>
      <c r="D3846" s="27" t="s">
        <v>801</v>
      </c>
      <c r="E3846" s="21">
        <f>IF(D3846="?OLD","!!!","")</f>
        <v/>
      </c>
      <c r="F3846" s="22" t="str">
        <f>IF(OR(E3846="",E3846="!!!"),"",IF(NOT(ISNA(VLOOKUP(E3846,E$1:E3845,1,FALSE()))),"OLD",IF(AND(E3846&lt;&gt;"",E3846&lt;&gt;"!!!"),"NEW","")))</f>
        <v> </v>
      </c>
      <c r="G3846" s="23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4" t="str">
        <f>IF(J3846&lt;&gt;1,"",IF(I3846="SBJ","CB","?"))</f>
        <v> </v>
      </c>
      <c r="I3846" s="25" t="str">
        <f>IF(OR(E3846="",E3846="!!!",F3846="NEW"),"",INDEX(B3845:B$2,-1+SUMPRODUCT(MAX(ROW(E3845:E$2)*(E3846=E3845:E$2)))))</f>
        <v> </v>
      </c>
      <c r="J3846" s="25" t="str">
        <f>IF(OR(E3846="",E3846="!!!",F3846="NEW"),"",COUNTBLANK(OFFSET(A$1,,,SUMPRODUCT(MAX(ROW(E$2:E3846)*(E3846=E$2:E3846)))))-COUNTBLANK(OFFSET(A$1,,,SUMPRODUCT(MAX(ROW(E$1:E3845)*(E2=E$1:E3845))))))</f>
        <v> </v>
      </c>
      <c r="K3846" s="25" t="str">
        <f>IF(OR(E3846="",E3846="!!!",F3846="NEW"),"",INDEX(J$1:J3845,SUMPRODUCT(MAX(ROW(E$1:E3845)*(E3846=E$1:E3845)))))</f>
        <v> </v>
      </c>
      <c r="L3846" s="26"/>
    </row>
    <row r="3847" spans="1:12">
      <c r="A3847" s="20" t="s">
        <v>827</v>
      </c>
      <c r="E3847" s="21">
        <f>IF(D3847="?OLD","!!!","")</f>
        <v/>
      </c>
      <c r="F3847" s="22" t="str">
        <f>IF(OR(E3847="",E3847="!!!"),"",IF(NOT(ISNA(VLOOKUP(E3847,E$1:E3846,1,FALSE()))),"OLD",IF(AND(E3847&lt;&gt;"",E3847&lt;&gt;"!!!"),"NEW","")))</f>
        <v> </v>
      </c>
      <c r="G3847" s="23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4" t="str">
        <f>IF(J3847&lt;&gt;1,"",IF(I3847="SBJ","CB","?"))</f>
        <v> </v>
      </c>
      <c r="I3847" s="25" t="str">
        <f>IF(OR(E3847="",E3847="!!!",F3847="NEW"),"",INDEX(B3846:B$2,-1+SUMPRODUCT(MAX(ROW(E3846:E$2)*(E3847=E3846:E$2)))))</f>
        <v> </v>
      </c>
      <c r="J3847" s="25" t="str">
        <f>IF(OR(E3847="",E3847="!!!",F3847="NEW"),"",COUNTBLANK(OFFSET(A$1,,,SUMPRODUCT(MAX(ROW(E$2:E3847)*(E3847=E$2:E3847)))))-COUNTBLANK(OFFSET(A$1,,,SUMPRODUCT(MAX(ROW(E$1:E3846)*(E2=E$1:E3846))))))</f>
        <v> </v>
      </c>
      <c r="K3847" s="25" t="str">
        <f>IF(OR(E3847="",E3847="!!!",F3847="NEW"),"",INDEX(J$1:J3846,SUMPRODUCT(MAX(ROW(E$1:E3846)*(E3847=E$1:E3846)))))</f>
        <v> </v>
      </c>
      <c r="L3847" s="26"/>
    </row>
    <row r="3848" spans="1:12">
      <c r="A3848" s="20" t="s">
        <v>1202</v>
      </c>
      <c r="E3848" s="21">
        <f>IF(D3848="?OLD","!!!","")</f>
        <v/>
      </c>
      <c r="F3848" s="22" t="str">
        <f>IF(OR(E3848="",E3848="!!!"),"",IF(NOT(ISNA(VLOOKUP(E3848,E$1:E3847,1,FALSE()))),"OLD",IF(AND(E3848&lt;&gt;"",E3848&lt;&gt;"!!!"),"NEW","")))</f>
        <v> </v>
      </c>
      <c r="G3848" s="23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4" t="str">
        <f>IF(J3848&lt;&gt;1,"",IF(I3848="SBJ","CB","?"))</f>
        <v> </v>
      </c>
      <c r="I3848" s="25" t="str">
        <f>IF(OR(E3848="",E3848="!!!",F3848="NEW"),"",INDEX(B3847:B$2,-1+SUMPRODUCT(MAX(ROW(E3847:E$2)*(E3848=E3847:E$2)))))</f>
        <v> </v>
      </c>
      <c r="J3848" s="25" t="str">
        <f>IF(OR(E3848="",E3848="!!!",F3848="NEW"),"",COUNTBLANK(OFFSET(A$1,,,SUMPRODUCT(MAX(ROW(E$2:E3848)*(E3848=E$2:E3848)))))-COUNTBLANK(OFFSET(A$1,,,SUMPRODUCT(MAX(ROW(E$1:E3847)*(E2=E$1:E3847))))))</f>
        <v> </v>
      </c>
      <c r="K3848" s="25" t="str">
        <f>IF(OR(E3848="",E3848="!!!",F3848="NEW"),"",INDEX(J$1:J3847,SUMPRODUCT(MAX(ROW(E$1:E3847)*(E3848=E$1:E3847)))))</f>
        <v> </v>
      </c>
      <c r="L3848" s="26"/>
    </row>
    <row r="3849" spans="1:12">
      <c r="A3849" s="20" t="s">
        <v>837</v>
      </c>
      <c r="E3849" s="21">
        <f>IF(D3849="?OLD","!!!","")</f>
        <v/>
      </c>
      <c r="F3849" s="22" t="str">
        <f>IF(OR(E3849="",E3849="!!!"),"",IF(NOT(ISNA(VLOOKUP(E3849,E$1:E3848,1,FALSE()))),"OLD",IF(AND(E3849&lt;&gt;"",E3849&lt;&gt;"!!!"),"NEW","")))</f>
        <v> </v>
      </c>
      <c r="G3849" s="23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4" t="str">
        <f>IF(J3849&lt;&gt;1,"",IF(I3849="SBJ","CB","?"))</f>
        <v> </v>
      </c>
      <c r="I3849" s="25" t="str">
        <f>IF(OR(E3849="",E3849="!!!",F3849="NEW"),"",INDEX(B3848:B$2,-1+SUMPRODUCT(MAX(ROW(E3848:E$2)*(E3849=E3848:E$2)))))</f>
        <v> </v>
      </c>
      <c r="J3849" s="25" t="str">
        <f>IF(OR(E3849="",E3849="!!!",F3849="NEW"),"",COUNTBLANK(OFFSET(A$1,,,SUMPRODUCT(MAX(ROW(E$2:E3849)*(E3849=E$2:E3849)))))-COUNTBLANK(OFFSET(A$1,,,SUMPRODUCT(MAX(ROW(E$1:E3848)*(E2=E$1:E3848))))))</f>
        <v> </v>
      </c>
      <c r="K3849" s="25" t="str">
        <f>IF(OR(E3849="",E3849="!!!",F3849="NEW"),"",INDEX(J$1:J3848,SUMPRODUCT(MAX(ROW(E$1:E3848)*(E3849=E$1:E3848)))))</f>
        <v> </v>
      </c>
      <c r="L3849" s="26"/>
    </row>
    <row r="3850" spans="1:12">
      <c r="A3850" s="20" t="s">
        <v>1518</v>
      </c>
      <c r="E3850" s="21">
        <f>IF(D3850="?OLD","!!!","")</f>
        <v/>
      </c>
      <c r="F3850" s="22" t="str">
        <f>IF(OR(E3850="",E3850="!!!"),"",IF(NOT(ISNA(VLOOKUP(E3850,E$1:E3849,1,FALSE()))),"OLD",IF(AND(E3850&lt;&gt;"",E3850&lt;&gt;"!!!"),"NEW","")))</f>
        <v> </v>
      </c>
      <c r="G3850" s="23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4" t="str">
        <f>IF(J3850&lt;&gt;1,"",IF(I3850="SBJ","CB","?"))</f>
        <v> </v>
      </c>
      <c r="I3850" s="25" t="str">
        <f>IF(OR(E3850="",E3850="!!!",F3850="NEW"),"",INDEX(B3849:B$2,-1+SUMPRODUCT(MAX(ROW(E3849:E$2)*(E3850=E3849:E$2)))))</f>
        <v> </v>
      </c>
      <c r="J3850" s="25" t="str">
        <f>IF(OR(E3850="",E3850="!!!",F3850="NEW"),"",COUNTBLANK(OFFSET(A$1,,,SUMPRODUCT(MAX(ROW(E$2:E3850)*(E3850=E$2:E3850)))))-COUNTBLANK(OFFSET(A$1,,,SUMPRODUCT(MAX(ROW(E$1:E3849)*(E2=E$1:E3849))))))</f>
        <v> </v>
      </c>
      <c r="K3850" s="25" t="str">
        <f>IF(OR(E3850="",E3850="!!!",F3850="NEW"),"",INDEX(J$1:J3849,SUMPRODUCT(MAX(ROW(E$1:E3849)*(E3850=E$1:E3849)))))</f>
        <v> </v>
      </c>
      <c r="L3850" s="26"/>
    </row>
    <row r="3851" spans="1:12">
      <c r="A3851" s="20" t="s">
        <v>1888</v>
      </c>
      <c r="B3851" s="27" t="s">
        <v>842</v>
      </c>
      <c r="C3851" s="27" t="s">
        <v>1095</v>
      </c>
      <c r="D3851" s="27" t="s">
        <v>801</v>
      </c>
      <c r="E3851" s="21">
        <f>IF(D3851="?OLD","!!!","")</f>
        <v/>
      </c>
      <c r="F3851" s="22" t="str">
        <f>IF(OR(E3851="",E3851="!!!"),"",IF(NOT(ISNA(VLOOKUP(E3851,E$1:E3850,1,FALSE()))),"OLD",IF(AND(E3851&lt;&gt;"",E3851&lt;&gt;"!!!"),"NEW","")))</f>
        <v> </v>
      </c>
      <c r="G3851" s="23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4" t="str">
        <f>IF(J3851&lt;&gt;1,"",IF(I3851="SBJ","CB","?"))</f>
        <v> </v>
      </c>
      <c r="I3851" s="25" t="str">
        <f>IF(OR(E3851="",E3851="!!!",F3851="NEW"),"",INDEX(B3850:B$2,-1+SUMPRODUCT(MAX(ROW(E3850:E$2)*(E3851=E3850:E$2)))))</f>
        <v> </v>
      </c>
      <c r="J3851" s="25" t="str">
        <f>IF(OR(E3851="",E3851="!!!",F3851="NEW"),"",COUNTBLANK(OFFSET(A$1,,,SUMPRODUCT(MAX(ROW(E$2:E3851)*(E3851=E$2:E3851)))))-COUNTBLANK(OFFSET(A$1,,,SUMPRODUCT(MAX(ROW(E$1:E3850)*(E2=E$1:E3850))))))</f>
        <v> </v>
      </c>
      <c r="K3851" s="25" t="str">
        <f>IF(OR(E3851="",E3851="!!!",F3851="NEW"),"",INDEX(J$1:J3850,SUMPRODUCT(MAX(ROW(E$1:E3850)*(E3851=E$1:E3850)))))</f>
        <v> </v>
      </c>
      <c r="L3851" s="26"/>
    </row>
    <row r="3852" spans="1:12">
      <c r="A3852" s="20" t="s">
        <v>795</v>
      </c>
      <c r="E3852" s="21">
        <f>IF(D3852="?OLD","!!!","")</f>
        <v/>
      </c>
      <c r="F3852" s="22" t="str">
        <f>IF(OR(E3852="",E3852="!!!"),"",IF(NOT(ISNA(VLOOKUP(E3852,E$1:E3851,1,FALSE()))),"OLD",IF(AND(E3852&lt;&gt;"",E3852&lt;&gt;"!!!"),"NEW","")))</f>
        <v> </v>
      </c>
      <c r="G3852" s="23" t="str">
        <f>IF(OR(E3852="",E3852="!!!"),"",IF(OR(J3852=0,AND(J3852=1,K3852=1),AND(J3852=1,I3852="SBJ"),AND(J3852=1,I3852=0)),"?IN_FOCUS",IF(J3852&lt;=2,"?ACTIVATED",IF(J3852&lt;&gt;"","?FAMILIAR",IF(F3852="NEW",IF(ISNA(VLOOKUP(E3852,#REF!,1,FALSE())),"?TYPE_IDENTIFIABLE","?REFERENTIAL"),"_")))))</f>
        <v> </v>
      </c>
      <c r="H3852" s="24" t="str">
        <f>IF(J3852&lt;&gt;1,"",IF(I3852="SBJ","CB","?"))</f>
        <v> </v>
      </c>
      <c r="I3852" s="25" t="str">
        <f>IF(OR(E3852="",E3852="!!!",F3852="NEW"),"",INDEX(B3851:B$2,-1+SUMPRODUCT(MAX(ROW(E3851:E$2)*(E3852=E3851:E$2)))))</f>
        <v> </v>
      </c>
      <c r="J3852" s="25" t="str">
        <f>IF(OR(E3852="",E3852="!!!",F3852="NEW"),"",COUNTBLANK(OFFSET(A$1,,,SUMPRODUCT(MAX(ROW(E$2:E3852)*(E3852=E$2:E3852)))))-COUNTBLANK(OFFSET(A$1,,,SUMPRODUCT(MAX(ROW(E$1:E3851)*(E2=E$1:E3851))))))</f>
        <v> </v>
      </c>
      <c r="K3852" s="25" t="str">
        <f>IF(OR(E3852="",E3852="!!!",F3852="NEW"),"",INDEX(J$1:J3851,SUMPRODUCT(MAX(ROW(E$1:E3851)*(E3852=E$1:E3851)))))</f>
        <v> </v>
      </c>
      <c r="L3852" s="26"/>
    </row>
    <row r="3853" spans="1:12">
      <c r="A3853" s="20" t="s">
        <v>844</v>
      </c>
      <c r="E3853" s="21">
        <f>IF(D3853="?OLD","!!!","")</f>
        <v/>
      </c>
      <c r="F3853" s="22" t="str">
        <f>IF(OR(E3853="",E3853="!!!"),"",IF(NOT(ISNA(VLOOKUP(E3853,E$1:E3852,1,FALSE()))),"OLD",IF(AND(E3853&lt;&gt;"",E3853&lt;&gt;"!!!"),"NEW","")))</f>
        <v> </v>
      </c>
      <c r="G3853" s="23" t="str">
        <f>IF(OR(E3853="",E3853="!!!"),"",IF(OR(J3853=0,AND(J3853=1,K3853=1),AND(J3853=1,I3853="SBJ"),AND(J3853=1,I3853=0)),"?IN_FOCUS",IF(J3853&lt;=2,"?ACTIVATED",IF(J3853&lt;&gt;"","?FAMILIAR",IF(F3853="NEW",IF(ISNA(VLOOKUP(E3853,#REF!,1,FALSE())),"?TYPE_IDENTIFIABLE","?REFERENTIAL"),"_")))))</f>
        <v> </v>
      </c>
      <c r="H3853" s="24" t="str">
        <f>IF(J3853&lt;&gt;1,"",IF(I3853="SBJ","CB","?"))</f>
        <v> </v>
      </c>
      <c r="I3853" s="25" t="str">
        <f>IF(OR(E3853="",E3853="!!!",F3853="NEW"),"",INDEX(B3852:B$2,-1+SUMPRODUCT(MAX(ROW(E3852:E$2)*(E3853=E3852:E$2)))))</f>
        <v> </v>
      </c>
      <c r="J3853" s="25" t="str">
        <f>IF(OR(E3853="",E3853="!!!",F3853="NEW"),"",COUNTBLANK(OFFSET(A$1,,,SUMPRODUCT(MAX(ROW(E$2:E3853)*(E3853=E$2:E3853)))))-COUNTBLANK(OFFSET(A$1,,,SUMPRODUCT(MAX(ROW(E$1:E3852)*(E2=E$1:E3852))))))</f>
        <v> </v>
      </c>
      <c r="K3853" s="25" t="str">
        <f>IF(OR(E3853="",E3853="!!!",F3853="NEW"),"",INDEX(J$1:J3852,SUMPRODUCT(MAX(ROW(E$1:E3852)*(E3853=E$1:E3852)))))</f>
        <v> </v>
      </c>
      <c r="L3853" s="26"/>
    </row>
    <row r="3854" spans="1:12">
      <c r="A3854" s="20" t="s">
        <v>2375</v>
      </c>
      <c r="B3854" s="27" t="s">
        <v>874</v>
      </c>
      <c r="E3854" s="21">
        <f>IF(D3854="?OLD","!!!","")</f>
        <v/>
      </c>
      <c r="F3854" s="22" t="str">
        <f>IF(OR(E3854="",E3854="!!!"),"",IF(NOT(ISNA(VLOOKUP(E3854,E$1:E3853,1,FALSE()))),"OLD",IF(AND(E3854&lt;&gt;"",E3854&lt;&gt;"!!!"),"NEW","")))</f>
        <v> </v>
      </c>
      <c r="G3854" s="23" t="str">
        <f>IF(OR(E3854="",E3854="!!!"),"",IF(OR(J3854=0,AND(J3854=1,K3854=1),AND(J3854=1,I3854="SBJ"),AND(J3854=1,I3854=0)),"?IN_FOCUS",IF(J3854&lt;=2,"?ACTIVATED",IF(J3854&lt;&gt;"","?FAMILIAR",IF(F3854="NEW",IF(ISNA(VLOOKUP(E3854,#REF!,1,FALSE())),"?TYPE_IDENTIFIABLE","?REFERENTIAL"),"_")))))</f>
        <v> </v>
      </c>
      <c r="H3854" s="24" t="str">
        <f>IF(J3854&lt;&gt;1,"",IF(I3854="SBJ","CB","?"))</f>
        <v> </v>
      </c>
      <c r="I3854" s="25" t="str">
        <f>IF(OR(E3854="",E3854="!!!",F3854="NEW"),"",INDEX(B3853:B$2,-1+SUMPRODUCT(MAX(ROW(E3853:E$2)*(E3854=E3853:E$2)))))</f>
        <v> </v>
      </c>
      <c r="J3854" s="25" t="str">
        <f>IF(OR(E3854="",E3854="!!!",F3854="NEW"),"",COUNTBLANK(OFFSET(A$1,,,SUMPRODUCT(MAX(ROW(E$2:E3854)*(E3854=E$2:E3854)))))-COUNTBLANK(OFFSET(A$1,,,SUMPRODUCT(MAX(ROW(E$1:E3853)*(E2=E$1:E3853))))))</f>
        <v> </v>
      </c>
      <c r="K3854" s="25" t="str">
        <f>IF(OR(E3854="",E3854="!!!",F3854="NEW"),"",INDEX(J$1:J3853,SUMPRODUCT(MAX(ROW(E$1:E3853)*(E3854=E$1:E3853)))))</f>
        <v> </v>
      </c>
      <c r="L3854" s="26"/>
    </row>
    <row r="3855" spans="1:12">
      <c r="A3855" s="20" t="s">
        <v>2376</v>
      </c>
      <c r="E3855" s="21">
        <f>IF(D3855="?OLD","!!!","")</f>
        <v/>
      </c>
      <c r="F3855" s="22" t="str">
        <f>IF(OR(E3855="",E3855="!!!"),"",IF(NOT(ISNA(VLOOKUP(E3855,E$1:E3854,1,FALSE()))),"OLD",IF(AND(E3855&lt;&gt;"",E3855&lt;&gt;"!!!"),"NEW","")))</f>
        <v> </v>
      </c>
      <c r="G3855" s="23" t="str">
        <f>IF(OR(E3855="",E3855="!!!"),"",IF(OR(J3855=0,AND(J3855=1,K3855=1),AND(J3855=1,I3855="SBJ"),AND(J3855=1,I3855=0)),"?IN_FOCUS",IF(J3855&lt;=2,"?ACTIVATED",IF(J3855&lt;&gt;"","?FAMILIAR",IF(F3855="NEW",IF(ISNA(VLOOKUP(E3855,#REF!,1,FALSE())),"?TYPE_IDENTIFIABLE","?REFERENTIAL"),"_")))))</f>
        <v> </v>
      </c>
      <c r="H3855" s="24" t="str">
        <f>IF(J3855&lt;&gt;1,"",IF(I3855="SBJ","CB","?"))</f>
        <v> </v>
      </c>
      <c r="I3855" s="25" t="str">
        <f>IF(OR(E3855="",E3855="!!!",F3855="NEW"),"",INDEX(B3854:B$2,-1+SUMPRODUCT(MAX(ROW(E3854:E$2)*(E3855=E3854:E$2)))))</f>
        <v> </v>
      </c>
      <c r="J3855" s="25" t="str">
        <f>IF(OR(E3855="",E3855="!!!",F3855="NEW"),"",COUNTBLANK(OFFSET(A$1,,,SUMPRODUCT(MAX(ROW(E$2:E3855)*(E3855=E$2:E3855)))))-COUNTBLANK(OFFSET(A$1,,,SUMPRODUCT(MAX(ROW(E$1:E3854)*(E2=E$1:E3854))))))</f>
        <v> </v>
      </c>
      <c r="K3855" s="25" t="str">
        <f>IF(OR(E3855="",E3855="!!!",F3855="NEW"),"",INDEX(J$1:J3854,SUMPRODUCT(MAX(ROW(E$1:E3854)*(E3855=E$1:E3854)))))</f>
        <v> </v>
      </c>
      <c r="L3855" s="26"/>
    </row>
    <row r="3856" spans="1:12">
      <c r="A3856" s="20" t="s">
        <v>894</v>
      </c>
      <c r="E3856" s="21">
        <f>IF(D3856="?OLD","!!!","")</f>
        <v/>
      </c>
      <c r="F3856" s="22" t="str">
        <f>IF(OR(E3856="",E3856="!!!"),"",IF(NOT(ISNA(VLOOKUP(E3856,E$1:E3855,1,FALSE()))),"OLD",IF(AND(E3856&lt;&gt;"",E3856&lt;&gt;"!!!"),"NEW","")))</f>
        <v> </v>
      </c>
      <c r="G3856" s="23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4" t="str">
        <f>IF(J3856&lt;&gt;1,"",IF(I3856="SBJ","CB","?"))</f>
        <v> </v>
      </c>
      <c r="I3856" s="25" t="str">
        <f>IF(OR(E3856="",E3856="!!!",F3856="NEW"),"",INDEX(B3855:B$2,-1+SUMPRODUCT(MAX(ROW(E3855:E$2)*(E3856=E3855:E$2)))))</f>
        <v> </v>
      </c>
      <c r="J3856" s="25" t="str">
        <f>IF(OR(E3856="",E3856="!!!",F3856="NEW"),"",COUNTBLANK(OFFSET(A$1,,,SUMPRODUCT(MAX(ROW(E$2:E3856)*(E3856=E$2:E3856)))))-COUNTBLANK(OFFSET(A$1,,,SUMPRODUCT(MAX(ROW(E$1:E3855)*(E2=E$1:E3855))))))</f>
        <v> </v>
      </c>
      <c r="K3856" s="25" t="str">
        <f>IF(OR(E3856="",E3856="!!!",F3856="NEW"),"",INDEX(J$1:J3855,SUMPRODUCT(MAX(ROW(E$1:E3855)*(E3856=E$1:E3855)))))</f>
        <v> </v>
      </c>
      <c r="L3856" s="26"/>
    </row>
    <row r="3857" spans="1:12">
      <c r="A3857" s="20" t="s">
        <v>2377</v>
      </c>
      <c r="E3857" s="21">
        <f>IF(D3857="?OLD","!!!","")</f>
        <v/>
      </c>
      <c r="F3857" s="22" t="str">
        <f>IF(OR(E3857="",E3857="!!!"),"",IF(NOT(ISNA(VLOOKUP(E3857,E$1:E3856,1,FALSE()))),"OLD",IF(AND(E3857&lt;&gt;"",E3857&lt;&gt;"!!!"),"NEW","")))</f>
        <v> </v>
      </c>
      <c r="G3857" s="23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4" t="str">
        <f>IF(J3857&lt;&gt;1,"",IF(I3857="SBJ","CB","?"))</f>
        <v> </v>
      </c>
      <c r="I3857" s="25" t="str">
        <f>IF(OR(E3857="",E3857="!!!",F3857="NEW"),"",INDEX(B3856:B$2,-1+SUMPRODUCT(MAX(ROW(E3856:E$2)*(E3857=E3856:E$2)))))</f>
        <v> </v>
      </c>
      <c r="J3857" s="25" t="str">
        <f>IF(OR(E3857="",E3857="!!!",F3857="NEW"),"",COUNTBLANK(OFFSET(A$1,,,SUMPRODUCT(MAX(ROW(E$2:E3857)*(E3857=E$2:E3857)))))-COUNTBLANK(OFFSET(A$1,,,SUMPRODUCT(MAX(ROW(E$1:E3856)*(E2=E$1:E3856))))))</f>
        <v> </v>
      </c>
      <c r="K3857" s="25" t="str">
        <f>IF(OR(E3857="",E3857="!!!",F3857="NEW"),"",INDEX(J$1:J3856,SUMPRODUCT(MAX(ROW(E$1:E3856)*(E3857=E$1:E3856)))))</f>
        <v> </v>
      </c>
      <c r="L3857" s="26"/>
    </row>
    <row r="3858" spans="1:12">
      <c r="A3858" s="20" t="s">
        <v>803</v>
      </c>
      <c r="E3858" s="21">
        <f>IF(D3858="?OLD","!!!","")</f>
        <v/>
      </c>
      <c r="F3858" s="22" t="str">
        <f>IF(OR(E3858="",E3858="!!!"),"",IF(NOT(ISNA(VLOOKUP(E3858,E$1:E3857,1,FALSE()))),"OLD",IF(AND(E3858&lt;&gt;"",E3858&lt;&gt;"!!!"),"NEW","")))</f>
        <v> </v>
      </c>
      <c r="G3858" s="23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4" t="str">
        <f>IF(J3858&lt;&gt;1,"",IF(I3858="SBJ","CB","?"))</f>
        <v> </v>
      </c>
      <c r="I3858" s="25" t="str">
        <f>IF(OR(E3858="",E3858="!!!",F3858="NEW"),"",INDEX(B3857:B$2,-1+SUMPRODUCT(MAX(ROW(E3857:E$2)*(E3858=E3857:E$2)))))</f>
        <v> </v>
      </c>
      <c r="J3858" s="25" t="str">
        <f>IF(OR(E3858="",E3858="!!!",F3858="NEW"),"",COUNTBLANK(OFFSET(A$1,,,SUMPRODUCT(MAX(ROW(E$2:E3858)*(E3858=E$2:E3858)))))-COUNTBLANK(OFFSET(A$1,,,SUMPRODUCT(MAX(ROW(E$1:E3857)*(E2=E$1:E3857))))))</f>
        <v> </v>
      </c>
      <c r="K3858" s="25" t="str">
        <f>IF(OR(E3858="",E3858="!!!",F3858="NEW"),"",INDEX(J$1:J3857,SUMPRODUCT(MAX(ROW(E$1:E3857)*(E3858=E$1:E3857)))))</f>
        <v> </v>
      </c>
      <c r="L3858" s="26"/>
    </row>
    <row r="3859" spans="1:12">
      <c r="A3859" s="20"/>
    </row>
    <row r="3860" spans="1:12">
      <c r="A3860" s="20" t="s">
        <v>2378</v>
      </c>
    </row>
    <row r="3861" spans="1:12">
      <c r="A3861" s="20" t="s">
        <v>934</v>
      </c>
      <c r="E3861" s="21">
        <f>IF(D3861="?OLD","!!!","")</f>
        <v/>
      </c>
      <c r="F3861" s="22" t="str">
        <f>IF(OR(E3861="",E3861="!!!"),"",IF(NOT(ISNA(VLOOKUP(E3861,E$1:E3860,1,FALSE()))),"OLD",IF(AND(E3861&lt;&gt;"",E3861&lt;&gt;"!!!"),"NEW","")))</f>
        <v> </v>
      </c>
      <c r="G3861" s="23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4" t="str">
        <f>IF(J3861&lt;&gt;1,"",IF(I3861="SBJ","CB","?"))</f>
        <v> </v>
      </c>
      <c r="I3861" s="25" t="str">
        <f>IF(OR(E3861="",E3861="!!!",F3861="NEW"),"",INDEX(B3860:B$2,-1+SUMPRODUCT(MAX(ROW(E3860:E$2)*(E3861=E3860:E$2)))))</f>
        <v> </v>
      </c>
      <c r="J3861" s="25" t="str">
        <f>IF(OR(E3861="",E3861="!!!",F3861="NEW"),"",COUNTBLANK(OFFSET(A$1,,,SUMPRODUCT(MAX(ROW(E$2:E3861)*(E3861=E$2:E3861)))))-COUNTBLANK(OFFSET(A$1,,,SUMPRODUCT(MAX(ROW(E$1:E3860)*(E2=E$1:E3860))))))</f>
        <v> </v>
      </c>
      <c r="K3861" s="25" t="str">
        <f>IF(OR(E3861="",E3861="!!!",F3861="NEW"),"",INDEX(J$1:J3860,SUMPRODUCT(MAX(ROW(E$1:E3860)*(E3861=E$1:E3860)))))</f>
        <v> </v>
      </c>
      <c r="L3861" s="26"/>
    </row>
    <row r="3862" spans="1:12">
      <c r="A3862" s="20" t="s">
        <v>817</v>
      </c>
      <c r="E3862" s="21">
        <f>IF(D3862="?OLD","!!!","")</f>
        <v/>
      </c>
      <c r="F3862" s="22" t="str">
        <f>IF(OR(E3862="",E3862="!!!"),"",IF(NOT(ISNA(VLOOKUP(E3862,E$1:E3861,1,FALSE()))),"OLD",IF(AND(E3862&lt;&gt;"",E3862&lt;&gt;"!!!"),"NEW","")))</f>
        <v> </v>
      </c>
      <c r="G3862" s="23" t="str">
        <f>IF(OR(E3862="",E3862="!!!"),"",IF(OR(J3862=0,AND(J3862=1,K3862=1),AND(J3862=1,I3862="SBJ"),AND(J3862=1,I3862=0)),"?IN_FOCUS",IF(J3862&lt;=2,"?ACTIVATED",IF(J3862&lt;&gt;"","?FAMILIAR",IF(F3862="NEW",IF(ISNA(VLOOKUP(E3862,#REF!,1,FALSE())),"?TYPE_IDENTIFIABLE","?REFERENTIAL"),"_")))))</f>
        <v> </v>
      </c>
      <c r="H3862" s="24" t="str">
        <f>IF(J3862&lt;&gt;1,"",IF(I3862="SBJ","CB","?"))</f>
        <v> </v>
      </c>
      <c r="I3862" s="25" t="str">
        <f>IF(OR(E3862="",E3862="!!!",F3862="NEW"),"",INDEX(B3861:B$2,-1+SUMPRODUCT(MAX(ROW(E3861:E$2)*(E3862=E3861:E$2)))))</f>
        <v> </v>
      </c>
      <c r="J3862" s="25" t="str">
        <f>IF(OR(E3862="",E3862="!!!",F3862="NEW"),"",COUNTBLANK(OFFSET(A$1,,,SUMPRODUCT(MAX(ROW(E$2:E3862)*(E3862=E$2:E3862)))))-COUNTBLANK(OFFSET(A$1,,,SUMPRODUCT(MAX(ROW(E$1:E3861)*(E2=E$1:E3861))))))</f>
        <v> </v>
      </c>
      <c r="K3862" s="25" t="str">
        <f>IF(OR(E3862="",E3862="!!!",F3862="NEW"),"",INDEX(J$1:J3861,SUMPRODUCT(MAX(ROW(E$1:E3861)*(E3862=E$1:E3861)))))</f>
        <v> </v>
      </c>
      <c r="L3862" s="26"/>
    </row>
    <row r="3863" spans="1:12">
      <c r="A3863" s="20" t="s">
        <v>1863</v>
      </c>
      <c r="E3863" s="21">
        <f>IF(D3863="?OLD","!!!","")</f>
        <v/>
      </c>
      <c r="F3863" s="22" t="str">
        <f>IF(OR(E3863="",E3863="!!!"),"",IF(NOT(ISNA(VLOOKUP(E3863,E$1:E3862,1,FALSE()))),"OLD",IF(AND(E3863&lt;&gt;"",E3863&lt;&gt;"!!!"),"NEW","")))</f>
        <v> </v>
      </c>
      <c r="G3863" s="23" t="str">
        <f>IF(OR(E3863="",E3863="!!!"),"",IF(OR(J3863=0,AND(J3863=1,K3863=1),AND(J3863=1,I3863="SBJ"),AND(J3863=1,I3863=0)),"?IN_FOCUS",IF(J3863&lt;=2,"?ACTIVATED",IF(J3863&lt;&gt;"","?FAMILIAR",IF(F3863="NEW",IF(ISNA(VLOOKUP(E3863,#REF!,1,FALSE())),"?TYPE_IDENTIFIABLE","?REFERENTIAL"),"_")))))</f>
        <v> </v>
      </c>
      <c r="H3863" s="24" t="str">
        <f>IF(J3863&lt;&gt;1,"",IF(I3863="SBJ","CB","?"))</f>
        <v> </v>
      </c>
      <c r="I3863" s="25" t="str">
        <f>IF(OR(E3863="",E3863="!!!",F3863="NEW"),"",INDEX(B3862:B$2,-1+SUMPRODUCT(MAX(ROW(E3862:E$2)*(E3863=E3862:E$2)))))</f>
        <v> </v>
      </c>
      <c r="J3863" s="25" t="str">
        <f>IF(OR(E3863="",E3863="!!!",F3863="NEW"),"",COUNTBLANK(OFFSET(A$1,,,SUMPRODUCT(MAX(ROW(E$2:E3863)*(E3863=E$2:E3863)))))-COUNTBLANK(OFFSET(A$1,,,SUMPRODUCT(MAX(ROW(E$1:E3862)*(E2=E$1:E3862))))))</f>
        <v> </v>
      </c>
      <c r="K3863" s="25" t="str">
        <f>IF(OR(E3863="",E3863="!!!",F3863="NEW"),"",INDEX(J$1:J3862,SUMPRODUCT(MAX(ROW(E$1:E3862)*(E3863=E$1:E3862)))))</f>
        <v> </v>
      </c>
      <c r="L3863" s="26"/>
    </row>
    <row r="3864" spans="1:12">
      <c r="A3864" s="20" t="s">
        <v>795</v>
      </c>
      <c r="E3864" s="21">
        <f>IF(D3864="?OLD","!!!","")</f>
        <v/>
      </c>
      <c r="F3864" s="22" t="str">
        <f>IF(OR(E3864="",E3864="!!!"),"",IF(NOT(ISNA(VLOOKUP(E3864,E$1:E3863,1,FALSE()))),"OLD",IF(AND(E3864&lt;&gt;"",E3864&lt;&gt;"!!!"),"NEW","")))</f>
        <v> </v>
      </c>
      <c r="G3864" s="23" t="str">
        <f>IF(OR(E3864="",E3864="!!!"),"",IF(OR(J3864=0,AND(J3864=1,K3864=1),AND(J3864=1,I3864="SBJ"),AND(J3864=1,I3864=0)),"?IN_FOCUS",IF(J3864&lt;=2,"?ACTIVATED",IF(J3864&lt;&gt;"","?FAMILIAR",IF(F3864="NEW",IF(ISNA(VLOOKUP(E3864,#REF!,1,FALSE())),"?TYPE_IDENTIFIABLE","?REFERENTIAL"),"_")))))</f>
        <v> </v>
      </c>
      <c r="H3864" s="24" t="str">
        <f>IF(J3864&lt;&gt;1,"",IF(I3864="SBJ","CB","?"))</f>
        <v> </v>
      </c>
      <c r="I3864" s="25" t="str">
        <f>IF(OR(E3864="",E3864="!!!",F3864="NEW"),"",INDEX(B3863:B$2,-1+SUMPRODUCT(MAX(ROW(E3863:E$2)*(E3864=E3863:E$2)))))</f>
        <v> </v>
      </c>
      <c r="J3864" s="25" t="str">
        <f>IF(OR(E3864="",E3864="!!!",F3864="NEW"),"",COUNTBLANK(OFFSET(A$1,,,SUMPRODUCT(MAX(ROW(E$2:E3864)*(E3864=E$2:E3864)))))-COUNTBLANK(OFFSET(A$1,,,SUMPRODUCT(MAX(ROW(E$1:E3863)*(E2=E$1:E3863))))))</f>
        <v> </v>
      </c>
      <c r="K3864" s="25" t="str">
        <f>IF(OR(E3864="",E3864="!!!",F3864="NEW"),"",INDEX(J$1:J3863,SUMPRODUCT(MAX(ROW(E$1:E3863)*(E3864=E$1:E3863)))))</f>
        <v> </v>
      </c>
      <c r="L3864" s="26"/>
    </row>
    <row r="3865" spans="1:12">
      <c r="A3865" s="20" t="s">
        <v>877</v>
      </c>
      <c r="E3865" s="21">
        <f>IF(D3865="?OLD","!!!","")</f>
        <v/>
      </c>
      <c r="F3865" s="22" t="str">
        <f>IF(OR(E3865="",E3865="!!!"),"",IF(NOT(ISNA(VLOOKUP(E3865,E$1:E3864,1,FALSE()))),"OLD",IF(AND(E3865&lt;&gt;"",E3865&lt;&gt;"!!!"),"NEW","")))</f>
        <v> </v>
      </c>
      <c r="G3865" s="23" t="str">
        <f>IF(OR(E3865="",E3865="!!!"),"",IF(OR(J3865=0,AND(J3865=1,K3865=1),AND(J3865=1,I3865="SBJ"),AND(J3865=1,I3865=0)),"?IN_FOCUS",IF(J3865&lt;=2,"?ACTIVATED",IF(J3865&lt;&gt;"","?FAMILIAR",IF(F3865="NEW",IF(ISNA(VLOOKUP(E3865,#REF!,1,FALSE())),"?TYPE_IDENTIFIABLE","?REFERENTIAL"),"_")))))</f>
        <v> </v>
      </c>
      <c r="H3865" s="24" t="str">
        <f>IF(J3865&lt;&gt;1,"",IF(I3865="SBJ","CB","?"))</f>
        <v> </v>
      </c>
      <c r="I3865" s="25" t="str">
        <f>IF(OR(E3865="",E3865="!!!",F3865="NEW"),"",INDEX(B3864:B$2,-1+SUMPRODUCT(MAX(ROW(E3864:E$2)*(E3865=E3864:E$2)))))</f>
        <v> </v>
      </c>
      <c r="J3865" s="25" t="str">
        <f>IF(OR(E3865="",E3865="!!!",F3865="NEW"),"",COUNTBLANK(OFFSET(A$1,,,SUMPRODUCT(MAX(ROW(E$2:E3865)*(E3865=E$2:E3865)))))-COUNTBLANK(OFFSET(A$1,,,SUMPRODUCT(MAX(ROW(E$1:E3864)*(E2=E$1:E3864))))))</f>
        <v> </v>
      </c>
      <c r="K3865" s="25" t="str">
        <f>IF(OR(E3865="",E3865="!!!",F3865="NEW"),"",INDEX(J$1:J3864,SUMPRODUCT(MAX(ROW(E$1:E3864)*(E3865=E$1:E3864)))))</f>
        <v> </v>
      </c>
      <c r="L3865" s="26"/>
    </row>
    <row r="3866" spans="1:12">
      <c r="A3866" s="20" t="s">
        <v>2379</v>
      </c>
      <c r="E3866" s="21">
        <f>IF(D3866="?OLD","!!!","")</f>
        <v/>
      </c>
      <c r="F3866" s="22" t="str">
        <f>IF(OR(E3866="",E3866="!!!"),"",IF(NOT(ISNA(VLOOKUP(E3866,E$1:E3865,1,FALSE()))),"OLD",IF(AND(E3866&lt;&gt;"",E3866&lt;&gt;"!!!"),"NEW","")))</f>
        <v> </v>
      </c>
      <c r="G3866" s="23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4" t="str">
        <f>IF(J3866&lt;&gt;1,"",IF(I3866="SBJ","CB","?"))</f>
        <v> </v>
      </c>
      <c r="I3866" s="25" t="str">
        <f>IF(OR(E3866="",E3866="!!!",F3866="NEW"),"",INDEX(B3865:B$2,-1+SUMPRODUCT(MAX(ROW(E3865:E$2)*(E3866=E3865:E$2)))))</f>
        <v> </v>
      </c>
      <c r="J3866" s="25" t="str">
        <f>IF(OR(E3866="",E3866="!!!",F3866="NEW"),"",COUNTBLANK(OFFSET(A$1,,,SUMPRODUCT(MAX(ROW(E$2:E3866)*(E3866=E$2:E3866)))))-COUNTBLANK(OFFSET(A$1,,,SUMPRODUCT(MAX(ROW(E$1:E3865)*(E2=E$1:E3865))))))</f>
        <v> </v>
      </c>
      <c r="K3866" s="25" t="str">
        <f>IF(OR(E3866="",E3866="!!!",F3866="NEW"),"",INDEX(J$1:J3865,SUMPRODUCT(MAX(ROW(E$1:E3865)*(E3866=E$1:E3865)))))</f>
        <v> </v>
      </c>
      <c r="L3866" s="26"/>
    </row>
    <row r="3867" spans="1:12">
      <c r="A3867" s="20" t="s">
        <v>1712</v>
      </c>
      <c r="E3867" s="21">
        <f>IF(D3867="?OLD","!!!","")</f>
        <v/>
      </c>
      <c r="F3867" s="22" t="str">
        <f>IF(OR(E3867="",E3867="!!!"),"",IF(NOT(ISNA(VLOOKUP(E3867,E$1:E3866,1,FALSE()))),"OLD",IF(AND(E3867&lt;&gt;"",E3867&lt;&gt;"!!!"),"NEW","")))</f>
        <v> </v>
      </c>
      <c r="G3867" s="23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4" t="str">
        <f>IF(J3867&lt;&gt;1,"",IF(I3867="SBJ","CB","?"))</f>
        <v> </v>
      </c>
      <c r="I3867" s="25" t="str">
        <f>IF(OR(E3867="",E3867="!!!",F3867="NEW"),"",INDEX(B3866:B$2,-1+SUMPRODUCT(MAX(ROW(E3866:E$2)*(E3867=E3866:E$2)))))</f>
        <v> </v>
      </c>
      <c r="J3867" s="25" t="str">
        <f>IF(OR(E3867="",E3867="!!!",F3867="NEW"),"",COUNTBLANK(OFFSET(A$1,,,SUMPRODUCT(MAX(ROW(E$2:E3867)*(E3867=E$2:E3867)))))-COUNTBLANK(OFFSET(A$1,,,SUMPRODUCT(MAX(ROW(E$1:E3866)*(E2=E$1:E3866))))))</f>
        <v> </v>
      </c>
      <c r="K3867" s="25" t="str">
        <f>IF(OR(E3867="",E3867="!!!",F3867="NEW"),"",INDEX(J$1:J3866,SUMPRODUCT(MAX(ROW(E$1:E3866)*(E3867=E$1:E3866)))))</f>
        <v> </v>
      </c>
      <c r="L3867" s="26"/>
    </row>
    <row r="3868" spans="1:12">
      <c r="A3868" s="20" t="s">
        <v>798</v>
      </c>
      <c r="B3868" s="27" t="s">
        <v>849</v>
      </c>
      <c r="C3868" s="27" t="s">
        <v>800</v>
      </c>
      <c r="D3868" s="27" t="s">
        <v>801</v>
      </c>
      <c r="E3868" s="21">
        <f>IF(D3868="?OLD","!!!","")</f>
        <v/>
      </c>
      <c r="F3868" s="22" t="str">
        <f>IF(OR(E3868="",E3868="!!!"),"",IF(NOT(ISNA(VLOOKUP(E3868,E$1:E3867,1,FALSE()))),"OLD",IF(AND(E3868&lt;&gt;"",E3868&lt;&gt;"!!!"),"NEW","")))</f>
        <v> </v>
      </c>
      <c r="G3868" s="23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4" t="str">
        <f>IF(J3868&lt;&gt;1,"",IF(I3868="SBJ","CB","?"))</f>
        <v> </v>
      </c>
      <c r="I3868" s="25" t="str">
        <f>IF(OR(E3868="",E3868="!!!",F3868="NEW"),"",INDEX(B3867:B$2,-1+SUMPRODUCT(MAX(ROW(E3867:E$2)*(E3868=E3867:E$2)))))</f>
        <v> </v>
      </c>
      <c r="J3868" s="25" t="str">
        <f>IF(OR(E3868="",E3868="!!!",F3868="NEW"),"",COUNTBLANK(OFFSET(A$1,,,SUMPRODUCT(MAX(ROW(E$2:E3868)*(E3868=E$2:E3868)))))-COUNTBLANK(OFFSET(A$1,,,SUMPRODUCT(MAX(ROW(E$1:E3867)*(E2=E$1:E3867))))))</f>
        <v> </v>
      </c>
      <c r="K3868" s="25" t="str">
        <f>IF(OR(E3868="",E3868="!!!",F3868="NEW"),"",INDEX(J$1:J3867,SUMPRODUCT(MAX(ROW(E$1:E3867)*(E3868=E$1:E3867)))))</f>
        <v> </v>
      </c>
      <c r="L3868" s="26"/>
    </row>
    <row r="3869" spans="1:12">
      <c r="A3869" s="20" t="s">
        <v>795</v>
      </c>
      <c r="E3869" s="21">
        <f>IF(D3869="?OLD","!!!","")</f>
        <v/>
      </c>
      <c r="F3869" s="22" t="str">
        <f>IF(OR(E3869="",E3869="!!!"),"",IF(NOT(ISNA(VLOOKUP(E3869,E$1:E3868,1,FALSE()))),"OLD",IF(AND(E3869&lt;&gt;"",E3869&lt;&gt;"!!!"),"NEW","")))</f>
        <v> </v>
      </c>
      <c r="G3869" s="23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4" t="str">
        <f>IF(J3869&lt;&gt;1,"",IF(I3869="SBJ","CB","?"))</f>
        <v> </v>
      </c>
      <c r="I3869" s="25" t="str">
        <f>IF(OR(E3869="",E3869="!!!",F3869="NEW"),"",INDEX(B3868:B$2,-1+SUMPRODUCT(MAX(ROW(E3868:E$2)*(E3869=E3868:E$2)))))</f>
        <v> </v>
      </c>
      <c r="J3869" s="25" t="str">
        <f>IF(OR(E3869="",E3869="!!!",F3869="NEW"),"",COUNTBLANK(OFFSET(A$1,,,SUMPRODUCT(MAX(ROW(E$2:E3869)*(E3869=E$2:E3869)))))-COUNTBLANK(OFFSET(A$1,,,SUMPRODUCT(MAX(ROW(E$1:E3868)*(E2=E$1:E3868))))))</f>
        <v> </v>
      </c>
      <c r="K3869" s="25" t="str">
        <f>IF(OR(E3869="",E3869="!!!",F3869="NEW"),"",INDEX(J$1:J3868,SUMPRODUCT(MAX(ROW(E$1:E3868)*(E3869=E$1:E3868)))))</f>
        <v> </v>
      </c>
      <c r="L3869" s="26"/>
    </row>
    <row r="3870" spans="1:12">
      <c r="A3870" s="20" t="s">
        <v>791</v>
      </c>
      <c r="E3870" s="21">
        <f>IF(D3870="?OLD","!!!","")</f>
        <v/>
      </c>
      <c r="F3870" s="22" t="str">
        <f>IF(OR(E3870="",E3870="!!!"),"",IF(NOT(ISNA(VLOOKUP(E3870,E$1:E3869,1,FALSE()))),"OLD",IF(AND(E3870&lt;&gt;"",E3870&lt;&gt;"!!!"),"NEW","")))</f>
        <v> </v>
      </c>
      <c r="G3870" s="23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4" t="str">
        <f>IF(J3870&lt;&gt;1,"",IF(I3870="SBJ","CB","?"))</f>
        <v> </v>
      </c>
      <c r="I3870" s="25" t="str">
        <f>IF(OR(E3870="",E3870="!!!",F3870="NEW"),"",INDEX(B3869:B$2,-1+SUMPRODUCT(MAX(ROW(E3869:E$2)*(E3870=E3869:E$2)))))</f>
        <v> </v>
      </c>
      <c r="J3870" s="25" t="str">
        <f>IF(OR(E3870="",E3870="!!!",F3870="NEW"),"",COUNTBLANK(OFFSET(A$1,,,SUMPRODUCT(MAX(ROW(E$2:E3870)*(E3870=E$2:E3870)))))-COUNTBLANK(OFFSET(A$1,,,SUMPRODUCT(MAX(ROW(E$1:E3869)*(E2=E$1:E3869))))))</f>
        <v> </v>
      </c>
      <c r="K3870" s="25" t="str">
        <f>IF(OR(E3870="",E3870="!!!",F3870="NEW"),"",INDEX(J$1:J3869,SUMPRODUCT(MAX(ROW(E$1:E3869)*(E3870=E$1:E3869)))))</f>
        <v> </v>
      </c>
      <c r="L3870" s="26"/>
    </row>
    <row r="3871" spans="1:12">
      <c r="A3871" s="20" t="s">
        <v>1712</v>
      </c>
      <c r="E3871" s="21">
        <f>IF(D3871="?OLD","!!!","")</f>
        <v/>
      </c>
      <c r="F3871" s="22" t="str">
        <f>IF(OR(E3871="",E3871="!!!"),"",IF(NOT(ISNA(VLOOKUP(E3871,E$1:E3870,1,FALSE()))),"OLD",IF(AND(E3871&lt;&gt;"",E3871&lt;&gt;"!!!"),"NEW","")))</f>
        <v> </v>
      </c>
      <c r="G3871" s="23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4" t="str">
        <f>IF(J3871&lt;&gt;1,"",IF(I3871="SBJ","CB","?"))</f>
        <v> </v>
      </c>
      <c r="I3871" s="25" t="str">
        <f>IF(OR(E3871="",E3871="!!!",F3871="NEW"),"",INDEX(B3870:B$2,-1+SUMPRODUCT(MAX(ROW(E3870:E$2)*(E3871=E3870:E$2)))))</f>
        <v> </v>
      </c>
      <c r="J3871" s="25" t="str">
        <f>IF(OR(E3871="",E3871="!!!",F3871="NEW"),"",COUNTBLANK(OFFSET(A$1,,,SUMPRODUCT(MAX(ROW(E$2:E3871)*(E3871=E$2:E3871)))))-COUNTBLANK(OFFSET(A$1,,,SUMPRODUCT(MAX(ROW(E$1:E3870)*(E2=E$1:E3870))))))</f>
        <v> </v>
      </c>
      <c r="K3871" s="25" t="str">
        <f>IF(OR(E3871="",E3871="!!!",F3871="NEW"),"",INDEX(J$1:J3870,SUMPRODUCT(MAX(ROW(E$1:E3870)*(E3871=E$1:E3870)))))</f>
        <v> </v>
      </c>
      <c r="L3871" s="26"/>
    </row>
    <row r="3872" spans="1:12">
      <c r="A3872" s="20" t="s">
        <v>817</v>
      </c>
      <c r="E3872" s="21">
        <f>IF(D3872="?OLD","!!!","")</f>
        <v/>
      </c>
      <c r="F3872" s="22" t="str">
        <f>IF(OR(E3872="",E3872="!!!"),"",IF(NOT(ISNA(VLOOKUP(E3872,E$1:E3871,1,FALSE()))),"OLD",IF(AND(E3872&lt;&gt;"",E3872&lt;&gt;"!!!"),"NEW","")))</f>
        <v> </v>
      </c>
      <c r="G3872" s="23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4" t="str">
        <f>IF(J3872&lt;&gt;1,"",IF(I3872="SBJ","CB","?"))</f>
        <v> </v>
      </c>
      <c r="I3872" s="25" t="str">
        <f>IF(OR(E3872="",E3872="!!!",F3872="NEW"),"",INDEX(B3871:B$2,-1+SUMPRODUCT(MAX(ROW(E3871:E$2)*(E3872=E3871:E$2)))))</f>
        <v> </v>
      </c>
      <c r="J3872" s="25" t="str">
        <f>IF(OR(E3872="",E3872="!!!",F3872="NEW"),"",COUNTBLANK(OFFSET(A$1,,,SUMPRODUCT(MAX(ROW(E$2:E3872)*(E3872=E$2:E3872)))))-COUNTBLANK(OFFSET(A$1,,,SUMPRODUCT(MAX(ROW(E$1:E3871)*(E2=E$1:E3871))))))</f>
        <v> </v>
      </c>
      <c r="K3872" s="25" t="str">
        <f>IF(OR(E3872="",E3872="!!!",F3872="NEW"),"",INDEX(J$1:J3871,SUMPRODUCT(MAX(ROW(E$1:E3871)*(E3872=E$1:E3871)))))</f>
        <v> </v>
      </c>
      <c r="L3872" s="26"/>
    </row>
    <row r="3873" spans="1:12">
      <c r="A3873" s="20" t="s">
        <v>959</v>
      </c>
      <c r="E3873" s="21">
        <f>IF(D3873="?OLD","!!!","")</f>
        <v/>
      </c>
      <c r="F3873" s="22" t="str">
        <f>IF(OR(E3873="",E3873="!!!"),"",IF(NOT(ISNA(VLOOKUP(E3873,E$1:E3872,1,FALSE()))),"OLD",IF(AND(E3873&lt;&gt;"",E3873&lt;&gt;"!!!"),"NEW","")))</f>
        <v> </v>
      </c>
      <c r="G3873" s="23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4" t="str">
        <f>IF(J3873&lt;&gt;1,"",IF(I3873="SBJ","CB","?"))</f>
        <v> </v>
      </c>
      <c r="I3873" s="25" t="str">
        <f>IF(OR(E3873="",E3873="!!!",F3873="NEW"),"",INDEX(B3872:B$2,-1+SUMPRODUCT(MAX(ROW(E3872:E$2)*(E3873=E3872:E$2)))))</f>
        <v> </v>
      </c>
      <c r="J3873" s="25" t="str">
        <f>IF(OR(E3873="",E3873="!!!",F3873="NEW"),"",COUNTBLANK(OFFSET(A$1,,,SUMPRODUCT(MAX(ROW(E$2:E3873)*(E3873=E$2:E3873)))))-COUNTBLANK(OFFSET(A$1,,,SUMPRODUCT(MAX(ROW(E$1:E3872)*(E2=E$1:E3872))))))</f>
        <v> </v>
      </c>
      <c r="K3873" s="25" t="str">
        <f>IF(OR(E3873="",E3873="!!!",F3873="NEW"),"",INDEX(J$1:J3872,SUMPRODUCT(MAX(ROW(E$1:E3872)*(E3873=E$1:E3872)))))</f>
        <v> </v>
      </c>
      <c r="L3873" s="26"/>
    </row>
    <row r="3874" spans="1:12">
      <c r="A3874" s="20" t="s">
        <v>2380</v>
      </c>
      <c r="E3874" s="21">
        <f>IF(D3874="?OLD","!!!","")</f>
        <v/>
      </c>
      <c r="F3874" s="22" t="str">
        <f>IF(OR(E3874="",E3874="!!!"),"",IF(NOT(ISNA(VLOOKUP(E3874,E$1:E3873,1,FALSE()))),"OLD",IF(AND(E3874&lt;&gt;"",E3874&lt;&gt;"!!!"),"NEW","")))</f>
        <v> </v>
      </c>
      <c r="G3874" s="23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4" t="str">
        <f>IF(J3874&lt;&gt;1,"",IF(I3874="SBJ","CB","?"))</f>
        <v> </v>
      </c>
      <c r="I3874" s="25" t="str">
        <f>IF(OR(E3874="",E3874="!!!",F3874="NEW"),"",INDEX(B3873:B$2,-1+SUMPRODUCT(MAX(ROW(E3873:E$2)*(E3874=E3873:E$2)))))</f>
        <v> </v>
      </c>
      <c r="J3874" s="25" t="str">
        <f>IF(OR(E3874="",E3874="!!!",F3874="NEW"),"",COUNTBLANK(OFFSET(A$1,,,SUMPRODUCT(MAX(ROW(E$2:E3874)*(E3874=E$2:E3874)))))-COUNTBLANK(OFFSET(A$1,,,SUMPRODUCT(MAX(ROW(E$1:E3873)*(E2=E$1:E3873))))))</f>
        <v> </v>
      </c>
      <c r="K3874" s="25" t="str">
        <f>IF(OR(E3874="",E3874="!!!",F3874="NEW"),"",INDEX(J$1:J3873,SUMPRODUCT(MAX(ROW(E$1:E3873)*(E3874=E$1:E3873)))))</f>
        <v> </v>
      </c>
      <c r="L3874" s="26"/>
    </row>
    <row r="3875" spans="1:12">
      <c r="A3875" s="20" t="s">
        <v>894</v>
      </c>
      <c r="E3875" s="21">
        <f>IF(D3875="?OLD","!!!","")</f>
        <v/>
      </c>
      <c r="F3875" s="22" t="str">
        <f>IF(OR(E3875="",E3875="!!!"),"",IF(NOT(ISNA(VLOOKUP(E3875,E$1:E3874,1,FALSE()))),"OLD",IF(AND(E3875&lt;&gt;"",E3875&lt;&gt;"!!!"),"NEW","")))</f>
        <v> </v>
      </c>
      <c r="G3875" s="23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4" t="str">
        <f>IF(J3875&lt;&gt;1,"",IF(I3875="SBJ","CB","?"))</f>
        <v> </v>
      </c>
      <c r="I3875" s="25" t="str">
        <f>IF(OR(E3875="",E3875="!!!",F3875="NEW"),"",INDEX(B3874:B$2,-1+SUMPRODUCT(MAX(ROW(E3874:E$2)*(E3875=E3874:E$2)))))</f>
        <v> </v>
      </c>
      <c r="J3875" s="25" t="str">
        <f>IF(OR(E3875="",E3875="!!!",F3875="NEW"),"",COUNTBLANK(OFFSET(A$1,,,SUMPRODUCT(MAX(ROW(E$2:E3875)*(E3875=E$2:E3875)))))-COUNTBLANK(OFFSET(A$1,,,SUMPRODUCT(MAX(ROW(E$1:E3874)*(E2=E$1:E3874))))))</f>
        <v> </v>
      </c>
      <c r="K3875" s="25" t="str">
        <f>IF(OR(E3875="",E3875="!!!",F3875="NEW"),"",INDEX(J$1:J3874,SUMPRODUCT(MAX(ROW(E$1:E3874)*(E3875=E$1:E3874)))))</f>
        <v> </v>
      </c>
      <c r="L3875" s="26"/>
    </row>
    <row r="3876" spans="1:12">
      <c r="A3876" s="20" t="s">
        <v>2381</v>
      </c>
      <c r="E3876" s="21">
        <f>IF(D3876="?OLD","!!!","")</f>
        <v/>
      </c>
      <c r="F3876" s="22" t="str">
        <f>IF(OR(E3876="",E3876="!!!"),"",IF(NOT(ISNA(VLOOKUP(E3876,E$1:E3875,1,FALSE()))),"OLD",IF(AND(E3876&lt;&gt;"",E3876&lt;&gt;"!!!"),"NEW","")))</f>
        <v> </v>
      </c>
      <c r="G3876" s="23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4" t="str">
        <f>IF(J3876&lt;&gt;1,"",IF(I3876="SBJ","CB","?"))</f>
        <v> </v>
      </c>
      <c r="I3876" s="25" t="str">
        <f>IF(OR(E3876="",E3876="!!!",F3876="NEW"),"",INDEX(B3875:B$2,-1+SUMPRODUCT(MAX(ROW(E3875:E$2)*(E3876=E3875:E$2)))))</f>
        <v> </v>
      </c>
      <c r="J3876" s="25" t="str">
        <f>IF(OR(E3876="",E3876="!!!",F3876="NEW"),"",COUNTBLANK(OFFSET(A$1,,,SUMPRODUCT(MAX(ROW(E$2:E3876)*(E3876=E$2:E3876)))))-COUNTBLANK(OFFSET(A$1,,,SUMPRODUCT(MAX(ROW(E$1:E3875)*(E2=E$1:E3875))))))</f>
        <v> </v>
      </c>
      <c r="K3876" s="25" t="str">
        <f>IF(OR(E3876="",E3876="!!!",F3876="NEW"),"",INDEX(J$1:J3875,SUMPRODUCT(MAX(ROW(E$1:E3875)*(E3876=E$1:E3875)))))</f>
        <v> </v>
      </c>
      <c r="L3876" s="26"/>
    </row>
    <row r="3877" spans="1:12">
      <c r="A3877" s="20" t="s">
        <v>837</v>
      </c>
      <c r="E3877" s="21">
        <f>IF(D3877="?OLD","!!!","")</f>
        <v/>
      </c>
      <c r="F3877" s="22" t="str">
        <f>IF(OR(E3877="",E3877="!!!"),"",IF(NOT(ISNA(VLOOKUP(E3877,E$1:E3876,1,FALSE()))),"OLD",IF(AND(E3877&lt;&gt;"",E3877&lt;&gt;"!!!"),"NEW","")))</f>
        <v> </v>
      </c>
      <c r="G3877" s="23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4" t="str">
        <f>IF(J3877&lt;&gt;1,"",IF(I3877="SBJ","CB","?"))</f>
        <v> </v>
      </c>
      <c r="I3877" s="25" t="str">
        <f>IF(OR(E3877="",E3877="!!!",F3877="NEW"),"",INDEX(B3876:B$2,-1+SUMPRODUCT(MAX(ROW(E3876:E$2)*(E3877=E3876:E$2)))))</f>
        <v> </v>
      </c>
      <c r="J3877" s="25" t="str">
        <f>IF(OR(E3877="",E3877="!!!",F3877="NEW"),"",COUNTBLANK(OFFSET(A$1,,,SUMPRODUCT(MAX(ROW(E$2:E3877)*(E3877=E$2:E3877)))))-COUNTBLANK(OFFSET(A$1,,,SUMPRODUCT(MAX(ROW(E$1:E3876)*(E2=E$1:E3876))))))</f>
        <v> </v>
      </c>
      <c r="K3877" s="25" t="str">
        <f>IF(OR(E3877="",E3877="!!!",F3877="NEW"),"",INDEX(J$1:J3876,SUMPRODUCT(MAX(ROW(E$1:E3876)*(E3877=E$1:E3876)))))</f>
        <v> </v>
      </c>
      <c r="L3877" s="26"/>
    </row>
    <row r="3878" spans="1:12">
      <c r="A3878" s="20" t="s">
        <v>2382</v>
      </c>
      <c r="E3878" s="21">
        <f>IF(D3878="?OLD","!!!","")</f>
        <v/>
      </c>
      <c r="F3878" s="22" t="str">
        <f>IF(OR(E3878="",E3878="!!!"),"",IF(NOT(ISNA(VLOOKUP(E3878,E$1:E3877,1,FALSE()))),"OLD",IF(AND(E3878&lt;&gt;"",E3878&lt;&gt;"!!!"),"NEW","")))</f>
        <v> </v>
      </c>
      <c r="G3878" s="23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4" t="str">
        <f>IF(J3878&lt;&gt;1,"",IF(I3878="SBJ","CB","?"))</f>
        <v> </v>
      </c>
      <c r="I3878" s="25" t="str">
        <f>IF(OR(E3878="",E3878="!!!",F3878="NEW"),"",INDEX(B3877:B$2,-1+SUMPRODUCT(MAX(ROW(E3877:E$2)*(E3878=E3877:E$2)))))</f>
        <v> </v>
      </c>
      <c r="J3878" s="25" t="str">
        <f>IF(OR(E3878="",E3878="!!!",F3878="NEW"),"",COUNTBLANK(OFFSET(A$1,,,SUMPRODUCT(MAX(ROW(E$2:E3878)*(E3878=E$2:E3878)))))-COUNTBLANK(OFFSET(A$1,,,SUMPRODUCT(MAX(ROW(E$1:E3877)*(E2=E$1:E3877))))))</f>
        <v> </v>
      </c>
      <c r="K3878" s="25" t="str">
        <f>IF(OR(E3878="",E3878="!!!",F3878="NEW"),"",INDEX(J$1:J3877,SUMPRODUCT(MAX(ROW(E$1:E3877)*(E3878=E$1:E3877)))))</f>
        <v> </v>
      </c>
      <c r="L3878" s="26"/>
    </row>
    <row r="3879" spans="1:12">
      <c r="A3879" s="20" t="s">
        <v>2181</v>
      </c>
      <c r="E3879" s="21">
        <f>IF(D3879="?OLD","!!!","")</f>
        <v/>
      </c>
      <c r="F3879" s="22" t="str">
        <f>IF(OR(E3879="",E3879="!!!"),"",IF(NOT(ISNA(VLOOKUP(E3879,E$1:E3878,1,FALSE()))),"OLD",IF(AND(E3879&lt;&gt;"",E3879&lt;&gt;"!!!"),"NEW","")))</f>
        <v> </v>
      </c>
      <c r="G3879" s="23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4" t="str">
        <f>IF(J3879&lt;&gt;1,"",IF(I3879="SBJ","CB","?"))</f>
        <v> </v>
      </c>
      <c r="I3879" s="25" t="str">
        <f>IF(OR(E3879="",E3879="!!!",F3879="NEW"),"",INDEX(B3878:B$2,-1+SUMPRODUCT(MAX(ROW(E3878:E$2)*(E3879=E3878:E$2)))))</f>
        <v> </v>
      </c>
      <c r="J3879" s="25" t="str">
        <f>IF(OR(E3879="",E3879="!!!",F3879="NEW"),"",COUNTBLANK(OFFSET(A$1,,,SUMPRODUCT(MAX(ROW(E$2:E3879)*(E3879=E$2:E3879)))))-COUNTBLANK(OFFSET(A$1,,,SUMPRODUCT(MAX(ROW(E$1:E3878)*(E2=E$1:E3878))))))</f>
        <v> </v>
      </c>
      <c r="K3879" s="25" t="str">
        <f>IF(OR(E3879="",E3879="!!!",F3879="NEW"),"",INDEX(J$1:J3878,SUMPRODUCT(MAX(ROW(E$1:E3878)*(E3879=E$1:E3878)))))</f>
        <v> </v>
      </c>
      <c r="L3879" s="26"/>
    </row>
    <row r="3880" spans="1:12">
      <c r="A3880" s="20" t="s">
        <v>803</v>
      </c>
      <c r="E3880" s="21">
        <f>IF(D3880="?OLD","!!!","")</f>
        <v/>
      </c>
      <c r="F3880" s="22" t="str">
        <f>IF(OR(E3880="",E3880="!!!"),"",IF(NOT(ISNA(VLOOKUP(E3880,E$1:E3879,1,FALSE()))),"OLD",IF(AND(E3880&lt;&gt;"",E3880&lt;&gt;"!!!"),"NEW","")))</f>
        <v> </v>
      </c>
      <c r="G3880" s="23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4" t="str">
        <f>IF(J3880&lt;&gt;1,"",IF(I3880="SBJ","CB","?"))</f>
        <v> </v>
      </c>
      <c r="I3880" s="25" t="str">
        <f>IF(OR(E3880="",E3880="!!!",F3880="NEW"),"",INDEX(B3879:B$2,-1+SUMPRODUCT(MAX(ROW(E3879:E$2)*(E3880=E3879:E$2)))))</f>
        <v> </v>
      </c>
      <c r="J3880" s="25" t="str">
        <f>IF(OR(E3880="",E3880="!!!",F3880="NEW"),"",COUNTBLANK(OFFSET(A$1,,,SUMPRODUCT(MAX(ROW(E$2:E3880)*(E3880=E$2:E3880)))))-COUNTBLANK(OFFSET(A$1,,,SUMPRODUCT(MAX(ROW(E$1:E3879)*(E2=E$1:E3879))))))</f>
        <v> </v>
      </c>
      <c r="K3880" s="25" t="str">
        <f>IF(OR(E3880="",E3880="!!!",F3880="NEW"),"",INDEX(J$1:J3879,SUMPRODUCT(MAX(ROW(E$1:E3879)*(E3880=E$1:E3879)))))</f>
        <v> </v>
      </c>
      <c r="L3880" s="26"/>
    </row>
    <row r="3881" spans="1:12">
      <c r="A3881" s="20"/>
    </row>
    <row r="3882" spans="1:12">
      <c r="A3882" s="20" t="s">
        <v>2383</v>
      </c>
    </row>
    <row r="3883" spans="1:12">
      <c r="A3883" s="20" t="s">
        <v>1016</v>
      </c>
      <c r="B3883" s="27" t="s">
        <v>799</v>
      </c>
      <c r="C3883" s="27" t="s">
        <v>816</v>
      </c>
      <c r="D3883" s="27" t="s">
        <v>801</v>
      </c>
      <c r="E3883" s="21">
        <f>IF(D3883="?OLD","!!!","")</f>
        <v/>
      </c>
      <c r="F3883" s="22" t="str">
        <f>IF(OR(E3883="",E3883="!!!"),"",IF(NOT(ISNA(VLOOKUP(E3883,E$1:E3882,1,FALSE()))),"OLD",IF(AND(E3883&lt;&gt;"",E3883&lt;&gt;"!!!"),"NEW","")))</f>
        <v> </v>
      </c>
      <c r="G3883" s="23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4" t="str">
        <f>IF(J3883&lt;&gt;1,"",IF(I3883="SBJ","CB","?"))</f>
        <v> </v>
      </c>
      <c r="I3883" s="25" t="str">
        <f>IF(OR(E3883="",E3883="!!!",F3883="NEW"),"",INDEX(B3882:B$2,-1+SUMPRODUCT(MAX(ROW(E3882:E$2)*(E3883=E3882:E$2)))))</f>
        <v> </v>
      </c>
      <c r="J3883" s="25" t="str">
        <f>IF(OR(E3883="",E3883="!!!",F3883="NEW"),"",COUNTBLANK(OFFSET(A$1,,,SUMPRODUCT(MAX(ROW(E$2:E3883)*(E3883=E$2:E3883)))))-COUNTBLANK(OFFSET(A$1,,,SUMPRODUCT(MAX(ROW(E$1:E3882)*(E2=E$1:E3882))))))</f>
        <v> </v>
      </c>
      <c r="K3883" s="25" t="str">
        <f>IF(OR(E3883="",E3883="!!!",F3883="NEW"),"",INDEX(J$1:J3882,SUMPRODUCT(MAX(ROW(E$1:E3882)*(E3883=E$1:E3882)))))</f>
        <v> </v>
      </c>
      <c r="L3883" s="26"/>
    </row>
    <row r="3884" spans="1:12">
      <c r="A3884" s="20" t="s">
        <v>1551</v>
      </c>
      <c r="E3884" s="21">
        <f>IF(D3884="?OLD","!!!","")</f>
        <v/>
      </c>
      <c r="F3884" s="22" t="str">
        <f>IF(OR(E3884="",E3884="!!!"),"",IF(NOT(ISNA(VLOOKUP(E3884,E$1:E3883,1,FALSE()))),"OLD",IF(AND(E3884&lt;&gt;"",E3884&lt;&gt;"!!!"),"NEW","")))</f>
        <v> </v>
      </c>
      <c r="G3884" s="23" t="str">
        <f>IF(OR(E3884="",E3884="!!!"),"",IF(OR(J3884=0,AND(J3884=1,K3884=1),AND(J3884=1,I3884="SBJ"),AND(J3884=1,I3884=0)),"?IN_FOCUS",IF(J3884&lt;=2,"?ACTIVATED",IF(J3884&lt;&gt;"","?FAMILIAR",IF(F3884="NEW",IF(ISNA(VLOOKUP(E3884,#REF!,1,FALSE())),"?TYPE_IDENTIFIABLE","?REFERENTIAL"),"_")))))</f>
        <v> </v>
      </c>
      <c r="H3884" s="24" t="str">
        <f>IF(J3884&lt;&gt;1,"",IF(I3884="SBJ","CB","?"))</f>
        <v> </v>
      </c>
      <c r="I3884" s="25" t="str">
        <f>IF(OR(E3884="",E3884="!!!",F3884="NEW"),"",INDEX(B3883:B$2,-1+SUMPRODUCT(MAX(ROW(E3883:E$2)*(E3884=E3883:E$2)))))</f>
        <v> </v>
      </c>
      <c r="J3884" s="25" t="str">
        <f>IF(OR(E3884="",E3884="!!!",F3884="NEW"),"",COUNTBLANK(OFFSET(A$1,,,SUMPRODUCT(MAX(ROW(E$2:E3884)*(E3884=E$2:E3884)))))-COUNTBLANK(OFFSET(A$1,,,SUMPRODUCT(MAX(ROW(E$1:E3883)*(E2=E$1:E3883))))))</f>
        <v> </v>
      </c>
      <c r="K3884" s="25" t="str">
        <f>IF(OR(E3884="",E3884="!!!",F3884="NEW"),"",INDEX(J$1:J3883,SUMPRODUCT(MAX(ROW(E$1:E3883)*(E3884=E$1:E3883)))))</f>
        <v> </v>
      </c>
      <c r="L3884" s="26"/>
    </row>
    <row r="3885" spans="1:12">
      <c r="A3885" s="20" t="s">
        <v>821</v>
      </c>
      <c r="E3885" s="21">
        <f>IF(D3885="?OLD","!!!","")</f>
        <v/>
      </c>
      <c r="F3885" s="22" t="str">
        <f>IF(OR(E3885="",E3885="!!!"),"",IF(NOT(ISNA(VLOOKUP(E3885,E$1:E3884,1,FALSE()))),"OLD",IF(AND(E3885&lt;&gt;"",E3885&lt;&gt;"!!!"),"NEW","")))</f>
        <v> </v>
      </c>
      <c r="G3885" s="23" t="str">
        <f>IF(OR(E3885="",E3885="!!!"),"",IF(OR(J3885=0,AND(J3885=1,K3885=1),AND(J3885=1,I3885="SBJ"),AND(J3885=1,I3885=0)),"?IN_FOCUS",IF(J3885&lt;=2,"?ACTIVATED",IF(J3885&lt;&gt;"","?FAMILIAR",IF(F3885="NEW",IF(ISNA(VLOOKUP(E3885,#REF!,1,FALSE())),"?TYPE_IDENTIFIABLE","?REFERENTIAL"),"_")))))</f>
        <v> </v>
      </c>
      <c r="H3885" s="24" t="str">
        <f>IF(J3885&lt;&gt;1,"",IF(I3885="SBJ","CB","?"))</f>
        <v> </v>
      </c>
      <c r="I3885" s="25" t="str">
        <f>IF(OR(E3885="",E3885="!!!",F3885="NEW"),"",INDEX(B3884:B$2,-1+SUMPRODUCT(MAX(ROW(E3884:E$2)*(E3885=E3884:E$2)))))</f>
        <v> </v>
      </c>
      <c r="J3885" s="25" t="str">
        <f>IF(OR(E3885="",E3885="!!!",F3885="NEW"),"",COUNTBLANK(OFFSET(A$1,,,SUMPRODUCT(MAX(ROW(E$2:E3885)*(E3885=E$2:E3885)))))-COUNTBLANK(OFFSET(A$1,,,SUMPRODUCT(MAX(ROW(E$1:E3884)*(E2=E$1:E3884))))))</f>
        <v> </v>
      </c>
      <c r="K3885" s="25" t="str">
        <f>IF(OR(E3885="",E3885="!!!",F3885="NEW"),"",INDEX(J$1:J3884,SUMPRODUCT(MAX(ROW(E$1:E3884)*(E3885=E$1:E3884)))))</f>
        <v> </v>
      </c>
      <c r="L3885" s="26"/>
    </row>
    <row r="3886" spans="1:12">
      <c r="A3886" s="20" t="s">
        <v>1989</v>
      </c>
      <c r="E3886" s="21">
        <f>IF(D3886="?OLD","!!!","")</f>
        <v/>
      </c>
      <c r="F3886" s="22" t="str">
        <f>IF(OR(E3886="",E3886="!!!"),"",IF(NOT(ISNA(VLOOKUP(E3886,E$1:E3885,1,FALSE()))),"OLD",IF(AND(E3886&lt;&gt;"",E3886&lt;&gt;"!!!"),"NEW","")))</f>
        <v> </v>
      </c>
      <c r="G3886" s="23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4" t="str">
        <f>IF(J3886&lt;&gt;1,"",IF(I3886="SBJ","CB","?"))</f>
        <v> </v>
      </c>
      <c r="I3886" s="25" t="str">
        <f>IF(OR(E3886="",E3886="!!!",F3886="NEW"),"",INDEX(B3885:B$2,-1+SUMPRODUCT(MAX(ROW(E3885:E$2)*(E3886=E3885:E$2)))))</f>
        <v> </v>
      </c>
      <c r="J3886" s="25" t="str">
        <f>IF(OR(E3886="",E3886="!!!",F3886="NEW"),"",COUNTBLANK(OFFSET(A$1,,,SUMPRODUCT(MAX(ROW(E$2:E3886)*(E3886=E$2:E3886)))))-COUNTBLANK(OFFSET(A$1,,,SUMPRODUCT(MAX(ROW(E$1:E3885)*(E2=E$1:E3885))))))</f>
        <v> </v>
      </c>
      <c r="K3886" s="25" t="str">
        <f>IF(OR(E3886="",E3886="!!!",F3886="NEW"),"",INDEX(J$1:J3885,SUMPRODUCT(MAX(ROW(E$1:E3885)*(E3886=E$1:E3885)))))</f>
        <v> </v>
      </c>
      <c r="L3886" s="26"/>
    </row>
    <row r="3887" spans="1:12">
      <c r="A3887" s="20" t="s">
        <v>2384</v>
      </c>
      <c r="E3887" s="21">
        <f>IF(D3887="?OLD","!!!","")</f>
        <v/>
      </c>
      <c r="F3887" s="22" t="str">
        <f>IF(OR(E3887="",E3887="!!!"),"",IF(NOT(ISNA(VLOOKUP(E3887,E$1:E3886,1,FALSE()))),"OLD",IF(AND(E3887&lt;&gt;"",E3887&lt;&gt;"!!!"),"NEW","")))</f>
        <v> </v>
      </c>
      <c r="G3887" s="23" t="str">
        <f>IF(OR(E3887="",E3887="!!!"),"",IF(OR(J3887=0,AND(J3887=1,K3887=1),AND(J3887=1,I3887="SBJ"),AND(J3887=1,I3887=0)),"?IN_FOCUS",IF(J3887&lt;=2,"?ACTIVATED",IF(J3887&lt;&gt;"","?FAMILIAR",IF(F3887="NEW",IF(ISNA(VLOOKUP(E3887,#REF!,1,FALSE())),"?TYPE_IDENTIFIABLE","?REFERENTIAL"),"_")))))</f>
        <v> </v>
      </c>
      <c r="H3887" s="24" t="str">
        <f>IF(J3887&lt;&gt;1,"",IF(I3887="SBJ","CB","?"))</f>
        <v> </v>
      </c>
      <c r="I3887" s="25" t="str">
        <f>IF(OR(E3887="",E3887="!!!",F3887="NEW"),"",INDEX(B3886:B$2,-1+SUMPRODUCT(MAX(ROW(E3886:E$2)*(E3887=E3886:E$2)))))</f>
        <v> </v>
      </c>
      <c r="J3887" s="25" t="str">
        <f>IF(OR(E3887="",E3887="!!!",F3887="NEW"),"",COUNTBLANK(OFFSET(A$1,,,SUMPRODUCT(MAX(ROW(E$2:E3887)*(E3887=E$2:E3887)))))-COUNTBLANK(OFFSET(A$1,,,SUMPRODUCT(MAX(ROW(E$1:E3886)*(E2=E$1:E3886))))))</f>
        <v> </v>
      </c>
      <c r="K3887" s="25" t="str">
        <f>IF(OR(E3887="",E3887="!!!",F3887="NEW"),"",INDEX(J$1:J3886,SUMPRODUCT(MAX(ROW(E$1:E3886)*(E3887=E$1:E3886)))))</f>
        <v> </v>
      </c>
      <c r="L3887" s="26"/>
    </row>
    <row r="3888" spans="1:12">
      <c r="A3888" s="20" t="s">
        <v>2188</v>
      </c>
      <c r="E3888" s="21">
        <f>IF(D3888="?OLD","!!!","")</f>
        <v/>
      </c>
      <c r="F3888" s="22" t="str">
        <f>IF(OR(E3888="",E3888="!!!"),"",IF(NOT(ISNA(VLOOKUP(E3888,E$1:E3887,1,FALSE()))),"OLD",IF(AND(E3888&lt;&gt;"",E3888&lt;&gt;"!!!"),"NEW","")))</f>
        <v> </v>
      </c>
      <c r="G3888" s="23" t="str">
        <f>IF(OR(E3888="",E3888="!!!"),"",IF(OR(J3888=0,AND(J3888=1,K3888=1),AND(J3888=1,I3888="SBJ"),AND(J3888=1,I3888=0)),"?IN_FOCUS",IF(J3888&lt;=2,"?ACTIVATED",IF(J3888&lt;&gt;"","?FAMILIAR",IF(F3888="NEW",IF(ISNA(VLOOKUP(E3888,#REF!,1,FALSE())),"?TYPE_IDENTIFIABLE","?REFERENTIAL"),"_")))))</f>
        <v> </v>
      </c>
      <c r="H3888" s="24" t="str">
        <f>IF(J3888&lt;&gt;1,"",IF(I3888="SBJ","CB","?"))</f>
        <v> </v>
      </c>
      <c r="I3888" s="25" t="str">
        <f>IF(OR(E3888="",E3888="!!!",F3888="NEW"),"",INDEX(B3887:B$2,-1+SUMPRODUCT(MAX(ROW(E3887:E$2)*(E3888=E3887:E$2)))))</f>
        <v> </v>
      </c>
      <c r="J3888" s="25" t="str">
        <f>IF(OR(E3888="",E3888="!!!",F3888="NEW"),"",COUNTBLANK(OFFSET(A$1,,,SUMPRODUCT(MAX(ROW(E$2:E3888)*(E3888=E$2:E3888)))))-COUNTBLANK(OFFSET(A$1,,,SUMPRODUCT(MAX(ROW(E$1:E3887)*(E2=E$1:E3887))))))</f>
        <v> </v>
      </c>
      <c r="K3888" s="25" t="str">
        <f>IF(OR(E3888="",E3888="!!!",F3888="NEW"),"",INDEX(J$1:J3887,SUMPRODUCT(MAX(ROW(E$1:E3887)*(E3888=E$1:E3887)))))</f>
        <v> </v>
      </c>
      <c r="L3888" s="26"/>
    </row>
    <row r="3889" spans="1:12">
      <c r="A3889" s="20" t="s">
        <v>795</v>
      </c>
      <c r="E3889" s="21">
        <f>IF(D3889="?OLD","!!!","")</f>
        <v/>
      </c>
      <c r="F3889" s="22" t="str">
        <f>IF(OR(E3889="",E3889="!!!"),"",IF(NOT(ISNA(VLOOKUP(E3889,E$1:E3888,1,FALSE()))),"OLD",IF(AND(E3889&lt;&gt;"",E3889&lt;&gt;"!!!"),"NEW","")))</f>
        <v> </v>
      </c>
      <c r="G3889" s="23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4" t="str">
        <f>IF(J3889&lt;&gt;1,"",IF(I3889="SBJ","CB","?"))</f>
        <v> </v>
      </c>
      <c r="I3889" s="25" t="str">
        <f>IF(OR(E3889="",E3889="!!!",F3889="NEW"),"",INDEX(B3888:B$2,-1+SUMPRODUCT(MAX(ROW(E3888:E$2)*(E3889=E3888:E$2)))))</f>
        <v> </v>
      </c>
      <c r="J3889" s="25" t="str">
        <f>IF(OR(E3889="",E3889="!!!",F3889="NEW"),"",COUNTBLANK(OFFSET(A$1,,,SUMPRODUCT(MAX(ROW(E$2:E3889)*(E3889=E$2:E3889)))))-COUNTBLANK(OFFSET(A$1,,,SUMPRODUCT(MAX(ROW(E$1:E3888)*(E2=E$1:E3888))))))</f>
        <v> </v>
      </c>
      <c r="K3889" s="25" t="str">
        <f>IF(OR(E3889="",E3889="!!!",F3889="NEW"),"",INDEX(J$1:J3888,SUMPRODUCT(MAX(ROW(E$1:E3888)*(E3889=E$1:E3888)))))</f>
        <v> </v>
      </c>
      <c r="L3889" s="26"/>
    </row>
    <row r="3890" spans="1:12">
      <c r="A3890" s="20" t="s">
        <v>1114</v>
      </c>
      <c r="E3890" s="21">
        <f>IF(D3890="?OLD","!!!","")</f>
        <v/>
      </c>
      <c r="F3890" s="22" t="str">
        <f>IF(OR(E3890="",E3890="!!!"),"",IF(NOT(ISNA(VLOOKUP(E3890,E$1:E3889,1,FALSE()))),"OLD",IF(AND(E3890&lt;&gt;"",E3890&lt;&gt;"!!!"),"NEW","")))</f>
        <v> </v>
      </c>
      <c r="G3890" s="23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4" t="str">
        <f>IF(J3890&lt;&gt;1,"",IF(I3890="SBJ","CB","?"))</f>
        <v> </v>
      </c>
      <c r="I3890" s="25" t="str">
        <f>IF(OR(E3890="",E3890="!!!",F3890="NEW"),"",INDEX(B3889:B$2,-1+SUMPRODUCT(MAX(ROW(E3889:E$2)*(E3890=E3889:E$2)))))</f>
        <v> </v>
      </c>
      <c r="J3890" s="25" t="str">
        <f>IF(OR(E3890="",E3890="!!!",F3890="NEW"),"",COUNTBLANK(OFFSET(A$1,,,SUMPRODUCT(MAX(ROW(E$2:E3890)*(E3890=E$2:E3890)))))-COUNTBLANK(OFFSET(A$1,,,SUMPRODUCT(MAX(ROW(E$1:E3889)*(E2=E$1:E3889))))))</f>
        <v> </v>
      </c>
      <c r="K3890" s="25" t="str">
        <f>IF(OR(E3890="",E3890="!!!",F3890="NEW"),"",INDEX(J$1:J3889,SUMPRODUCT(MAX(ROW(E$1:E3889)*(E3890=E$1:E3889)))))</f>
        <v> </v>
      </c>
      <c r="L3890" s="26"/>
    </row>
    <row r="3891" spans="1:12">
      <c r="A3891" s="20" t="s">
        <v>2385</v>
      </c>
      <c r="E3891" s="21">
        <f>IF(D3891="?OLD","!!!","")</f>
        <v/>
      </c>
      <c r="F3891" s="22" t="str">
        <f>IF(OR(E3891="",E3891="!!!"),"",IF(NOT(ISNA(VLOOKUP(E3891,E$1:E3890,1,FALSE()))),"OLD",IF(AND(E3891&lt;&gt;"",E3891&lt;&gt;"!!!"),"NEW","")))</f>
        <v> </v>
      </c>
      <c r="G3891" s="23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4" t="str">
        <f>IF(J3891&lt;&gt;1,"",IF(I3891="SBJ","CB","?"))</f>
        <v> </v>
      </c>
      <c r="I3891" s="25" t="str">
        <f>IF(OR(E3891="",E3891="!!!",F3891="NEW"),"",INDEX(B3890:B$2,-1+SUMPRODUCT(MAX(ROW(E3890:E$2)*(E3891=E3890:E$2)))))</f>
        <v> </v>
      </c>
      <c r="J3891" s="25" t="str">
        <f>IF(OR(E3891="",E3891="!!!",F3891="NEW"),"",COUNTBLANK(OFFSET(A$1,,,SUMPRODUCT(MAX(ROW(E$2:E3891)*(E3891=E$2:E3891)))))-COUNTBLANK(OFFSET(A$1,,,SUMPRODUCT(MAX(ROW(E$1:E3890)*(E2=E$1:E3890))))))</f>
        <v> </v>
      </c>
      <c r="K3891" s="25" t="str">
        <f>IF(OR(E3891="",E3891="!!!",F3891="NEW"),"",INDEX(J$1:J3890,SUMPRODUCT(MAX(ROW(E$1:E3890)*(E3891=E$1:E3890)))))</f>
        <v> </v>
      </c>
      <c r="L3891" s="26"/>
    </row>
    <row r="3892" spans="1:12">
      <c r="A3892" s="20" t="s">
        <v>448</v>
      </c>
      <c r="B3892" s="27" t="s">
        <v>891</v>
      </c>
      <c r="E3892" s="21">
        <f>IF(D3892="?OLD","!!!","")</f>
        <v/>
      </c>
      <c r="F3892" s="22" t="str">
        <f>IF(OR(E3892="",E3892="!!!"),"",IF(NOT(ISNA(VLOOKUP(E3892,E$1:E3891,1,FALSE()))),"OLD",IF(AND(E3892&lt;&gt;"",E3892&lt;&gt;"!!!"),"NEW","")))</f>
        <v> </v>
      </c>
      <c r="G3892" s="23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4" t="str">
        <f>IF(J3892&lt;&gt;1,"",IF(I3892="SBJ","CB","?"))</f>
        <v> </v>
      </c>
      <c r="I3892" s="25" t="str">
        <f>IF(OR(E3892="",E3892="!!!",F3892="NEW"),"",INDEX(B3891:B$2,-1+SUMPRODUCT(MAX(ROW(E3891:E$2)*(E3892=E3891:E$2)))))</f>
        <v> </v>
      </c>
      <c r="J3892" s="25" t="str">
        <f>IF(OR(E3892="",E3892="!!!",F3892="NEW"),"",COUNTBLANK(OFFSET(A$1,,,SUMPRODUCT(MAX(ROW(E$2:E3892)*(E3892=E$2:E3892)))))-COUNTBLANK(OFFSET(A$1,,,SUMPRODUCT(MAX(ROW(E$1:E3891)*(E2=E$1:E3891))))))</f>
        <v> </v>
      </c>
      <c r="K3892" s="25" t="str">
        <f>IF(OR(E3892="",E3892="!!!",F3892="NEW"),"",INDEX(J$1:J3891,SUMPRODUCT(MAX(ROW(E$1:E3891)*(E3892=E$1:E3891)))))</f>
        <v> </v>
      </c>
      <c r="L3892" s="26"/>
    </row>
    <row r="3893" spans="1:12">
      <c r="A3893" s="20" t="s">
        <v>2386</v>
      </c>
      <c r="E3893" s="21">
        <f>IF(D3893="?OLD","!!!","")</f>
        <v/>
      </c>
      <c r="F3893" s="22" t="str">
        <f>IF(OR(E3893="",E3893="!!!"),"",IF(NOT(ISNA(VLOOKUP(E3893,E$1:E3892,1,FALSE()))),"OLD",IF(AND(E3893&lt;&gt;"",E3893&lt;&gt;"!!!"),"NEW","")))</f>
        <v> </v>
      </c>
      <c r="G3893" s="23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4" t="str">
        <f>IF(J3893&lt;&gt;1,"",IF(I3893="SBJ","CB","?"))</f>
        <v> </v>
      </c>
      <c r="I3893" s="25" t="str">
        <f>IF(OR(E3893="",E3893="!!!",F3893="NEW"),"",INDEX(B3892:B$2,-1+SUMPRODUCT(MAX(ROW(E3892:E$2)*(E3893=E3892:E$2)))))</f>
        <v> </v>
      </c>
      <c r="J3893" s="25" t="str">
        <f>IF(OR(E3893="",E3893="!!!",F3893="NEW"),"",COUNTBLANK(OFFSET(A$1,,,SUMPRODUCT(MAX(ROW(E$2:E3893)*(E3893=E$2:E3893)))))-COUNTBLANK(OFFSET(A$1,,,SUMPRODUCT(MAX(ROW(E$1:E3892)*(E2=E$1:E3892))))))</f>
        <v> </v>
      </c>
      <c r="K3893" s="25" t="str">
        <f>IF(OR(E3893="",E3893="!!!",F3893="NEW"),"",INDEX(J$1:J3892,SUMPRODUCT(MAX(ROW(E$1:E3892)*(E3893=E$1:E3892)))))</f>
        <v> </v>
      </c>
      <c r="L3893" s="26"/>
    </row>
    <row r="3894" spans="1:12">
      <c r="A3894" s="20" t="s">
        <v>795</v>
      </c>
      <c r="E3894" s="21">
        <f>IF(D3894="?OLD","!!!","")</f>
        <v/>
      </c>
      <c r="F3894" s="22" t="str">
        <f>IF(OR(E3894="",E3894="!!!"),"",IF(NOT(ISNA(VLOOKUP(E3894,E$1:E3893,1,FALSE()))),"OLD",IF(AND(E3894&lt;&gt;"",E3894&lt;&gt;"!!!"),"NEW","")))</f>
        <v> </v>
      </c>
      <c r="G3894" s="23" t="str">
        <f>IF(OR(E3894="",E3894="!!!"),"",IF(OR(J3894=0,AND(J3894=1,K3894=1),AND(J3894=1,I3894="SBJ"),AND(J3894=1,I3894=0)),"?IN_FOCUS",IF(J3894&lt;=2,"?ACTIVATED",IF(J3894&lt;&gt;"","?FAMILIAR",IF(F3894="NEW",IF(ISNA(VLOOKUP(E3894,#REF!,1,FALSE())),"?TYPE_IDENTIFIABLE","?REFERENTIAL"),"_")))))</f>
        <v> </v>
      </c>
      <c r="H3894" s="24" t="str">
        <f>IF(J3894&lt;&gt;1,"",IF(I3894="SBJ","CB","?"))</f>
        <v> </v>
      </c>
      <c r="I3894" s="25" t="str">
        <f>IF(OR(E3894="",E3894="!!!",F3894="NEW"),"",INDEX(B3893:B$2,-1+SUMPRODUCT(MAX(ROW(E3893:E$2)*(E3894=E3893:E$2)))))</f>
        <v> </v>
      </c>
      <c r="J3894" s="25" t="str">
        <f>IF(OR(E3894="",E3894="!!!",F3894="NEW"),"",COUNTBLANK(OFFSET(A$1,,,SUMPRODUCT(MAX(ROW(E$2:E3894)*(E3894=E$2:E3894)))))-COUNTBLANK(OFFSET(A$1,,,SUMPRODUCT(MAX(ROW(E$1:E3893)*(E2=E$1:E3893))))))</f>
        <v> </v>
      </c>
      <c r="K3894" s="25" t="str">
        <f>IF(OR(E3894="",E3894="!!!",F3894="NEW"),"",INDEX(J$1:J3893,SUMPRODUCT(MAX(ROW(E$1:E3893)*(E3894=E$1:E3893)))))</f>
        <v> </v>
      </c>
      <c r="L3894" s="26"/>
    </row>
    <row r="3895" spans="1:12">
      <c r="A3895" s="20" t="s">
        <v>2387</v>
      </c>
      <c r="E3895" s="21">
        <f>IF(D3895="?OLD","!!!","")</f>
        <v/>
      </c>
      <c r="F3895" s="22" t="str">
        <f>IF(OR(E3895="",E3895="!!!"),"",IF(NOT(ISNA(VLOOKUP(E3895,E$1:E3894,1,FALSE()))),"OLD",IF(AND(E3895&lt;&gt;"",E3895&lt;&gt;"!!!"),"NEW","")))</f>
        <v> </v>
      </c>
      <c r="G3895" s="23" t="str">
        <f>IF(OR(E3895="",E3895="!!!"),"",IF(OR(J3895=0,AND(J3895=1,K3895=1),AND(J3895=1,I3895="SBJ"),AND(J3895=1,I3895=0)),"?IN_FOCUS",IF(J3895&lt;=2,"?ACTIVATED",IF(J3895&lt;&gt;"","?FAMILIAR",IF(F3895="NEW",IF(ISNA(VLOOKUP(E3895,#REF!,1,FALSE())),"?TYPE_IDENTIFIABLE","?REFERENTIAL"),"_")))))</f>
        <v> </v>
      </c>
      <c r="H3895" s="24" t="str">
        <f>IF(J3895&lt;&gt;1,"",IF(I3895="SBJ","CB","?"))</f>
        <v> </v>
      </c>
      <c r="I3895" s="25" t="str">
        <f>IF(OR(E3895="",E3895="!!!",F3895="NEW"),"",INDEX(B3894:B$2,-1+SUMPRODUCT(MAX(ROW(E3894:E$2)*(E3895=E3894:E$2)))))</f>
        <v> </v>
      </c>
      <c r="J3895" s="25" t="str">
        <f>IF(OR(E3895="",E3895="!!!",F3895="NEW"),"",COUNTBLANK(OFFSET(A$1,,,SUMPRODUCT(MAX(ROW(E$2:E3895)*(E3895=E$2:E3895)))))-COUNTBLANK(OFFSET(A$1,,,SUMPRODUCT(MAX(ROW(E$1:E3894)*(E2=E$1:E3894))))))</f>
        <v> </v>
      </c>
      <c r="K3895" s="25" t="str">
        <f>IF(OR(E3895="",E3895="!!!",F3895="NEW"),"",INDEX(J$1:J3894,SUMPRODUCT(MAX(ROW(E$1:E3894)*(E3895=E$1:E3894)))))</f>
        <v> </v>
      </c>
      <c r="L3895" s="26"/>
    </row>
    <row r="3896" spans="1:12">
      <c r="A3896" s="20" t="s">
        <v>1120</v>
      </c>
      <c r="B3896" s="27" t="s">
        <v>1156</v>
      </c>
      <c r="C3896" s="27" t="s">
        <v>816</v>
      </c>
      <c r="D3896" s="27" t="s">
        <v>801</v>
      </c>
      <c r="E3896" s="21">
        <f>IF(D3896="?OLD","!!!","")</f>
        <v/>
      </c>
      <c r="F3896" s="22" t="str">
        <f>IF(OR(E3896="",E3896="!!!"),"",IF(NOT(ISNA(VLOOKUP(E3896,E$1:E3895,1,FALSE()))),"OLD",IF(AND(E3896&lt;&gt;"",E3896&lt;&gt;"!!!"),"NEW","")))</f>
        <v> </v>
      </c>
      <c r="G3896" s="23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4" t="str">
        <f>IF(J3896&lt;&gt;1,"",IF(I3896="SBJ","CB","?"))</f>
        <v> </v>
      </c>
      <c r="I3896" s="25" t="str">
        <f>IF(OR(E3896="",E3896="!!!",F3896="NEW"),"",INDEX(B3895:B$2,-1+SUMPRODUCT(MAX(ROW(E3895:E$2)*(E3896=E3895:E$2)))))</f>
        <v> </v>
      </c>
      <c r="J3896" s="25" t="str">
        <f>IF(OR(E3896="",E3896="!!!",F3896="NEW"),"",COUNTBLANK(OFFSET(A$1,,,SUMPRODUCT(MAX(ROW(E$2:E3896)*(E3896=E$2:E3896)))))-COUNTBLANK(OFFSET(A$1,,,SUMPRODUCT(MAX(ROW(E$1:E3895)*(E2=E$1:E3895))))))</f>
        <v> </v>
      </c>
      <c r="K3896" s="25" t="str">
        <f>IF(OR(E3896="",E3896="!!!",F3896="NEW"),"",INDEX(J$1:J3895,SUMPRODUCT(MAX(ROW(E$1:E3895)*(E3896=E$1:E3895)))))</f>
        <v> </v>
      </c>
      <c r="L3896" s="26"/>
    </row>
    <row r="3897" spans="1:12">
      <c r="A3897" s="20" t="s">
        <v>803</v>
      </c>
      <c r="E3897" s="21">
        <f>IF(D3897="?OLD","!!!","")</f>
        <v/>
      </c>
      <c r="F3897" s="22" t="str">
        <f>IF(OR(E3897="",E3897="!!!"),"",IF(NOT(ISNA(VLOOKUP(E3897,E$1:E3896,1,FALSE()))),"OLD",IF(AND(E3897&lt;&gt;"",E3897&lt;&gt;"!!!"),"NEW","")))</f>
        <v> </v>
      </c>
      <c r="G3897" s="23" t="str">
        <f>IF(OR(E3897="",E3897="!!!"),"",IF(OR(J3897=0,AND(J3897=1,K3897=1),AND(J3897=1,I3897="SBJ"),AND(J3897=1,I3897=0)),"?IN_FOCUS",IF(J3897&lt;=2,"?ACTIVATED",IF(J3897&lt;&gt;"","?FAMILIAR",IF(F3897="NEW",IF(ISNA(VLOOKUP(E3897,#REF!,1,FALSE())),"?TYPE_IDENTIFIABLE","?REFERENTIAL"),"_")))))</f>
        <v> </v>
      </c>
      <c r="H3897" s="24" t="str">
        <f>IF(J3897&lt;&gt;1,"",IF(I3897="SBJ","CB","?"))</f>
        <v> </v>
      </c>
      <c r="I3897" s="25" t="str">
        <f>IF(OR(E3897="",E3897="!!!",F3897="NEW"),"",INDEX(B3896:B$2,-1+SUMPRODUCT(MAX(ROW(E3896:E$2)*(E3897=E3896:E$2)))))</f>
        <v> </v>
      </c>
      <c r="J3897" s="25" t="str">
        <f>IF(OR(E3897="",E3897="!!!",F3897="NEW"),"",COUNTBLANK(OFFSET(A$1,,,SUMPRODUCT(MAX(ROW(E$2:E3897)*(E3897=E$2:E3897)))))-COUNTBLANK(OFFSET(A$1,,,SUMPRODUCT(MAX(ROW(E$1:E3896)*(E2=E$1:E3896))))))</f>
        <v> </v>
      </c>
      <c r="K3897" s="25" t="str">
        <f>IF(OR(E3897="",E3897="!!!",F3897="NEW"),"",INDEX(J$1:J3896,SUMPRODUCT(MAX(ROW(E$1:E3896)*(E3897=E$1:E3896)))))</f>
        <v> </v>
      </c>
      <c r="L3897" s="26"/>
    </row>
    <row r="3898" spans="1:12">
      <c r="A3898" s="20"/>
    </row>
    <row r="3899" spans="1:12">
      <c r="A3899" s="20" t="s">
        <v>2388</v>
      </c>
    </row>
    <row r="3900" spans="1:12">
      <c r="A3900" s="20" t="s">
        <v>1016</v>
      </c>
      <c r="B3900" s="27" t="s">
        <v>799</v>
      </c>
      <c r="C3900" s="27" t="s">
        <v>816</v>
      </c>
      <c r="D3900" s="27" t="s">
        <v>801</v>
      </c>
      <c r="E3900" s="21">
        <f>IF(D3900="?OLD","!!!","")</f>
        <v/>
      </c>
      <c r="F3900" s="22" t="str">
        <f>IF(OR(E3900="",E3900="!!!"),"",IF(NOT(ISNA(VLOOKUP(E3900,E$1:E3899,1,FALSE()))),"OLD",IF(AND(E3900&lt;&gt;"",E3900&lt;&gt;"!!!"),"NEW","")))</f>
        <v> </v>
      </c>
      <c r="G3900" s="23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4" t="str">
        <f>IF(J3900&lt;&gt;1,"",IF(I3900="SBJ","CB","?"))</f>
        <v> </v>
      </c>
      <c r="I3900" s="25" t="str">
        <f>IF(OR(E3900="",E3900="!!!",F3900="NEW"),"",INDEX(B3899:B$2,-1+SUMPRODUCT(MAX(ROW(E3899:E$2)*(E3900=E3899:E$2)))))</f>
        <v> </v>
      </c>
      <c r="J3900" s="25" t="str">
        <f>IF(OR(E3900="",E3900="!!!",F3900="NEW"),"",COUNTBLANK(OFFSET(A$1,,,SUMPRODUCT(MAX(ROW(E$2:E3900)*(E3900=E$2:E3900)))))-COUNTBLANK(OFFSET(A$1,,,SUMPRODUCT(MAX(ROW(E$1:E3899)*(E2=E$1:E3899))))))</f>
        <v> </v>
      </c>
      <c r="K3900" s="25" t="str">
        <f>IF(OR(E3900="",E3900="!!!",F3900="NEW"),"",INDEX(J$1:J3899,SUMPRODUCT(MAX(ROW(E$1:E3899)*(E3900=E$1:E3899)))))</f>
        <v> </v>
      </c>
      <c r="L3900" s="26"/>
    </row>
    <row r="3901" spans="1:12">
      <c r="A3901" s="20" t="s">
        <v>1064</v>
      </c>
      <c r="E3901" s="21">
        <f>IF(D3901="?OLD","!!!","")</f>
        <v/>
      </c>
      <c r="F3901" s="22" t="str">
        <f>IF(OR(E3901="",E3901="!!!"),"",IF(NOT(ISNA(VLOOKUP(E3901,E$1:E3900,1,FALSE()))),"OLD",IF(AND(E3901&lt;&gt;"",E3901&lt;&gt;"!!!"),"NEW","")))</f>
        <v> </v>
      </c>
      <c r="G3901" s="23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4" t="str">
        <f>IF(J3901&lt;&gt;1,"",IF(I3901="SBJ","CB","?"))</f>
        <v> </v>
      </c>
      <c r="I3901" s="25" t="str">
        <f>IF(OR(E3901="",E3901="!!!",F3901="NEW"),"",INDEX(B3900:B$2,-1+SUMPRODUCT(MAX(ROW(E3900:E$2)*(E3901=E3900:E$2)))))</f>
        <v> </v>
      </c>
      <c r="J3901" s="25" t="str">
        <f>IF(OR(E3901="",E3901="!!!",F3901="NEW"),"",COUNTBLANK(OFFSET(A$1,,,SUMPRODUCT(MAX(ROW(E$2:E3901)*(E3901=E$2:E3901)))))-COUNTBLANK(OFFSET(A$1,,,SUMPRODUCT(MAX(ROW(E$1:E3900)*(E2=E$1:E3900))))))</f>
        <v> </v>
      </c>
      <c r="K3901" s="25" t="str">
        <f>IF(OR(E3901="",E3901="!!!",F3901="NEW"),"",INDEX(J$1:J3900,SUMPRODUCT(MAX(ROW(E$1:E3900)*(E3901=E$1:E3900)))))</f>
        <v> </v>
      </c>
      <c r="L3901" s="26"/>
    </row>
    <row r="3902" spans="1:12">
      <c r="A3902" s="20" t="s">
        <v>795</v>
      </c>
      <c r="E3902" s="21">
        <f>IF(D3902="?OLD","!!!","")</f>
        <v/>
      </c>
      <c r="F3902" s="22" t="str">
        <f>IF(OR(E3902="",E3902="!!!"),"",IF(NOT(ISNA(VLOOKUP(E3902,E$1:E3901,1,FALSE()))),"OLD",IF(AND(E3902&lt;&gt;"",E3902&lt;&gt;"!!!"),"NEW","")))</f>
        <v> </v>
      </c>
      <c r="G3902" s="23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4" t="str">
        <f>IF(J3902&lt;&gt;1,"",IF(I3902="SBJ","CB","?"))</f>
        <v> </v>
      </c>
      <c r="I3902" s="25" t="str">
        <f>IF(OR(E3902="",E3902="!!!",F3902="NEW"),"",INDEX(B3901:B$2,-1+SUMPRODUCT(MAX(ROW(E3901:E$2)*(E3902=E3901:E$2)))))</f>
        <v> </v>
      </c>
      <c r="J3902" s="25" t="str">
        <f>IF(OR(E3902="",E3902="!!!",F3902="NEW"),"",COUNTBLANK(OFFSET(A$1,,,SUMPRODUCT(MAX(ROW(E$2:E3902)*(E3902=E$2:E3902)))))-COUNTBLANK(OFFSET(A$1,,,SUMPRODUCT(MAX(ROW(E$1:E3901)*(E2=E$1:E3901))))))</f>
        <v> </v>
      </c>
      <c r="K3902" s="25" t="str">
        <f>IF(OR(E3902="",E3902="!!!",F3902="NEW"),"",INDEX(J$1:J3901,SUMPRODUCT(MAX(ROW(E$1:E3901)*(E3902=E$1:E3901)))))</f>
        <v> </v>
      </c>
      <c r="L3902" s="26"/>
    </row>
    <row r="3903" spans="1:12">
      <c r="A3903" s="20" t="s">
        <v>822</v>
      </c>
      <c r="E3903" s="21">
        <f>IF(D3903="?OLD","!!!","")</f>
        <v/>
      </c>
      <c r="F3903" s="22" t="str">
        <f>IF(OR(E3903="",E3903="!!!"),"",IF(NOT(ISNA(VLOOKUP(E3903,E$1:E3902,1,FALSE()))),"OLD",IF(AND(E3903&lt;&gt;"",E3903&lt;&gt;"!!!"),"NEW","")))</f>
        <v> </v>
      </c>
      <c r="G3903" s="23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4" t="str">
        <f>IF(J3903&lt;&gt;1,"",IF(I3903="SBJ","CB","?"))</f>
        <v> </v>
      </c>
      <c r="I3903" s="25" t="str">
        <f>IF(OR(E3903="",E3903="!!!",F3903="NEW"),"",INDEX(B3902:B$2,-1+SUMPRODUCT(MAX(ROW(E3902:E$2)*(E3903=E3902:E$2)))))</f>
        <v> </v>
      </c>
      <c r="J3903" s="25" t="str">
        <f>IF(OR(E3903="",E3903="!!!",F3903="NEW"),"",COUNTBLANK(OFFSET(A$1,,,SUMPRODUCT(MAX(ROW(E$2:E3903)*(E3903=E$2:E3903)))))-COUNTBLANK(OFFSET(A$1,,,SUMPRODUCT(MAX(ROW(E$1:E3902)*(E2=E$1:E3902))))))</f>
        <v> </v>
      </c>
      <c r="K3903" s="25" t="str">
        <f>IF(OR(E3903="",E3903="!!!",F3903="NEW"),"",INDEX(J$1:J3902,SUMPRODUCT(MAX(ROW(E$1:E3902)*(E3903=E$1:E3902)))))</f>
        <v> </v>
      </c>
      <c r="L3903" s="26"/>
    </row>
    <row r="3904" spans="1:12">
      <c r="A3904" s="20" t="s">
        <v>1116</v>
      </c>
      <c r="E3904" s="21">
        <f>IF(D3904="?OLD","!!!","")</f>
        <v/>
      </c>
      <c r="F3904" s="22" t="str">
        <f>IF(OR(E3904="",E3904="!!!"),"",IF(NOT(ISNA(VLOOKUP(E3904,E$1:E3903,1,FALSE()))),"OLD",IF(AND(E3904&lt;&gt;"",E3904&lt;&gt;"!!!"),"NEW","")))</f>
        <v> </v>
      </c>
      <c r="G3904" s="23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4" t="str">
        <f>IF(J3904&lt;&gt;1,"",IF(I3904="SBJ","CB","?"))</f>
        <v> </v>
      </c>
      <c r="I3904" s="25" t="str">
        <f>IF(OR(E3904="",E3904="!!!",F3904="NEW"),"",INDEX(B3903:B$2,-1+SUMPRODUCT(MAX(ROW(E3903:E$2)*(E3904=E3903:E$2)))))</f>
        <v> </v>
      </c>
      <c r="J3904" s="25" t="str">
        <f>IF(OR(E3904="",E3904="!!!",F3904="NEW"),"",COUNTBLANK(OFFSET(A$1,,,SUMPRODUCT(MAX(ROW(E$2:E3904)*(E3904=E$2:E3904)))))-COUNTBLANK(OFFSET(A$1,,,SUMPRODUCT(MAX(ROW(E$1:E3903)*(E2=E$1:E3903))))))</f>
        <v> </v>
      </c>
      <c r="K3904" s="25" t="str">
        <f>IF(OR(E3904="",E3904="!!!",F3904="NEW"),"",INDEX(J$1:J3903,SUMPRODUCT(MAX(ROW(E$1:E3903)*(E3904=E$1:E3903)))))</f>
        <v> </v>
      </c>
      <c r="L3904" s="26"/>
    </row>
    <row r="3905" spans="1:12">
      <c r="A3905" s="20" t="s">
        <v>2389</v>
      </c>
      <c r="B3905" s="27" t="s">
        <v>849</v>
      </c>
      <c r="E3905" s="21">
        <f>IF(D3905="?OLD","!!!","")</f>
        <v/>
      </c>
      <c r="F3905" s="22" t="str">
        <f>IF(OR(E3905="",E3905="!!!"),"",IF(NOT(ISNA(VLOOKUP(E3905,E$1:E3904,1,FALSE()))),"OLD",IF(AND(E3905&lt;&gt;"",E3905&lt;&gt;"!!!"),"NEW","")))</f>
        <v> </v>
      </c>
      <c r="G3905" s="23" t="str">
        <f>IF(OR(E3905="",E3905="!!!"),"",IF(OR(J3905=0,AND(J3905=1,K3905=1),AND(J3905=1,I3905="SBJ"),AND(J3905=1,I3905=0)),"?IN_FOCUS",IF(J3905&lt;=2,"?ACTIVATED",IF(J3905&lt;&gt;"","?FAMILIAR",IF(F3905="NEW",IF(ISNA(VLOOKUP(E3905,#REF!,1,FALSE())),"?TYPE_IDENTIFIABLE","?REFERENTIAL"),"_")))))</f>
        <v> </v>
      </c>
      <c r="H3905" s="24" t="str">
        <f>IF(J3905&lt;&gt;1,"",IF(I3905="SBJ","CB","?"))</f>
        <v> </v>
      </c>
      <c r="I3905" s="25" t="str">
        <f>IF(OR(E3905="",E3905="!!!",F3905="NEW"),"",INDEX(B3904:B$2,-1+SUMPRODUCT(MAX(ROW(E3904:E$2)*(E3905=E3904:E$2)))))</f>
        <v> </v>
      </c>
      <c r="J3905" s="25" t="str">
        <f>IF(OR(E3905="",E3905="!!!",F3905="NEW"),"",COUNTBLANK(OFFSET(A$1,,,SUMPRODUCT(MAX(ROW(E$2:E3905)*(E3905=E$2:E3905)))))-COUNTBLANK(OFFSET(A$1,,,SUMPRODUCT(MAX(ROW(E$1:E3904)*(E2=E$1:E3904))))))</f>
        <v> </v>
      </c>
      <c r="K3905" s="25" t="str">
        <f>IF(OR(E3905="",E3905="!!!",F3905="NEW"),"",INDEX(J$1:J3904,SUMPRODUCT(MAX(ROW(E$1:E3904)*(E3905=E$1:E3904)))))</f>
        <v> </v>
      </c>
      <c r="L3905" s="26"/>
    </row>
    <row r="3906" spans="1:12">
      <c r="A3906" s="20" t="s">
        <v>2390</v>
      </c>
      <c r="E3906" s="21">
        <f>IF(D3906="?OLD","!!!","")</f>
        <v/>
      </c>
      <c r="F3906" s="22" t="str">
        <f>IF(OR(E3906="",E3906="!!!"),"",IF(NOT(ISNA(VLOOKUP(E3906,E$1:E3905,1,FALSE()))),"OLD",IF(AND(E3906&lt;&gt;"",E3906&lt;&gt;"!!!"),"NEW","")))</f>
        <v> </v>
      </c>
      <c r="G3906" s="23" t="str">
        <f>IF(OR(E3906="",E3906="!!!"),"",IF(OR(J3906=0,AND(J3906=1,K3906=1),AND(J3906=1,I3906="SBJ"),AND(J3906=1,I3906=0)),"?IN_FOCUS",IF(J3906&lt;=2,"?ACTIVATED",IF(J3906&lt;&gt;"","?FAMILIAR",IF(F3906="NEW",IF(ISNA(VLOOKUP(E3906,#REF!,1,FALSE())),"?TYPE_IDENTIFIABLE","?REFERENTIAL"),"_")))))</f>
        <v> </v>
      </c>
      <c r="H3906" s="24" t="str">
        <f>IF(J3906&lt;&gt;1,"",IF(I3906="SBJ","CB","?"))</f>
        <v> </v>
      </c>
      <c r="I3906" s="25" t="str">
        <f>IF(OR(E3906="",E3906="!!!",F3906="NEW"),"",INDEX(B3905:B$2,-1+SUMPRODUCT(MAX(ROW(E3905:E$2)*(E3906=E3905:E$2)))))</f>
        <v> </v>
      </c>
      <c r="J3906" s="25" t="str">
        <f>IF(OR(E3906="",E3906="!!!",F3906="NEW"),"",COUNTBLANK(OFFSET(A$1,,,SUMPRODUCT(MAX(ROW(E$2:E3906)*(E3906=E$2:E3906)))))-COUNTBLANK(OFFSET(A$1,,,SUMPRODUCT(MAX(ROW(E$1:E3905)*(E2=E$1:E3905))))))</f>
        <v> </v>
      </c>
      <c r="K3906" s="25" t="str">
        <f>IF(OR(E3906="",E3906="!!!",F3906="NEW"),"",INDEX(J$1:J3905,SUMPRODUCT(MAX(ROW(E$1:E3905)*(E3906=E$1:E3905)))))</f>
        <v> </v>
      </c>
      <c r="L3906" s="26"/>
    </row>
    <row r="3907" spans="1:12">
      <c r="A3907" s="20" t="s">
        <v>1070</v>
      </c>
      <c r="E3907" s="21">
        <f>IF(D3907="?OLD","!!!","")</f>
        <v/>
      </c>
      <c r="F3907" s="22" t="str">
        <f>IF(OR(E3907="",E3907="!!!"),"",IF(NOT(ISNA(VLOOKUP(E3907,E$1:E3906,1,FALSE()))),"OLD",IF(AND(E3907&lt;&gt;"",E3907&lt;&gt;"!!!"),"NEW","")))</f>
        <v> </v>
      </c>
      <c r="G3907" s="23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4" t="str">
        <f>IF(J3907&lt;&gt;1,"",IF(I3907="SBJ","CB","?"))</f>
        <v> </v>
      </c>
      <c r="I3907" s="25" t="str">
        <f>IF(OR(E3907="",E3907="!!!",F3907="NEW"),"",INDEX(B3906:B$2,-1+SUMPRODUCT(MAX(ROW(E3906:E$2)*(E3907=E3906:E$2)))))</f>
        <v> </v>
      </c>
      <c r="J3907" s="25" t="str">
        <f>IF(OR(E3907="",E3907="!!!",F3907="NEW"),"",COUNTBLANK(OFFSET(A$1,,,SUMPRODUCT(MAX(ROW(E$2:E3907)*(E3907=E$2:E3907)))))-COUNTBLANK(OFFSET(A$1,,,SUMPRODUCT(MAX(ROW(E$1:E3906)*(E2=E$1:E3906))))))</f>
        <v> </v>
      </c>
      <c r="K3907" s="25" t="str">
        <f>IF(OR(E3907="",E3907="!!!",F3907="NEW"),"",INDEX(J$1:J3906,SUMPRODUCT(MAX(ROW(E$1:E3906)*(E3907=E$1:E3906)))))</f>
        <v> </v>
      </c>
      <c r="L3907" s="26"/>
    </row>
    <row r="3908" spans="1:12">
      <c r="A3908" s="20" t="s">
        <v>2391</v>
      </c>
      <c r="E3908" s="21">
        <f>IF(D3908="?OLD","!!!","")</f>
        <v/>
      </c>
      <c r="F3908" s="22" t="str">
        <f>IF(OR(E3908="",E3908="!!!"),"",IF(NOT(ISNA(VLOOKUP(E3908,E$1:E3907,1,FALSE()))),"OLD",IF(AND(E3908&lt;&gt;"",E3908&lt;&gt;"!!!"),"NEW","")))</f>
        <v> </v>
      </c>
      <c r="G3908" s="23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4" t="str">
        <f>IF(J3908&lt;&gt;1,"",IF(I3908="SBJ","CB","?"))</f>
        <v> </v>
      </c>
      <c r="I3908" s="25" t="str">
        <f>IF(OR(E3908="",E3908="!!!",F3908="NEW"),"",INDEX(B3907:B$2,-1+SUMPRODUCT(MAX(ROW(E3907:E$2)*(E3908=E3907:E$2)))))</f>
        <v> </v>
      </c>
      <c r="J3908" s="25" t="str">
        <f>IF(OR(E3908="",E3908="!!!",F3908="NEW"),"",COUNTBLANK(OFFSET(A$1,,,SUMPRODUCT(MAX(ROW(E$2:E3908)*(E3908=E$2:E3908)))))-COUNTBLANK(OFFSET(A$1,,,SUMPRODUCT(MAX(ROW(E$1:E3907)*(E2=E$1:E3907))))))</f>
        <v> </v>
      </c>
      <c r="K3908" s="25" t="str">
        <f>IF(OR(E3908="",E3908="!!!",F3908="NEW"),"",INDEX(J$1:J3907,SUMPRODUCT(MAX(ROW(E$1:E3907)*(E3908=E$1:E3907)))))</f>
        <v> </v>
      </c>
      <c r="L3908" s="26"/>
    </row>
    <row r="3909" spans="1:12">
      <c r="A3909" s="20" t="s">
        <v>2392</v>
      </c>
      <c r="E3909" s="21">
        <f>IF(D3909="?OLD","!!!","")</f>
        <v/>
      </c>
      <c r="F3909" s="22" t="str">
        <f>IF(OR(E3909="",E3909="!!!"),"",IF(NOT(ISNA(VLOOKUP(E3909,E$1:E3908,1,FALSE()))),"OLD",IF(AND(E3909&lt;&gt;"",E3909&lt;&gt;"!!!"),"NEW","")))</f>
        <v> </v>
      </c>
      <c r="G3909" s="23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4" t="str">
        <f>IF(J3909&lt;&gt;1,"",IF(I3909="SBJ","CB","?"))</f>
        <v> </v>
      </c>
      <c r="I3909" s="25" t="str">
        <f>IF(OR(E3909="",E3909="!!!",F3909="NEW"),"",INDEX(B3908:B$2,-1+SUMPRODUCT(MAX(ROW(E3908:E$2)*(E3909=E3908:E$2)))))</f>
        <v> </v>
      </c>
      <c r="J3909" s="25" t="str">
        <f>IF(OR(E3909="",E3909="!!!",F3909="NEW"),"",COUNTBLANK(OFFSET(A$1,,,SUMPRODUCT(MAX(ROW(E$2:E3909)*(E3909=E$2:E3909)))))-COUNTBLANK(OFFSET(A$1,,,SUMPRODUCT(MAX(ROW(E$1:E3908)*(E2=E$1:E3908))))))</f>
        <v> </v>
      </c>
      <c r="K3909" s="25" t="str">
        <f>IF(OR(E3909="",E3909="!!!",F3909="NEW"),"",INDEX(J$1:J3908,SUMPRODUCT(MAX(ROW(E$1:E3908)*(E3909=E$1:E3908)))))</f>
        <v> </v>
      </c>
      <c r="L3909" s="26"/>
    </row>
    <row r="3910" spans="1:12">
      <c r="A3910" s="20" t="s">
        <v>803</v>
      </c>
      <c r="E3910" s="21">
        <f>IF(D3910="?OLD","!!!","")</f>
        <v/>
      </c>
      <c r="F3910" s="22" t="str">
        <f>IF(OR(E3910="",E3910="!!!"),"",IF(NOT(ISNA(VLOOKUP(E3910,E$1:E3909,1,FALSE()))),"OLD",IF(AND(E3910&lt;&gt;"",E3910&lt;&gt;"!!!"),"NEW","")))</f>
        <v> </v>
      </c>
      <c r="G3910" s="23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4" t="str">
        <f>IF(J3910&lt;&gt;1,"",IF(I3910="SBJ","CB","?"))</f>
        <v> </v>
      </c>
      <c r="I3910" s="25" t="str">
        <f>IF(OR(E3910="",E3910="!!!",F3910="NEW"),"",INDEX(B3909:B$2,-1+SUMPRODUCT(MAX(ROW(E3909:E$2)*(E3910=E3909:E$2)))))</f>
        <v> </v>
      </c>
      <c r="J3910" s="25" t="str">
        <f>IF(OR(E3910="",E3910="!!!",F3910="NEW"),"",COUNTBLANK(OFFSET(A$1,,,SUMPRODUCT(MAX(ROW(E$2:E3910)*(E3910=E$2:E3910)))))-COUNTBLANK(OFFSET(A$1,,,SUMPRODUCT(MAX(ROW(E$1:E3909)*(E2=E$1:E3909))))))</f>
        <v> </v>
      </c>
      <c r="K3910" s="25" t="str">
        <f>IF(OR(E3910="",E3910="!!!",F3910="NEW"),"",INDEX(J$1:J3909,SUMPRODUCT(MAX(ROW(E$1:E3909)*(E3910=E$1:E3909)))))</f>
        <v> </v>
      </c>
      <c r="L3910" s="26"/>
    </row>
    <row r="3911" spans="1:12">
      <c r="A3911" s="20"/>
    </row>
    <row r="3912" spans="1:12">
      <c r="A3912" s="20" t="s">
        <v>2393</v>
      </c>
    </row>
    <row r="3913" spans="1:12">
      <c r="A3913" s="20" t="s">
        <v>1667</v>
      </c>
      <c r="E3913" s="21">
        <f>IF(D3913="?OLD","!!!","")</f>
        <v/>
      </c>
      <c r="F3913" s="22" t="str">
        <f>IF(OR(E3913="",E3913="!!!"),"",IF(NOT(ISNA(VLOOKUP(E3913,E$1:E3912,1,FALSE()))),"OLD",IF(AND(E3913&lt;&gt;"",E3913&lt;&gt;"!!!"),"NEW","")))</f>
        <v> </v>
      </c>
      <c r="G3913" s="23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4" t="str">
        <f>IF(J3913&lt;&gt;1,"",IF(I3913="SBJ","CB","?"))</f>
        <v> </v>
      </c>
      <c r="I3913" s="25" t="str">
        <f>IF(OR(E3913="",E3913="!!!",F3913="NEW"),"",INDEX(B3912:B$2,-1+SUMPRODUCT(MAX(ROW(E3912:E$2)*(E3913=E3912:E$2)))))</f>
        <v> </v>
      </c>
      <c r="J3913" s="25" t="str">
        <f>IF(OR(E3913="",E3913="!!!",F3913="NEW"),"",COUNTBLANK(OFFSET(A$1,,,SUMPRODUCT(MAX(ROW(E$2:E3913)*(E3913=E$2:E3913)))))-COUNTBLANK(OFFSET(A$1,,,SUMPRODUCT(MAX(ROW(E$1:E3912)*(E2=E$1:E3912))))))</f>
        <v> </v>
      </c>
      <c r="K3913" s="25" t="str">
        <f>IF(OR(E3913="",E3913="!!!",F3913="NEW"),"",INDEX(J$1:J3912,SUMPRODUCT(MAX(ROW(E$1:E3912)*(E3913=E$1:E3912)))))</f>
        <v> </v>
      </c>
      <c r="L3913" s="26"/>
    </row>
    <row r="3914" spans="1:12">
      <c r="A3914" s="20" t="s">
        <v>1310</v>
      </c>
      <c r="E3914" s="21">
        <f>IF(D3914="?OLD","!!!","")</f>
        <v/>
      </c>
      <c r="F3914" s="22" t="str">
        <f>IF(OR(E3914="",E3914="!!!"),"",IF(NOT(ISNA(VLOOKUP(E3914,E$1:E3913,1,FALSE()))),"OLD",IF(AND(E3914&lt;&gt;"",E3914&lt;&gt;"!!!"),"NEW","")))</f>
        <v> </v>
      </c>
      <c r="G3914" s="23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4" t="str">
        <f>IF(J3914&lt;&gt;1,"",IF(I3914="SBJ","CB","?"))</f>
        <v> </v>
      </c>
      <c r="I3914" s="25" t="str">
        <f>IF(OR(E3914="",E3914="!!!",F3914="NEW"),"",INDEX(B3913:B$2,-1+SUMPRODUCT(MAX(ROW(E3913:E$2)*(E3914=E3913:E$2)))))</f>
        <v> </v>
      </c>
      <c r="J3914" s="25" t="str">
        <f>IF(OR(E3914="",E3914="!!!",F3914="NEW"),"",COUNTBLANK(OFFSET(A$1,,,SUMPRODUCT(MAX(ROW(E$2:E3914)*(E3914=E$2:E3914)))))-COUNTBLANK(OFFSET(A$1,,,SUMPRODUCT(MAX(ROW(E$1:E3913)*(E2=E$1:E3913))))))</f>
        <v> </v>
      </c>
      <c r="K3914" s="25" t="str">
        <f>IF(OR(E3914="",E3914="!!!",F3914="NEW"),"",INDEX(J$1:J3913,SUMPRODUCT(MAX(ROW(E$1:E3913)*(E3914=E$1:E3913)))))</f>
        <v> </v>
      </c>
      <c r="L3914" s="26"/>
    </row>
    <row r="3915" spans="1:12">
      <c r="A3915" s="20" t="s">
        <v>46</v>
      </c>
      <c r="E3915" s="21">
        <f>IF(D3915="?OLD","!!!","")</f>
        <v/>
      </c>
      <c r="F3915" s="22" t="str">
        <f>IF(OR(E3915="",E3915="!!!"),"",IF(NOT(ISNA(VLOOKUP(E3915,E$1:E3914,1,FALSE()))),"OLD",IF(AND(E3915&lt;&gt;"",E3915&lt;&gt;"!!!"),"NEW","")))</f>
        <v> </v>
      </c>
      <c r="G3915" s="23" t="str">
        <f>IF(OR(E3915="",E3915="!!!"),"",IF(OR(J3915=0,AND(J3915=1,K3915=1),AND(J3915=1,I3915="SBJ"),AND(J3915=1,I3915=0)),"?IN_FOCUS",IF(J3915&lt;=2,"?ACTIVATED",IF(J3915&lt;&gt;"","?FAMILIAR",IF(F3915="NEW",IF(ISNA(VLOOKUP(E3915,#REF!,1,FALSE())),"?TYPE_IDENTIFIABLE","?REFERENTIAL"),"_")))))</f>
        <v> </v>
      </c>
      <c r="H3915" s="24" t="str">
        <f>IF(J3915&lt;&gt;1,"",IF(I3915="SBJ","CB","?"))</f>
        <v> </v>
      </c>
      <c r="I3915" s="25" t="str">
        <f>IF(OR(E3915="",E3915="!!!",F3915="NEW"),"",INDEX(B3914:B$2,-1+SUMPRODUCT(MAX(ROW(E3914:E$2)*(E3915=E3914:E$2)))))</f>
        <v> </v>
      </c>
      <c r="J3915" s="25" t="str">
        <f>IF(OR(E3915="",E3915="!!!",F3915="NEW"),"",COUNTBLANK(OFFSET(A$1,,,SUMPRODUCT(MAX(ROW(E$2:E3915)*(E3915=E$2:E3915)))))-COUNTBLANK(OFFSET(A$1,,,SUMPRODUCT(MAX(ROW(E$1:E3914)*(E2=E$1:E3914))))))</f>
        <v> </v>
      </c>
      <c r="K3915" s="25" t="str">
        <f>IF(OR(E3915="",E3915="!!!",F3915="NEW"),"",INDEX(J$1:J3914,SUMPRODUCT(MAX(ROW(E$1:E3914)*(E3915=E$1:E3914)))))</f>
        <v> </v>
      </c>
      <c r="L3915" s="26"/>
    </row>
    <row r="3916" spans="1:12">
      <c r="A3916" s="20" t="s">
        <v>893</v>
      </c>
      <c r="B3916" s="27" t="s">
        <v>842</v>
      </c>
      <c r="C3916" s="27" t="s">
        <v>1095</v>
      </c>
      <c r="D3916" s="27" t="s">
        <v>801</v>
      </c>
      <c r="E3916" s="21">
        <f>IF(D3916="?OLD","!!!","")</f>
        <v/>
      </c>
      <c r="F3916" s="22" t="str">
        <f>IF(OR(E3916="",E3916="!!!"),"",IF(NOT(ISNA(VLOOKUP(E3916,E$1:E3915,1,FALSE()))),"OLD",IF(AND(E3916&lt;&gt;"",E3916&lt;&gt;"!!!"),"NEW","")))</f>
        <v> </v>
      </c>
      <c r="G3916" s="23" t="str">
        <f>IF(OR(E3916="",E3916="!!!"),"",IF(OR(J3916=0,AND(J3916=1,K3916=1),AND(J3916=1,I3916="SBJ"),AND(J3916=1,I3916=0)),"?IN_FOCUS",IF(J3916&lt;=2,"?ACTIVATED",IF(J3916&lt;&gt;"","?FAMILIAR",IF(F3916="NEW",IF(ISNA(VLOOKUP(E3916,#REF!,1,FALSE())),"?TYPE_IDENTIFIABLE","?REFERENTIAL"),"_")))))</f>
        <v> </v>
      </c>
      <c r="H3916" s="24" t="str">
        <f>IF(J3916&lt;&gt;1,"",IF(I3916="SBJ","CB","?"))</f>
        <v> </v>
      </c>
      <c r="I3916" s="25" t="str">
        <f>IF(OR(E3916="",E3916="!!!",F3916="NEW"),"",INDEX(B3915:B$2,-1+SUMPRODUCT(MAX(ROW(E3915:E$2)*(E3916=E3915:E$2)))))</f>
        <v> </v>
      </c>
      <c r="J3916" s="25" t="str">
        <f>IF(OR(E3916="",E3916="!!!",F3916="NEW"),"",COUNTBLANK(OFFSET(A$1,,,SUMPRODUCT(MAX(ROW(E$2:E3916)*(E3916=E$2:E3916)))))-COUNTBLANK(OFFSET(A$1,,,SUMPRODUCT(MAX(ROW(E$1:E3915)*(E2=E$1:E3915))))))</f>
        <v> </v>
      </c>
      <c r="K3916" s="25" t="str">
        <f>IF(OR(E3916="",E3916="!!!",F3916="NEW"),"",INDEX(J$1:J3915,SUMPRODUCT(MAX(ROW(E$1:E3915)*(E3916=E$1:E3915)))))</f>
        <v> </v>
      </c>
      <c r="L3916" s="26"/>
    </row>
    <row r="3917" spans="1:12">
      <c r="A3917" s="20" t="s">
        <v>795</v>
      </c>
      <c r="E3917" s="21">
        <f>IF(D3917="?OLD","!!!","")</f>
        <v/>
      </c>
      <c r="F3917" s="22" t="str">
        <f>IF(OR(E3917="",E3917="!!!"),"",IF(NOT(ISNA(VLOOKUP(E3917,E$1:E3916,1,FALSE()))),"OLD",IF(AND(E3917&lt;&gt;"",E3917&lt;&gt;"!!!"),"NEW","")))</f>
        <v> </v>
      </c>
      <c r="G3917" s="23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4" t="str">
        <f>IF(J3917&lt;&gt;1,"",IF(I3917="SBJ","CB","?"))</f>
        <v> </v>
      </c>
      <c r="I3917" s="25" t="str">
        <f>IF(OR(E3917="",E3917="!!!",F3917="NEW"),"",INDEX(B3916:B$2,-1+SUMPRODUCT(MAX(ROW(E3916:E$2)*(E3917=E3916:E$2)))))</f>
        <v> </v>
      </c>
      <c r="J3917" s="25" t="str">
        <f>IF(OR(E3917="",E3917="!!!",F3917="NEW"),"",COUNTBLANK(OFFSET(A$1,,,SUMPRODUCT(MAX(ROW(E$2:E3917)*(E3917=E$2:E3917)))))-COUNTBLANK(OFFSET(A$1,,,SUMPRODUCT(MAX(ROW(E$1:E3916)*(E2=E$1:E3916))))))</f>
        <v> </v>
      </c>
      <c r="K3917" s="25" t="str">
        <f>IF(OR(E3917="",E3917="!!!",F3917="NEW"),"",INDEX(J$1:J3916,SUMPRODUCT(MAX(ROW(E$1:E3916)*(E3917=E$1:E3916)))))</f>
        <v> </v>
      </c>
      <c r="L3917" s="26"/>
    </row>
    <row r="3918" spans="1:12">
      <c r="A3918" s="20" t="s">
        <v>935</v>
      </c>
      <c r="B3918" s="27" t="s">
        <v>799</v>
      </c>
      <c r="C3918" s="27" t="s">
        <v>816</v>
      </c>
      <c r="D3918" s="27" t="s">
        <v>801</v>
      </c>
      <c r="E3918" s="21">
        <f>IF(D3918="?OLD","!!!","")</f>
        <v/>
      </c>
      <c r="F3918" s="22" t="str">
        <f>IF(OR(E3918="",E3918="!!!"),"",IF(NOT(ISNA(VLOOKUP(E3918,E$1:E3917,1,FALSE()))),"OLD",IF(AND(E3918&lt;&gt;"",E3918&lt;&gt;"!!!"),"NEW","")))</f>
        <v> </v>
      </c>
      <c r="G3918" s="23" t="str">
        <f>IF(OR(E3918="",E3918="!!!"),"",IF(OR(J3918=0,AND(J3918=1,K3918=1),AND(J3918=1,I3918="SBJ"),AND(J3918=1,I3918=0)),"?IN_FOCUS",IF(J3918&lt;=2,"?ACTIVATED",IF(J3918&lt;&gt;"","?FAMILIAR",IF(F3918="NEW",IF(ISNA(VLOOKUP(E3918,#REF!,1,FALSE())),"?TYPE_IDENTIFIABLE","?REFERENTIAL"),"_")))))</f>
        <v> </v>
      </c>
      <c r="H3918" s="24" t="str">
        <f>IF(J3918&lt;&gt;1,"",IF(I3918="SBJ","CB","?"))</f>
        <v> </v>
      </c>
      <c r="I3918" s="25" t="str">
        <f>IF(OR(E3918="",E3918="!!!",F3918="NEW"),"",INDEX(B3917:B$2,-1+SUMPRODUCT(MAX(ROW(E3917:E$2)*(E3918=E3917:E$2)))))</f>
        <v> </v>
      </c>
      <c r="J3918" s="25" t="str">
        <f>IF(OR(E3918="",E3918="!!!",F3918="NEW"),"",COUNTBLANK(OFFSET(A$1,,,SUMPRODUCT(MAX(ROW(E$2:E3918)*(E3918=E$2:E3918)))))-COUNTBLANK(OFFSET(A$1,,,SUMPRODUCT(MAX(ROW(E$1:E3917)*(E2=E$1:E3917))))))</f>
        <v> </v>
      </c>
      <c r="K3918" s="25" t="str">
        <f>IF(OR(E3918="",E3918="!!!",F3918="NEW"),"",INDEX(J$1:J3917,SUMPRODUCT(MAX(ROW(E$1:E3917)*(E3918=E$1:E3917)))))</f>
        <v> </v>
      </c>
      <c r="L3918" s="26"/>
    </row>
    <row r="3919" spans="1:12">
      <c r="A3919" s="20" t="s">
        <v>2394</v>
      </c>
      <c r="E3919" s="21">
        <f>IF(D3919="?OLD","!!!","")</f>
        <v/>
      </c>
      <c r="F3919" s="22" t="str">
        <f>IF(OR(E3919="",E3919="!!!"),"",IF(NOT(ISNA(VLOOKUP(E3919,E$1:E3918,1,FALSE()))),"OLD",IF(AND(E3919&lt;&gt;"",E3919&lt;&gt;"!!!"),"NEW","")))</f>
        <v> </v>
      </c>
      <c r="G3919" s="23" t="str">
        <f>IF(OR(E3919="",E3919="!!!"),"",IF(OR(J3919=0,AND(J3919=1,K3919=1),AND(J3919=1,I3919="SBJ"),AND(J3919=1,I3919=0)),"?IN_FOCUS",IF(J3919&lt;=2,"?ACTIVATED",IF(J3919&lt;&gt;"","?FAMILIAR",IF(F3919="NEW",IF(ISNA(VLOOKUP(E3919,#REF!,1,FALSE())),"?TYPE_IDENTIFIABLE","?REFERENTIAL"),"_")))))</f>
        <v> </v>
      </c>
      <c r="H3919" s="24" t="str">
        <f>IF(J3919&lt;&gt;1,"",IF(I3919="SBJ","CB","?"))</f>
        <v> </v>
      </c>
      <c r="I3919" s="25" t="str">
        <f>IF(OR(E3919="",E3919="!!!",F3919="NEW"),"",INDEX(B3918:B$2,-1+SUMPRODUCT(MAX(ROW(E3918:E$2)*(E3919=E3918:E$2)))))</f>
        <v> </v>
      </c>
      <c r="J3919" s="25" t="str">
        <f>IF(OR(E3919="",E3919="!!!",F3919="NEW"),"",COUNTBLANK(OFFSET(A$1,,,SUMPRODUCT(MAX(ROW(E$2:E3919)*(E3919=E$2:E3919)))))-COUNTBLANK(OFFSET(A$1,,,SUMPRODUCT(MAX(ROW(E$1:E3918)*(E2=E$1:E3918))))))</f>
        <v> </v>
      </c>
      <c r="K3919" s="25" t="str">
        <f>IF(OR(E3919="",E3919="!!!",F3919="NEW"),"",INDEX(J$1:J3918,SUMPRODUCT(MAX(ROW(E$1:E3918)*(E3919=E$1:E3918)))))</f>
        <v> </v>
      </c>
      <c r="L3919" s="26"/>
    </row>
    <row r="3920" spans="1:12">
      <c r="A3920" s="20" t="s">
        <v>825</v>
      </c>
      <c r="E3920" s="21">
        <f>IF(D3920="?OLD","!!!","")</f>
        <v/>
      </c>
      <c r="F3920" s="22" t="str">
        <f>IF(OR(E3920="",E3920="!!!"),"",IF(NOT(ISNA(VLOOKUP(E3920,E$1:E3919,1,FALSE()))),"OLD",IF(AND(E3920&lt;&gt;"",E3920&lt;&gt;"!!!"),"NEW","")))</f>
        <v> </v>
      </c>
      <c r="G3920" s="23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4" t="str">
        <f>IF(J3920&lt;&gt;1,"",IF(I3920="SBJ","CB","?"))</f>
        <v> </v>
      </c>
      <c r="I3920" s="25" t="str">
        <f>IF(OR(E3920="",E3920="!!!",F3920="NEW"),"",INDEX(B3919:B$2,-1+SUMPRODUCT(MAX(ROW(E3919:E$2)*(E3920=E3919:E$2)))))</f>
        <v> </v>
      </c>
      <c r="J3920" s="25" t="str">
        <f>IF(OR(E3920="",E3920="!!!",F3920="NEW"),"",COUNTBLANK(OFFSET(A$1,,,SUMPRODUCT(MAX(ROW(E$2:E3920)*(E3920=E$2:E3920)))))-COUNTBLANK(OFFSET(A$1,,,SUMPRODUCT(MAX(ROW(E$1:E3919)*(E2=E$1:E3919))))))</f>
        <v> </v>
      </c>
      <c r="K3920" s="25" t="str">
        <f>IF(OR(E3920="",E3920="!!!",F3920="NEW"),"",INDEX(J$1:J3919,SUMPRODUCT(MAX(ROW(E$1:E3919)*(E3920=E$1:E3919)))))</f>
        <v> </v>
      </c>
      <c r="L3920" s="26"/>
    </row>
    <row r="3921" spans="1:12">
      <c r="A3921" s="20" t="s">
        <v>2395</v>
      </c>
      <c r="E3921" s="21">
        <f>IF(D3921="?OLD","!!!","")</f>
        <v/>
      </c>
      <c r="F3921" s="22" t="str">
        <f>IF(OR(E3921="",E3921="!!!"),"",IF(NOT(ISNA(VLOOKUP(E3921,E$1:E3920,1,FALSE()))),"OLD",IF(AND(E3921&lt;&gt;"",E3921&lt;&gt;"!!!"),"NEW","")))</f>
        <v> </v>
      </c>
      <c r="G3921" s="23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4" t="str">
        <f>IF(J3921&lt;&gt;1,"",IF(I3921="SBJ","CB","?"))</f>
        <v> </v>
      </c>
      <c r="I3921" s="25" t="str">
        <f>IF(OR(E3921="",E3921="!!!",F3921="NEW"),"",INDEX(B3920:B$2,-1+SUMPRODUCT(MAX(ROW(E3920:E$2)*(E3921=E3920:E$2)))))</f>
        <v> </v>
      </c>
      <c r="J3921" s="25" t="str">
        <f>IF(OR(E3921="",E3921="!!!",F3921="NEW"),"",COUNTBLANK(OFFSET(A$1,,,SUMPRODUCT(MAX(ROW(E$2:E3921)*(E3921=E$2:E3921)))))-COUNTBLANK(OFFSET(A$1,,,SUMPRODUCT(MAX(ROW(E$1:E3920)*(E2=E$1:E3920))))))</f>
        <v> </v>
      </c>
      <c r="K3921" s="25" t="str">
        <f>IF(OR(E3921="",E3921="!!!",F3921="NEW"),"",INDEX(J$1:J3920,SUMPRODUCT(MAX(ROW(E$1:E3920)*(E3921=E$1:E3920)))))</f>
        <v> </v>
      </c>
      <c r="L3921" s="26"/>
    </row>
    <row r="3922" spans="1:12">
      <c r="A3922" s="20" t="s">
        <v>2396</v>
      </c>
      <c r="E3922" s="21">
        <f>IF(D3922="?OLD","!!!","")</f>
        <v/>
      </c>
      <c r="F3922" s="22" t="str">
        <f>IF(OR(E3922="",E3922="!!!"),"",IF(NOT(ISNA(VLOOKUP(E3922,E$1:E3921,1,FALSE()))),"OLD",IF(AND(E3922&lt;&gt;"",E3922&lt;&gt;"!!!"),"NEW","")))</f>
        <v> </v>
      </c>
      <c r="G3922" s="23" t="str">
        <f>IF(OR(E3922="",E3922="!!!"),"",IF(OR(J3922=0,AND(J3922=1,K3922=1),AND(J3922=1,I3922="SBJ"),AND(J3922=1,I3922=0)),"?IN_FOCUS",IF(J3922&lt;=2,"?ACTIVATED",IF(J3922&lt;&gt;"","?FAMILIAR",IF(F3922="NEW",IF(ISNA(VLOOKUP(E3922,#REF!,1,FALSE())),"?TYPE_IDENTIFIABLE","?REFERENTIAL"),"_")))))</f>
        <v> </v>
      </c>
      <c r="H3922" s="24" t="str">
        <f>IF(J3922&lt;&gt;1,"",IF(I3922="SBJ","CB","?"))</f>
        <v> </v>
      </c>
      <c r="I3922" s="25" t="str">
        <f>IF(OR(E3922="",E3922="!!!",F3922="NEW"),"",INDEX(B3921:B$2,-1+SUMPRODUCT(MAX(ROW(E3921:E$2)*(E3922=E3921:E$2)))))</f>
        <v> </v>
      </c>
      <c r="J3922" s="25" t="str">
        <f>IF(OR(E3922="",E3922="!!!",F3922="NEW"),"",COUNTBLANK(OFFSET(A$1,,,SUMPRODUCT(MAX(ROW(E$2:E3922)*(E3922=E$2:E3922)))))-COUNTBLANK(OFFSET(A$1,,,SUMPRODUCT(MAX(ROW(E$1:E3921)*(E2=E$1:E3921))))))</f>
        <v> </v>
      </c>
      <c r="K3922" s="25" t="str">
        <f>IF(OR(E3922="",E3922="!!!",F3922="NEW"),"",INDEX(J$1:J3921,SUMPRODUCT(MAX(ROW(E$1:E3921)*(E3922=E$1:E3921)))))</f>
        <v> </v>
      </c>
      <c r="L3922" s="26"/>
    </row>
    <row r="3923" spans="1:12">
      <c r="A3923" s="20" t="s">
        <v>2397</v>
      </c>
      <c r="E3923" s="21">
        <f>IF(D3923="?OLD","!!!","")</f>
        <v/>
      </c>
      <c r="F3923" s="22" t="str">
        <f>IF(OR(E3923="",E3923="!!!"),"",IF(NOT(ISNA(VLOOKUP(E3923,E$1:E3922,1,FALSE()))),"OLD",IF(AND(E3923&lt;&gt;"",E3923&lt;&gt;"!!!"),"NEW","")))</f>
        <v> </v>
      </c>
      <c r="G3923" s="23" t="str">
        <f>IF(OR(E3923="",E3923="!!!"),"",IF(OR(J3923=0,AND(J3923=1,K3923=1),AND(J3923=1,I3923="SBJ"),AND(J3923=1,I3923=0)),"?IN_FOCUS",IF(J3923&lt;=2,"?ACTIVATED",IF(J3923&lt;&gt;"","?FAMILIAR",IF(F3923="NEW",IF(ISNA(VLOOKUP(E3923,#REF!,1,FALSE())),"?TYPE_IDENTIFIABLE","?REFERENTIAL"),"_")))))</f>
        <v> </v>
      </c>
      <c r="H3923" s="24" t="str">
        <f>IF(J3923&lt;&gt;1,"",IF(I3923="SBJ","CB","?"))</f>
        <v> </v>
      </c>
      <c r="I3923" s="25" t="str">
        <f>IF(OR(E3923="",E3923="!!!",F3923="NEW"),"",INDEX(B3922:B$2,-1+SUMPRODUCT(MAX(ROW(E3922:E$2)*(E3923=E3922:E$2)))))</f>
        <v> </v>
      </c>
      <c r="J3923" s="25" t="str">
        <f>IF(OR(E3923="",E3923="!!!",F3923="NEW"),"",COUNTBLANK(OFFSET(A$1,,,SUMPRODUCT(MAX(ROW(E$2:E3923)*(E3923=E$2:E3923)))))-COUNTBLANK(OFFSET(A$1,,,SUMPRODUCT(MAX(ROW(E$1:E3922)*(E2=E$1:E3922))))))</f>
        <v> </v>
      </c>
      <c r="K3923" s="25" t="str">
        <f>IF(OR(E3923="",E3923="!!!",F3923="NEW"),"",INDEX(J$1:J3922,SUMPRODUCT(MAX(ROW(E$1:E3922)*(E3923=E$1:E3922)))))</f>
        <v> </v>
      </c>
      <c r="L3923" s="26"/>
    </row>
    <row r="3924" spans="1:12">
      <c r="A3924" s="20" t="s">
        <v>2398</v>
      </c>
      <c r="E3924" s="21">
        <f>IF(D3924="?OLD","!!!","")</f>
        <v/>
      </c>
      <c r="F3924" s="22" t="str">
        <f>IF(OR(E3924="",E3924="!!!"),"",IF(NOT(ISNA(VLOOKUP(E3924,E$1:E3923,1,FALSE()))),"OLD",IF(AND(E3924&lt;&gt;"",E3924&lt;&gt;"!!!"),"NEW","")))</f>
        <v> </v>
      </c>
      <c r="G3924" s="23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4" t="str">
        <f>IF(J3924&lt;&gt;1,"",IF(I3924="SBJ","CB","?"))</f>
        <v> </v>
      </c>
      <c r="I3924" s="25" t="str">
        <f>IF(OR(E3924="",E3924="!!!",F3924="NEW"),"",INDEX(B3923:B$2,-1+SUMPRODUCT(MAX(ROW(E3923:E$2)*(E3924=E3923:E$2)))))</f>
        <v> </v>
      </c>
      <c r="J3924" s="25" t="str">
        <f>IF(OR(E3924="",E3924="!!!",F3924="NEW"),"",COUNTBLANK(OFFSET(A$1,,,SUMPRODUCT(MAX(ROW(E$2:E3924)*(E3924=E$2:E3924)))))-COUNTBLANK(OFFSET(A$1,,,SUMPRODUCT(MAX(ROW(E$1:E3923)*(E2=E$1:E3923))))))</f>
        <v> </v>
      </c>
      <c r="K3924" s="25" t="str">
        <f>IF(OR(E3924="",E3924="!!!",F3924="NEW"),"",INDEX(J$1:J3923,SUMPRODUCT(MAX(ROW(E$1:E3923)*(E3924=E$1:E3923)))))</f>
        <v> </v>
      </c>
      <c r="L3924" s="26"/>
    </row>
    <row r="3925" spans="1:12">
      <c r="A3925" s="20" t="s">
        <v>2399</v>
      </c>
      <c r="E3925" s="21">
        <f>IF(D3925="?OLD","!!!","")</f>
        <v/>
      </c>
      <c r="F3925" s="22" t="str">
        <f>IF(OR(E3925="",E3925="!!!"),"",IF(NOT(ISNA(VLOOKUP(E3925,E$1:E3924,1,FALSE()))),"OLD",IF(AND(E3925&lt;&gt;"",E3925&lt;&gt;"!!!"),"NEW","")))</f>
        <v> </v>
      </c>
      <c r="G3925" s="23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4" t="str">
        <f>IF(J3925&lt;&gt;1,"",IF(I3925="SBJ","CB","?"))</f>
        <v> </v>
      </c>
      <c r="I3925" s="25" t="str">
        <f>IF(OR(E3925="",E3925="!!!",F3925="NEW"),"",INDEX(B3924:B$2,-1+SUMPRODUCT(MAX(ROW(E3924:E$2)*(E3925=E3924:E$2)))))</f>
        <v> </v>
      </c>
      <c r="J3925" s="25" t="str">
        <f>IF(OR(E3925="",E3925="!!!",F3925="NEW"),"",COUNTBLANK(OFFSET(A$1,,,SUMPRODUCT(MAX(ROW(E$2:E3925)*(E3925=E$2:E3925)))))-COUNTBLANK(OFFSET(A$1,,,SUMPRODUCT(MAX(ROW(E$1:E3924)*(E2=E$1:E3924))))))</f>
        <v> </v>
      </c>
      <c r="K3925" s="25" t="str">
        <f>IF(OR(E3925="",E3925="!!!",F3925="NEW"),"",INDEX(J$1:J3924,SUMPRODUCT(MAX(ROW(E$1:E3924)*(E3925=E$1:E3924)))))</f>
        <v> </v>
      </c>
      <c r="L3925" s="26"/>
    </row>
    <row r="3926" spans="1:12">
      <c r="A3926" s="20" t="s">
        <v>795</v>
      </c>
      <c r="E3926" s="21">
        <f>IF(D3926="?OLD","!!!","")</f>
        <v/>
      </c>
      <c r="F3926" s="22" t="str">
        <f>IF(OR(E3926="",E3926="!!!"),"",IF(NOT(ISNA(VLOOKUP(E3926,E$1:E3925,1,FALSE()))),"OLD",IF(AND(E3926&lt;&gt;"",E3926&lt;&gt;"!!!"),"NEW","")))</f>
        <v> </v>
      </c>
      <c r="G3926" s="23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4" t="str">
        <f>IF(J3926&lt;&gt;1,"",IF(I3926="SBJ","CB","?"))</f>
        <v> </v>
      </c>
      <c r="I3926" s="25" t="str">
        <f>IF(OR(E3926="",E3926="!!!",F3926="NEW"),"",INDEX(B3925:B$2,-1+SUMPRODUCT(MAX(ROW(E3925:E$2)*(E3926=E3925:E$2)))))</f>
        <v> </v>
      </c>
      <c r="J3926" s="25" t="str">
        <f>IF(OR(E3926="",E3926="!!!",F3926="NEW"),"",COUNTBLANK(OFFSET(A$1,,,SUMPRODUCT(MAX(ROW(E$2:E3926)*(E3926=E$2:E3926)))))-COUNTBLANK(OFFSET(A$1,,,SUMPRODUCT(MAX(ROW(E$1:E3925)*(E2=E$1:E3925))))))</f>
        <v> </v>
      </c>
      <c r="K3926" s="25" t="str">
        <f>IF(OR(E3926="",E3926="!!!",F3926="NEW"),"",INDEX(J$1:J3925,SUMPRODUCT(MAX(ROW(E$1:E3925)*(E3926=E$1:E3925)))))</f>
        <v> </v>
      </c>
      <c r="L3926" s="26"/>
    </row>
    <row r="3927" spans="1:12">
      <c r="A3927" s="20" t="s">
        <v>1887</v>
      </c>
      <c r="B3927" s="27" t="s">
        <v>878</v>
      </c>
      <c r="C3927" s="27" t="s">
        <v>879</v>
      </c>
      <c r="E3927" s="21">
        <f>IF(D3927="?OLD","!!!","")</f>
        <v/>
      </c>
      <c r="F3927" s="22" t="str">
        <f>IF(OR(E3927="",E3927="!!!"),"",IF(NOT(ISNA(VLOOKUP(E3927,E$1:E3926,1,FALSE()))),"OLD",IF(AND(E3927&lt;&gt;"",E3927&lt;&gt;"!!!"),"NEW","")))</f>
        <v> </v>
      </c>
      <c r="G3927" s="23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4" t="str">
        <f>IF(J3927&lt;&gt;1,"",IF(I3927="SBJ","CB","?"))</f>
        <v> </v>
      </c>
      <c r="I3927" s="25" t="str">
        <f>IF(OR(E3927="",E3927="!!!",F3927="NEW"),"",INDEX(B3926:B$2,-1+SUMPRODUCT(MAX(ROW(E3926:E$2)*(E3927=E3926:E$2)))))</f>
        <v> </v>
      </c>
      <c r="J3927" s="25" t="str">
        <f>IF(OR(E3927="",E3927="!!!",F3927="NEW"),"",COUNTBLANK(OFFSET(A$1,,,SUMPRODUCT(MAX(ROW(E$2:E3927)*(E3927=E$2:E3927)))))-COUNTBLANK(OFFSET(A$1,,,SUMPRODUCT(MAX(ROW(E$1:E3926)*(E2=E$1:E3926))))))</f>
        <v> </v>
      </c>
      <c r="K3927" s="25" t="str">
        <f>IF(OR(E3927="",E3927="!!!",F3927="NEW"),"",INDEX(J$1:J3926,SUMPRODUCT(MAX(ROW(E$1:E3926)*(E3927=E$1:E3926)))))</f>
        <v> </v>
      </c>
      <c r="L3927" s="26"/>
    </row>
    <row r="3928" spans="1:12">
      <c r="A3928" s="20" t="s">
        <v>795</v>
      </c>
      <c r="E3928" s="21">
        <f>IF(D3928="?OLD","!!!","")</f>
        <v/>
      </c>
      <c r="F3928" s="22" t="str">
        <f>IF(OR(E3928="",E3928="!!!"),"",IF(NOT(ISNA(VLOOKUP(E3928,E$1:E3927,1,FALSE()))),"OLD",IF(AND(E3928&lt;&gt;"",E3928&lt;&gt;"!!!"),"NEW","")))</f>
        <v> </v>
      </c>
      <c r="G3928" s="23" t="str">
        <f>IF(OR(E3928="",E3928="!!!"),"",IF(OR(J3928=0,AND(J3928=1,K3928=1),AND(J3928=1,I3928="SBJ"),AND(J3928=1,I3928=0)),"?IN_FOCUS",IF(J3928&lt;=2,"?ACTIVATED",IF(J3928&lt;&gt;"","?FAMILIAR",IF(F3928="NEW",IF(ISNA(VLOOKUP(E3928,#REF!,1,FALSE())),"?TYPE_IDENTIFIABLE","?REFERENTIAL"),"_")))))</f>
        <v> </v>
      </c>
      <c r="H3928" s="24" t="str">
        <f>IF(J3928&lt;&gt;1,"",IF(I3928="SBJ","CB","?"))</f>
        <v> </v>
      </c>
      <c r="I3928" s="25" t="str">
        <f>IF(OR(E3928="",E3928="!!!",F3928="NEW"),"",INDEX(B3927:B$2,-1+SUMPRODUCT(MAX(ROW(E3927:E$2)*(E3928=E3927:E$2)))))</f>
        <v> </v>
      </c>
      <c r="J3928" s="25" t="str">
        <f>IF(OR(E3928="",E3928="!!!",F3928="NEW"),"",COUNTBLANK(OFFSET(A$1,,,SUMPRODUCT(MAX(ROW(E$2:E3928)*(E3928=E$2:E3928)))))-COUNTBLANK(OFFSET(A$1,,,SUMPRODUCT(MAX(ROW(E$1:E3927)*(E2=E$1:E3927))))))</f>
        <v> </v>
      </c>
      <c r="K3928" s="25" t="str">
        <f>IF(OR(E3928="",E3928="!!!",F3928="NEW"),"",INDEX(J$1:J3927,SUMPRODUCT(MAX(ROW(E$1:E3927)*(E3928=E$1:E3927)))))</f>
        <v> </v>
      </c>
      <c r="L3928" s="26"/>
    </row>
    <row r="3929" spans="1:12">
      <c r="A3929" s="20" t="s">
        <v>822</v>
      </c>
      <c r="E3929" s="21">
        <f>IF(D3929="?OLD","!!!","")</f>
        <v/>
      </c>
      <c r="F3929" s="22" t="str">
        <f>IF(OR(E3929="",E3929="!!!"),"",IF(NOT(ISNA(VLOOKUP(E3929,E$1:E3928,1,FALSE()))),"OLD",IF(AND(E3929&lt;&gt;"",E3929&lt;&gt;"!!!"),"NEW","")))</f>
        <v> </v>
      </c>
      <c r="G3929" s="23" t="str">
        <f>IF(OR(E3929="",E3929="!!!"),"",IF(OR(J3929=0,AND(J3929=1,K3929=1),AND(J3929=1,I3929="SBJ"),AND(J3929=1,I3929=0)),"?IN_FOCUS",IF(J3929&lt;=2,"?ACTIVATED",IF(J3929&lt;&gt;"","?FAMILIAR",IF(F3929="NEW",IF(ISNA(VLOOKUP(E3929,#REF!,1,FALSE())),"?TYPE_IDENTIFIABLE","?REFERENTIAL"),"_")))))</f>
        <v> </v>
      </c>
      <c r="H3929" s="24" t="str">
        <f>IF(J3929&lt;&gt;1,"",IF(I3929="SBJ","CB","?"))</f>
        <v> </v>
      </c>
      <c r="I3929" s="25" t="str">
        <f>IF(OR(E3929="",E3929="!!!",F3929="NEW"),"",INDEX(B3928:B$2,-1+SUMPRODUCT(MAX(ROW(E3928:E$2)*(E3929=E3928:E$2)))))</f>
        <v> </v>
      </c>
      <c r="J3929" s="25" t="str">
        <f>IF(OR(E3929="",E3929="!!!",F3929="NEW"),"",COUNTBLANK(OFFSET(A$1,,,SUMPRODUCT(MAX(ROW(E$2:E3929)*(E3929=E$2:E3929)))))-COUNTBLANK(OFFSET(A$1,,,SUMPRODUCT(MAX(ROW(E$1:E3928)*(E2=E$1:E3928))))))</f>
        <v> </v>
      </c>
      <c r="K3929" s="25" t="str">
        <f>IF(OR(E3929="",E3929="!!!",F3929="NEW"),"",INDEX(J$1:J3928,SUMPRODUCT(MAX(ROW(E$1:E3928)*(E3929=E$1:E3928)))))</f>
        <v> </v>
      </c>
      <c r="L3929" s="26"/>
    </row>
    <row r="3930" spans="1:12">
      <c r="A3930" s="20" t="s">
        <v>935</v>
      </c>
      <c r="B3930" s="27" t="s">
        <v>1179</v>
      </c>
      <c r="C3930" s="27" t="s">
        <v>816</v>
      </c>
      <c r="D3930" s="27" t="s">
        <v>801</v>
      </c>
      <c r="E3930" s="21">
        <f>IF(D3930="?OLD","!!!","")</f>
        <v/>
      </c>
      <c r="F3930" s="22" t="str">
        <f>IF(OR(E3930="",E3930="!!!"),"",IF(NOT(ISNA(VLOOKUP(E3930,E$1:E3929,1,FALSE()))),"OLD",IF(AND(E3930&lt;&gt;"",E3930&lt;&gt;"!!!"),"NEW","")))</f>
        <v> </v>
      </c>
      <c r="G3930" s="23" t="str">
        <f>IF(OR(E3930="",E3930="!!!"),"",IF(OR(J3930=0,AND(J3930=1,K3930=1),AND(J3930=1,I3930="SBJ"),AND(J3930=1,I3930=0)),"?IN_FOCUS",IF(J3930&lt;=2,"?ACTIVATED",IF(J3930&lt;&gt;"","?FAMILIAR",IF(F3930="NEW",IF(ISNA(VLOOKUP(E3930,#REF!,1,FALSE())),"?TYPE_IDENTIFIABLE","?REFERENTIAL"),"_")))))</f>
        <v> </v>
      </c>
      <c r="H3930" s="24" t="str">
        <f>IF(J3930&lt;&gt;1,"",IF(I3930="SBJ","CB","?"))</f>
        <v> </v>
      </c>
      <c r="I3930" s="25" t="str">
        <f>IF(OR(E3930="",E3930="!!!",F3930="NEW"),"",INDEX(B3929:B$2,-1+SUMPRODUCT(MAX(ROW(E3929:E$2)*(E3930=E3929:E$2)))))</f>
        <v> </v>
      </c>
      <c r="J3930" s="25" t="str">
        <f>IF(OR(E3930="",E3930="!!!",F3930="NEW"),"",COUNTBLANK(OFFSET(A$1,,,SUMPRODUCT(MAX(ROW(E$2:E3930)*(E3930=E$2:E3930)))))-COUNTBLANK(OFFSET(A$1,,,SUMPRODUCT(MAX(ROW(E$1:E3929)*(E2=E$1:E3929))))))</f>
        <v> </v>
      </c>
      <c r="K3930" s="25" t="str">
        <f>IF(OR(E3930="",E3930="!!!",F3930="NEW"),"",INDEX(J$1:J3929,SUMPRODUCT(MAX(ROW(E$1:E3929)*(E3930=E$1:E3929)))))</f>
        <v> </v>
      </c>
      <c r="L3930" s="26"/>
    </row>
    <row r="3931" spans="1:12">
      <c r="A3931" s="20" t="s">
        <v>2400</v>
      </c>
      <c r="E3931" s="21">
        <f>IF(D3931="?OLD","!!!","")</f>
        <v/>
      </c>
      <c r="F3931" s="22" t="str">
        <f>IF(OR(E3931="",E3931="!!!"),"",IF(NOT(ISNA(VLOOKUP(E3931,E$1:E3930,1,FALSE()))),"OLD",IF(AND(E3931&lt;&gt;"",E3931&lt;&gt;"!!!"),"NEW","")))</f>
        <v> </v>
      </c>
      <c r="G3931" s="23" t="str">
        <f>IF(OR(E3931="",E3931="!!!"),"",IF(OR(J3931=0,AND(J3931=1,K3931=1),AND(J3931=1,I3931="SBJ"),AND(J3931=1,I3931=0)),"?IN_FOCUS",IF(J3931&lt;=2,"?ACTIVATED",IF(J3931&lt;&gt;"","?FAMILIAR",IF(F3931="NEW",IF(ISNA(VLOOKUP(E3931,#REF!,1,FALSE())),"?TYPE_IDENTIFIABLE","?REFERENTIAL"),"_")))))</f>
        <v> </v>
      </c>
      <c r="H3931" s="24" t="str">
        <f>IF(J3931&lt;&gt;1,"",IF(I3931="SBJ","CB","?"))</f>
        <v> </v>
      </c>
      <c r="I3931" s="25" t="str">
        <f>IF(OR(E3931="",E3931="!!!",F3931="NEW"),"",INDEX(B3930:B$2,-1+SUMPRODUCT(MAX(ROW(E3930:E$2)*(E3931=E3930:E$2)))))</f>
        <v> </v>
      </c>
      <c r="J3931" s="25" t="str">
        <f>IF(OR(E3931="",E3931="!!!",F3931="NEW"),"",COUNTBLANK(OFFSET(A$1,,,SUMPRODUCT(MAX(ROW(E$2:E3931)*(E3931=E$2:E3931)))))-COUNTBLANK(OFFSET(A$1,,,SUMPRODUCT(MAX(ROW(E$1:E3930)*(E2=E$1:E3930))))))</f>
        <v> </v>
      </c>
      <c r="K3931" s="25" t="str">
        <f>IF(OR(E3931="",E3931="!!!",F3931="NEW"),"",INDEX(J$1:J3930,SUMPRODUCT(MAX(ROW(E$1:E3930)*(E3931=E$1:E3930)))))</f>
        <v> </v>
      </c>
      <c r="L3931" s="26"/>
    </row>
    <row r="3932" spans="1:12">
      <c r="A3932" s="20" t="s">
        <v>795</v>
      </c>
      <c r="E3932" s="21">
        <f>IF(D3932="?OLD","!!!","")</f>
        <v/>
      </c>
      <c r="F3932" s="22" t="str">
        <f>IF(OR(E3932="",E3932="!!!"),"",IF(NOT(ISNA(VLOOKUP(E3932,E$1:E3931,1,FALSE()))),"OLD",IF(AND(E3932&lt;&gt;"",E3932&lt;&gt;"!!!"),"NEW","")))</f>
        <v> </v>
      </c>
      <c r="G3932" s="23" t="str">
        <f>IF(OR(E3932="",E3932="!!!"),"",IF(OR(J3932=0,AND(J3932=1,K3932=1),AND(J3932=1,I3932="SBJ"),AND(J3932=1,I3932=0)),"?IN_FOCUS",IF(J3932&lt;=2,"?ACTIVATED",IF(J3932&lt;&gt;"","?FAMILIAR",IF(F3932="NEW",IF(ISNA(VLOOKUP(E3932,#REF!,1,FALSE())),"?TYPE_IDENTIFIABLE","?REFERENTIAL"),"_")))))</f>
        <v> </v>
      </c>
      <c r="H3932" s="24" t="str">
        <f>IF(J3932&lt;&gt;1,"",IF(I3932="SBJ","CB","?"))</f>
        <v> </v>
      </c>
      <c r="I3932" s="25" t="str">
        <f>IF(OR(E3932="",E3932="!!!",F3932="NEW"),"",INDEX(B3931:B$2,-1+SUMPRODUCT(MAX(ROW(E3931:E$2)*(E3932=E3931:E$2)))))</f>
        <v> </v>
      </c>
      <c r="J3932" s="25" t="str">
        <f>IF(OR(E3932="",E3932="!!!",F3932="NEW"),"",COUNTBLANK(OFFSET(A$1,,,SUMPRODUCT(MAX(ROW(E$2:E3932)*(E3932=E$2:E3932)))))-COUNTBLANK(OFFSET(A$1,,,SUMPRODUCT(MAX(ROW(E$1:E3931)*(E2=E$1:E3931))))))</f>
        <v> </v>
      </c>
      <c r="K3932" s="25" t="str">
        <f>IF(OR(E3932="",E3932="!!!",F3932="NEW"),"",INDEX(J$1:J3931,SUMPRODUCT(MAX(ROW(E$1:E3931)*(E3932=E$1:E3931)))))</f>
        <v> </v>
      </c>
      <c r="L3932" s="26"/>
    </row>
    <row r="3933" spans="1:12">
      <c r="A3933" s="20" t="s">
        <v>2401</v>
      </c>
      <c r="E3933" s="21">
        <f>IF(D3933="?OLD","!!!","")</f>
        <v/>
      </c>
      <c r="F3933" s="22" t="str">
        <f>IF(OR(E3933="",E3933="!!!"),"",IF(NOT(ISNA(VLOOKUP(E3933,E$1:E3932,1,FALSE()))),"OLD",IF(AND(E3933&lt;&gt;"",E3933&lt;&gt;"!!!"),"NEW","")))</f>
        <v> </v>
      </c>
      <c r="G3933" s="23" t="str">
        <f>IF(OR(E3933="",E3933="!!!"),"",IF(OR(J3933=0,AND(J3933=1,K3933=1),AND(J3933=1,I3933="SBJ"),AND(J3933=1,I3933=0)),"?IN_FOCUS",IF(J3933&lt;=2,"?ACTIVATED",IF(J3933&lt;&gt;"","?FAMILIAR",IF(F3933="NEW",IF(ISNA(VLOOKUP(E3933,#REF!,1,FALSE())),"?TYPE_IDENTIFIABLE","?REFERENTIAL"),"_")))))</f>
        <v> </v>
      </c>
      <c r="H3933" s="24" t="str">
        <f>IF(J3933&lt;&gt;1,"",IF(I3933="SBJ","CB","?"))</f>
        <v> </v>
      </c>
      <c r="I3933" s="25" t="str">
        <f>IF(OR(E3933="",E3933="!!!",F3933="NEW"),"",INDEX(B3932:B$2,-1+SUMPRODUCT(MAX(ROW(E3932:E$2)*(E3933=E3932:E$2)))))</f>
        <v> </v>
      </c>
      <c r="J3933" s="25" t="str">
        <f>IF(OR(E3933="",E3933="!!!",F3933="NEW"),"",COUNTBLANK(OFFSET(A$1,,,SUMPRODUCT(MAX(ROW(E$2:E3933)*(E3933=E$2:E3933)))))-COUNTBLANK(OFFSET(A$1,,,SUMPRODUCT(MAX(ROW(E$1:E3932)*(E2=E$1:E3932))))))</f>
        <v> </v>
      </c>
      <c r="K3933" s="25" t="str">
        <f>IF(OR(E3933="",E3933="!!!",F3933="NEW"),"",INDEX(J$1:J3932,SUMPRODUCT(MAX(ROW(E$1:E3932)*(E3933=E$1:E3932)))))</f>
        <v> </v>
      </c>
      <c r="L3933" s="26"/>
    </row>
    <row r="3934" spans="1:12">
      <c r="A3934" s="20" t="s">
        <v>2402</v>
      </c>
      <c r="E3934" s="21">
        <f>IF(D3934="?OLD","!!!","")</f>
        <v/>
      </c>
      <c r="F3934" s="22" t="str">
        <f>IF(OR(E3934="",E3934="!!!"),"",IF(NOT(ISNA(VLOOKUP(E3934,E$1:E3933,1,FALSE()))),"OLD",IF(AND(E3934&lt;&gt;"",E3934&lt;&gt;"!!!"),"NEW","")))</f>
        <v> </v>
      </c>
      <c r="G3934" s="23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4" t="str">
        <f>IF(J3934&lt;&gt;1,"",IF(I3934="SBJ","CB","?"))</f>
        <v> </v>
      </c>
      <c r="I3934" s="25" t="str">
        <f>IF(OR(E3934="",E3934="!!!",F3934="NEW"),"",INDEX(B3933:B$2,-1+SUMPRODUCT(MAX(ROW(E3933:E$2)*(E3934=E3933:E$2)))))</f>
        <v> </v>
      </c>
      <c r="J3934" s="25" t="str">
        <f>IF(OR(E3934="",E3934="!!!",F3934="NEW"),"",COUNTBLANK(OFFSET(A$1,,,SUMPRODUCT(MAX(ROW(E$2:E3934)*(E3934=E$2:E3934)))))-COUNTBLANK(OFFSET(A$1,,,SUMPRODUCT(MAX(ROW(E$1:E3933)*(E2=E$1:E3933))))))</f>
        <v> </v>
      </c>
      <c r="K3934" s="25" t="str">
        <f>IF(OR(E3934="",E3934="!!!",F3934="NEW"),"",INDEX(J$1:J3933,SUMPRODUCT(MAX(ROW(E$1:E3933)*(E3934=E$1:E3933)))))</f>
        <v> </v>
      </c>
      <c r="L3934" s="26"/>
    </row>
    <row r="3935" spans="1:12">
      <c r="A3935" s="20" t="s">
        <v>946</v>
      </c>
      <c r="E3935" s="21">
        <f>IF(D3935="?OLD","!!!","")</f>
        <v/>
      </c>
      <c r="F3935" s="22" t="str">
        <f>IF(OR(E3935="",E3935="!!!"),"",IF(NOT(ISNA(VLOOKUP(E3935,E$1:E3934,1,FALSE()))),"OLD",IF(AND(E3935&lt;&gt;"",E3935&lt;&gt;"!!!"),"NEW","")))</f>
        <v> </v>
      </c>
      <c r="G3935" s="23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4" t="str">
        <f>IF(J3935&lt;&gt;1,"",IF(I3935="SBJ","CB","?"))</f>
        <v> </v>
      </c>
      <c r="I3935" s="25" t="str">
        <f>IF(OR(E3935="",E3935="!!!",F3935="NEW"),"",INDEX(B3934:B$2,-1+SUMPRODUCT(MAX(ROW(E3934:E$2)*(E3935=E3934:E$2)))))</f>
        <v> </v>
      </c>
      <c r="J3935" s="25" t="str">
        <f>IF(OR(E3935="",E3935="!!!",F3935="NEW"),"",COUNTBLANK(OFFSET(A$1,,,SUMPRODUCT(MAX(ROW(E$2:E3935)*(E3935=E$2:E3935)))))-COUNTBLANK(OFFSET(A$1,,,SUMPRODUCT(MAX(ROW(E$1:E3934)*(E2=E$1:E3934))))))</f>
        <v> </v>
      </c>
      <c r="K3935" s="25" t="str">
        <f>IF(OR(E3935="",E3935="!!!",F3935="NEW"),"",INDEX(J$1:J3934,SUMPRODUCT(MAX(ROW(E$1:E3934)*(E3935=E$1:E3934)))))</f>
        <v> </v>
      </c>
      <c r="L3935" s="26"/>
    </row>
    <row r="3936" spans="1:12">
      <c r="A3936" s="20" t="s">
        <v>2403</v>
      </c>
      <c r="B3936" s="27" t="s">
        <v>1094</v>
      </c>
      <c r="E3936" s="21">
        <f>IF(D3936="?OLD","!!!","")</f>
        <v/>
      </c>
      <c r="F3936" s="22" t="str">
        <f>IF(OR(E3936="",E3936="!!!"),"",IF(NOT(ISNA(VLOOKUP(E3936,E$1:E3935,1,FALSE()))),"OLD",IF(AND(E3936&lt;&gt;"",E3936&lt;&gt;"!!!"),"NEW","")))</f>
        <v> </v>
      </c>
      <c r="G3936" s="23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4" t="str">
        <f>IF(J3936&lt;&gt;1,"",IF(I3936="SBJ","CB","?"))</f>
        <v> </v>
      </c>
      <c r="I3936" s="25" t="str">
        <f>IF(OR(E3936="",E3936="!!!",F3936="NEW"),"",INDEX(B3935:B$2,-1+SUMPRODUCT(MAX(ROW(E3935:E$2)*(E3936=E3935:E$2)))))</f>
        <v> </v>
      </c>
      <c r="J3936" s="25" t="str">
        <f>IF(OR(E3936="",E3936="!!!",F3936="NEW"),"",COUNTBLANK(OFFSET(A$1,,,SUMPRODUCT(MAX(ROW(E$2:E3936)*(E3936=E$2:E3936)))))-COUNTBLANK(OFFSET(A$1,,,SUMPRODUCT(MAX(ROW(E$1:E3935)*(E2=E$1:E3935))))))</f>
        <v> </v>
      </c>
      <c r="K3936" s="25" t="str">
        <f>IF(OR(E3936="",E3936="!!!",F3936="NEW"),"",INDEX(J$1:J3935,SUMPRODUCT(MAX(ROW(E$1:E3935)*(E3936=E$1:E3935)))))</f>
        <v> </v>
      </c>
      <c r="L3936" s="26"/>
    </row>
    <row r="3937" spans="1:12">
      <c r="A3937" s="20" t="s">
        <v>803</v>
      </c>
      <c r="E3937" s="21">
        <f>IF(D3937="?OLD","!!!","")</f>
        <v/>
      </c>
      <c r="F3937" s="22" t="str">
        <f>IF(OR(E3937="",E3937="!!!"),"",IF(NOT(ISNA(VLOOKUP(E3937,E$1:E3936,1,FALSE()))),"OLD",IF(AND(E3937&lt;&gt;"",E3937&lt;&gt;"!!!"),"NEW","")))</f>
        <v> </v>
      </c>
      <c r="G3937" s="23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4" t="str">
        <f>IF(J3937&lt;&gt;1,"",IF(I3937="SBJ","CB","?"))</f>
        <v> </v>
      </c>
      <c r="I3937" s="25" t="str">
        <f>IF(OR(E3937="",E3937="!!!",F3937="NEW"),"",INDEX(B3936:B$2,-1+SUMPRODUCT(MAX(ROW(E3936:E$2)*(E3937=E3936:E$2)))))</f>
        <v> </v>
      </c>
      <c r="J3937" s="25" t="str">
        <f>IF(OR(E3937="",E3937="!!!",F3937="NEW"),"",COUNTBLANK(OFFSET(A$1,,,SUMPRODUCT(MAX(ROW(E$2:E3937)*(E3937=E$2:E3937)))))-COUNTBLANK(OFFSET(A$1,,,SUMPRODUCT(MAX(ROW(E$1:E3936)*(E2=E$1:E3936))))))</f>
        <v> </v>
      </c>
      <c r="K3937" s="25" t="str">
        <f>IF(OR(E3937="",E3937="!!!",F3937="NEW"),"",INDEX(J$1:J3936,SUMPRODUCT(MAX(ROW(E$1:E3936)*(E3937=E$1:E3936)))))</f>
        <v> </v>
      </c>
      <c r="L3937" s="26"/>
    </row>
    <row r="3938" spans="1:12">
      <c r="A3938" s="20"/>
    </row>
    <row r="3939" spans="1:12">
      <c r="A3939" s="20" t="s">
        <v>2404</v>
      </c>
    </row>
    <row r="3940" spans="1:12">
      <c r="A3940" s="20" t="s">
        <v>2405</v>
      </c>
      <c r="E3940" s="21">
        <f>IF(D3940="?OLD","!!!","")</f>
        <v/>
      </c>
      <c r="F3940" s="22" t="str">
        <f>IF(OR(E3940="",E3940="!!!"),"",IF(NOT(ISNA(VLOOKUP(E3940,E$1:E3939,1,FALSE()))),"OLD",IF(AND(E3940&lt;&gt;"",E3940&lt;&gt;"!!!"),"NEW","")))</f>
        <v> </v>
      </c>
      <c r="G3940" s="23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4" t="str">
        <f>IF(J3940&lt;&gt;1,"",IF(I3940="SBJ","CB","?"))</f>
        <v> </v>
      </c>
      <c r="I3940" s="25" t="str">
        <f>IF(OR(E3940="",E3940="!!!",F3940="NEW"),"",INDEX(B3939:B$2,-1+SUMPRODUCT(MAX(ROW(E3939:E$2)*(E3940=E3939:E$2)))))</f>
        <v> </v>
      </c>
      <c r="J3940" s="25" t="str">
        <f>IF(OR(E3940="",E3940="!!!",F3940="NEW"),"",COUNTBLANK(OFFSET(A$1,,,SUMPRODUCT(MAX(ROW(E$2:E3940)*(E3940=E$2:E3940)))))-COUNTBLANK(OFFSET(A$1,,,SUMPRODUCT(MAX(ROW(E$1:E3939)*(E2=E$1:E3939))))))</f>
        <v> </v>
      </c>
      <c r="K3940" s="25" t="str">
        <f>IF(OR(E3940="",E3940="!!!",F3940="NEW"),"",INDEX(J$1:J3939,SUMPRODUCT(MAX(ROW(E$1:E3939)*(E3940=E$1:E3939)))))</f>
        <v> </v>
      </c>
      <c r="L3940" s="26"/>
    </row>
    <row r="3941" spans="1:12">
      <c r="A3941" s="20" t="s">
        <v>795</v>
      </c>
      <c r="E3941" s="21">
        <f>IF(D3941="?OLD","!!!","")</f>
        <v/>
      </c>
      <c r="F3941" s="22" t="str">
        <f>IF(OR(E3941="",E3941="!!!"),"",IF(NOT(ISNA(VLOOKUP(E3941,E$1:E3940,1,FALSE()))),"OLD",IF(AND(E3941&lt;&gt;"",E3941&lt;&gt;"!!!"),"NEW","")))</f>
        <v> </v>
      </c>
      <c r="G3941" s="23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4" t="str">
        <f>IF(J3941&lt;&gt;1,"",IF(I3941="SBJ","CB","?"))</f>
        <v> </v>
      </c>
      <c r="I3941" s="25" t="str">
        <f>IF(OR(E3941="",E3941="!!!",F3941="NEW"),"",INDEX(B3940:B$2,-1+SUMPRODUCT(MAX(ROW(E3940:E$2)*(E3941=E3940:E$2)))))</f>
        <v> </v>
      </c>
      <c r="J3941" s="25" t="str">
        <f>IF(OR(E3941="",E3941="!!!",F3941="NEW"),"",COUNTBLANK(OFFSET(A$1,,,SUMPRODUCT(MAX(ROW(E$2:E3941)*(E3941=E$2:E3941)))))-COUNTBLANK(OFFSET(A$1,,,SUMPRODUCT(MAX(ROW(E$1:E3940)*(E2=E$1:E3940))))))</f>
        <v> </v>
      </c>
      <c r="K3941" s="25" t="str">
        <f>IF(OR(E3941="",E3941="!!!",F3941="NEW"),"",INDEX(J$1:J3940,SUMPRODUCT(MAX(ROW(E$1:E3940)*(E3941=E$1:E3940)))))</f>
        <v> </v>
      </c>
      <c r="L3941" s="26"/>
    </row>
    <row r="3942" spans="1:12">
      <c r="A3942" s="20" t="s">
        <v>2406</v>
      </c>
      <c r="E3942" s="21">
        <f>IF(D3942="?OLD","!!!","")</f>
        <v/>
      </c>
      <c r="F3942" s="22" t="str">
        <f>IF(OR(E3942="",E3942="!!!"),"",IF(NOT(ISNA(VLOOKUP(E3942,E$1:E3941,1,FALSE()))),"OLD",IF(AND(E3942&lt;&gt;"",E3942&lt;&gt;"!!!"),"NEW","")))</f>
        <v> </v>
      </c>
      <c r="G3942" s="23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4" t="str">
        <f>IF(J3942&lt;&gt;1,"",IF(I3942="SBJ","CB","?"))</f>
        <v> </v>
      </c>
      <c r="I3942" s="25" t="str">
        <f>IF(OR(E3942="",E3942="!!!",F3942="NEW"),"",INDEX(B3941:B$2,-1+SUMPRODUCT(MAX(ROW(E3941:E$2)*(E3942=E3941:E$2)))))</f>
        <v> </v>
      </c>
      <c r="J3942" s="25" t="str">
        <f>IF(OR(E3942="",E3942="!!!",F3942="NEW"),"",COUNTBLANK(OFFSET(A$1,,,SUMPRODUCT(MAX(ROW(E$2:E3942)*(E3942=E$2:E3942)))))-COUNTBLANK(OFFSET(A$1,,,SUMPRODUCT(MAX(ROW(E$1:E3941)*(E2=E$1:E3941))))))</f>
        <v> </v>
      </c>
      <c r="K3942" s="25" t="str">
        <f>IF(OR(E3942="",E3942="!!!",F3942="NEW"),"",INDEX(J$1:J3941,SUMPRODUCT(MAX(ROW(E$1:E3941)*(E3942=E$1:E3941)))))</f>
        <v> </v>
      </c>
      <c r="L3942" s="26"/>
    </row>
    <row r="3943" spans="1:12">
      <c r="A3943" s="20" t="s">
        <v>970</v>
      </c>
      <c r="E3943" s="21">
        <f>IF(D3943="?OLD","!!!","")</f>
        <v/>
      </c>
      <c r="F3943" s="22" t="str">
        <f>IF(OR(E3943="",E3943="!!!"),"",IF(NOT(ISNA(VLOOKUP(E3943,E$1:E3942,1,FALSE()))),"OLD",IF(AND(E3943&lt;&gt;"",E3943&lt;&gt;"!!!"),"NEW","")))</f>
        <v> </v>
      </c>
      <c r="G3943" s="23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4" t="str">
        <f>IF(J3943&lt;&gt;1,"",IF(I3943="SBJ","CB","?"))</f>
        <v> </v>
      </c>
      <c r="I3943" s="25" t="str">
        <f>IF(OR(E3943="",E3943="!!!",F3943="NEW"),"",INDEX(B3942:B$2,-1+SUMPRODUCT(MAX(ROW(E3942:E$2)*(E3943=E3942:E$2)))))</f>
        <v> </v>
      </c>
      <c r="J3943" s="25" t="str">
        <f>IF(OR(E3943="",E3943="!!!",F3943="NEW"),"",COUNTBLANK(OFFSET(A$1,,,SUMPRODUCT(MAX(ROW(E$2:E3943)*(E3943=E$2:E3943)))))-COUNTBLANK(OFFSET(A$1,,,SUMPRODUCT(MAX(ROW(E$1:E3942)*(E2=E$1:E3942))))))</f>
        <v> </v>
      </c>
      <c r="K3943" s="25" t="str">
        <f>IF(OR(E3943="",E3943="!!!",F3943="NEW"),"",INDEX(J$1:J3942,SUMPRODUCT(MAX(ROW(E$1:E3942)*(E3943=E$1:E3942)))))</f>
        <v> </v>
      </c>
      <c r="L3943" s="26"/>
    </row>
    <row r="3944" spans="1:12">
      <c r="A3944" s="20" t="s">
        <v>1189</v>
      </c>
      <c r="E3944" s="21">
        <f>IF(D3944="?OLD","!!!","")</f>
        <v/>
      </c>
      <c r="F3944" s="22" t="str">
        <f>IF(OR(E3944="",E3944="!!!"),"",IF(NOT(ISNA(VLOOKUP(E3944,E$1:E3943,1,FALSE()))),"OLD",IF(AND(E3944&lt;&gt;"",E3944&lt;&gt;"!!!"),"NEW","")))</f>
        <v> </v>
      </c>
      <c r="G3944" s="23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4" t="str">
        <f>IF(J3944&lt;&gt;1,"",IF(I3944="SBJ","CB","?"))</f>
        <v> </v>
      </c>
      <c r="I3944" s="25" t="str">
        <f>IF(OR(E3944="",E3944="!!!",F3944="NEW"),"",INDEX(B3943:B$2,-1+SUMPRODUCT(MAX(ROW(E3943:E$2)*(E3944=E3943:E$2)))))</f>
        <v> </v>
      </c>
      <c r="J3944" s="25" t="str">
        <f>IF(OR(E3944="",E3944="!!!",F3944="NEW"),"",COUNTBLANK(OFFSET(A$1,,,SUMPRODUCT(MAX(ROW(E$2:E3944)*(E3944=E$2:E3944)))))-COUNTBLANK(OFFSET(A$1,,,SUMPRODUCT(MAX(ROW(E$1:E3943)*(E2=E$1:E3943))))))</f>
        <v> </v>
      </c>
      <c r="K3944" s="25" t="str">
        <f>IF(OR(E3944="",E3944="!!!",F3944="NEW"),"",INDEX(J$1:J3943,SUMPRODUCT(MAX(ROW(E$1:E3943)*(E3944=E$1:E3943)))))</f>
        <v> </v>
      </c>
      <c r="L3944" s="26"/>
    </row>
    <row r="3945" spans="1:12">
      <c r="A3945" s="20" t="s">
        <v>795</v>
      </c>
      <c r="E3945" s="21">
        <f>IF(D3945="?OLD","!!!","")</f>
        <v/>
      </c>
      <c r="F3945" s="22" t="str">
        <f>IF(OR(E3945="",E3945="!!!"),"",IF(NOT(ISNA(VLOOKUP(E3945,E$1:E3944,1,FALSE()))),"OLD",IF(AND(E3945&lt;&gt;"",E3945&lt;&gt;"!!!"),"NEW","")))</f>
        <v> </v>
      </c>
      <c r="G3945" s="23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4" t="str">
        <f>IF(J3945&lt;&gt;1,"",IF(I3945="SBJ","CB","?"))</f>
        <v> </v>
      </c>
      <c r="I3945" s="25" t="str">
        <f>IF(OR(E3945="",E3945="!!!",F3945="NEW"),"",INDEX(B3944:B$2,-1+SUMPRODUCT(MAX(ROW(E3944:E$2)*(E3945=E3944:E$2)))))</f>
        <v> </v>
      </c>
      <c r="J3945" s="25" t="str">
        <f>IF(OR(E3945="",E3945="!!!",F3945="NEW"),"",COUNTBLANK(OFFSET(A$1,,,SUMPRODUCT(MAX(ROW(E$2:E3945)*(E3945=E$2:E3945)))))-COUNTBLANK(OFFSET(A$1,,,SUMPRODUCT(MAX(ROW(E$1:E3944)*(E2=E$1:E3944))))))</f>
        <v> </v>
      </c>
      <c r="K3945" s="25" t="str">
        <f>IF(OR(E3945="",E3945="!!!",F3945="NEW"),"",INDEX(J$1:J3944,SUMPRODUCT(MAX(ROW(E$1:E3944)*(E3945=E$1:E3944)))))</f>
        <v> </v>
      </c>
      <c r="L3945" s="26"/>
    </row>
    <row r="3946" spans="1:12">
      <c r="A3946" s="20" t="s">
        <v>894</v>
      </c>
      <c r="E3946" s="21">
        <f>IF(D3946="?OLD","!!!","")</f>
        <v/>
      </c>
      <c r="F3946" s="22" t="str">
        <f>IF(OR(E3946="",E3946="!!!"),"",IF(NOT(ISNA(VLOOKUP(E3946,E$1:E3945,1,FALSE()))),"OLD",IF(AND(E3946&lt;&gt;"",E3946&lt;&gt;"!!!"),"NEW","")))</f>
        <v> </v>
      </c>
      <c r="G3946" s="23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4" t="str">
        <f>IF(J3946&lt;&gt;1,"",IF(I3946="SBJ","CB","?"))</f>
        <v> </v>
      </c>
      <c r="I3946" s="25" t="str">
        <f>IF(OR(E3946="",E3946="!!!",F3946="NEW"),"",INDEX(B3945:B$2,-1+SUMPRODUCT(MAX(ROW(E3945:E$2)*(E3946=E3945:E$2)))))</f>
        <v> </v>
      </c>
      <c r="J3946" s="25" t="str">
        <f>IF(OR(E3946="",E3946="!!!",F3946="NEW"),"",COUNTBLANK(OFFSET(A$1,,,SUMPRODUCT(MAX(ROW(E$2:E3946)*(E3946=E$2:E3946)))))-COUNTBLANK(OFFSET(A$1,,,SUMPRODUCT(MAX(ROW(E$1:E3945)*(E2=E$1:E3945))))))</f>
        <v> </v>
      </c>
      <c r="K3946" s="25" t="str">
        <f>IF(OR(E3946="",E3946="!!!",F3946="NEW"),"",INDEX(J$1:J3945,SUMPRODUCT(MAX(ROW(E$1:E3945)*(E3946=E$1:E3945)))))</f>
        <v> </v>
      </c>
      <c r="L3946" s="26"/>
    </row>
    <row r="3947" spans="1:12">
      <c r="A3947" s="20" t="s">
        <v>2407</v>
      </c>
      <c r="B3947" s="27" t="s">
        <v>829</v>
      </c>
      <c r="C3947" s="27" t="s">
        <v>879</v>
      </c>
      <c r="E3947" s="21">
        <f>IF(D3947="?OLD","!!!","")</f>
        <v/>
      </c>
      <c r="F3947" s="22" t="str">
        <f>IF(OR(E3947="",E3947="!!!"),"",IF(NOT(ISNA(VLOOKUP(E3947,E$1:E3946,1,FALSE()))),"OLD",IF(AND(E3947&lt;&gt;"",E3947&lt;&gt;"!!!"),"NEW","")))</f>
        <v> </v>
      </c>
      <c r="G3947" s="23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4" t="str">
        <f>IF(J3947&lt;&gt;1,"",IF(I3947="SBJ","CB","?"))</f>
        <v> </v>
      </c>
      <c r="I3947" s="25" t="str">
        <f>IF(OR(E3947="",E3947="!!!",F3947="NEW"),"",INDEX(B3946:B$2,-1+SUMPRODUCT(MAX(ROW(E3946:E$2)*(E3947=E3946:E$2)))))</f>
        <v> </v>
      </c>
      <c r="J3947" s="25" t="str">
        <f>IF(OR(E3947="",E3947="!!!",F3947="NEW"),"",COUNTBLANK(OFFSET(A$1,,,SUMPRODUCT(MAX(ROW(E$2:E3947)*(E3947=E$2:E3947)))))-COUNTBLANK(OFFSET(A$1,,,SUMPRODUCT(MAX(ROW(E$1:E3946)*(E2=E$1:E3946))))))</f>
        <v> </v>
      </c>
      <c r="K3947" s="25" t="str">
        <f>IF(OR(E3947="",E3947="!!!",F3947="NEW"),"",INDEX(J$1:J3946,SUMPRODUCT(MAX(ROW(E$1:E3946)*(E3947=E$1:E3946)))))</f>
        <v> </v>
      </c>
      <c r="L3947" s="26"/>
    </row>
    <row r="3948" spans="1:12">
      <c r="A3948" s="20" t="s">
        <v>845</v>
      </c>
      <c r="B3948" s="27" t="s">
        <v>1001</v>
      </c>
      <c r="C3948" s="27" t="s">
        <v>816</v>
      </c>
      <c r="D3948" s="27" t="s">
        <v>801</v>
      </c>
      <c r="E3948" s="21">
        <f>IF(D3948="?OLD","!!!","")</f>
        <v/>
      </c>
      <c r="F3948" s="22" t="str">
        <f>IF(OR(E3948="",E3948="!!!"),"",IF(NOT(ISNA(VLOOKUP(E3948,E$1:E3947,1,FALSE()))),"OLD",IF(AND(E3948&lt;&gt;"",E3948&lt;&gt;"!!!"),"NEW","")))</f>
        <v> </v>
      </c>
      <c r="G3948" s="23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4" t="str">
        <f>IF(J3948&lt;&gt;1,"",IF(I3948="SBJ","CB","?"))</f>
        <v> </v>
      </c>
      <c r="I3948" s="25" t="str">
        <f>IF(OR(E3948="",E3948="!!!",F3948="NEW"),"",INDEX(B3947:B$2,-1+SUMPRODUCT(MAX(ROW(E3947:E$2)*(E3948=E3947:E$2)))))</f>
        <v> </v>
      </c>
      <c r="J3948" s="25" t="str">
        <f>IF(OR(E3948="",E3948="!!!",F3948="NEW"),"",COUNTBLANK(OFFSET(A$1,,,SUMPRODUCT(MAX(ROW(E$2:E3948)*(E3948=E$2:E3948)))))-COUNTBLANK(OFFSET(A$1,,,SUMPRODUCT(MAX(ROW(E$1:E3947)*(E2=E$1:E3947))))))</f>
        <v> </v>
      </c>
      <c r="K3948" s="25" t="str">
        <f>IF(OR(E3948="",E3948="!!!",F3948="NEW"),"",INDEX(J$1:J3947,SUMPRODUCT(MAX(ROW(E$1:E3947)*(E3948=E$1:E3947)))))</f>
        <v> </v>
      </c>
      <c r="L3948" s="26"/>
    </row>
    <row r="3949" spans="1:12">
      <c r="A3949" s="20" t="s">
        <v>2408</v>
      </c>
      <c r="E3949" s="21">
        <f>IF(D3949="?OLD","!!!","")</f>
        <v/>
      </c>
      <c r="F3949" s="22" t="str">
        <f>IF(OR(E3949="",E3949="!!!"),"",IF(NOT(ISNA(VLOOKUP(E3949,E$1:E3948,1,FALSE()))),"OLD",IF(AND(E3949&lt;&gt;"",E3949&lt;&gt;"!!!"),"NEW","")))</f>
        <v> </v>
      </c>
      <c r="G3949" s="23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4" t="str">
        <f>IF(J3949&lt;&gt;1,"",IF(I3949="SBJ","CB","?"))</f>
        <v> </v>
      </c>
      <c r="I3949" s="25" t="str">
        <f>IF(OR(E3949="",E3949="!!!",F3949="NEW"),"",INDEX(B3948:B$2,-1+SUMPRODUCT(MAX(ROW(E3948:E$2)*(E3949=E3948:E$2)))))</f>
        <v> </v>
      </c>
      <c r="J3949" s="25" t="str">
        <f>IF(OR(E3949="",E3949="!!!",F3949="NEW"),"",COUNTBLANK(OFFSET(A$1,,,SUMPRODUCT(MAX(ROW(E$2:E3949)*(E3949=E$2:E3949)))))-COUNTBLANK(OFFSET(A$1,,,SUMPRODUCT(MAX(ROW(E$1:E3948)*(E2=E$1:E3948))))))</f>
        <v> </v>
      </c>
      <c r="K3949" s="25" t="str">
        <f>IF(OR(E3949="",E3949="!!!",F3949="NEW"),"",INDEX(J$1:J3948,SUMPRODUCT(MAX(ROW(E$1:E3948)*(E3949=E$1:E3948)))))</f>
        <v> </v>
      </c>
      <c r="L3949" s="26"/>
    </row>
    <row r="3950" spans="1:12">
      <c r="A3950" s="20" t="s">
        <v>2409</v>
      </c>
      <c r="E3950" s="21">
        <f>IF(D3950="?OLD","!!!","")</f>
        <v/>
      </c>
      <c r="F3950" s="22" t="str">
        <f>IF(OR(E3950="",E3950="!!!"),"",IF(NOT(ISNA(VLOOKUP(E3950,E$1:E3949,1,FALSE()))),"OLD",IF(AND(E3950&lt;&gt;"",E3950&lt;&gt;"!!!"),"NEW","")))</f>
        <v> </v>
      </c>
      <c r="G3950" s="23" t="str">
        <f>IF(OR(E3950="",E3950="!!!"),"",IF(OR(J3950=0,AND(J3950=1,K3950=1),AND(J3950=1,I3950="SBJ"),AND(J3950=1,I3950=0)),"?IN_FOCUS",IF(J3950&lt;=2,"?ACTIVATED",IF(J3950&lt;&gt;"","?FAMILIAR",IF(F3950="NEW",IF(ISNA(VLOOKUP(E3950,#REF!,1,FALSE())),"?TYPE_IDENTIFIABLE","?REFERENTIAL"),"_")))))</f>
        <v> </v>
      </c>
      <c r="H3950" s="24" t="str">
        <f>IF(J3950&lt;&gt;1,"",IF(I3950="SBJ","CB","?"))</f>
        <v> </v>
      </c>
      <c r="I3950" s="25" t="str">
        <f>IF(OR(E3950="",E3950="!!!",F3950="NEW"),"",INDEX(B3949:B$2,-1+SUMPRODUCT(MAX(ROW(E3949:E$2)*(E3950=E3949:E$2)))))</f>
        <v> </v>
      </c>
      <c r="J3950" s="25" t="str">
        <f>IF(OR(E3950="",E3950="!!!",F3950="NEW"),"",COUNTBLANK(OFFSET(A$1,,,SUMPRODUCT(MAX(ROW(E$2:E3950)*(E3950=E$2:E3950)))))-COUNTBLANK(OFFSET(A$1,,,SUMPRODUCT(MAX(ROW(E$1:E3949)*(E2=E$1:E3949))))))</f>
        <v> </v>
      </c>
      <c r="K3950" s="25" t="str">
        <f>IF(OR(E3950="",E3950="!!!",F3950="NEW"),"",INDEX(J$1:J3949,SUMPRODUCT(MAX(ROW(E$1:E3949)*(E3950=E$1:E3949)))))</f>
        <v> </v>
      </c>
      <c r="L3950" s="26"/>
    </row>
    <row r="3951" spans="1:12">
      <c r="A3951" s="20" t="s">
        <v>795</v>
      </c>
      <c r="E3951" s="21">
        <f>IF(D3951="?OLD","!!!","")</f>
        <v/>
      </c>
      <c r="F3951" s="22" t="str">
        <f>IF(OR(E3951="",E3951="!!!"),"",IF(NOT(ISNA(VLOOKUP(E3951,E$1:E3950,1,FALSE()))),"OLD",IF(AND(E3951&lt;&gt;"",E3951&lt;&gt;"!!!"),"NEW","")))</f>
        <v> </v>
      </c>
      <c r="G3951" s="23" t="str">
        <f>IF(OR(E3951="",E3951="!!!"),"",IF(OR(J3951=0,AND(J3951=1,K3951=1),AND(J3951=1,I3951="SBJ"),AND(J3951=1,I3951=0)),"?IN_FOCUS",IF(J3951&lt;=2,"?ACTIVATED",IF(J3951&lt;&gt;"","?FAMILIAR",IF(F3951="NEW",IF(ISNA(VLOOKUP(E3951,#REF!,1,FALSE())),"?TYPE_IDENTIFIABLE","?REFERENTIAL"),"_")))))</f>
        <v> </v>
      </c>
      <c r="H3951" s="24" t="str">
        <f>IF(J3951&lt;&gt;1,"",IF(I3951="SBJ","CB","?"))</f>
        <v> </v>
      </c>
      <c r="I3951" s="25" t="str">
        <f>IF(OR(E3951="",E3951="!!!",F3951="NEW"),"",INDEX(B3950:B$2,-1+SUMPRODUCT(MAX(ROW(E3950:E$2)*(E3951=E3950:E$2)))))</f>
        <v> </v>
      </c>
      <c r="J3951" s="25" t="str">
        <f>IF(OR(E3951="",E3951="!!!",F3951="NEW"),"",COUNTBLANK(OFFSET(A$1,,,SUMPRODUCT(MAX(ROW(E$2:E3951)*(E3951=E$2:E3951)))))-COUNTBLANK(OFFSET(A$1,,,SUMPRODUCT(MAX(ROW(E$1:E3950)*(E2=E$1:E3950))))))</f>
        <v> </v>
      </c>
      <c r="K3951" s="25" t="str">
        <f>IF(OR(E3951="",E3951="!!!",F3951="NEW"),"",INDEX(J$1:J3950,SUMPRODUCT(MAX(ROW(E$1:E3950)*(E3951=E$1:E3950)))))</f>
        <v> </v>
      </c>
      <c r="L3951" s="26"/>
    </row>
    <row r="3952" spans="1:12">
      <c r="A3952" s="20" t="s">
        <v>935</v>
      </c>
      <c r="B3952" s="27" t="s">
        <v>799</v>
      </c>
      <c r="C3952" s="27" t="s">
        <v>816</v>
      </c>
      <c r="D3952" s="27" t="s">
        <v>801</v>
      </c>
      <c r="E3952" s="21">
        <f>IF(D3952="?OLD","!!!","")</f>
        <v/>
      </c>
      <c r="F3952" s="22" t="str">
        <f>IF(OR(E3952="",E3952="!!!"),"",IF(NOT(ISNA(VLOOKUP(E3952,E$1:E3951,1,FALSE()))),"OLD",IF(AND(E3952&lt;&gt;"",E3952&lt;&gt;"!!!"),"NEW","")))</f>
        <v> </v>
      </c>
      <c r="G3952" s="23" t="str">
        <f>IF(OR(E3952="",E3952="!!!"),"",IF(OR(J3952=0,AND(J3952=1,K3952=1),AND(J3952=1,I3952="SBJ"),AND(J3952=1,I3952=0)),"?IN_FOCUS",IF(J3952&lt;=2,"?ACTIVATED",IF(J3952&lt;&gt;"","?FAMILIAR",IF(F3952="NEW",IF(ISNA(VLOOKUP(E3952,#REF!,1,FALSE())),"?TYPE_IDENTIFIABLE","?REFERENTIAL"),"_")))))</f>
        <v> </v>
      </c>
      <c r="H3952" s="24" t="str">
        <f>IF(J3952&lt;&gt;1,"",IF(I3952="SBJ","CB","?"))</f>
        <v> </v>
      </c>
      <c r="I3952" s="25" t="str">
        <f>IF(OR(E3952="",E3952="!!!",F3952="NEW"),"",INDEX(B3951:B$2,-1+SUMPRODUCT(MAX(ROW(E3951:E$2)*(E3952=E3951:E$2)))))</f>
        <v> </v>
      </c>
      <c r="J3952" s="25" t="str">
        <f>IF(OR(E3952="",E3952="!!!",F3952="NEW"),"",COUNTBLANK(OFFSET(A$1,,,SUMPRODUCT(MAX(ROW(E$2:E3952)*(E3952=E$2:E3952)))))-COUNTBLANK(OFFSET(A$1,,,SUMPRODUCT(MAX(ROW(E$1:E3951)*(E2=E$1:E3951))))))</f>
        <v> </v>
      </c>
      <c r="K3952" s="25" t="str">
        <f>IF(OR(E3952="",E3952="!!!",F3952="NEW"),"",INDEX(J$1:J3951,SUMPRODUCT(MAX(ROW(E$1:E3951)*(E3952=E$1:E3951)))))</f>
        <v> </v>
      </c>
      <c r="L3952" s="26"/>
    </row>
    <row r="3953" spans="1:12">
      <c r="A3953" s="20" t="s">
        <v>2410</v>
      </c>
      <c r="E3953" s="21">
        <f>IF(D3953="?OLD","!!!","")</f>
        <v/>
      </c>
      <c r="F3953" s="22" t="str">
        <f>IF(OR(E3953="",E3953="!!!"),"",IF(NOT(ISNA(VLOOKUP(E3953,E$1:E3952,1,FALSE()))),"OLD",IF(AND(E3953&lt;&gt;"",E3953&lt;&gt;"!!!"),"NEW","")))</f>
        <v> </v>
      </c>
      <c r="G3953" s="23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4" t="str">
        <f>IF(J3953&lt;&gt;1,"",IF(I3953="SBJ","CB","?"))</f>
        <v> </v>
      </c>
      <c r="I3953" s="25" t="str">
        <f>IF(OR(E3953="",E3953="!!!",F3953="NEW"),"",INDEX(B3952:B$2,-1+SUMPRODUCT(MAX(ROW(E3952:E$2)*(E3953=E3952:E$2)))))</f>
        <v> </v>
      </c>
      <c r="J3953" s="25" t="str">
        <f>IF(OR(E3953="",E3953="!!!",F3953="NEW"),"",COUNTBLANK(OFFSET(A$1,,,SUMPRODUCT(MAX(ROW(E$2:E3953)*(E3953=E$2:E3953)))))-COUNTBLANK(OFFSET(A$1,,,SUMPRODUCT(MAX(ROW(E$1:E3952)*(E2=E$1:E3952))))))</f>
        <v> </v>
      </c>
      <c r="K3953" s="25" t="str">
        <f>IF(OR(E3953="",E3953="!!!",F3953="NEW"),"",INDEX(J$1:J3952,SUMPRODUCT(MAX(ROW(E$1:E3952)*(E3953=E$1:E3952)))))</f>
        <v> </v>
      </c>
      <c r="L3953" s="26"/>
    </row>
    <row r="3954" spans="1:12">
      <c r="A3954" s="20" t="s">
        <v>1194</v>
      </c>
      <c r="B3954" s="27" t="s">
        <v>921</v>
      </c>
      <c r="C3954" s="27" t="s">
        <v>816</v>
      </c>
      <c r="D3954" s="27" t="s">
        <v>801</v>
      </c>
      <c r="E3954" s="21">
        <f>IF(D3954="?OLD","!!!","")</f>
        <v/>
      </c>
      <c r="F3954" s="22" t="str">
        <f>IF(OR(E3954="",E3954="!!!"),"",IF(NOT(ISNA(VLOOKUP(E3954,E$1:E3953,1,FALSE()))),"OLD",IF(AND(E3954&lt;&gt;"",E3954&lt;&gt;"!!!"),"NEW","")))</f>
        <v> </v>
      </c>
      <c r="G3954" s="23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4" t="str">
        <f>IF(J3954&lt;&gt;1,"",IF(I3954="SBJ","CB","?"))</f>
        <v> </v>
      </c>
      <c r="I3954" s="25" t="str">
        <f>IF(OR(E3954="",E3954="!!!",F3954="NEW"),"",INDEX(B3953:B$2,-1+SUMPRODUCT(MAX(ROW(E3953:E$2)*(E3954=E3953:E$2)))))</f>
        <v> </v>
      </c>
      <c r="J3954" s="25" t="str">
        <f>IF(OR(E3954="",E3954="!!!",F3954="NEW"),"",COUNTBLANK(OFFSET(A$1,,,SUMPRODUCT(MAX(ROW(E$2:E3954)*(E3954=E$2:E3954)))))-COUNTBLANK(OFFSET(A$1,,,SUMPRODUCT(MAX(ROW(E$1:E3953)*(E2=E$1:E3953))))))</f>
        <v> </v>
      </c>
      <c r="K3954" s="25" t="str">
        <f>IF(OR(E3954="",E3954="!!!",F3954="NEW"),"",INDEX(J$1:J3953,SUMPRODUCT(MAX(ROW(E$1:E3953)*(E3954=E$1:E3953)))))</f>
        <v> </v>
      </c>
      <c r="L3954" s="26"/>
    </row>
    <row r="3955" spans="1:12">
      <c r="A3955" s="20" t="s">
        <v>2411</v>
      </c>
      <c r="E3955" s="21">
        <f>IF(D3955="?OLD","!!!","")</f>
        <v/>
      </c>
      <c r="F3955" s="22" t="str">
        <f>IF(OR(E3955="",E3955="!!!"),"",IF(NOT(ISNA(VLOOKUP(E3955,E$1:E3954,1,FALSE()))),"OLD",IF(AND(E3955&lt;&gt;"",E3955&lt;&gt;"!!!"),"NEW","")))</f>
        <v> </v>
      </c>
      <c r="G3955" s="23" t="str">
        <f>IF(OR(E3955="",E3955="!!!"),"",IF(OR(J3955=0,AND(J3955=1,K3955=1),AND(J3955=1,I3955="SBJ"),AND(J3955=1,I3955=0)),"?IN_FOCUS",IF(J3955&lt;=2,"?ACTIVATED",IF(J3955&lt;&gt;"","?FAMILIAR",IF(F3955="NEW",IF(ISNA(VLOOKUP(E3955,#REF!,1,FALSE())),"?TYPE_IDENTIFIABLE","?REFERENTIAL"),"_")))))</f>
        <v> </v>
      </c>
      <c r="H3955" s="24" t="str">
        <f>IF(J3955&lt;&gt;1,"",IF(I3955="SBJ","CB","?"))</f>
        <v> </v>
      </c>
      <c r="I3955" s="25" t="str">
        <f>IF(OR(E3955="",E3955="!!!",F3955="NEW"),"",INDEX(B3954:B$2,-1+SUMPRODUCT(MAX(ROW(E3954:E$2)*(E3955=E3954:E$2)))))</f>
        <v> </v>
      </c>
      <c r="J3955" s="25" t="str">
        <f>IF(OR(E3955="",E3955="!!!",F3955="NEW"),"",COUNTBLANK(OFFSET(A$1,,,SUMPRODUCT(MAX(ROW(E$2:E3955)*(E3955=E$2:E3955)))))-COUNTBLANK(OFFSET(A$1,,,SUMPRODUCT(MAX(ROW(E$1:E3954)*(E2=E$1:E3954))))))</f>
        <v> </v>
      </c>
      <c r="K3955" s="25" t="str">
        <f>IF(OR(E3955="",E3955="!!!",F3955="NEW"),"",INDEX(J$1:J3954,SUMPRODUCT(MAX(ROW(E$1:E3954)*(E3955=E$1:E3954)))))</f>
        <v> </v>
      </c>
      <c r="L3955" s="26"/>
    </row>
    <row r="3956" spans="1:12">
      <c r="A3956" s="20" t="s">
        <v>795</v>
      </c>
      <c r="E3956" s="21">
        <f>IF(D3956="?OLD","!!!","")</f>
        <v/>
      </c>
      <c r="F3956" s="22" t="str">
        <f>IF(OR(E3956="",E3956="!!!"),"",IF(NOT(ISNA(VLOOKUP(E3956,E$1:E3955,1,FALSE()))),"OLD",IF(AND(E3956&lt;&gt;"",E3956&lt;&gt;"!!!"),"NEW","")))</f>
        <v> </v>
      </c>
      <c r="G3956" s="23" t="str">
        <f>IF(OR(E3956="",E3956="!!!"),"",IF(OR(J3956=0,AND(J3956=1,K3956=1),AND(J3956=1,I3956="SBJ"),AND(J3956=1,I3956=0)),"?IN_FOCUS",IF(J3956&lt;=2,"?ACTIVATED",IF(J3956&lt;&gt;"","?FAMILIAR",IF(F3956="NEW",IF(ISNA(VLOOKUP(E3956,#REF!,1,FALSE())),"?TYPE_IDENTIFIABLE","?REFERENTIAL"),"_")))))</f>
        <v> </v>
      </c>
      <c r="H3956" s="24" t="str">
        <f>IF(J3956&lt;&gt;1,"",IF(I3956="SBJ","CB","?"))</f>
        <v> </v>
      </c>
      <c r="I3956" s="25" t="str">
        <f>IF(OR(E3956="",E3956="!!!",F3956="NEW"),"",INDEX(B3955:B$2,-1+SUMPRODUCT(MAX(ROW(E3955:E$2)*(E3956=E3955:E$2)))))</f>
        <v> </v>
      </c>
      <c r="J3956" s="25" t="str">
        <f>IF(OR(E3956="",E3956="!!!",F3956="NEW"),"",COUNTBLANK(OFFSET(A$1,,,SUMPRODUCT(MAX(ROW(E$2:E3956)*(E3956=E$2:E3956)))))-COUNTBLANK(OFFSET(A$1,,,SUMPRODUCT(MAX(ROW(E$1:E3955)*(E2=E$1:E3955))))))</f>
        <v> </v>
      </c>
      <c r="K3956" s="25" t="str">
        <f>IF(OR(E3956="",E3956="!!!",F3956="NEW"),"",INDEX(J$1:J3955,SUMPRODUCT(MAX(ROW(E$1:E3955)*(E3956=E$1:E3955)))))</f>
        <v> </v>
      </c>
      <c r="L3956" s="26"/>
    </row>
    <row r="3957" spans="1:12">
      <c r="A3957" s="20" t="s">
        <v>2412</v>
      </c>
      <c r="E3957" s="21">
        <f>IF(D3957="?OLD","!!!","")</f>
        <v/>
      </c>
      <c r="F3957" s="22" t="str">
        <f>IF(OR(E3957="",E3957="!!!"),"",IF(NOT(ISNA(VLOOKUP(E3957,E$1:E3956,1,FALSE()))),"OLD",IF(AND(E3957&lt;&gt;"",E3957&lt;&gt;"!!!"),"NEW","")))</f>
        <v> </v>
      </c>
      <c r="G3957" s="23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4" t="str">
        <f>IF(J3957&lt;&gt;1,"",IF(I3957="SBJ","CB","?"))</f>
        <v> </v>
      </c>
      <c r="I3957" s="25" t="str">
        <f>IF(OR(E3957="",E3957="!!!",F3957="NEW"),"",INDEX(B3956:B$2,-1+SUMPRODUCT(MAX(ROW(E3956:E$2)*(E3957=E3956:E$2)))))</f>
        <v> </v>
      </c>
      <c r="J3957" s="25" t="str">
        <f>IF(OR(E3957="",E3957="!!!",F3957="NEW"),"",COUNTBLANK(OFFSET(A$1,,,SUMPRODUCT(MAX(ROW(E$2:E3957)*(E3957=E$2:E3957)))))-COUNTBLANK(OFFSET(A$1,,,SUMPRODUCT(MAX(ROW(E$1:E3956)*(E2=E$1:E3956))))))</f>
        <v> </v>
      </c>
      <c r="K3957" s="25" t="str">
        <f>IF(OR(E3957="",E3957="!!!",F3957="NEW"),"",INDEX(J$1:J3956,SUMPRODUCT(MAX(ROW(E$1:E3956)*(E3957=E$1:E3956)))))</f>
        <v> </v>
      </c>
      <c r="L3957" s="26"/>
    </row>
    <row r="3958" spans="1:12">
      <c r="A3958" s="20" t="s">
        <v>2413</v>
      </c>
      <c r="E3958" s="21">
        <f>IF(D3958="?OLD","!!!","")</f>
        <v/>
      </c>
      <c r="F3958" s="22" t="str">
        <f>IF(OR(E3958="",E3958="!!!"),"",IF(NOT(ISNA(VLOOKUP(E3958,E$1:E3957,1,FALSE()))),"OLD",IF(AND(E3958&lt;&gt;"",E3958&lt;&gt;"!!!"),"NEW","")))</f>
        <v> </v>
      </c>
      <c r="G3958" s="23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4" t="str">
        <f>IF(J3958&lt;&gt;1,"",IF(I3958="SBJ","CB","?"))</f>
        <v> </v>
      </c>
      <c r="I3958" s="25" t="str">
        <f>IF(OR(E3958="",E3958="!!!",F3958="NEW"),"",INDEX(B3957:B$2,-1+SUMPRODUCT(MAX(ROW(E3957:E$2)*(E3958=E3957:E$2)))))</f>
        <v> </v>
      </c>
      <c r="J3958" s="25" t="str">
        <f>IF(OR(E3958="",E3958="!!!",F3958="NEW"),"",COUNTBLANK(OFFSET(A$1,,,SUMPRODUCT(MAX(ROW(E$2:E3958)*(E3958=E$2:E3958)))))-COUNTBLANK(OFFSET(A$1,,,SUMPRODUCT(MAX(ROW(E$1:E3957)*(E2=E$1:E3957))))))</f>
        <v> </v>
      </c>
      <c r="K3958" s="25" t="str">
        <f>IF(OR(E3958="",E3958="!!!",F3958="NEW"),"",INDEX(J$1:J3957,SUMPRODUCT(MAX(ROW(E$1:E3957)*(E3958=E$1:E3957)))))</f>
        <v> </v>
      </c>
      <c r="L3958" s="26"/>
    </row>
    <row r="3959" spans="1:12">
      <c r="A3959" s="20" t="s">
        <v>1223</v>
      </c>
      <c r="E3959" s="21">
        <f>IF(D3959="?OLD","!!!","")</f>
        <v/>
      </c>
      <c r="F3959" s="22" t="str">
        <f>IF(OR(E3959="",E3959="!!!"),"",IF(NOT(ISNA(VLOOKUP(E3959,E$1:E3958,1,FALSE()))),"OLD",IF(AND(E3959&lt;&gt;"",E3959&lt;&gt;"!!!"),"NEW","")))</f>
        <v> </v>
      </c>
      <c r="G3959" s="23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4" t="str">
        <f>IF(J3959&lt;&gt;1,"",IF(I3959="SBJ","CB","?"))</f>
        <v> </v>
      </c>
      <c r="I3959" s="25" t="str">
        <f>IF(OR(E3959="",E3959="!!!",F3959="NEW"),"",INDEX(B3958:B$2,-1+SUMPRODUCT(MAX(ROW(E3958:E$2)*(E3959=E3958:E$2)))))</f>
        <v> </v>
      </c>
      <c r="J3959" s="25" t="str">
        <f>IF(OR(E3959="",E3959="!!!",F3959="NEW"),"",COUNTBLANK(OFFSET(A$1,,,SUMPRODUCT(MAX(ROW(E$2:E3959)*(E3959=E$2:E3959)))))-COUNTBLANK(OFFSET(A$1,,,SUMPRODUCT(MAX(ROW(E$1:E3958)*(E2=E$1:E3958))))))</f>
        <v> </v>
      </c>
      <c r="K3959" s="25" t="str">
        <f>IF(OR(E3959="",E3959="!!!",F3959="NEW"),"",INDEX(J$1:J3958,SUMPRODUCT(MAX(ROW(E$1:E3958)*(E3959=E$1:E3958)))))</f>
        <v> </v>
      </c>
      <c r="L3959" s="26"/>
    </row>
    <row r="3960" spans="1:12">
      <c r="A3960" s="20" t="s">
        <v>1727</v>
      </c>
      <c r="B3960" s="27" t="s">
        <v>1156</v>
      </c>
      <c r="C3960" s="27" t="s">
        <v>843</v>
      </c>
      <c r="E3960" s="21">
        <f>IF(D3960="?OLD","!!!","")</f>
        <v/>
      </c>
      <c r="F3960" s="22" t="str">
        <f>IF(OR(E3960="",E3960="!!!"),"",IF(NOT(ISNA(VLOOKUP(E3960,E$1:E3959,1,FALSE()))),"OLD",IF(AND(E3960&lt;&gt;"",E3960&lt;&gt;"!!!"),"NEW","")))</f>
        <v> </v>
      </c>
      <c r="G3960" s="23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4" t="str">
        <f>IF(J3960&lt;&gt;1,"",IF(I3960="SBJ","CB","?"))</f>
        <v> </v>
      </c>
      <c r="I3960" s="25" t="str">
        <f>IF(OR(E3960="",E3960="!!!",F3960="NEW"),"",INDEX(B3959:B$2,-1+SUMPRODUCT(MAX(ROW(E3959:E$2)*(E3960=E3959:E$2)))))</f>
        <v> </v>
      </c>
      <c r="J3960" s="25" t="str">
        <f>IF(OR(E3960="",E3960="!!!",F3960="NEW"),"",COUNTBLANK(OFFSET(A$1,,,SUMPRODUCT(MAX(ROW(E$2:E3960)*(E3960=E$2:E3960)))))-COUNTBLANK(OFFSET(A$1,,,SUMPRODUCT(MAX(ROW(E$1:E3959)*(E2=E$1:E3959))))))</f>
        <v> </v>
      </c>
      <c r="K3960" s="25" t="str">
        <f>IF(OR(E3960="",E3960="!!!",F3960="NEW"),"",INDEX(J$1:J3959,SUMPRODUCT(MAX(ROW(E$1:E3959)*(E3960=E$1:E3959)))))</f>
        <v> </v>
      </c>
      <c r="L3960" s="26"/>
    </row>
    <row r="3961" spans="1:12">
      <c r="A3961" s="20" t="s">
        <v>1247</v>
      </c>
      <c r="B3961" s="27" t="s">
        <v>1156</v>
      </c>
      <c r="E3961" s="21">
        <f>IF(D3961="?OLD","!!!","")</f>
        <v/>
      </c>
      <c r="F3961" s="22" t="str">
        <f>IF(OR(E3961="",E3961="!!!"),"",IF(NOT(ISNA(VLOOKUP(E3961,E$1:E3960,1,FALSE()))),"OLD",IF(AND(E3961&lt;&gt;"",E3961&lt;&gt;"!!!"),"NEW","")))</f>
        <v> </v>
      </c>
      <c r="G3961" s="23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4" t="str">
        <f>IF(J3961&lt;&gt;1,"",IF(I3961="SBJ","CB","?"))</f>
        <v> </v>
      </c>
      <c r="I3961" s="25" t="str">
        <f>IF(OR(E3961="",E3961="!!!",F3961="NEW"),"",INDEX(B3960:B$2,-1+SUMPRODUCT(MAX(ROW(E3960:E$2)*(E3961=E3960:E$2)))))</f>
        <v> </v>
      </c>
      <c r="J3961" s="25" t="str">
        <f>IF(OR(E3961="",E3961="!!!",F3961="NEW"),"",COUNTBLANK(OFFSET(A$1,,,SUMPRODUCT(MAX(ROW(E$2:E3961)*(E3961=E$2:E3961)))))-COUNTBLANK(OFFSET(A$1,,,SUMPRODUCT(MAX(ROW(E$1:E3960)*(E2=E$1:E3960))))))</f>
        <v> </v>
      </c>
      <c r="K3961" s="25" t="str">
        <f>IF(OR(E3961="",E3961="!!!",F3961="NEW"),"",INDEX(J$1:J3960,SUMPRODUCT(MAX(ROW(E$1:E3960)*(E3961=E$1:E3960)))))</f>
        <v> </v>
      </c>
      <c r="L3961" s="26"/>
    </row>
    <row r="3962" spans="1:12">
      <c r="A3962" s="20" t="s">
        <v>2414</v>
      </c>
      <c r="E3962" s="21">
        <f>IF(D3962="?OLD","!!!","")</f>
        <v/>
      </c>
      <c r="F3962" s="22" t="str">
        <f>IF(OR(E3962="",E3962="!!!"),"",IF(NOT(ISNA(VLOOKUP(E3962,E$1:E3961,1,FALSE()))),"OLD",IF(AND(E3962&lt;&gt;"",E3962&lt;&gt;"!!!"),"NEW","")))</f>
        <v> </v>
      </c>
      <c r="G3962" s="23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4" t="str">
        <f>IF(J3962&lt;&gt;1,"",IF(I3962="SBJ","CB","?"))</f>
        <v> </v>
      </c>
      <c r="I3962" s="25" t="str">
        <f>IF(OR(E3962="",E3962="!!!",F3962="NEW"),"",INDEX(B3961:B$2,-1+SUMPRODUCT(MAX(ROW(E3961:E$2)*(E3962=E3961:E$2)))))</f>
        <v> </v>
      </c>
      <c r="J3962" s="25" t="str">
        <f>IF(OR(E3962="",E3962="!!!",F3962="NEW"),"",COUNTBLANK(OFFSET(A$1,,,SUMPRODUCT(MAX(ROW(E$2:E3962)*(E3962=E$2:E3962)))))-COUNTBLANK(OFFSET(A$1,,,SUMPRODUCT(MAX(ROW(E$1:E3961)*(E2=E$1:E3961))))))</f>
        <v> </v>
      </c>
      <c r="K3962" s="25" t="str">
        <f>IF(OR(E3962="",E3962="!!!",F3962="NEW"),"",INDEX(J$1:J3961,SUMPRODUCT(MAX(ROW(E$1:E3961)*(E3962=E$1:E3961)))))</f>
        <v> </v>
      </c>
      <c r="L3962" s="26"/>
    </row>
    <row r="3963" spans="1:12">
      <c r="A3963" s="20" t="s">
        <v>970</v>
      </c>
      <c r="E3963" s="21">
        <f>IF(D3963="?OLD","!!!","")</f>
        <v/>
      </c>
      <c r="F3963" s="22" t="str">
        <f>IF(OR(E3963="",E3963="!!!"),"",IF(NOT(ISNA(VLOOKUP(E3963,E$1:E3962,1,FALSE()))),"OLD",IF(AND(E3963&lt;&gt;"",E3963&lt;&gt;"!!!"),"NEW","")))</f>
        <v> </v>
      </c>
      <c r="G3963" s="23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4" t="str">
        <f>IF(J3963&lt;&gt;1,"",IF(I3963="SBJ","CB","?"))</f>
        <v> </v>
      </c>
      <c r="I3963" s="25" t="str">
        <f>IF(OR(E3963="",E3963="!!!",F3963="NEW"),"",INDEX(B3962:B$2,-1+SUMPRODUCT(MAX(ROW(E3962:E$2)*(E3963=E3962:E$2)))))</f>
        <v> </v>
      </c>
      <c r="J3963" s="25" t="str">
        <f>IF(OR(E3963="",E3963="!!!",F3963="NEW"),"",COUNTBLANK(OFFSET(A$1,,,SUMPRODUCT(MAX(ROW(E$2:E3963)*(E3963=E$2:E3963)))))-COUNTBLANK(OFFSET(A$1,,,SUMPRODUCT(MAX(ROW(E$1:E3962)*(E2=E$1:E3962))))))</f>
        <v> </v>
      </c>
      <c r="K3963" s="25" t="str">
        <f>IF(OR(E3963="",E3963="!!!",F3963="NEW"),"",INDEX(J$1:J3962,SUMPRODUCT(MAX(ROW(E$1:E3962)*(E3963=E$1:E3962)))))</f>
        <v> </v>
      </c>
      <c r="L3963" s="26"/>
    </row>
    <row r="3964" spans="1:12">
      <c r="A3964" s="20" t="s">
        <v>2415</v>
      </c>
      <c r="E3964" s="21">
        <f>IF(D3964="?OLD","!!!","")</f>
        <v/>
      </c>
      <c r="F3964" s="22" t="str">
        <f>IF(OR(E3964="",E3964="!!!"),"",IF(NOT(ISNA(VLOOKUP(E3964,E$1:E3963,1,FALSE()))),"OLD",IF(AND(E3964&lt;&gt;"",E3964&lt;&gt;"!!!"),"NEW","")))</f>
        <v> </v>
      </c>
      <c r="G3964" s="23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4" t="str">
        <f>IF(J3964&lt;&gt;1,"",IF(I3964="SBJ","CB","?"))</f>
        <v> </v>
      </c>
      <c r="I3964" s="25" t="str">
        <f>IF(OR(E3964="",E3964="!!!",F3964="NEW"),"",INDEX(B3963:B$2,-1+SUMPRODUCT(MAX(ROW(E3963:E$2)*(E3964=E3963:E$2)))))</f>
        <v> </v>
      </c>
      <c r="J3964" s="25" t="str">
        <f>IF(OR(E3964="",E3964="!!!",F3964="NEW"),"",COUNTBLANK(OFFSET(A$1,,,SUMPRODUCT(MAX(ROW(E$2:E3964)*(E3964=E$2:E3964)))))-COUNTBLANK(OFFSET(A$1,,,SUMPRODUCT(MAX(ROW(E$1:E3963)*(E2=E$1:E3963))))))</f>
        <v> </v>
      </c>
      <c r="K3964" s="25" t="str">
        <f>IF(OR(E3964="",E3964="!!!",F3964="NEW"),"",INDEX(J$1:J3963,SUMPRODUCT(MAX(ROW(E$1:E3963)*(E3964=E$1:E3963)))))</f>
        <v> </v>
      </c>
      <c r="L3964" s="26"/>
    </row>
    <row r="3965" spans="1:12">
      <c r="A3965" s="20" t="s">
        <v>795</v>
      </c>
      <c r="E3965" s="21">
        <f>IF(D3965="?OLD","!!!","")</f>
        <v/>
      </c>
      <c r="F3965" s="22" t="str">
        <f>IF(OR(E3965="",E3965="!!!"),"",IF(NOT(ISNA(VLOOKUP(E3965,E$1:E3964,1,FALSE()))),"OLD",IF(AND(E3965&lt;&gt;"",E3965&lt;&gt;"!!!"),"NEW","")))</f>
        <v> </v>
      </c>
      <c r="G3965" s="23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4" t="str">
        <f>IF(J3965&lt;&gt;1,"",IF(I3965="SBJ","CB","?"))</f>
        <v> </v>
      </c>
      <c r="I3965" s="25" t="str">
        <f>IF(OR(E3965="",E3965="!!!",F3965="NEW"),"",INDEX(B3964:B$2,-1+SUMPRODUCT(MAX(ROW(E3964:E$2)*(E3965=E3964:E$2)))))</f>
        <v> </v>
      </c>
      <c r="J3965" s="25" t="str">
        <f>IF(OR(E3965="",E3965="!!!",F3965="NEW"),"",COUNTBLANK(OFFSET(A$1,,,SUMPRODUCT(MAX(ROW(E$2:E3965)*(E3965=E$2:E3965)))))-COUNTBLANK(OFFSET(A$1,,,SUMPRODUCT(MAX(ROW(E$1:E3964)*(E2=E$1:E3964))))))</f>
        <v> </v>
      </c>
      <c r="K3965" s="25" t="str">
        <f>IF(OR(E3965="",E3965="!!!",F3965="NEW"),"",INDEX(J$1:J3964,SUMPRODUCT(MAX(ROW(E$1:E3964)*(E3965=E$1:E3964)))))</f>
        <v> </v>
      </c>
      <c r="L3965" s="26"/>
    </row>
    <row r="3966" spans="1:12">
      <c r="A3966" s="20" t="s">
        <v>2416</v>
      </c>
      <c r="E3966" s="21">
        <f>IF(D3966="?OLD","!!!","")</f>
        <v/>
      </c>
      <c r="F3966" s="22" t="str">
        <f>IF(OR(E3966="",E3966="!!!"),"",IF(NOT(ISNA(VLOOKUP(E3966,E$1:E3965,1,FALSE()))),"OLD",IF(AND(E3966&lt;&gt;"",E3966&lt;&gt;"!!!"),"NEW","")))</f>
        <v> </v>
      </c>
      <c r="G3966" s="23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4" t="str">
        <f>IF(J3966&lt;&gt;1,"",IF(I3966="SBJ","CB","?"))</f>
        <v> </v>
      </c>
      <c r="I3966" s="25" t="str">
        <f>IF(OR(E3966="",E3966="!!!",F3966="NEW"),"",INDEX(B3965:B$2,-1+SUMPRODUCT(MAX(ROW(E3965:E$2)*(E3966=E3965:E$2)))))</f>
        <v> </v>
      </c>
      <c r="J3966" s="25" t="str">
        <f>IF(OR(E3966="",E3966="!!!",F3966="NEW"),"",COUNTBLANK(OFFSET(A$1,,,SUMPRODUCT(MAX(ROW(E$2:E3966)*(E3966=E$2:E3966)))))-COUNTBLANK(OFFSET(A$1,,,SUMPRODUCT(MAX(ROW(E$1:E3965)*(E2=E$1:E3965))))))</f>
        <v> </v>
      </c>
      <c r="K3966" s="25" t="str">
        <f>IF(OR(E3966="",E3966="!!!",F3966="NEW"),"",INDEX(J$1:J3965,SUMPRODUCT(MAX(ROW(E$1:E3965)*(E3966=E$1:E3965)))))</f>
        <v> </v>
      </c>
      <c r="L3966" s="26"/>
    </row>
    <row r="3967" spans="1:12">
      <c r="A3967" s="20" t="s">
        <v>1312</v>
      </c>
      <c r="B3967" s="27" t="s">
        <v>1094</v>
      </c>
      <c r="E3967" s="21">
        <f>IF(D3967="?OLD","!!!","")</f>
        <v/>
      </c>
      <c r="F3967" s="22" t="str">
        <f>IF(OR(E3967="",E3967="!!!"),"",IF(NOT(ISNA(VLOOKUP(E3967,E$1:E3966,1,FALSE()))),"OLD",IF(AND(E3967&lt;&gt;"",E3967&lt;&gt;"!!!"),"NEW","")))</f>
        <v> </v>
      </c>
      <c r="G3967" s="23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4" t="str">
        <f>IF(J3967&lt;&gt;1,"",IF(I3967="SBJ","CB","?"))</f>
        <v> </v>
      </c>
      <c r="I3967" s="25" t="str">
        <f>IF(OR(E3967="",E3967="!!!",F3967="NEW"),"",INDEX(B3966:B$2,-1+SUMPRODUCT(MAX(ROW(E3966:E$2)*(E3967=E3966:E$2)))))</f>
        <v> </v>
      </c>
      <c r="J3967" s="25" t="str">
        <f>IF(OR(E3967="",E3967="!!!",F3967="NEW"),"",COUNTBLANK(OFFSET(A$1,,,SUMPRODUCT(MAX(ROW(E$2:E3967)*(E3967=E$2:E3967)))))-COUNTBLANK(OFFSET(A$1,,,SUMPRODUCT(MAX(ROW(E$1:E3966)*(E2=E$1:E3966))))))</f>
        <v> </v>
      </c>
      <c r="K3967" s="25" t="str">
        <f>IF(OR(E3967="",E3967="!!!",F3967="NEW"),"",INDEX(J$1:J3966,SUMPRODUCT(MAX(ROW(E$1:E3966)*(E3967=E$1:E3966)))))</f>
        <v> </v>
      </c>
      <c r="L3967" s="26"/>
    </row>
    <row r="3968" spans="1:12">
      <c r="A3968" s="20" t="s">
        <v>837</v>
      </c>
      <c r="E3968" s="21">
        <f>IF(D3968="?OLD","!!!","")</f>
        <v/>
      </c>
      <c r="F3968" s="22" t="str">
        <f>IF(OR(E3968="",E3968="!!!"),"",IF(NOT(ISNA(VLOOKUP(E3968,E$1:E3967,1,FALSE()))),"OLD",IF(AND(E3968&lt;&gt;"",E3968&lt;&gt;"!!!"),"NEW","")))</f>
        <v> </v>
      </c>
      <c r="G3968" s="23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4" t="str">
        <f>IF(J3968&lt;&gt;1,"",IF(I3968="SBJ","CB","?"))</f>
        <v> </v>
      </c>
      <c r="I3968" s="25" t="str">
        <f>IF(OR(E3968="",E3968="!!!",F3968="NEW"),"",INDEX(B3967:B$2,-1+SUMPRODUCT(MAX(ROW(E3967:E$2)*(E3968=E3967:E$2)))))</f>
        <v> </v>
      </c>
      <c r="J3968" s="25" t="str">
        <f>IF(OR(E3968="",E3968="!!!",F3968="NEW"),"",COUNTBLANK(OFFSET(A$1,,,SUMPRODUCT(MAX(ROW(E$2:E3968)*(E3968=E$2:E3968)))))-COUNTBLANK(OFFSET(A$1,,,SUMPRODUCT(MAX(ROW(E$1:E3967)*(E2=E$1:E3967))))))</f>
        <v> </v>
      </c>
      <c r="K3968" s="25" t="str">
        <f>IF(OR(E3968="",E3968="!!!",F3968="NEW"),"",INDEX(J$1:J3967,SUMPRODUCT(MAX(ROW(E$1:E3967)*(E3968=E$1:E3967)))))</f>
        <v> </v>
      </c>
      <c r="L3968" s="26"/>
    </row>
    <row r="3969" spans="1:12">
      <c r="A3969" s="20" t="s">
        <v>2417</v>
      </c>
      <c r="E3969" s="21">
        <f>IF(D3969="?OLD","!!!","")</f>
        <v/>
      </c>
      <c r="F3969" s="22" t="str">
        <f>IF(OR(E3969="",E3969="!!!"),"",IF(NOT(ISNA(VLOOKUP(E3969,E$1:E3968,1,FALSE()))),"OLD",IF(AND(E3969&lt;&gt;"",E3969&lt;&gt;"!!!"),"NEW","")))</f>
        <v> </v>
      </c>
      <c r="G3969" s="23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4" t="str">
        <f>IF(J3969&lt;&gt;1,"",IF(I3969="SBJ","CB","?"))</f>
        <v> </v>
      </c>
      <c r="I3969" s="25" t="str">
        <f>IF(OR(E3969="",E3969="!!!",F3969="NEW"),"",INDEX(B3968:B$2,-1+SUMPRODUCT(MAX(ROW(E3968:E$2)*(E3969=E3968:E$2)))))</f>
        <v> </v>
      </c>
      <c r="J3969" s="25" t="str">
        <f>IF(OR(E3969="",E3969="!!!",F3969="NEW"),"",COUNTBLANK(OFFSET(A$1,,,SUMPRODUCT(MAX(ROW(E$2:E3969)*(E3969=E$2:E3969)))))-COUNTBLANK(OFFSET(A$1,,,SUMPRODUCT(MAX(ROW(E$1:E3968)*(E2=E$1:E3968))))))</f>
        <v> </v>
      </c>
      <c r="K3969" s="25" t="str">
        <f>IF(OR(E3969="",E3969="!!!",F3969="NEW"),"",INDEX(J$1:J3968,SUMPRODUCT(MAX(ROW(E$1:E3968)*(E3969=E$1:E3968)))))</f>
        <v> </v>
      </c>
      <c r="L3969" s="26"/>
    </row>
    <row r="3970" spans="1:12">
      <c r="A3970" s="20" t="s">
        <v>803</v>
      </c>
      <c r="E3970" s="21">
        <f>IF(D3970="?OLD","!!!","")</f>
        <v/>
      </c>
      <c r="F3970" s="22" t="str">
        <f>IF(OR(E3970="",E3970="!!!"),"",IF(NOT(ISNA(VLOOKUP(E3970,E$1:E3969,1,FALSE()))),"OLD",IF(AND(E3970&lt;&gt;"",E3970&lt;&gt;"!!!"),"NEW","")))</f>
        <v> </v>
      </c>
      <c r="G3970" s="23" t="str">
        <f>IF(OR(E3970="",E3970="!!!"),"",IF(OR(J3970=0,AND(J3970=1,K3970=1),AND(J3970=1,I3970="SBJ"),AND(J3970=1,I3970=0)),"?IN_FOCUS",IF(J3970&lt;=2,"?ACTIVATED",IF(J3970&lt;&gt;"","?FAMILIAR",IF(F3970="NEW",IF(ISNA(VLOOKUP(E3970,#REF!,1,FALSE())),"?TYPE_IDENTIFIABLE","?REFERENTIAL"),"_")))))</f>
        <v> </v>
      </c>
      <c r="H3970" s="24" t="str">
        <f>IF(J3970&lt;&gt;1,"",IF(I3970="SBJ","CB","?"))</f>
        <v> </v>
      </c>
      <c r="I3970" s="25" t="str">
        <f>IF(OR(E3970="",E3970="!!!",F3970="NEW"),"",INDEX(B3969:B$2,-1+SUMPRODUCT(MAX(ROW(E3969:E$2)*(E3970=E3969:E$2)))))</f>
        <v> </v>
      </c>
      <c r="J3970" s="25" t="str">
        <f>IF(OR(E3970="",E3970="!!!",F3970="NEW"),"",COUNTBLANK(OFFSET(A$1,,,SUMPRODUCT(MAX(ROW(E$2:E3970)*(E3970=E$2:E3970)))))-COUNTBLANK(OFFSET(A$1,,,SUMPRODUCT(MAX(ROW(E$1:E3969)*(E2=E$1:E3969))))))</f>
        <v> </v>
      </c>
      <c r="K3970" s="25" t="str">
        <f>IF(OR(E3970="",E3970="!!!",F3970="NEW"),"",INDEX(J$1:J3969,SUMPRODUCT(MAX(ROW(E$1:E3969)*(E3970=E$1:E3969)))))</f>
        <v> </v>
      </c>
      <c r="L3970" s="26"/>
    </row>
    <row r="3971" spans="1:12">
      <c r="A3971" s="20"/>
    </row>
    <row r="3972" spans="1:12">
      <c r="A3972" s="20" t="s">
        <v>2418</v>
      </c>
    </row>
    <row r="3973" spans="1:12">
      <c r="A3973" s="20" t="s">
        <v>934</v>
      </c>
      <c r="E3973" s="21">
        <f>IF(D3973="?OLD","!!!","")</f>
        <v/>
      </c>
      <c r="F3973" s="22" t="str">
        <f>IF(OR(E3973="",E3973="!!!"),"",IF(NOT(ISNA(VLOOKUP(E3973,E$1:E3972,1,FALSE()))),"OLD",IF(AND(E3973&lt;&gt;"",E3973&lt;&gt;"!!!"),"NEW","")))</f>
        <v> </v>
      </c>
      <c r="G3973" s="23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4" t="str">
        <f>IF(J3973&lt;&gt;1,"",IF(I3973="SBJ","CB","?"))</f>
        <v> </v>
      </c>
      <c r="I3973" s="25" t="str">
        <f>IF(OR(E3973="",E3973="!!!",F3973="NEW"),"",INDEX(B3972:B$2,-1+SUMPRODUCT(MAX(ROW(E3972:E$2)*(E3973=E3972:E$2)))))</f>
        <v> </v>
      </c>
      <c r="J3973" s="25" t="str">
        <f>IF(OR(E3973="",E3973="!!!",F3973="NEW"),"",COUNTBLANK(OFFSET(A$1,,,SUMPRODUCT(MAX(ROW(E$2:E3973)*(E3973=E$2:E3973)))))-COUNTBLANK(OFFSET(A$1,,,SUMPRODUCT(MAX(ROW(E$1:E3972)*(E2=E$1:E3972))))))</f>
        <v> </v>
      </c>
      <c r="K3973" s="25" t="str">
        <f>IF(OR(E3973="",E3973="!!!",F3973="NEW"),"",INDEX(J$1:J3972,SUMPRODUCT(MAX(ROW(E$1:E3972)*(E3973=E$1:E3972)))))</f>
        <v> </v>
      </c>
      <c r="L3973" s="26"/>
    </row>
    <row r="3974" spans="1:12">
      <c r="A3974" s="20" t="s">
        <v>837</v>
      </c>
      <c r="E3974" s="21">
        <f>IF(D3974="?OLD","!!!","")</f>
        <v/>
      </c>
      <c r="F3974" s="22" t="str">
        <f>IF(OR(E3974="",E3974="!!!"),"",IF(NOT(ISNA(VLOOKUP(E3974,E$1:E3973,1,FALSE()))),"OLD",IF(AND(E3974&lt;&gt;"",E3974&lt;&gt;"!!!"),"NEW","")))</f>
        <v> </v>
      </c>
      <c r="G3974" s="23" t="str">
        <f>IF(OR(E3974="",E3974="!!!"),"",IF(OR(J3974=0,AND(J3974=1,K3974=1),AND(J3974=1,I3974="SBJ"),AND(J3974=1,I3974=0)),"?IN_FOCUS",IF(J3974&lt;=2,"?ACTIVATED",IF(J3974&lt;&gt;"","?FAMILIAR",IF(F3974="NEW",IF(ISNA(VLOOKUP(E3974,#REF!,1,FALSE())),"?TYPE_IDENTIFIABLE","?REFERENTIAL"),"_")))))</f>
        <v> </v>
      </c>
      <c r="H3974" s="24" t="str">
        <f>IF(J3974&lt;&gt;1,"",IF(I3974="SBJ","CB","?"))</f>
        <v> </v>
      </c>
      <c r="I3974" s="25" t="str">
        <f>IF(OR(E3974="",E3974="!!!",F3974="NEW"),"",INDEX(B3973:B$2,-1+SUMPRODUCT(MAX(ROW(E3973:E$2)*(E3974=E3973:E$2)))))</f>
        <v> </v>
      </c>
      <c r="J3974" s="25" t="str">
        <f>IF(OR(E3974="",E3974="!!!",F3974="NEW"),"",COUNTBLANK(OFFSET(A$1,,,SUMPRODUCT(MAX(ROW(E$2:E3974)*(E3974=E$2:E3974)))))-COUNTBLANK(OFFSET(A$1,,,SUMPRODUCT(MAX(ROW(E$1:E3973)*(E2=E$1:E3973))))))</f>
        <v> </v>
      </c>
      <c r="K3974" s="25" t="str">
        <f>IF(OR(E3974="",E3974="!!!",F3974="NEW"),"",INDEX(J$1:J3973,SUMPRODUCT(MAX(ROW(E$1:E3973)*(E3974=E$1:E3973)))))</f>
        <v> </v>
      </c>
      <c r="L3974" s="26"/>
    </row>
    <row r="3975" spans="1:12">
      <c r="A3975" s="20" t="s">
        <v>1518</v>
      </c>
      <c r="E3975" s="21">
        <f>IF(D3975="?OLD","!!!","")</f>
        <v/>
      </c>
      <c r="F3975" s="22" t="str">
        <f>IF(OR(E3975="",E3975="!!!"),"",IF(NOT(ISNA(VLOOKUP(E3975,E$1:E3974,1,FALSE()))),"OLD",IF(AND(E3975&lt;&gt;"",E3975&lt;&gt;"!!!"),"NEW","")))</f>
        <v> </v>
      </c>
      <c r="G3975" s="23" t="str">
        <f>IF(OR(E3975="",E3975="!!!"),"",IF(OR(J3975=0,AND(J3975=1,K3975=1),AND(J3975=1,I3975="SBJ"),AND(J3975=1,I3975=0)),"?IN_FOCUS",IF(J3975&lt;=2,"?ACTIVATED",IF(J3975&lt;&gt;"","?FAMILIAR",IF(F3975="NEW",IF(ISNA(VLOOKUP(E3975,#REF!,1,FALSE())),"?TYPE_IDENTIFIABLE","?REFERENTIAL"),"_")))))</f>
        <v> </v>
      </c>
      <c r="H3975" s="24" t="str">
        <f>IF(J3975&lt;&gt;1,"",IF(I3975="SBJ","CB","?"))</f>
        <v> </v>
      </c>
      <c r="I3975" s="25" t="str">
        <f>IF(OR(E3975="",E3975="!!!",F3975="NEW"),"",INDEX(B3974:B$2,-1+SUMPRODUCT(MAX(ROW(E3974:E$2)*(E3975=E3974:E$2)))))</f>
        <v> </v>
      </c>
      <c r="J3975" s="25" t="str">
        <f>IF(OR(E3975="",E3975="!!!",F3975="NEW"),"",COUNTBLANK(OFFSET(A$1,,,SUMPRODUCT(MAX(ROW(E$2:E3975)*(E3975=E$2:E3975)))))-COUNTBLANK(OFFSET(A$1,,,SUMPRODUCT(MAX(ROW(E$1:E3974)*(E2=E$1:E3974))))))</f>
        <v> </v>
      </c>
      <c r="K3975" s="25" t="str">
        <f>IF(OR(E3975="",E3975="!!!",F3975="NEW"),"",INDEX(J$1:J3974,SUMPRODUCT(MAX(ROW(E$1:E3974)*(E3975=E$1:E3974)))))</f>
        <v> </v>
      </c>
      <c r="L3975" s="26"/>
    </row>
    <row r="3976" spans="1:12">
      <c r="A3976" s="20" t="s">
        <v>1519</v>
      </c>
      <c r="B3976" s="27" t="s">
        <v>842</v>
      </c>
      <c r="C3976" s="27" t="s">
        <v>1095</v>
      </c>
      <c r="D3976" s="27" t="s">
        <v>801</v>
      </c>
      <c r="E3976" s="21">
        <f>IF(D3976="?OLD","!!!","")</f>
        <v/>
      </c>
      <c r="F3976" s="22" t="str">
        <f>IF(OR(E3976="",E3976="!!!"),"",IF(NOT(ISNA(VLOOKUP(E3976,E$1:E3975,1,FALSE()))),"OLD",IF(AND(E3976&lt;&gt;"",E3976&lt;&gt;"!!!"),"NEW","")))</f>
        <v> </v>
      </c>
      <c r="G3976" s="23" t="str">
        <f>IF(OR(E3976="",E3976="!!!"),"",IF(OR(J3976=0,AND(J3976=1,K3976=1),AND(J3976=1,I3976="SBJ"),AND(J3976=1,I3976=0)),"?IN_FOCUS",IF(J3976&lt;=2,"?ACTIVATED",IF(J3976&lt;&gt;"","?FAMILIAR",IF(F3976="NEW",IF(ISNA(VLOOKUP(E3976,#REF!,1,FALSE())),"?TYPE_IDENTIFIABLE","?REFERENTIAL"),"_")))))</f>
        <v> </v>
      </c>
      <c r="H3976" s="24" t="str">
        <f>IF(J3976&lt;&gt;1,"",IF(I3976="SBJ","CB","?"))</f>
        <v> </v>
      </c>
      <c r="I3976" s="25" t="str">
        <f>IF(OR(E3976="",E3976="!!!",F3976="NEW"),"",INDEX(B3975:B$2,-1+SUMPRODUCT(MAX(ROW(E3975:E$2)*(E3976=E3975:E$2)))))</f>
        <v> </v>
      </c>
      <c r="J3976" s="25" t="str">
        <f>IF(OR(E3976="",E3976="!!!",F3976="NEW"),"",COUNTBLANK(OFFSET(A$1,,,SUMPRODUCT(MAX(ROW(E$2:E3976)*(E3976=E$2:E3976)))))-COUNTBLANK(OFFSET(A$1,,,SUMPRODUCT(MAX(ROW(E$1:E3975)*(E2=E$1:E3975))))))</f>
        <v> </v>
      </c>
      <c r="K3976" s="25" t="str">
        <f>IF(OR(E3976="",E3976="!!!",F3976="NEW"),"",INDEX(J$1:J3975,SUMPRODUCT(MAX(ROW(E$1:E3975)*(E3976=E$1:E3975)))))</f>
        <v> </v>
      </c>
      <c r="L3976" s="26"/>
    </row>
    <row r="3977" spans="1:12">
      <c r="A3977" s="20" t="s">
        <v>935</v>
      </c>
      <c r="B3977" s="27" t="s">
        <v>799</v>
      </c>
      <c r="C3977" s="27" t="s">
        <v>816</v>
      </c>
      <c r="D3977" s="27" t="s">
        <v>801</v>
      </c>
      <c r="E3977" s="21">
        <f>IF(D3977="?OLD","!!!","")</f>
        <v/>
      </c>
      <c r="F3977" s="22" t="str">
        <f>IF(OR(E3977="",E3977="!!!"),"",IF(NOT(ISNA(VLOOKUP(E3977,E$1:E3976,1,FALSE()))),"OLD",IF(AND(E3977&lt;&gt;"",E3977&lt;&gt;"!!!"),"NEW","")))</f>
        <v> </v>
      </c>
      <c r="G3977" s="23" t="str">
        <f>IF(OR(E3977="",E3977="!!!"),"",IF(OR(J3977=0,AND(J3977=1,K3977=1),AND(J3977=1,I3977="SBJ"),AND(J3977=1,I3977=0)),"?IN_FOCUS",IF(J3977&lt;=2,"?ACTIVATED",IF(J3977&lt;&gt;"","?FAMILIAR",IF(F3977="NEW",IF(ISNA(VLOOKUP(E3977,#REF!,1,FALSE())),"?TYPE_IDENTIFIABLE","?REFERENTIAL"),"_")))))</f>
        <v> </v>
      </c>
      <c r="H3977" s="24" t="str">
        <f>IF(J3977&lt;&gt;1,"",IF(I3977="SBJ","CB","?"))</f>
        <v> </v>
      </c>
      <c r="I3977" s="25" t="str">
        <f>IF(OR(E3977="",E3977="!!!",F3977="NEW"),"",INDEX(B3976:B$2,-1+SUMPRODUCT(MAX(ROW(E3976:E$2)*(E3977=E3976:E$2)))))</f>
        <v> </v>
      </c>
      <c r="J3977" s="25" t="str">
        <f>IF(OR(E3977="",E3977="!!!",F3977="NEW"),"",COUNTBLANK(OFFSET(A$1,,,SUMPRODUCT(MAX(ROW(E$2:E3977)*(E3977=E$2:E3977)))))-COUNTBLANK(OFFSET(A$1,,,SUMPRODUCT(MAX(ROW(E$1:E3976)*(E2=E$1:E3976))))))</f>
        <v> </v>
      </c>
      <c r="K3977" s="25" t="str">
        <f>IF(OR(E3977="",E3977="!!!",F3977="NEW"),"",INDEX(J$1:J3976,SUMPRODUCT(MAX(ROW(E$1:E3976)*(E3977=E$1:E3976)))))</f>
        <v> </v>
      </c>
      <c r="L3977" s="26"/>
    </row>
    <row r="3978" spans="1:12">
      <c r="A3978" s="20" t="s">
        <v>2419</v>
      </c>
      <c r="E3978" s="21">
        <f>IF(D3978="?OLD","!!!","")</f>
        <v/>
      </c>
      <c r="F3978" s="22" t="str">
        <f>IF(OR(E3978="",E3978="!!!"),"",IF(NOT(ISNA(VLOOKUP(E3978,E$1:E3977,1,FALSE()))),"OLD",IF(AND(E3978&lt;&gt;"",E3978&lt;&gt;"!!!"),"NEW","")))</f>
        <v> </v>
      </c>
      <c r="G3978" s="23" t="str">
        <f>IF(OR(E3978="",E3978="!!!"),"",IF(OR(J3978=0,AND(J3978=1,K3978=1),AND(J3978=1,I3978="SBJ"),AND(J3978=1,I3978=0)),"?IN_FOCUS",IF(J3978&lt;=2,"?ACTIVATED",IF(J3978&lt;&gt;"","?FAMILIAR",IF(F3978="NEW",IF(ISNA(VLOOKUP(E3978,#REF!,1,FALSE())),"?TYPE_IDENTIFIABLE","?REFERENTIAL"),"_")))))</f>
        <v> </v>
      </c>
      <c r="H3978" s="24" t="str">
        <f>IF(J3978&lt;&gt;1,"",IF(I3978="SBJ","CB","?"))</f>
        <v> </v>
      </c>
      <c r="I3978" s="25" t="str">
        <f>IF(OR(E3978="",E3978="!!!",F3978="NEW"),"",INDEX(B3977:B$2,-1+SUMPRODUCT(MAX(ROW(E3977:E$2)*(E3978=E3977:E$2)))))</f>
        <v> </v>
      </c>
      <c r="J3978" s="25" t="str">
        <f>IF(OR(E3978="",E3978="!!!",F3978="NEW"),"",COUNTBLANK(OFFSET(A$1,,,SUMPRODUCT(MAX(ROW(E$2:E3978)*(E3978=E$2:E3978)))))-COUNTBLANK(OFFSET(A$1,,,SUMPRODUCT(MAX(ROW(E$1:E3977)*(E2=E$1:E3977))))))</f>
        <v> </v>
      </c>
      <c r="K3978" s="25" t="str">
        <f>IF(OR(E3978="",E3978="!!!",F3978="NEW"),"",INDEX(J$1:J3977,SUMPRODUCT(MAX(ROW(E$1:E3977)*(E3978=E$1:E3977)))))</f>
        <v> </v>
      </c>
      <c r="L3978" s="26"/>
    </row>
    <row r="3979" spans="1:12">
      <c r="A3979" s="20" t="s">
        <v>795</v>
      </c>
      <c r="E3979" s="21">
        <f>IF(D3979="?OLD","!!!","")</f>
        <v/>
      </c>
      <c r="F3979" s="22" t="str">
        <f>IF(OR(E3979="",E3979="!!!"),"",IF(NOT(ISNA(VLOOKUP(E3979,E$1:E3978,1,FALSE()))),"OLD",IF(AND(E3979&lt;&gt;"",E3979&lt;&gt;"!!!"),"NEW","")))</f>
        <v> </v>
      </c>
      <c r="G3979" s="23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4" t="str">
        <f>IF(J3979&lt;&gt;1,"",IF(I3979="SBJ","CB","?"))</f>
        <v> </v>
      </c>
      <c r="I3979" s="25" t="str">
        <f>IF(OR(E3979="",E3979="!!!",F3979="NEW"),"",INDEX(B3978:B$2,-1+SUMPRODUCT(MAX(ROW(E3978:E$2)*(E3979=E3978:E$2)))))</f>
        <v> </v>
      </c>
      <c r="J3979" s="25" t="str">
        <f>IF(OR(E3979="",E3979="!!!",F3979="NEW"),"",COUNTBLANK(OFFSET(A$1,,,SUMPRODUCT(MAX(ROW(E$2:E3979)*(E3979=E$2:E3979)))))-COUNTBLANK(OFFSET(A$1,,,SUMPRODUCT(MAX(ROW(E$1:E3978)*(E2=E$1:E3978))))))</f>
        <v> </v>
      </c>
      <c r="K3979" s="25" t="str">
        <f>IF(OR(E3979="",E3979="!!!",F3979="NEW"),"",INDEX(J$1:J3978,SUMPRODUCT(MAX(ROW(E$1:E3978)*(E3979=E$1:E3978)))))</f>
        <v> </v>
      </c>
      <c r="L3979" s="26"/>
    </row>
    <row r="3980" spans="1:12">
      <c r="A3980" s="20" t="s">
        <v>877</v>
      </c>
      <c r="E3980" s="21">
        <f>IF(D3980="?OLD","!!!","")</f>
        <v/>
      </c>
      <c r="F3980" s="22" t="str">
        <f>IF(OR(E3980="",E3980="!!!"),"",IF(NOT(ISNA(VLOOKUP(E3980,E$1:E3979,1,FALSE()))),"OLD",IF(AND(E3980&lt;&gt;"",E3980&lt;&gt;"!!!"),"NEW","")))</f>
        <v> </v>
      </c>
      <c r="G3980" s="23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4" t="str">
        <f>IF(J3980&lt;&gt;1,"",IF(I3980="SBJ","CB","?"))</f>
        <v> </v>
      </c>
      <c r="I3980" s="25" t="str">
        <f>IF(OR(E3980="",E3980="!!!",F3980="NEW"),"",INDEX(B3979:B$2,-1+SUMPRODUCT(MAX(ROW(E3979:E$2)*(E3980=E3979:E$2)))))</f>
        <v> </v>
      </c>
      <c r="J3980" s="25" t="str">
        <f>IF(OR(E3980="",E3980="!!!",F3980="NEW"),"",COUNTBLANK(OFFSET(A$1,,,SUMPRODUCT(MAX(ROW(E$2:E3980)*(E3980=E$2:E3980)))))-COUNTBLANK(OFFSET(A$1,,,SUMPRODUCT(MAX(ROW(E$1:E3979)*(E2=E$1:E3979))))))</f>
        <v> </v>
      </c>
      <c r="K3980" s="25" t="str">
        <f>IF(OR(E3980="",E3980="!!!",F3980="NEW"),"",INDEX(J$1:J3979,SUMPRODUCT(MAX(ROW(E$1:E3979)*(E3980=E$1:E3979)))))</f>
        <v> </v>
      </c>
      <c r="L3980" s="26"/>
    </row>
    <row r="3981" spans="1:12">
      <c r="A3981" s="20" t="s">
        <v>2420</v>
      </c>
      <c r="B3981" s="27" t="s">
        <v>846</v>
      </c>
      <c r="C3981" s="27" t="s">
        <v>896</v>
      </c>
      <c r="D3981" s="27" t="s">
        <v>801</v>
      </c>
      <c r="E3981" s="21">
        <f>IF(D3981="?OLD","!!!","")</f>
        <v/>
      </c>
      <c r="F3981" s="22" t="str">
        <f>IF(OR(E3981="",E3981="!!!"),"",IF(NOT(ISNA(VLOOKUP(E3981,E$1:E3980,1,FALSE()))),"OLD",IF(AND(E3981&lt;&gt;"",E3981&lt;&gt;"!!!"),"NEW","")))</f>
        <v> </v>
      </c>
      <c r="G3981" s="23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4" t="str">
        <f>IF(J3981&lt;&gt;1,"",IF(I3981="SBJ","CB","?"))</f>
        <v> </v>
      </c>
      <c r="I3981" s="25" t="str">
        <f>IF(OR(E3981="",E3981="!!!",F3981="NEW"),"",INDEX(B3980:B$2,-1+SUMPRODUCT(MAX(ROW(E3980:E$2)*(E3981=E3980:E$2)))))</f>
        <v> </v>
      </c>
      <c r="J3981" s="25" t="str">
        <f>IF(OR(E3981="",E3981="!!!",F3981="NEW"),"",COUNTBLANK(OFFSET(A$1,,,SUMPRODUCT(MAX(ROW(E$2:E3981)*(E3981=E$2:E3981)))))-COUNTBLANK(OFFSET(A$1,,,SUMPRODUCT(MAX(ROW(E$1:E3980)*(E2=E$1:E3980))))))</f>
        <v> </v>
      </c>
      <c r="K3981" s="25" t="str">
        <f>IF(OR(E3981="",E3981="!!!",F3981="NEW"),"",INDEX(J$1:J3980,SUMPRODUCT(MAX(ROW(E$1:E3980)*(E3981=E$1:E3980)))))</f>
        <v> </v>
      </c>
      <c r="L3981" s="26"/>
    </row>
    <row r="3982" spans="1:12">
      <c r="A3982" s="20" t="s">
        <v>2181</v>
      </c>
      <c r="B3982" s="27" t="s">
        <v>849</v>
      </c>
      <c r="E3982" s="21">
        <f>IF(D3982="?OLD","!!!","")</f>
        <v/>
      </c>
      <c r="F3982" s="22" t="str">
        <f>IF(OR(E3982="",E3982="!!!"),"",IF(NOT(ISNA(VLOOKUP(E3982,E$1:E3981,1,FALSE()))),"OLD",IF(AND(E3982&lt;&gt;"",E3982&lt;&gt;"!!!"),"NEW","")))</f>
        <v> </v>
      </c>
      <c r="G3982" s="23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4" t="str">
        <f>IF(J3982&lt;&gt;1,"",IF(I3982="SBJ","CB","?"))</f>
        <v> </v>
      </c>
      <c r="I3982" s="25" t="str">
        <f>IF(OR(E3982="",E3982="!!!",F3982="NEW"),"",INDEX(B3981:B$2,-1+SUMPRODUCT(MAX(ROW(E3981:E$2)*(E3982=E3981:E$2)))))</f>
        <v> </v>
      </c>
      <c r="J3982" s="25" t="str">
        <f>IF(OR(E3982="",E3982="!!!",F3982="NEW"),"",COUNTBLANK(OFFSET(A$1,,,SUMPRODUCT(MAX(ROW(E$2:E3982)*(E3982=E$2:E3982)))))-COUNTBLANK(OFFSET(A$1,,,SUMPRODUCT(MAX(ROW(E$1:E3981)*(E2=E$1:E3981))))))</f>
        <v> </v>
      </c>
      <c r="K3982" s="25" t="str">
        <f>IF(OR(E3982="",E3982="!!!",F3982="NEW"),"",INDEX(J$1:J3981,SUMPRODUCT(MAX(ROW(E$1:E3981)*(E3982=E$1:E3981)))))</f>
        <v> </v>
      </c>
      <c r="L3982" s="26"/>
    </row>
    <row r="3983" spans="1:12">
      <c r="A3983" s="20" t="s">
        <v>1934</v>
      </c>
      <c r="E3983" s="21">
        <f>IF(D3983="?OLD","!!!","")</f>
        <v/>
      </c>
      <c r="F3983" s="22" t="str">
        <f>IF(OR(E3983="",E3983="!!!"),"",IF(NOT(ISNA(VLOOKUP(E3983,E$1:E3982,1,FALSE()))),"OLD",IF(AND(E3983&lt;&gt;"",E3983&lt;&gt;"!!!"),"NEW","")))</f>
        <v> </v>
      </c>
      <c r="G3983" s="23" t="str">
        <f>IF(OR(E3983="",E3983="!!!"),"",IF(OR(J3983=0,AND(J3983=1,K3983=1),AND(J3983=1,I3983="SBJ"),AND(J3983=1,I3983=0)),"?IN_FOCUS",IF(J3983&lt;=2,"?ACTIVATED",IF(J3983&lt;&gt;"","?FAMILIAR",IF(F3983="NEW",IF(ISNA(VLOOKUP(E3983,#REF!,1,FALSE())),"?TYPE_IDENTIFIABLE","?REFERENTIAL"),"_")))))</f>
        <v> </v>
      </c>
      <c r="H3983" s="24" t="str">
        <f>IF(J3983&lt;&gt;1,"",IF(I3983="SBJ","CB","?"))</f>
        <v> </v>
      </c>
      <c r="I3983" s="25" t="str">
        <f>IF(OR(E3983="",E3983="!!!",F3983="NEW"),"",INDEX(B3982:B$2,-1+SUMPRODUCT(MAX(ROW(E3982:E$2)*(E3983=E3982:E$2)))))</f>
        <v> </v>
      </c>
      <c r="J3983" s="25" t="str">
        <f>IF(OR(E3983="",E3983="!!!",F3983="NEW"),"",COUNTBLANK(OFFSET(A$1,,,SUMPRODUCT(MAX(ROW(E$2:E3983)*(E3983=E$2:E3983)))))-COUNTBLANK(OFFSET(A$1,,,SUMPRODUCT(MAX(ROW(E$1:E3982)*(E2=E$1:E3982))))))</f>
        <v> </v>
      </c>
      <c r="K3983" s="25" t="str">
        <f>IF(OR(E3983="",E3983="!!!",F3983="NEW"),"",INDEX(J$1:J3982,SUMPRODUCT(MAX(ROW(E$1:E3982)*(E3983=E$1:E3982)))))</f>
        <v> </v>
      </c>
      <c r="L3983" s="26"/>
    </row>
    <row r="3984" spans="1:12">
      <c r="A3984" s="20" t="s">
        <v>1062</v>
      </c>
      <c r="E3984" s="21">
        <f>IF(D3984="?OLD","!!!","")</f>
        <v/>
      </c>
      <c r="F3984" s="22" t="str">
        <f>IF(OR(E3984="",E3984="!!!"),"",IF(NOT(ISNA(VLOOKUP(E3984,E$1:E3983,1,FALSE()))),"OLD",IF(AND(E3984&lt;&gt;"",E3984&lt;&gt;"!!!"),"NEW","")))</f>
        <v> </v>
      </c>
      <c r="G3984" s="23" t="str">
        <f>IF(OR(E3984="",E3984="!!!"),"",IF(OR(J3984=0,AND(J3984=1,K3984=1),AND(J3984=1,I3984="SBJ"),AND(J3984=1,I3984=0)),"?IN_FOCUS",IF(J3984&lt;=2,"?ACTIVATED",IF(J3984&lt;&gt;"","?FAMILIAR",IF(F3984="NEW",IF(ISNA(VLOOKUP(E3984,#REF!,1,FALSE())),"?TYPE_IDENTIFIABLE","?REFERENTIAL"),"_")))))</f>
        <v> </v>
      </c>
      <c r="H3984" s="24" t="str">
        <f>IF(J3984&lt;&gt;1,"",IF(I3984="SBJ","CB","?"))</f>
        <v> </v>
      </c>
      <c r="I3984" s="25" t="str">
        <f>IF(OR(E3984="",E3984="!!!",F3984="NEW"),"",INDEX(B3983:B$2,-1+SUMPRODUCT(MAX(ROW(E3983:E$2)*(E3984=E3983:E$2)))))</f>
        <v> </v>
      </c>
      <c r="J3984" s="25" t="str">
        <f>IF(OR(E3984="",E3984="!!!",F3984="NEW"),"",COUNTBLANK(OFFSET(A$1,,,SUMPRODUCT(MAX(ROW(E$2:E3984)*(E3984=E$2:E3984)))))-COUNTBLANK(OFFSET(A$1,,,SUMPRODUCT(MAX(ROW(E$1:E3983)*(E2=E$1:E3983))))))</f>
        <v> </v>
      </c>
      <c r="K3984" s="25" t="str">
        <f>IF(OR(E3984="",E3984="!!!",F3984="NEW"),"",INDEX(J$1:J3983,SUMPRODUCT(MAX(ROW(E$1:E3983)*(E3984=E$1:E3983)))))</f>
        <v> </v>
      </c>
      <c r="L3984" s="26"/>
    </row>
    <row r="3985" spans="1:12">
      <c r="A3985" s="20" t="s">
        <v>1008</v>
      </c>
      <c r="B3985" s="27" t="s">
        <v>857</v>
      </c>
      <c r="C3985" s="27" t="s">
        <v>816</v>
      </c>
      <c r="D3985" s="27" t="s">
        <v>801</v>
      </c>
      <c r="E3985" s="21">
        <f>IF(D3985="?OLD","!!!","")</f>
        <v/>
      </c>
      <c r="F3985" s="22" t="str">
        <f>IF(OR(E3985="",E3985="!!!"),"",IF(NOT(ISNA(VLOOKUP(E3985,E$1:E3984,1,FALSE()))),"OLD",IF(AND(E3985&lt;&gt;"",E3985&lt;&gt;"!!!"),"NEW","")))</f>
        <v> </v>
      </c>
      <c r="G3985" s="23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4" t="str">
        <f>IF(J3985&lt;&gt;1,"",IF(I3985="SBJ","CB","?"))</f>
        <v> </v>
      </c>
      <c r="I3985" s="25" t="str">
        <f>IF(OR(E3985="",E3985="!!!",F3985="NEW"),"",INDEX(B3984:B$2,-1+SUMPRODUCT(MAX(ROW(E3984:E$2)*(E3985=E3984:E$2)))))</f>
        <v> </v>
      </c>
      <c r="J3985" s="25" t="str">
        <f>IF(OR(E3985="",E3985="!!!",F3985="NEW"),"",COUNTBLANK(OFFSET(A$1,,,SUMPRODUCT(MAX(ROW(E$2:E3985)*(E3985=E$2:E3985)))))-COUNTBLANK(OFFSET(A$1,,,SUMPRODUCT(MAX(ROW(E$1:E3984)*(E2=E$1:E3984))))))</f>
        <v> </v>
      </c>
      <c r="K3985" s="25" t="str">
        <f>IF(OR(E3985="",E3985="!!!",F3985="NEW"),"",INDEX(J$1:J3984,SUMPRODUCT(MAX(ROW(E$1:E3984)*(E3985=E$1:E3984)))))</f>
        <v> </v>
      </c>
      <c r="L3985" s="26"/>
    </row>
    <row r="3986" spans="1:12">
      <c r="A3986" s="20" t="s">
        <v>2421</v>
      </c>
      <c r="E3986" s="21">
        <f>IF(D3986="?OLD","!!!","")</f>
        <v/>
      </c>
      <c r="F3986" s="22" t="str">
        <f>IF(OR(E3986="",E3986="!!!"),"",IF(NOT(ISNA(VLOOKUP(E3986,E$1:E3985,1,FALSE()))),"OLD",IF(AND(E3986&lt;&gt;"",E3986&lt;&gt;"!!!"),"NEW","")))</f>
        <v> </v>
      </c>
      <c r="G3986" s="23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4" t="str">
        <f>IF(J3986&lt;&gt;1,"",IF(I3986="SBJ","CB","?"))</f>
        <v> </v>
      </c>
      <c r="I3986" s="25" t="str">
        <f>IF(OR(E3986="",E3986="!!!",F3986="NEW"),"",INDEX(B3985:B$2,-1+SUMPRODUCT(MAX(ROW(E3985:E$2)*(E3986=E3985:E$2)))))</f>
        <v> </v>
      </c>
      <c r="J3986" s="25" t="str">
        <f>IF(OR(E3986="",E3986="!!!",F3986="NEW"),"",COUNTBLANK(OFFSET(A$1,,,SUMPRODUCT(MAX(ROW(E$2:E3986)*(E3986=E$2:E3986)))))-COUNTBLANK(OFFSET(A$1,,,SUMPRODUCT(MAX(ROW(E$1:E3985)*(E2=E$1:E3985))))))</f>
        <v> </v>
      </c>
      <c r="K3986" s="25" t="str">
        <f>IF(OR(E3986="",E3986="!!!",F3986="NEW"),"",INDEX(J$1:J3985,SUMPRODUCT(MAX(ROW(E$1:E3985)*(E3986=E$1:E3985)))))</f>
        <v> </v>
      </c>
      <c r="L3986" s="26"/>
    </row>
    <row r="3987" spans="1:12">
      <c r="A3987" s="20" t="s">
        <v>825</v>
      </c>
      <c r="E3987" s="21">
        <f>IF(D3987="?OLD","!!!","")</f>
        <v/>
      </c>
      <c r="F3987" s="22" t="str">
        <f>IF(OR(E3987="",E3987="!!!"),"",IF(NOT(ISNA(VLOOKUP(E3987,E$1:E3986,1,FALSE()))),"OLD",IF(AND(E3987&lt;&gt;"",E3987&lt;&gt;"!!!"),"NEW","")))</f>
        <v> </v>
      </c>
      <c r="G3987" s="23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4" t="str">
        <f>IF(J3987&lt;&gt;1,"",IF(I3987="SBJ","CB","?"))</f>
        <v> </v>
      </c>
      <c r="I3987" s="25" t="str">
        <f>IF(OR(E3987="",E3987="!!!",F3987="NEW"),"",INDEX(B3986:B$2,-1+SUMPRODUCT(MAX(ROW(E3986:E$2)*(E3987=E3986:E$2)))))</f>
        <v> </v>
      </c>
      <c r="J3987" s="25" t="str">
        <f>IF(OR(E3987="",E3987="!!!",F3987="NEW"),"",COUNTBLANK(OFFSET(A$1,,,SUMPRODUCT(MAX(ROW(E$2:E3987)*(E3987=E$2:E3987)))))-COUNTBLANK(OFFSET(A$1,,,SUMPRODUCT(MAX(ROW(E$1:E3986)*(E2=E$1:E3986))))))</f>
        <v> </v>
      </c>
      <c r="K3987" s="25" t="str">
        <f>IF(OR(E3987="",E3987="!!!",F3987="NEW"),"",INDEX(J$1:J3986,SUMPRODUCT(MAX(ROW(E$1:E3986)*(E3987=E$1:E3986)))))</f>
        <v> </v>
      </c>
      <c r="L3987" s="26"/>
    </row>
    <row r="3988" spans="1:12">
      <c r="A3988" s="20" t="s">
        <v>935</v>
      </c>
      <c r="B3988" s="27" t="s">
        <v>874</v>
      </c>
      <c r="C3988" s="27" t="s">
        <v>816</v>
      </c>
      <c r="D3988" s="27" t="s">
        <v>801</v>
      </c>
      <c r="E3988" s="21">
        <f>IF(D3988="?OLD","!!!","")</f>
        <v/>
      </c>
      <c r="F3988" s="22" t="str">
        <f>IF(OR(E3988="",E3988="!!!"),"",IF(NOT(ISNA(VLOOKUP(E3988,E$1:E3987,1,FALSE()))),"OLD",IF(AND(E3988&lt;&gt;"",E3988&lt;&gt;"!!!"),"NEW","")))</f>
        <v> </v>
      </c>
      <c r="G3988" s="23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4" t="str">
        <f>IF(J3988&lt;&gt;1,"",IF(I3988="SBJ","CB","?"))</f>
        <v> </v>
      </c>
      <c r="I3988" s="25" t="str">
        <f>IF(OR(E3988="",E3988="!!!",F3988="NEW"),"",INDEX(B3987:B$2,-1+SUMPRODUCT(MAX(ROW(E3987:E$2)*(E3988=E3987:E$2)))))</f>
        <v> </v>
      </c>
      <c r="J3988" s="25" t="str">
        <f>IF(OR(E3988="",E3988="!!!",F3988="NEW"),"",COUNTBLANK(OFFSET(A$1,,,SUMPRODUCT(MAX(ROW(E$2:E3988)*(E3988=E$2:E3988)))))-COUNTBLANK(OFFSET(A$1,,,SUMPRODUCT(MAX(ROW(E$1:E3987)*(E2=E$1:E3987))))))</f>
        <v> </v>
      </c>
      <c r="K3988" s="25" t="str">
        <f>IF(OR(E3988="",E3988="!!!",F3988="NEW"),"",INDEX(J$1:J3987,SUMPRODUCT(MAX(ROW(E$1:E3987)*(E3988=E$1:E3987)))))</f>
        <v> </v>
      </c>
      <c r="L3988" s="26"/>
    </row>
    <row r="3989" spans="1:12">
      <c r="A3989" s="20" t="s">
        <v>2422</v>
      </c>
      <c r="E3989" s="21">
        <f>IF(D3989="?OLD","!!!","")</f>
        <v/>
      </c>
      <c r="F3989" s="22" t="str">
        <f>IF(OR(E3989="",E3989="!!!"),"",IF(NOT(ISNA(VLOOKUP(E3989,E$1:E3988,1,FALSE()))),"OLD",IF(AND(E3989&lt;&gt;"",E3989&lt;&gt;"!!!"),"NEW","")))</f>
        <v> </v>
      </c>
      <c r="G3989" s="23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4" t="str">
        <f>IF(J3989&lt;&gt;1,"",IF(I3989="SBJ","CB","?"))</f>
        <v> </v>
      </c>
      <c r="I3989" s="25" t="str">
        <f>IF(OR(E3989="",E3989="!!!",F3989="NEW"),"",INDEX(B3988:B$2,-1+SUMPRODUCT(MAX(ROW(E3988:E$2)*(E3989=E3988:E$2)))))</f>
        <v> </v>
      </c>
      <c r="J3989" s="25" t="str">
        <f>IF(OR(E3989="",E3989="!!!",F3989="NEW"),"",COUNTBLANK(OFFSET(A$1,,,SUMPRODUCT(MAX(ROW(E$2:E3989)*(E3989=E$2:E3989)))))-COUNTBLANK(OFFSET(A$1,,,SUMPRODUCT(MAX(ROW(E$1:E3988)*(E2=E$1:E3988))))))</f>
        <v> </v>
      </c>
      <c r="K3989" s="25" t="str">
        <f>IF(OR(E3989="",E3989="!!!",F3989="NEW"),"",INDEX(J$1:J3988,SUMPRODUCT(MAX(ROW(E$1:E3988)*(E3989=E$1:E3988)))))</f>
        <v> </v>
      </c>
      <c r="L3989" s="26"/>
    </row>
    <row r="3990" spans="1:12">
      <c r="A3990" s="20" t="s">
        <v>2322</v>
      </c>
      <c r="E3990" s="21">
        <f>IF(D3990="?OLD","!!!","")</f>
        <v/>
      </c>
      <c r="F3990" s="22" t="str">
        <f>IF(OR(E3990="",E3990="!!!"),"",IF(NOT(ISNA(VLOOKUP(E3990,E$1:E3989,1,FALSE()))),"OLD",IF(AND(E3990&lt;&gt;"",E3990&lt;&gt;"!!!"),"NEW","")))</f>
        <v> </v>
      </c>
      <c r="G3990" s="23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4" t="str">
        <f>IF(J3990&lt;&gt;1,"",IF(I3990="SBJ","CB","?"))</f>
        <v> </v>
      </c>
      <c r="I3990" s="25" t="str">
        <f>IF(OR(E3990="",E3990="!!!",F3990="NEW"),"",INDEX(B3989:B$2,-1+SUMPRODUCT(MAX(ROW(E3989:E$2)*(E3990=E3989:E$2)))))</f>
        <v> </v>
      </c>
      <c r="J3990" s="25" t="str">
        <f>IF(OR(E3990="",E3990="!!!",F3990="NEW"),"",COUNTBLANK(OFFSET(A$1,,,SUMPRODUCT(MAX(ROW(E$2:E3990)*(E3990=E$2:E3990)))))-COUNTBLANK(OFFSET(A$1,,,SUMPRODUCT(MAX(ROW(E$1:E3989)*(E2=E$1:E3989))))))</f>
        <v> </v>
      </c>
      <c r="K3990" s="25" t="str">
        <f>IF(OR(E3990="",E3990="!!!",F3990="NEW"),"",INDEX(J$1:J3989,SUMPRODUCT(MAX(ROW(E$1:E3989)*(E3990=E$1:E3989)))))</f>
        <v> </v>
      </c>
      <c r="L3990" s="26"/>
    </row>
    <row r="3991" spans="1:12">
      <c r="A3991" s="20" t="s">
        <v>2323</v>
      </c>
      <c r="B3991" s="27" t="s">
        <v>1001</v>
      </c>
      <c r="C3991" s="27" t="s">
        <v>855</v>
      </c>
      <c r="D3991" s="27" t="s">
        <v>801</v>
      </c>
      <c r="E3991" s="21">
        <f>IF(D3991="?OLD","!!!","")</f>
        <v/>
      </c>
      <c r="F3991" s="22" t="str">
        <f>IF(OR(E3991="",E3991="!!!"),"",IF(NOT(ISNA(VLOOKUP(E3991,E$1:E3990,1,FALSE()))),"OLD",IF(AND(E3991&lt;&gt;"",E3991&lt;&gt;"!!!"),"NEW","")))</f>
        <v> </v>
      </c>
      <c r="G3991" s="23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4" t="str">
        <f>IF(J3991&lt;&gt;1,"",IF(I3991="SBJ","CB","?"))</f>
        <v> </v>
      </c>
      <c r="I3991" s="25" t="str">
        <f>IF(OR(E3991="",E3991="!!!",F3991="NEW"),"",INDEX(B3990:B$2,-1+SUMPRODUCT(MAX(ROW(E3990:E$2)*(E3991=E3990:E$2)))))</f>
        <v> </v>
      </c>
      <c r="J3991" s="25" t="str">
        <f>IF(OR(E3991="",E3991="!!!",F3991="NEW"),"",COUNTBLANK(OFFSET(A$1,,,SUMPRODUCT(MAX(ROW(E$2:E3991)*(E3991=E$2:E3991)))))-COUNTBLANK(OFFSET(A$1,,,SUMPRODUCT(MAX(ROW(E$1:E3990)*(E2=E$1:E3990))))))</f>
        <v> </v>
      </c>
      <c r="K3991" s="25" t="str">
        <f>IF(OR(E3991="",E3991="!!!",F3991="NEW"),"",INDEX(J$1:J3990,SUMPRODUCT(MAX(ROW(E$1:E3990)*(E3991=E$1:E3990)))))</f>
        <v> </v>
      </c>
      <c r="L3991" s="26"/>
    </row>
    <row r="3992" spans="1:12">
      <c r="A3992" s="20" t="s">
        <v>1697</v>
      </c>
      <c r="E3992" s="21">
        <f>IF(D3992="?OLD","!!!","")</f>
        <v/>
      </c>
      <c r="F3992" s="22" t="str">
        <f>IF(OR(E3992="",E3992="!!!"),"",IF(NOT(ISNA(VLOOKUP(E3992,E$1:E3991,1,FALSE()))),"OLD",IF(AND(E3992&lt;&gt;"",E3992&lt;&gt;"!!!"),"NEW","")))</f>
        <v> </v>
      </c>
      <c r="G3992" s="23" t="str">
        <f>IF(OR(E3992="",E3992="!!!"),"",IF(OR(J3992=0,AND(J3992=1,K3992=1),AND(J3992=1,I3992="SBJ"),AND(J3992=1,I3992=0)),"?IN_FOCUS",IF(J3992&lt;=2,"?ACTIVATED",IF(J3992&lt;&gt;"","?FAMILIAR",IF(F3992="NEW",IF(ISNA(VLOOKUP(E3992,#REF!,1,FALSE())),"?TYPE_IDENTIFIABLE","?REFERENTIAL"),"_")))))</f>
        <v> </v>
      </c>
      <c r="H3992" s="24" t="str">
        <f>IF(J3992&lt;&gt;1,"",IF(I3992="SBJ","CB","?"))</f>
        <v> </v>
      </c>
      <c r="I3992" s="25" t="str">
        <f>IF(OR(E3992="",E3992="!!!",F3992="NEW"),"",INDEX(B3991:B$2,-1+SUMPRODUCT(MAX(ROW(E3991:E$2)*(E3992=E3991:E$2)))))</f>
        <v> </v>
      </c>
      <c r="J3992" s="25" t="str">
        <f>IF(OR(E3992="",E3992="!!!",F3992="NEW"),"",COUNTBLANK(OFFSET(A$1,,,SUMPRODUCT(MAX(ROW(E$2:E3992)*(E3992=E$2:E3992)))))-COUNTBLANK(OFFSET(A$1,,,SUMPRODUCT(MAX(ROW(E$1:E3991)*(E2=E$1:E3991))))))</f>
        <v> </v>
      </c>
      <c r="K3992" s="25" t="str">
        <f>IF(OR(E3992="",E3992="!!!",F3992="NEW"),"",INDEX(J$1:J3991,SUMPRODUCT(MAX(ROW(E$1:E3991)*(E3992=E$1:E3991)))))</f>
        <v> </v>
      </c>
      <c r="L3992" s="26"/>
    </row>
    <row r="3993" spans="1:12">
      <c r="A3993" s="20" t="s">
        <v>1189</v>
      </c>
      <c r="B3993" s="27" t="s">
        <v>829</v>
      </c>
      <c r="C3993" s="27" t="s">
        <v>1095</v>
      </c>
      <c r="D3993" s="27" t="s">
        <v>801</v>
      </c>
      <c r="E3993" s="21">
        <f>IF(D3993="?OLD","!!!","")</f>
        <v/>
      </c>
      <c r="F3993" s="22" t="str">
        <f>IF(OR(E3993="",E3993="!!!"),"",IF(NOT(ISNA(VLOOKUP(E3993,E$1:E3992,1,FALSE()))),"OLD",IF(AND(E3993&lt;&gt;"",E3993&lt;&gt;"!!!"),"NEW","")))</f>
        <v> </v>
      </c>
      <c r="G3993" s="23" t="str">
        <f>IF(OR(E3993="",E3993="!!!"),"",IF(OR(J3993=0,AND(J3993=1,K3993=1),AND(J3993=1,I3993="SBJ"),AND(J3993=1,I3993=0)),"?IN_FOCUS",IF(J3993&lt;=2,"?ACTIVATED",IF(J3993&lt;&gt;"","?FAMILIAR",IF(F3993="NEW",IF(ISNA(VLOOKUP(E3993,#REF!,1,FALSE())),"?TYPE_IDENTIFIABLE","?REFERENTIAL"),"_")))))</f>
        <v> </v>
      </c>
      <c r="H3993" s="24" t="str">
        <f>IF(J3993&lt;&gt;1,"",IF(I3993="SBJ","CB","?"))</f>
        <v> </v>
      </c>
      <c r="I3993" s="25" t="str">
        <f>IF(OR(E3993="",E3993="!!!",F3993="NEW"),"",INDEX(B3992:B$2,-1+SUMPRODUCT(MAX(ROW(E3992:E$2)*(E3993=E3992:E$2)))))</f>
        <v> </v>
      </c>
      <c r="J3993" s="25" t="str">
        <f>IF(OR(E3993="",E3993="!!!",F3993="NEW"),"",COUNTBLANK(OFFSET(A$1,,,SUMPRODUCT(MAX(ROW(E$2:E3993)*(E3993=E$2:E3993)))))-COUNTBLANK(OFFSET(A$1,,,SUMPRODUCT(MAX(ROW(E$1:E3992)*(E2=E$1:E3992))))))</f>
        <v> </v>
      </c>
      <c r="K3993" s="25" t="str">
        <f>IF(OR(E3993="",E3993="!!!",F3993="NEW"),"",INDEX(J$1:J3992,SUMPRODUCT(MAX(ROW(E$1:E3992)*(E3993=E$1:E3992)))))</f>
        <v> </v>
      </c>
      <c r="L3993" s="26"/>
    </row>
    <row r="3994" spans="1:12">
      <c r="A3994" s="20" t="s">
        <v>803</v>
      </c>
      <c r="E3994" s="21">
        <f>IF(D3994="?OLD","!!!","")</f>
        <v/>
      </c>
      <c r="F3994" s="22" t="str">
        <f>IF(OR(E3994="",E3994="!!!"),"",IF(NOT(ISNA(VLOOKUP(E3994,E$1:E3993,1,FALSE()))),"OLD",IF(AND(E3994&lt;&gt;"",E3994&lt;&gt;"!!!"),"NEW","")))</f>
        <v> </v>
      </c>
      <c r="G3994" s="23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4" t="str">
        <f>IF(J3994&lt;&gt;1,"",IF(I3994="SBJ","CB","?"))</f>
        <v> </v>
      </c>
      <c r="I3994" s="25" t="str">
        <f>IF(OR(E3994="",E3994="!!!",F3994="NEW"),"",INDEX(B3993:B$2,-1+SUMPRODUCT(MAX(ROW(E3993:E$2)*(E3994=E3993:E$2)))))</f>
        <v> </v>
      </c>
      <c r="J3994" s="25" t="str">
        <f>IF(OR(E3994="",E3994="!!!",F3994="NEW"),"",COUNTBLANK(OFFSET(A$1,,,SUMPRODUCT(MAX(ROW(E$2:E3994)*(E3994=E$2:E3994)))))-COUNTBLANK(OFFSET(A$1,,,SUMPRODUCT(MAX(ROW(E$1:E3993)*(E2=E$1:E3993))))))</f>
        <v> </v>
      </c>
      <c r="K3994" s="25" t="str">
        <f>IF(OR(E3994="",E3994="!!!",F3994="NEW"),"",INDEX(J$1:J3993,SUMPRODUCT(MAX(ROW(E$1:E3993)*(E3994=E$1:E3993)))))</f>
        <v> </v>
      </c>
      <c r="L3994" s="26"/>
    </row>
    <row r="3995" spans="1:12">
      <c r="A3995" s="20"/>
    </row>
    <row r="3996" spans="1:12">
      <c r="A3996" s="20" t="s">
        <v>2423</v>
      </c>
    </row>
    <row r="3997" spans="1:12">
      <c r="A3997" s="20" t="s">
        <v>2424</v>
      </c>
      <c r="E3997" s="21">
        <f>IF(D3997="?OLD","!!!","")</f>
        <v/>
      </c>
      <c r="F3997" s="22" t="str">
        <f>IF(OR(E3997="",E3997="!!!"),"",IF(NOT(ISNA(VLOOKUP(E3997,E$1:E3996,1,FALSE()))),"OLD",IF(AND(E3997&lt;&gt;"",E3997&lt;&gt;"!!!"),"NEW","")))</f>
        <v> </v>
      </c>
      <c r="G3997" s="23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4" t="str">
        <f>IF(J3997&lt;&gt;1,"",IF(I3997="SBJ","CB","?"))</f>
        <v> </v>
      </c>
      <c r="I3997" s="25" t="str">
        <f>IF(OR(E3997="",E3997="!!!",F3997="NEW"),"",INDEX(B3996:B$2,-1+SUMPRODUCT(MAX(ROW(E3996:E$2)*(E3997=E3996:E$2)))))</f>
        <v> </v>
      </c>
      <c r="J3997" s="25" t="str">
        <f>IF(OR(E3997="",E3997="!!!",F3997="NEW"),"",COUNTBLANK(OFFSET(A$1,,,SUMPRODUCT(MAX(ROW(E$2:E3997)*(E3997=E$2:E3997)))))-COUNTBLANK(OFFSET(A$1,,,SUMPRODUCT(MAX(ROW(E$1:E3996)*(E2=E$1:E3996))))))</f>
        <v> </v>
      </c>
      <c r="K3997" s="25" t="str">
        <f>IF(OR(E3997="",E3997="!!!",F3997="NEW"),"",INDEX(J$1:J3996,SUMPRODUCT(MAX(ROW(E$1:E3996)*(E3997=E$1:E3996)))))</f>
        <v> </v>
      </c>
      <c r="L3997" s="26"/>
    </row>
    <row r="3998" spans="1:12">
      <c r="A3998" s="20" t="s">
        <v>803</v>
      </c>
      <c r="E3998" s="21">
        <f>IF(D3998="?OLD","!!!","")</f>
        <v/>
      </c>
      <c r="F3998" s="22" t="str">
        <f>IF(OR(E3998="",E3998="!!!"),"",IF(NOT(ISNA(VLOOKUP(E3998,E$1:E3997,1,FALSE()))),"OLD",IF(AND(E3998&lt;&gt;"",E3998&lt;&gt;"!!!"),"NEW","")))</f>
        <v> </v>
      </c>
      <c r="G3998" s="23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4" t="str">
        <f>IF(J3998&lt;&gt;1,"",IF(I3998="SBJ","CB","?"))</f>
        <v> </v>
      </c>
      <c r="I3998" s="25" t="str">
        <f>IF(OR(E3998="",E3998="!!!",F3998="NEW"),"",INDEX(B3997:B$2,-1+SUMPRODUCT(MAX(ROW(E3997:E$2)*(E3998=E3997:E$2)))))</f>
        <v> </v>
      </c>
      <c r="J3998" s="25" t="str">
        <f>IF(OR(E3998="",E3998="!!!",F3998="NEW"),"",COUNTBLANK(OFFSET(A$1,,,SUMPRODUCT(MAX(ROW(E$2:E3998)*(E3998=E$2:E3998)))))-COUNTBLANK(OFFSET(A$1,,,SUMPRODUCT(MAX(ROW(E$1:E3997)*(E2=E$1:E3997))))))</f>
        <v> </v>
      </c>
      <c r="K3998" s="25" t="str">
        <f>IF(OR(E3998="",E3998="!!!",F3998="NEW"),"",INDEX(J$1:J3997,SUMPRODUCT(MAX(ROW(E$1:E3997)*(E3998=E$1:E3997)))))</f>
        <v> </v>
      </c>
      <c r="L3998" s="26"/>
    </row>
    <row r="3999" spans="1:12">
      <c r="A399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2025-07-10T18:09:29Z</dcterms:created>
  <dcterms:modified xsi:type="dcterms:W3CDTF">2025-07-10T18:09:29Z</dcterms:modified>
</cp:coreProperties>
</file>