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<sst xmlns="http://schemas.openxmlformats.org/spreadsheetml/2006/main" count="4731" uniqueCount="1781">
  <si>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</si>
  <si>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</si>
  <si>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</si>
  <si>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</si>
  <si>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</si>
  <si>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</si>
  <si>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</si>
  <si>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</si>
  <si>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</si>
  <si>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</si>
  <si>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</si>
  <si>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7</t>
  </si>
  <si>
    <t>_</t>
  </si>
  <si>
    <t>губить</t>
  </si>
  <si>
    <t>За всё время истории человечества малярия погубила больше душ , чем любое другое инфекционное заболевание .</t>
  </si>
  <si>
    <t>file://conllu/ru/teddy-1293.conllu#s1_0</t>
  </si>
  <si>
    <t>2</t>
  </si>
  <si>
    <t>переноситься</t>
  </si>
  <si>
    <t>Она переносится с укусом комаров , и , возможно , именно она является нашим древнейшим губителем .</t>
  </si>
  <si>
    <t>file://conllu/ru/teddy-1293.conllu#s2_0</t>
  </si>
  <si>
    <t>3</t>
  </si>
  <si>
    <t>поражать</t>
  </si>
  <si>
    <t>Малярия поражала нас с тех пор , как мы эволюционировали , и по сей день она собирает обильную жатву .</t>
  </si>
  <si>
    <t>file://conllu/ru/teddy-1293.conllu#s3_0</t>
  </si>
  <si>
    <t>4</t>
  </si>
  <si>
    <t>иметь</t>
  </si>
  <si>
    <t>Сегодня мы имеем 300 миллионов случаев заболевания в год , из которых более полумиллиона со смертельным исходом .</t>
  </si>
  <si>
    <t>file://conllu/ru/teddy-1293.conllu#s4_0</t>
  </si>
  <si>
    <t>5</t>
  </si>
  <si>
    <t>выглядеть</t>
  </si>
  <si>
    <t>Но это выглядит нелогичным .</t>
  </si>
  <si>
    <t>file://conllu/ru/teddy-1293.conllu#s5_0</t>
  </si>
  <si>
    <t>6</t>
  </si>
  <si>
    <t>уметь</t>
  </si>
  <si>
    <t>Мы умеем лечить малярию ещё с 17 века .</t>
  </si>
  <si>
    <t>file://conllu/ru/teddy-1293.conllu#s6_0</t>
  </si>
  <si>
    <t>9</t>
  </si>
  <si>
    <t>обнаружить</t>
  </si>
  <si>
    <t>Именно тогда , в Перу , иезуитские миссионеры обнаружили кору хинного дерева , содержащую хинин , который по сей день является эффективным лекарством от малярии .</t>
  </si>
  <si>
    <t>file://conllu/ru/teddy-1293.conllu#s7_0</t>
  </si>
  <si>
    <t>8</t>
  </si>
  <si>
    <t>То есть?</t>
  </si>
  <si>
    <t>То есть мы уже несколько веков умеем лечить малярию .</t>
  </si>
  <si>
    <t>file://conllu/ru/teddy-1293.conllu#s8_0</t>
  </si>
  <si>
    <t>известный</t>
  </si>
  <si>
    <t>Нам известна профилактика малярии с 1897 года .</t>
  </si>
  <si>
    <t>file://conllu/ru/teddy-1293.conllu#s9_0</t>
  </si>
  <si>
    <t>10</t>
  </si>
  <si>
    <t>понять</t>
  </si>
  <si>
    <t>Именно тогда британский военный хирург Рональд Росс понял , что малярию переносят комары , а не плохой воздух или миазмы , как думали раньше .</t>
  </si>
  <si>
    <t>file://conllu/ru/teddy-1293.conllu#s10_0</t>
  </si>
  <si>
    <t>11</t>
  </si>
  <si>
    <t>должен</t>
  </si>
  <si>
    <t>То есть в наши дни малярия должна лечиться сравнительно легко , и всё же сотни тысяч людей погибают от укуса комара .</t>
  </si>
  <si>
    <t>file://conllu/ru/teddy-1293.conllu#s11_0</t>
  </si>
  <si>
    <t>12</t>
  </si>
  <si>
    <t>происходить</t>
  </si>
  <si>
    <t>Почему это происходит ?</t>
  </si>
  <si>
    <t>file://conllu/ru/teddy-1293.conllu#s12_0</t>
  </si>
  <si>
    <t>13</t>
  </si>
  <si>
    <t>интересовать</t>
  </si>
  <si>
    <t>Этот вопрос интересовал меня уже с давних пор .</t>
  </si>
  <si>
    <t>file://conllu/ru/teddy-1293.conllu#s13_0</t>
  </si>
  <si>
    <t>14</t>
  </si>
  <si>
    <t>дочь</t>
  </si>
  <si>
    <t>Я дочь индийского иммигранта .</t>
  </si>
  <si>
    <t>file://conllu/ru/teddy-1293.conllu#s14_0</t>
  </si>
  <si>
    <t>15</t>
  </si>
  <si>
    <t>навещать</t>
  </si>
  <si>
    <t>Каждое лето я навещала своих кузенов в Индии .</t>
  </si>
  <si>
    <t>file://conllu/ru/teddy-1293.conllu#s15_0</t>
  </si>
  <si>
    <t>16</t>
  </si>
  <si>
    <t>приходиться</t>
  </si>
  <si>
    <t>Поскольку у меня не было иммунитета к местной форме малярии , каждую ночь мне приходилось ночевать под душной москитной сеткой , в то время как мои кузены спали на террасе и наслаждались свежим ночным ветерком .</t>
  </si>
  <si>
    <t>file://conllu/ru/teddy-1293.conllu#s16_0</t>
  </si>
  <si>
    <t>17</t>
  </si>
  <si>
    <t>ненавидеть</t>
  </si>
  <si>
    <t>За это я люто ненавидела комаров .</t>
  </si>
  <si>
    <t>file://conllu/ru/teddy-1293.conllu#s17_0</t>
  </si>
  <si>
    <t>18</t>
  </si>
  <si>
    <t>являться</t>
  </si>
  <si>
    <t>В то же время я и моя семья являемся джайнами , а джайнизм строго запрещает любую форму насилия .</t>
  </si>
  <si>
    <t>file://conllu/ru/teddy-1293.conllu#s18_0</t>
  </si>
  <si>
    <t>19</t>
  </si>
  <si>
    <t>быть (быть должен)</t>
  </si>
  <si>
    <t>Например , джайны не должны есть мясо .</t>
  </si>
  <si>
    <t>file://conllu/ru/teddy-1293.conllu#s19_0</t>
  </si>
  <si>
    <t>20</t>
  </si>
  <si>
    <t>Мы не должны ходить по траве , чтобы случайно не убить ползающих там насекомых .</t>
  </si>
  <si>
    <t>file://conllu/ru/teddy-1293.conllu#s20_0</t>
  </si>
  <si>
    <t>21</t>
  </si>
  <si>
    <t>нельзя</t>
  </si>
  <si>
    <t>И уж , конечно , нам нельзя убивать комаров .</t>
  </si>
  <si>
    <t>file://conllu/ru/teddy-1293.conllu#s21_0</t>
  </si>
  <si>
    <t>22</t>
  </si>
  <si>
    <t>быть (быть очевидный)</t>
  </si>
  <si>
    <t>Поэтому с раннего детства пугающая сила маленького насекомого была для меня столь очевидна , что , будучи журналисткой , я потратила 5 лет , пытаясь понять , почему именно малярия угрожает человечеству с самой его колыбели ?</t>
  </si>
  <si>
    <t>file://conllu/ru/teddy-1293.conllu#s22_0</t>
  </si>
  <si>
    <t>23</t>
  </si>
  <si>
    <t>найти</t>
  </si>
  <si>
    <t>И я нашла тому три причины .</t>
  </si>
  <si>
    <t>file://conllu/ru/teddy-1293.conllu#s23_0</t>
  </si>
  <si>
    <t>24</t>
  </si>
  <si>
    <t>создавать</t>
  </si>
  <si>
    <t>Это три причины создают собой четвертую , которая и является самой главной .</t>
  </si>
  <si>
    <t>file://conllu/ru/teddy-1293.conllu#s24_0</t>
  </si>
  <si>
    <t>25</t>
  </si>
  <si>
    <t>причина</t>
  </si>
  <si>
    <t>Первая причина — научная .</t>
  </si>
  <si>
    <t>file://conllu/ru/teddy-1293.conllu#s25_0</t>
  </si>
  <si>
    <t>26</t>
  </si>
  <si>
    <t>Маленький паразит , вызывающий малярию , является одним из самых сложных и коварных патогенов , известных человечеству .</t>
  </si>
  <si>
    <t>file://conllu/ru/teddy-1293.conllu#s26_0</t>
  </si>
  <si>
    <t>27</t>
  </si>
  <si>
    <t>жить</t>
  </si>
  <si>
    <t>Пол жизни он живёт в хладнокровном комаре , а пол жизни в теплокровном человеке .</t>
  </si>
  <si>
    <t>file://conllu/ru/teddy-1293.conllu#s27_0</t>
  </si>
  <si>
    <t>28</t>
  </si>
  <si>
    <t>различаться</t>
  </si>
  <si>
    <t>Две этих среды очень различаются , и кроме того , они обе очень враждебны .</t>
  </si>
  <si>
    <t>file://conllu/ru/teddy-1293.conllu#s28_0</t>
  </si>
  <si>
    <t>29</t>
  </si>
  <si>
    <t>сопротивляться</t>
  </si>
  <si>
    <t>Тело комара отчаянно сопротивляется паразиту , так же сопротивляется паразиту и тело человека .</t>
  </si>
  <si>
    <t>file://conllu/ru/teddy-1293.conllu#s29_0</t>
  </si>
  <si>
    <t>30</t>
  </si>
  <si>
    <t>выживать</t>
  </si>
  <si>
    <t>Маленькое создание не только выживает в этой войне , но и ухитряется процветать .</t>
  </si>
  <si>
    <t>file://conllu/ru/teddy-1293.conllu#s30_0</t>
  </si>
  <si>
    <t>31</t>
  </si>
  <si>
    <t>У него несчётное количество способов выживать в этих условиях .</t>
  </si>
  <si>
    <t>file://conllu/ru/teddy-1293.conllu#s31_0</t>
  </si>
  <si>
    <t>32</t>
  </si>
  <si>
    <t>Например , он умеет менять форму .</t>
  </si>
  <si>
    <t>file://conllu/ru/teddy-1293.conllu#s32_0</t>
  </si>
  <si>
    <t>33</t>
  </si>
  <si>
    <t>менять</t>
  </si>
  <si>
    <t>Как гусеница превращается в бабочку , так же малярийный паразит меняет облик 7 раз за жизненный цикл .</t>
  </si>
  <si>
    <t>file://conllu/ru/teddy-1293.conllu#s33_0</t>
  </si>
  <si>
    <t>34</t>
  </si>
  <si>
    <t>отличаться</t>
  </si>
  <si>
    <t>Каждая из его форм не только внешне отличается от остальных , но имеет другую физиологию .</t>
  </si>
  <si>
    <t>file://conllu/ru/teddy-1293.conllu#s34_0</t>
  </si>
  <si>
    <t>35</t>
  </si>
  <si>
    <t>можно</t>
  </si>
  <si>
    <t>То есть можно изобрести лекарство , действующее на одну из форм паразита .</t>
  </si>
  <si>
    <t>file://conllu/ru/teddy-1293.conllu#s35_0</t>
  </si>
  <si>
    <t>36</t>
  </si>
  <si>
    <t>действовать</t>
  </si>
  <si>
    <t>Но оно не будет действовать на другие формы .</t>
  </si>
  <si>
    <t>file://conllu/ru/teddy-1293.conllu#s36_0</t>
  </si>
  <si>
    <t>37</t>
  </si>
  <si>
    <t>мочь</t>
  </si>
  <si>
    <t>Паразит может оставаться в теле незамеченным на протяжении дней , недель , месяцев , лет , а иногда даже десятилетий .</t>
  </si>
  <si>
    <t>file://conllu/ru/teddy-1293.conllu#s37_0</t>
  </si>
  <si>
    <t>38</t>
  </si>
  <si>
    <t>представлять</t>
  </si>
  <si>
    <t>Так что этот паразит представляет сложную задачу для науки , как и комар , который его переносит .</t>
  </si>
  <si>
    <t>file://conllu/ru/teddy-1293.conllu#s38_0</t>
  </si>
  <si>
    <t>39</t>
  </si>
  <si>
    <t>переносить</t>
  </si>
  <si>
    <t>Большинство малярии в мире переносят только 12 видов комаров .</t>
  </si>
  <si>
    <t>file://conllu/ru/teddy-1293.conllu#s39_0</t>
  </si>
  <si>
    <t>40</t>
  </si>
  <si>
    <t>знать</t>
  </si>
  <si>
    <t>И мы знаем довольно мало о типах водной среды , пригодной для их обитания .</t>
  </si>
  <si>
    <t>file://conllu/ru/teddy-1293.conllu#s40_0</t>
  </si>
  <si>
    <t>41</t>
  </si>
  <si>
    <t>сказать</t>
  </si>
  <si>
    <t>Вы , наверное , скажите , ну , разве мы не можем просто избегать тех мест , где обитают комары ?</t>
  </si>
  <si>
    <t>file://conllu/ru/teddy-1293.conllu#s41_0</t>
  </si>
  <si>
    <t>42</t>
  </si>
  <si>
    <t>верный</t>
  </si>
  <si>
    <t>Верно ?</t>
  </si>
  <si>
    <t>file://conllu/ru/teddy-1293.conllu#s42_0</t>
  </si>
  <si>
    <t>43</t>
  </si>
  <si>
    <t>избегать</t>
  </si>
  <si>
    <t>Мы же избегаем места , где живут медведи гризли , или крокодилы .</t>
  </si>
  <si>
    <t>file://conllu/ru/teddy-1293.conllu#s43_0</t>
  </si>
  <si>
    <t>44</t>
  </si>
  <si>
    <t>живёть</t>
  </si>
  <si>
    <t>Но предположим , вы живёте в тропиках , и каждый день , выходя на улицу , вы оставляете следы на мягкой грязи вокруг дома .</t>
  </si>
  <si>
    <t>file://conllu/ru/teddy-1293.conllu#s44_0</t>
  </si>
  <si>
    <t>45</t>
  </si>
  <si>
    <t>оставлять</t>
  </si>
  <si>
    <t>Те же следы оставляют коровы , или , скажем , свиньи , и вот пошёл дождь .</t>
  </si>
  <si>
    <t>file://conllu/ru/teddy-1293.conllu#s45_0</t>
  </si>
  <si>
    <t>46</t>
  </si>
  <si>
    <t>наполниться</t>
  </si>
  <si>
    <t>Ямки от следов наполнились водой .</t>
  </si>
  <si>
    <t>file://conllu/ru/teddy-1293.conllu#s46_0</t>
  </si>
  <si>
    <t>47</t>
  </si>
  <si>
    <t>вот</t>
  </si>
  <si>
    <t>Вот и всё .</t>
  </si>
  <si>
    <t>file://conllu/ru/teddy-1293.conllu#s47_0</t>
  </si>
  <si>
    <t>48</t>
  </si>
  <si>
    <t>создать</t>
  </si>
  <si>
    <t>Вы создали идеальную среду для малярийных комаров прямо на пороге своего дома .</t>
  </si>
  <si>
    <t>file://conllu/ru/teddy-1293.conllu#s48_0</t>
  </si>
  <si>
    <t>49</t>
  </si>
  <si>
    <t>простой</t>
  </si>
  <si>
    <t>Так что изолироваться от этих насекомых не так просто .</t>
  </si>
  <si>
    <t>file://conllu/ru/teddy-1293.conllu#s49_0</t>
  </si>
  <si>
    <t>50</t>
  </si>
  <si>
    <t>создаё</t>
  </si>
  <si>
    <t>Волей неволей мы постоянно создаём для них комфортные зоны обитания .</t>
  </si>
  <si>
    <t>file://conllu/ru/teddy-1293.conllu#s50_0</t>
  </si>
  <si>
    <t>51</t>
  </si>
  <si>
    <t>существовать</t>
  </si>
  <si>
    <t>Проблемы существуют не только с научной стороны вопроса , но и с экономической .</t>
  </si>
  <si>
    <t>file://conllu/ru/teddy-1293.conllu#s51_0</t>
  </si>
  <si>
    <t>52</t>
  </si>
  <si>
    <t>подверженный</t>
  </si>
  <si>
    <t>Малярии подвержены самые бедные и захолустные регионы планеты , и вот почему .</t>
  </si>
  <si>
    <t>file://conllu/ru/teddy-1293.conllu#s52_0</t>
  </si>
  <si>
    <t>53</t>
  </si>
  <si>
    <t>много</t>
  </si>
  <si>
    <t>Если вы бедны , у вас больше шансов подцепить малярию .</t>
  </si>
  <si>
    <t>file://conllu/ru/teddy-1293.conllu#s53_0</t>
  </si>
  <si>
    <t>54</t>
  </si>
  <si>
    <t>Если вы бедны , вы , скорее всего , живёте в плохом жилище , на окраине , где плохо работает дренажная система .</t>
  </si>
  <si>
    <t>file://conllu/ru/teddy-1293.conllu#s54_0</t>
  </si>
  <si>
    <t>55</t>
  </si>
  <si>
    <t>разводиться</t>
  </si>
  <si>
    <t>В таких местах и разводятся комары .</t>
  </si>
  <si>
    <t>file://conllu/ru/teddy-1293.conllu#s55_0</t>
  </si>
  <si>
    <t>56</t>
  </si>
  <si>
    <t>нет</t>
  </si>
  <si>
    <t>У вас , скорее всего , нет сеток на окнах и дверях .</t>
  </si>
  <si>
    <t>file://conllu/ru/teddy-1293.conllu#s56_0</t>
  </si>
  <si>
    <t>57</t>
  </si>
  <si>
    <t>У вас , скорее всего , нет электричества , и всю повседневную работу вы выполняете на улице .</t>
  </si>
  <si>
    <t>file://conllu/ru/teddy-1293.conllu#s57_0</t>
  </si>
  <si>
    <t>58</t>
  </si>
  <si>
    <t>кусать</t>
  </si>
  <si>
    <t>Поэтому вас чаще кусают комары .</t>
  </si>
  <si>
    <t>file://conllu/ru/teddy-1293.conllu#s58_0</t>
  </si>
  <si>
    <t>59</t>
  </si>
  <si>
    <t>способствовать</t>
  </si>
  <si>
    <t>Таким образом , нищета способствует малярии , но сегодня мы знаем , что малярия также приводит к нищете .</t>
  </si>
  <si>
    <t>file://conllu/ru/teddy-1293.conllu#s59_0</t>
  </si>
  <si>
    <t>60</t>
  </si>
  <si>
    <t>Во-первых , пик заболеваний приходится на сезон урожая , поэтому вместо того , чтобы работать в поле , фермеры лежат дома в лихорадке .</t>
  </si>
  <si>
    <t>file://conllu/ru/teddy-1293.conllu#s60_0</t>
  </si>
  <si>
    <t>61</t>
  </si>
  <si>
    <t>увеличивать</t>
  </si>
  <si>
    <t>Во-вторых , малярия увеличивает вероятность и других смертельных исходов .</t>
  </si>
  <si>
    <t>file://conllu/ru/teddy-1293.conllu#s61_0</t>
  </si>
  <si>
    <t>62</t>
  </si>
  <si>
    <t>сложиться</t>
  </si>
  <si>
    <t>Исторически так сложилось , что мы смогли избавить общество Но всё остальное осталось прежним : плохая еда , плохая вода , плохая санитария — от всего этого люди заболевают .</t>
  </si>
  <si>
    <t>file://conllu/ru/teddy-1293.conllu#s62_0</t>
  </si>
  <si>
    <t>63</t>
  </si>
  <si>
    <t>понижаться</t>
  </si>
  <si>
    <t>Но если исключить малярию , понижается смертность и от других причин .</t>
  </si>
  <si>
    <t>file://conllu/ru/teddy-1293.conllu#s63_0</t>
  </si>
  <si>
    <t>64</t>
  </si>
  <si>
    <t>подсчитать</t>
  </si>
  <si>
    <t>Экономист Джефф Закс подсчитал , как именно этот факт влияет на общество в целом .</t>
  </si>
  <si>
    <t>file://conllu/ru/teddy-1293.conllu#s64_0</t>
  </si>
  <si>
    <t>65</t>
  </si>
  <si>
    <t>падать</t>
  </si>
  <si>
    <t>Если в вашем регионе есть малярия , экономический рост падает со скоростью 1.3 % в год , и так год за годом из-за одной только малярии .</t>
  </si>
  <si>
    <t>file://conllu/ru/teddy-1293.conllu#s65_0</t>
  </si>
  <si>
    <t>66</t>
  </si>
  <si>
    <t>проблема</t>
  </si>
  <si>
    <t>Это большая проблема с точки зрения экономики .</t>
  </si>
  <si>
    <t>file://conllu/ru/teddy-1293.conllu#s66_0</t>
  </si>
  <si>
    <t>67</t>
  </si>
  <si>
    <t>доставить</t>
  </si>
  <si>
    <t>Ведь если , допустим , вы изобрели новое лекарство или вакцину , как доставить её к месту назначения , если нет нормальных дорог , нет инфраструктуры , нет электричества ?</t>
  </si>
  <si>
    <t>file://conllu/ru/teddy-1293.conllu#s67_0</t>
  </si>
  <si>
    <t>68</t>
  </si>
  <si>
    <t>делать</t>
  </si>
  <si>
    <t>Что делать , если нет и холодильника , чтобы хранить лекарства , нет больниц , нет медицинского персонала ?</t>
  </si>
  <si>
    <t>file://conllu/ru/teddy-1293.conllu#s68_0</t>
  </si>
  <si>
    <t>69</t>
  </si>
  <si>
    <t>Как доставить лекарство больным ?</t>
  </si>
  <si>
    <t>file://conllu/ru/teddy-1293.conllu#s69_0</t>
  </si>
  <si>
    <t>70</t>
  </si>
  <si>
    <t>мешать</t>
  </si>
  <si>
    <t>Всё это очень мешает в борьбе с малярией .</t>
  </si>
  <si>
    <t>file://conllu/ru/teddy-1293.conllu#s70_0</t>
  </si>
  <si>
    <t>71</t>
  </si>
  <si>
    <t>Однако?</t>
  </si>
  <si>
    <t>быть</t>
  </si>
  <si>
    <t>Однако помимо научной и экономической проблемы , есть и ещё одна — культурная , и , возможно , именно о ней люди хотят говорить меньше всего .</t>
  </si>
  <si>
    <t>file://conllu/ru/teddy-1293.conllu#s71_0</t>
  </si>
  <si>
    <t>72</t>
  </si>
  <si>
    <t>то</t>
  </si>
  <si>
    <t>Парадокс в том , что люди , живущие в малярийных регионах , меньше всего о ней волнуются .</t>
  </si>
  <si>
    <t>file://conllu/ru/teddy-1293.conllu#s72_0</t>
  </si>
  <si>
    <t>73</t>
  </si>
  <si>
    <t>сталкиваться</t>
  </si>
  <si>
    <t>Медицинские антропологи вновь и вновь сталкиваются с этим .</t>
  </si>
  <si>
    <t>file://conllu/ru/teddy-1293.conllu#s73_0</t>
  </si>
  <si>
    <t>74</t>
  </si>
  <si>
    <t>спрашивать</t>
  </si>
  <si>
    <t>Они спрашивают людей , живущих в малярийных регионах : «Как вы относитесь к малярии ? » Но те не отвечают : «Это смертельное заболевание , которого мы очень боимся» .</t>
  </si>
  <si>
    <t>file://conllu/ru/teddy-1293.conllu#s74_0</t>
  </si>
  <si>
    <t>75</t>
  </si>
  <si>
    <t>говорить</t>
  </si>
  <si>
    <t>Они говорят : «Малярия — это обычная житейская проблема» .</t>
  </si>
  <si>
    <t>file://conllu/ru/teddy-1293.conllu#s75_0</t>
  </si>
  <si>
    <t>76</t>
  </si>
  <si>
    <t>И вот пример из моего личного опыта .</t>
  </si>
  <si>
    <t>file://conllu/ru/teddy-1293.conllu#s76_0</t>
  </si>
  <si>
    <t>77</t>
  </si>
  <si>
    <t>рассказывать (рассказывать смотреть)</t>
  </si>
  <si>
    <t>Когда я рассказала родственникам в Индии о том , что пишу книгу про малярию , они посмотрели на меня так , будто я собиралась писать книгу о бородавках .</t>
  </si>
  <si>
    <t>file://conllu/ru/teddy-1293.conllu#s77_0</t>
  </si>
  <si>
    <t>78</t>
  </si>
  <si>
    <t>писать</t>
  </si>
  <si>
    <t>То есть , зачем тебе писать о чём-то таком скучном , таком тривиальном ?</t>
  </si>
  <si>
    <t>file://conllu/ru/teddy-1293.conllu#s78_0</t>
  </si>
  <si>
    <t>79</t>
  </si>
  <si>
    <t>восприятие</t>
  </si>
  <si>
    <t>Это их восприятие опасности .</t>
  </si>
  <si>
    <t>file://conllu/ru/teddy-1293.conllu#s79_0</t>
  </si>
  <si>
    <t>80</t>
  </si>
  <si>
    <t>Например , девочка в Малави может подцепить малярию 12 раз за первые 2 года жизни , но если она выживает , то , скорее всего , она продолжит заражаться всю жизнь , хотя риск смерти значительно снизится .</t>
  </si>
  <si>
    <t>file://conllu/ru/teddy-1293.conllu#s80_0</t>
  </si>
  <si>
    <t>81</t>
  </si>
  <si>
    <t>это (это то)</t>
  </si>
  <si>
    <t>Поэтому для неё малярия — это то , что приходит и уходит .</t>
  </si>
  <si>
    <t>file://conllu/ru/teddy-1293.conllu#s81_0</t>
  </si>
  <si>
    <t>82</t>
  </si>
  <si>
    <t>обстоять</t>
  </si>
  <si>
    <t>И также дело обстоит во всём мире .</t>
  </si>
  <si>
    <t>file://conllu/ru/teddy-1293.conllu#s82_0</t>
  </si>
  <si>
    <t>83</t>
  </si>
  <si>
    <t>приходить</t>
  </si>
  <si>
    <t>В большинстве случаев малярия приходит и уходит .</t>
  </si>
  <si>
    <t>file://conllu/ru/teddy-1293.conllu#s83_0</t>
  </si>
  <si>
    <t>84</t>
  </si>
  <si>
    <t>мир</t>
  </si>
  <si>
    <t>Просто в мире её так много , что тот маленький процент смертельных исходов сам по себе — огромное число .</t>
  </si>
  <si>
    <t>file://conllu/ru/teddy-1293.conllu#s84_0</t>
  </si>
  <si>
    <t>85</t>
  </si>
  <si>
    <t>относиться</t>
  </si>
  <si>
    <t>То есть люди , живущие в малярийных регионах , относятся к малярии так же , как мы в современном обществе относимся к простуде или гриппу .</t>
  </si>
  <si>
    <t>file://conllu/ru/teddy-1293.conllu#s85_0</t>
  </si>
  <si>
    <t>86</t>
  </si>
  <si>
    <t>Потому?</t>
  </si>
  <si>
    <t>это (это беда)</t>
  </si>
  <si>
    <t>Грипп — это серьёзная беда в нашем обществе и в жизни каждого из нас , но мы пренебрегаем даже минимальными предосторожностями просто потому , что считаем это нормальным — заболеть осенью гриппом или простудой .</t>
  </si>
  <si>
    <t>file://conllu/ru/teddy-1293.conllu#s86_0</t>
  </si>
  <si>
    <t>87</t>
  </si>
  <si>
    <t>состоять</t>
  </si>
  <si>
    <t>В этом и состоит культурная проблема , мешающая победить малярию .</t>
  </si>
  <si>
    <t>file://conllu/ru/teddy-1293.conllu#s87_0</t>
  </si>
  <si>
    <t>88</t>
  </si>
  <si>
    <t>думать</t>
  </si>
  <si>
    <t>Ведь если люди думают , что малярия — это нормально , как заставить их обратиться к врачу , соблюдать меры профилактики , принимать лекарства , натягивать сетки на окна и использовать средства для отпугивания насекомых ?</t>
  </si>
  <si>
    <t>file://conllu/ru/teddy-1293.conllu#s88_0</t>
  </si>
  <si>
    <t>89</t>
  </si>
  <si>
    <t>препятствие</t>
  </si>
  <si>
    <t>Это огромное культурное препятствие на пути искоренения малярии .</t>
  </si>
  <si>
    <t>file://conllu/ru/teddy-1293.conllu#s89_0</t>
  </si>
  <si>
    <t>90</t>
  </si>
  <si>
    <t>давать</t>
  </si>
  <si>
    <t>Теперь давайте обобщим .</t>
  </si>
  <si>
    <t>file://conllu/ru/teddy-1293.conllu#s90_0</t>
  </si>
  <si>
    <t>91</t>
  </si>
  <si>
    <t>У нас есть болезнь , сложная с научной точки зрения , связанная с экономическими проблемами и пренебрегаемая теми , кто от неё больше всего страдает .</t>
  </si>
  <si>
    <t>file://conllu/ru/teddy-1293.conllu#s91_0</t>
  </si>
  <si>
    <t>92</t>
  </si>
  <si>
    <t>накладывать</t>
  </si>
  <si>
    <t>И всё это накладывается на куда большую проблему — политическую .</t>
  </si>
  <si>
    <t>file://conllu/ru/teddy-1293.conllu#s92_0</t>
  </si>
  <si>
    <t>93</t>
  </si>
  <si>
    <t>заставить</t>
  </si>
  <si>
    <t>Как заставить политического лидера решать проблему вроде этой ?</t>
  </si>
  <si>
    <t>file://conllu/ru/teddy-1293.conllu#s93_0</t>
  </si>
  <si>
    <t>94</t>
  </si>
  <si>
    <t>никак</t>
  </si>
  <si>
    <t>Исторически сложившийся ответ — никак .</t>
  </si>
  <si>
    <t>file://conllu/ru/teddy-1293.conllu#s94_0</t>
  </si>
  <si>
    <t>95</t>
  </si>
  <si>
    <t>Большинство обществ просто живут , смирившись с малярией .</t>
  </si>
  <si>
    <t>file://conllu/ru/teddy-1293.conllu#s95_0</t>
  </si>
  <si>
    <t>96</t>
  </si>
  <si>
    <t>совершить</t>
  </si>
  <si>
    <t>Большинство побед над малярией были совершены чужаками , пришедшими извне в регионы , которые были безразличны к этой проблеме .</t>
  </si>
  <si>
    <t>file://conllu/ru/teddy-1293.conllu#s96_0</t>
  </si>
  <si>
    <t>97</t>
  </si>
  <si>
    <t>перечислить</t>
  </si>
  <si>
    <t>Теперь , похоже , я перечислила весь набор имеющихся проблем .</t>
  </si>
  <si>
    <t>file://conllu/ru/teddy-1293.conllu#s97_0</t>
  </si>
  <si>
    <t>98</t>
  </si>
  <si>
    <t>начаться</t>
  </si>
  <si>
    <t>Первая организованная атака против малярии началась в 1950 годах .</t>
  </si>
  <si>
    <t>file://conllu/ru/teddy-1293.conllu#s98_0</t>
  </si>
  <si>
    <t>99</t>
  </si>
  <si>
    <t>принадлежать</t>
  </si>
  <si>
    <t>Идея принадлежала Госдепартаменту США .</t>
  </si>
  <si>
    <t>file://conllu/ru/teddy-1293.conllu#s99_0</t>
  </si>
  <si>
    <t>100</t>
  </si>
  <si>
    <t>решить (решить знать)</t>
  </si>
  <si>
    <t>И они знали , что задача будет непростая Они решили сосредоточится на дешёвых средствах борьбы , и выбрали ДДТ ( инсектицид ) .</t>
  </si>
  <si>
    <t>file://conllu/ru/teddy-1293.conllu#s100_0</t>
  </si>
  <si>
    <t>101</t>
  </si>
  <si>
    <t>требоваться</t>
  </si>
  <si>
    <t>Также требовалось решить и культурную проблему .</t>
  </si>
  <si>
    <t>file://conllu/ru/teddy-1293.conllu#s101_0</t>
  </si>
  <si>
    <t>102</t>
  </si>
  <si>
    <t>решить</t>
  </si>
  <si>
    <t>Действуя с позиции покровительства , они решили , что больные будут избавлены от всех обязательств .</t>
  </si>
  <si>
    <t>file://conllu/ru/teddy-1293.conllu#s102_0</t>
  </si>
  <si>
    <t>103</t>
  </si>
  <si>
    <t>Всё будет делаться для них и ради них .</t>
  </si>
  <si>
    <t>file://conllu/ru/teddy-1293.conllu#s103_0</t>
  </si>
  <si>
    <t>104</t>
  </si>
  <si>
    <t>недооценить</t>
  </si>
  <si>
    <t>Но они недооценили научную проблему .</t>
  </si>
  <si>
    <t>file://conllu/ru/teddy-1293.conllu#s104_0</t>
  </si>
  <si>
    <t>105</t>
  </si>
  <si>
    <t>верить</t>
  </si>
  <si>
    <t>Они настолько верили в свои передовые средства , что перестали проводить исследования .</t>
  </si>
  <si>
    <t>file://conllu/ru/teddy-1293.conllu#s105_0</t>
  </si>
  <si>
    <t>106</t>
  </si>
  <si>
    <t>обернуться</t>
  </si>
  <si>
    <t>И когда эти средства перестали работать , общественное мнение обернулось против них , но они не знали что предпринять , поскольку не имели научной базы .</t>
  </si>
  <si>
    <t>file://conllu/ru/teddy-1293.conllu#s106_0</t>
  </si>
  <si>
    <t>107</t>
  </si>
  <si>
    <t>провалиться</t>
  </si>
  <si>
    <t>Вся кампания провалилась , малярия восторжествовала , но теперь она была ещё опаснее , чем прежде , потому что она забралась в самые труднодоступные регионы и приняла самую непредсказуемую форму .</t>
  </si>
  <si>
    <t>file://conllu/ru/teddy-1293.conllu#s107_0</t>
  </si>
  <si>
    <t>108</t>
  </si>
  <si>
    <t>назвать</t>
  </si>
  <si>
    <t>Всемирная Организация Здравоохранения назвала эту кампанию : «самой большой ошибкой общественного здравоохранения из всех когда-либо совершённых» .</t>
  </si>
  <si>
    <t>file://conllu/ru/teddy-1293.conllu#s108_0</t>
  </si>
  <si>
    <t>109</t>
  </si>
  <si>
    <t>Последняя кампания против малярии началась в 1990 годах .</t>
  </si>
  <si>
    <t>file://conllu/ru/teddy-1293.conllu#s109_0</t>
  </si>
  <si>
    <t>110</t>
  </si>
  <si>
    <t>финансировать</t>
  </si>
  <si>
    <t>Она была профинансирована и скоорденирована извне малярийных регионов .</t>
  </si>
  <si>
    <t>file://conllu/ru/teddy-1293.conllu#s110_0</t>
  </si>
  <si>
    <t>111</t>
  </si>
  <si>
    <t>На этот раз они хорошо поняли важность научного подхода , поэтому проводятся сотни исследований .</t>
  </si>
  <si>
    <t>file://conllu/ru/teddy-1293.conllu#s111_0</t>
  </si>
  <si>
    <t>112</t>
  </si>
  <si>
    <t>использовать (использовать решить осознавать)</t>
  </si>
  <si>
    <t>Они также осознают и экономические трудности , поэтому они решили использовать самые дешёвые средства .</t>
  </si>
  <si>
    <t>file://conllu/ru/teddy-1293.conllu#s112_0</t>
  </si>
  <si>
    <t>113</t>
  </si>
  <si>
    <t>Но на сей день проблема в культурном восприятии .</t>
  </si>
  <si>
    <t>file://conllu/ru/teddy-1293.conllu#s113_0</t>
  </si>
  <si>
    <t>114</t>
  </si>
  <si>
    <t>Главной защитой сегодня является надкроватная сетка , которую обрызгивают инсектицидами .</t>
  </si>
  <si>
    <t>file://conllu/ru/teddy-1293.conllu#s114_0</t>
  </si>
  <si>
    <t>115</t>
  </si>
  <si>
    <t>раздасть</t>
  </si>
  <si>
    <t>Во всех малярийных регионах раздали миллионы таких сеток .</t>
  </si>
  <si>
    <t>file://conllu/ru/teddy-1293.conllu#s115_0</t>
  </si>
  <si>
    <t>116</t>
  </si>
  <si>
    <t>нечто</t>
  </si>
  <si>
    <t>Если так подумать , это нечто вроде медицинского вмешательства .</t>
  </si>
  <si>
    <t>file://conllu/ru/teddy-1293.conllu#s116_0</t>
  </si>
  <si>
    <t>117</t>
  </si>
  <si>
    <t>полезный</t>
  </si>
  <si>
    <t>Конечно , она полезна для профилактики , но онв не вылечит тех , кто уже заразился .</t>
  </si>
  <si>
    <t>file://conllu/ru/teddy-1293.conllu#s117_0</t>
  </si>
  <si>
    <t>118</t>
  </si>
  <si>
    <t>настаивать</t>
  </si>
  <si>
    <t>И всё же мы настаиваем , чтобы люди спали под этими сетками каждую ночь .</t>
  </si>
  <si>
    <t>file://conllu/ru/teddy-1293.conllu#s118_0</t>
  </si>
  <si>
    <t>119</t>
  </si>
  <si>
    <t>Только так от них есть польза .</t>
  </si>
  <si>
    <t>file://conllu/ru/teddy-1293.conllu#s119_0</t>
  </si>
  <si>
    <t>120</t>
  </si>
  <si>
    <t>необходимый</t>
  </si>
  <si>
    <t>И это необходимо , даже если сетка блокирует свежий воздух , даже если им приходится вставать среди ночи , чтобы освежиться , даже если приходится раздвигать мебель , чтобы прицепить сетку , что в особенности сложно сделать , если вы живёте в круглой хижине .</t>
  </si>
  <si>
    <t>file://conllu/ru/teddy-1293.conllu#s120_0</t>
  </si>
  <si>
    <t>121</t>
  </si>
  <si>
    <t>казаться</t>
  </si>
  <si>
    <t>Всё это кажется мелкой платой за защиту от малярии .</t>
  </si>
  <si>
    <t>file://conllu/ru/teddy-1293.conllu#s121_0</t>
  </si>
  <si>
    <t>122</t>
  </si>
  <si>
    <t>С этими неудобствами можно смириться .</t>
  </si>
  <si>
    <t>file://conllu/ru/teddy-1293.conllu#s122_0</t>
  </si>
  <si>
    <t>123</t>
  </si>
  <si>
    <t>Но так думаем мы , а не больные малярией .</t>
  </si>
  <si>
    <t>file://conllu/ru/teddy-1293.conllu#s123_0</t>
  </si>
  <si>
    <t>124</t>
  </si>
  <si>
    <t>Для них всё выглядит иначе .</t>
  </si>
  <si>
    <t>file://conllu/ru/teddy-1293.conllu#s124_0</t>
  </si>
  <si>
    <t>125</t>
  </si>
  <si>
    <t>Представьте себе , группа , скажем , кенийцев приходит к нам с самыми добрыми намерениями и говорит : «Ваши народы страдают от простуды и гриппа .</t>
  </si>
  <si>
    <t>file://conllu/ru/teddy-1293.conllu#s125_0</t>
  </si>
  <si>
    <t>126</t>
  </si>
  <si>
    <t>разработать</t>
  </si>
  <si>
    <t>Мы разработали дешёвое и верное средство защиты , и мы раздадим вам его бесплатно .</t>
  </si>
  <si>
    <t>file://conllu/ru/teddy-1293.conllu#s126_0</t>
  </si>
  <si>
    <t>127</t>
  </si>
  <si>
    <t>называться</t>
  </si>
  <si>
    <t>Оно называется медицинская маска , и всё , что нужно делать , — это носить её всё время в сезон гриппа , даже в школу и на работу» .</t>
  </si>
  <si>
    <t>file://conllu/ru/teddy-1293.conllu#s127_0</t>
  </si>
  <si>
    <t>128</t>
  </si>
  <si>
    <t>Что бы вы сделали ?</t>
  </si>
  <si>
    <t>file://conllu/ru/teddy-1293.conllu#s128_0</t>
  </si>
  <si>
    <t>129</t>
  </si>
  <si>
    <t>воспринять</t>
  </si>
  <si>
    <t>Наверное , именно так эти люди восприняли надкроватные сетки , когда впервые увидели их .</t>
  </si>
  <si>
    <t>file://conllu/ru/teddy-1293.conllu#s129_0</t>
  </si>
  <si>
    <t>130</t>
  </si>
  <si>
    <t>использовать (использовать знать)</t>
  </si>
  <si>
    <t>И действительно , мы знаем из исследований , что только 20 % сеток были действительно использованы по назначению .</t>
  </si>
  <si>
    <t>file://conllu/ru/teddy-1293.conllu#s130_0</t>
  </si>
  <si>
    <t>131</t>
  </si>
  <si>
    <t>преувеличить</t>
  </si>
  <si>
    <t>И даже это число преувеличено , потому что те же люди , кто раздавал сетки , возвращались и спрашивали : «А вы пользуетесь той сеткой , что мы вам давали ? » Это тоже самое , как если бы ваша тётя Джейн спросила : «А ты пользуешься той вазой , что я подарила тебе на Рождество ? » Так что , скорее всего , цифры преувеличены .</t>
  </si>
  <si>
    <t>file://conllu/ru/teddy-1293.conllu#s131_0</t>
  </si>
  <si>
    <t>132</t>
  </si>
  <si>
    <t>поправимый</t>
  </si>
  <si>
    <t>Но это всё поправимо .</t>
  </si>
  <si>
    <t>file://conllu/ru/teddy-1293.conllu#s132_0</t>
  </si>
  <si>
    <t>133</t>
  </si>
  <si>
    <t>повышать</t>
  </si>
  <si>
    <t>Мы повышаем осведомлённость , мы пробуем убедить их всё же использовать эти сетки .</t>
  </si>
  <si>
    <t>file://conllu/ru/teddy-1293.conllu#s133_0</t>
  </si>
  <si>
    <t>134</t>
  </si>
  <si>
    <t>работать</t>
  </si>
  <si>
    <t>И мы работаем над этим .</t>
  </si>
  <si>
    <t>file://conllu/ru/teddy-1293.conllu#s134_0</t>
  </si>
  <si>
    <t>135</t>
  </si>
  <si>
    <t>уходить</t>
  </si>
  <si>
    <t>Большинство времени и денег уходит на обучение , семинары , школьные программы , музыкальные и театральные представления , и всё для того , чтобы убедить людей использовать надкроватные сетки .</t>
  </si>
  <si>
    <t>file://conllu/ru/teddy-1293.conllu#s135_0</t>
  </si>
  <si>
    <t>136</t>
  </si>
  <si>
    <t>сработать</t>
  </si>
  <si>
    <t>И , возможно , это сработает .</t>
  </si>
  <si>
    <t>file://conllu/ru/teddy-1293.conllu#s136_0</t>
  </si>
  <si>
    <t>137</t>
  </si>
  <si>
    <t>займёть</t>
  </si>
  <si>
    <t>Но это займёт время , понадобятся деньги , понадобятся ресурсы и инфраструктура .</t>
  </si>
  <si>
    <t>file://conllu/ru/teddy-1293.conllu#s137_0</t>
  </si>
  <si>
    <t>138</t>
  </si>
  <si>
    <t>все</t>
  </si>
  <si>
    <t>То есть всё , чего не требовала дешёвая и легкая в использовании надкроватная сетка .</t>
  </si>
  <si>
    <t>file://conllu/ru/teddy-1293.conllu#s138_0</t>
  </si>
  <si>
    <t>139</t>
  </si>
  <si>
    <t>трудный</t>
  </si>
  <si>
    <t>Малярию одинаково трудно победить , и тем , кто живет внутри общества , в котором она процветает , и тем , кто приходить в это общество извне .</t>
  </si>
  <si>
    <t>file://conllu/ru/teddy-1293.conllu#s139_0</t>
  </si>
  <si>
    <t>140</t>
  </si>
  <si>
    <t>навязываться</t>
  </si>
  <si>
    <t>В конечном итоге мы навязываемся этим людям .</t>
  </si>
  <si>
    <t>file://conllu/ru/teddy-1293.conllu#s140_0</t>
  </si>
  <si>
    <t>141</t>
  </si>
  <si>
    <t>То же мы делали и в 1950 годах , и это обернулось против нас .</t>
  </si>
  <si>
    <t>file://conllu/ru/teddy-1293.conllu#s141_0</t>
  </si>
  <si>
    <t>142</t>
  </si>
  <si>
    <t>Сегодня я скажу , что распространение наших средств защиты , которые этим людям кажутся бессмысленными , может привести к повторению той же ошибки .</t>
  </si>
  <si>
    <t>file://conllu/ru/teddy-1293.conllu#s142_0</t>
  </si>
  <si>
    <t>143</t>
  </si>
  <si>
    <t>Не то , чтобы малярия была непобедима , — я в это не верю — но , думаю , нужно рассматривать её с точки зрения тех , кто живёт с ней бок о бок .</t>
  </si>
  <si>
    <t>file://conllu/ru/teddy-1293.conllu#s143_0</t>
  </si>
  <si>
    <t>144</t>
  </si>
  <si>
    <t>брать</t>
  </si>
  <si>
    <t>Возьмите пример Англии и США .</t>
  </si>
  <si>
    <t>file://conllu/ru/teddy-1293.conllu#s144_0</t>
  </si>
  <si>
    <t>145</t>
  </si>
  <si>
    <t>В этих странах малярия существовала сотни лет , а сегодня мы от неё избавились , но не потому , что сражались с ней .</t>
  </si>
  <si>
    <t>file://conllu/ru/teddy-1293.conllu#s145_0</t>
  </si>
  <si>
    <t>146</t>
  </si>
  <si>
    <t>Этого не было .</t>
  </si>
  <si>
    <t>file://conllu/ru/teddy-1293.conllu#s146_0</t>
  </si>
  <si>
    <t>147</t>
  </si>
  <si>
    <t>сражаться</t>
  </si>
  <si>
    <t>Мы сражались с плохими дорогами , плохим жильём , с плохой дренажной системой , с отсутствием электричества и с нищетой .</t>
  </si>
  <si>
    <t>file://conllu/ru/teddy-1293.conllu#s147_0</t>
  </si>
  <si>
    <t>148</t>
  </si>
  <si>
    <t>уничтожить</t>
  </si>
  <si>
    <t>Мы уничтожили комфортные условия для малярии , и тем самым уничтожили и её .</t>
  </si>
  <si>
    <t>file://conllu/ru/teddy-1293.conllu#s148_0</t>
  </si>
  <si>
    <t>149</t>
  </si>
  <si>
    <t>заботиться</t>
  </si>
  <si>
    <t>И сегодня люди заботятся именно о том , чтобы уничтожить комфортные условия для малярии .</t>
  </si>
  <si>
    <t>file://conllu/ru/teddy-1293.conllu#s149_0</t>
  </si>
  <si>
    <t>150</t>
  </si>
  <si>
    <t>дешёвый</t>
  </si>
  <si>
    <t>А эта задача не дешёвая , не легкая и не быстрая , но это наш единственный путь вперёд .</t>
  </si>
  <si>
    <t>file://conllu/ru/teddy-1293.conllu#s150_0</t>
  </si>
  <si>
    <t>151</t>
  </si>
  <si>
    <t>большой</t>
  </si>
  <si>
    <t>Спасибо большое .</t>
  </si>
  <si>
    <t>file://conllu/ru/teddy-1293.conllu#s151_0</t>
  </si>
  <si>
    <t>152</t>
  </si>
  <si>
    <t>аплодисменты</t>
  </si>
  <si>
    <t>( Аплодисменты )</t>
  </si>
  <si>
    <t>file://conllu/ru/teddy-1293.conllu#s152_0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</si>
  <si>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</si>
  <si>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</si>
  <si>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</si>
  <si>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</si>
  <si>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</si>
  <si>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</si>
  <si>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</si>
  <si>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</si>
  <si>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</si>
  <si>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</si>
  <si>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</si>
  <si>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За всё время истории человечества малярия погубила больше душ, чем любое другое инфекционное заболевание.</t>
  </si>
  <si>
    <t>За</t>
  </si>
  <si>
    <t>всё</t>
  </si>
  <si>
    <t>время</t>
  </si>
  <si>
    <t>other</t>
  </si>
  <si>
    <t>indef-np.quant</t>
  </si>
  <si>
    <t>истории</t>
  </si>
  <si>
    <t>человечества</t>
  </si>
  <si>
    <t>малярия</t>
  </si>
  <si>
    <t>SBJ</t>
  </si>
  <si>
    <t>погубила</t>
  </si>
  <si>
    <t>больше</t>
  </si>
  <si>
    <t>душ</t>
  </si>
  <si>
    <t>,</t>
  </si>
  <si>
    <t>чем</t>
  </si>
  <si>
    <t>любое</t>
  </si>
  <si>
    <t>другое</t>
  </si>
  <si>
    <t>инфекционное</t>
  </si>
  <si>
    <t>заболевание</t>
  </si>
  <si>
    <t>.</t>
  </si>
  <si>
    <t># text = Она переносится с укусом комаров, и, возможно, именно она является нашим древнейшим губителем.</t>
  </si>
  <si>
    <t>Она</t>
  </si>
  <si>
    <t>pron</t>
  </si>
  <si>
    <t>?OLD</t>
  </si>
  <si>
    <t>переносится</t>
  </si>
  <si>
    <t>с</t>
  </si>
  <si>
    <t>укусом</t>
  </si>
  <si>
    <t>комаров</t>
  </si>
  <si>
    <t>и</t>
  </si>
  <si>
    <t>возможно</t>
  </si>
  <si>
    <t>именно</t>
  </si>
  <si>
    <t>она</t>
  </si>
  <si>
    <t>SBJ_2</t>
  </si>
  <si>
    <t>является</t>
  </si>
  <si>
    <t>нашим</t>
  </si>
  <si>
    <t>other_3</t>
  </si>
  <si>
    <t>pron.ppos</t>
  </si>
  <si>
    <t>древнейшим</t>
  </si>
  <si>
    <t>губителем</t>
  </si>
  <si>
    <t># text = Малярия поражала нас с тех пор, как мы эволюционировали, и по сей день она собирает обильную жатву.</t>
  </si>
  <si>
    <t>Малярия</t>
  </si>
  <si>
    <t>поражала</t>
  </si>
  <si>
    <t>нас</t>
  </si>
  <si>
    <t>OBJ</t>
  </si>
  <si>
    <t>тех</t>
  </si>
  <si>
    <t>пор</t>
  </si>
  <si>
    <t>def-np.dem</t>
  </si>
  <si>
    <t>как</t>
  </si>
  <si>
    <t>мы</t>
  </si>
  <si>
    <t>SBJ_3</t>
  </si>
  <si>
    <t>эволюционировали</t>
  </si>
  <si>
    <t>по</t>
  </si>
  <si>
    <t>сей</t>
  </si>
  <si>
    <t>день</t>
  </si>
  <si>
    <t>other_2</t>
  </si>
  <si>
    <t>собирает</t>
  </si>
  <si>
    <t>обильную</t>
  </si>
  <si>
    <t>жатву</t>
  </si>
  <si>
    <t>OBJ_2</t>
  </si>
  <si>
    <t># text = Сегодня мы имеем 300 миллионов случаев заболевания в год, из которых более полумиллиона со смертельным исходом.</t>
  </si>
  <si>
    <t>Сегодня</t>
  </si>
  <si>
    <t>имеем</t>
  </si>
  <si>
    <t>300</t>
  </si>
  <si>
    <t>миллионов</t>
  </si>
  <si>
    <t>случаев</t>
  </si>
  <si>
    <t>заболевания</t>
  </si>
  <si>
    <t>в</t>
  </si>
  <si>
    <t>год</t>
  </si>
  <si>
    <t>из</t>
  </si>
  <si>
    <t>которых</t>
  </si>
  <si>
    <t>pron.pint</t>
  </si>
  <si>
    <t>более</t>
  </si>
  <si>
    <t>полумиллиона</t>
  </si>
  <si>
    <t>со</t>
  </si>
  <si>
    <t>смертельным</t>
  </si>
  <si>
    <t>исходом</t>
  </si>
  <si>
    <t># text = Но это выглядит нелогичным.</t>
  </si>
  <si>
    <t>Но</t>
  </si>
  <si>
    <t>это</t>
  </si>
  <si>
    <t>pron.pds</t>
  </si>
  <si>
    <t>выглядит</t>
  </si>
  <si>
    <t>нелогичным</t>
  </si>
  <si>
    <t># text = Мы умеем лечить малярию ещё с 17 века.</t>
  </si>
  <si>
    <t>Мы</t>
  </si>
  <si>
    <t>умеем</t>
  </si>
  <si>
    <t>лечить</t>
  </si>
  <si>
    <t>малярию</t>
  </si>
  <si>
    <t>ещё</t>
  </si>
  <si>
    <t>века</t>
  </si>
  <si>
    <t># text = Именно тогда, в Перу, иезуитские миссионеры обнаружили кору хинного дерева, содержащую хинин, который по сей день является эффективным лекарством от малярии.</t>
  </si>
  <si>
    <t>Именно</t>
  </si>
  <si>
    <t>тогда</t>
  </si>
  <si>
    <t>Перу</t>
  </si>
  <si>
    <t>ne</t>
  </si>
  <si>
    <t>иезуитские</t>
  </si>
  <si>
    <t>миссионеры</t>
  </si>
  <si>
    <t>обнаружили</t>
  </si>
  <si>
    <t>кору</t>
  </si>
  <si>
    <t>хинного</t>
  </si>
  <si>
    <t>дерева</t>
  </si>
  <si>
    <t>содержащую</t>
  </si>
  <si>
    <t>хинин</t>
  </si>
  <si>
    <t>OBJ_3</t>
  </si>
  <si>
    <t>который</t>
  </si>
  <si>
    <t>SBJ_5</t>
  </si>
  <si>
    <t>other_5</t>
  </si>
  <si>
    <t>эффективным</t>
  </si>
  <si>
    <t>лекарством</t>
  </si>
  <si>
    <t>от</t>
  </si>
  <si>
    <t>малярии</t>
  </si>
  <si>
    <t># text = То есть мы уже несколько веков умеем лечить малярию.</t>
  </si>
  <si>
    <t>То</t>
  </si>
  <si>
    <t>есть</t>
  </si>
  <si>
    <t>уже</t>
  </si>
  <si>
    <t>несколько</t>
  </si>
  <si>
    <t>веков</t>
  </si>
  <si>
    <t># text = Нам известна профилактика малярии с 1897 года.</t>
  </si>
  <si>
    <t>Нам</t>
  </si>
  <si>
    <t>известна</t>
  </si>
  <si>
    <t>профилактика</t>
  </si>
  <si>
    <t>1897</t>
  </si>
  <si>
    <t>года</t>
  </si>
  <si>
    <t># text = Именно тогда британский военный хирург Рональд Росс понял, что малярию переносят комары, а не плохой воздух или миазмы, как думали раньше.</t>
  </si>
  <si>
    <t>британский</t>
  </si>
  <si>
    <t>военный</t>
  </si>
  <si>
    <t>хирург</t>
  </si>
  <si>
    <t>Рональд</t>
  </si>
  <si>
    <t>Росс</t>
  </si>
  <si>
    <t>понял</t>
  </si>
  <si>
    <t>что</t>
  </si>
  <si>
    <t>переносят</t>
  </si>
  <si>
    <t>комары</t>
  </si>
  <si>
    <t>а</t>
  </si>
  <si>
    <t>не</t>
  </si>
  <si>
    <t>плохой</t>
  </si>
  <si>
    <t>воздух</t>
  </si>
  <si>
    <t>или</t>
  </si>
  <si>
    <t>миазмы</t>
  </si>
  <si>
    <t>думали</t>
  </si>
  <si>
    <t>раньше</t>
  </si>
  <si>
    <t># text = То есть в наши дни малярия должна лечиться сравнительно легко, и всё же сотни тысяч людей погибают от укуса комара.</t>
  </si>
  <si>
    <t>наши</t>
  </si>
  <si>
    <t>дни</t>
  </si>
  <si>
    <t>должна</t>
  </si>
  <si>
    <t>лечиться</t>
  </si>
  <si>
    <t>сравнительно</t>
  </si>
  <si>
    <t>легко</t>
  </si>
  <si>
    <t>же</t>
  </si>
  <si>
    <t>сотни</t>
  </si>
  <si>
    <t>тысяч</t>
  </si>
  <si>
    <t>людей</t>
  </si>
  <si>
    <t>погибают</t>
  </si>
  <si>
    <t>укуса</t>
  </si>
  <si>
    <t>комара</t>
  </si>
  <si>
    <t># text = Почему это происходит?</t>
  </si>
  <si>
    <t>Почему</t>
  </si>
  <si>
    <t>происходит</t>
  </si>
  <si>
    <t>?</t>
  </si>
  <si>
    <t># text = Этот вопрос интересовал меня уже с давних пор.</t>
  </si>
  <si>
    <t>Этот</t>
  </si>
  <si>
    <t>вопрос</t>
  </si>
  <si>
    <t>интересовал</t>
  </si>
  <si>
    <t>меня</t>
  </si>
  <si>
    <t>давних</t>
  </si>
  <si>
    <t># text = Я дочь индийского иммигранта.</t>
  </si>
  <si>
    <t>Я</t>
  </si>
  <si>
    <t>индийского</t>
  </si>
  <si>
    <t>иммигранта</t>
  </si>
  <si>
    <t># text = Каждое лето я навещала своих кузенов в Индии.</t>
  </si>
  <si>
    <t>Каждое</t>
  </si>
  <si>
    <t>лето</t>
  </si>
  <si>
    <t>я</t>
  </si>
  <si>
    <t>навещала</t>
  </si>
  <si>
    <t>своих</t>
  </si>
  <si>
    <t>кузенов</t>
  </si>
  <si>
    <t>Индии</t>
  </si>
  <si>
    <t># text = Поскольку у меня не было иммунитета к местной форме малярии, каждую ночь мне приходилось ночевать под душной москитной сеткой, в то время как мои кузены спали на террасе и наслаждались свежим ночным ветерком.</t>
  </si>
  <si>
    <t>Поскольку</t>
  </si>
  <si>
    <t>у</t>
  </si>
  <si>
    <t>было</t>
  </si>
  <si>
    <t>иммунитета</t>
  </si>
  <si>
    <t>к</t>
  </si>
  <si>
    <t>местной</t>
  </si>
  <si>
    <t>форме</t>
  </si>
  <si>
    <t>каждую</t>
  </si>
  <si>
    <t>ночь</t>
  </si>
  <si>
    <t>мне</t>
  </si>
  <si>
    <t>приходилось</t>
  </si>
  <si>
    <t>ночевать</t>
  </si>
  <si>
    <t>под</t>
  </si>
  <si>
    <t>душной</t>
  </si>
  <si>
    <t>москитной</t>
  </si>
  <si>
    <t>сеткой</t>
  </si>
  <si>
    <t>мои</t>
  </si>
  <si>
    <t>other_4</t>
  </si>
  <si>
    <t>кузены</t>
  </si>
  <si>
    <t>спали</t>
  </si>
  <si>
    <t>SBJ_4</t>
  </si>
  <si>
    <t>на</t>
  </si>
  <si>
    <t>террасе</t>
  </si>
  <si>
    <t>наслаждались</t>
  </si>
  <si>
    <t>свежим</t>
  </si>
  <si>
    <t>ночным</t>
  </si>
  <si>
    <t>ветерком</t>
  </si>
  <si>
    <t># text = За это я люто ненавидела комаров.</t>
  </si>
  <si>
    <t>люто</t>
  </si>
  <si>
    <t>ненавидела</t>
  </si>
  <si>
    <t># text = В то же время я и моя семья являемся джайнами, а джайнизм строго запрещает любую форму насилия.</t>
  </si>
  <si>
    <t>В</t>
  </si>
  <si>
    <t>моя</t>
  </si>
  <si>
    <t>семья</t>
  </si>
  <si>
    <t>являемся</t>
  </si>
  <si>
    <t>джайнами</t>
  </si>
  <si>
    <t>джайнизм</t>
  </si>
  <si>
    <t>строго</t>
  </si>
  <si>
    <t>запрещает</t>
  </si>
  <si>
    <t>любую</t>
  </si>
  <si>
    <t>форму</t>
  </si>
  <si>
    <t>насилия</t>
  </si>
  <si>
    <t># text = Например, джайны не должны есть мясо.</t>
  </si>
  <si>
    <t>Например</t>
  </si>
  <si>
    <t>джайны</t>
  </si>
  <si>
    <t>должны</t>
  </si>
  <si>
    <t>мясо</t>
  </si>
  <si>
    <t># text = Мы не должны ходить по траве, чтобы случайно не убить ползающих там насекомых.</t>
  </si>
  <si>
    <t>ходить</t>
  </si>
  <si>
    <t>траве</t>
  </si>
  <si>
    <t>чтобы</t>
  </si>
  <si>
    <t>случайно</t>
  </si>
  <si>
    <t>убить</t>
  </si>
  <si>
    <t>ползающих</t>
  </si>
  <si>
    <t>там</t>
  </si>
  <si>
    <t>насекомых</t>
  </si>
  <si>
    <t># text = И уж, конечно, нам нельзя убивать комаров.</t>
  </si>
  <si>
    <t>И</t>
  </si>
  <si>
    <t>уж</t>
  </si>
  <si>
    <t>конечно</t>
  </si>
  <si>
    <t>нам</t>
  </si>
  <si>
    <t>убивать</t>
  </si>
  <si>
    <t># text = Поэтому с раннего детства пугающая сила маленького насекомого была для меня столь очевидна, что, будучи журналисткой, я потратила 5 лет, пытаясь понять, почему именно малярия угрожает человечеству с самой его колыбели?</t>
  </si>
  <si>
    <t>Поэтому</t>
  </si>
  <si>
    <t>раннего</t>
  </si>
  <si>
    <t>детства</t>
  </si>
  <si>
    <t>пугающая</t>
  </si>
  <si>
    <t>сила</t>
  </si>
  <si>
    <t>маленького</t>
  </si>
  <si>
    <t>насекомого</t>
  </si>
  <si>
    <t>была</t>
  </si>
  <si>
    <t>для</t>
  </si>
  <si>
    <t>столь</t>
  </si>
  <si>
    <t>очевидна</t>
  </si>
  <si>
    <t>будучи</t>
  </si>
  <si>
    <t>журналисткой</t>
  </si>
  <si>
    <t>потратила</t>
  </si>
  <si>
    <t>лет</t>
  </si>
  <si>
    <t>пытаясь</t>
  </si>
  <si>
    <t>почему</t>
  </si>
  <si>
    <t>SBJ_6</t>
  </si>
  <si>
    <t>угрожает</t>
  </si>
  <si>
    <t>человечеству</t>
  </si>
  <si>
    <t>OBJ_6</t>
  </si>
  <si>
    <t>самой</t>
  </si>
  <si>
    <t>его</t>
  </si>
  <si>
    <t>other_8</t>
  </si>
  <si>
    <t>колыбели</t>
  </si>
  <si>
    <t># text = И я нашла тому три причины.</t>
  </si>
  <si>
    <t>нашла</t>
  </si>
  <si>
    <t>тому</t>
  </si>
  <si>
    <t>три</t>
  </si>
  <si>
    <t>причины</t>
  </si>
  <si>
    <t># text = Это три причины создают собой четвертую, которая и является самой главной.</t>
  </si>
  <si>
    <t>Это</t>
  </si>
  <si>
    <t>создают</t>
  </si>
  <si>
    <t>собой</t>
  </si>
  <si>
    <t>четвертую</t>
  </si>
  <si>
    <t>которая</t>
  </si>
  <si>
    <t>главной</t>
  </si>
  <si>
    <t># text = Первая причина — научная.</t>
  </si>
  <si>
    <t>Первая</t>
  </si>
  <si>
    <t>—</t>
  </si>
  <si>
    <t>научная</t>
  </si>
  <si>
    <t># text = Маленький паразит, вызывающий малярию, является одним из самых сложных и коварных патогенов, известных человечеству.</t>
  </si>
  <si>
    <t>Маленький</t>
  </si>
  <si>
    <t>паразит</t>
  </si>
  <si>
    <t>вызывающий</t>
  </si>
  <si>
    <t>одним</t>
  </si>
  <si>
    <t>самых</t>
  </si>
  <si>
    <t>сложных</t>
  </si>
  <si>
    <t>коварных</t>
  </si>
  <si>
    <t>патогенов</t>
  </si>
  <si>
    <t>известных</t>
  </si>
  <si>
    <t>OBJ_4</t>
  </si>
  <si>
    <t># text = Полжизни он живёт в хладнокровном комаре, а полжизни в теплокровном человеке.</t>
  </si>
  <si>
    <t>Пол</t>
  </si>
  <si>
    <t>жизни</t>
  </si>
  <si>
    <t>он</t>
  </si>
  <si>
    <t>живёт</t>
  </si>
  <si>
    <t>хладнокровном</t>
  </si>
  <si>
    <t>комаре</t>
  </si>
  <si>
    <t>пол</t>
  </si>
  <si>
    <t>теплокровном</t>
  </si>
  <si>
    <t>человеке</t>
  </si>
  <si>
    <t># text = Две этих среды очень различаются, и кроме того, они обе очень враждебны.</t>
  </si>
  <si>
    <t>Две</t>
  </si>
  <si>
    <t>этих</t>
  </si>
  <si>
    <t>среды</t>
  </si>
  <si>
    <t>очень</t>
  </si>
  <si>
    <t>различаются</t>
  </si>
  <si>
    <t>кроме</t>
  </si>
  <si>
    <t>того</t>
  </si>
  <si>
    <t>они</t>
  </si>
  <si>
    <t>обе</t>
  </si>
  <si>
    <t>враждебны</t>
  </si>
  <si>
    <t># text = Тело комара отчаянно сопротивляется паразиту, так же сопротивляется паразиту и тело человека.</t>
  </si>
  <si>
    <t>Тело</t>
  </si>
  <si>
    <t>отчаянно</t>
  </si>
  <si>
    <t>сопротивляется</t>
  </si>
  <si>
    <t>паразиту</t>
  </si>
  <si>
    <t>так</t>
  </si>
  <si>
    <t>тело</t>
  </si>
  <si>
    <t>человека</t>
  </si>
  <si>
    <t># text = Маленькое создание не только выживает в этой войне, но и ухитряется процветать.</t>
  </si>
  <si>
    <t>Маленькое</t>
  </si>
  <si>
    <t>создание</t>
  </si>
  <si>
    <t>только</t>
  </si>
  <si>
    <t>выживает</t>
  </si>
  <si>
    <t>этой</t>
  </si>
  <si>
    <t>войне</t>
  </si>
  <si>
    <t>но</t>
  </si>
  <si>
    <t>ухитряется</t>
  </si>
  <si>
    <t>процветать</t>
  </si>
  <si>
    <t># text = У него несчётное количество способов выживать в этих условиях.</t>
  </si>
  <si>
    <t>У</t>
  </si>
  <si>
    <t>него</t>
  </si>
  <si>
    <t>несчётное</t>
  </si>
  <si>
    <t>количество</t>
  </si>
  <si>
    <t>способов</t>
  </si>
  <si>
    <t>условиях</t>
  </si>
  <si>
    <t># text = Например, он умеет менять форму.</t>
  </si>
  <si>
    <t>умеет</t>
  </si>
  <si>
    <t># text = Как гусеница превращается в бабочку, так же малярийный паразит меняет облик 7 раз за жизненный цикл.</t>
  </si>
  <si>
    <t>Как</t>
  </si>
  <si>
    <t>гусеница</t>
  </si>
  <si>
    <t>превращается</t>
  </si>
  <si>
    <t>бабочку</t>
  </si>
  <si>
    <t>малярийный</t>
  </si>
  <si>
    <t>меняет</t>
  </si>
  <si>
    <t>облик</t>
  </si>
  <si>
    <t>раз</t>
  </si>
  <si>
    <t>за</t>
  </si>
  <si>
    <t>жизненный</t>
  </si>
  <si>
    <t>цикл</t>
  </si>
  <si>
    <t># text = Каждая из его форм не только внешне отличается от остальных, но имеет другую физиологию.</t>
  </si>
  <si>
    <t>Каждая</t>
  </si>
  <si>
    <t>форм</t>
  </si>
  <si>
    <t>внешне</t>
  </si>
  <si>
    <t>отличается</t>
  </si>
  <si>
    <t>остальных</t>
  </si>
  <si>
    <t>имеет</t>
  </si>
  <si>
    <t>другую</t>
  </si>
  <si>
    <t>физиологию</t>
  </si>
  <si>
    <t># text = То есть можно изобрести лекарство, действующее на одну из форм паразита.</t>
  </si>
  <si>
    <t>изобрести</t>
  </si>
  <si>
    <t>лекарство</t>
  </si>
  <si>
    <t>действующее</t>
  </si>
  <si>
    <t>одну</t>
  </si>
  <si>
    <t>паразита</t>
  </si>
  <si>
    <t># text = Но оно не будет действовать на другие формы.</t>
  </si>
  <si>
    <t>оно</t>
  </si>
  <si>
    <t>будет</t>
  </si>
  <si>
    <t>другие</t>
  </si>
  <si>
    <t>формы</t>
  </si>
  <si>
    <t># text = Паразит может оставаться в теле незамеченным на протяжении дней, недель, месяцев, лет, а иногда даже десятилетий.</t>
  </si>
  <si>
    <t>Паразит</t>
  </si>
  <si>
    <t>может</t>
  </si>
  <si>
    <t>оставаться</t>
  </si>
  <si>
    <t>теле</t>
  </si>
  <si>
    <t>незамеченным</t>
  </si>
  <si>
    <t>протяжении</t>
  </si>
  <si>
    <t>дней</t>
  </si>
  <si>
    <t>недель</t>
  </si>
  <si>
    <t>месяцев</t>
  </si>
  <si>
    <t>иногда</t>
  </si>
  <si>
    <t>даже</t>
  </si>
  <si>
    <t>десятилетий</t>
  </si>
  <si>
    <t># text = Так что этот паразит представляет сложную задачу для науки, как и комар, который его переносит.</t>
  </si>
  <si>
    <t>Так</t>
  </si>
  <si>
    <t>этот</t>
  </si>
  <si>
    <t>представляет</t>
  </si>
  <si>
    <t>сложную</t>
  </si>
  <si>
    <t>задачу</t>
  </si>
  <si>
    <t>науки</t>
  </si>
  <si>
    <t>комар</t>
  </si>
  <si>
    <t>переносит</t>
  </si>
  <si>
    <t># text = Большинство малярии в мире переносят только 12 видов комаров.</t>
  </si>
  <si>
    <t>Большинство</t>
  </si>
  <si>
    <t>мире</t>
  </si>
  <si>
    <t>видов</t>
  </si>
  <si>
    <t># text = И мы знаем довольно мало о типах водной среды, пригодной для их обитания.</t>
  </si>
  <si>
    <t>знаем</t>
  </si>
  <si>
    <t>довольно</t>
  </si>
  <si>
    <t>мало</t>
  </si>
  <si>
    <t>о</t>
  </si>
  <si>
    <t>типах</t>
  </si>
  <si>
    <t>водной</t>
  </si>
  <si>
    <t>пригодной</t>
  </si>
  <si>
    <t>их</t>
  </si>
  <si>
    <t>обитания</t>
  </si>
  <si>
    <t># text = Вы, наверное, скажите, ну, разве мы не можем просто избегать тех мест, где обитают комары?</t>
  </si>
  <si>
    <t>Вы</t>
  </si>
  <si>
    <t>наверное</t>
  </si>
  <si>
    <t>скажите</t>
  </si>
  <si>
    <t>ну</t>
  </si>
  <si>
    <t>разве</t>
  </si>
  <si>
    <t>можем</t>
  </si>
  <si>
    <t>просто</t>
  </si>
  <si>
    <t>мест</t>
  </si>
  <si>
    <t>где</t>
  </si>
  <si>
    <t>обитают</t>
  </si>
  <si>
    <t># text = Верно?</t>
  </si>
  <si>
    <t>Верно</t>
  </si>
  <si>
    <t># text = Мы же избегаем места, где живут медведи гризли, или крокодилы.</t>
  </si>
  <si>
    <t>избегаем</t>
  </si>
  <si>
    <t>места</t>
  </si>
  <si>
    <t>живут</t>
  </si>
  <si>
    <t>медведи</t>
  </si>
  <si>
    <t>гризли</t>
  </si>
  <si>
    <t>крокодилы</t>
  </si>
  <si>
    <t># text = Но предположим, вы живёте в тропиках, и каждый день, выходя на улицу, вы оставляете следы на мягкой грязи вокруг дома.</t>
  </si>
  <si>
    <t>предположим</t>
  </si>
  <si>
    <t>вы</t>
  </si>
  <si>
    <t>живёте</t>
  </si>
  <si>
    <t>тропиках</t>
  </si>
  <si>
    <t>каждый</t>
  </si>
  <si>
    <t>выходя</t>
  </si>
  <si>
    <t>улицу</t>
  </si>
  <si>
    <t>оставляете</t>
  </si>
  <si>
    <t>следы</t>
  </si>
  <si>
    <t>мягкой</t>
  </si>
  <si>
    <t>грязи</t>
  </si>
  <si>
    <t>вокруг</t>
  </si>
  <si>
    <t>дома</t>
  </si>
  <si>
    <t># text = Те же следы оставляют коровы, или, скажем, свиньи, и вот пошёл дождь.</t>
  </si>
  <si>
    <t>Те</t>
  </si>
  <si>
    <t>оставляют</t>
  </si>
  <si>
    <t>коровы</t>
  </si>
  <si>
    <t>скажем</t>
  </si>
  <si>
    <t>свиньи</t>
  </si>
  <si>
    <t>пошёл</t>
  </si>
  <si>
    <t>дождь</t>
  </si>
  <si>
    <t># text = Ямки от следов наполнились водой.</t>
  </si>
  <si>
    <t>Ямки</t>
  </si>
  <si>
    <t>следов</t>
  </si>
  <si>
    <t>наполнились</t>
  </si>
  <si>
    <t>водой</t>
  </si>
  <si>
    <t># text = Вот и всё.</t>
  </si>
  <si>
    <t>Вот</t>
  </si>
  <si>
    <t># text = Вы создали идеальную среду для малярийных комаров прямо на пороге своего дома.</t>
  </si>
  <si>
    <t>создали</t>
  </si>
  <si>
    <t>идеальную</t>
  </si>
  <si>
    <t>среду</t>
  </si>
  <si>
    <t>малярийных</t>
  </si>
  <si>
    <t>прямо</t>
  </si>
  <si>
    <t>пороге</t>
  </si>
  <si>
    <t>своего</t>
  </si>
  <si>
    <t># text = Так что изолироваться от этих насекомых не так просто.</t>
  </si>
  <si>
    <t>изолироваться</t>
  </si>
  <si>
    <t># text = Волей-неволей мы постоянно создаём для них комфортные зоны обитания.</t>
  </si>
  <si>
    <t>Волей</t>
  </si>
  <si>
    <t>неволей</t>
  </si>
  <si>
    <t>постоянно</t>
  </si>
  <si>
    <t>создаём</t>
  </si>
  <si>
    <t>них</t>
  </si>
  <si>
    <t>комфортные</t>
  </si>
  <si>
    <t>зоны</t>
  </si>
  <si>
    <t># text = Проблемы существуют не только с научной стороны вопроса, но и с экономической.</t>
  </si>
  <si>
    <t>Проблемы</t>
  </si>
  <si>
    <t>существуют</t>
  </si>
  <si>
    <t>научной</t>
  </si>
  <si>
    <t>стороны</t>
  </si>
  <si>
    <t>вопроса</t>
  </si>
  <si>
    <t>экономической</t>
  </si>
  <si>
    <t># text = Малярии подвержены самые бедные и захолустные регионы планеты, и вот почему.</t>
  </si>
  <si>
    <t>Малярии</t>
  </si>
  <si>
    <t>подвержены</t>
  </si>
  <si>
    <t>самые</t>
  </si>
  <si>
    <t>бедные</t>
  </si>
  <si>
    <t>захолустные</t>
  </si>
  <si>
    <t>регионы</t>
  </si>
  <si>
    <t>планеты</t>
  </si>
  <si>
    <t># text = Если вы бедны, у вас больше шансов подцепить малярию.</t>
  </si>
  <si>
    <t>Если</t>
  </si>
  <si>
    <t>бедны</t>
  </si>
  <si>
    <t>вас</t>
  </si>
  <si>
    <t>шансов</t>
  </si>
  <si>
    <t>подцепить</t>
  </si>
  <si>
    <t># text = Если вы бедны, вы, скорее всего, живёте в плохом жилище, на окраине, где плохо работает дренажная система.</t>
  </si>
  <si>
    <t>скорее</t>
  </si>
  <si>
    <t>всего</t>
  </si>
  <si>
    <t>плохом</t>
  </si>
  <si>
    <t>жилище</t>
  </si>
  <si>
    <t>окраине</t>
  </si>
  <si>
    <t>плохо</t>
  </si>
  <si>
    <t>работает</t>
  </si>
  <si>
    <t>дренажная</t>
  </si>
  <si>
    <t>система</t>
  </si>
  <si>
    <t># text = В таких местах и разводятся комары.</t>
  </si>
  <si>
    <t>таких</t>
  </si>
  <si>
    <t>местах</t>
  </si>
  <si>
    <t>разводятся</t>
  </si>
  <si>
    <t># text = У вас, скорее всего, нет сеток на окнах и дверях.</t>
  </si>
  <si>
    <t>сеток</t>
  </si>
  <si>
    <t>окнах</t>
  </si>
  <si>
    <t>дверях</t>
  </si>
  <si>
    <t># text = У вас, скорее всего, нет электричества, и всю повседневную работу вы выполняете на улице.</t>
  </si>
  <si>
    <t>электричества</t>
  </si>
  <si>
    <t>всю</t>
  </si>
  <si>
    <t>повседневную</t>
  </si>
  <si>
    <t>работу</t>
  </si>
  <si>
    <t>выполняете</t>
  </si>
  <si>
    <t>улице</t>
  </si>
  <si>
    <t># text = Поэтому вас чаще кусают комары.</t>
  </si>
  <si>
    <t>чаще</t>
  </si>
  <si>
    <t>кусают</t>
  </si>
  <si>
    <t># text = Таким образом, нищета способствует малярии, но сегодня мы знаем, что малярия также приводит к нищете.</t>
  </si>
  <si>
    <t>Таким</t>
  </si>
  <si>
    <t>образом</t>
  </si>
  <si>
    <t>нищета</t>
  </si>
  <si>
    <t>способствует</t>
  </si>
  <si>
    <t>сегодня</t>
  </si>
  <si>
    <t>также</t>
  </si>
  <si>
    <t>приводит</t>
  </si>
  <si>
    <t>нищете</t>
  </si>
  <si>
    <t># text = Во-первых, пик заболеваний приходится на сезон урожая, поэтому вместо того, чтобы работать в поле, фермеры лежат дома в лихорадке.</t>
  </si>
  <si>
    <t>Во-первых</t>
  </si>
  <si>
    <t>пик</t>
  </si>
  <si>
    <t>заболеваний</t>
  </si>
  <si>
    <t>приходится</t>
  </si>
  <si>
    <t>сезон</t>
  </si>
  <si>
    <t>урожая</t>
  </si>
  <si>
    <t>поэтому</t>
  </si>
  <si>
    <t>вместо</t>
  </si>
  <si>
    <t>поле</t>
  </si>
  <si>
    <t>фермеры</t>
  </si>
  <si>
    <t>лежат</t>
  </si>
  <si>
    <t>лихорадке</t>
  </si>
  <si>
    <t># text = Во-вторых, малярия увеличивает вероятность и других смертельных исходов.</t>
  </si>
  <si>
    <t>Во-вторых</t>
  </si>
  <si>
    <t>увеличивает</t>
  </si>
  <si>
    <t>вероятность</t>
  </si>
  <si>
    <t>других</t>
  </si>
  <si>
    <t>смертельных</t>
  </si>
  <si>
    <t>исходов</t>
  </si>
  <si>
    <t># text = Исторически так сложилось, что мы смогли избавить общество Но всё остальное осталось прежним: плохая еда, плохая вода, плохая санитария — от всего этого люди заболевают.</t>
  </si>
  <si>
    <t>Исторически</t>
  </si>
  <si>
    <t>сложилось</t>
  </si>
  <si>
    <t>смогли</t>
  </si>
  <si>
    <t>избавить</t>
  </si>
  <si>
    <t>общество</t>
  </si>
  <si>
    <t>остальное</t>
  </si>
  <si>
    <t>осталось</t>
  </si>
  <si>
    <t>прежним</t>
  </si>
  <si>
    <t>:</t>
  </si>
  <si>
    <t>плохая</t>
  </si>
  <si>
    <t>еда</t>
  </si>
  <si>
    <t>вода</t>
  </si>
  <si>
    <t>санитария</t>
  </si>
  <si>
    <t>этого</t>
  </si>
  <si>
    <t>other_6</t>
  </si>
  <si>
    <t>люди</t>
  </si>
  <si>
    <t>заболевают</t>
  </si>
  <si>
    <t># text = Но если исключить малярию, понижается смертность и от других причин.</t>
  </si>
  <si>
    <t>если</t>
  </si>
  <si>
    <t>исключить</t>
  </si>
  <si>
    <t>понижается</t>
  </si>
  <si>
    <t>смертность</t>
  </si>
  <si>
    <t>причин</t>
  </si>
  <si>
    <t># text = Экономист Джефф Закс подсчитал, как именно этот факт влияет на общество в целом.</t>
  </si>
  <si>
    <t>Экономист</t>
  </si>
  <si>
    <t>Джефф</t>
  </si>
  <si>
    <t>Закс</t>
  </si>
  <si>
    <t>подсчитал</t>
  </si>
  <si>
    <t>факт</t>
  </si>
  <si>
    <t>влияет</t>
  </si>
  <si>
    <t>целом</t>
  </si>
  <si>
    <t># text = Если в вашем регионе есть малярия, экономический рост падает со скоростью 1.3% в год, и так год за годом из-за одной только малярии.</t>
  </si>
  <si>
    <t>вашем</t>
  </si>
  <si>
    <t>регионе</t>
  </si>
  <si>
    <t>экономический</t>
  </si>
  <si>
    <t>рост</t>
  </si>
  <si>
    <t>падает</t>
  </si>
  <si>
    <t>скоростью</t>
  </si>
  <si>
    <t>1.3</t>
  </si>
  <si>
    <t>%</t>
  </si>
  <si>
    <t>годом</t>
  </si>
  <si>
    <t>из-за</t>
  </si>
  <si>
    <t>одной</t>
  </si>
  <si>
    <t># text = Это большая проблема с точки зрения экономики.</t>
  </si>
  <si>
    <t>большая</t>
  </si>
  <si>
    <t>точки</t>
  </si>
  <si>
    <t>зрения</t>
  </si>
  <si>
    <t>экономики</t>
  </si>
  <si>
    <t># text = Ведь если, допустим, вы изобрели новое лекарство или вакцину, как доставить её к месту назначения, если нет нормальных дорог, нет инфраструктуры, нет электричества?</t>
  </si>
  <si>
    <t>Ведь</t>
  </si>
  <si>
    <t>допустим</t>
  </si>
  <si>
    <t>изобрели</t>
  </si>
  <si>
    <t>новое</t>
  </si>
  <si>
    <t>вакцину</t>
  </si>
  <si>
    <t>её</t>
  </si>
  <si>
    <t>месту</t>
  </si>
  <si>
    <t>назначения</t>
  </si>
  <si>
    <t>нормальных</t>
  </si>
  <si>
    <t>дорог</t>
  </si>
  <si>
    <t>инфраструктуры</t>
  </si>
  <si>
    <t># text = Что делать, если нет и холодильника, чтобы хранить лекарства, нет больниц, нет медицинского персонала?</t>
  </si>
  <si>
    <t>Что</t>
  </si>
  <si>
    <t>холодильника</t>
  </si>
  <si>
    <t>хранить</t>
  </si>
  <si>
    <t>лекарства</t>
  </si>
  <si>
    <t>больниц</t>
  </si>
  <si>
    <t>медицинского</t>
  </si>
  <si>
    <t>персонала</t>
  </si>
  <si>
    <t># text = Как доставить лекарство больным?</t>
  </si>
  <si>
    <t>больным</t>
  </si>
  <si>
    <t># text = Всё это очень мешает в борьбе с малярией.</t>
  </si>
  <si>
    <t>Всё</t>
  </si>
  <si>
    <t>мешает</t>
  </si>
  <si>
    <t>борьбе</t>
  </si>
  <si>
    <t>малярией</t>
  </si>
  <si>
    <t># text = Однако помимо научной и экономической проблемы, есть и ещё одна — культурная, и, возможно, именно о ней люди хотят говорить меньше всего.</t>
  </si>
  <si>
    <t>Однако</t>
  </si>
  <si>
    <t>помимо</t>
  </si>
  <si>
    <t>проблемы</t>
  </si>
  <si>
    <t>одна</t>
  </si>
  <si>
    <t>культурная</t>
  </si>
  <si>
    <t>ней</t>
  </si>
  <si>
    <t>хотят</t>
  </si>
  <si>
    <t>меньше</t>
  </si>
  <si>
    <t># text = Парадокс в том, что люди, живущие в малярийных регионах, меньше всего о ней волнуются.</t>
  </si>
  <si>
    <t>Парадокс</t>
  </si>
  <si>
    <t>том</t>
  </si>
  <si>
    <t>живущие</t>
  </si>
  <si>
    <t>регионах</t>
  </si>
  <si>
    <t>волнуются</t>
  </si>
  <si>
    <t># text = Медицинские антропологи вновь и вновь сталкиваются с этим.</t>
  </si>
  <si>
    <t>Медицинские</t>
  </si>
  <si>
    <t>антропологи</t>
  </si>
  <si>
    <t>вновь</t>
  </si>
  <si>
    <t>сталкиваются</t>
  </si>
  <si>
    <t>этим</t>
  </si>
  <si>
    <t># text = Они спрашивают людей, живущих в малярийных регионах: «Как вы относитесь к малярии?» Но те не отвечают: «Это смертельное заболевание, которого мы очень боимся».</t>
  </si>
  <si>
    <t>Они</t>
  </si>
  <si>
    <t>спрашивают</t>
  </si>
  <si>
    <t>живущих</t>
  </si>
  <si>
    <t>«Как</t>
  </si>
  <si>
    <t>относитесь</t>
  </si>
  <si>
    <t>»</t>
  </si>
  <si>
    <t>те</t>
  </si>
  <si>
    <t>SBJ_7</t>
  </si>
  <si>
    <t>отвечают</t>
  </si>
  <si>
    <t>«Это</t>
  </si>
  <si>
    <t>смертельное</t>
  </si>
  <si>
    <t>которого</t>
  </si>
  <si>
    <t>other_9</t>
  </si>
  <si>
    <t>SBJ_9</t>
  </si>
  <si>
    <t>боимся»</t>
  </si>
  <si>
    <t># text = Они говорят: «Малярия — это обычная житейская проблема».</t>
  </si>
  <si>
    <t>говорят</t>
  </si>
  <si>
    <t>«Малярия</t>
  </si>
  <si>
    <t>обычная</t>
  </si>
  <si>
    <t>житейская</t>
  </si>
  <si>
    <t>проблема»</t>
  </si>
  <si>
    <t># text = И вот пример из моего личного опыта.</t>
  </si>
  <si>
    <t>пример</t>
  </si>
  <si>
    <t>моего</t>
  </si>
  <si>
    <t>личного</t>
  </si>
  <si>
    <t>опыта</t>
  </si>
  <si>
    <t># text = Когда я рассказала родственникам в Индии о том, что пишу книгу про малярию, они посмотрели на меня так, будто я собиралась писать книгу о бородавках.</t>
  </si>
  <si>
    <t>Когда</t>
  </si>
  <si>
    <t>рассказала</t>
  </si>
  <si>
    <t>родственникам</t>
  </si>
  <si>
    <t>пишу</t>
  </si>
  <si>
    <t>книгу</t>
  </si>
  <si>
    <t>про</t>
  </si>
  <si>
    <t>посмотрели</t>
  </si>
  <si>
    <t>будто</t>
  </si>
  <si>
    <t>собиралась</t>
  </si>
  <si>
    <t>бородавках</t>
  </si>
  <si>
    <t># text = То есть, зачем тебе писать о чём-то таком скучном, таком тривиальном?</t>
  </si>
  <si>
    <t>зачем</t>
  </si>
  <si>
    <t>тебе</t>
  </si>
  <si>
    <t>чём-то</t>
  </si>
  <si>
    <t>таком</t>
  </si>
  <si>
    <t>скучном</t>
  </si>
  <si>
    <t>тривиальном</t>
  </si>
  <si>
    <t># text = Это их восприятие опасности.</t>
  </si>
  <si>
    <t>опасности</t>
  </si>
  <si>
    <t># text = Например, девочка в Малави может подцепить малярию 12 раз за первые 2 года жизни, но если она выживает, то, скорее всего, она продолжит заражаться всю жизнь, хотя риск смерти значительно снизится.</t>
  </si>
  <si>
    <t>девочка</t>
  </si>
  <si>
    <t>Малави</t>
  </si>
  <si>
    <t>первые</t>
  </si>
  <si>
    <t>продолжит</t>
  </si>
  <si>
    <t>заражаться</t>
  </si>
  <si>
    <t>жизнь</t>
  </si>
  <si>
    <t>хотя</t>
  </si>
  <si>
    <t>риск</t>
  </si>
  <si>
    <t>смерти</t>
  </si>
  <si>
    <t>значительно</t>
  </si>
  <si>
    <t>снизится</t>
  </si>
  <si>
    <t># text = Поэтому для неё малярия — это то, что приходит и уходит.</t>
  </si>
  <si>
    <t>неё</t>
  </si>
  <si>
    <t>приходит</t>
  </si>
  <si>
    <t>уходит</t>
  </si>
  <si>
    <t># text = И также дело обстоит во всём мире.</t>
  </si>
  <si>
    <t>дело</t>
  </si>
  <si>
    <t>обстоит</t>
  </si>
  <si>
    <t>во</t>
  </si>
  <si>
    <t>всём</t>
  </si>
  <si>
    <t># text = В большинстве случаев малярия приходит и уходит.</t>
  </si>
  <si>
    <t>большинстве</t>
  </si>
  <si>
    <t># text = Просто в мире её так много, что тот маленький процент смертельных исходов сам по себе — огромное число.</t>
  </si>
  <si>
    <t>Просто</t>
  </si>
  <si>
    <t>тот</t>
  </si>
  <si>
    <t>маленький</t>
  </si>
  <si>
    <t>процент</t>
  </si>
  <si>
    <t>сам</t>
  </si>
  <si>
    <t>себе</t>
  </si>
  <si>
    <t>огромное</t>
  </si>
  <si>
    <t>число</t>
  </si>
  <si>
    <t># text = То есть люди, живущие в малярийных регионах, относятся к малярии так же, как мы в современном обществе относимся к простуде или гриппу.</t>
  </si>
  <si>
    <t>относятся</t>
  </si>
  <si>
    <t>современном</t>
  </si>
  <si>
    <t>обществе</t>
  </si>
  <si>
    <t>относимся</t>
  </si>
  <si>
    <t>простуде</t>
  </si>
  <si>
    <t>гриппу</t>
  </si>
  <si>
    <t># text = Грипп — это серьёзная беда в нашем обществе и в жизни каждого из нас, но мы пренебрегаем даже минимальными предосторожностями просто потому, что считаем это нормальным — заболеть осенью гриппом или простудой.</t>
  </si>
  <si>
    <t>Грипп</t>
  </si>
  <si>
    <t>серьёзная</t>
  </si>
  <si>
    <t>беда</t>
  </si>
  <si>
    <t>нашем</t>
  </si>
  <si>
    <t>каждого</t>
  </si>
  <si>
    <t>пренебрегаем</t>
  </si>
  <si>
    <t>минимальными</t>
  </si>
  <si>
    <t>предосторожностями</t>
  </si>
  <si>
    <t>потому</t>
  </si>
  <si>
    <t>считаем</t>
  </si>
  <si>
    <t>нормальным</t>
  </si>
  <si>
    <t>заболеть</t>
  </si>
  <si>
    <t>осенью</t>
  </si>
  <si>
    <t>гриппом</t>
  </si>
  <si>
    <t>простудой</t>
  </si>
  <si>
    <t># text = В этом и состоит культурная проблема, мешающая победить малярию.</t>
  </si>
  <si>
    <t>этом</t>
  </si>
  <si>
    <t>состоит</t>
  </si>
  <si>
    <t>мешающая</t>
  </si>
  <si>
    <t>победить</t>
  </si>
  <si>
    <t># text = Ведь если люди думают, что малярия — это нормально, как заставить их обратиться к врачу, соблюдать меры профилактики, принимать лекарства, натягивать сетки на окна и использовать средства для отпугивания насекомых?</t>
  </si>
  <si>
    <t>думают</t>
  </si>
  <si>
    <t>нормально</t>
  </si>
  <si>
    <t>обратиться</t>
  </si>
  <si>
    <t>врачу</t>
  </si>
  <si>
    <t>соблюдать</t>
  </si>
  <si>
    <t>меры</t>
  </si>
  <si>
    <t>профилактики</t>
  </si>
  <si>
    <t>принимать</t>
  </si>
  <si>
    <t>натягивать</t>
  </si>
  <si>
    <t>сетки</t>
  </si>
  <si>
    <t>окна</t>
  </si>
  <si>
    <t>использовать</t>
  </si>
  <si>
    <t>средства</t>
  </si>
  <si>
    <t>отпугивания</t>
  </si>
  <si>
    <t># text = Это огромное культурное препятствие на пути искоренения малярии.</t>
  </si>
  <si>
    <t>культурное</t>
  </si>
  <si>
    <t>пути</t>
  </si>
  <si>
    <t>искоренения</t>
  </si>
  <si>
    <t># text = Теперь давайте обобщим.</t>
  </si>
  <si>
    <t>Теперь</t>
  </si>
  <si>
    <t>давайте</t>
  </si>
  <si>
    <t>обобщим</t>
  </si>
  <si>
    <t># text = У нас есть болезнь, сложная с научной точки зрения, связанная с экономическими проблемами и пренебрегаемая теми, кто от неё больше всего страдает.</t>
  </si>
  <si>
    <t>болезнь</t>
  </si>
  <si>
    <t>сложная</t>
  </si>
  <si>
    <t>связанная</t>
  </si>
  <si>
    <t>экономическими</t>
  </si>
  <si>
    <t>проблемами</t>
  </si>
  <si>
    <t>пренебрегаемая</t>
  </si>
  <si>
    <t>теми</t>
  </si>
  <si>
    <t>кто</t>
  </si>
  <si>
    <t>other_7</t>
  </si>
  <si>
    <t>страдает</t>
  </si>
  <si>
    <t># text = И всё это накладывается на куда большую проблему — политическую.</t>
  </si>
  <si>
    <t>накладывается</t>
  </si>
  <si>
    <t>куда</t>
  </si>
  <si>
    <t>большую</t>
  </si>
  <si>
    <t>проблему</t>
  </si>
  <si>
    <t>политическую</t>
  </si>
  <si>
    <t># text = Как заставить политического лидера решать проблему вроде этой?</t>
  </si>
  <si>
    <t>политического</t>
  </si>
  <si>
    <t>лидера</t>
  </si>
  <si>
    <t>решать</t>
  </si>
  <si>
    <t>вроде</t>
  </si>
  <si>
    <t># text = Исторически сложившийся ответ — никак.</t>
  </si>
  <si>
    <t>сложившийся</t>
  </si>
  <si>
    <t>ответ</t>
  </si>
  <si>
    <t># text = Большинство обществ просто живут, смирившись с малярией.</t>
  </si>
  <si>
    <t>обществ</t>
  </si>
  <si>
    <t>смирившись</t>
  </si>
  <si>
    <t># text = Большинство побед над малярией были совершены чужаками, пришедшими извне в регионы, которые были безразличны к этой проблеме.</t>
  </si>
  <si>
    <t>побед</t>
  </si>
  <si>
    <t>над</t>
  </si>
  <si>
    <t>были</t>
  </si>
  <si>
    <t>совершены</t>
  </si>
  <si>
    <t>чужаками</t>
  </si>
  <si>
    <t>пришедшими</t>
  </si>
  <si>
    <t>извне</t>
  </si>
  <si>
    <t>которые</t>
  </si>
  <si>
    <t>безразличны</t>
  </si>
  <si>
    <t>проблеме</t>
  </si>
  <si>
    <t># text = Теперь, похоже, я перечислила весь набор имеющихся проблем.</t>
  </si>
  <si>
    <t>похоже</t>
  </si>
  <si>
    <t>перечислила</t>
  </si>
  <si>
    <t>весь</t>
  </si>
  <si>
    <t>набор</t>
  </si>
  <si>
    <t>имеющихся</t>
  </si>
  <si>
    <t>проблем</t>
  </si>
  <si>
    <t># text = Первая организованная атака против малярии началась в 1950 годах.</t>
  </si>
  <si>
    <t>организованная</t>
  </si>
  <si>
    <t>атака</t>
  </si>
  <si>
    <t>против</t>
  </si>
  <si>
    <t>началась</t>
  </si>
  <si>
    <t>1950</t>
  </si>
  <si>
    <t>годах</t>
  </si>
  <si>
    <t># text = Идея принадлежала Госдепартаменту США.</t>
  </si>
  <si>
    <t>Идея</t>
  </si>
  <si>
    <t>принадлежала</t>
  </si>
  <si>
    <t>Госдепартаменту</t>
  </si>
  <si>
    <t>США</t>
  </si>
  <si>
    <t># text = И они знали, что задача будет непростая Они решили сосредоточится на дешёвых средствах борьбы, и выбрали ДДТ (инсектицид).</t>
  </si>
  <si>
    <t>знали</t>
  </si>
  <si>
    <t>задача</t>
  </si>
  <si>
    <t>непростая</t>
  </si>
  <si>
    <t>решили</t>
  </si>
  <si>
    <t>сосредоточится</t>
  </si>
  <si>
    <t>дешёвых</t>
  </si>
  <si>
    <t>средствах</t>
  </si>
  <si>
    <t>борьбы</t>
  </si>
  <si>
    <t>выбрали</t>
  </si>
  <si>
    <t>ДДТ</t>
  </si>
  <si>
    <t>(</t>
  </si>
  <si>
    <t>инсектицид</t>
  </si>
  <si>
    <t>)</t>
  </si>
  <si>
    <t># text = Также требовалось решить и культурную проблему.</t>
  </si>
  <si>
    <t>Также</t>
  </si>
  <si>
    <t>требовалось</t>
  </si>
  <si>
    <t>культурную</t>
  </si>
  <si>
    <t># text = Действуя с позиции покровительства, они решили, что больные будут избавлены от всех обязательств.</t>
  </si>
  <si>
    <t>Действуя</t>
  </si>
  <si>
    <t>позиции</t>
  </si>
  <si>
    <t>покровительства</t>
  </si>
  <si>
    <t>больные</t>
  </si>
  <si>
    <t>будут</t>
  </si>
  <si>
    <t>избавлены</t>
  </si>
  <si>
    <t>всех</t>
  </si>
  <si>
    <t>обязательств</t>
  </si>
  <si>
    <t># text = Всё будет делаться для них и ради них.</t>
  </si>
  <si>
    <t>делаться</t>
  </si>
  <si>
    <t>ради</t>
  </si>
  <si>
    <t># text = Но они недооценили научную проблему.</t>
  </si>
  <si>
    <t>недооценили</t>
  </si>
  <si>
    <t>научную</t>
  </si>
  <si>
    <t># text = Они настолько верили в свои передовые средства, что перестали проводить исследования.</t>
  </si>
  <si>
    <t>настолько</t>
  </si>
  <si>
    <t>верили</t>
  </si>
  <si>
    <t>свои</t>
  </si>
  <si>
    <t>передовые</t>
  </si>
  <si>
    <t>перестали</t>
  </si>
  <si>
    <t>проводить</t>
  </si>
  <si>
    <t>исследования</t>
  </si>
  <si>
    <t># text = И когда эти средства перестали работать, общественное мнение обернулось против них, но они не знали что предпринять, поскольку не имели научной базы.</t>
  </si>
  <si>
    <t>когда</t>
  </si>
  <si>
    <t>эти</t>
  </si>
  <si>
    <t>общественное</t>
  </si>
  <si>
    <t>мнение</t>
  </si>
  <si>
    <t>обернулось</t>
  </si>
  <si>
    <t>предпринять</t>
  </si>
  <si>
    <t>поскольку</t>
  </si>
  <si>
    <t>имели</t>
  </si>
  <si>
    <t>базы</t>
  </si>
  <si>
    <t># text = Вся кампания провалилась, малярия восторжествовала, но теперь она была ещё опаснее, чем прежде, потому что она забралась в самые труднодоступные регионы и приняла самую непредсказуемую форму.</t>
  </si>
  <si>
    <t>Вся</t>
  </si>
  <si>
    <t>кампания</t>
  </si>
  <si>
    <t>провалилась</t>
  </si>
  <si>
    <t>восторжествовала</t>
  </si>
  <si>
    <t>теперь</t>
  </si>
  <si>
    <t>опаснее</t>
  </si>
  <si>
    <t>прежде</t>
  </si>
  <si>
    <t>забралась</t>
  </si>
  <si>
    <t>труднодоступные</t>
  </si>
  <si>
    <t>приняла</t>
  </si>
  <si>
    <t>самую</t>
  </si>
  <si>
    <t>непредсказуемую</t>
  </si>
  <si>
    <t># text = Всемирная Организация Здравоохранения назвала эту кампанию: «самой большой ошибкой общественного здравоохранения из всех когда-либо совершённых».</t>
  </si>
  <si>
    <t>Всемирная</t>
  </si>
  <si>
    <t>Организация</t>
  </si>
  <si>
    <t>Здравоохранения</t>
  </si>
  <si>
    <t>назвала</t>
  </si>
  <si>
    <t>эту</t>
  </si>
  <si>
    <t>кампанию</t>
  </si>
  <si>
    <t>«самой</t>
  </si>
  <si>
    <t>ошибкой</t>
  </si>
  <si>
    <t>общественного</t>
  </si>
  <si>
    <t>здравоохранения</t>
  </si>
  <si>
    <t>когда-либо</t>
  </si>
  <si>
    <t>совершённых»</t>
  </si>
  <si>
    <t># text = Последняя кампания против малярии началась в 1990 годах.</t>
  </si>
  <si>
    <t>Последняя</t>
  </si>
  <si>
    <t>1990</t>
  </si>
  <si>
    <t># text = Она была профинансирована и скоорденирована извне малярийных регионов.</t>
  </si>
  <si>
    <t>профинансирована</t>
  </si>
  <si>
    <t>скоорденирована</t>
  </si>
  <si>
    <t>регионов</t>
  </si>
  <si>
    <t># text = На этот раз они хорошо поняли важность научного подхода, поэтому проводятся сотни исследований.</t>
  </si>
  <si>
    <t>На</t>
  </si>
  <si>
    <t>хорошо</t>
  </si>
  <si>
    <t>поняли</t>
  </si>
  <si>
    <t>важность</t>
  </si>
  <si>
    <t>научного</t>
  </si>
  <si>
    <t>подхода</t>
  </si>
  <si>
    <t>проводятся</t>
  </si>
  <si>
    <t>исследований</t>
  </si>
  <si>
    <t># text = Они также осознают и экономические трудности, поэтому они решили использовать самые дешёвые средства.</t>
  </si>
  <si>
    <t>осознают</t>
  </si>
  <si>
    <t>экономические</t>
  </si>
  <si>
    <t>трудности</t>
  </si>
  <si>
    <t>дешёвые</t>
  </si>
  <si>
    <t># text = Но на сей день проблема в культурном восприятии.</t>
  </si>
  <si>
    <t>культурном</t>
  </si>
  <si>
    <t>восприятии</t>
  </si>
  <si>
    <t># text = Главной защитой сегодня является надкроватная сетка, которую обрызгивают инсектицидами.</t>
  </si>
  <si>
    <t>Главной</t>
  </si>
  <si>
    <t>защитой</t>
  </si>
  <si>
    <t>надкроватная</t>
  </si>
  <si>
    <t>сетка</t>
  </si>
  <si>
    <t>которую</t>
  </si>
  <si>
    <t>обрызгивают</t>
  </si>
  <si>
    <t>инсектицидами</t>
  </si>
  <si>
    <t># text = Во всех малярийных регионах раздали миллионы таких сеток.</t>
  </si>
  <si>
    <t>Во</t>
  </si>
  <si>
    <t>раздали</t>
  </si>
  <si>
    <t>миллионы</t>
  </si>
  <si>
    <t># text = Если так подумать, это нечто вроде медицинского вмешательства.</t>
  </si>
  <si>
    <t>подумать</t>
  </si>
  <si>
    <t>вмешательства</t>
  </si>
  <si>
    <t># text = Конечно, она полезна для профилактики, но онв не вылечит тех, кто уже заразился.</t>
  </si>
  <si>
    <t>Конечно</t>
  </si>
  <si>
    <t>полезна</t>
  </si>
  <si>
    <t>онв</t>
  </si>
  <si>
    <t>вылечит</t>
  </si>
  <si>
    <t>заразился</t>
  </si>
  <si>
    <t># text = И всё же мы настаиваем, чтобы люди спали под этими сетками каждую ночь.</t>
  </si>
  <si>
    <t>настаиваем</t>
  </si>
  <si>
    <t>этими</t>
  </si>
  <si>
    <t>сетками</t>
  </si>
  <si>
    <t># text = Только так от них есть польза.</t>
  </si>
  <si>
    <t>Только</t>
  </si>
  <si>
    <t>польза</t>
  </si>
  <si>
    <t># text = И это необходимо, даже если сетка блокирует свежий воздух, даже если им приходится вставать среди ночи, чтобы освежиться, даже если приходится раздвигать мебель, чтобы прицепить сетку, что в особенности сложно сделать, если вы живёте в круглой хижине.</t>
  </si>
  <si>
    <t>необходимо</t>
  </si>
  <si>
    <t>блокирует</t>
  </si>
  <si>
    <t>свежий</t>
  </si>
  <si>
    <t>им</t>
  </si>
  <si>
    <t>вставать</t>
  </si>
  <si>
    <t>среди</t>
  </si>
  <si>
    <t>ночи</t>
  </si>
  <si>
    <t>освежиться</t>
  </si>
  <si>
    <t>раздвигать</t>
  </si>
  <si>
    <t>мебель</t>
  </si>
  <si>
    <t>OBJ_7</t>
  </si>
  <si>
    <t>прицепить</t>
  </si>
  <si>
    <t>сетку</t>
  </si>
  <si>
    <t>особенности</t>
  </si>
  <si>
    <t>сложно</t>
  </si>
  <si>
    <t>сделать</t>
  </si>
  <si>
    <t>SBJ_10</t>
  </si>
  <si>
    <t>круглой</t>
  </si>
  <si>
    <t>хижине</t>
  </si>
  <si>
    <t># text = Всё это кажется мелкой платой за защиту от малярии.</t>
  </si>
  <si>
    <t>кажется</t>
  </si>
  <si>
    <t>мелкой</t>
  </si>
  <si>
    <t>платой</t>
  </si>
  <si>
    <t>защиту</t>
  </si>
  <si>
    <t># text = С этими неудобствами можно смириться.</t>
  </si>
  <si>
    <t>С</t>
  </si>
  <si>
    <t>неудобствами</t>
  </si>
  <si>
    <t>смириться</t>
  </si>
  <si>
    <t># text = Но так думаем мы, а не больные малярией.</t>
  </si>
  <si>
    <t>думаем</t>
  </si>
  <si>
    <t># text = Для них всё выглядит иначе.</t>
  </si>
  <si>
    <t>Для</t>
  </si>
  <si>
    <t>иначе</t>
  </si>
  <si>
    <t># text = Представьте себе, группа, скажем, кенийцев приходит к нам с самыми добрыми намерениями и говорит: «Ваши народы страдают от простуды и гриппа.</t>
  </si>
  <si>
    <t>Представьте</t>
  </si>
  <si>
    <t>группа</t>
  </si>
  <si>
    <t>кенийцев</t>
  </si>
  <si>
    <t>самыми</t>
  </si>
  <si>
    <t>добрыми</t>
  </si>
  <si>
    <t>намерениями</t>
  </si>
  <si>
    <t>говорит</t>
  </si>
  <si>
    <t>«Ваши</t>
  </si>
  <si>
    <t>народы</t>
  </si>
  <si>
    <t>страдают</t>
  </si>
  <si>
    <t>простуды</t>
  </si>
  <si>
    <t>гриппа</t>
  </si>
  <si>
    <t># text = Мы разработали дешёвое и верное средство защиты, и мы раздадим вам его бесплатно.</t>
  </si>
  <si>
    <t>разработали</t>
  </si>
  <si>
    <t>дешёвое</t>
  </si>
  <si>
    <t>верное</t>
  </si>
  <si>
    <t>средство</t>
  </si>
  <si>
    <t>защиты</t>
  </si>
  <si>
    <t>раздадим</t>
  </si>
  <si>
    <t>вам</t>
  </si>
  <si>
    <t>бесплатно</t>
  </si>
  <si>
    <t># text = Оно называется медицинская маска, и всё, что нужно делать, — это носить её всё время в сезон гриппа, даже в школу и на работу».</t>
  </si>
  <si>
    <t>Оно</t>
  </si>
  <si>
    <t>называется</t>
  </si>
  <si>
    <t>медицинская</t>
  </si>
  <si>
    <t>маска</t>
  </si>
  <si>
    <t>нужно</t>
  </si>
  <si>
    <t>носить</t>
  </si>
  <si>
    <t>школу</t>
  </si>
  <si>
    <t>работу»</t>
  </si>
  <si>
    <t># text = Что бы вы сделали?</t>
  </si>
  <si>
    <t>бы</t>
  </si>
  <si>
    <t>сделали</t>
  </si>
  <si>
    <t># text = Наверное, именно так эти люди восприняли надкроватные сетки, когда впервые увидели их.</t>
  </si>
  <si>
    <t>Наверное</t>
  </si>
  <si>
    <t>восприняли</t>
  </si>
  <si>
    <t>надкроватные</t>
  </si>
  <si>
    <t>впервые</t>
  </si>
  <si>
    <t>увидели</t>
  </si>
  <si>
    <t># text = И действительно, мы знаем из исследований, что только 20% сеток были действительно использованы по назначению.</t>
  </si>
  <si>
    <t>действительно</t>
  </si>
  <si>
    <t>использованы</t>
  </si>
  <si>
    <t>назначению</t>
  </si>
  <si>
    <t># text = И даже это число преувеличено, потому что те же люди, кто раздавал сетки, возвращались и спрашивали: «А вы пользуетесь той сеткой, что мы вам давали?» Это тоже самое, как если бы ваша тётя Джейн спросила: «А ты пользуешься той вазой, что я подарила тебе на Рождество?» Так что, скорее всего, цифры преувеличены.</t>
  </si>
  <si>
    <t>преувеличено</t>
  </si>
  <si>
    <t>раздавал</t>
  </si>
  <si>
    <t>возвращались</t>
  </si>
  <si>
    <t>спрашивали</t>
  </si>
  <si>
    <t>«А</t>
  </si>
  <si>
    <t>пользуетесь</t>
  </si>
  <si>
    <t>той</t>
  </si>
  <si>
    <t>OBJ_5</t>
  </si>
  <si>
    <t>давали</t>
  </si>
  <si>
    <t>тоже</t>
  </si>
  <si>
    <t>самое</t>
  </si>
  <si>
    <t>ваша</t>
  </si>
  <si>
    <t>тётя</t>
  </si>
  <si>
    <t>Джейн</t>
  </si>
  <si>
    <t>спросила</t>
  </si>
  <si>
    <t>ты</t>
  </si>
  <si>
    <t>пользуешься</t>
  </si>
  <si>
    <t>вазой</t>
  </si>
  <si>
    <t>SBJ_8</t>
  </si>
  <si>
    <t>подарила</t>
  </si>
  <si>
    <t>OBJ_8</t>
  </si>
  <si>
    <t>Рождество</t>
  </si>
  <si>
    <t>other_10</t>
  </si>
  <si>
    <t>цифры</t>
  </si>
  <si>
    <t>преувеличены</t>
  </si>
  <si>
    <t># text = Но это всё поправимо.</t>
  </si>
  <si>
    <t>поправимо</t>
  </si>
  <si>
    <t># text = Мы повышаем осведомлённость, мы пробуем убедить их всё же использовать эти сетки.</t>
  </si>
  <si>
    <t>повышаем</t>
  </si>
  <si>
    <t>осведомлённость</t>
  </si>
  <si>
    <t>пробуем</t>
  </si>
  <si>
    <t>убедить</t>
  </si>
  <si>
    <t># text = И мы работаем над этим.</t>
  </si>
  <si>
    <t>работаем</t>
  </si>
  <si>
    <t># text = Большинство времени и денег уходит на обучение, семинары, школьные программы, музыкальные и театральные представления, и всё для того, чтобы убедить людей использовать надкроватные сетки.</t>
  </si>
  <si>
    <t>времени</t>
  </si>
  <si>
    <t>денег</t>
  </si>
  <si>
    <t>обучение</t>
  </si>
  <si>
    <t>семинары</t>
  </si>
  <si>
    <t>школьные</t>
  </si>
  <si>
    <t>программы</t>
  </si>
  <si>
    <t>музыкальные</t>
  </si>
  <si>
    <t>театральные</t>
  </si>
  <si>
    <t>представления</t>
  </si>
  <si>
    <t># text = И, возможно, это сработает.</t>
  </si>
  <si>
    <t>сработает</t>
  </si>
  <si>
    <t># text = Но это займёт время, понадобятся деньги, понадобятся ресурсы и инфраструктура.</t>
  </si>
  <si>
    <t>займёт</t>
  </si>
  <si>
    <t>понадобятся</t>
  </si>
  <si>
    <t>деньги</t>
  </si>
  <si>
    <t>ресурсы</t>
  </si>
  <si>
    <t>инфраструктура</t>
  </si>
  <si>
    <t># text = То есть всё, чего не требовала дешёвая и легкая в использовании надкроватная сетка.</t>
  </si>
  <si>
    <t>чего</t>
  </si>
  <si>
    <t>требовала</t>
  </si>
  <si>
    <t>дешёвая</t>
  </si>
  <si>
    <t>легкая</t>
  </si>
  <si>
    <t>использовании</t>
  </si>
  <si>
    <t># text = Малярию одинаково трудно победить, и тем, кто живет внутри общества, в котором она процветает, и тем, кто приходить в это общество извне.</t>
  </si>
  <si>
    <t>Малярию</t>
  </si>
  <si>
    <t>одинаково</t>
  </si>
  <si>
    <t>трудно</t>
  </si>
  <si>
    <t>тем</t>
  </si>
  <si>
    <t>живет</t>
  </si>
  <si>
    <t>внутри</t>
  </si>
  <si>
    <t>общества</t>
  </si>
  <si>
    <t>котором</t>
  </si>
  <si>
    <t>процветает</t>
  </si>
  <si>
    <t># text = В конечном итоге мы навязываемся этим людям.</t>
  </si>
  <si>
    <t>конечном</t>
  </si>
  <si>
    <t>итоге</t>
  </si>
  <si>
    <t>навязываемся</t>
  </si>
  <si>
    <t>людям</t>
  </si>
  <si>
    <t># text = То же мы делали и в 1950 годах, и это обернулось против нас.</t>
  </si>
  <si>
    <t>делали</t>
  </si>
  <si>
    <t># text = Сегодня я скажу, что распространение наших средств защиты, которые этим людям кажутся бессмысленными, может привести к повторению той же ошибки.</t>
  </si>
  <si>
    <t>скажу</t>
  </si>
  <si>
    <t>распространение</t>
  </si>
  <si>
    <t>наших</t>
  </si>
  <si>
    <t>средств</t>
  </si>
  <si>
    <t>кажутся</t>
  </si>
  <si>
    <t>бессмысленными</t>
  </si>
  <si>
    <t>привести</t>
  </si>
  <si>
    <t>повторению</t>
  </si>
  <si>
    <t>def-np.poss</t>
  </si>
  <si>
    <t>ошибки</t>
  </si>
  <si>
    <t># text = Не то, чтобы малярия была непобедима, — я в это не верю — но, думаю, нужно рассматривать её с точки зрения тех, кто живёт с ней бок о бок.</t>
  </si>
  <si>
    <t>Не</t>
  </si>
  <si>
    <t>непобедима</t>
  </si>
  <si>
    <t>верю</t>
  </si>
  <si>
    <t>думаю</t>
  </si>
  <si>
    <t>рассматривать</t>
  </si>
  <si>
    <t>бок</t>
  </si>
  <si>
    <t># text = Возьмите пример Англии и США.</t>
  </si>
  <si>
    <t>Возьмите</t>
  </si>
  <si>
    <t>Англии</t>
  </si>
  <si>
    <t># text = В этих странах малярия существовала сотни лет, а сегодня мы от неё избавились, но не потому, что сражались с ней.</t>
  </si>
  <si>
    <t>странах</t>
  </si>
  <si>
    <t>существовала</t>
  </si>
  <si>
    <t>избавились</t>
  </si>
  <si>
    <t>сражались</t>
  </si>
  <si>
    <t># text = Этого не было.</t>
  </si>
  <si>
    <t>Этого</t>
  </si>
  <si>
    <t># text = Мы сражались с плохими дорогами, плохим жильём, с плохой дренажной системой, с отсутствием электричества и с нищетой.</t>
  </si>
  <si>
    <t>плохими</t>
  </si>
  <si>
    <t>дорогами</t>
  </si>
  <si>
    <t>плохим</t>
  </si>
  <si>
    <t>жильём</t>
  </si>
  <si>
    <t>дренажной</t>
  </si>
  <si>
    <t>системой</t>
  </si>
  <si>
    <t>отсутствием</t>
  </si>
  <si>
    <t>нищетой</t>
  </si>
  <si>
    <t># text = Мы уничтожили комфортные условия для малярии, и тем самым уничтожили и её.</t>
  </si>
  <si>
    <t>уничтожили</t>
  </si>
  <si>
    <t>условия</t>
  </si>
  <si>
    <t>самым</t>
  </si>
  <si>
    <t># text = И сегодня люди заботятся именно о том, чтобы уничтожить комфортные условия для малярии.</t>
  </si>
  <si>
    <t>заботятся</t>
  </si>
  <si>
    <t># text = А эта задача не дешёвая, не легкая и не быстрая, но это наш единственный путь вперёд.</t>
  </si>
  <si>
    <t>А</t>
  </si>
  <si>
    <t>эта</t>
  </si>
  <si>
    <t>быстрая</t>
  </si>
  <si>
    <t>наш</t>
  </si>
  <si>
    <t>единственный</t>
  </si>
  <si>
    <t>путь</t>
  </si>
  <si>
    <t>вперёд</t>
  </si>
  <si>
    <t># text = Спасибо большое.</t>
  </si>
  <si>
    <t>Спасибо</t>
  </si>
  <si>
    <t>большое</t>
  </si>
  <si>
    <t># text = (Аплодисменты)</t>
  </si>
  <si>
    <t>Аплодисменты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</si>
</sst>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16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20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20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16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11</v>
      </c>
      <c r="B8" s="6" t="s">
        <v>36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11</v>
      </c>
      <c r="C9" s="6" t="s">
        <v>41</v>
      </c>
      <c r="D9" s="7" t="s">
        <v>33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36</v>
      </c>
      <c r="B10" s="6" t="s">
        <v>16</v>
      </c>
      <c r="C10" s="6" t="s">
        <v>12</v>
      </c>
      <c r="D10" s="7" t="s">
        <v>44</v>
      </c>
      <c r="E10" s="8" t="s">
        <v>45</v>
      </c>
      <c r="F10" s="6" t="s">
        <v>46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40</v>
      </c>
      <c r="C11" s="6" t="s">
        <v>12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11</v>
      </c>
      <c r="C12" s="6" t="s">
        <v>41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20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20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16</v>
      </c>
      <c r="C15" s="6" t="s">
        <v>12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24</v>
      </c>
      <c r="C16" s="6" t="s">
        <v>12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67</v>
      </c>
      <c r="C17" s="6" t="s">
        <v>12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28</v>
      </c>
      <c r="C18" s="6" t="s">
        <v>12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36</v>
      </c>
      <c r="C19" s="6" t="s">
        <v>12</v>
      </c>
      <c r="D19" s="7" t="s">
        <v>80</v>
      </c>
      <c r="E19" s="8" t="s">
        <v>81</v>
      </c>
      <c r="F19" s="6" t="s">
        <v>82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32</v>
      </c>
      <c r="C20" s="6" t="s">
        <v>12</v>
      </c>
      <c r="D20" s="7" t="s">
        <v>84</v>
      </c>
      <c r="E20" s="8" t="s">
        <v>85</v>
      </c>
      <c r="F20" s="6" t="s">
        <v>86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87</v>
      </c>
      <c r="B21" s="6" t="s">
        <v>20</v>
      </c>
      <c r="C21" s="6" t="s">
        <v>12</v>
      </c>
      <c r="D21" s="7" t="s">
        <v>52</v>
      </c>
      <c r="E21" s="8" t="s">
        <v>88</v>
      </c>
      <c r="F21" s="6" t="s">
        <v>89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90</v>
      </c>
      <c r="B22" s="6" t="s">
        <v>11</v>
      </c>
      <c r="C22" s="6" t="s">
        <v>12</v>
      </c>
      <c r="D22" s="7" t="s">
        <v>91</v>
      </c>
      <c r="E22" s="8" t="s">
        <v>92</v>
      </c>
      <c r="F22" s="6" t="s">
        <v>93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94</v>
      </c>
      <c r="B23" s="6" t="s">
        <v>36</v>
      </c>
      <c r="C23" s="6" t="s">
        <v>12</v>
      </c>
      <c r="D23" s="7" t="s">
        <v>95</v>
      </c>
      <c r="E23" s="8" t="s">
        <v>96</v>
      </c>
      <c r="F23" s="6" t="s">
        <v>97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98</v>
      </c>
      <c r="B24" s="6" t="s">
        <v>20</v>
      </c>
      <c r="C24" s="6" t="s">
        <v>12</v>
      </c>
      <c r="D24" s="7" t="s">
        <v>99</v>
      </c>
      <c r="E24" s="8" t="s">
        <v>100</v>
      </c>
      <c r="F24" s="6" t="s">
        <v>101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102</v>
      </c>
      <c r="B25" s="6" t="s">
        <v>24</v>
      </c>
      <c r="C25" s="6" t="s">
        <v>12</v>
      </c>
      <c r="D25" s="7" t="s">
        <v>103</v>
      </c>
      <c r="E25" s="8" t="s">
        <v>104</v>
      </c>
      <c r="F25" s="6" t="s">
        <v>105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106</v>
      </c>
      <c r="B26" s="6" t="s">
        <v>16</v>
      </c>
      <c r="C26" s="6" t="s">
        <v>12</v>
      </c>
      <c r="D26" s="7" t="s">
        <v>107</v>
      </c>
      <c r="E26" s="8" t="s">
        <v>108</v>
      </c>
      <c r="F26" s="6" t="s">
        <v>109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110</v>
      </c>
      <c r="B27" s="6" t="s">
        <v>11</v>
      </c>
      <c r="C27" s="6" t="s">
        <v>12</v>
      </c>
      <c r="D27" s="7" t="s">
        <v>80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24</v>
      </c>
      <c r="C28" s="6" t="s">
        <v>12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28</v>
      </c>
      <c r="C29" s="6" t="s">
        <v>12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121</v>
      </c>
      <c r="B30" s="6" t="s">
        <v>24</v>
      </c>
      <c r="C30" s="6" t="s">
        <v>12</v>
      </c>
      <c r="D30" s="7" t="s">
        <v>122</v>
      </c>
      <c r="E30" s="8" t="s">
        <v>123</v>
      </c>
      <c r="F30" s="6" t="s">
        <v>124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125</v>
      </c>
      <c r="B31" s="6" t="s">
        <v>28</v>
      </c>
      <c r="C31" s="6" t="s">
        <v>12</v>
      </c>
      <c r="D31" s="7" t="s">
        <v>126</v>
      </c>
      <c r="E31" s="8" t="s">
        <v>127</v>
      </c>
      <c r="F31" s="6" t="s">
        <v>128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129</v>
      </c>
      <c r="B32" s="6" t="s">
        <v>32</v>
      </c>
      <c r="C32" s="6" t="s">
        <v>12</v>
      </c>
      <c r="D32" s="7" t="s">
        <v>126</v>
      </c>
      <c r="E32" s="8" t="s">
        <v>130</v>
      </c>
      <c r="F32" s="6" t="s">
        <v>131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132</v>
      </c>
      <c r="B33" s="6" t="s">
        <v>24</v>
      </c>
      <c r="C33" s="6" t="s">
        <v>12</v>
      </c>
      <c r="D33" s="7" t="s">
        <v>33</v>
      </c>
      <c r="E33" s="8" t="s">
        <v>133</v>
      </c>
      <c r="F33" s="6" t="s">
        <v>134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135</v>
      </c>
      <c r="B34" s="6" t="s">
        <v>51</v>
      </c>
      <c r="C34" s="6" t="s">
        <v>12</v>
      </c>
      <c r="D34" s="7" t="s">
        <v>136</v>
      </c>
      <c r="E34" s="8" t="s">
        <v>137</v>
      </c>
      <c r="F34" s="6" t="s">
        <v>138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139</v>
      </c>
      <c r="B35" s="6" t="s">
        <v>40</v>
      </c>
      <c r="C35" s="6" t="s">
        <v>12</v>
      </c>
      <c r="D35" s="7" t="s">
        <v>140</v>
      </c>
      <c r="E35" s="8" t="s">
        <v>141</v>
      </c>
      <c r="F35" s="6" t="s">
        <v>142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143</v>
      </c>
      <c r="B36" s="6" t="s">
        <v>20</v>
      </c>
      <c r="C36" s="6" t="s">
        <v>41</v>
      </c>
      <c r="D36" s="7" t="s">
        <v>144</v>
      </c>
      <c r="E36" s="8" t="s">
        <v>145</v>
      </c>
      <c r="F36" s="6" t="s">
        <v>146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147</v>
      </c>
      <c r="B37" s="6" t="s">
        <v>28</v>
      </c>
      <c r="C37" s="6" t="s">
        <v>12</v>
      </c>
      <c r="D37" s="7" t="s">
        <v>148</v>
      </c>
      <c r="E37" s="8" t="s">
        <v>149</v>
      </c>
      <c r="F37" s="6" t="s">
        <v>150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151</v>
      </c>
      <c r="B38" s="6" t="s">
        <v>16</v>
      </c>
      <c r="C38" s="6" t="s">
        <v>12</v>
      </c>
      <c r="D38" s="7" t="s">
        <v>152</v>
      </c>
      <c r="E38" s="8" t="s">
        <v>153</v>
      </c>
      <c r="F38" s="6" t="s">
        <v>154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155</v>
      </c>
      <c r="B39" s="6" t="s">
        <v>28</v>
      </c>
      <c r="C39" s="6" t="s">
        <v>12</v>
      </c>
      <c r="D39" s="7" t="s">
        <v>156</v>
      </c>
      <c r="E39" s="8" t="s">
        <v>157</v>
      </c>
      <c r="F39" s="6" t="s">
        <v>158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159</v>
      </c>
      <c r="B40" s="6" t="s">
        <v>28</v>
      </c>
      <c r="C40" s="6" t="s">
        <v>12</v>
      </c>
      <c r="D40" s="7" t="s">
        <v>160</v>
      </c>
      <c r="E40" s="8" t="s">
        <v>161</v>
      </c>
      <c r="F40" s="6" t="s">
        <v>162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163</v>
      </c>
      <c r="B41" s="6" t="s">
        <v>20</v>
      </c>
      <c r="C41" s="6" t="s">
        <v>12</v>
      </c>
      <c r="D41" s="7" t="s">
        <v>164</v>
      </c>
      <c r="E41" s="8" t="s">
        <v>165</v>
      </c>
      <c r="F41" s="6" t="s">
        <v>166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167</v>
      </c>
      <c r="B42" s="6" t="s">
        <v>28</v>
      </c>
      <c r="C42" s="6" t="s">
        <v>12</v>
      </c>
      <c r="D42" s="7" t="s">
        <v>168</v>
      </c>
      <c r="E42" s="8" t="s">
        <v>169</v>
      </c>
      <c r="F42" s="6" t="s">
        <v>170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171</v>
      </c>
      <c r="B43" s="6" t="s">
        <v>10</v>
      </c>
      <c r="C43" s="6" t="s">
        <v>12</v>
      </c>
      <c r="D43" s="7" t="s">
        <v>172</v>
      </c>
      <c r="E43" s="8" t="s">
        <v>173</v>
      </c>
      <c r="F43" s="6" t="s">
        <v>174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175</v>
      </c>
      <c r="B44" s="6" t="s">
        <v>20</v>
      </c>
      <c r="C44" s="6" t="s">
        <v>12</v>
      </c>
      <c r="D44" s="7" t="s">
        <v>176</v>
      </c>
      <c r="E44" s="8" t="s">
        <v>177</v>
      </c>
      <c r="F44" s="6" t="s">
        <v>178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179</v>
      </c>
      <c r="B45" s="6" t="s">
        <v>28</v>
      </c>
      <c r="C45" s="6" t="s">
        <v>12</v>
      </c>
      <c r="D45" s="7" t="s">
        <v>180</v>
      </c>
      <c r="E45" s="8" t="s">
        <v>181</v>
      </c>
      <c r="F45" s="6" t="s">
        <v>182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183</v>
      </c>
      <c r="B46" s="6" t="s">
        <v>24</v>
      </c>
      <c r="C46" s="6" t="s">
        <v>12</v>
      </c>
      <c r="D46" s="7" t="s">
        <v>184</v>
      </c>
      <c r="E46" s="8" t="s">
        <v>185</v>
      </c>
      <c r="F46" s="6" t="s">
        <v>186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187</v>
      </c>
      <c r="B47" s="6" t="s">
        <v>24</v>
      </c>
      <c r="C47" s="6" t="s">
        <v>12</v>
      </c>
      <c r="D47" s="7" t="s">
        <v>188</v>
      </c>
      <c r="E47" s="8" t="s">
        <v>189</v>
      </c>
      <c r="F47" s="6" t="s">
        <v>190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191</v>
      </c>
      <c r="B48" s="6" t="s">
        <v>10</v>
      </c>
      <c r="C48" s="6" t="s">
        <v>12</v>
      </c>
      <c r="D48" s="7" t="s">
        <v>192</v>
      </c>
      <c r="E48" s="8" t="s">
        <v>193</v>
      </c>
      <c r="F48" s="6" t="s">
        <v>194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195</v>
      </c>
      <c r="B49" s="6" t="s">
        <v>16</v>
      </c>
      <c r="C49" s="6" t="s">
        <v>12</v>
      </c>
      <c r="D49" s="7" t="s">
        <v>196</v>
      </c>
      <c r="E49" s="8" t="s">
        <v>197</v>
      </c>
      <c r="F49" s="6" t="s">
        <v>198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199</v>
      </c>
      <c r="B50" s="6" t="s">
        <v>36</v>
      </c>
      <c r="C50" s="6" t="s">
        <v>12</v>
      </c>
      <c r="D50" s="7" t="s">
        <v>200</v>
      </c>
      <c r="E50" s="8" t="s">
        <v>201</v>
      </c>
      <c r="F50" s="6" t="s">
        <v>202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203</v>
      </c>
      <c r="B51" s="6" t="s">
        <v>32</v>
      </c>
      <c r="C51" s="6" t="s">
        <v>12</v>
      </c>
      <c r="D51" s="7" t="s">
        <v>204</v>
      </c>
      <c r="E51" s="8" t="s">
        <v>205</v>
      </c>
      <c r="F51" s="6" t="s">
        <v>206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207</v>
      </c>
      <c r="B52" s="6" t="s">
        <v>16</v>
      </c>
      <c r="C52" s="6" t="s">
        <v>12</v>
      </c>
      <c r="D52" s="7" t="s">
        <v>208</v>
      </c>
      <c r="E52" s="8" t="s">
        <v>209</v>
      </c>
      <c r="F52" s="6" t="s">
        <v>210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211</v>
      </c>
      <c r="B53" s="6" t="s">
        <v>16</v>
      </c>
      <c r="C53" s="6" t="s">
        <v>12</v>
      </c>
      <c r="D53" s="7" t="s">
        <v>212</v>
      </c>
      <c r="E53" s="8" t="s">
        <v>213</v>
      </c>
      <c r="F53" s="6" t="s">
        <v>214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215</v>
      </c>
      <c r="B54" s="6" t="s">
        <v>11</v>
      </c>
      <c r="C54" s="6" t="s">
        <v>12</v>
      </c>
      <c r="D54" s="7" t="s">
        <v>216</v>
      </c>
      <c r="E54" s="8" t="s">
        <v>217</v>
      </c>
      <c r="F54" s="6" t="s">
        <v>218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219</v>
      </c>
      <c r="B55" s="6" t="s">
        <v>47</v>
      </c>
      <c r="C55" s="6" t="s">
        <v>12</v>
      </c>
      <c r="D55" s="7" t="s">
        <v>180</v>
      </c>
      <c r="E55" s="8" t="s">
        <v>220</v>
      </c>
      <c r="F55" s="6" t="s">
        <v>221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222</v>
      </c>
      <c r="B56" s="6" t="s">
        <v>28</v>
      </c>
      <c r="C56" s="6" t="s">
        <v>12</v>
      </c>
      <c r="D56" s="7" t="s">
        <v>223</v>
      </c>
      <c r="E56" s="8" t="s">
        <v>224</v>
      </c>
      <c r="F56" s="6" t="s">
        <v>225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226</v>
      </c>
      <c r="B57" s="6" t="s">
        <v>11</v>
      </c>
      <c r="C57" s="6" t="s">
        <v>12</v>
      </c>
      <c r="D57" s="7" t="s">
        <v>227</v>
      </c>
      <c r="E57" s="8" t="s">
        <v>228</v>
      </c>
      <c r="F57" s="6" t="s">
        <v>229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230</v>
      </c>
      <c r="B58" s="6" t="s">
        <v>11</v>
      </c>
      <c r="C58" s="6" t="s">
        <v>12</v>
      </c>
      <c r="D58" s="7" t="s">
        <v>227</v>
      </c>
      <c r="E58" s="8" t="s">
        <v>231</v>
      </c>
      <c r="F58" s="6" t="s">
        <v>232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233</v>
      </c>
      <c r="B59" s="6" t="s">
        <v>24</v>
      </c>
      <c r="C59" s="6" t="s">
        <v>12</v>
      </c>
      <c r="D59" s="7" t="s">
        <v>234</v>
      </c>
      <c r="E59" s="8" t="s">
        <v>235</v>
      </c>
      <c r="F59" s="6" t="s">
        <v>236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237</v>
      </c>
      <c r="B60" s="6" t="s">
        <v>28</v>
      </c>
      <c r="C60" s="6" t="s">
        <v>12</v>
      </c>
      <c r="D60" s="7" t="s">
        <v>238</v>
      </c>
      <c r="E60" s="8" t="s">
        <v>239</v>
      </c>
      <c r="F60" s="6" t="s">
        <v>240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241</v>
      </c>
      <c r="B61" s="6" t="s">
        <v>28</v>
      </c>
      <c r="C61" s="6" t="s">
        <v>12</v>
      </c>
      <c r="D61" s="7" t="s">
        <v>72</v>
      </c>
      <c r="E61" s="8" t="s">
        <v>242</v>
      </c>
      <c r="F61" s="6" t="s">
        <v>243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244</v>
      </c>
      <c r="B62" s="6" t="s">
        <v>24</v>
      </c>
      <c r="C62" s="6" t="s">
        <v>12</v>
      </c>
      <c r="D62" s="7" t="s">
        <v>245</v>
      </c>
      <c r="E62" s="8" t="s">
        <v>246</v>
      </c>
      <c r="F62" s="6" t="s">
        <v>247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248</v>
      </c>
      <c r="B63" s="6" t="s">
        <v>20</v>
      </c>
      <c r="C63" s="6" t="s">
        <v>12</v>
      </c>
      <c r="D63" s="7" t="s">
        <v>249</v>
      </c>
      <c r="E63" s="8" t="s">
        <v>250</v>
      </c>
      <c r="F63" s="6" t="s">
        <v>251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252</v>
      </c>
      <c r="B64" s="6" t="s">
        <v>32</v>
      </c>
      <c r="C64" s="6" t="s">
        <v>12</v>
      </c>
      <c r="D64" s="7" t="s">
        <v>253</v>
      </c>
      <c r="E64" s="8" t="s">
        <v>254</v>
      </c>
      <c r="F64" s="6" t="s">
        <v>255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256</v>
      </c>
      <c r="B65" s="6" t="s">
        <v>24</v>
      </c>
      <c r="C65" s="6" t="s">
        <v>12</v>
      </c>
      <c r="D65" s="7" t="s">
        <v>257</v>
      </c>
      <c r="E65" s="8" t="s">
        <v>258</v>
      </c>
      <c r="F65" s="6" t="s">
        <v>259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260</v>
      </c>
      <c r="B66" s="6" t="s">
        <v>47</v>
      </c>
      <c r="C66" s="6" t="s">
        <v>12</v>
      </c>
      <c r="D66" s="7" t="s">
        <v>261</v>
      </c>
      <c r="E66" s="8" t="s">
        <v>262</v>
      </c>
      <c r="F66" s="6" t="s">
        <v>263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264</v>
      </c>
      <c r="B67" s="6" t="s">
        <v>20</v>
      </c>
      <c r="C67" s="6" t="s">
        <v>12</v>
      </c>
      <c r="D67" s="7" t="s">
        <v>265</v>
      </c>
      <c r="E67" s="8" t="s">
        <v>266</v>
      </c>
      <c r="F67" s="6" t="s">
        <v>267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268</v>
      </c>
      <c r="B68" s="6" t="s">
        <v>63</v>
      </c>
      <c r="C68" s="6" t="s">
        <v>12</v>
      </c>
      <c r="D68" s="7" t="s">
        <v>269</v>
      </c>
      <c r="E68" s="8" t="s">
        <v>270</v>
      </c>
      <c r="F68" s="6" t="s">
        <v>271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272</v>
      </c>
      <c r="B69" s="6" t="s">
        <v>16</v>
      </c>
      <c r="C69" s="6" t="s">
        <v>12</v>
      </c>
      <c r="D69" s="7" t="s">
        <v>273</v>
      </c>
      <c r="E69" s="8" t="s">
        <v>274</v>
      </c>
      <c r="F69" s="6" t="s">
        <v>275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276</v>
      </c>
      <c r="B70" s="6" t="s">
        <v>16</v>
      </c>
      <c r="C70" s="6" t="s">
        <v>12</v>
      </c>
      <c r="D70" s="7" t="s">
        <v>269</v>
      </c>
      <c r="E70" s="8" t="s">
        <v>277</v>
      </c>
      <c r="F70" s="6" t="s">
        <v>278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279</v>
      </c>
      <c r="B71" s="6" t="s">
        <v>24</v>
      </c>
      <c r="C71" s="6" t="s">
        <v>12</v>
      </c>
      <c r="D71" s="7" t="s">
        <v>280</v>
      </c>
      <c r="E71" s="8" t="s">
        <v>281</v>
      </c>
      <c r="F71" s="6" t="s">
        <v>282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283</v>
      </c>
      <c r="B72" s="6" t="s">
        <v>40</v>
      </c>
      <c r="C72" s="6" t="s">
        <v>284</v>
      </c>
      <c r="D72" s="7" t="s">
        <v>285</v>
      </c>
      <c r="E72" s="8" t="s">
        <v>286</v>
      </c>
      <c r="F72" s="6" t="s">
        <v>287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288</v>
      </c>
      <c r="B73" s="6" t="s">
        <v>20</v>
      </c>
      <c r="C73" s="6" t="s">
        <v>12</v>
      </c>
      <c r="D73" s="7" t="s">
        <v>289</v>
      </c>
      <c r="E73" s="8" t="s">
        <v>290</v>
      </c>
      <c r="F73" s="6" t="s">
        <v>291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292</v>
      </c>
      <c r="B74" s="6" t="s">
        <v>32</v>
      </c>
      <c r="C74" s="6" t="s">
        <v>12</v>
      </c>
      <c r="D74" s="7" t="s">
        <v>293</v>
      </c>
      <c r="E74" s="8" t="s">
        <v>294</v>
      </c>
      <c r="F74" s="6" t="s">
        <v>295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296</v>
      </c>
      <c r="B75" s="6" t="s">
        <v>16</v>
      </c>
      <c r="C75" s="6" t="s">
        <v>12</v>
      </c>
      <c r="D75" s="7" t="s">
        <v>297</v>
      </c>
      <c r="E75" s="8" t="s">
        <v>298</v>
      </c>
      <c r="F75" s="6" t="s">
        <v>299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300</v>
      </c>
      <c r="B76" s="6" t="s">
        <v>16</v>
      </c>
      <c r="C76" s="6" t="s">
        <v>12</v>
      </c>
      <c r="D76" s="7" t="s">
        <v>301</v>
      </c>
      <c r="E76" s="8" t="s">
        <v>302</v>
      </c>
      <c r="F76" s="6" t="s">
        <v>303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304</v>
      </c>
      <c r="B77" s="6" t="s">
        <v>16</v>
      </c>
      <c r="C77" s="6" t="s">
        <v>12</v>
      </c>
      <c r="D77" s="7" t="s">
        <v>192</v>
      </c>
      <c r="E77" s="8" t="s">
        <v>305</v>
      </c>
      <c r="F77" s="6" t="s">
        <v>306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307</v>
      </c>
      <c r="B78" s="6" t="s">
        <v>20</v>
      </c>
      <c r="C78" s="6" t="s">
        <v>12</v>
      </c>
      <c r="D78" s="7" t="s">
        <v>308</v>
      </c>
      <c r="E78" s="8" t="s">
        <v>309</v>
      </c>
      <c r="F78" s="6" t="s">
        <v>310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311</v>
      </c>
      <c r="B79" s="6" t="s">
        <v>32</v>
      </c>
      <c r="C79" s="6" t="s">
        <v>41</v>
      </c>
      <c r="D79" s="7" t="s">
        <v>312</v>
      </c>
      <c r="E79" s="8" t="s">
        <v>313</v>
      </c>
      <c r="F79" s="6" t="s">
        <v>314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315</v>
      </c>
      <c r="B80" s="6" t="s">
        <v>20</v>
      </c>
      <c r="C80" s="6" t="s">
        <v>12</v>
      </c>
      <c r="D80" s="7" t="s">
        <v>316</v>
      </c>
      <c r="E80" s="8" t="s">
        <v>317</v>
      </c>
      <c r="F80" s="6" t="s">
        <v>318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319</v>
      </c>
      <c r="B81" s="6" t="s">
        <v>32</v>
      </c>
      <c r="C81" s="6" t="s">
        <v>12</v>
      </c>
      <c r="D81" s="7" t="s">
        <v>152</v>
      </c>
      <c r="E81" s="8" t="s">
        <v>320</v>
      </c>
      <c r="F81" s="6" t="s">
        <v>321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322</v>
      </c>
      <c r="B82" s="6" t="s">
        <v>32</v>
      </c>
      <c r="C82" s="6" t="s">
        <v>12</v>
      </c>
      <c r="D82" s="7" t="s">
        <v>323</v>
      </c>
      <c r="E82" s="8" t="s">
        <v>324</v>
      </c>
      <c r="F82" s="6" t="s">
        <v>325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326</v>
      </c>
      <c r="B83" s="6" t="s">
        <v>24</v>
      </c>
      <c r="C83" s="6" t="s">
        <v>12</v>
      </c>
      <c r="D83" s="7" t="s">
        <v>327</v>
      </c>
      <c r="E83" s="8" t="s">
        <v>328</v>
      </c>
      <c r="F83" s="6" t="s">
        <v>329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330</v>
      </c>
      <c r="B84" s="6" t="s">
        <v>28</v>
      </c>
      <c r="C84" s="6" t="s">
        <v>12</v>
      </c>
      <c r="D84" s="7" t="s">
        <v>331</v>
      </c>
      <c r="E84" s="8" t="s">
        <v>332</v>
      </c>
      <c r="F84" s="6" t="s">
        <v>333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334</v>
      </c>
      <c r="B85" s="6" t="s">
        <v>20</v>
      </c>
      <c r="C85" s="6" t="s">
        <v>12</v>
      </c>
      <c r="D85" s="7" t="s">
        <v>335</v>
      </c>
      <c r="E85" s="8" t="s">
        <v>336</v>
      </c>
      <c r="F85" s="6" t="s">
        <v>337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338</v>
      </c>
      <c r="B86" s="6" t="s">
        <v>47</v>
      </c>
      <c r="C86" s="6" t="s">
        <v>12</v>
      </c>
      <c r="D86" s="7" t="s">
        <v>339</v>
      </c>
      <c r="E86" s="8" t="s">
        <v>340</v>
      </c>
      <c r="F86" s="6" t="s">
        <v>341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342</v>
      </c>
      <c r="B87" s="6" t="s">
        <v>20</v>
      </c>
      <c r="C87" s="6" t="s">
        <v>343</v>
      </c>
      <c r="D87" s="7" t="s">
        <v>344</v>
      </c>
      <c r="E87" s="8" t="s">
        <v>345</v>
      </c>
      <c r="F87" s="6" t="s">
        <v>346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347</v>
      </c>
      <c r="B88" s="6" t="s">
        <v>24</v>
      </c>
      <c r="C88" s="6" t="s">
        <v>12</v>
      </c>
      <c r="D88" s="7" t="s">
        <v>348</v>
      </c>
      <c r="E88" s="8" t="s">
        <v>349</v>
      </c>
      <c r="F88" s="6" t="s">
        <v>350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351</v>
      </c>
      <c r="B89" s="6" t="s">
        <v>24</v>
      </c>
      <c r="C89" s="6" t="s">
        <v>12</v>
      </c>
      <c r="D89" s="7" t="s">
        <v>352</v>
      </c>
      <c r="E89" s="8" t="s">
        <v>353</v>
      </c>
      <c r="F89" s="6" t="s">
        <v>354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355</v>
      </c>
      <c r="B90" s="6" t="s">
        <v>24</v>
      </c>
      <c r="C90" s="6" t="s">
        <v>12</v>
      </c>
      <c r="D90" s="7" t="s">
        <v>356</v>
      </c>
      <c r="E90" s="8" t="s">
        <v>357</v>
      </c>
      <c r="F90" s="6" t="s">
        <v>358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359</v>
      </c>
      <c r="B91" s="6" t="s">
        <v>16</v>
      </c>
      <c r="C91" s="6" t="s">
        <v>12</v>
      </c>
      <c r="D91" s="7" t="s">
        <v>360</v>
      </c>
      <c r="E91" s="8" t="s">
        <v>361</v>
      </c>
      <c r="F91" s="6" t="s">
        <v>362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363</v>
      </c>
      <c r="B92" s="6" t="s">
        <v>20</v>
      </c>
      <c r="C92" s="6" t="s">
        <v>12</v>
      </c>
      <c r="D92" s="7" t="s">
        <v>285</v>
      </c>
      <c r="E92" s="8" t="s">
        <v>364</v>
      </c>
      <c r="F92" s="6" t="s">
        <v>365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366</v>
      </c>
      <c r="B93" s="6" t="s">
        <v>24</v>
      </c>
      <c r="C93" s="6" t="s">
        <v>12</v>
      </c>
      <c r="D93" s="7" t="s">
        <v>367</v>
      </c>
      <c r="E93" s="8" t="s">
        <v>368</v>
      </c>
      <c r="F93" s="6" t="s">
        <v>369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370</v>
      </c>
      <c r="B94" s="6" t="s">
        <v>16</v>
      </c>
      <c r="C94" s="6" t="s">
        <v>12</v>
      </c>
      <c r="D94" s="7" t="s">
        <v>371</v>
      </c>
      <c r="E94" s="8" t="s">
        <v>372</v>
      </c>
      <c r="F94" s="6" t="s">
        <v>373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374</v>
      </c>
      <c r="B95" s="6" t="s">
        <v>28</v>
      </c>
      <c r="C95" s="6" t="s">
        <v>12</v>
      </c>
      <c r="D95" s="7" t="s">
        <v>375</v>
      </c>
      <c r="E95" s="8" t="s">
        <v>376</v>
      </c>
      <c r="F95" s="6" t="s">
        <v>377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378</v>
      </c>
      <c r="B96" s="6" t="s">
        <v>24</v>
      </c>
      <c r="C96" s="6" t="s">
        <v>12</v>
      </c>
      <c r="D96" s="7" t="s">
        <v>114</v>
      </c>
      <c r="E96" s="8" t="s">
        <v>379</v>
      </c>
      <c r="F96" s="6" t="s">
        <v>380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381</v>
      </c>
      <c r="B97" s="6" t="s">
        <v>32</v>
      </c>
      <c r="C97" s="6" t="s">
        <v>12</v>
      </c>
      <c r="D97" s="7" t="s">
        <v>382</v>
      </c>
      <c r="E97" s="8" t="s">
        <v>383</v>
      </c>
      <c r="F97" s="6" t="s">
        <v>384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385</v>
      </c>
      <c r="B98" s="6" t="s">
        <v>32</v>
      </c>
      <c r="C98" s="6" t="s">
        <v>12</v>
      </c>
      <c r="D98" s="7" t="s">
        <v>386</v>
      </c>
      <c r="E98" s="8" t="s">
        <v>387</v>
      </c>
      <c r="F98" s="6" t="s">
        <v>388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389</v>
      </c>
      <c r="B99" s="6" t="s">
        <v>32</v>
      </c>
      <c r="C99" s="6" t="s">
        <v>12</v>
      </c>
      <c r="D99" s="7" t="s">
        <v>390</v>
      </c>
      <c r="E99" s="8" t="s">
        <v>391</v>
      </c>
      <c r="F99" s="6" t="s">
        <v>392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393</v>
      </c>
      <c r="B100" s="6" t="s">
        <v>16</v>
      </c>
      <c r="C100" s="6" t="s">
        <v>12</v>
      </c>
      <c r="D100" s="7" t="s">
        <v>394</v>
      </c>
      <c r="E100" s="8" t="s">
        <v>395</v>
      </c>
      <c r="F100" s="6" t="s">
        <v>396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397</v>
      </c>
      <c r="B101" s="6" t="s">
        <v>47</v>
      </c>
      <c r="C101" s="6" t="s">
        <v>12</v>
      </c>
      <c r="D101" s="7" t="s">
        <v>398</v>
      </c>
      <c r="E101" s="8" t="s">
        <v>399</v>
      </c>
      <c r="F101" s="6" t="s">
        <v>400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401</v>
      </c>
      <c r="B102" s="6" t="s">
        <v>16</v>
      </c>
      <c r="C102" s="6" t="s">
        <v>12</v>
      </c>
      <c r="D102" s="7" t="s">
        <v>402</v>
      </c>
      <c r="E102" s="8" t="s">
        <v>403</v>
      </c>
      <c r="F102" s="6" t="s">
        <v>404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405</v>
      </c>
      <c r="B103" s="6" t="s">
        <v>11</v>
      </c>
      <c r="C103" s="6" t="s">
        <v>12</v>
      </c>
      <c r="D103" s="7" t="s">
        <v>406</v>
      </c>
      <c r="E103" s="8" t="s">
        <v>407</v>
      </c>
      <c r="F103" s="6" t="s">
        <v>408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409</v>
      </c>
      <c r="B104" s="6" t="s">
        <v>20</v>
      </c>
      <c r="C104" s="6" t="s">
        <v>12</v>
      </c>
      <c r="D104" s="7" t="s">
        <v>273</v>
      </c>
      <c r="E104" s="8" t="s">
        <v>410</v>
      </c>
      <c r="F104" s="6" t="s">
        <v>411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412</v>
      </c>
      <c r="B105" s="6" t="s">
        <v>20</v>
      </c>
      <c r="C105" s="6" t="s">
        <v>12</v>
      </c>
      <c r="D105" s="7" t="s">
        <v>413</v>
      </c>
      <c r="E105" s="8" t="s">
        <v>414</v>
      </c>
      <c r="F105" s="6" t="s">
        <v>415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416</v>
      </c>
      <c r="B106" s="6" t="s">
        <v>20</v>
      </c>
      <c r="C106" s="6" t="s">
        <v>12</v>
      </c>
      <c r="D106" s="7" t="s">
        <v>417</v>
      </c>
      <c r="E106" s="8" t="s">
        <v>418</v>
      </c>
      <c r="F106" s="6" t="s">
        <v>419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420</v>
      </c>
      <c r="B107" s="6" t="s">
        <v>47</v>
      </c>
      <c r="C107" s="6" t="s">
        <v>12</v>
      </c>
      <c r="D107" s="7" t="s">
        <v>421</v>
      </c>
      <c r="E107" s="8" t="s">
        <v>422</v>
      </c>
      <c r="F107" s="6" t="s">
        <v>423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424</v>
      </c>
      <c r="B108" s="6" t="s">
        <v>20</v>
      </c>
      <c r="C108" s="6" t="s">
        <v>12</v>
      </c>
      <c r="D108" s="7" t="s">
        <v>425</v>
      </c>
      <c r="E108" s="8" t="s">
        <v>426</v>
      </c>
      <c r="F108" s="6" t="s">
        <v>427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428</v>
      </c>
      <c r="B109" s="6" t="s">
        <v>24</v>
      </c>
      <c r="C109" s="6" t="s">
        <v>12</v>
      </c>
      <c r="D109" s="7" t="s">
        <v>429</v>
      </c>
      <c r="E109" s="8" t="s">
        <v>430</v>
      </c>
      <c r="F109" s="6" t="s">
        <v>431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432</v>
      </c>
      <c r="B110" s="6" t="s">
        <v>28</v>
      </c>
      <c r="C110" s="6" t="s">
        <v>12</v>
      </c>
      <c r="D110" s="7" t="s">
        <v>390</v>
      </c>
      <c r="E110" s="8" t="s">
        <v>433</v>
      </c>
      <c r="F110" s="6" t="s">
        <v>434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435</v>
      </c>
      <c r="B111" s="6" t="s">
        <v>20</v>
      </c>
      <c r="C111" s="6" t="s">
        <v>12</v>
      </c>
      <c r="D111" s="7" t="s">
        <v>436</v>
      </c>
      <c r="E111" s="8" t="s">
        <v>437</v>
      </c>
      <c r="F111" s="6" t="s">
        <v>438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439</v>
      </c>
      <c r="B112" s="6" t="s">
        <v>32</v>
      </c>
      <c r="C112" s="6" t="s">
        <v>12</v>
      </c>
      <c r="D112" s="7" t="s">
        <v>48</v>
      </c>
      <c r="E112" s="8" t="s">
        <v>440</v>
      </c>
      <c r="F112" s="6" t="s">
        <v>441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442</v>
      </c>
      <c r="B113" s="6" t="s">
        <v>51</v>
      </c>
      <c r="C113" s="6" t="s">
        <v>12</v>
      </c>
      <c r="D113" s="7" t="s">
        <v>443</v>
      </c>
      <c r="E113" s="8" t="s">
        <v>444</v>
      </c>
      <c r="F113" s="6" t="s">
        <v>445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446</v>
      </c>
      <c r="B114" s="6" t="s">
        <v>40</v>
      </c>
      <c r="C114" s="6" t="s">
        <v>12</v>
      </c>
      <c r="D114" s="7" t="s">
        <v>316</v>
      </c>
      <c r="E114" s="8" t="s">
        <v>447</v>
      </c>
      <c r="F114" s="6" t="s">
        <v>448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449</v>
      </c>
      <c r="B115" s="6" t="s">
        <v>24</v>
      </c>
      <c r="C115" s="6" t="s">
        <v>12</v>
      </c>
      <c r="D115" s="7" t="s">
        <v>80</v>
      </c>
      <c r="E115" s="8" t="s">
        <v>450</v>
      </c>
      <c r="F115" s="6" t="s">
        <v>451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452</v>
      </c>
      <c r="B116" s="6" t="s">
        <v>28</v>
      </c>
      <c r="C116" s="6" t="s">
        <v>12</v>
      </c>
      <c r="D116" s="7" t="s">
        <v>453</v>
      </c>
      <c r="E116" s="8" t="s">
        <v>454</v>
      </c>
      <c r="F116" s="6" t="s">
        <v>455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456</v>
      </c>
      <c r="B117" s="6" t="s">
        <v>32</v>
      </c>
      <c r="C117" s="6" t="s">
        <v>12</v>
      </c>
      <c r="D117" s="7" t="s">
        <v>457</v>
      </c>
      <c r="E117" s="8" t="s">
        <v>458</v>
      </c>
      <c r="F117" s="6" t="s">
        <v>459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460</v>
      </c>
      <c r="B118" s="6" t="s">
        <v>24</v>
      </c>
      <c r="C118" s="6" t="s">
        <v>12</v>
      </c>
      <c r="D118" s="7" t="s">
        <v>461</v>
      </c>
      <c r="E118" s="8" t="s">
        <v>462</v>
      </c>
      <c r="F118" s="6" t="s">
        <v>463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464</v>
      </c>
      <c r="B119" s="6" t="s">
        <v>28</v>
      </c>
      <c r="C119" s="6" t="s">
        <v>12</v>
      </c>
      <c r="D119" s="7" t="s">
        <v>465</v>
      </c>
      <c r="E119" s="8" t="s">
        <v>466</v>
      </c>
      <c r="F119" s="6" t="s">
        <v>467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468</v>
      </c>
      <c r="B120" s="6" t="s">
        <v>28</v>
      </c>
      <c r="C120" s="6" t="s">
        <v>12</v>
      </c>
      <c r="D120" s="7" t="s">
        <v>285</v>
      </c>
      <c r="E120" s="8" t="s">
        <v>469</v>
      </c>
      <c r="F120" s="6" t="s">
        <v>470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471</v>
      </c>
      <c r="B121" s="6" t="s">
        <v>20</v>
      </c>
      <c r="C121" s="6" t="s">
        <v>12</v>
      </c>
      <c r="D121" s="7" t="s">
        <v>472</v>
      </c>
      <c r="E121" s="8" t="s">
        <v>473</v>
      </c>
      <c r="F121" s="6" t="s">
        <v>474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475</v>
      </c>
      <c r="B122" s="6" t="s">
        <v>20</v>
      </c>
      <c r="C122" s="6" t="s">
        <v>12</v>
      </c>
      <c r="D122" s="7" t="s">
        <v>476</v>
      </c>
      <c r="E122" s="8" t="s">
        <v>477</v>
      </c>
      <c r="F122" s="6" t="s">
        <v>478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479</v>
      </c>
      <c r="B123" s="6" t="s">
        <v>24</v>
      </c>
      <c r="C123" s="6" t="s">
        <v>12</v>
      </c>
      <c r="D123" s="7" t="s">
        <v>144</v>
      </c>
      <c r="E123" s="8" t="s">
        <v>480</v>
      </c>
      <c r="F123" s="6" t="s">
        <v>481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482</v>
      </c>
      <c r="B124" s="6" t="s">
        <v>20</v>
      </c>
      <c r="C124" s="6" t="s">
        <v>12</v>
      </c>
      <c r="D124" s="7" t="s">
        <v>352</v>
      </c>
      <c r="E124" s="8" t="s">
        <v>483</v>
      </c>
      <c r="F124" s="6" t="s">
        <v>484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485</v>
      </c>
      <c r="B125" s="6" t="s">
        <v>24</v>
      </c>
      <c r="C125" s="6" t="s">
        <v>12</v>
      </c>
      <c r="D125" s="7" t="s">
        <v>29</v>
      </c>
      <c r="E125" s="8" t="s">
        <v>486</v>
      </c>
      <c r="F125" s="6" t="s">
        <v>487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488</v>
      </c>
      <c r="B126" s="6" t="s">
        <v>36</v>
      </c>
      <c r="C126" s="6" t="s">
        <v>12</v>
      </c>
      <c r="D126" s="7" t="s">
        <v>331</v>
      </c>
      <c r="E126" s="8" t="s">
        <v>489</v>
      </c>
      <c r="F126" s="6" t="s">
        <v>490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  <row r="127" spans="1:10" ht="60" customHeight="1">
      <c r="A127" s="6" t="s">
        <v>491</v>
      </c>
      <c r="B127" s="6" t="s">
        <v>16</v>
      </c>
      <c r="C127" s="6" t="s">
        <v>12</v>
      </c>
      <c r="D127" s="7" t="s">
        <v>492</v>
      </c>
      <c r="E127" s="8" t="s">
        <v>493</v>
      </c>
      <c r="F127" s="6" t="s">
        <v>494</v>
      </c>
      <c r="G127" s="9">
        <f>IF(A127=1,"_",IF(C127="_","???",C127))</f>
        <v/>
      </c>
      <c r="H127" s="10" t="s">
        <v>12</v>
      </c>
      <c r="I127" s="11" t="s">
        <v>12</v>
      </c>
      <c r="J127" s="12"/>
    </row>
    <row r="128" spans="1:10" ht="60" customHeight="1">
      <c r="A128" s="6" t="s">
        <v>495</v>
      </c>
      <c r="B128" s="6" t="s">
        <v>16</v>
      </c>
      <c r="C128" s="6" t="s">
        <v>12</v>
      </c>
      <c r="D128" s="7" t="s">
        <v>496</v>
      </c>
      <c r="E128" s="8" t="s">
        <v>497</v>
      </c>
      <c r="F128" s="6" t="s">
        <v>498</v>
      </c>
      <c r="G128" s="9">
        <f>IF(A128=1,"_",IF(C128="_","???",C128))</f>
        <v/>
      </c>
      <c r="H128" s="10" t="s">
        <v>12</v>
      </c>
      <c r="I128" s="11" t="s">
        <v>12</v>
      </c>
      <c r="J128" s="12"/>
    </row>
    <row r="129" spans="1:10" ht="60" customHeight="1">
      <c r="A129" s="6" t="s">
        <v>499</v>
      </c>
      <c r="B129" s="6" t="s">
        <v>24</v>
      </c>
      <c r="C129" s="6" t="s">
        <v>12</v>
      </c>
      <c r="D129" s="7" t="s">
        <v>273</v>
      </c>
      <c r="E129" s="8" t="s">
        <v>500</v>
      </c>
      <c r="F129" s="6" t="s">
        <v>501</v>
      </c>
      <c r="G129" s="9">
        <f>IF(A129=1,"_",IF(C129="_","???",C129))</f>
        <v/>
      </c>
      <c r="H129" s="10" t="s">
        <v>12</v>
      </c>
      <c r="I129" s="11" t="s">
        <v>12</v>
      </c>
      <c r="J129" s="12"/>
    </row>
    <row r="130" spans="1:10" ht="60" customHeight="1">
      <c r="A130" s="6" t="s">
        <v>502</v>
      </c>
      <c r="B130" s="6" t="s">
        <v>11</v>
      </c>
      <c r="C130" s="6" t="s">
        <v>12</v>
      </c>
      <c r="D130" s="7" t="s">
        <v>503</v>
      </c>
      <c r="E130" s="8" t="s">
        <v>504</v>
      </c>
      <c r="F130" s="6" t="s">
        <v>505</v>
      </c>
      <c r="G130" s="9">
        <f>IF(A130=1,"_",IF(C130="_","???",C130))</f>
        <v/>
      </c>
      <c r="H130" s="10" t="s">
        <v>12</v>
      </c>
      <c r="I130" s="11" t="s">
        <v>12</v>
      </c>
      <c r="J130" s="12"/>
    </row>
    <row r="131" spans="1:10" ht="60" customHeight="1">
      <c r="A131" s="6" t="s">
        <v>506</v>
      </c>
      <c r="B131" s="6" t="s">
        <v>71</v>
      </c>
      <c r="C131" s="6" t="s">
        <v>12</v>
      </c>
      <c r="D131" s="7" t="s">
        <v>507</v>
      </c>
      <c r="E131" s="8" t="s">
        <v>508</v>
      </c>
      <c r="F131" s="6" t="s">
        <v>509</v>
      </c>
      <c r="G131" s="9">
        <f>IF(A131=1,"_",IF(C131="_","???",C131))</f>
        <v/>
      </c>
      <c r="H131" s="10" t="s">
        <v>12</v>
      </c>
      <c r="I131" s="11" t="s">
        <v>12</v>
      </c>
      <c r="J131" s="12"/>
    </row>
    <row r="132" spans="1:10" ht="60" customHeight="1">
      <c r="A132" s="6" t="s">
        <v>510</v>
      </c>
      <c r="B132" s="6" t="s">
        <v>28</v>
      </c>
      <c r="C132" s="6" t="s">
        <v>343</v>
      </c>
      <c r="D132" s="7" t="s">
        <v>511</v>
      </c>
      <c r="E132" s="8" t="s">
        <v>512</v>
      </c>
      <c r="F132" s="6" t="s">
        <v>513</v>
      </c>
      <c r="G132" s="9">
        <f>IF(A132=1,"_",IF(C132="_","???",C132))</f>
        <v/>
      </c>
      <c r="H132" s="10" t="s">
        <v>12</v>
      </c>
      <c r="I132" s="11" t="s">
        <v>12</v>
      </c>
      <c r="J132" s="12"/>
    </row>
    <row r="133" spans="1:10" ht="60" customHeight="1">
      <c r="A133" s="6" t="s">
        <v>514</v>
      </c>
      <c r="B133" s="6" t="s">
        <v>24</v>
      </c>
      <c r="C133" s="6" t="s">
        <v>12</v>
      </c>
      <c r="D133" s="7" t="s">
        <v>515</v>
      </c>
      <c r="E133" s="8" t="s">
        <v>516</v>
      </c>
      <c r="F133" s="6" t="s">
        <v>517</v>
      </c>
      <c r="G133" s="9">
        <f>IF(A133=1,"_",IF(C133="_","???",C133))</f>
        <v/>
      </c>
      <c r="H133" s="10" t="s">
        <v>12</v>
      </c>
      <c r="I133" s="11" t="s">
        <v>12</v>
      </c>
      <c r="J133" s="12"/>
    </row>
    <row r="134" spans="1:10" ht="60" customHeight="1">
      <c r="A134" s="6" t="s">
        <v>518</v>
      </c>
      <c r="B134" s="6" t="s">
        <v>16</v>
      </c>
      <c r="C134" s="6" t="s">
        <v>12</v>
      </c>
      <c r="D134" s="7" t="s">
        <v>519</v>
      </c>
      <c r="E134" s="8" t="s">
        <v>520</v>
      </c>
      <c r="F134" s="6" t="s">
        <v>521</v>
      </c>
      <c r="G134" s="9">
        <f>IF(A134=1,"_",IF(C134="_","???",C134))</f>
        <v/>
      </c>
      <c r="H134" s="10" t="s">
        <v>12</v>
      </c>
      <c r="I134" s="11" t="s">
        <v>12</v>
      </c>
      <c r="J134" s="12"/>
    </row>
    <row r="135" spans="1:10" ht="60" customHeight="1">
      <c r="A135" s="6" t="s">
        <v>522</v>
      </c>
      <c r="B135" s="6" t="s">
        <v>20</v>
      </c>
      <c r="C135" s="6" t="s">
        <v>12</v>
      </c>
      <c r="D135" s="7" t="s">
        <v>523</v>
      </c>
      <c r="E135" s="8" t="s">
        <v>524</v>
      </c>
      <c r="F135" s="6" t="s">
        <v>525</v>
      </c>
      <c r="G135" s="9">
        <f>IF(A135=1,"_",IF(C135="_","???",C135))</f>
        <v/>
      </c>
      <c r="H135" s="10" t="s">
        <v>12</v>
      </c>
      <c r="I135" s="11" t="s">
        <v>12</v>
      </c>
      <c r="J135" s="12"/>
    </row>
    <row r="136" spans="1:10" ht="60" customHeight="1">
      <c r="A136" s="6" t="s">
        <v>526</v>
      </c>
      <c r="B136" s="6" t="s">
        <v>28</v>
      </c>
      <c r="C136" s="6" t="s">
        <v>12</v>
      </c>
      <c r="D136" s="7" t="s">
        <v>527</v>
      </c>
      <c r="E136" s="8" t="s">
        <v>528</v>
      </c>
      <c r="F136" s="6" t="s">
        <v>529</v>
      </c>
      <c r="G136" s="9">
        <f>IF(A136=1,"_",IF(C136="_","???",C136))</f>
        <v/>
      </c>
      <c r="H136" s="10" t="s">
        <v>12</v>
      </c>
      <c r="I136" s="11" t="s">
        <v>12</v>
      </c>
      <c r="J136" s="12"/>
    </row>
    <row r="137" spans="1:10" ht="60" customHeight="1">
      <c r="A137" s="6" t="s">
        <v>530</v>
      </c>
      <c r="B137" s="6" t="s">
        <v>32</v>
      </c>
      <c r="C137" s="6" t="s">
        <v>12</v>
      </c>
      <c r="D137" s="7" t="s">
        <v>531</v>
      </c>
      <c r="E137" s="8" t="s">
        <v>532</v>
      </c>
      <c r="F137" s="6" t="s">
        <v>533</v>
      </c>
      <c r="G137" s="9">
        <f>IF(A137=1,"_",IF(C137="_","???",C137))</f>
        <v/>
      </c>
      <c r="H137" s="10" t="s">
        <v>12</v>
      </c>
      <c r="I137" s="11" t="s">
        <v>12</v>
      </c>
      <c r="J137" s="12"/>
    </row>
    <row r="138" spans="1:10" ht="60" customHeight="1">
      <c r="A138" s="6" t="s">
        <v>534</v>
      </c>
      <c r="B138" s="6" t="s">
        <v>20</v>
      </c>
      <c r="C138" s="6" t="s">
        <v>12</v>
      </c>
      <c r="D138" s="7" t="s">
        <v>535</v>
      </c>
      <c r="E138" s="8" t="s">
        <v>536</v>
      </c>
      <c r="F138" s="6" t="s">
        <v>537</v>
      </c>
      <c r="G138" s="9">
        <f>IF(A138=1,"_",IF(C138="_","???",C138))</f>
        <v/>
      </c>
      <c r="H138" s="10" t="s">
        <v>12</v>
      </c>
      <c r="I138" s="11" t="s">
        <v>12</v>
      </c>
      <c r="J138" s="12"/>
    </row>
    <row r="139" spans="1:10" ht="60" customHeight="1">
      <c r="A139" s="6" t="s">
        <v>538</v>
      </c>
      <c r="B139" s="6" t="s">
        <v>20</v>
      </c>
      <c r="C139" s="6" t="s">
        <v>41</v>
      </c>
      <c r="D139" s="7" t="s">
        <v>539</v>
      </c>
      <c r="E139" s="8" t="s">
        <v>540</v>
      </c>
      <c r="F139" s="6" t="s">
        <v>541</v>
      </c>
      <c r="G139" s="9">
        <f>IF(A139=1,"_",IF(C139="_","???",C139))</f>
        <v/>
      </c>
      <c r="H139" s="10" t="s">
        <v>12</v>
      </c>
      <c r="I139" s="11" t="s">
        <v>12</v>
      </c>
      <c r="J139" s="12"/>
    </row>
    <row r="140" spans="1:10" ht="60" customHeight="1">
      <c r="A140" s="6" t="s">
        <v>542</v>
      </c>
      <c r="B140" s="6" t="s">
        <v>20</v>
      </c>
      <c r="C140" s="6" t="s">
        <v>12</v>
      </c>
      <c r="D140" s="7" t="s">
        <v>543</v>
      </c>
      <c r="E140" s="8" t="s">
        <v>544</v>
      </c>
      <c r="F140" s="6" t="s">
        <v>545</v>
      </c>
      <c r="G140" s="9">
        <f>IF(A140=1,"_",IF(C140="_","???",C140))</f>
        <v/>
      </c>
      <c r="H140" s="10" t="s">
        <v>12</v>
      </c>
      <c r="I140" s="11" t="s">
        <v>12</v>
      </c>
      <c r="J140" s="12"/>
    </row>
    <row r="141" spans="1:10" ht="60" customHeight="1">
      <c r="A141" s="6" t="s">
        <v>546</v>
      </c>
      <c r="B141" s="6" t="s">
        <v>28</v>
      </c>
      <c r="C141" s="6" t="s">
        <v>12</v>
      </c>
      <c r="D141" s="7" t="s">
        <v>547</v>
      </c>
      <c r="E141" s="8" t="s">
        <v>548</v>
      </c>
      <c r="F141" s="6" t="s">
        <v>549</v>
      </c>
      <c r="G141" s="9">
        <f>IF(A141=1,"_",IF(C141="_","???",C141))</f>
        <v/>
      </c>
      <c r="H141" s="10" t="s">
        <v>12</v>
      </c>
      <c r="I141" s="11" t="s">
        <v>12</v>
      </c>
      <c r="J141" s="12"/>
    </row>
    <row r="142" spans="1:10" ht="60" customHeight="1">
      <c r="A142" s="6" t="s">
        <v>550</v>
      </c>
      <c r="B142" s="6" t="s">
        <v>24</v>
      </c>
      <c r="C142" s="6" t="s">
        <v>12</v>
      </c>
      <c r="D142" s="7" t="s">
        <v>273</v>
      </c>
      <c r="E142" s="8" t="s">
        <v>551</v>
      </c>
      <c r="F142" s="6" t="s">
        <v>552</v>
      </c>
      <c r="G142" s="9">
        <f>IF(A142=1,"_",IF(C142="_","???",C142))</f>
        <v/>
      </c>
      <c r="H142" s="10" t="s">
        <v>12</v>
      </c>
      <c r="I142" s="11" t="s">
        <v>12</v>
      </c>
      <c r="J142" s="12"/>
    </row>
    <row r="143" spans="1:10" ht="60" customHeight="1">
      <c r="A143" s="6" t="s">
        <v>553</v>
      </c>
      <c r="B143" s="6" t="s">
        <v>20</v>
      </c>
      <c r="C143" s="6" t="s">
        <v>12</v>
      </c>
      <c r="D143" s="7" t="s">
        <v>168</v>
      </c>
      <c r="E143" s="8" t="s">
        <v>554</v>
      </c>
      <c r="F143" s="6" t="s">
        <v>555</v>
      </c>
      <c r="G143" s="9">
        <f>IF(A143=1,"_",IF(C143="_","???",C143))</f>
        <v/>
      </c>
      <c r="H143" s="10" t="s">
        <v>12</v>
      </c>
      <c r="I143" s="11" t="s">
        <v>12</v>
      </c>
      <c r="J143" s="12"/>
    </row>
    <row r="144" spans="1:10" ht="60" customHeight="1">
      <c r="A144" s="6" t="s">
        <v>556</v>
      </c>
      <c r="B144" s="6" t="s">
        <v>16</v>
      </c>
      <c r="C144" s="6" t="s">
        <v>12</v>
      </c>
      <c r="D144" s="7" t="s">
        <v>289</v>
      </c>
      <c r="E144" s="8" t="s">
        <v>557</v>
      </c>
      <c r="F144" s="6" t="s">
        <v>558</v>
      </c>
      <c r="G144" s="9">
        <f>IF(A144=1,"_",IF(C144="_","???",C144))</f>
        <v/>
      </c>
      <c r="H144" s="10" t="s">
        <v>12</v>
      </c>
      <c r="I144" s="11" t="s">
        <v>12</v>
      </c>
      <c r="J144" s="12"/>
    </row>
    <row r="145" spans="1:10" ht="60" customHeight="1">
      <c r="A145" s="6" t="s">
        <v>559</v>
      </c>
      <c r="B145" s="6" t="s">
        <v>10</v>
      </c>
      <c r="C145" s="6" t="s">
        <v>12</v>
      </c>
      <c r="D145" s="7" t="s">
        <v>560</v>
      </c>
      <c r="E145" s="8" t="s">
        <v>561</v>
      </c>
      <c r="F145" s="6" t="s">
        <v>562</v>
      </c>
      <c r="G145" s="9">
        <f>IF(A145=1,"_",IF(C145="_","???",C145))</f>
        <v/>
      </c>
      <c r="H145" s="10" t="s">
        <v>12</v>
      </c>
      <c r="I145" s="11" t="s">
        <v>12</v>
      </c>
      <c r="J145" s="12"/>
    </row>
    <row r="146" spans="1:10" ht="60" customHeight="1">
      <c r="A146" s="6" t="s">
        <v>563</v>
      </c>
      <c r="B146" s="6" t="s">
        <v>28</v>
      </c>
      <c r="C146" s="6" t="s">
        <v>343</v>
      </c>
      <c r="D146" s="7" t="s">
        <v>208</v>
      </c>
      <c r="E146" s="8" t="s">
        <v>564</v>
      </c>
      <c r="F146" s="6" t="s">
        <v>565</v>
      </c>
      <c r="G146" s="9">
        <f>IF(A146=1,"_",IF(C146="_","???",C146))</f>
        <v/>
      </c>
      <c r="H146" s="10" t="s">
        <v>12</v>
      </c>
      <c r="I146" s="11" t="s">
        <v>12</v>
      </c>
      <c r="J146" s="12"/>
    </row>
    <row r="147" spans="1:10" ht="60" customHeight="1">
      <c r="A147" s="6" t="s">
        <v>566</v>
      </c>
      <c r="B147" s="6" t="s">
        <v>20</v>
      </c>
      <c r="C147" s="6" t="s">
        <v>12</v>
      </c>
      <c r="D147" s="7" t="s">
        <v>285</v>
      </c>
      <c r="E147" s="8" t="s">
        <v>567</v>
      </c>
      <c r="F147" s="6" t="s">
        <v>568</v>
      </c>
      <c r="G147" s="9">
        <f>IF(A147=1,"_",IF(C147="_","???",C147))</f>
        <v/>
      </c>
      <c r="H147" s="10" t="s">
        <v>12</v>
      </c>
      <c r="I147" s="11" t="s">
        <v>12</v>
      </c>
      <c r="J147" s="12"/>
    </row>
    <row r="148" spans="1:10" ht="60" customHeight="1">
      <c r="A148" s="6" t="s">
        <v>569</v>
      </c>
      <c r="B148" s="6" t="s">
        <v>16</v>
      </c>
      <c r="C148" s="6" t="s">
        <v>12</v>
      </c>
      <c r="D148" s="7" t="s">
        <v>570</v>
      </c>
      <c r="E148" s="8" t="s">
        <v>571</v>
      </c>
      <c r="F148" s="6" t="s">
        <v>572</v>
      </c>
      <c r="G148" s="9">
        <f>IF(A148=1,"_",IF(C148="_","???",C148))</f>
        <v/>
      </c>
      <c r="H148" s="10" t="s">
        <v>12</v>
      </c>
      <c r="I148" s="11" t="s">
        <v>12</v>
      </c>
      <c r="J148" s="12"/>
    </row>
    <row r="149" spans="1:10" ht="60" customHeight="1">
      <c r="A149" s="6" t="s">
        <v>573</v>
      </c>
      <c r="B149" s="6" t="s">
        <v>16</v>
      </c>
      <c r="C149" s="6" t="s">
        <v>12</v>
      </c>
      <c r="D149" s="7" t="s">
        <v>574</v>
      </c>
      <c r="E149" s="8" t="s">
        <v>575</v>
      </c>
      <c r="F149" s="6" t="s">
        <v>576</v>
      </c>
      <c r="G149" s="9">
        <f>IF(A149=1,"_",IF(C149="_","???",C149))</f>
        <v/>
      </c>
      <c r="H149" s="10" t="s">
        <v>12</v>
      </c>
      <c r="I149" s="11" t="s">
        <v>12</v>
      </c>
      <c r="J149" s="12"/>
    </row>
    <row r="150" spans="1:10" ht="60" customHeight="1">
      <c r="A150" s="6" t="s">
        <v>577</v>
      </c>
      <c r="B150" s="6" t="s">
        <v>24</v>
      </c>
      <c r="C150" s="6" t="s">
        <v>12</v>
      </c>
      <c r="D150" s="7" t="s">
        <v>578</v>
      </c>
      <c r="E150" s="8" t="s">
        <v>579</v>
      </c>
      <c r="F150" s="6" t="s">
        <v>580</v>
      </c>
      <c r="G150" s="9">
        <f>IF(A150=1,"_",IF(C150="_","???",C150))</f>
        <v/>
      </c>
      <c r="H150" s="10" t="s">
        <v>12</v>
      </c>
      <c r="I150" s="11" t="s">
        <v>12</v>
      </c>
      <c r="J150" s="12"/>
    </row>
    <row r="151" spans="1:10" ht="60" customHeight="1">
      <c r="A151" s="6" t="s">
        <v>581</v>
      </c>
      <c r="B151" s="6" t="s">
        <v>28</v>
      </c>
      <c r="C151" s="6" t="s">
        <v>12</v>
      </c>
      <c r="D151" s="7" t="s">
        <v>582</v>
      </c>
      <c r="E151" s="8" t="s">
        <v>583</v>
      </c>
      <c r="F151" s="6" t="s">
        <v>584</v>
      </c>
      <c r="G151" s="9">
        <f>IF(A151=1,"_",IF(C151="_","???",C151))</f>
        <v/>
      </c>
      <c r="H151" s="10" t="s">
        <v>12</v>
      </c>
      <c r="I151" s="11" t="s">
        <v>12</v>
      </c>
      <c r="J151" s="12"/>
    </row>
    <row r="152" spans="1:10" ht="60" customHeight="1">
      <c r="A152" s="6" t="s">
        <v>585</v>
      </c>
      <c r="B152" s="6" t="s">
        <v>16</v>
      </c>
      <c r="C152" s="6" t="s">
        <v>12</v>
      </c>
      <c r="D152" s="7" t="s">
        <v>586</v>
      </c>
      <c r="E152" s="8" t="s">
        <v>587</v>
      </c>
      <c r="F152" s="6" t="s">
        <v>588</v>
      </c>
      <c r="G152" s="9">
        <f>IF(A152=1,"_",IF(C152="_","???",C152))</f>
        <v/>
      </c>
      <c r="H152" s="10" t="s">
        <v>12</v>
      </c>
      <c r="I152" s="11" t="s">
        <v>12</v>
      </c>
      <c r="J152" s="12"/>
    </row>
    <row r="153" spans="1:10" ht="60" customHeight="1">
      <c r="A153" s="6" t="s">
        <v>589</v>
      </c>
      <c r="B153" s="6" t="s">
        <v>16</v>
      </c>
      <c r="C153" s="6" t="s">
        <v>12</v>
      </c>
      <c r="D153" s="7" t="s">
        <v>590</v>
      </c>
      <c r="E153" s="8" t="s">
        <v>591</v>
      </c>
      <c r="F153" s="6" t="s">
        <v>592</v>
      </c>
      <c r="G153" s="9">
        <f>IF(A153=1,"_",IF(C153="_","???",C153))</f>
        <v/>
      </c>
      <c r="H153" s="10" t="s">
        <v>12</v>
      </c>
      <c r="I153" s="11" t="s">
        <v>12</v>
      </c>
      <c r="J15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593</v>
      </c>
      <c r="B1" s="13" t="s">
        <v>594</v>
      </c>
      <c r="C1" s="13" t="s">
        <v>595</v>
      </c>
      <c r="D1" s="13" t="s">
        <v>596</v>
      </c>
      <c r="E1" s="14" t="s">
        <v>597</v>
      </c>
      <c r="F1" s="15" t="s">
        <v>598</v>
      </c>
      <c r="G1" s="16" t="s">
        <v>599</v>
      </c>
      <c r="H1" s="17" t="s">
        <v>600</v>
      </c>
      <c r="I1" s="18" t="s">
        <v>601</v>
      </c>
      <c r="J1" s="18" t="s">
        <v>602</v>
      </c>
      <c r="K1" s="18" t="s">
        <v>603</v>
      </c>
      <c r="L1" s="19" t="s">
        <v>9</v>
      </c>
    </row>
    <row r="2" spans="1:12">
      <c r="A2" s="20" t="s">
        <v>604</v>
      </c>
    </row>
    <row r="3" spans="1:12">
      <c r="A3" s="20" t="s">
        <v>605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606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607</v>
      </c>
      <c r="B5" s="27" t="s">
        <v>608</v>
      </c>
      <c r="C5" s="27" t="s">
        <v>609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610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611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612</v>
      </c>
      <c r="B8" s="27" t="s">
        <v>613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614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615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616</v>
      </c>
      <c r="B11" s="27" t="s">
        <v>608</v>
      </c>
      <c r="C11" s="27" t="s">
        <v>609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617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618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619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620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621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622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623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/>
    </row>
    <row r="20" spans="1:12">
      <c r="A20" s="20" t="s">
        <v>624</v>
      </c>
    </row>
    <row r="21" spans="1:12">
      <c r="A21" s="20" t="s">
        <v>625</v>
      </c>
      <c r="B21" s="27" t="s">
        <v>613</v>
      </c>
      <c r="C21" s="27" t="s">
        <v>626</v>
      </c>
      <c r="D21" s="27" t="s">
        <v>627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628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629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630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631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617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632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617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633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617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634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635</v>
      </c>
      <c r="B32" s="27" t="s">
        <v>636</v>
      </c>
      <c r="C32" s="27" t="s">
        <v>626</v>
      </c>
      <c r="D32" s="27" t="s">
        <v>627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637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638</v>
      </c>
      <c r="B34" s="27" t="s">
        <v>639</v>
      </c>
      <c r="C34" s="27" t="s">
        <v>640</v>
      </c>
      <c r="D34" s="27" t="s">
        <v>627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641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642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623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/>
    </row>
    <row r="39" spans="1:12">
      <c r="A39" s="20" t="s">
        <v>643</v>
      </c>
    </row>
    <row r="40" spans="1:12">
      <c r="A40" s="20" t="s">
        <v>644</v>
      </c>
      <c r="B40" s="27" t="s">
        <v>613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645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646</v>
      </c>
      <c r="B42" s="27" t="s">
        <v>647</v>
      </c>
      <c r="C42" s="27" t="s">
        <v>626</v>
      </c>
      <c r="D42" s="27" t="s">
        <v>627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629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648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649</v>
      </c>
      <c r="B45" s="27" t="s">
        <v>608</v>
      </c>
      <c r="C45" s="27" t="s">
        <v>650</v>
      </c>
      <c r="D45" s="27" t="s">
        <v>627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617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651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652</v>
      </c>
      <c r="B48" s="27" t="s">
        <v>653</v>
      </c>
      <c r="C48" s="27" t="s">
        <v>626</v>
      </c>
      <c r="D48" s="27" t="s">
        <v>627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654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617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632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655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656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657</v>
      </c>
      <c r="B54" s="27" t="s">
        <v>658</v>
      </c>
      <c r="C54" s="27" t="s">
        <v>650</v>
      </c>
      <c r="D54" s="27" t="s">
        <v>627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635</v>
      </c>
      <c r="B55" s="27" t="s">
        <v>636</v>
      </c>
      <c r="C55" s="27" t="s">
        <v>626</v>
      </c>
      <c r="D55" s="27" t="s">
        <v>627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659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660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661</v>
      </c>
      <c r="B58" s="27" t="s">
        <v>662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623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/>
    </row>
    <row r="61" spans="1:12">
      <c r="A61" s="20" t="s">
        <v>663</v>
      </c>
    </row>
    <row r="62" spans="1:12">
      <c r="A62" s="20" t="s">
        <v>664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652</v>
      </c>
      <c r="B63" s="27" t="s">
        <v>613</v>
      </c>
      <c r="C63" s="27" t="s">
        <v>626</v>
      </c>
      <c r="D63" s="27" t="s">
        <v>627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665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666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667</v>
      </c>
      <c r="B66" s="27" t="s">
        <v>608</v>
      </c>
      <c r="C66" s="27" t="s">
        <v>609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668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669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670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671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617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672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673</v>
      </c>
      <c r="B73" s="27" t="s">
        <v>639</v>
      </c>
      <c r="C73" s="27" t="s">
        <v>674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675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676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677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678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679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623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/>
    </row>
    <row r="81" spans="1:12">
      <c r="A81" s="20" t="s">
        <v>680</v>
      </c>
    </row>
    <row r="82" spans="1:12">
      <c r="A82" s="20" t="s">
        <v>681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682</v>
      </c>
      <c r="B83" s="27" t="s">
        <v>613</v>
      </c>
      <c r="C83" s="27" t="s">
        <v>683</v>
      </c>
      <c r="D83" s="27" t="s">
        <v>627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684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685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623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/>
    </row>
    <row r="88" spans="1:12">
      <c r="A88" s="20" t="s">
        <v>686</v>
      </c>
    </row>
    <row r="89" spans="1:12">
      <c r="A89" s="20" t="s">
        <v>687</v>
      </c>
      <c r="B89" s="27" t="s">
        <v>613</v>
      </c>
      <c r="C89" s="27" t="s">
        <v>626</v>
      </c>
      <c r="D89" s="27" t="s">
        <v>627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688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689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690</v>
      </c>
      <c r="B92" s="27" t="s">
        <v>662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691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629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75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692</v>
      </c>
      <c r="B96" s="27" t="s">
        <v>658</v>
      </c>
      <c r="C96" s="27" t="s">
        <v>609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623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/>
    </row>
    <row r="99" spans="1:12">
      <c r="A99" s="20" t="s">
        <v>693</v>
      </c>
    </row>
    <row r="100" spans="1:12">
      <c r="A100" s="20" t="s">
        <v>694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695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617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670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696</v>
      </c>
      <c r="B104" s="27" t="s">
        <v>658</v>
      </c>
      <c r="C104" s="27" t="s">
        <v>697</v>
      </c>
      <c r="D104" s="27" t="s">
        <v>627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617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698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699</v>
      </c>
      <c r="B107" s="27" t="s">
        <v>613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700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701</v>
      </c>
      <c r="B109" s="27" t="s">
        <v>647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702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703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617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704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705</v>
      </c>
      <c r="B114" s="27" t="s">
        <v>706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617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707</v>
      </c>
      <c r="B116" s="27" t="s">
        <v>708</v>
      </c>
      <c r="C116" s="27" t="s">
        <v>674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655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656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657</v>
      </c>
      <c r="B119" s="27" t="s">
        <v>709</v>
      </c>
      <c r="C119" s="27" t="s">
        <v>650</v>
      </c>
      <c r="D119" s="27" t="s">
        <v>627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637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710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711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712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713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623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/>
    </row>
    <row r="127" spans="1:12">
      <c r="A127" s="20" t="s">
        <v>714</v>
      </c>
    </row>
    <row r="128" spans="1:12">
      <c r="A128" s="20" t="s">
        <v>715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716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652</v>
      </c>
      <c r="B130" s="27" t="s">
        <v>613</v>
      </c>
      <c r="C130" s="27" t="s">
        <v>626</v>
      </c>
      <c r="D130" s="27" t="s">
        <v>627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717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718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719</v>
      </c>
      <c r="B133" s="27" t="s">
        <v>608</v>
      </c>
      <c r="C133" s="27" t="s">
        <v>609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688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689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690</v>
      </c>
      <c r="B136" s="27" t="s">
        <v>662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623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/>
    </row>
    <row r="139" spans="1:12">
      <c r="A139" s="20" t="s">
        <v>720</v>
      </c>
    </row>
    <row r="140" spans="1:12">
      <c r="A140" s="20" t="s">
        <v>721</v>
      </c>
      <c r="B140" s="27" t="s">
        <v>647</v>
      </c>
      <c r="C140" s="27" t="s">
        <v>626</v>
      </c>
      <c r="D140" s="27" t="s">
        <v>627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722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723</v>
      </c>
      <c r="B142" s="27" t="s">
        <v>613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713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629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724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725</v>
      </c>
      <c r="B146" s="27" t="s">
        <v>658</v>
      </c>
      <c r="C146" s="27" t="s">
        <v>609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623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/>
    </row>
    <row r="149" spans="1:12">
      <c r="A149" s="20" t="s">
        <v>726</v>
      </c>
    </row>
    <row r="150" spans="1:12">
      <c r="A150" s="20" t="s">
        <v>694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695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727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728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729</v>
      </c>
      <c r="B154" s="27" t="s">
        <v>613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730</v>
      </c>
      <c r="B155" s="27" t="s">
        <v>658</v>
      </c>
      <c r="C155" s="27" t="s">
        <v>697</v>
      </c>
      <c r="D155" s="27" t="s">
        <v>627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731</v>
      </c>
      <c r="B156" s="27" t="s">
        <v>639</v>
      </c>
      <c r="C156" s="27" t="s">
        <v>697</v>
      </c>
      <c r="D156" s="27" t="s">
        <v>627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732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617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733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690</v>
      </c>
      <c r="B160" s="27" t="s">
        <v>662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734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735</v>
      </c>
      <c r="B162" s="27" t="s">
        <v>636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617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736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737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738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739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740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741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617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651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742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743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623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/>
    </row>
    <row r="176" spans="1:12">
      <c r="A176" s="20" t="s">
        <v>744</v>
      </c>
    </row>
    <row r="177" spans="1:12">
      <c r="A177" s="20" t="s">
        <v>715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716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670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745</v>
      </c>
      <c r="B180" s="27" t="s">
        <v>658</v>
      </c>
      <c r="C180" s="27" t="s">
        <v>640</v>
      </c>
      <c r="D180" s="27" t="s">
        <v>627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746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612</v>
      </c>
      <c r="B182" s="27" t="s">
        <v>613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747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748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749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750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617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632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606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751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752</v>
      </c>
      <c r="B191" s="27" t="s">
        <v>653</v>
      </c>
      <c r="C191" s="27" t="s">
        <v>609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753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754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755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712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756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757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623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/>
    </row>
    <row r="200" spans="1:12">
      <c r="A200" s="20" t="s">
        <v>758</v>
      </c>
    </row>
    <row r="201" spans="1:12">
      <c r="A201" s="20" t="s">
        <v>759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682</v>
      </c>
      <c r="B202" s="27" t="s">
        <v>613</v>
      </c>
      <c r="C202" s="27" t="s">
        <v>683</v>
      </c>
      <c r="D202" s="27" t="s">
        <v>627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760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761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/>
    </row>
    <row r="206" spans="1:12">
      <c r="A206" s="20" t="s">
        <v>762</v>
      </c>
    </row>
    <row r="207" spans="1:12">
      <c r="A207" s="20" t="s">
        <v>763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764</v>
      </c>
      <c r="B208" s="27" t="s">
        <v>613</v>
      </c>
      <c r="C208" s="27" t="s">
        <v>650</v>
      </c>
      <c r="D208" s="27" t="s">
        <v>627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765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766</v>
      </c>
      <c r="B210" s="27" t="s">
        <v>647</v>
      </c>
      <c r="C210" s="27" t="s">
        <v>626</v>
      </c>
      <c r="D210" s="27" t="s">
        <v>627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717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629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767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649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623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/>
    </row>
    <row r="217" spans="1:12">
      <c r="A217" s="20" t="s">
        <v>768</v>
      </c>
    </row>
    <row r="218" spans="1:12">
      <c r="A218" s="20" t="s">
        <v>769</v>
      </c>
      <c r="B218" s="27" t="s">
        <v>613</v>
      </c>
      <c r="C218" s="27" t="s">
        <v>626</v>
      </c>
      <c r="D218" s="27" t="s">
        <v>627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64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770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771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623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/>
    </row>
    <row r="224" spans="1:12">
      <c r="A224" s="20" t="s">
        <v>772</v>
      </c>
    </row>
    <row r="225" spans="1:12">
      <c r="A225" s="20" t="s">
        <v>773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774</v>
      </c>
      <c r="B226" s="27" t="s">
        <v>608</v>
      </c>
      <c r="C226" s="27" t="s">
        <v>609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775</v>
      </c>
      <c r="B227" s="27" t="s">
        <v>613</v>
      </c>
      <c r="C227" s="27" t="s">
        <v>626</v>
      </c>
      <c r="D227" s="27" t="s">
        <v>627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776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777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778</v>
      </c>
      <c r="B230" s="27" t="s">
        <v>647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670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779</v>
      </c>
      <c r="B232" s="27" t="s">
        <v>608</v>
      </c>
      <c r="C232" s="27" t="s">
        <v>697</v>
      </c>
      <c r="D232" s="27" t="s">
        <v>627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623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/>
    </row>
    <row r="235" spans="1:12">
      <c r="A235" s="20" t="s">
        <v>780</v>
      </c>
    </row>
    <row r="236" spans="1:12">
      <c r="A236" s="20" t="s">
        <v>781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782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766</v>
      </c>
      <c r="B238" s="27" t="s">
        <v>658</v>
      </c>
      <c r="C238" s="27" t="s">
        <v>626</v>
      </c>
      <c r="D238" s="27" t="s">
        <v>627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737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783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784</v>
      </c>
      <c r="B241" s="27" t="s">
        <v>636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785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786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787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713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617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788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789</v>
      </c>
      <c r="B248" s="27" t="s">
        <v>608</v>
      </c>
      <c r="C248" s="27" t="s">
        <v>609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790</v>
      </c>
      <c r="B249" s="27" t="s">
        <v>647</v>
      </c>
      <c r="C249" s="27" t="s">
        <v>626</v>
      </c>
      <c r="D249" s="27" t="s">
        <v>627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791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792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793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794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795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796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617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670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289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607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651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797</v>
      </c>
      <c r="B261" s="27" t="s">
        <v>798</v>
      </c>
      <c r="C261" s="27" t="s">
        <v>640</v>
      </c>
      <c r="D261" s="27" t="s">
        <v>627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799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800</v>
      </c>
      <c r="B263" s="27" t="s">
        <v>801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802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803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632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804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805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806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807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623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/>
    </row>
    <row r="273" spans="1:12">
      <c r="A273" s="20" t="s">
        <v>808</v>
      </c>
    </row>
    <row r="274" spans="1:12">
      <c r="A274" s="20" t="s">
        <v>605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682</v>
      </c>
      <c r="B275" s="27" t="s">
        <v>608</v>
      </c>
      <c r="C275" s="27" t="s">
        <v>683</v>
      </c>
      <c r="D275" s="27" t="s">
        <v>627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775</v>
      </c>
      <c r="B276" s="27" t="s">
        <v>613</v>
      </c>
      <c r="C276" s="27" t="s">
        <v>626</v>
      </c>
      <c r="D276" s="27" t="s">
        <v>627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809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810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631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623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/>
    </row>
    <row r="282" spans="1:12">
      <c r="A282" s="20" t="s">
        <v>811</v>
      </c>
    </row>
    <row r="283" spans="1:12">
      <c r="A283" s="20" t="s">
        <v>812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289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751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607</v>
      </c>
      <c r="B286" s="27" t="s">
        <v>608</v>
      </c>
      <c r="C286" s="27" t="s">
        <v>650</v>
      </c>
      <c r="D286" s="27" t="s">
        <v>627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775</v>
      </c>
      <c r="B287" s="27" t="s">
        <v>613</v>
      </c>
      <c r="C287" s="27" t="s">
        <v>626</v>
      </c>
      <c r="D287" s="27" t="s">
        <v>627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632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813</v>
      </c>
      <c r="B289" s="27" t="s">
        <v>639</v>
      </c>
      <c r="C289" s="27" t="s">
        <v>640</v>
      </c>
      <c r="D289" s="27" t="s">
        <v>627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814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815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816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617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736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817</v>
      </c>
      <c r="B295" s="27" t="s">
        <v>636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818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819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820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821</v>
      </c>
      <c r="B299" s="27" t="s">
        <v>662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822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623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/>
    </row>
    <row r="303" spans="1:12">
      <c r="A303" s="20" t="s">
        <v>823</v>
      </c>
    </row>
    <row r="304" spans="1:12">
      <c r="A304" s="20" t="s">
        <v>824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617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825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737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826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716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827</v>
      </c>
      <c r="B310" s="27" t="s">
        <v>613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623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/>
    </row>
    <row r="313" spans="1:12">
      <c r="A313" s="20" t="s">
        <v>828</v>
      </c>
    </row>
    <row r="314" spans="1:12">
      <c r="A314" s="20" t="s">
        <v>687</v>
      </c>
      <c r="B314" s="27" t="s">
        <v>613</v>
      </c>
      <c r="C314" s="27" t="s">
        <v>626</v>
      </c>
      <c r="D314" s="27" t="s">
        <v>627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737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826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829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655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830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617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831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832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737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833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834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835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836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623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/>
    </row>
    <row r="330" spans="1:12">
      <c r="A330" s="20" t="s">
        <v>837</v>
      </c>
    </row>
    <row r="331" spans="1:12">
      <c r="A331" s="20" t="s">
        <v>838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839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617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840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617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841</v>
      </c>
      <c r="B336" s="27" t="s">
        <v>647</v>
      </c>
      <c r="C336" s="27" t="s">
        <v>626</v>
      </c>
      <c r="D336" s="27" t="s">
        <v>627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91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842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631</v>
      </c>
      <c r="B339" s="27" t="s">
        <v>662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623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/>
    </row>
    <row r="342" spans="1:12">
      <c r="A342" s="20" t="s">
        <v>843</v>
      </c>
    </row>
    <row r="343" spans="1:12">
      <c r="A343" s="20" t="s">
        <v>844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629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845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846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847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848</v>
      </c>
      <c r="B348" s="27" t="s">
        <v>613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849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850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851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852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766</v>
      </c>
      <c r="B353" s="27" t="s">
        <v>608</v>
      </c>
      <c r="C353" s="27" t="s">
        <v>626</v>
      </c>
      <c r="D353" s="27" t="s">
        <v>627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853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854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617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733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617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855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856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617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775</v>
      </c>
      <c r="B362" s="27" t="s">
        <v>653</v>
      </c>
      <c r="C362" s="27" t="s">
        <v>626</v>
      </c>
      <c r="D362" s="27" t="s">
        <v>627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857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858</v>
      </c>
      <c r="B365" s="27" t="s">
        <v>639</v>
      </c>
      <c r="C365" s="27" t="s">
        <v>609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617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859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48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617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860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634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612</v>
      </c>
      <c r="B372" s="27" t="s">
        <v>861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862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863</v>
      </c>
      <c r="B374" s="27" t="s">
        <v>864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629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865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866</v>
      </c>
      <c r="B377" s="27" t="s">
        <v>867</v>
      </c>
      <c r="C377" s="27" t="s">
        <v>640</v>
      </c>
      <c r="D377" s="27" t="s">
        <v>627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868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761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/>
    </row>
    <row r="381" spans="1:12">
      <c r="A381" s="20" t="s">
        <v>869</v>
      </c>
    </row>
    <row r="382" spans="1:12">
      <c r="A382" s="20" t="s">
        <v>838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775</v>
      </c>
      <c r="B383" s="27" t="s">
        <v>613</v>
      </c>
      <c r="C383" s="27" t="s">
        <v>626</v>
      </c>
      <c r="D383" s="27" t="s">
        <v>627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870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871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872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873</v>
      </c>
      <c r="B387" s="27" t="s">
        <v>608</v>
      </c>
      <c r="C387" s="27" t="s">
        <v>609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623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/>
    </row>
    <row r="390" spans="1:12">
      <c r="A390" s="20" t="s">
        <v>874</v>
      </c>
    </row>
    <row r="391" spans="1:12">
      <c r="A391" s="20" t="s">
        <v>875</v>
      </c>
      <c r="B391" s="27" t="s">
        <v>647</v>
      </c>
      <c r="C391" s="27" t="s">
        <v>683</v>
      </c>
      <c r="D391" s="27" t="s">
        <v>627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872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873</v>
      </c>
      <c r="B393" s="27" t="s">
        <v>613</v>
      </c>
      <c r="C393" s="27" t="s">
        <v>609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876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877</v>
      </c>
      <c r="B395" s="27" t="s">
        <v>647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878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617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879</v>
      </c>
      <c r="B398" s="27" t="s">
        <v>653</v>
      </c>
      <c r="C398" s="27" t="s">
        <v>674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632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637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865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880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623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/>
    </row>
    <row r="405" spans="1:12">
      <c r="A405" s="20" t="s">
        <v>881</v>
      </c>
    </row>
    <row r="406" spans="1:12">
      <c r="A406" s="20" t="s">
        <v>882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107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883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884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623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/>
    </row>
    <row r="412" spans="1:12">
      <c r="A412" s="20" t="s">
        <v>885</v>
      </c>
    </row>
    <row r="413" spans="1:12">
      <c r="A413" s="20" t="s">
        <v>886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887</v>
      </c>
      <c r="B414" s="27" t="s">
        <v>613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617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888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690</v>
      </c>
      <c r="B417" s="27" t="s">
        <v>706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617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637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889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672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890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891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632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892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893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617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894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863</v>
      </c>
      <c r="B429" s="27" t="s">
        <v>895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623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/>
    </row>
    <row r="432" spans="1:12">
      <c r="A432" s="20" t="s">
        <v>896</v>
      </c>
    </row>
    <row r="433" spans="1:12">
      <c r="A433" s="20" t="s">
        <v>897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898</v>
      </c>
      <c r="B434" s="27" t="s">
        <v>608</v>
      </c>
      <c r="C434" s="27" t="s">
        <v>609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899</v>
      </c>
      <c r="B435" s="27" t="s">
        <v>613</v>
      </c>
      <c r="C435" s="27" t="s">
        <v>626</v>
      </c>
      <c r="D435" s="27" t="s">
        <v>627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900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670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901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902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617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736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903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898</v>
      </c>
      <c r="B443" s="27" t="s">
        <v>608</v>
      </c>
      <c r="C443" s="27" t="s">
        <v>609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670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904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905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623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/>
    </row>
    <row r="449" spans="1:12">
      <c r="A449" s="20" t="s">
        <v>906</v>
      </c>
    </row>
    <row r="450" spans="1:12">
      <c r="A450" s="20" t="s">
        <v>907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908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909</v>
      </c>
      <c r="B452" s="27" t="s">
        <v>613</v>
      </c>
      <c r="C452" s="27" t="s">
        <v>650</v>
      </c>
      <c r="D452" s="27" t="s">
        <v>627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910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911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617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632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912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913</v>
      </c>
      <c r="B458" s="27" t="s">
        <v>608</v>
      </c>
      <c r="C458" s="27" t="s">
        <v>683</v>
      </c>
      <c r="D458" s="27" t="s">
        <v>627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617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914</v>
      </c>
      <c r="B460" s="27" t="s">
        <v>653</v>
      </c>
      <c r="C460" s="27" t="s">
        <v>626</v>
      </c>
      <c r="D460" s="27" t="s">
        <v>627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915</v>
      </c>
      <c r="B461" s="27" t="s">
        <v>653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910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916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623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/>
    </row>
    <row r="466" spans="1:12">
      <c r="A466" s="20" t="s">
        <v>917</v>
      </c>
    </row>
    <row r="467" spans="1:12">
      <c r="A467" s="20" t="s">
        <v>918</v>
      </c>
      <c r="B467" s="27" t="s">
        <v>613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757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919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920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921</v>
      </c>
      <c r="B471" s="27" t="s">
        <v>647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617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922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751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920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921</v>
      </c>
      <c r="B476" s="27" t="s">
        <v>662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632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923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924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623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/>
    </row>
    <row r="482" spans="1:12">
      <c r="A482" s="20" t="s">
        <v>925</v>
      </c>
    </row>
    <row r="483" spans="1:12">
      <c r="A483" s="20" t="s">
        <v>926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927</v>
      </c>
      <c r="B484" s="27" t="s">
        <v>613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737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928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929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670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930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931</v>
      </c>
      <c r="B490" s="27" t="s">
        <v>608</v>
      </c>
      <c r="C490" s="27" t="s">
        <v>650</v>
      </c>
      <c r="D490" s="27" t="s">
        <v>627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617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932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632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933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934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623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/>
    </row>
    <row r="498" spans="1:12">
      <c r="A498" s="20" t="s">
        <v>935</v>
      </c>
    </row>
    <row r="499" spans="1:12">
      <c r="A499" s="20" t="s">
        <v>936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937</v>
      </c>
      <c r="B500" s="27" t="s">
        <v>608</v>
      </c>
      <c r="C500" s="27" t="s">
        <v>626</v>
      </c>
      <c r="D500" s="27" t="s">
        <v>627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938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939</v>
      </c>
      <c r="B502" s="27" t="s">
        <v>647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940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126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670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908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941</v>
      </c>
      <c r="B507" s="27" t="s">
        <v>608</v>
      </c>
      <c r="C507" s="27" t="s">
        <v>650</v>
      </c>
      <c r="D507" s="27" t="s">
        <v>627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623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/>
    </row>
    <row r="510" spans="1:12">
      <c r="A510" s="20" t="s">
        <v>942</v>
      </c>
    </row>
    <row r="511" spans="1:12">
      <c r="A511" s="20" t="s">
        <v>824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617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899</v>
      </c>
      <c r="B513" s="27" t="s">
        <v>613</v>
      </c>
      <c r="C513" s="27" t="s">
        <v>626</v>
      </c>
      <c r="D513" s="27" t="s">
        <v>627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943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136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821</v>
      </c>
      <c r="B516" s="27" t="s">
        <v>662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623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/>
    </row>
    <row r="519" spans="1:12">
      <c r="A519" s="20" t="s">
        <v>944</v>
      </c>
    </row>
    <row r="520" spans="1:12">
      <c r="A520" s="20" t="s">
        <v>945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946</v>
      </c>
      <c r="B521" s="27" t="s">
        <v>636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947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670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948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617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922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751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949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887</v>
      </c>
      <c r="B529" s="27" t="s">
        <v>613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950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951</v>
      </c>
      <c r="B531" s="27" t="s">
        <v>647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11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952</v>
      </c>
      <c r="B533" s="27" t="s">
        <v>608</v>
      </c>
      <c r="C533" s="27" t="s">
        <v>609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953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954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955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623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/>
    </row>
    <row r="539" spans="1:12">
      <c r="A539" s="20" t="s">
        <v>956</v>
      </c>
    </row>
    <row r="540" spans="1:12">
      <c r="A540" s="20" t="s">
        <v>957</v>
      </c>
      <c r="B540" s="27" t="s">
        <v>613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672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866</v>
      </c>
      <c r="B542" s="27" t="s">
        <v>639</v>
      </c>
      <c r="C542" s="27" t="s">
        <v>640</v>
      </c>
      <c r="D542" s="27" t="s">
        <v>627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958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737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928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959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960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712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961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617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932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962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963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964</v>
      </c>
      <c r="B554" s="27" t="s">
        <v>662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623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/>
    </row>
    <row r="557" spans="1:12">
      <c r="A557" s="20" t="s">
        <v>965</v>
      </c>
    </row>
    <row r="558" spans="1:12">
      <c r="A558" s="20" t="s">
        <v>715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716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144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966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967</v>
      </c>
      <c r="B562" s="27" t="s">
        <v>662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617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968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802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969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672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958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970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623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/>
    </row>
    <row r="572" spans="1:12">
      <c r="A572" s="20" t="s">
        <v>971</v>
      </c>
    </row>
    <row r="573" spans="1:12">
      <c r="A573" s="20" t="s">
        <v>681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972</v>
      </c>
      <c r="B574" s="27" t="s">
        <v>613</v>
      </c>
      <c r="C574" s="27" t="s">
        <v>626</v>
      </c>
      <c r="D574" s="27" t="s">
        <v>627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737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973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148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802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974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975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623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/>
    </row>
    <row r="583" spans="1:12">
      <c r="A583" s="20" t="s">
        <v>976</v>
      </c>
    </row>
    <row r="584" spans="1:12">
      <c r="A584" s="20" t="s">
        <v>977</v>
      </c>
      <c r="B584" s="27" t="s">
        <v>613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978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979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670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980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981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802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982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983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617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984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617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985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617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858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617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736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986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987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988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623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/>
    </row>
    <row r="606" spans="1:12">
      <c r="A606" s="20" t="s">
        <v>989</v>
      </c>
    </row>
    <row r="607" spans="1:12">
      <c r="A607" s="20" t="s">
        <v>990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733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991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887</v>
      </c>
      <c r="B610" s="27" t="s">
        <v>613</v>
      </c>
      <c r="C610" s="27" t="s">
        <v>650</v>
      </c>
      <c r="D610" s="27" t="s">
        <v>627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992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993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994</v>
      </c>
      <c r="B613" s="27" t="s">
        <v>647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852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995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617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651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632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996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617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707</v>
      </c>
      <c r="B621" s="27" t="s">
        <v>653</v>
      </c>
      <c r="C621" s="27" t="s">
        <v>674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866</v>
      </c>
      <c r="B622" s="27" t="s">
        <v>706</v>
      </c>
      <c r="C622" s="27" t="s">
        <v>626</v>
      </c>
      <c r="D622" s="27" t="s">
        <v>627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997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623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/>
    </row>
    <row r="626" spans="1:12">
      <c r="A626" s="20" t="s">
        <v>998</v>
      </c>
    </row>
    <row r="627" spans="1:12">
      <c r="A627" s="20" t="s">
        <v>999</v>
      </c>
      <c r="B627" s="27" t="s">
        <v>613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713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670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1000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734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928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55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1001</v>
      </c>
      <c r="B634" s="27" t="s">
        <v>608</v>
      </c>
      <c r="C634" s="27" t="s">
        <v>609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631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623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/>
    </row>
    <row r="638" spans="1:12">
      <c r="A638" s="20" t="s">
        <v>1002</v>
      </c>
    </row>
    <row r="639" spans="1:12">
      <c r="A639" s="20" t="s">
        <v>838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652</v>
      </c>
      <c r="B640" s="27" t="s">
        <v>613</v>
      </c>
      <c r="C640" s="27" t="s">
        <v>626</v>
      </c>
      <c r="D640" s="27" t="s">
        <v>627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1003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1004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1005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1006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1007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1008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909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617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1009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852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1010</v>
      </c>
      <c r="B651" s="27" t="s">
        <v>709</v>
      </c>
      <c r="C651" s="27" t="s">
        <v>640</v>
      </c>
      <c r="D651" s="27" t="s">
        <v>627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1011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623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/>
    </row>
    <row r="655" spans="1:12">
      <c r="A655" s="20" t="s">
        <v>1012</v>
      </c>
    </row>
    <row r="656" spans="1:12">
      <c r="A656" s="20" t="s">
        <v>1013</v>
      </c>
      <c r="B656" s="27" t="s">
        <v>613</v>
      </c>
      <c r="C656" s="27" t="s">
        <v>626</v>
      </c>
      <c r="D656" s="27" t="s">
        <v>627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617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1014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617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1015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617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1016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617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1017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652</v>
      </c>
      <c r="B665" s="27" t="s">
        <v>636</v>
      </c>
      <c r="C665" s="27" t="s">
        <v>626</v>
      </c>
      <c r="D665" s="27" t="s">
        <v>627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737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1018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1019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176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648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1020</v>
      </c>
      <c r="B671" s="27" t="s">
        <v>639</v>
      </c>
      <c r="C671" s="27" t="s">
        <v>650</v>
      </c>
      <c r="D671" s="27" t="s">
        <v>627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617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1021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1022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735</v>
      </c>
      <c r="B675" s="27" t="s">
        <v>708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761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/>
    </row>
    <row r="678" spans="1:12">
      <c r="A678" s="20" t="s">
        <v>1023</v>
      </c>
    </row>
    <row r="679" spans="1:12">
      <c r="A679" s="20" t="s">
        <v>1024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761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/>
    </row>
    <row r="682" spans="1:12">
      <c r="A682" s="20" t="s">
        <v>1025</v>
      </c>
    </row>
    <row r="683" spans="1:12">
      <c r="A683" s="20" t="s">
        <v>687</v>
      </c>
      <c r="B683" s="27" t="s">
        <v>613</v>
      </c>
      <c r="C683" s="27" t="s">
        <v>626</v>
      </c>
      <c r="D683" s="27" t="s">
        <v>627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751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1026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1027</v>
      </c>
      <c r="B686" s="27" t="s">
        <v>647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617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1021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1028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1029</v>
      </c>
      <c r="B690" s="27" t="s">
        <v>653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1030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617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740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1031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623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/>
    </row>
    <row r="697" spans="1:12">
      <c r="A697" s="20" t="s">
        <v>1032</v>
      </c>
    </row>
    <row r="698" spans="1:12">
      <c r="A698" s="20" t="s">
        <v>681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1033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617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1034</v>
      </c>
      <c r="B701" s="27" t="s">
        <v>613</v>
      </c>
      <c r="C701" s="27" t="s">
        <v>626</v>
      </c>
      <c r="D701" s="27" t="s">
        <v>627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1035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670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1036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617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632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1037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657</v>
      </c>
      <c r="B708" s="27" t="s">
        <v>658</v>
      </c>
      <c r="C708" s="27" t="s">
        <v>609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617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1038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802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1039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617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1034</v>
      </c>
      <c r="B714" s="27" t="s">
        <v>636</v>
      </c>
      <c r="C714" s="27" t="s">
        <v>626</v>
      </c>
      <c r="D714" s="27" t="s">
        <v>627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1040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1041</v>
      </c>
      <c r="B716" s="27" t="s">
        <v>662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802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1042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1043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1044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1045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623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/>
    </row>
    <row r="724" spans="1:12">
      <c r="A724" s="20" t="s">
        <v>1046</v>
      </c>
    </row>
    <row r="725" spans="1:12">
      <c r="A725" s="20" t="s">
        <v>1047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751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1041</v>
      </c>
      <c r="B727" s="27" t="s">
        <v>613</v>
      </c>
      <c r="C727" s="27" t="s">
        <v>650</v>
      </c>
      <c r="D727" s="27" t="s">
        <v>627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1048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1049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617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740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617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1050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617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1051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617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632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192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1052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1053</v>
      </c>
      <c r="B740" s="27" t="s">
        <v>636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623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/>
    </row>
    <row r="743" spans="1:12">
      <c r="A743" s="20" t="s">
        <v>1054</v>
      </c>
    </row>
    <row r="744" spans="1:12">
      <c r="A744" s="20" t="s">
        <v>1055</v>
      </c>
      <c r="B744" s="27" t="s">
        <v>613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712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1056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1057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1058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623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/>
    </row>
    <row r="751" spans="1:12">
      <c r="A751" s="20" t="s">
        <v>1059</v>
      </c>
    </row>
    <row r="752" spans="1:12">
      <c r="A752" s="20" t="s">
        <v>1060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632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606</v>
      </c>
      <c r="B754" s="27" t="s">
        <v>613</v>
      </c>
      <c r="C754" s="27" t="s">
        <v>626</v>
      </c>
      <c r="D754" s="27" t="s">
        <v>627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623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/>
    </row>
    <row r="757" spans="1:12">
      <c r="A757" s="20" t="s">
        <v>1061</v>
      </c>
    </row>
    <row r="758" spans="1:12">
      <c r="A758" s="20" t="s">
        <v>1013</v>
      </c>
      <c r="B758" s="27" t="s">
        <v>613</v>
      </c>
      <c r="C758" s="27" t="s">
        <v>626</v>
      </c>
      <c r="D758" s="27" t="s">
        <v>627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1062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1063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1064</v>
      </c>
      <c r="B761" s="27" t="s">
        <v>647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852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1065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631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1066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802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1067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1068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1045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623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/>
    </row>
    <row r="772" spans="1:12">
      <c r="A772" s="20" t="s">
        <v>1069</v>
      </c>
    </row>
    <row r="773" spans="1:12">
      <c r="A773" s="20" t="s">
        <v>990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733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1070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712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908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836</v>
      </c>
      <c r="B778" s="27" t="s">
        <v>658</v>
      </c>
      <c r="C778" s="27" t="s">
        <v>650</v>
      </c>
      <c r="D778" s="27" t="s">
        <v>627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737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922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1019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623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/>
    </row>
    <row r="784" spans="1:12">
      <c r="A784" s="20" t="s">
        <v>1071</v>
      </c>
    </row>
    <row r="785" spans="1:12">
      <c r="A785" s="20" t="s">
        <v>1072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12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1073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652</v>
      </c>
      <c r="B788" s="27" t="s">
        <v>613</v>
      </c>
      <c r="C788" s="27" t="s">
        <v>626</v>
      </c>
      <c r="D788" s="27" t="s">
        <v>627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1074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1075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852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1076</v>
      </c>
      <c r="B792" s="27" t="s">
        <v>608</v>
      </c>
      <c r="C792" s="27" t="s">
        <v>626</v>
      </c>
      <c r="D792" s="27" t="s">
        <v>627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1077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1078</v>
      </c>
      <c r="B794" s="27" t="s">
        <v>613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1011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623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/>
    </row>
    <row r="798" spans="1:12">
      <c r="A798" s="20" t="s">
        <v>1079</v>
      </c>
    </row>
    <row r="799" spans="1:12">
      <c r="A799" s="20" t="s">
        <v>1080</v>
      </c>
      <c r="B799" s="27" t="s">
        <v>613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1081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737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928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629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1082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1083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1084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617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932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632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629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1085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623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/>
    </row>
    <row r="814" spans="1:12">
      <c r="A814" s="20" t="s">
        <v>1086</v>
      </c>
    </row>
    <row r="815" spans="1:12">
      <c r="A815" s="20" t="s">
        <v>1087</v>
      </c>
      <c r="B815" s="27" t="s">
        <v>613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1088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1089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1090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632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1091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1092</v>
      </c>
      <c r="B821" s="27" t="s">
        <v>613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1093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617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632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192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860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623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/>
    </row>
    <row r="829" spans="1:12">
      <c r="A829" s="20" t="s">
        <v>1094</v>
      </c>
    </row>
    <row r="830" spans="1:12">
      <c r="A830" s="20" t="s">
        <v>1095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1034</v>
      </c>
      <c r="B831" s="27" t="s">
        <v>636</v>
      </c>
      <c r="C831" s="27" t="s">
        <v>626</v>
      </c>
      <c r="D831" s="27" t="s">
        <v>627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1096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617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782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1097</v>
      </c>
      <c r="B835" s="27" t="s">
        <v>608</v>
      </c>
      <c r="C835" s="27" t="s">
        <v>626</v>
      </c>
      <c r="D835" s="27" t="s">
        <v>627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615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1098</v>
      </c>
      <c r="B837" s="27" t="s">
        <v>613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1099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690</v>
      </c>
      <c r="B839" s="27" t="s">
        <v>706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623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/>
    </row>
    <row r="842" spans="1:12">
      <c r="A842" s="20" t="s">
        <v>1100</v>
      </c>
    </row>
    <row r="843" spans="1:12">
      <c r="A843" s="20" t="s">
        <v>1095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1034</v>
      </c>
      <c r="B844" s="27" t="s">
        <v>636</v>
      </c>
      <c r="C844" s="27" t="s">
        <v>626</v>
      </c>
      <c r="D844" s="27" t="s">
        <v>627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1096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617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1034</v>
      </c>
      <c r="B847" s="27" t="s">
        <v>613</v>
      </c>
      <c r="C847" s="27" t="s">
        <v>626</v>
      </c>
      <c r="D847" s="27" t="s">
        <v>627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617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1101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1102</v>
      </c>
      <c r="B850" s="27" t="s">
        <v>658</v>
      </c>
      <c r="C850" s="27" t="s">
        <v>626</v>
      </c>
      <c r="D850" s="27" t="s">
        <v>627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617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1035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670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1103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1104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617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802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1105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617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1021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1106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1107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1108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1109</v>
      </c>
      <c r="B864" s="27" t="s">
        <v>801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623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/>
    </row>
    <row r="867" spans="1:12">
      <c r="A867" s="20" t="s">
        <v>1110</v>
      </c>
    </row>
    <row r="868" spans="1:12">
      <c r="A868" s="20" t="s">
        <v>812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1111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1112</v>
      </c>
      <c r="B870" s="27" t="s">
        <v>608</v>
      </c>
      <c r="C870" s="27" t="s">
        <v>683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632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1113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735</v>
      </c>
      <c r="B873" s="27" t="s">
        <v>613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623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/>
    </row>
    <row r="876" spans="1:12">
      <c r="A876" s="20" t="s">
        <v>1114</v>
      </c>
    </row>
    <row r="877" spans="1:12">
      <c r="A877" s="20" t="s">
        <v>936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1097</v>
      </c>
      <c r="B878" s="27" t="s">
        <v>608</v>
      </c>
      <c r="C878" s="27" t="s">
        <v>626</v>
      </c>
      <c r="D878" s="27" t="s">
        <v>627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617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1101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1102</v>
      </c>
      <c r="B881" s="27" t="s">
        <v>658</v>
      </c>
      <c r="C881" s="27" t="s">
        <v>626</v>
      </c>
      <c r="D881" s="27" t="s">
        <v>627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617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227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1115</v>
      </c>
      <c r="B884" s="27" t="s">
        <v>613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802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1116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632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1117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623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/>
    </row>
    <row r="891" spans="1:12">
      <c r="A891" s="20" t="s">
        <v>1118</v>
      </c>
    </row>
    <row r="892" spans="1:12">
      <c r="A892" s="20" t="s">
        <v>936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1097</v>
      </c>
      <c r="B893" s="27" t="s">
        <v>608</v>
      </c>
      <c r="C893" s="27" t="s">
        <v>626</v>
      </c>
      <c r="D893" s="27" t="s">
        <v>627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617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1101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1102</v>
      </c>
      <c r="B896" s="27" t="s">
        <v>658</v>
      </c>
      <c r="C896" s="27" t="s">
        <v>626</v>
      </c>
      <c r="D896" s="27" t="s">
        <v>627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617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227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1119</v>
      </c>
      <c r="B899" s="27" t="s">
        <v>613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617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632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1120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1121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1122</v>
      </c>
      <c r="B904" s="27" t="s">
        <v>662</v>
      </c>
      <c r="C904" s="27" t="s">
        <v>609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1034</v>
      </c>
      <c r="B905" s="27" t="s">
        <v>636</v>
      </c>
      <c r="C905" s="27" t="s">
        <v>626</v>
      </c>
      <c r="D905" s="27" t="s">
        <v>627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1123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802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1124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623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/>
    </row>
    <row r="911" spans="1:12">
      <c r="A911" s="20" t="s">
        <v>1125</v>
      </c>
    </row>
    <row r="912" spans="1:12">
      <c r="A912" s="20" t="s">
        <v>844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1097</v>
      </c>
      <c r="B913" s="27" t="s">
        <v>647</v>
      </c>
      <c r="C913" s="27" t="s">
        <v>626</v>
      </c>
      <c r="D913" s="27" t="s">
        <v>627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1126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1127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735</v>
      </c>
      <c r="B916" s="27" t="s">
        <v>613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623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/>
    </row>
    <row r="919" spans="1:12">
      <c r="A919" s="20" t="s">
        <v>1128</v>
      </c>
    </row>
    <row r="920" spans="1:12">
      <c r="A920" s="20" t="s">
        <v>1129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1130</v>
      </c>
      <c r="B921" s="27" t="s">
        <v>608</v>
      </c>
      <c r="C921" s="27" t="s">
        <v>683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617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1131</v>
      </c>
      <c r="B923" s="27" t="s">
        <v>613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1132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713</v>
      </c>
      <c r="B925" s="27" t="s">
        <v>647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617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932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1133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652</v>
      </c>
      <c r="B929" s="27" t="s">
        <v>636</v>
      </c>
      <c r="C929" s="27" t="s">
        <v>626</v>
      </c>
      <c r="D929" s="27" t="s">
        <v>627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1003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617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733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612</v>
      </c>
      <c r="B933" s="27" t="s">
        <v>653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1134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1135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785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1136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623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/>
    </row>
    <row r="940" spans="1:12">
      <c r="A940" s="20" t="s">
        <v>1137</v>
      </c>
    </row>
    <row r="941" spans="1:12">
      <c r="A941" s="20" t="s">
        <v>1138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617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1139</v>
      </c>
      <c r="B943" s="27" t="s">
        <v>613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1140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1141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802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1142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1143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617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1144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1145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913</v>
      </c>
      <c r="B952" s="27" t="s">
        <v>658</v>
      </c>
      <c r="C952" s="27" t="s">
        <v>683</v>
      </c>
      <c r="D952" s="27" t="s">
        <v>627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617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831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523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670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1146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617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1147</v>
      </c>
      <c r="B959" s="27" t="s">
        <v>636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1148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1045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670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1149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623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/>
    </row>
    <row r="966" spans="1:12">
      <c r="A966" s="20" t="s">
        <v>1150</v>
      </c>
    </row>
    <row r="967" spans="1:12">
      <c r="A967" s="20" t="s">
        <v>1151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617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612</v>
      </c>
      <c r="B969" s="27" t="s">
        <v>613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1152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1153</v>
      </c>
      <c r="B971" s="27" t="s">
        <v>647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632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1154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1155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1156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623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/>
    </row>
    <row r="978" spans="1:12">
      <c r="A978" s="20" t="s">
        <v>1157</v>
      </c>
    </row>
    <row r="979" spans="1:12">
      <c r="A979" s="20" t="s">
        <v>1158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922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1159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617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733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652</v>
      </c>
      <c r="B984" s="27" t="s">
        <v>636</v>
      </c>
      <c r="C984" s="27" t="s">
        <v>626</v>
      </c>
      <c r="D984" s="27" t="s">
        <v>627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1160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1161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1162</v>
      </c>
      <c r="B987" s="27" t="s">
        <v>706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681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606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1163</v>
      </c>
      <c r="B990" s="27" t="s">
        <v>653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1164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1165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1166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1167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1168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617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1167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1169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617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1167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1170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883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712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1102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1171</v>
      </c>
      <c r="B1005" s="27" t="s">
        <v>1172</v>
      </c>
      <c r="C1005" s="27" t="s">
        <v>683</v>
      </c>
      <c r="D1005" s="27" t="s">
        <v>627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1173</v>
      </c>
      <c r="B1006" s="27" t="s">
        <v>861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1174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623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/>
    </row>
    <row r="1010" spans="1:12">
      <c r="A1010" s="20" t="s">
        <v>1175</v>
      </c>
    </row>
    <row r="1011" spans="1:12">
      <c r="A1011" s="20" t="s">
        <v>681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1176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1177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690</v>
      </c>
      <c r="B1014" s="27" t="s">
        <v>662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617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1178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1179</v>
      </c>
      <c r="B1017" s="27" t="s">
        <v>613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632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712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1154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1180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623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/>
    </row>
    <row r="1024" spans="1:12">
      <c r="A1024" s="20" t="s">
        <v>1181</v>
      </c>
    </row>
    <row r="1025" spans="1:12">
      <c r="A1025" s="20" t="s">
        <v>1182</v>
      </c>
      <c r="B1025" s="27" t="s">
        <v>613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1183</v>
      </c>
      <c r="B1026" s="27" t="s">
        <v>658</v>
      </c>
      <c r="C1026" s="27" t="s">
        <v>697</v>
      </c>
      <c r="D1026" s="27" t="s">
        <v>627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1184</v>
      </c>
      <c r="B1027" s="27" t="s">
        <v>639</v>
      </c>
      <c r="C1027" s="27" t="s">
        <v>697</v>
      </c>
      <c r="D1027" s="27" t="s">
        <v>627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1185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617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651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634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991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1186</v>
      </c>
      <c r="B1033" s="27" t="s">
        <v>636</v>
      </c>
      <c r="C1033" s="27" t="s">
        <v>650</v>
      </c>
      <c r="D1033" s="27" t="s">
        <v>627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1187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802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1162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670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1188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623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/>
    </row>
    <row r="1041" spans="1:12">
      <c r="A1041" s="20" t="s">
        <v>1189</v>
      </c>
    </row>
    <row r="1042" spans="1:12">
      <c r="A1042" s="20" t="s">
        <v>1095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670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1190</v>
      </c>
      <c r="B1044" s="27" t="s">
        <v>639</v>
      </c>
      <c r="C1044" s="27" t="s">
        <v>640</v>
      </c>
      <c r="D1044" s="27" t="s">
        <v>627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1191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716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612</v>
      </c>
      <c r="B1047" s="27" t="s">
        <v>636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617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1192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1193</v>
      </c>
      <c r="B1050" s="27" t="s">
        <v>613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1194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677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1195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1196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1197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670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671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617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632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922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671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953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1198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1199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1200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928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713</v>
      </c>
      <c r="B1067" s="27" t="s">
        <v>608</v>
      </c>
      <c r="C1067" s="27" t="s">
        <v>609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623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/>
    </row>
    <row r="1070" spans="1:12">
      <c r="A1070" s="20" t="s">
        <v>1201</v>
      </c>
    </row>
    <row r="1071" spans="1:12">
      <c r="A1071" s="20" t="s">
        <v>875</v>
      </c>
      <c r="B1071" s="27" t="s">
        <v>613</v>
      </c>
      <c r="C1071" s="27" t="s">
        <v>683</v>
      </c>
      <c r="D1071" s="27" t="s">
        <v>627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1202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265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629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1203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1204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1205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623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/>
    </row>
    <row r="1080" spans="1:12">
      <c r="A1080" s="20" t="s">
        <v>1206</v>
      </c>
    </row>
    <row r="1081" spans="1:12">
      <c r="A1081" s="20" t="s">
        <v>1207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1176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617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1208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617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1034</v>
      </c>
      <c r="B1086" s="27" t="s">
        <v>636</v>
      </c>
      <c r="C1086" s="27" t="s">
        <v>626</v>
      </c>
      <c r="D1086" s="27" t="s">
        <v>627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1209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1210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967</v>
      </c>
      <c r="B1089" s="27" t="s">
        <v>662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740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1211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617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651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269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1212</v>
      </c>
      <c r="B1095" s="27" t="s">
        <v>647</v>
      </c>
      <c r="C1095" s="27" t="s">
        <v>626</v>
      </c>
      <c r="D1095" s="27" t="s">
        <v>627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785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1213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1214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617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1176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227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1215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1216</v>
      </c>
      <c r="B1103" s="27" t="s">
        <v>636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617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227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1217</v>
      </c>
      <c r="B1106" s="27" t="s">
        <v>653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617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227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1119</v>
      </c>
      <c r="B1109" s="27" t="s">
        <v>653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761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/>
    </row>
    <row r="1112" spans="1:12">
      <c r="A1112" s="20" t="s">
        <v>1218</v>
      </c>
    </row>
    <row r="1113" spans="1:12">
      <c r="A1113" s="20" t="s">
        <v>1219</v>
      </c>
      <c r="B1113" s="27" t="s">
        <v>647</v>
      </c>
      <c r="C1113" s="27" t="s">
        <v>674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273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617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1176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227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632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1220</v>
      </c>
      <c r="B1119" s="27" t="s">
        <v>636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617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831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1221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1222</v>
      </c>
      <c r="B1123" s="27" t="s">
        <v>706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617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227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1223</v>
      </c>
      <c r="B1126" s="27" t="s">
        <v>801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617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227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1224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1225</v>
      </c>
      <c r="B1130" s="27" t="s">
        <v>801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761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/>
    </row>
    <row r="1133" spans="1:12">
      <c r="A1133" s="20" t="s">
        <v>1226</v>
      </c>
    </row>
    <row r="1134" spans="1:12">
      <c r="A1134" s="20" t="s">
        <v>945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269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967</v>
      </c>
      <c r="B1136" s="27" t="s">
        <v>647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1227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761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/>
    </row>
    <row r="1140" spans="1:12">
      <c r="A1140" s="20" t="s">
        <v>1228</v>
      </c>
    </row>
    <row r="1141" spans="1:12">
      <c r="A1141" s="20" t="s">
        <v>1229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682</v>
      </c>
      <c r="B1142" s="27" t="s">
        <v>613</v>
      </c>
      <c r="C1142" s="27" t="s">
        <v>683</v>
      </c>
      <c r="D1142" s="27" t="s">
        <v>627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910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1230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670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1231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629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1232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623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/>
    </row>
    <row r="1151" spans="1:12">
      <c r="A1151" s="20" t="s">
        <v>1233</v>
      </c>
    </row>
    <row r="1152" spans="1:12">
      <c r="A1152" s="20" t="s">
        <v>1234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1235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1082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632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1085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1236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617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716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632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691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1237</v>
      </c>
      <c r="B1162" s="27" t="s">
        <v>613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883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1238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617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632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617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633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617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634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1006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1239</v>
      </c>
      <c r="B1172" s="27" t="s">
        <v>709</v>
      </c>
      <c r="C1172" s="27" t="s">
        <v>626</v>
      </c>
      <c r="D1172" s="27" t="s">
        <v>627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1173</v>
      </c>
      <c r="B1173" s="27" t="s">
        <v>801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1240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301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1241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1102</v>
      </c>
      <c r="B1177" s="27" t="s">
        <v>709</v>
      </c>
      <c r="C1177" s="27" t="s">
        <v>626</v>
      </c>
      <c r="D1177" s="27" t="s">
        <v>627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623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/>
    </row>
    <row r="1180" spans="1:12">
      <c r="A1180" s="20" t="s">
        <v>1242</v>
      </c>
    </row>
    <row r="1181" spans="1:12">
      <c r="A1181" s="20" t="s">
        <v>1243</v>
      </c>
      <c r="B1181" s="27" t="s">
        <v>613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670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1244</v>
      </c>
      <c r="B1183" s="27" t="s">
        <v>608</v>
      </c>
      <c r="C1183" s="27" t="s">
        <v>683</v>
      </c>
      <c r="D1183" s="27" t="s">
        <v>627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617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733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1173</v>
      </c>
      <c r="B1186" s="27" t="s">
        <v>636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617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1245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670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1065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1246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617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1241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1102</v>
      </c>
      <c r="B1194" s="27" t="s">
        <v>639</v>
      </c>
      <c r="C1194" s="27" t="s">
        <v>626</v>
      </c>
      <c r="D1194" s="27" t="s">
        <v>627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1006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1239</v>
      </c>
      <c r="B1196" s="27" t="s">
        <v>639</v>
      </c>
      <c r="C1196" s="27" t="s">
        <v>626</v>
      </c>
      <c r="D1196" s="27" t="s">
        <v>627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1247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623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/>
    </row>
    <row r="1200" spans="1:12">
      <c r="A1200" s="20" t="s">
        <v>1248</v>
      </c>
    </row>
    <row r="1201" spans="1:12">
      <c r="A1201" s="20" t="s">
        <v>1249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1250</v>
      </c>
      <c r="B1202" s="27" t="s">
        <v>613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1251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632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1251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1252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629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1253</v>
      </c>
      <c r="B1208" s="27" t="s">
        <v>608</v>
      </c>
      <c r="C1208" s="27" t="s">
        <v>683</v>
      </c>
      <c r="D1208" s="27" t="s">
        <v>627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623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/>
    </row>
    <row r="1211" spans="1:12">
      <c r="A1211" s="20" t="s">
        <v>1254</v>
      </c>
    </row>
    <row r="1212" spans="1:12">
      <c r="A1212" s="20" t="s">
        <v>1255</v>
      </c>
      <c r="B1212" s="27" t="s">
        <v>613</v>
      </c>
      <c r="C1212" s="27" t="s">
        <v>626</v>
      </c>
      <c r="D1212" s="27" t="s">
        <v>627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1256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754</v>
      </c>
      <c r="B1214" s="27" t="s">
        <v>647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617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1257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670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1065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1246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1166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1258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1034</v>
      </c>
      <c r="B1222" s="27" t="s">
        <v>708</v>
      </c>
      <c r="C1222" s="27" t="s">
        <v>626</v>
      </c>
      <c r="D1222" s="27" t="s">
        <v>627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1259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785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713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761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1260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681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1261</v>
      </c>
      <c r="B1229" s="27" t="s">
        <v>1262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737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1263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1166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1264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1265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622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617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1266</v>
      </c>
      <c r="B1237" s="27" t="s">
        <v>1267</v>
      </c>
      <c r="C1237" s="27" t="s">
        <v>674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652</v>
      </c>
      <c r="B1238" s="27" t="s">
        <v>1268</v>
      </c>
      <c r="C1238" s="27" t="s">
        <v>626</v>
      </c>
      <c r="D1238" s="27" t="s">
        <v>627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910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1269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623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/>
    </row>
    <row r="1243" spans="1:12">
      <c r="A1243" s="20" t="s">
        <v>1270</v>
      </c>
    </row>
    <row r="1244" spans="1:12">
      <c r="A1244" s="20" t="s">
        <v>1255</v>
      </c>
      <c r="B1244" s="27" t="s">
        <v>613</v>
      </c>
      <c r="C1244" s="27" t="s">
        <v>626</v>
      </c>
      <c r="D1244" s="27" t="s">
        <v>627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1271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1166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1272</v>
      </c>
      <c r="B1247" s="27" t="s">
        <v>636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883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682</v>
      </c>
      <c r="B1249" s="27" t="s">
        <v>658</v>
      </c>
      <c r="C1249" s="27" t="s">
        <v>683</v>
      </c>
      <c r="D1249" s="27" t="s">
        <v>627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1273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1274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1275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623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/>
    </row>
    <row r="1255" spans="1:12">
      <c r="A1255" s="20" t="s">
        <v>1276</v>
      </c>
    </row>
    <row r="1256" spans="1:12">
      <c r="A1256" s="20" t="s">
        <v>838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192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1277</v>
      </c>
      <c r="B1258" s="27" t="s">
        <v>613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672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1278</v>
      </c>
      <c r="B1260" s="27" t="s">
        <v>639</v>
      </c>
      <c r="C1260" s="27" t="s">
        <v>640</v>
      </c>
      <c r="D1260" s="27" t="s">
        <v>627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1279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1280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623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/>
    </row>
    <row r="1265" spans="1:12">
      <c r="A1265" s="20" t="s">
        <v>1281</v>
      </c>
    </row>
    <row r="1266" spans="1:12">
      <c r="A1266" s="20" t="s">
        <v>1282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775</v>
      </c>
      <c r="B1267" s="27" t="s">
        <v>636</v>
      </c>
      <c r="C1267" s="27" t="s">
        <v>626</v>
      </c>
      <c r="D1267" s="27" t="s">
        <v>627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1283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1284</v>
      </c>
      <c r="B1269" s="27" t="s">
        <v>662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670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779</v>
      </c>
      <c r="B1271" s="27" t="s">
        <v>658</v>
      </c>
      <c r="C1271" s="27" t="s">
        <v>697</v>
      </c>
      <c r="D1271" s="27" t="s">
        <v>627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1006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1244</v>
      </c>
      <c r="B1273" s="27" t="s">
        <v>658</v>
      </c>
      <c r="C1273" s="27" t="s">
        <v>683</v>
      </c>
      <c r="D1273" s="27" t="s">
        <v>627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617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733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1285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1286</v>
      </c>
      <c r="B1277" s="27" t="s">
        <v>895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1287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690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617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914</v>
      </c>
      <c r="B1281" s="27" t="s">
        <v>613</v>
      </c>
      <c r="C1281" s="27" t="s">
        <v>626</v>
      </c>
      <c r="D1281" s="27" t="s">
        <v>627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1288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802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766</v>
      </c>
      <c r="B1284" s="27" t="s">
        <v>608</v>
      </c>
      <c r="C1284" s="27" t="s">
        <v>626</v>
      </c>
      <c r="D1284" s="27" t="s">
        <v>627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922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617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1289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775</v>
      </c>
      <c r="B1288" s="27" t="s">
        <v>653</v>
      </c>
      <c r="C1288" s="27" t="s">
        <v>626</v>
      </c>
      <c r="D1288" s="27" t="s">
        <v>627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1290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312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1286</v>
      </c>
      <c r="B1291" s="27" t="s">
        <v>895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1006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1291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623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/>
    </row>
    <row r="1296" spans="1:12">
      <c r="A1296" s="20" t="s">
        <v>1292</v>
      </c>
    </row>
    <row r="1297" spans="1:12">
      <c r="A1297" s="20" t="s">
        <v>715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716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617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1293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1294</v>
      </c>
      <c r="B1301" s="27" t="s">
        <v>647</v>
      </c>
      <c r="C1301" s="27" t="s">
        <v>626</v>
      </c>
      <c r="D1301" s="27" t="s">
        <v>627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312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1006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1295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1296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1297</v>
      </c>
      <c r="B1306" s="27" t="s">
        <v>608</v>
      </c>
      <c r="C1306" s="27" t="s">
        <v>683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617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1296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1298</v>
      </c>
      <c r="B1309" s="27" t="s">
        <v>658</v>
      </c>
      <c r="C1309" s="27" t="s">
        <v>683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761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/>
    </row>
    <row r="1312" spans="1:12">
      <c r="A1312" s="20" t="s">
        <v>1299</v>
      </c>
    </row>
    <row r="1313" spans="1:12">
      <c r="A1313" s="20" t="s">
        <v>875</v>
      </c>
      <c r="B1313" s="27" t="s">
        <v>613</v>
      </c>
      <c r="C1313" s="27" t="s">
        <v>683</v>
      </c>
      <c r="D1313" s="27" t="s">
        <v>627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1010</v>
      </c>
      <c r="B1314" s="27" t="s">
        <v>608</v>
      </c>
      <c r="C1314" s="27" t="s">
        <v>640</v>
      </c>
      <c r="D1314" s="27" t="s">
        <v>627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316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1300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623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/>
    </row>
    <row r="1319" spans="1:12">
      <c r="A1319" s="20" t="s">
        <v>1301</v>
      </c>
    </row>
    <row r="1320" spans="1:12">
      <c r="A1320" s="20" t="s">
        <v>824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617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1302</v>
      </c>
      <c r="B1322" s="27" t="s">
        <v>613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670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1303</v>
      </c>
      <c r="B1324" s="27" t="s">
        <v>608</v>
      </c>
      <c r="C1324" s="27" t="s">
        <v>697</v>
      </c>
      <c r="D1324" s="27" t="s">
        <v>627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978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1099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690</v>
      </c>
      <c r="B1327" s="27" t="s">
        <v>662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55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952</v>
      </c>
      <c r="B1329" s="27" t="s">
        <v>658</v>
      </c>
      <c r="C1329" s="27" t="s">
        <v>609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953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1304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16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725</v>
      </c>
      <c r="B1333" s="27" t="s">
        <v>658</v>
      </c>
      <c r="C1333" s="27" t="s">
        <v>609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898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617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932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1176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635</v>
      </c>
      <c r="B1338" s="27" t="s">
        <v>653</v>
      </c>
      <c r="C1338" s="27" t="s">
        <v>626</v>
      </c>
      <c r="D1338" s="27" t="s">
        <v>627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929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617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289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617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1101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1102</v>
      </c>
      <c r="B1344" s="27" t="s">
        <v>639</v>
      </c>
      <c r="C1344" s="27" t="s">
        <v>626</v>
      </c>
      <c r="D1344" s="27" t="s">
        <v>627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617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635</v>
      </c>
      <c r="B1346" s="27" t="s">
        <v>636</v>
      </c>
      <c r="C1346" s="27" t="s">
        <v>626</v>
      </c>
      <c r="D1346" s="27" t="s">
        <v>627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1305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1306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1120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1307</v>
      </c>
      <c r="B1350" s="27" t="s">
        <v>639</v>
      </c>
      <c r="C1350" s="27" t="s">
        <v>609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617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1308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1309</v>
      </c>
      <c r="B1353" s="27" t="s">
        <v>653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1310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1311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1312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623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/>
    </row>
    <row r="1359" spans="1:12">
      <c r="A1359" s="20" t="s">
        <v>1313</v>
      </c>
    </row>
    <row r="1360" spans="1:12">
      <c r="A1360" s="20" t="s">
        <v>844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852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1314</v>
      </c>
      <c r="B1362" s="27" t="s">
        <v>608</v>
      </c>
      <c r="C1362" s="27" t="s">
        <v>626</v>
      </c>
      <c r="D1362" s="27" t="s">
        <v>627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612</v>
      </c>
      <c r="B1363" s="27" t="s">
        <v>613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883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682</v>
      </c>
      <c r="B1365" s="27" t="s">
        <v>608</v>
      </c>
      <c r="C1365" s="27" t="s">
        <v>683</v>
      </c>
      <c r="D1365" s="27" t="s">
        <v>627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289</v>
      </c>
      <c r="B1366" s="27" t="s">
        <v>608</v>
      </c>
      <c r="C1366" s="27" t="s">
        <v>683</v>
      </c>
      <c r="D1366" s="27" t="s">
        <v>627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617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733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1315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632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1316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623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/>
    </row>
    <row r="1374" spans="1:12">
      <c r="A1374" s="20" t="s">
        <v>1317</v>
      </c>
    </row>
    <row r="1375" spans="1:12">
      <c r="A1375" s="20" t="s">
        <v>838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1134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1318</v>
      </c>
      <c r="B1377" s="27" t="s">
        <v>613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1319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1320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1321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1000</v>
      </c>
      <c r="B1381" s="27" t="s">
        <v>608</v>
      </c>
      <c r="C1381" s="27" t="s">
        <v>609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623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/>
    </row>
    <row r="1384" spans="1:12">
      <c r="A1384" s="20" t="s">
        <v>1322</v>
      </c>
    </row>
    <row r="1385" spans="1:12">
      <c r="A1385" s="20" t="s">
        <v>812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1323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668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612</v>
      </c>
      <c r="B1388" s="27" t="s">
        <v>613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1315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632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1316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623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/>
    </row>
    <row r="1394" spans="1:12">
      <c r="A1394" s="20" t="s">
        <v>1324</v>
      </c>
    </row>
    <row r="1395" spans="1:12">
      <c r="A1395" s="20" t="s">
        <v>1325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670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1000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1212</v>
      </c>
      <c r="B1398" s="27" t="s">
        <v>658</v>
      </c>
      <c r="C1398" s="27" t="s">
        <v>626</v>
      </c>
      <c r="D1398" s="27" t="s">
        <v>627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922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216</v>
      </c>
      <c r="B1400" s="27" t="s">
        <v>613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617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733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1326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1327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1328</v>
      </c>
      <c r="B1405" s="27" t="s">
        <v>653</v>
      </c>
      <c r="C1405" s="27" t="s">
        <v>650</v>
      </c>
      <c r="D1405" s="27" t="s">
        <v>627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1155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1156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1329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655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1330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883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1331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1332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623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/>
    </row>
    <row r="1416" spans="1:12">
      <c r="A1416" s="20" t="s">
        <v>1333</v>
      </c>
    </row>
    <row r="1417" spans="1:12">
      <c r="A1417" s="20" t="s">
        <v>715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716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1173</v>
      </c>
      <c r="B1419" s="27" t="s">
        <v>613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617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1245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670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1065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1246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617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1334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785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713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922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751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617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651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652</v>
      </c>
      <c r="B1433" s="27" t="s">
        <v>653</v>
      </c>
      <c r="C1433" s="27" t="s">
        <v>626</v>
      </c>
      <c r="D1433" s="27" t="s">
        <v>627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670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1335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1336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1337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785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1338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740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1339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623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/>
    </row>
    <row r="1444" spans="1:12">
      <c r="A1444" s="20" t="s">
        <v>1340</v>
      </c>
    </row>
    <row r="1445" spans="1:12">
      <c r="A1445" s="20" t="s">
        <v>1341</v>
      </c>
      <c r="B1445" s="27" t="s">
        <v>613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883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682</v>
      </c>
      <c r="B1447" s="27" t="s">
        <v>608</v>
      </c>
      <c r="C1447" s="27" t="s">
        <v>683</v>
      </c>
      <c r="D1447" s="27" t="s">
        <v>627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1342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1343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670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1344</v>
      </c>
      <c r="B1451" s="27" t="s">
        <v>658</v>
      </c>
      <c r="C1451" s="27" t="s">
        <v>640</v>
      </c>
      <c r="D1451" s="27" t="s">
        <v>627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1336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632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670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898</v>
      </c>
      <c r="B1455" s="27" t="s">
        <v>658</v>
      </c>
      <c r="C1455" s="27" t="s">
        <v>609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1345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672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646</v>
      </c>
      <c r="B1458" s="27" t="s">
        <v>798</v>
      </c>
      <c r="C1458" s="27" t="s">
        <v>626</v>
      </c>
      <c r="D1458" s="27" t="s">
        <v>627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617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932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652</v>
      </c>
      <c r="B1461" s="27" t="s">
        <v>636</v>
      </c>
      <c r="C1461" s="27" t="s">
        <v>626</v>
      </c>
      <c r="D1461" s="27" t="s">
        <v>627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1346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987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1347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1348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1019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1349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617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733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1350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682</v>
      </c>
      <c r="B1471" s="27" t="s">
        <v>895</v>
      </c>
      <c r="C1471" s="27" t="s">
        <v>683</v>
      </c>
      <c r="D1471" s="27" t="s">
        <v>627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1351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883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1352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1353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1354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740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1355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623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/>
    </row>
    <row r="1481" spans="1:12">
      <c r="A1481" s="20" t="s">
        <v>1356</v>
      </c>
    </row>
    <row r="1482" spans="1:12">
      <c r="A1482" s="20" t="s">
        <v>812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1357</v>
      </c>
      <c r="B1483" s="27" t="s">
        <v>608</v>
      </c>
      <c r="C1483" s="27" t="s">
        <v>683</v>
      </c>
      <c r="D1483" s="27" t="s">
        <v>627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632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1358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1238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265</v>
      </c>
      <c r="B1487" s="27" t="s">
        <v>613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617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1359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1360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690</v>
      </c>
      <c r="B1491" s="27" t="s">
        <v>895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623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/>
    </row>
    <row r="1494" spans="1:12">
      <c r="A1494" s="20" t="s">
        <v>1361</v>
      </c>
    </row>
    <row r="1495" spans="1:12">
      <c r="A1495" s="20" t="s">
        <v>1207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1176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1173</v>
      </c>
      <c r="B1497" s="27" t="s">
        <v>613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1362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617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733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612</v>
      </c>
      <c r="B1501" s="27" t="s">
        <v>636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883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682</v>
      </c>
      <c r="B1503" s="27" t="s">
        <v>658</v>
      </c>
      <c r="C1503" s="27" t="s">
        <v>683</v>
      </c>
      <c r="D1503" s="27" t="s">
        <v>627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1363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617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651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371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1010</v>
      </c>
      <c r="B1508" s="27" t="s">
        <v>706</v>
      </c>
      <c r="C1508" s="27" t="s">
        <v>626</v>
      </c>
      <c r="D1508" s="27" t="s">
        <v>627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1364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785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1365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617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1366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1367</v>
      </c>
      <c r="B1514" s="27" t="s">
        <v>895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1368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617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1369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1222</v>
      </c>
      <c r="B1518" s="27" t="s">
        <v>895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617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1370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1371</v>
      </c>
      <c r="B1521" s="27" t="s">
        <v>895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802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1372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632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1373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1374</v>
      </c>
      <c r="B1526" s="27" t="s">
        <v>895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852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1375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836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761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/>
    </row>
    <row r="1532" spans="1:12">
      <c r="A1532" s="20" t="s">
        <v>1376</v>
      </c>
    </row>
    <row r="1533" spans="1:12">
      <c r="A1533" s="20" t="s">
        <v>875</v>
      </c>
      <c r="B1533" s="27" t="s">
        <v>613</v>
      </c>
      <c r="C1533" s="27" t="s">
        <v>683</v>
      </c>
      <c r="D1533" s="27" t="s">
        <v>627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1331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1377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356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802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1378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1379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713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623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/>
    </row>
    <row r="1543" spans="1:12">
      <c r="A1543" s="20" t="s">
        <v>1380</v>
      </c>
    </row>
    <row r="1544" spans="1:12">
      <c r="A1544" s="20" t="s">
        <v>1381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1382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1383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623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/>
    </row>
    <row r="1549" spans="1:12">
      <c r="A1549" s="20" t="s">
        <v>1384</v>
      </c>
    </row>
    <row r="1550" spans="1:12">
      <c r="A1550" s="20" t="s">
        <v>936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646</v>
      </c>
      <c r="B1551" s="27" t="s">
        <v>608</v>
      </c>
      <c r="C1551" s="27" t="s">
        <v>626</v>
      </c>
      <c r="D1551" s="27" t="s">
        <v>627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716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1385</v>
      </c>
      <c r="B1553" s="27" t="s">
        <v>613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617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1386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629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1082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1203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1204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617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1387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629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1388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1389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632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1390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1391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617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1392</v>
      </c>
      <c r="B1569" s="27" t="s">
        <v>1262</v>
      </c>
      <c r="C1569" s="27" t="s">
        <v>674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712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1314</v>
      </c>
      <c r="B1571" s="27" t="s">
        <v>1393</v>
      </c>
      <c r="C1571" s="27" t="s">
        <v>626</v>
      </c>
      <c r="D1571" s="27" t="s">
        <v>627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615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1102</v>
      </c>
      <c r="B1573" s="27" t="s">
        <v>1393</v>
      </c>
      <c r="C1573" s="27" t="s">
        <v>626</v>
      </c>
      <c r="D1573" s="27" t="s">
        <v>627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1394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623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/>
    </row>
    <row r="1577" spans="1:12">
      <c r="A1577" s="20" t="s">
        <v>1395</v>
      </c>
    </row>
    <row r="1578" spans="1:12">
      <c r="A1578" s="20" t="s">
        <v>838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606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682</v>
      </c>
      <c r="B1580" s="27" t="s">
        <v>613</v>
      </c>
      <c r="C1580" s="27" t="s">
        <v>683</v>
      </c>
      <c r="D1580" s="27" t="s">
        <v>627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1396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802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1397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1398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1399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883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1400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623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/>
    </row>
    <row r="1590" spans="1:12">
      <c r="A1590" s="20" t="s">
        <v>1401</v>
      </c>
    </row>
    <row r="1591" spans="1:12">
      <c r="A1591" s="20" t="s">
        <v>945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371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1402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1403</v>
      </c>
      <c r="B1594" s="27" t="s">
        <v>647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1404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1399</v>
      </c>
      <c r="B1596" s="27" t="s">
        <v>662</v>
      </c>
      <c r="C1596" s="27" t="s">
        <v>650</v>
      </c>
      <c r="D1596" s="27" t="s">
        <v>627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1405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930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761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/>
    </row>
    <row r="1601" spans="1:12">
      <c r="A1601" s="20" t="s">
        <v>1406</v>
      </c>
    </row>
    <row r="1602" spans="1:12">
      <c r="A1602" s="20" t="s">
        <v>1158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1407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1408</v>
      </c>
      <c r="B1604" s="27" t="s">
        <v>613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883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375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623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/>
    </row>
    <row r="1609" spans="1:12">
      <c r="A1609" s="20" t="s">
        <v>1409</v>
      </c>
    </row>
    <row r="1610" spans="1:12">
      <c r="A1610" s="20" t="s">
        <v>999</v>
      </c>
      <c r="B1610" s="27" t="s">
        <v>613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1410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1019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1028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617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1411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629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1232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623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/>
    </row>
    <row r="1620" spans="1:12">
      <c r="A1620" s="20" t="s">
        <v>1412</v>
      </c>
    </row>
    <row r="1621" spans="1:12">
      <c r="A1621" s="20" t="s">
        <v>999</v>
      </c>
      <c r="B1621" s="27" t="s">
        <v>613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1413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1414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1232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1415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1416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1417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617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1418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1419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670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1092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617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1420</v>
      </c>
      <c r="B1634" s="27" t="s">
        <v>708</v>
      </c>
      <c r="C1634" s="27" t="s">
        <v>674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1415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1421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785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930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1422</v>
      </c>
      <c r="B1639" s="27" t="s">
        <v>709</v>
      </c>
      <c r="C1639" s="27" t="s">
        <v>650</v>
      </c>
      <c r="D1639" s="27" t="s">
        <v>627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623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/>
    </row>
    <row r="1642" spans="1:12">
      <c r="A1642" s="20" t="s">
        <v>1423</v>
      </c>
    </row>
    <row r="1643" spans="1:12">
      <c r="A1643" s="20" t="s">
        <v>1381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617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1424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617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775</v>
      </c>
      <c r="B1647" s="27" t="s">
        <v>613</v>
      </c>
      <c r="C1647" s="27" t="s">
        <v>626</v>
      </c>
      <c r="D1647" s="27" t="s">
        <v>627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1425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1426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1427</v>
      </c>
      <c r="B1650" s="27" t="s">
        <v>647</v>
      </c>
      <c r="C1650" s="27" t="s">
        <v>609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1428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1429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623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/>
    </row>
    <row r="1655" spans="1:12">
      <c r="A1655" s="20" t="s">
        <v>1430</v>
      </c>
    </row>
    <row r="1656" spans="1:12">
      <c r="A1656" s="20" t="s">
        <v>882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1431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1432</v>
      </c>
      <c r="B1658" s="27" t="s">
        <v>613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1433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713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1434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670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1435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1436</v>
      </c>
      <c r="B1664" s="27" t="s">
        <v>608</v>
      </c>
      <c r="C1664" s="27" t="s">
        <v>609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623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/>
    </row>
    <row r="1667" spans="1:12">
      <c r="A1667" s="20" t="s">
        <v>1437</v>
      </c>
    </row>
    <row r="1668" spans="1:12">
      <c r="A1668" s="20" t="s">
        <v>1438</v>
      </c>
      <c r="B1668" s="27" t="s">
        <v>613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1439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1440</v>
      </c>
      <c r="B1670" s="27" t="s">
        <v>647</v>
      </c>
      <c r="C1670" s="27" t="s">
        <v>697</v>
      </c>
      <c r="D1670" s="27" t="s">
        <v>627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1441</v>
      </c>
      <c r="B1671" s="27" t="s">
        <v>647</v>
      </c>
      <c r="C1671" s="27" t="s">
        <v>697</v>
      </c>
      <c r="D1671" s="27" t="s">
        <v>627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623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/>
    </row>
    <row r="1674" spans="1:12">
      <c r="A1674" s="20" t="s">
        <v>1442</v>
      </c>
    </row>
    <row r="1675" spans="1:12">
      <c r="A1675" s="20" t="s">
        <v>838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914</v>
      </c>
      <c r="B1676" s="27" t="s">
        <v>613</v>
      </c>
      <c r="C1676" s="27" t="s">
        <v>626</v>
      </c>
      <c r="D1676" s="27" t="s">
        <v>627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1443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617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733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1444</v>
      </c>
      <c r="B1680" s="27" t="s">
        <v>636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973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1445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1255</v>
      </c>
      <c r="B1683" s="27" t="s">
        <v>636</v>
      </c>
      <c r="C1683" s="27" t="s">
        <v>626</v>
      </c>
      <c r="D1683" s="27" t="s">
        <v>627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1446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1447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802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1448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1449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1450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617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632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1451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1452</v>
      </c>
      <c r="B1693" s="27" t="s">
        <v>895</v>
      </c>
      <c r="C1693" s="27" t="s">
        <v>697</v>
      </c>
      <c r="D1693" s="27" t="s">
        <v>627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1453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1454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1455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623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/>
    </row>
    <row r="1699" spans="1:12">
      <c r="A1699" s="20" t="s">
        <v>1456</v>
      </c>
    </row>
    <row r="1700" spans="1:12">
      <c r="A1700" s="20" t="s">
        <v>1457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1458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406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632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1459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1399</v>
      </c>
      <c r="B1705" s="27" t="s">
        <v>662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623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/>
    </row>
    <row r="1708" spans="1:12">
      <c r="A1708" s="20" t="s">
        <v>1460</v>
      </c>
    </row>
    <row r="1709" spans="1:12">
      <c r="A1709" s="20" t="s">
        <v>1461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629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1462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1463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617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914</v>
      </c>
      <c r="B1714" s="27" t="s">
        <v>613</v>
      </c>
      <c r="C1714" s="27" t="s">
        <v>626</v>
      </c>
      <c r="D1714" s="27" t="s">
        <v>627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1446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617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733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1464</v>
      </c>
      <c r="B1718" s="27" t="s">
        <v>636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1465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1466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712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1467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1468</v>
      </c>
      <c r="B1723" s="27" t="s">
        <v>658</v>
      </c>
      <c r="C1723" s="27" t="s">
        <v>609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623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/>
    </row>
    <row r="1726" spans="1:12">
      <c r="A1726" s="20" t="s">
        <v>1469</v>
      </c>
    </row>
    <row r="1727" spans="1:12">
      <c r="A1727" s="20" t="s">
        <v>1229</v>
      </c>
      <c r="B1727" s="27" t="s">
        <v>613</v>
      </c>
      <c r="C1727" s="27" t="s">
        <v>626</v>
      </c>
      <c r="D1727" s="27" t="s">
        <v>627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973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1470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852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1076</v>
      </c>
      <c r="B1731" s="27" t="s">
        <v>608</v>
      </c>
      <c r="C1731" s="27" t="s">
        <v>626</v>
      </c>
      <c r="D1731" s="27" t="s">
        <v>627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632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1471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1076</v>
      </c>
      <c r="B1734" s="27" t="s">
        <v>608</v>
      </c>
      <c r="C1734" s="27" t="s">
        <v>626</v>
      </c>
      <c r="D1734" s="27" t="s">
        <v>627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623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/>
    </row>
    <row r="1737" spans="1:12">
      <c r="A1737" s="20" t="s">
        <v>1472</v>
      </c>
    </row>
    <row r="1738" spans="1:12">
      <c r="A1738" s="20" t="s">
        <v>681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914</v>
      </c>
      <c r="B1739" s="27" t="s">
        <v>613</v>
      </c>
      <c r="C1739" s="27" t="s">
        <v>626</v>
      </c>
      <c r="D1739" s="27" t="s">
        <v>627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1473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1474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1399</v>
      </c>
      <c r="B1742" s="27" t="s">
        <v>647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623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/>
    </row>
    <row r="1745" spans="1:12">
      <c r="A1745" s="20" t="s">
        <v>1475</v>
      </c>
    </row>
    <row r="1746" spans="1:12">
      <c r="A1746" s="20" t="s">
        <v>1255</v>
      </c>
      <c r="B1746" s="27" t="s">
        <v>613</v>
      </c>
      <c r="C1746" s="27" t="s">
        <v>626</v>
      </c>
      <c r="D1746" s="27" t="s">
        <v>627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1476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1477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670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1478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1479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1374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617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733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1480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1481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1482</v>
      </c>
      <c r="B1757" s="27" t="s">
        <v>895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623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/>
    </row>
    <row r="1760" spans="1:12">
      <c r="A1760" s="20" t="s">
        <v>1483</v>
      </c>
    </row>
    <row r="1761" spans="1:12">
      <c r="A1761" s="20" t="s">
        <v>838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1484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1485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1374</v>
      </c>
      <c r="B1764" s="27" t="s">
        <v>636</v>
      </c>
      <c r="C1764" s="27" t="s">
        <v>650</v>
      </c>
      <c r="D1764" s="27" t="s">
        <v>627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1480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523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617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1486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1487</v>
      </c>
      <c r="B1769" s="27" t="s">
        <v>647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1488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1433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1076</v>
      </c>
      <c r="B1772" s="27" t="s">
        <v>608</v>
      </c>
      <c r="C1772" s="27" t="s">
        <v>626</v>
      </c>
      <c r="D1772" s="27" t="s">
        <v>627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617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932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914</v>
      </c>
      <c r="B1775" s="27" t="s">
        <v>636</v>
      </c>
      <c r="C1775" s="27" t="s">
        <v>626</v>
      </c>
      <c r="D1775" s="27" t="s">
        <v>627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737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1443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733</v>
      </c>
      <c r="B1778" s="27" t="s">
        <v>706</v>
      </c>
      <c r="C1778" s="27" t="s">
        <v>674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1489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617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1490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737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1491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1082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1492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623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/>
    </row>
    <row r="1788" spans="1:12">
      <c r="A1788" s="20" t="s">
        <v>1493</v>
      </c>
    </row>
    <row r="1789" spans="1:12">
      <c r="A1789" s="20" t="s">
        <v>1494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1495</v>
      </c>
      <c r="B1790" s="27" t="s">
        <v>613</v>
      </c>
      <c r="C1790" s="27" t="s">
        <v>609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1496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617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612</v>
      </c>
      <c r="B1793" s="27" t="s">
        <v>636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1497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617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932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1498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635</v>
      </c>
      <c r="B1798" s="27" t="s">
        <v>636</v>
      </c>
      <c r="C1798" s="27" t="s">
        <v>626</v>
      </c>
      <c r="D1798" s="27" t="s">
        <v>627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851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691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1499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617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618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1500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617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1349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733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635</v>
      </c>
      <c r="B1808" s="27" t="s">
        <v>653</v>
      </c>
      <c r="C1808" s="27" t="s">
        <v>626</v>
      </c>
      <c r="D1808" s="27" t="s">
        <v>627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1501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670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1089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1502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1092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632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1503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1504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1505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821</v>
      </c>
      <c r="B1818" s="27" t="s">
        <v>895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623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/>
    </row>
    <row r="1821" spans="1:12">
      <c r="A1821" s="20" t="s">
        <v>1506</v>
      </c>
    </row>
    <row r="1822" spans="1:12">
      <c r="A1822" s="20" t="s">
        <v>1507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1508</v>
      </c>
      <c r="B1823" s="27" t="s">
        <v>613</v>
      </c>
      <c r="C1823" s="27" t="s">
        <v>697</v>
      </c>
      <c r="D1823" s="27" t="s">
        <v>627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1509</v>
      </c>
      <c r="B1824" s="27" t="s">
        <v>658</v>
      </c>
      <c r="C1824" s="27" t="s">
        <v>697</v>
      </c>
      <c r="D1824" s="27" t="s">
        <v>627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1510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1511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1512</v>
      </c>
      <c r="B1827" s="27" t="s">
        <v>647</v>
      </c>
      <c r="C1827" s="27" t="s">
        <v>650</v>
      </c>
      <c r="D1827" s="27" t="s">
        <v>627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1166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1513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586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1514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1515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1516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672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1467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1517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1518</v>
      </c>
      <c r="B1837" s="27" t="s">
        <v>658</v>
      </c>
      <c r="C1837" s="27" t="s">
        <v>609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623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/>
    </row>
    <row r="1840" spans="1:12">
      <c r="A1840" s="20" t="s">
        <v>1519</v>
      </c>
    </row>
    <row r="1841" spans="1:12">
      <c r="A1841" s="20" t="s">
        <v>1520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1495</v>
      </c>
      <c r="B1842" s="27" t="s">
        <v>613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1433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713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1434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670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1521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1436</v>
      </c>
      <c r="B1848" s="27" t="s">
        <v>608</v>
      </c>
      <c r="C1848" s="27" t="s">
        <v>609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623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/>
    </row>
    <row r="1851" spans="1:12">
      <c r="A1851" s="20" t="s">
        <v>1522</v>
      </c>
    </row>
    <row r="1852" spans="1:12">
      <c r="A1852" s="20" t="s">
        <v>625</v>
      </c>
      <c r="B1852" s="27" t="s">
        <v>613</v>
      </c>
      <c r="C1852" s="27" t="s">
        <v>626</v>
      </c>
      <c r="D1852" s="27" t="s">
        <v>627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851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1523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632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1524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1419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1065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1525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623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/>
    </row>
    <row r="1862" spans="1:12">
      <c r="A1862" s="20" t="s">
        <v>1526</v>
      </c>
    </row>
    <row r="1863" spans="1:12">
      <c r="A1863" s="20" t="s">
        <v>1527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991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952</v>
      </c>
      <c r="B1865" s="27" t="s">
        <v>608</v>
      </c>
      <c r="C1865" s="27" t="s">
        <v>650</v>
      </c>
      <c r="D1865" s="27" t="s">
        <v>627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914</v>
      </c>
      <c r="B1866" s="27" t="s">
        <v>613</v>
      </c>
      <c r="C1866" s="27" t="s">
        <v>626</v>
      </c>
      <c r="D1866" s="27" t="s">
        <v>627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1528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1529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1530</v>
      </c>
      <c r="B1869" s="27" t="s">
        <v>647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1531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1532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617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1144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1533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752</v>
      </c>
      <c r="B1875" s="27" t="s">
        <v>636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1534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623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/>
    </row>
    <row r="1879" spans="1:12">
      <c r="A1879" s="20" t="s">
        <v>1535</v>
      </c>
    </row>
    <row r="1880" spans="1:12">
      <c r="A1880" s="20" t="s">
        <v>1255</v>
      </c>
      <c r="B1880" s="27" t="s">
        <v>613</v>
      </c>
      <c r="C1880" s="27" t="s">
        <v>626</v>
      </c>
      <c r="D1880" s="27" t="s">
        <v>627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1134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1536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632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1537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1538</v>
      </c>
      <c r="B1885" s="27" t="s">
        <v>613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617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1144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914</v>
      </c>
      <c r="B1888" s="27" t="s">
        <v>636</v>
      </c>
      <c r="C1888" s="27" t="s">
        <v>626</v>
      </c>
      <c r="D1888" s="27" t="s">
        <v>627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1446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1373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1089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1539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1374</v>
      </c>
      <c r="B1893" s="27" t="s">
        <v>706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623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/>
    </row>
    <row r="1896" spans="1:12">
      <c r="A1896" s="20" t="s">
        <v>1540</v>
      </c>
    </row>
    <row r="1897" spans="1:12">
      <c r="A1897" s="20" t="s">
        <v>681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802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656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657</v>
      </c>
      <c r="B1900" s="27" t="s">
        <v>608</v>
      </c>
      <c r="C1900" s="27" t="s">
        <v>650</v>
      </c>
      <c r="D1900" s="27" t="s">
        <v>627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265</v>
      </c>
      <c r="B1901" s="27" t="s">
        <v>613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670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1541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1542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623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/>
    </row>
    <row r="1907" spans="1:12">
      <c r="A1907" s="20" t="s">
        <v>1543</v>
      </c>
    </row>
    <row r="1908" spans="1:12">
      <c r="A1908" s="20" t="s">
        <v>1544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1545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1133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637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1546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1547</v>
      </c>
      <c r="B1913" s="27" t="s">
        <v>613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617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1548</v>
      </c>
      <c r="B1915" s="27" t="s">
        <v>706</v>
      </c>
      <c r="C1915" s="27" t="s">
        <v>674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1549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1550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623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/>
    </row>
    <row r="1920" spans="1:12">
      <c r="A1920" s="20" t="s">
        <v>1551</v>
      </c>
    </row>
    <row r="1921" spans="1:12">
      <c r="A1921" s="20" t="s">
        <v>1552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1467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1065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1246</v>
      </c>
      <c r="B1924" s="27" t="s">
        <v>608</v>
      </c>
      <c r="C1924" s="27" t="s">
        <v>609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1553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1554</v>
      </c>
      <c r="B1926" s="27" t="s">
        <v>613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1111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1115</v>
      </c>
      <c r="B1928" s="27" t="s">
        <v>658</v>
      </c>
      <c r="C1928" s="27" t="s">
        <v>683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623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/>
    </row>
    <row r="1931" spans="1:12">
      <c r="A1931" s="20" t="s">
        <v>1555</v>
      </c>
    </row>
    <row r="1932" spans="1:12">
      <c r="A1932" s="20" t="s">
        <v>1095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922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1556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617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682</v>
      </c>
      <c r="B1936" s="27" t="s">
        <v>613</v>
      </c>
      <c r="C1936" s="27" t="s">
        <v>683</v>
      </c>
      <c r="D1936" s="27" t="s">
        <v>627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457</v>
      </c>
      <c r="B1937" s="27" t="s">
        <v>608</v>
      </c>
      <c r="C1937" s="27" t="s">
        <v>683</v>
      </c>
      <c r="D1937" s="27" t="s">
        <v>627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1405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1224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1557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623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/>
    </row>
    <row r="1943" spans="1:12">
      <c r="A1943" s="20" t="s">
        <v>1558</v>
      </c>
    </row>
    <row r="1944" spans="1:12">
      <c r="A1944" s="20" t="s">
        <v>1559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617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635</v>
      </c>
      <c r="B1946" s="27" t="s">
        <v>613</v>
      </c>
      <c r="C1946" s="27" t="s">
        <v>626</v>
      </c>
      <c r="D1946" s="27" t="s">
        <v>627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1560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852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1368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617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932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1561</v>
      </c>
      <c r="B1952" s="27" t="s">
        <v>636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737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1562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648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617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1392</v>
      </c>
      <c r="B1957" s="27" t="s">
        <v>801</v>
      </c>
      <c r="C1957" s="27" t="s">
        <v>674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717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1563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623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/>
    </row>
    <row r="1962" spans="1:12">
      <c r="A1962" s="20" t="s">
        <v>1564</v>
      </c>
    </row>
    <row r="1963" spans="1:12">
      <c r="A1963" s="20" t="s">
        <v>838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606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751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652</v>
      </c>
      <c r="B1966" s="27" t="s">
        <v>613</v>
      </c>
      <c r="C1966" s="27" t="s">
        <v>626</v>
      </c>
      <c r="D1966" s="27" t="s">
        <v>627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1565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617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831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1173</v>
      </c>
      <c r="B1970" s="27" t="s">
        <v>636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800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793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1566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1567</v>
      </c>
      <c r="B1974" s="27" t="s">
        <v>658</v>
      </c>
      <c r="C1974" s="27" t="s">
        <v>650</v>
      </c>
      <c r="D1974" s="27" t="s">
        <v>627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788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789</v>
      </c>
      <c r="B1976" s="27" t="s">
        <v>658</v>
      </c>
      <c r="C1976" s="27" t="s">
        <v>609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623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/>
    </row>
    <row r="1979" spans="1:12">
      <c r="A1979" s="20" t="s">
        <v>1568</v>
      </c>
    </row>
    <row r="1980" spans="1:12">
      <c r="A1980" s="20" t="s">
        <v>1569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922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712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1076</v>
      </c>
      <c r="B1983" s="27" t="s">
        <v>608</v>
      </c>
      <c r="C1983" s="27" t="s">
        <v>626</v>
      </c>
      <c r="D1983" s="27" t="s">
        <v>627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716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1570</v>
      </c>
      <c r="B1985" s="27" t="s">
        <v>613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623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/>
    </row>
    <row r="1988" spans="1:12">
      <c r="A1988" s="20" t="s">
        <v>1571</v>
      </c>
    </row>
    <row r="1989" spans="1:12">
      <c r="A1989" s="20" t="s">
        <v>838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682</v>
      </c>
      <c r="B1990" s="27" t="s">
        <v>613</v>
      </c>
      <c r="C1990" s="27" t="s">
        <v>683</v>
      </c>
      <c r="D1990" s="27" t="s">
        <v>627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1572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617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987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1176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1547</v>
      </c>
      <c r="B1995" s="27" t="s">
        <v>636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1573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1574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739</v>
      </c>
      <c r="B1998" s="27" t="s">
        <v>636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617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987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1176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1575</v>
      </c>
      <c r="B2002" s="27" t="s">
        <v>895</v>
      </c>
      <c r="C2002" s="27" t="s">
        <v>626</v>
      </c>
      <c r="D2002" s="27" t="s">
        <v>627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1141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1576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1577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1578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 t="s">
        <v>617</v>
      </c>
      <c r="E2007" s="21">
        <f>IF(D2007="?OLD","!!!","")</f>
        <v/>
      </c>
      <c r="F2007" s="22" t="str">
        <f>IF(OR(E2007="",E2007="!!!"),"",IF(NOT(ISNA(VLOOKUP(E2007,E$1:E2006,1,FALSE()))),"OLD",IF(AND(E2007&lt;&gt;"",E2007&lt;&gt;"!!!"),"NEW","")))</f>
        <v> </v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4" t="str">
        <f>IF(J2007&lt;&gt;1,"",IF(I2007="SBJ","CB","?"))</f>
        <v> </v>
      </c>
      <c r="I2007" s="25" t="str">
        <f>IF(OR(E2007="",E2007="!!!",F2007="NEW"),"",INDEX(B2006:B$2,-1+SUMPRODUCT(MAX(ROW(E2006:E$2)*(E2007=E2006:E$2)))))</f>
        <v> </v>
      </c>
      <c r="J2007" s="25" t="str">
        <f>IF(OR(E2007="",E2007="!!!",F2007="NEW"),"",COUNTBLANK(OFFSET(A$1,,,SUMPRODUCT(MAX(ROW(E$2:E2007)*(E2007=E$2:E2007)))))-COUNTBLANK(OFFSET(A$1,,,SUMPRODUCT(MAX(ROW(E$1:E2006)*(E2=E$1:E2006))))))</f>
        <v> </v>
      </c>
      <c r="K2007" s="25" t="str">
        <f>IF(OR(E2007="",E2007="!!!",F2007="NEW"),"",INDEX(J$1:J2006,SUMPRODUCT(MAX(ROW(E$1:E2006)*(E2007=E$1:E2006)))))</f>
        <v> </v>
      </c>
      <c r="L2007" s="26"/>
    </row>
    <row r="2008" spans="1:12">
      <c r="A2008" s="20" t="s">
        <v>831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 t="s">
        <v>1579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617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987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1176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1141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1580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1581</v>
      </c>
      <c r="B2015" s="27" t="s">
        <v>1582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617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831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1583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1584</v>
      </c>
      <c r="B2019" s="27" t="s">
        <v>1582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617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733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670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1585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1586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1587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617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1176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1034</v>
      </c>
      <c r="B2028" s="27" t="s">
        <v>1588</v>
      </c>
      <c r="C2028" s="27" t="s">
        <v>626</v>
      </c>
      <c r="D2028" s="27" t="s">
        <v>627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1035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670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1589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1590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623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/>
    </row>
    <row r="2035" spans="1:12">
      <c r="A2035" s="20" t="s">
        <v>1591</v>
      </c>
    </row>
    <row r="2036" spans="1:12">
      <c r="A2036" s="20" t="s">
        <v>1229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682</v>
      </c>
      <c r="B2037" s="27" t="s">
        <v>613</v>
      </c>
      <c r="C2037" s="27" t="s">
        <v>683</v>
      </c>
      <c r="D2037" s="27" t="s">
        <v>627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1592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1593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1594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953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1595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712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713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623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/>
    </row>
    <row r="2047" spans="1:12">
      <c r="A2047" s="20" t="s">
        <v>1596</v>
      </c>
    </row>
    <row r="2048" spans="1:12">
      <c r="A2048" s="20" t="s">
        <v>1597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1566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1598</v>
      </c>
      <c r="B2050" s="27" t="s">
        <v>608</v>
      </c>
      <c r="C2050" s="27" t="s">
        <v>650</v>
      </c>
      <c r="D2050" s="27" t="s">
        <v>627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144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1599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623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/>
    </row>
    <row r="2055" spans="1:12">
      <c r="A2055" s="20" t="s">
        <v>1600</v>
      </c>
    </row>
    <row r="2056" spans="1:12">
      <c r="A2056" s="20" t="s">
        <v>681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922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1601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652</v>
      </c>
      <c r="B2059" s="27" t="s">
        <v>613</v>
      </c>
      <c r="C2059" s="27" t="s">
        <v>626</v>
      </c>
      <c r="D2059" s="27" t="s">
        <v>627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617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736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737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1464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1232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623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/>
    </row>
    <row r="2067" spans="1:12">
      <c r="A2067" s="20" t="s">
        <v>1602</v>
      </c>
    </row>
    <row r="2068" spans="1:12">
      <c r="A2068" s="20" t="s">
        <v>1603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1076</v>
      </c>
      <c r="B2069" s="27" t="s">
        <v>608</v>
      </c>
      <c r="C2069" s="27" t="s">
        <v>626</v>
      </c>
      <c r="D2069" s="27" t="s">
        <v>627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606</v>
      </c>
      <c r="B2070" s="27" t="s">
        <v>613</v>
      </c>
      <c r="C2070" s="27" t="s">
        <v>626</v>
      </c>
      <c r="D2070" s="27" t="s">
        <v>627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684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1604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623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/>
    </row>
    <row r="2075" spans="1:12">
      <c r="A2075" s="20" t="s">
        <v>1605</v>
      </c>
    </row>
    <row r="2076" spans="1:12">
      <c r="A2076" s="20" t="s">
        <v>1606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1330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617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1607</v>
      </c>
      <c r="B2079" s="27" t="s">
        <v>613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617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1050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617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1608</v>
      </c>
      <c r="B2083" s="27" t="s">
        <v>647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1315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785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841</v>
      </c>
      <c r="B2086" s="27" t="s">
        <v>608</v>
      </c>
      <c r="C2086" s="27" t="s">
        <v>626</v>
      </c>
      <c r="D2086" s="27" t="s">
        <v>627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629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1609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1610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1611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632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1612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1166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1613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1614</v>
      </c>
      <c r="B2095" s="27" t="s">
        <v>653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1615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712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1616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632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1617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623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/>
    </row>
    <row r="2103" spans="1:12">
      <c r="A2103" s="20" t="s">
        <v>1618</v>
      </c>
    </row>
    <row r="2104" spans="1:12">
      <c r="A2104" s="20" t="s">
        <v>687</v>
      </c>
      <c r="B2104" s="27" t="s">
        <v>613</v>
      </c>
      <c r="C2104" s="27" t="s">
        <v>626</v>
      </c>
      <c r="D2104" s="27" t="s">
        <v>627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1619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1620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632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1621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1622</v>
      </c>
      <c r="B2109" s="27" t="s">
        <v>647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1623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617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632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652</v>
      </c>
      <c r="B2113" s="27" t="s">
        <v>636</v>
      </c>
      <c r="C2113" s="27" t="s">
        <v>626</v>
      </c>
      <c r="D2113" s="27" t="s">
        <v>627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1624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1625</v>
      </c>
      <c r="B2115" s="27" t="s">
        <v>662</v>
      </c>
      <c r="C2115" s="27" t="s">
        <v>626</v>
      </c>
      <c r="D2115" s="27" t="s">
        <v>627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866</v>
      </c>
      <c r="B2116" s="27" t="s">
        <v>662</v>
      </c>
      <c r="C2116" s="27" t="s">
        <v>626</v>
      </c>
      <c r="D2116" s="27" t="s">
        <v>627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 t="s">
        <v>1626</v>
      </c>
      <c r="E2117" s="21">
        <f>IF(D2117="?OLD","!!!","")</f>
        <v/>
      </c>
      <c r="F2117" s="22" t="str">
        <f>IF(OR(E2117="",E2117="!!!"),"",IF(NOT(ISNA(VLOOKUP(E2117,E$1:E2116,1,FALSE()))),"OLD",IF(AND(E2117&lt;&gt;"",E2117&lt;&gt;"!!!"),"NEW","")))</f>
        <v> </v>
      </c>
      <c r="G2117" s="23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4" t="str">
        <f>IF(J2117&lt;&gt;1,"",IF(I2117="SBJ","CB","?"))</f>
        <v> </v>
      </c>
      <c r="I2117" s="25" t="str">
        <f>IF(OR(E2117="",E2117="!!!",F2117="NEW"),"",INDEX(B2116:B$2,-1+SUMPRODUCT(MAX(ROW(E2116:E$2)*(E2117=E2116:E$2)))))</f>
        <v> </v>
      </c>
      <c r="J2117" s="25" t="str">
        <f>IF(OR(E2117="",E2117="!!!",F2117="NEW"),"",COUNTBLANK(OFFSET(A$1,,,SUMPRODUCT(MAX(ROW(E$2:E2117)*(E2117=E$2:E2117)))))-COUNTBLANK(OFFSET(A$1,,,SUMPRODUCT(MAX(ROW(E$1:E2116)*(E2=E$1:E2116))))))</f>
        <v> </v>
      </c>
      <c r="K2117" s="25" t="str">
        <f>IF(OR(E2117="",E2117="!!!",F2117="NEW"),"",INDEX(J$1:J2116,SUMPRODUCT(MAX(ROW(E$1:E2116)*(E2117=E$1:E2116)))))</f>
        <v> </v>
      </c>
      <c r="L2117" s="26"/>
    </row>
    <row r="2118" spans="1:12">
      <c r="A2118" s="20" t="s">
        <v>623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/>
    </row>
    <row r="2120" spans="1:12">
      <c r="A2120" s="20" t="s">
        <v>1627</v>
      </c>
    </row>
    <row r="2121" spans="1:12">
      <c r="A2121" s="20" t="s">
        <v>1628</v>
      </c>
      <c r="B2121" s="27" t="s">
        <v>613</v>
      </c>
      <c r="C2121" s="27" t="s">
        <v>626</v>
      </c>
      <c r="D2121" s="27" t="s">
        <v>627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1629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1630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1631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617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632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606</v>
      </c>
      <c r="B2127" s="27" t="s">
        <v>608</v>
      </c>
      <c r="C2127" s="27" t="s">
        <v>626</v>
      </c>
      <c r="D2127" s="27" t="s">
        <v>627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 t="s">
        <v>617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733</v>
      </c>
      <c r="B2129" s="27" t="s">
        <v>895</v>
      </c>
      <c r="C2129" s="27" t="s">
        <v>674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1632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273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617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883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682</v>
      </c>
      <c r="B2134" s="27" t="s">
        <v>662</v>
      </c>
      <c r="C2134" s="27" t="s">
        <v>683</v>
      </c>
      <c r="D2134" s="27" t="s">
        <v>627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 t="s">
        <v>1633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1212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606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607</v>
      </c>
      <c r="B2138" s="27" t="s">
        <v>658</v>
      </c>
      <c r="C2138" s="27" t="s">
        <v>609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670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1142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1617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617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987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670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1634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632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802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1635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623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/>
    </row>
    <row r="2151" spans="1:12">
      <c r="A2151" s="20" t="s">
        <v>1636</v>
      </c>
    </row>
    <row r="2152" spans="1:12">
      <c r="A2152" s="20" t="s">
        <v>1219</v>
      </c>
      <c r="B2152" s="27" t="s">
        <v>647</v>
      </c>
      <c r="C2152" s="27" t="s">
        <v>674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1637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1034</v>
      </c>
      <c r="B2154" s="27" t="s">
        <v>613</v>
      </c>
      <c r="C2154" s="27" t="s">
        <v>626</v>
      </c>
      <c r="D2154" s="27" t="s">
        <v>627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1638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761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/>
    </row>
    <row r="2158" spans="1:12">
      <c r="A2158" s="20" t="s">
        <v>1639</v>
      </c>
    </row>
    <row r="2159" spans="1:12">
      <c r="A2159" s="20" t="s">
        <v>1640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617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634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922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1485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1173</v>
      </c>
      <c r="B2164" s="27" t="s">
        <v>613</v>
      </c>
      <c r="C2164" s="27" t="s">
        <v>650</v>
      </c>
      <c r="D2164" s="27" t="s">
        <v>627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1641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1642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1371</v>
      </c>
      <c r="B2167" s="27" t="s">
        <v>647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617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1484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 t="s">
        <v>1643</v>
      </c>
      <c r="E2170" s="21">
        <f>IF(D2170="?OLD","!!!","")</f>
        <v/>
      </c>
      <c r="F2170" s="22" t="str">
        <f>IF(OR(E2170="",E2170="!!!"),"",IF(NOT(ISNA(VLOOKUP(E2170,E$1:E2169,1,FALSE()))),"OLD",IF(AND(E2170&lt;&gt;"",E2170&lt;&gt;"!!!"),"NEW","")))</f>
        <v> </v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4" t="str">
        <f>IF(J2170&lt;&gt;1,"",IF(I2170="SBJ","CB","?"))</f>
        <v> </v>
      </c>
      <c r="I2170" s="25" t="str">
        <f>IF(OR(E2170="",E2170="!!!",F2170="NEW"),"",INDEX(B2169:B$2,-1+SUMPRODUCT(MAX(ROW(E2169:E$2)*(E2170=E2169:E$2)))))</f>
        <v> </v>
      </c>
      <c r="J2170" s="25" t="str">
        <f>IF(OR(E2170="",E2170="!!!",F2170="NEW"),"",COUNTBLANK(OFFSET(A$1,,,SUMPRODUCT(MAX(ROW(E$2:E2170)*(E2170=E$2:E2170)))))-COUNTBLANK(OFFSET(A$1,,,SUMPRODUCT(MAX(ROW(E$1:E2169)*(E2=E$1:E2169))))))</f>
        <v> </v>
      </c>
      <c r="K2170" s="25" t="str">
        <f>IF(OR(E2170="",E2170="!!!",F2170="NEW"),"",INDEX(J$1:J2169,SUMPRODUCT(MAX(ROW(E$1:E2169)*(E2170=E$1:E2169)))))</f>
        <v> </v>
      </c>
      <c r="L2170" s="26"/>
    </row>
    <row r="2171" spans="1:12">
      <c r="A2171" s="20" t="s">
        <v>1644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1010</v>
      </c>
      <c r="B2172" s="27" t="s">
        <v>662</v>
      </c>
      <c r="C2172" s="27" t="s">
        <v>626</v>
      </c>
      <c r="D2172" s="27" t="s">
        <v>627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623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/>
    </row>
    <row r="2175" spans="1:12">
      <c r="A2175" s="20" t="s">
        <v>1645</v>
      </c>
    </row>
    <row r="2176" spans="1:12">
      <c r="A2176" s="20" t="s">
        <v>838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1646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617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652</v>
      </c>
      <c r="B2179" s="27" t="s">
        <v>613</v>
      </c>
      <c r="C2179" s="27" t="s">
        <v>626</v>
      </c>
      <c r="D2179" s="27" t="s">
        <v>627</v>
      </c>
      <c r="E2179" s="21">
        <f>IF(D2179="?OLD","!!!","")</f>
        <v/>
      </c>
      <c r="F2179" s="22" t="str">
        <f>IF(OR(E2179="",E2179="!!!"),"",IF(NOT(ISNA(VLOOKUP(E2179,E$1:E2178,1,FALSE()))),"OLD",IF(AND(E2179&lt;&gt;"",E2179&lt;&gt;"!!!"),"NEW","")))</f>
        <v> </v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4" t="str">
        <f>IF(J2179&lt;&gt;1,"",IF(I2179="SBJ","CB","?"))</f>
        <v> </v>
      </c>
      <c r="I2179" s="25" t="str">
        <f>IF(OR(E2179="",E2179="!!!",F2179="NEW"),"",INDEX(B2178:B$2,-1+SUMPRODUCT(MAX(ROW(E2178:E$2)*(E2179=E2178:E$2)))))</f>
        <v> </v>
      </c>
      <c r="J2179" s="25" t="str">
        <f>IF(OR(E2179="",E2179="!!!",F2179="NEW"),"",COUNTBLANK(OFFSET(A$1,,,SUMPRODUCT(MAX(ROW(E$2:E2179)*(E2179=E$2:E2179)))))-COUNTBLANK(OFFSET(A$1,,,SUMPRODUCT(MAX(ROW(E$1:E2178)*(E2=E$1:E2178))))))</f>
        <v> </v>
      </c>
      <c r="K2179" s="25" t="str">
        <f>IF(OR(E2179="",E2179="!!!",F2179="NEW"),"",INDEX(J$1:J2178,SUMPRODUCT(MAX(ROW(E$1:E2178)*(E2179=E$1:E2178)))))</f>
        <v> </v>
      </c>
      <c r="L2179" s="26"/>
    </row>
    <row r="2180" spans="1:12">
      <c r="A2180" s="20" t="s">
        <v>1003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672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1534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617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733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928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87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1197</v>
      </c>
      <c r="B2187" s="27" t="s">
        <v>636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1115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1415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1646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1647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655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1648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623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/>
    </row>
    <row r="2196" spans="1:12">
      <c r="A2196" s="20" t="s">
        <v>1649</v>
      </c>
    </row>
    <row r="2197" spans="1:12">
      <c r="A2197" s="20" t="s">
        <v>838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987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 t="s">
        <v>682</v>
      </c>
      <c r="E2199" s="21">
        <f>IF(D2199="?OLD","!!!","")</f>
        <v/>
      </c>
      <c r="F2199" s="22" t="str">
        <f>IF(OR(E2199="",E2199="!!!"),"",IF(NOT(ISNA(VLOOKUP(E2199,E$1:E2198,1,FALSE()))),"OLD",IF(AND(E2199&lt;&gt;"",E2199&lt;&gt;"!!!"),"NEW","")))</f>
        <v> </v>
      </c>
      <c r="G2199" s="23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4" t="str">
        <f>IF(J2199&lt;&gt;1,"",IF(I2199="SBJ","CB","?"))</f>
        <v> </v>
      </c>
      <c r="I2199" s="25" t="str">
        <f>IF(OR(E2199="",E2199="!!!",F2199="NEW"),"",INDEX(B2198:B$2,-1+SUMPRODUCT(MAX(ROW(E2198:E$2)*(E2199=E2198:E$2)))))</f>
        <v> </v>
      </c>
      <c r="J2199" s="25" t="str">
        <f>IF(OR(E2199="",E2199="!!!",F2199="NEW"),"",COUNTBLANK(OFFSET(A$1,,,SUMPRODUCT(MAX(ROW(E$2:E2199)*(E2199=E$2:E2199)))))-COUNTBLANK(OFFSET(A$1,,,SUMPRODUCT(MAX(ROW(E$1:E2198)*(E2=E$1:E2198))))))</f>
        <v> </v>
      </c>
      <c r="K2199" s="25" t="str">
        <f>IF(OR(E2199="",E2199="!!!",F2199="NEW"),"",INDEX(J$1:J2198,SUMPRODUCT(MAX(ROW(E$1:E2198)*(E2199=E$1:E2198)))))</f>
        <v> </v>
      </c>
      <c r="L2199" s="26"/>
    </row>
    <row r="2200" spans="1:12">
      <c r="A2200" s="20" t="s">
        <v>1332</v>
      </c>
      <c r="B2200" s="27" t="s">
        <v>613</v>
      </c>
      <c r="C2200" s="27" t="s">
        <v>650</v>
      </c>
      <c r="D2200" s="27" t="s">
        <v>627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 t="s">
        <v>1650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617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1349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733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1261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751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1173</v>
      </c>
      <c r="B2207" s="27" t="s">
        <v>636</v>
      </c>
      <c r="C2207" s="27" t="s">
        <v>650</v>
      </c>
      <c r="D2207" s="27" t="s">
        <v>627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 t="s">
        <v>617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 t="s">
        <v>1392</v>
      </c>
      <c r="B2209" s="27" t="s">
        <v>801</v>
      </c>
      <c r="C2209" s="27" t="s">
        <v>674</v>
      </c>
      <c r="E2209" s="21">
        <f>IF(D2209="?OLD","!!!","")</f>
        <v/>
      </c>
      <c r="F2209" s="22" t="str">
        <f>IF(OR(E2209="",E2209="!!!"),"",IF(NOT(ISNA(VLOOKUP(E2209,E$1:E2208,1,FALSE()))),"OLD",IF(AND(E2209&lt;&gt;"",E2209&lt;&gt;"!!!"),"NEW","")))</f>
        <v> </v>
      </c>
      <c r="G2209" s="23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4" t="str">
        <f>IF(J2209&lt;&gt;1,"",IF(I2209="SBJ","CB","?"))</f>
        <v> </v>
      </c>
      <c r="I2209" s="25" t="str">
        <f>IF(OR(E2209="",E2209="!!!",F2209="NEW"),"",INDEX(B2208:B$2,-1+SUMPRODUCT(MAX(ROW(E2208:E$2)*(E2209=E2208:E$2)))))</f>
        <v> </v>
      </c>
      <c r="J2209" s="25" t="str">
        <f>IF(OR(E2209="",E2209="!!!",F2209="NEW"),"",COUNTBLANK(OFFSET(A$1,,,SUMPRODUCT(MAX(ROW(E$2:E2209)*(E2209=E$2:E2209)))))-COUNTBLANK(OFFSET(A$1,,,SUMPRODUCT(MAX(ROW(E$1:E2208)*(E2=E$1:E2208))))))</f>
        <v> </v>
      </c>
      <c r="K2209" s="25" t="str">
        <f>IF(OR(E2209="",E2209="!!!",F2209="NEW"),"",INDEX(J$1:J2208,SUMPRODUCT(MAX(ROW(E$1:E2208)*(E2209=E$1:E2208)))))</f>
        <v> </v>
      </c>
      <c r="L2209" s="26"/>
    </row>
    <row r="2210" spans="1:12">
      <c r="A2210" s="20" t="s">
        <v>1651</v>
      </c>
      <c r="E2210" s="21">
        <f>IF(D2210="?OLD","!!!","")</f>
        <v/>
      </c>
      <c r="F2210" s="22" t="str">
        <f>IF(OR(E2210="",E2210="!!!"),"",IF(NOT(ISNA(VLOOKUP(E2210,E$1:E2209,1,FALSE()))),"OLD",IF(AND(E2210&lt;&gt;"",E2210&lt;&gt;"!!!"),"NEW","")))</f>
        <v> </v>
      </c>
      <c r="G2210" s="23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4" t="str">
        <f>IF(J2210&lt;&gt;1,"",IF(I2210="SBJ","CB","?"))</f>
        <v> </v>
      </c>
      <c r="I2210" s="25" t="str">
        <f>IF(OR(E2210="",E2210="!!!",F2210="NEW"),"",INDEX(B2209:B$2,-1+SUMPRODUCT(MAX(ROW(E2209:E$2)*(E2210=E2209:E$2)))))</f>
        <v> </v>
      </c>
      <c r="J2210" s="25" t="str">
        <f>IF(OR(E2210="",E2210="!!!",F2210="NEW"),"",COUNTBLANK(OFFSET(A$1,,,SUMPRODUCT(MAX(ROW(E$2:E2210)*(E2210=E$2:E2210)))))-COUNTBLANK(OFFSET(A$1,,,SUMPRODUCT(MAX(ROW(E$1:E2209)*(E2=E$1:E2209))))))</f>
        <v> </v>
      </c>
      <c r="K2210" s="25" t="str">
        <f>IF(OR(E2210="",E2210="!!!",F2210="NEW"),"",INDEX(J$1:J2209,SUMPRODUCT(MAX(ROW(E$1:E2209)*(E2210=E$1:E2209)))))</f>
        <v> </v>
      </c>
      <c r="L2210" s="26"/>
    </row>
    <row r="2211" spans="1:12">
      <c r="A2211" s="20" t="s">
        <v>1371</v>
      </c>
      <c r="B2211" s="27" t="s">
        <v>895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617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1652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632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1653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1166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1654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1034</v>
      </c>
      <c r="B2218" s="27" t="s">
        <v>801</v>
      </c>
      <c r="C2218" s="27" t="s">
        <v>626</v>
      </c>
      <c r="D2218" s="27" t="s">
        <v>627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1655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1656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796</v>
      </c>
      <c r="B2221" s="27" t="s">
        <v>798</v>
      </c>
      <c r="C2221" s="27" t="s">
        <v>650</v>
      </c>
      <c r="D2221" s="27" t="s">
        <v>627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 t="s">
        <v>617</v>
      </c>
      <c r="E2222" s="21">
        <f>IF(D2222="?OLD","!!!","")</f>
        <v/>
      </c>
      <c r="F2222" s="22" t="str">
        <f>IF(OR(E2222="",E2222="!!!"),"",IF(NOT(ISNA(VLOOKUP(E2222,E$1:E2221,1,FALSE()))),"OLD",IF(AND(E2222&lt;&gt;"",E2222&lt;&gt;"!!!"),"NEW","")))</f>
        <v> </v>
      </c>
      <c r="G2222" s="23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4" t="str">
        <f>IF(J2222&lt;&gt;1,"",IF(I2222="SBJ","CB","?"))</f>
        <v> </v>
      </c>
      <c r="I2222" s="25" t="str">
        <f>IF(OR(E2222="",E2222="!!!",F2222="NEW"),"",INDEX(B2221:B$2,-1+SUMPRODUCT(MAX(ROW(E2221:E$2)*(E2222=E2221:E$2)))))</f>
        <v> </v>
      </c>
      <c r="J2222" s="25" t="str">
        <f>IF(OR(E2222="",E2222="!!!",F2222="NEW"),"",COUNTBLANK(OFFSET(A$1,,,SUMPRODUCT(MAX(ROW(E$2:E2222)*(E2222=E$2:E2222)))))-COUNTBLANK(OFFSET(A$1,,,SUMPRODUCT(MAX(ROW(E$1:E2221)*(E2=E$1:E2221))))))</f>
        <v> </v>
      </c>
      <c r="K2222" s="25" t="str">
        <f>IF(OR(E2222="",E2222="!!!",F2222="NEW"),"",INDEX(J$1:J2221,SUMPRODUCT(MAX(ROW(E$1:E2221)*(E2222=E$1:E2221)))))</f>
        <v> </v>
      </c>
      <c r="L2222" s="26"/>
    </row>
    <row r="2223" spans="1:12">
      <c r="A2223" s="20" t="s">
        <v>733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652</v>
      </c>
      <c r="B2224" s="27" t="s">
        <v>708</v>
      </c>
      <c r="C2224" s="27" t="s">
        <v>626</v>
      </c>
      <c r="D2224" s="27" t="s">
        <v>627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 t="s">
        <v>1625</v>
      </c>
      <c r="B2225" s="27" t="s">
        <v>1657</v>
      </c>
      <c r="C2225" s="27" t="s">
        <v>626</v>
      </c>
      <c r="D2225" s="27" t="s">
        <v>627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1658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761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1260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875</v>
      </c>
      <c r="B2229" s="27" t="s">
        <v>861</v>
      </c>
      <c r="C2229" s="27" t="s">
        <v>683</v>
      </c>
      <c r="D2229" s="27" t="s">
        <v>627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1659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1660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617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651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 t="s">
        <v>1176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 t="s">
        <v>1637</v>
      </c>
      <c r="E2235" s="21">
        <f>IF(D2235="?OLD","!!!","")</f>
        <v/>
      </c>
      <c r="F2235" s="22" t="str">
        <f>IF(OR(E2235="",E2235="!!!"),"",IF(NOT(ISNA(VLOOKUP(E2235,E$1:E2234,1,FALSE()))),"OLD",IF(AND(E2235&lt;&gt;"",E2235&lt;&gt;"!!!"),"NEW","")))</f>
        <v> </v>
      </c>
      <c r="G2235" s="23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4" t="str">
        <f>IF(J2235&lt;&gt;1,"",IF(I2235="SBJ","CB","?"))</f>
        <v> </v>
      </c>
      <c r="I2235" s="25" t="str">
        <f>IF(OR(E2235="",E2235="!!!",F2235="NEW"),"",INDEX(B2234:B$2,-1+SUMPRODUCT(MAX(ROW(E2234:E$2)*(E2235=E2234:E$2)))))</f>
        <v> </v>
      </c>
      <c r="J2235" s="25" t="str">
        <f>IF(OR(E2235="",E2235="!!!",F2235="NEW"),"",COUNTBLANK(OFFSET(A$1,,,SUMPRODUCT(MAX(ROW(E$2:E2235)*(E2235=E$2:E2235)))))-COUNTBLANK(OFFSET(A$1,,,SUMPRODUCT(MAX(ROW(E$1:E2234)*(E2=E$1:E2234))))))</f>
        <v> </v>
      </c>
      <c r="K2235" s="25" t="str">
        <f>IF(OR(E2235="",E2235="!!!",F2235="NEW"),"",INDEX(J$1:J2234,SUMPRODUCT(MAX(ROW(E$1:E2234)*(E2235=E$1:E2234)))))</f>
        <v> </v>
      </c>
      <c r="L2235" s="26"/>
    </row>
    <row r="2236" spans="1:12">
      <c r="A2236" s="20" t="s">
        <v>1661</v>
      </c>
      <c r="B2236" s="27" t="s">
        <v>1172</v>
      </c>
      <c r="C2236" s="27" t="s">
        <v>640</v>
      </c>
      <c r="D2236" s="27" t="s">
        <v>627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1662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1663</v>
      </c>
      <c r="B2238" s="27" t="s">
        <v>861</v>
      </c>
      <c r="C2238" s="27" t="s">
        <v>697</v>
      </c>
      <c r="D2238" s="27" t="s">
        <v>627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1664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1166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1654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1665</v>
      </c>
      <c r="B2242" s="27" t="s">
        <v>1262</v>
      </c>
      <c r="C2242" s="27" t="s">
        <v>626</v>
      </c>
      <c r="D2242" s="27" t="s">
        <v>627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 t="s">
        <v>1666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1656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1667</v>
      </c>
      <c r="B2245" s="27" t="s">
        <v>1393</v>
      </c>
      <c r="C2245" s="27" t="s">
        <v>650</v>
      </c>
      <c r="D2245" s="27" t="s">
        <v>627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617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733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775</v>
      </c>
      <c r="B2248" s="27" t="s">
        <v>1668</v>
      </c>
      <c r="C2248" s="27" t="s">
        <v>626</v>
      </c>
      <c r="D2248" s="27" t="s">
        <v>627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1669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1294</v>
      </c>
      <c r="B2250" s="27" t="s">
        <v>1670</v>
      </c>
      <c r="C2250" s="27" t="s">
        <v>626</v>
      </c>
      <c r="D2250" s="27" t="s">
        <v>627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802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1671</v>
      </c>
      <c r="B2252" s="27" t="s">
        <v>867</v>
      </c>
      <c r="C2252" s="27" t="s">
        <v>697</v>
      </c>
      <c r="D2252" s="27" t="s">
        <v>627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761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1260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990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733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617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1101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1102</v>
      </c>
      <c r="B2259" s="27" t="s">
        <v>1672</v>
      </c>
      <c r="C2259" s="27" t="s">
        <v>626</v>
      </c>
      <c r="D2259" s="27" t="s">
        <v>627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617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1673</v>
      </c>
      <c r="B2261" s="27" t="s">
        <v>1268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1674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623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/>
    </row>
    <row r="2265" spans="1:12">
      <c r="A2265" s="20" t="s">
        <v>1675</v>
      </c>
    </row>
    <row r="2266" spans="1:12">
      <c r="A2266" s="20" t="s">
        <v>681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 t="s">
        <v>682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606</v>
      </c>
      <c r="B2268" s="27" t="s">
        <v>613</v>
      </c>
      <c r="C2268" s="27" t="s">
        <v>626</v>
      </c>
      <c r="D2268" s="27" t="s">
        <v>627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 t="s">
        <v>1676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623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/>
    </row>
    <row r="2272" spans="1:12">
      <c r="A2272" s="20" t="s">
        <v>1677</v>
      </c>
    </row>
    <row r="2273" spans="1:12">
      <c r="A2273" s="20" t="s">
        <v>687</v>
      </c>
      <c r="B2273" s="27" t="s">
        <v>613</v>
      </c>
      <c r="C2273" s="27" t="s">
        <v>626</v>
      </c>
      <c r="D2273" s="27" t="s">
        <v>627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1678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1679</v>
      </c>
      <c r="B2275" s="27" t="s">
        <v>647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617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652</v>
      </c>
      <c r="B2277" s="27" t="s">
        <v>636</v>
      </c>
      <c r="C2277" s="27" t="s">
        <v>626</v>
      </c>
      <c r="D2277" s="27" t="s">
        <v>627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1680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1681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 t="s">
        <v>1010</v>
      </c>
      <c r="B2280" s="27" t="s">
        <v>706</v>
      </c>
      <c r="C2280" s="27" t="s">
        <v>626</v>
      </c>
      <c r="D2280" s="27" t="s">
        <v>627</v>
      </c>
      <c r="E2280" s="21">
        <f>IF(D2280="?OLD","!!!","")</f>
        <v/>
      </c>
      <c r="F2280" s="22" t="str">
        <f>IF(OR(E2280="",E2280="!!!"),"",IF(NOT(ISNA(VLOOKUP(E2280,E$1:E2279,1,FALSE()))),"OLD",IF(AND(E2280&lt;&gt;"",E2280&lt;&gt;"!!!"),"NEW","")))</f>
        <v> </v>
      </c>
      <c r="G2280" s="23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4" t="str">
        <f>IF(J2280&lt;&gt;1,"",IF(I2280="SBJ","CB","?"))</f>
        <v> </v>
      </c>
      <c r="I2280" s="25" t="str">
        <f>IF(OR(E2280="",E2280="!!!",F2280="NEW"),"",INDEX(B2279:B$2,-1+SUMPRODUCT(MAX(ROW(E2279:E$2)*(E2280=E2279:E$2)))))</f>
        <v> </v>
      </c>
      <c r="J2280" s="25" t="str">
        <f>IF(OR(E2280="",E2280="!!!",F2280="NEW"),"",COUNTBLANK(OFFSET(A$1,,,SUMPRODUCT(MAX(ROW(E$2:E2280)*(E2280=E$2:E2280)))))-COUNTBLANK(OFFSET(A$1,,,SUMPRODUCT(MAX(ROW(E$1:E2279)*(E2=E$1:E2279))))))</f>
        <v> </v>
      </c>
      <c r="K2280" s="25" t="str">
        <f>IF(OR(E2280="",E2280="!!!",F2280="NEW"),"",INDEX(J$1:J2279,SUMPRODUCT(MAX(ROW(E$1:E2279)*(E2280=E$1:E2279)))))</f>
        <v> </v>
      </c>
      <c r="L2280" s="26"/>
    </row>
    <row r="2281" spans="1:12">
      <c r="A2281" s="20" t="s">
        <v>606</v>
      </c>
      <c r="E2281" s="21">
        <f>IF(D2281="?OLD","!!!","")</f>
        <v/>
      </c>
      <c r="F2281" s="22" t="str">
        <f>IF(OR(E2281="",E2281="!!!"),"",IF(NOT(ISNA(VLOOKUP(E2281,E$1:E2280,1,FALSE()))),"OLD",IF(AND(E2281&lt;&gt;"",E2281&lt;&gt;"!!!"),"NEW","")))</f>
        <v> </v>
      </c>
      <c r="G2281" s="23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4" t="str">
        <f>IF(J2281&lt;&gt;1,"",IF(I2281="SBJ","CB","?"))</f>
        <v> </v>
      </c>
      <c r="I2281" s="25" t="str">
        <f>IF(OR(E2281="",E2281="!!!",F2281="NEW"),"",INDEX(B2280:B$2,-1+SUMPRODUCT(MAX(ROW(E2280:E$2)*(E2281=E2280:E$2)))))</f>
        <v> </v>
      </c>
      <c r="J2281" s="25" t="str">
        <f>IF(OR(E2281="",E2281="!!!",F2281="NEW"),"",COUNTBLANK(OFFSET(A$1,,,SUMPRODUCT(MAX(ROW(E$2:E2281)*(E2281=E$2:E2281)))))-COUNTBLANK(OFFSET(A$1,,,SUMPRODUCT(MAX(ROW(E$1:E2280)*(E2=E$1:E2280))))))</f>
        <v> </v>
      </c>
      <c r="K2281" s="25" t="str">
        <f>IF(OR(E2281="",E2281="!!!",F2281="NEW"),"",INDEX(J$1:J2280,SUMPRODUCT(MAX(ROW(E$1:E2280)*(E2281=E$1:E2280)))))</f>
        <v> </v>
      </c>
      <c r="L2281" s="26"/>
    </row>
    <row r="2282" spans="1:12">
      <c r="A2282" s="20" t="s">
        <v>751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1373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1485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1371</v>
      </c>
      <c r="B2285" s="27" t="s">
        <v>895</v>
      </c>
      <c r="C2285" s="27" t="s">
        <v>650</v>
      </c>
      <c r="D2285" s="27" t="s">
        <v>627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623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/>
    </row>
    <row r="2288" spans="1:12">
      <c r="A2288" s="20" t="s">
        <v>1682</v>
      </c>
    </row>
    <row r="2289" spans="1:12">
      <c r="A2289" s="20" t="s">
        <v>838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652</v>
      </c>
      <c r="B2290" s="27" t="s">
        <v>613</v>
      </c>
      <c r="C2290" s="27" t="s">
        <v>626</v>
      </c>
      <c r="D2290" s="27" t="s">
        <v>627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1683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1414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1253</v>
      </c>
      <c r="B2293" s="27" t="s">
        <v>608</v>
      </c>
      <c r="C2293" s="27" t="s">
        <v>683</v>
      </c>
      <c r="D2293" s="27" t="s">
        <v>627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623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/>
    </row>
    <row r="2296" spans="1:12">
      <c r="A2296" s="20" t="s">
        <v>1684</v>
      </c>
    </row>
    <row r="2297" spans="1:12">
      <c r="A2297" s="20" t="s">
        <v>999</v>
      </c>
      <c r="B2297" s="27" t="s">
        <v>613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 t="s">
        <v>1685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 t="s">
        <v>632</v>
      </c>
      <c r="E2299" s="21">
        <f>IF(D2299="?OLD","!!!","")</f>
        <v/>
      </c>
      <c r="F2299" s="22" t="str">
        <f>IF(OR(E2299="",E2299="!!!"),"",IF(NOT(ISNA(VLOOKUP(E2299,E$1:E2298,1,FALSE()))),"OLD",IF(AND(E2299&lt;&gt;"",E2299&lt;&gt;"!!!"),"NEW","")))</f>
        <v> </v>
      </c>
      <c r="G2299" s="23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4" t="str">
        <f>IF(J2299&lt;&gt;1,"",IF(I2299="SBJ","CB","?"))</f>
        <v> </v>
      </c>
      <c r="I2299" s="25" t="str">
        <f>IF(OR(E2299="",E2299="!!!",F2299="NEW"),"",INDEX(B2298:B$2,-1+SUMPRODUCT(MAX(ROW(E2298:E$2)*(E2299=E2298:E$2)))))</f>
        <v> </v>
      </c>
      <c r="J2299" s="25" t="str">
        <f>IF(OR(E2299="",E2299="!!!",F2299="NEW"),"",COUNTBLANK(OFFSET(A$1,,,SUMPRODUCT(MAX(ROW(E$2:E2299)*(E2299=E$2:E2299)))))-COUNTBLANK(OFFSET(A$1,,,SUMPRODUCT(MAX(ROW(E$1:E2298)*(E2=E$1:E2298))))))</f>
        <v> </v>
      </c>
      <c r="K2299" s="25" t="str">
        <f>IF(OR(E2299="",E2299="!!!",F2299="NEW"),"",INDEX(J$1:J2298,SUMPRODUCT(MAX(ROW(E$1:E2298)*(E2299=E$1:E2298)))))</f>
        <v> </v>
      </c>
      <c r="L2299" s="26"/>
    </row>
    <row r="2300" spans="1:12">
      <c r="A2300" s="20" t="s">
        <v>1686</v>
      </c>
      <c r="E2300" s="21">
        <f>IF(D2300="?OLD","!!!","")</f>
        <v/>
      </c>
      <c r="F2300" s="22" t="str">
        <f>IF(OR(E2300="",E2300="!!!"),"",IF(NOT(ISNA(VLOOKUP(E2300,E$1:E2299,1,FALSE()))),"OLD",IF(AND(E2300&lt;&gt;"",E2300&lt;&gt;"!!!"),"NEW","")))</f>
        <v> </v>
      </c>
      <c r="G2300" s="23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4" t="str">
        <f>IF(J2300&lt;&gt;1,"",IF(I2300="SBJ","CB","?"))</f>
        <v> </v>
      </c>
      <c r="I2300" s="25" t="str">
        <f>IF(OR(E2300="",E2300="!!!",F2300="NEW"),"",INDEX(B2299:B$2,-1+SUMPRODUCT(MAX(ROW(E2299:E$2)*(E2300=E2299:E$2)))))</f>
        <v> </v>
      </c>
      <c r="J2300" s="25" t="str">
        <f>IF(OR(E2300="",E2300="!!!",F2300="NEW"),"",COUNTBLANK(OFFSET(A$1,,,SUMPRODUCT(MAX(ROW(E$2:E2300)*(E2300=E$2:E2300)))))-COUNTBLANK(OFFSET(A$1,,,SUMPRODUCT(MAX(ROW(E$1:E2299)*(E2=E$1:E2299))))))</f>
        <v> </v>
      </c>
      <c r="K2300" s="25" t="str">
        <f>IF(OR(E2300="",E2300="!!!",F2300="NEW"),"",INDEX(J$1:J2299,SUMPRODUCT(MAX(ROW(E$1:E2299)*(E2300=E$1:E2299)))))</f>
        <v> </v>
      </c>
      <c r="L2300" s="26"/>
    </row>
    <row r="2301" spans="1:12">
      <c r="A2301" s="20" t="s">
        <v>1316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802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 t="s">
        <v>1687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617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 t="s">
        <v>1688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 t="s">
        <v>617</v>
      </c>
      <c r="E2306" s="21">
        <f>IF(D2306="?OLD","!!!","")</f>
        <v/>
      </c>
      <c r="F2306" s="22" t="str">
        <f>IF(OR(E2306="",E2306="!!!"),"",IF(NOT(ISNA(VLOOKUP(E2306,E$1:E2305,1,FALSE()))),"OLD",IF(AND(E2306&lt;&gt;"",E2306&lt;&gt;"!!!"),"NEW","")))</f>
        <v> </v>
      </c>
      <c r="G2306" s="23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4" t="str">
        <f>IF(J2306&lt;&gt;1,"",IF(I2306="SBJ","CB","?"))</f>
        <v> </v>
      </c>
      <c r="I2306" s="25" t="str">
        <f>IF(OR(E2306="",E2306="!!!",F2306="NEW"),"",INDEX(B2305:B$2,-1+SUMPRODUCT(MAX(ROW(E2305:E$2)*(E2306=E2305:E$2)))))</f>
        <v> </v>
      </c>
      <c r="J2306" s="25" t="str">
        <f>IF(OR(E2306="",E2306="!!!",F2306="NEW"),"",COUNTBLANK(OFFSET(A$1,,,SUMPRODUCT(MAX(ROW(E$2:E2306)*(E2306=E$2:E2306)))))-COUNTBLANK(OFFSET(A$1,,,SUMPRODUCT(MAX(ROW(E$1:E2305)*(E2=E$1:E2305))))))</f>
        <v> </v>
      </c>
      <c r="K2306" s="25" t="str">
        <f>IF(OR(E2306="",E2306="!!!",F2306="NEW"),"",INDEX(J$1:J2305,SUMPRODUCT(MAX(ROW(E$1:E2305)*(E2306=E$1:E2305)))))</f>
        <v> </v>
      </c>
      <c r="L2306" s="26"/>
    </row>
    <row r="2307" spans="1:12">
      <c r="A2307" s="20" t="s">
        <v>1689</v>
      </c>
      <c r="E2307" s="21">
        <f>IF(D2307="?OLD","!!!","")</f>
        <v/>
      </c>
      <c r="F2307" s="22" t="str">
        <f>IF(OR(E2307="",E2307="!!!"),"",IF(NOT(ISNA(VLOOKUP(E2307,E$1:E2306,1,FALSE()))),"OLD",IF(AND(E2307&lt;&gt;"",E2307&lt;&gt;"!!!"),"NEW","")))</f>
        <v> </v>
      </c>
      <c r="G2307" s="23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4" t="str">
        <f>IF(J2307&lt;&gt;1,"",IF(I2307="SBJ","CB","?"))</f>
        <v> </v>
      </c>
      <c r="I2307" s="25" t="str">
        <f>IF(OR(E2307="",E2307="!!!",F2307="NEW"),"",INDEX(B2306:B$2,-1+SUMPRODUCT(MAX(ROW(E2306:E$2)*(E2307=E2306:E$2)))))</f>
        <v> </v>
      </c>
      <c r="J2307" s="25" t="str">
        <f>IF(OR(E2307="",E2307="!!!",F2307="NEW"),"",COUNTBLANK(OFFSET(A$1,,,SUMPRODUCT(MAX(ROW(E$2:E2307)*(E2307=E$2:E2307)))))-COUNTBLANK(OFFSET(A$1,,,SUMPRODUCT(MAX(ROW(E$1:E2306)*(E2=E$1:E2306))))))</f>
        <v> </v>
      </c>
      <c r="K2307" s="25" t="str">
        <f>IF(OR(E2307="",E2307="!!!",F2307="NEW"),"",INDEX(J$1:J2306,SUMPRODUCT(MAX(ROW(E$1:E2306)*(E2307=E$1:E2306)))))</f>
        <v> </v>
      </c>
      <c r="L2307" s="26"/>
    </row>
    <row r="2308" spans="1:12">
      <c r="A2308" s="20" t="s">
        <v>1690</v>
      </c>
      <c r="E2308" s="21">
        <f>IF(D2308="?OLD","!!!","")</f>
        <v/>
      </c>
      <c r="F2308" s="22" t="str">
        <f>IF(OR(E2308="",E2308="!!!"),"",IF(NOT(ISNA(VLOOKUP(E2308,E$1:E2307,1,FALSE()))),"OLD",IF(AND(E2308&lt;&gt;"",E2308&lt;&gt;"!!!"),"NEW","")))</f>
        <v> </v>
      </c>
      <c r="G2308" s="23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4" t="str">
        <f>IF(J2308&lt;&gt;1,"",IF(I2308="SBJ","CB","?"))</f>
        <v> </v>
      </c>
      <c r="I2308" s="25" t="str">
        <f>IF(OR(E2308="",E2308="!!!",F2308="NEW"),"",INDEX(B2307:B$2,-1+SUMPRODUCT(MAX(ROW(E2307:E$2)*(E2308=E2307:E$2)))))</f>
        <v> </v>
      </c>
      <c r="J2308" s="25" t="str">
        <f>IF(OR(E2308="",E2308="!!!",F2308="NEW"),"",COUNTBLANK(OFFSET(A$1,,,SUMPRODUCT(MAX(ROW(E$2:E2308)*(E2308=E$2:E2308)))))-COUNTBLANK(OFFSET(A$1,,,SUMPRODUCT(MAX(ROW(E$1:E2307)*(E2=E$1:E2307))))))</f>
        <v> </v>
      </c>
      <c r="K2308" s="25" t="str">
        <f>IF(OR(E2308="",E2308="!!!",F2308="NEW"),"",INDEX(J$1:J2307,SUMPRODUCT(MAX(ROW(E$1:E2307)*(E2308=E$1:E2307)))))</f>
        <v> </v>
      </c>
      <c r="L2308" s="26"/>
    </row>
    <row r="2309" spans="1:12">
      <c r="A2309" s="20" t="s">
        <v>617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1691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632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1692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1693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617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632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606</v>
      </c>
      <c r="B2316" s="27" t="s">
        <v>636</v>
      </c>
      <c r="C2316" s="27" t="s">
        <v>626</v>
      </c>
      <c r="D2316" s="27" t="s">
        <v>627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 t="s">
        <v>852</v>
      </c>
      <c r="E2317" s="21">
        <f>IF(D2317="?OLD","!!!","")</f>
        <v/>
      </c>
      <c r="F2317" s="22" t="str">
        <f>IF(OR(E2317="",E2317="!!!"),"",IF(NOT(ISNA(VLOOKUP(E2317,E$1:E2316,1,FALSE()))),"OLD",IF(AND(E2317&lt;&gt;"",E2317&lt;&gt;"!!!"),"NEW","")))</f>
        <v> </v>
      </c>
      <c r="G2317" s="23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4" t="str">
        <f>IF(J2317&lt;&gt;1,"",IF(I2317="SBJ","CB","?"))</f>
        <v> </v>
      </c>
      <c r="I2317" s="25" t="str">
        <f>IF(OR(E2317="",E2317="!!!",F2317="NEW"),"",INDEX(B2316:B$2,-1+SUMPRODUCT(MAX(ROW(E2316:E$2)*(E2317=E2316:E$2)))))</f>
        <v> </v>
      </c>
      <c r="J2317" s="25" t="str">
        <f>IF(OR(E2317="",E2317="!!!",F2317="NEW"),"",COUNTBLANK(OFFSET(A$1,,,SUMPRODUCT(MAX(ROW(E$2:E2317)*(E2317=E$2:E2317)))))-COUNTBLANK(OFFSET(A$1,,,SUMPRODUCT(MAX(ROW(E$1:E2316)*(E2=E$1:E2316))))))</f>
        <v> </v>
      </c>
      <c r="K2317" s="25" t="str">
        <f>IF(OR(E2317="",E2317="!!!",F2317="NEW"),"",INDEX(J$1:J2316,SUMPRODUCT(MAX(ROW(E$1:E2316)*(E2317=E$1:E2316)))))</f>
        <v> </v>
      </c>
      <c r="L2317" s="26"/>
    </row>
    <row r="2318" spans="1:12">
      <c r="A2318" s="20" t="s">
        <v>913</v>
      </c>
      <c r="B2318" s="27" t="s">
        <v>608</v>
      </c>
      <c r="C2318" s="27" t="s">
        <v>683</v>
      </c>
      <c r="D2318" s="27" t="s">
        <v>627</v>
      </c>
      <c r="E2318" s="21">
        <f>IF(D2318="?OLD","!!!","")</f>
        <v/>
      </c>
      <c r="F2318" s="22" t="str">
        <f>IF(OR(E2318="",E2318="!!!"),"",IF(NOT(ISNA(VLOOKUP(E2318,E$1:E2317,1,FALSE()))),"OLD",IF(AND(E2318&lt;&gt;"",E2318&lt;&gt;"!!!"),"NEW","")))</f>
        <v> </v>
      </c>
      <c r="G2318" s="23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4" t="str">
        <f>IF(J2318&lt;&gt;1,"",IF(I2318="SBJ","CB","?"))</f>
        <v> </v>
      </c>
      <c r="I2318" s="25" t="str">
        <f>IF(OR(E2318="",E2318="!!!",F2318="NEW"),"",INDEX(B2317:B$2,-1+SUMPRODUCT(MAX(ROW(E2317:E$2)*(E2318=E2317:E$2)))))</f>
        <v> </v>
      </c>
      <c r="J2318" s="25" t="str">
        <f>IF(OR(E2318="",E2318="!!!",F2318="NEW"),"",COUNTBLANK(OFFSET(A$1,,,SUMPRODUCT(MAX(ROW(E$2:E2318)*(E2318=E$2:E2318)))))-COUNTBLANK(OFFSET(A$1,,,SUMPRODUCT(MAX(ROW(E$1:E2317)*(E2=E$1:E2317))))))</f>
        <v> </v>
      </c>
      <c r="K2318" s="25" t="str">
        <f>IF(OR(E2318="",E2318="!!!",F2318="NEW"),"",INDEX(J$1:J2317,SUMPRODUCT(MAX(ROW(E$1:E2317)*(E2318=E$1:E2317)))))</f>
        <v> </v>
      </c>
      <c r="L2318" s="26"/>
    </row>
    <row r="2319" spans="1:12">
      <c r="A2319" s="20" t="s">
        <v>617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831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1681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 t="s">
        <v>754</v>
      </c>
      <c r="B2322" s="27" t="s">
        <v>706</v>
      </c>
      <c r="E2322" s="21">
        <f>IF(D2322="?OLD","!!!","")</f>
        <v/>
      </c>
      <c r="F2322" s="22" t="str">
        <f>IF(OR(E2322="",E2322="!!!"),"",IF(NOT(ISNA(VLOOKUP(E2322,E$1:E2321,1,FALSE()))),"OLD",IF(AND(E2322&lt;&gt;"",E2322&lt;&gt;"!!!"),"NEW","")))</f>
        <v> </v>
      </c>
      <c r="G2322" s="23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4" t="str">
        <f>IF(J2322&lt;&gt;1,"",IF(I2322="SBJ","CB","?"))</f>
        <v> </v>
      </c>
      <c r="I2322" s="25" t="str">
        <f>IF(OR(E2322="",E2322="!!!",F2322="NEW"),"",INDEX(B2321:B$2,-1+SUMPRODUCT(MAX(ROW(E2321:E$2)*(E2322=E2321:E$2)))))</f>
        <v> </v>
      </c>
      <c r="J2322" s="25" t="str">
        <f>IF(OR(E2322="",E2322="!!!",F2322="NEW"),"",COUNTBLANK(OFFSET(A$1,,,SUMPRODUCT(MAX(ROW(E$2:E2322)*(E2322=E$2:E2322)))))-COUNTBLANK(OFFSET(A$1,,,SUMPRODUCT(MAX(ROW(E$1:E2321)*(E2=E$1:E2321))))))</f>
        <v> </v>
      </c>
      <c r="K2322" s="25" t="str">
        <f>IF(OR(E2322="",E2322="!!!",F2322="NEW"),"",INDEX(J$1:J2321,SUMPRODUCT(MAX(ROW(E$1:E2321)*(E2322=E$1:E2321)))))</f>
        <v> </v>
      </c>
      <c r="L2322" s="26"/>
    </row>
    <row r="2323" spans="1:12">
      <c r="A2323" s="20" t="s">
        <v>1373</v>
      </c>
      <c r="E2323" s="21">
        <f>IF(D2323="?OLD","!!!","")</f>
        <v/>
      </c>
      <c r="F2323" s="22" t="str">
        <f>IF(OR(E2323="",E2323="!!!"),"",IF(NOT(ISNA(VLOOKUP(E2323,E$1:E2322,1,FALSE()))),"OLD",IF(AND(E2323&lt;&gt;"",E2323&lt;&gt;"!!!"),"NEW","")))</f>
        <v> </v>
      </c>
      <c r="G2323" s="23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4" t="str">
        <f>IF(J2323&lt;&gt;1,"",IF(I2323="SBJ","CB","?"))</f>
        <v> </v>
      </c>
      <c r="I2323" s="25" t="str">
        <f>IF(OR(E2323="",E2323="!!!",F2323="NEW"),"",INDEX(B2322:B$2,-1+SUMPRODUCT(MAX(ROW(E2322:E$2)*(E2323=E2322:E$2)))))</f>
        <v> </v>
      </c>
      <c r="J2323" s="25" t="str">
        <f>IF(OR(E2323="",E2323="!!!",F2323="NEW"),"",COUNTBLANK(OFFSET(A$1,,,SUMPRODUCT(MAX(ROW(E$2:E2323)*(E2323=E$2:E2323)))))-COUNTBLANK(OFFSET(A$1,,,SUMPRODUCT(MAX(ROW(E$1:E2322)*(E2=E$1:E2322))))))</f>
        <v> </v>
      </c>
      <c r="K2323" s="25" t="str">
        <f>IF(OR(E2323="",E2323="!!!",F2323="NEW"),"",INDEX(J$1:J2322,SUMPRODUCT(MAX(ROW(E$1:E2322)*(E2323=E$1:E2322)))))</f>
        <v> </v>
      </c>
      <c r="L2323" s="26"/>
    </row>
    <row r="2324" spans="1:12">
      <c r="A2324" s="20" t="s">
        <v>1642</v>
      </c>
      <c r="E2324" s="21">
        <f>IF(D2324="?OLD","!!!","")</f>
        <v/>
      </c>
      <c r="F2324" s="22" t="str">
        <f>IF(OR(E2324="",E2324="!!!"),"",IF(NOT(ISNA(VLOOKUP(E2324,E$1:E2323,1,FALSE()))),"OLD",IF(AND(E2324&lt;&gt;"",E2324&lt;&gt;"!!!"),"NEW","")))</f>
        <v> </v>
      </c>
      <c r="G2324" s="23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4" t="str">
        <f>IF(J2324&lt;&gt;1,"",IF(I2324="SBJ","CB","?"))</f>
        <v> </v>
      </c>
      <c r="I2324" s="25" t="str">
        <f>IF(OR(E2324="",E2324="!!!",F2324="NEW"),"",INDEX(B2323:B$2,-1+SUMPRODUCT(MAX(ROW(E2323:E$2)*(E2324=E2323:E$2)))))</f>
        <v> </v>
      </c>
      <c r="J2324" s="25" t="str">
        <f>IF(OR(E2324="",E2324="!!!",F2324="NEW"),"",COUNTBLANK(OFFSET(A$1,,,SUMPRODUCT(MAX(ROW(E$2:E2324)*(E2324=E$2:E2324)))))-COUNTBLANK(OFFSET(A$1,,,SUMPRODUCT(MAX(ROW(E$1:E2323)*(E2=E$1:E2323))))))</f>
        <v> </v>
      </c>
      <c r="K2324" s="25" t="str">
        <f>IF(OR(E2324="",E2324="!!!",F2324="NEW"),"",INDEX(J$1:J2323,SUMPRODUCT(MAX(ROW(E$1:E2323)*(E2324=E$1:E2323)))))</f>
        <v> </v>
      </c>
      <c r="L2324" s="26"/>
    </row>
    <row r="2325" spans="1:12">
      <c r="A2325" s="20" t="s">
        <v>1371</v>
      </c>
      <c r="B2325" s="27" t="s">
        <v>895</v>
      </c>
      <c r="E2325" s="21">
        <f>IF(D2325="?OLD","!!!","")</f>
        <v/>
      </c>
      <c r="F2325" s="22" t="str">
        <f>IF(OR(E2325="",E2325="!!!"),"",IF(NOT(ISNA(VLOOKUP(E2325,E$1:E2324,1,FALSE()))),"OLD",IF(AND(E2325&lt;&gt;"",E2325&lt;&gt;"!!!"),"NEW","")))</f>
        <v> </v>
      </c>
      <c r="G2325" s="23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4" t="str">
        <f>IF(J2325&lt;&gt;1,"",IF(I2325="SBJ","CB","?"))</f>
        <v> </v>
      </c>
      <c r="I2325" s="25" t="str">
        <f>IF(OR(E2325="",E2325="!!!",F2325="NEW"),"",INDEX(B2324:B$2,-1+SUMPRODUCT(MAX(ROW(E2324:E$2)*(E2325=E2324:E$2)))))</f>
        <v> </v>
      </c>
      <c r="J2325" s="25" t="str">
        <f>IF(OR(E2325="",E2325="!!!",F2325="NEW"),"",COUNTBLANK(OFFSET(A$1,,,SUMPRODUCT(MAX(ROW(E$2:E2325)*(E2325=E$2:E2325)))))-COUNTBLANK(OFFSET(A$1,,,SUMPRODUCT(MAX(ROW(E$1:E2324)*(E2=E$1:E2324))))))</f>
        <v> </v>
      </c>
      <c r="K2325" s="25" t="str">
        <f>IF(OR(E2325="",E2325="!!!",F2325="NEW"),"",INDEX(J$1:J2324,SUMPRODUCT(MAX(ROW(E$1:E2324)*(E2325=E$1:E2324)))))</f>
        <v> </v>
      </c>
      <c r="L2325" s="26"/>
    </row>
    <row r="2326" spans="1:12">
      <c r="A2326" s="20" t="s">
        <v>623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/>
    </row>
    <row r="2328" spans="1:12">
      <c r="A2328" s="20" t="s">
        <v>1694</v>
      </c>
    </row>
    <row r="2329" spans="1:12">
      <c r="A2329" s="20" t="s">
        <v>838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617</v>
      </c>
      <c r="E2330" s="21">
        <f>IF(D2330="?OLD","!!!","")</f>
        <v/>
      </c>
      <c r="F2330" s="22" t="str">
        <f>IF(OR(E2330="",E2330="!!!"),"",IF(NOT(ISNA(VLOOKUP(E2330,E$1:E2329,1,FALSE()))),"OLD",IF(AND(E2330&lt;&gt;"",E2330&lt;&gt;"!!!"),"NEW","")))</f>
        <v> </v>
      </c>
      <c r="G2330" s="23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4" t="str">
        <f>IF(J2330&lt;&gt;1,"",IF(I2330="SBJ","CB","?"))</f>
        <v> </v>
      </c>
      <c r="I2330" s="25" t="str">
        <f>IF(OR(E2330="",E2330="!!!",F2330="NEW"),"",INDEX(B2329:B$2,-1+SUMPRODUCT(MAX(ROW(E2329:E$2)*(E2330=E2329:E$2)))))</f>
        <v> </v>
      </c>
      <c r="J2330" s="25" t="str">
        <f>IF(OR(E2330="",E2330="!!!",F2330="NEW"),"",COUNTBLANK(OFFSET(A$1,,,SUMPRODUCT(MAX(ROW(E$2:E2330)*(E2330=E$2:E2330)))))-COUNTBLANK(OFFSET(A$1,,,SUMPRODUCT(MAX(ROW(E$1:E2329)*(E2=E$1:E2329))))))</f>
        <v> </v>
      </c>
      <c r="K2330" s="25" t="str">
        <f>IF(OR(E2330="",E2330="!!!",F2330="NEW"),"",INDEX(J$1:J2329,SUMPRODUCT(MAX(ROW(E$1:E2329)*(E2330=E$1:E2329)))))</f>
        <v> </v>
      </c>
      <c r="L2330" s="26"/>
    </row>
    <row r="2331" spans="1:12">
      <c r="A2331" s="20" t="s">
        <v>633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 t="s">
        <v>617</v>
      </c>
      <c r="E2332" s="21">
        <f>IF(D2332="?OLD","!!!","")</f>
        <v/>
      </c>
      <c r="F2332" s="22" t="str">
        <f>IF(OR(E2332="",E2332="!!!"),"",IF(NOT(ISNA(VLOOKUP(E2332,E$1:E2331,1,FALSE()))),"OLD",IF(AND(E2332&lt;&gt;"",E2332&lt;&gt;"!!!"),"NEW","")))</f>
        <v> </v>
      </c>
      <c r="G2332" s="23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4" t="str">
        <f>IF(J2332&lt;&gt;1,"",IF(I2332="SBJ","CB","?"))</f>
        <v> </v>
      </c>
      <c r="I2332" s="25" t="str">
        <f>IF(OR(E2332="",E2332="!!!",F2332="NEW"),"",INDEX(B2331:B$2,-1+SUMPRODUCT(MAX(ROW(E2331:E$2)*(E2332=E2331:E$2)))))</f>
        <v> </v>
      </c>
      <c r="J2332" s="25" t="str">
        <f>IF(OR(E2332="",E2332="!!!",F2332="NEW"),"",COUNTBLANK(OFFSET(A$1,,,SUMPRODUCT(MAX(ROW(E$2:E2332)*(E2332=E$2:E2332)))))-COUNTBLANK(OFFSET(A$1,,,SUMPRODUCT(MAX(ROW(E$1:E2331)*(E2=E$1:E2331))))))</f>
        <v> </v>
      </c>
      <c r="K2332" s="25" t="str">
        <f>IF(OR(E2332="",E2332="!!!",F2332="NEW"),"",INDEX(J$1:J2331,SUMPRODUCT(MAX(ROW(E$1:E2331)*(E2332=E$1:E2331)))))</f>
        <v> </v>
      </c>
      <c r="L2332" s="26"/>
    </row>
    <row r="2333" spans="1:12">
      <c r="A2333" s="20" t="s">
        <v>682</v>
      </c>
      <c r="B2333" s="27" t="s">
        <v>613</v>
      </c>
      <c r="C2333" s="27" t="s">
        <v>683</v>
      </c>
      <c r="D2333" s="27" t="s">
        <v>627</v>
      </c>
      <c r="E2333" s="21">
        <f>IF(D2333="?OLD","!!!","")</f>
        <v/>
      </c>
      <c r="F2333" s="22" t="str">
        <f>IF(OR(E2333="",E2333="!!!"),"",IF(NOT(ISNA(VLOOKUP(E2333,E$1:E2332,1,FALSE()))),"OLD",IF(AND(E2333&lt;&gt;"",E2333&lt;&gt;"!!!"),"NEW","")))</f>
        <v> </v>
      </c>
      <c r="G2333" s="23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4" t="str">
        <f>IF(J2333&lt;&gt;1,"",IF(I2333="SBJ","CB","?"))</f>
        <v> </v>
      </c>
      <c r="I2333" s="25" t="str">
        <f>IF(OR(E2333="",E2333="!!!",F2333="NEW"),"",INDEX(B2332:B$2,-1+SUMPRODUCT(MAX(ROW(E2332:E$2)*(E2333=E2332:E$2)))))</f>
        <v> </v>
      </c>
      <c r="J2333" s="25" t="str">
        <f>IF(OR(E2333="",E2333="!!!",F2333="NEW"),"",COUNTBLANK(OFFSET(A$1,,,SUMPRODUCT(MAX(ROW(E$2:E2333)*(E2333=E$2:E2333)))))-COUNTBLANK(OFFSET(A$1,,,SUMPRODUCT(MAX(ROW(E$1:E2332)*(E2=E$1:E2332))))))</f>
        <v> </v>
      </c>
      <c r="K2333" s="25" t="str">
        <f>IF(OR(E2333="",E2333="!!!",F2333="NEW"),"",INDEX(J$1:J2332,SUMPRODUCT(MAX(ROW(E$1:E2332)*(E2333=E$1:E2332)))))</f>
        <v> </v>
      </c>
      <c r="L2333" s="26"/>
    </row>
    <row r="2334" spans="1:12">
      <c r="A2334" s="20" t="s">
        <v>1695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 t="s">
        <v>623</v>
      </c>
      <c r="E2335" s="21">
        <f>IF(D2335="?OLD","!!!","")</f>
        <v/>
      </c>
      <c r="F2335" s="22" t="str">
        <f>IF(OR(E2335="",E2335="!!!"),"",IF(NOT(ISNA(VLOOKUP(E2335,E$1:E2334,1,FALSE()))),"OLD",IF(AND(E2335&lt;&gt;"",E2335&lt;&gt;"!!!"),"NEW","")))</f>
        <v> </v>
      </c>
      <c r="G2335" s="23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4" t="str">
        <f>IF(J2335&lt;&gt;1,"",IF(I2335="SBJ","CB","?"))</f>
        <v> </v>
      </c>
      <c r="I2335" s="25" t="str">
        <f>IF(OR(E2335="",E2335="!!!",F2335="NEW"),"",INDEX(B2334:B$2,-1+SUMPRODUCT(MAX(ROW(E2334:E$2)*(E2335=E2334:E$2)))))</f>
        <v> </v>
      </c>
      <c r="J2335" s="25" t="str">
        <f>IF(OR(E2335="",E2335="!!!",F2335="NEW"),"",COUNTBLANK(OFFSET(A$1,,,SUMPRODUCT(MAX(ROW(E$2:E2335)*(E2335=E$2:E2335)))))-COUNTBLANK(OFFSET(A$1,,,SUMPRODUCT(MAX(ROW(E$1:E2334)*(E2=E$1:E2334))))))</f>
        <v> </v>
      </c>
      <c r="K2335" s="25" t="str">
        <f>IF(OR(E2335="",E2335="!!!",F2335="NEW"),"",INDEX(J$1:J2334,SUMPRODUCT(MAX(ROW(E$1:E2334)*(E2335=E$1:E2334)))))</f>
        <v> </v>
      </c>
      <c r="L2335" s="26"/>
    </row>
    <row r="2336" spans="1:12">
      <c r="A2336" s="20"/>
    </row>
    <row r="2337" spans="1:12">
      <c r="A2337" s="20" t="s">
        <v>1696</v>
      </c>
    </row>
    <row r="2338" spans="1:12">
      <c r="A2338" s="20" t="s">
        <v>681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682</v>
      </c>
      <c r="B2339" s="27" t="s">
        <v>613</v>
      </c>
      <c r="C2339" s="27" t="s">
        <v>683</v>
      </c>
      <c r="D2339" s="27" t="s">
        <v>627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1697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 t="s">
        <v>607</v>
      </c>
      <c r="E2341" s="21">
        <f>IF(D2341="?OLD","!!!","")</f>
        <v/>
      </c>
      <c r="F2341" s="22" t="str">
        <f>IF(OR(E2341="",E2341="!!!"),"",IF(NOT(ISNA(VLOOKUP(E2341,E$1:E2340,1,FALSE()))),"OLD",IF(AND(E2341&lt;&gt;"",E2341&lt;&gt;"!!!"),"NEW","")))</f>
        <v> </v>
      </c>
      <c r="G2341" s="23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4" t="str">
        <f>IF(J2341&lt;&gt;1,"",IF(I2341="SBJ","CB","?"))</f>
        <v> </v>
      </c>
      <c r="I2341" s="25" t="str">
        <f>IF(OR(E2341="",E2341="!!!",F2341="NEW"),"",INDEX(B2340:B$2,-1+SUMPRODUCT(MAX(ROW(E2340:E$2)*(E2341=E2340:E$2)))))</f>
        <v> </v>
      </c>
      <c r="J2341" s="25" t="str">
        <f>IF(OR(E2341="",E2341="!!!",F2341="NEW"),"",COUNTBLANK(OFFSET(A$1,,,SUMPRODUCT(MAX(ROW(E$2:E2341)*(E2341=E$2:E2341)))))-COUNTBLANK(OFFSET(A$1,,,SUMPRODUCT(MAX(ROW(E$1:E2340)*(E2=E$1:E2340))))))</f>
        <v> </v>
      </c>
      <c r="K2341" s="25" t="str">
        <f>IF(OR(E2341="",E2341="!!!",F2341="NEW"),"",INDEX(J$1:J2340,SUMPRODUCT(MAX(ROW(E$1:E2340)*(E2341=E$1:E2340)))))</f>
        <v> </v>
      </c>
      <c r="L2341" s="26"/>
    </row>
    <row r="2342" spans="1:12">
      <c r="A2342" s="20" t="s">
        <v>617</v>
      </c>
      <c r="E2342" s="21">
        <f>IF(D2342="?OLD","!!!","")</f>
        <v/>
      </c>
      <c r="F2342" s="22" t="str">
        <f>IF(OR(E2342="",E2342="!!!"),"",IF(NOT(ISNA(VLOOKUP(E2342,E$1:E2341,1,FALSE()))),"OLD",IF(AND(E2342&lt;&gt;"",E2342&lt;&gt;"!!!"),"NEW","")))</f>
        <v> </v>
      </c>
      <c r="G2342" s="23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4" t="str">
        <f>IF(J2342&lt;&gt;1,"",IF(I2342="SBJ","CB","?"))</f>
        <v> </v>
      </c>
      <c r="I2342" s="25" t="str">
        <f>IF(OR(E2342="",E2342="!!!",F2342="NEW"),"",INDEX(B2341:B$2,-1+SUMPRODUCT(MAX(ROW(E2341:E$2)*(E2342=E2341:E$2)))))</f>
        <v> </v>
      </c>
      <c r="J2342" s="25" t="str">
        <f>IF(OR(E2342="",E2342="!!!",F2342="NEW"),"",COUNTBLANK(OFFSET(A$1,,,SUMPRODUCT(MAX(ROW(E$2:E2342)*(E2342=E$2:E2342)))))-COUNTBLANK(OFFSET(A$1,,,SUMPRODUCT(MAX(ROW(E$1:E2341)*(E2=E$1:E2341))))))</f>
        <v> </v>
      </c>
      <c r="K2342" s="25" t="str">
        <f>IF(OR(E2342="",E2342="!!!",F2342="NEW"),"",INDEX(J$1:J2341,SUMPRODUCT(MAX(ROW(E$1:E2341)*(E2342=E$1:E2341)))))</f>
        <v> </v>
      </c>
      <c r="L2342" s="26"/>
    </row>
    <row r="2343" spans="1:12">
      <c r="A2343" s="20" t="s">
        <v>1698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1699</v>
      </c>
      <c r="B2344" s="27" t="s">
        <v>636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617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1698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 t="s">
        <v>1700</v>
      </c>
      <c r="B2347" s="27" t="s">
        <v>636</v>
      </c>
      <c r="E2347" s="21">
        <f>IF(D2347="?OLD","!!!","")</f>
        <v/>
      </c>
      <c r="F2347" s="22" t="str">
        <f>IF(OR(E2347="",E2347="!!!"),"",IF(NOT(ISNA(VLOOKUP(E2347,E$1:E2346,1,FALSE()))),"OLD",IF(AND(E2347&lt;&gt;"",E2347&lt;&gt;"!!!"),"NEW","")))</f>
        <v> </v>
      </c>
      <c r="G2347" s="23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4" t="str">
        <f>IF(J2347&lt;&gt;1,"",IF(I2347="SBJ","CB","?"))</f>
        <v> </v>
      </c>
      <c r="I2347" s="25" t="str">
        <f>IF(OR(E2347="",E2347="!!!",F2347="NEW"),"",INDEX(B2346:B$2,-1+SUMPRODUCT(MAX(ROW(E2346:E$2)*(E2347=E2346:E$2)))))</f>
        <v> </v>
      </c>
      <c r="J2347" s="25" t="str">
        <f>IF(OR(E2347="",E2347="!!!",F2347="NEW"),"",COUNTBLANK(OFFSET(A$1,,,SUMPRODUCT(MAX(ROW(E$2:E2347)*(E2347=E$2:E2347)))))-COUNTBLANK(OFFSET(A$1,,,SUMPRODUCT(MAX(ROW(E$1:E2346)*(E2=E$1:E2346))))))</f>
        <v> </v>
      </c>
      <c r="K2347" s="25" t="str">
        <f>IF(OR(E2347="",E2347="!!!",F2347="NEW"),"",INDEX(J$1:J2346,SUMPRODUCT(MAX(ROW(E$1:E2346)*(E2347=E$1:E2346)))))</f>
        <v> </v>
      </c>
      <c r="L2347" s="26"/>
    </row>
    <row r="2348" spans="1:12">
      <c r="A2348" s="20" t="s">
        <v>632</v>
      </c>
      <c r="E2348" s="21">
        <f>IF(D2348="?OLD","!!!","")</f>
        <v/>
      </c>
      <c r="F2348" s="22" t="str">
        <f>IF(OR(E2348="",E2348="!!!"),"",IF(NOT(ISNA(VLOOKUP(E2348,E$1:E2347,1,FALSE()))),"OLD",IF(AND(E2348&lt;&gt;"",E2348&lt;&gt;"!!!"),"NEW","")))</f>
        <v> </v>
      </c>
      <c r="G2348" s="23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4" t="str">
        <f>IF(J2348&lt;&gt;1,"",IF(I2348="SBJ","CB","?"))</f>
        <v> </v>
      </c>
      <c r="I2348" s="25" t="str">
        <f>IF(OR(E2348="",E2348="!!!",F2348="NEW"),"",INDEX(B2347:B$2,-1+SUMPRODUCT(MAX(ROW(E2347:E$2)*(E2348=E2347:E$2)))))</f>
        <v> </v>
      </c>
      <c r="J2348" s="25" t="str">
        <f>IF(OR(E2348="",E2348="!!!",F2348="NEW"),"",COUNTBLANK(OFFSET(A$1,,,SUMPRODUCT(MAX(ROW(E$2:E2348)*(E2348=E$2:E2348)))))-COUNTBLANK(OFFSET(A$1,,,SUMPRODUCT(MAX(ROW(E$1:E2347)*(E2=E$1:E2347))))))</f>
        <v> </v>
      </c>
      <c r="K2348" s="25" t="str">
        <f>IF(OR(E2348="",E2348="!!!",F2348="NEW"),"",INDEX(J$1:J2347,SUMPRODUCT(MAX(ROW(E$1:E2347)*(E2348=E$1:E2347)))))</f>
        <v> </v>
      </c>
      <c r="L2348" s="26"/>
    </row>
    <row r="2349" spans="1:12">
      <c r="A2349" s="20" t="s">
        <v>1701</v>
      </c>
      <c r="E2349" s="21">
        <f>IF(D2349="?OLD","!!!","")</f>
        <v/>
      </c>
      <c r="F2349" s="22" t="str">
        <f>IF(OR(E2349="",E2349="!!!"),"",IF(NOT(ISNA(VLOOKUP(E2349,E$1:E2348,1,FALSE()))),"OLD",IF(AND(E2349&lt;&gt;"",E2349&lt;&gt;"!!!"),"NEW","")))</f>
        <v> </v>
      </c>
      <c r="G2349" s="23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4" t="str">
        <f>IF(J2349&lt;&gt;1,"",IF(I2349="SBJ","CB","?"))</f>
        <v> </v>
      </c>
      <c r="I2349" s="25" t="str">
        <f>IF(OR(E2349="",E2349="!!!",F2349="NEW"),"",INDEX(B2348:B$2,-1+SUMPRODUCT(MAX(ROW(E2348:E$2)*(E2349=E2348:E$2)))))</f>
        <v> </v>
      </c>
      <c r="J2349" s="25" t="str">
        <f>IF(OR(E2349="",E2349="!!!",F2349="NEW"),"",COUNTBLANK(OFFSET(A$1,,,SUMPRODUCT(MAX(ROW(E$2:E2349)*(E2349=E$2:E2349)))))-COUNTBLANK(OFFSET(A$1,,,SUMPRODUCT(MAX(ROW(E$1:E2348)*(E2=E$1:E2348))))))</f>
        <v> </v>
      </c>
      <c r="K2349" s="25" t="str">
        <f>IF(OR(E2349="",E2349="!!!",F2349="NEW"),"",INDEX(J$1:J2348,SUMPRODUCT(MAX(ROW(E$1:E2348)*(E2349=E$1:E2348)))))</f>
        <v> </v>
      </c>
      <c r="L2349" s="26"/>
    </row>
    <row r="2350" spans="1:12">
      <c r="A2350" s="20" t="s">
        <v>623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/>
    </row>
    <row r="2352" spans="1:12">
      <c r="A2352" s="20" t="s">
        <v>1702</v>
      </c>
    </row>
    <row r="2353" spans="1:12">
      <c r="A2353" s="20" t="s">
        <v>715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716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 t="s">
        <v>606</v>
      </c>
      <c r="B2355" s="27" t="s">
        <v>608</v>
      </c>
      <c r="C2355" s="27" t="s">
        <v>626</v>
      </c>
      <c r="D2355" s="27" t="s">
        <v>627</v>
      </c>
      <c r="E2355" s="21">
        <f>IF(D2355="?OLD","!!!","")</f>
        <v/>
      </c>
      <c r="F2355" s="22" t="str">
        <f>IF(OR(E2355="",E2355="!!!"),"",IF(NOT(ISNA(VLOOKUP(E2355,E$1:E2354,1,FALSE()))),"OLD",IF(AND(E2355&lt;&gt;"",E2355&lt;&gt;"!!!"),"NEW","")))</f>
        <v> </v>
      </c>
      <c r="G2355" s="23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4" t="str">
        <f>IF(J2355&lt;&gt;1,"",IF(I2355="SBJ","CB","?"))</f>
        <v> </v>
      </c>
      <c r="I2355" s="25" t="str">
        <f>IF(OR(E2355="",E2355="!!!",F2355="NEW"),"",INDEX(B2354:B$2,-1+SUMPRODUCT(MAX(ROW(E2354:E$2)*(E2355=E2354:E$2)))))</f>
        <v> </v>
      </c>
      <c r="J2355" s="25" t="str">
        <f>IF(OR(E2355="",E2355="!!!",F2355="NEW"),"",COUNTBLANK(OFFSET(A$1,,,SUMPRODUCT(MAX(ROW(E$2:E2355)*(E2355=E$2:E2355)))))-COUNTBLANK(OFFSET(A$1,,,SUMPRODUCT(MAX(ROW(E$1:E2354)*(E2=E$1:E2354))))))</f>
        <v> </v>
      </c>
      <c r="K2355" s="25" t="str">
        <f>IF(OR(E2355="",E2355="!!!",F2355="NEW"),"",INDEX(J$1:J2354,SUMPRODUCT(MAX(ROW(E$1:E2354)*(E2355=E$1:E2354)))))</f>
        <v> </v>
      </c>
      <c r="L2355" s="26"/>
    </row>
    <row r="2356" spans="1:12">
      <c r="A2356" s="20" t="s">
        <v>617</v>
      </c>
      <c r="E2356" s="21">
        <f>IF(D2356="?OLD","!!!","")</f>
        <v/>
      </c>
      <c r="F2356" s="22" t="str">
        <f>IF(OR(E2356="",E2356="!!!"),"",IF(NOT(ISNA(VLOOKUP(E2356,E$1:E2355,1,FALSE()))),"OLD",IF(AND(E2356&lt;&gt;"",E2356&lt;&gt;"!!!"),"NEW","")))</f>
        <v> </v>
      </c>
      <c r="G2356" s="23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4" t="str">
        <f>IF(J2356&lt;&gt;1,"",IF(I2356="SBJ","CB","?"))</f>
        <v> </v>
      </c>
      <c r="I2356" s="25" t="str">
        <f>IF(OR(E2356="",E2356="!!!",F2356="NEW"),"",INDEX(B2355:B$2,-1+SUMPRODUCT(MAX(ROW(E2355:E$2)*(E2356=E2355:E$2)))))</f>
        <v> </v>
      </c>
      <c r="J2356" s="25" t="str">
        <f>IF(OR(E2356="",E2356="!!!",F2356="NEW"),"",COUNTBLANK(OFFSET(A$1,,,SUMPRODUCT(MAX(ROW(E$2:E2356)*(E2356=E$2:E2356)))))-COUNTBLANK(OFFSET(A$1,,,SUMPRODUCT(MAX(ROW(E$1:E2355)*(E2=E$1:E2355))))))</f>
        <v> </v>
      </c>
      <c r="K2356" s="25" t="str">
        <f>IF(OR(E2356="",E2356="!!!",F2356="NEW"),"",INDEX(J$1:J2355,SUMPRODUCT(MAX(ROW(E$1:E2355)*(E2356=E$1:E2355)))))</f>
        <v> </v>
      </c>
      <c r="L2356" s="26"/>
    </row>
    <row r="2357" spans="1:12">
      <c r="A2357" s="20" t="s">
        <v>1703</v>
      </c>
      <c r="B2357" s="27" t="s">
        <v>658</v>
      </c>
      <c r="C2357" s="27" t="s">
        <v>674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 t="s">
        <v>737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 t="s">
        <v>1704</v>
      </c>
      <c r="E2359" s="21">
        <f>IF(D2359="?OLD","!!!","")</f>
        <v/>
      </c>
      <c r="F2359" s="22" t="str">
        <f>IF(OR(E2359="",E2359="!!!"),"",IF(NOT(ISNA(VLOOKUP(E2359,E$1:E2358,1,FALSE()))),"OLD",IF(AND(E2359&lt;&gt;"",E2359&lt;&gt;"!!!"),"NEW","")))</f>
        <v> </v>
      </c>
      <c r="G2359" s="23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4" t="str">
        <f>IF(J2359&lt;&gt;1,"",IF(I2359="SBJ","CB","?"))</f>
        <v> </v>
      </c>
      <c r="I2359" s="25" t="str">
        <f>IF(OR(E2359="",E2359="!!!",F2359="NEW"),"",INDEX(B2358:B$2,-1+SUMPRODUCT(MAX(ROW(E2358:E$2)*(E2359=E2358:E$2)))))</f>
        <v> </v>
      </c>
      <c r="J2359" s="25" t="str">
        <f>IF(OR(E2359="",E2359="!!!",F2359="NEW"),"",COUNTBLANK(OFFSET(A$1,,,SUMPRODUCT(MAX(ROW(E$2:E2359)*(E2359=E$2:E2359)))))-COUNTBLANK(OFFSET(A$1,,,SUMPRODUCT(MAX(ROW(E$1:E2358)*(E2=E$1:E2358))))))</f>
        <v> </v>
      </c>
      <c r="K2359" s="25" t="str">
        <f>IF(OR(E2359="",E2359="!!!",F2359="NEW"),"",INDEX(J$1:J2358,SUMPRODUCT(MAX(ROW(E$1:E2358)*(E2359=E$1:E2358)))))</f>
        <v> </v>
      </c>
      <c r="L2359" s="26"/>
    </row>
    <row r="2360" spans="1:12">
      <c r="A2360" s="20" t="s">
        <v>1705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632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1706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670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1707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1546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 t="s">
        <v>1547</v>
      </c>
      <c r="B2366" s="27" t="s">
        <v>636</v>
      </c>
      <c r="E2366" s="21">
        <f>IF(D2366="?OLD","!!!","")</f>
        <v/>
      </c>
      <c r="F2366" s="22" t="str">
        <f>IF(OR(E2366="",E2366="!!!"),"",IF(NOT(ISNA(VLOOKUP(E2366,E$1:E2365,1,FALSE()))),"OLD",IF(AND(E2366&lt;&gt;"",E2366&lt;&gt;"!!!"),"NEW","")))</f>
        <v> </v>
      </c>
      <c r="G2366" s="23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4" t="str">
        <f>IF(J2366&lt;&gt;1,"",IF(I2366="SBJ","CB","?"))</f>
        <v> </v>
      </c>
      <c r="I2366" s="25" t="str">
        <f>IF(OR(E2366="",E2366="!!!",F2366="NEW"),"",INDEX(B2365:B$2,-1+SUMPRODUCT(MAX(ROW(E2365:E$2)*(E2366=E2365:E$2)))))</f>
        <v> </v>
      </c>
      <c r="J2366" s="25" t="str">
        <f>IF(OR(E2366="",E2366="!!!",F2366="NEW"),"",COUNTBLANK(OFFSET(A$1,,,SUMPRODUCT(MAX(ROW(E$2:E2366)*(E2366=E$2:E2366)))))-COUNTBLANK(OFFSET(A$1,,,SUMPRODUCT(MAX(ROW(E$1:E2365)*(E2=E$1:E2365))))))</f>
        <v> </v>
      </c>
      <c r="K2366" s="25" t="str">
        <f>IF(OR(E2366="",E2366="!!!",F2366="NEW"),"",INDEX(J$1:J2365,SUMPRODUCT(MAX(ROW(E$1:E2365)*(E2366=E$1:E2365)))))</f>
        <v> </v>
      </c>
      <c r="L2366" s="26"/>
    </row>
    <row r="2367" spans="1:12">
      <c r="A2367" s="20" t="s">
        <v>623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/>
    </row>
    <row r="2369" spans="1:12">
      <c r="A2369" s="20" t="s">
        <v>1708</v>
      </c>
    </row>
    <row r="2370" spans="1:12">
      <c r="A2370" s="20" t="s">
        <v>1709</v>
      </c>
      <c r="B2370" s="27" t="s">
        <v>662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 t="s">
        <v>1710</v>
      </c>
      <c r="E2371" s="21">
        <f>IF(D2371="?OLD","!!!","")</f>
        <v/>
      </c>
      <c r="F2371" s="22" t="str">
        <f>IF(OR(E2371="",E2371="!!!"),"",IF(NOT(ISNA(VLOOKUP(E2371,E$1:E2370,1,FALSE()))),"OLD",IF(AND(E2371&lt;&gt;"",E2371&lt;&gt;"!!!"),"NEW","")))</f>
        <v> </v>
      </c>
      <c r="G2371" s="23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4" t="str">
        <f>IF(J2371&lt;&gt;1,"",IF(I2371="SBJ","CB","?"))</f>
        <v> </v>
      </c>
      <c r="I2371" s="25" t="str">
        <f>IF(OR(E2371="",E2371="!!!",F2371="NEW"),"",INDEX(B2370:B$2,-1+SUMPRODUCT(MAX(ROW(E2370:E$2)*(E2371=E2370:E$2)))))</f>
        <v> </v>
      </c>
      <c r="J2371" s="25" t="str">
        <f>IF(OR(E2371="",E2371="!!!",F2371="NEW"),"",COUNTBLANK(OFFSET(A$1,,,SUMPRODUCT(MAX(ROW(E$2:E2371)*(E2371=E$2:E2371)))))-COUNTBLANK(OFFSET(A$1,,,SUMPRODUCT(MAX(ROW(E$1:E2370)*(E2=E$1:E2370))))))</f>
        <v> </v>
      </c>
      <c r="K2371" s="25" t="str">
        <f>IF(OR(E2371="",E2371="!!!",F2371="NEW"),"",INDEX(J$1:J2370,SUMPRODUCT(MAX(ROW(E$1:E2370)*(E2371=E$1:E2370)))))</f>
        <v> </v>
      </c>
      <c r="L2371" s="26"/>
    </row>
    <row r="2372" spans="1:12">
      <c r="A2372" s="20" t="s">
        <v>1711</v>
      </c>
      <c r="E2372" s="21">
        <f>IF(D2372="?OLD","!!!","")</f>
        <v/>
      </c>
      <c r="F2372" s="22" t="str">
        <f>IF(OR(E2372="",E2372="!!!"),"",IF(NOT(ISNA(VLOOKUP(E2372,E$1:E2371,1,FALSE()))),"OLD",IF(AND(E2372&lt;&gt;"",E2372&lt;&gt;"!!!"),"NEW","")))</f>
        <v> </v>
      </c>
      <c r="G2372" s="23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4" t="str">
        <f>IF(J2372&lt;&gt;1,"",IF(I2372="SBJ","CB","?"))</f>
        <v> </v>
      </c>
      <c r="I2372" s="25" t="str">
        <f>IF(OR(E2372="",E2372="!!!",F2372="NEW"),"",INDEX(B2371:B$2,-1+SUMPRODUCT(MAX(ROW(E2371:E$2)*(E2372=E2371:E$2)))))</f>
        <v> </v>
      </c>
      <c r="J2372" s="25" t="str">
        <f>IF(OR(E2372="",E2372="!!!",F2372="NEW"),"",COUNTBLANK(OFFSET(A$1,,,SUMPRODUCT(MAX(ROW(E$2:E2372)*(E2372=E$2:E2372)))))-COUNTBLANK(OFFSET(A$1,,,SUMPRODUCT(MAX(ROW(E$1:E2371)*(E2=E$1:E2371))))))</f>
        <v> </v>
      </c>
      <c r="K2372" s="25" t="str">
        <f>IF(OR(E2372="",E2372="!!!",F2372="NEW"),"",INDEX(J$1:J2371,SUMPRODUCT(MAX(ROW(E$1:E2371)*(E2372=E$1:E2371)))))</f>
        <v> </v>
      </c>
      <c r="L2372" s="26"/>
    </row>
    <row r="2373" spans="1:12">
      <c r="A2373" s="20" t="s">
        <v>1360</v>
      </c>
      <c r="E2373" s="21">
        <f>IF(D2373="?OLD","!!!","")</f>
        <v/>
      </c>
      <c r="F2373" s="22" t="str">
        <f>IF(OR(E2373="",E2373="!!!"),"",IF(NOT(ISNA(VLOOKUP(E2373,E$1:E2372,1,FALSE()))),"OLD",IF(AND(E2373&lt;&gt;"",E2373&lt;&gt;"!!!"),"NEW","")))</f>
        <v> </v>
      </c>
      <c r="G2373" s="23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4" t="str">
        <f>IF(J2373&lt;&gt;1,"",IF(I2373="SBJ","CB","?"))</f>
        <v> </v>
      </c>
      <c r="I2373" s="25" t="str">
        <f>IF(OR(E2373="",E2373="!!!",F2373="NEW"),"",INDEX(B2372:B$2,-1+SUMPRODUCT(MAX(ROW(E2372:E$2)*(E2373=E2372:E$2)))))</f>
        <v> </v>
      </c>
      <c r="J2373" s="25" t="str">
        <f>IF(OR(E2373="",E2373="!!!",F2373="NEW"),"",COUNTBLANK(OFFSET(A$1,,,SUMPRODUCT(MAX(ROW(E$2:E2373)*(E2373=E$2:E2373)))))-COUNTBLANK(OFFSET(A$1,,,SUMPRODUCT(MAX(ROW(E$1:E2372)*(E2=E$1:E2372))))))</f>
        <v> </v>
      </c>
      <c r="K2373" s="25" t="str">
        <f>IF(OR(E2373="",E2373="!!!",F2373="NEW"),"",INDEX(J$1:J2372,SUMPRODUCT(MAX(ROW(E$1:E2372)*(E2373=E$1:E2372)))))</f>
        <v> </v>
      </c>
      <c r="L2373" s="26"/>
    </row>
    <row r="2374" spans="1:12">
      <c r="A2374" s="20" t="s">
        <v>617</v>
      </c>
      <c r="E2374" s="21">
        <f>IF(D2374="?OLD","!!!","")</f>
        <v/>
      </c>
      <c r="F2374" s="22" t="str">
        <f>IF(OR(E2374="",E2374="!!!"),"",IF(NOT(ISNA(VLOOKUP(E2374,E$1:E2373,1,FALSE()))),"OLD",IF(AND(E2374&lt;&gt;"",E2374&lt;&gt;"!!!"),"NEW","")))</f>
        <v> </v>
      </c>
      <c r="G2374" s="23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4" t="str">
        <f>IF(J2374&lt;&gt;1,"",IF(I2374="SBJ","CB","?"))</f>
        <v> </v>
      </c>
      <c r="I2374" s="25" t="str">
        <f>IF(OR(E2374="",E2374="!!!",F2374="NEW"),"",INDEX(B2373:B$2,-1+SUMPRODUCT(MAX(ROW(E2373:E$2)*(E2374=E2373:E$2)))))</f>
        <v> </v>
      </c>
      <c r="J2374" s="25" t="str">
        <f>IF(OR(E2374="",E2374="!!!",F2374="NEW"),"",COUNTBLANK(OFFSET(A$1,,,SUMPRODUCT(MAX(ROW(E$2:E2374)*(E2374=E$2:E2374)))))-COUNTBLANK(OFFSET(A$1,,,SUMPRODUCT(MAX(ROW(E$1:E2373)*(E2=E$1:E2373))))))</f>
        <v> </v>
      </c>
      <c r="K2374" s="25" t="str">
        <f>IF(OR(E2374="",E2374="!!!",F2374="NEW"),"",INDEX(J$1:J2373,SUMPRODUCT(MAX(ROW(E$1:E2373)*(E2374=E$1:E2373)))))</f>
        <v> </v>
      </c>
      <c r="L2374" s="26"/>
    </row>
    <row r="2375" spans="1:12">
      <c r="A2375" s="20" t="s">
        <v>632</v>
      </c>
      <c r="E2375" s="21">
        <f>IF(D2375="?OLD","!!!","")</f>
        <v/>
      </c>
      <c r="F2375" s="22" t="str">
        <f>IF(OR(E2375="",E2375="!!!"),"",IF(NOT(ISNA(VLOOKUP(E2375,E$1:E2374,1,FALSE()))),"OLD",IF(AND(E2375&lt;&gt;"",E2375&lt;&gt;"!!!"),"NEW","")))</f>
        <v> </v>
      </c>
      <c r="G2375" s="23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4" t="str">
        <f>IF(J2375&lt;&gt;1,"",IF(I2375="SBJ","CB","?"))</f>
        <v> </v>
      </c>
      <c r="I2375" s="25" t="str">
        <f>IF(OR(E2375="",E2375="!!!",F2375="NEW"),"",INDEX(B2374:B$2,-1+SUMPRODUCT(MAX(ROW(E2374:E$2)*(E2375=E2374:E$2)))))</f>
        <v> </v>
      </c>
      <c r="J2375" s="25" t="str">
        <f>IF(OR(E2375="",E2375="!!!",F2375="NEW"),"",COUNTBLANK(OFFSET(A$1,,,SUMPRODUCT(MAX(ROW(E$2:E2375)*(E2375=E$2:E2375)))))-COUNTBLANK(OFFSET(A$1,,,SUMPRODUCT(MAX(ROW(E$1:E2374)*(E2=E$1:E2374))))))</f>
        <v> </v>
      </c>
      <c r="K2375" s="25" t="str">
        <f>IF(OR(E2375="",E2375="!!!",F2375="NEW"),"",INDEX(J$1:J2374,SUMPRODUCT(MAX(ROW(E$1:E2374)*(E2375=E$1:E2374)))))</f>
        <v> </v>
      </c>
      <c r="L2375" s="26"/>
    </row>
    <row r="2376" spans="1:12">
      <c r="A2376" s="20" t="s">
        <v>1712</v>
      </c>
      <c r="E2376" s="21">
        <f>IF(D2376="?OLD","!!!","")</f>
        <v/>
      </c>
      <c r="F2376" s="22" t="str">
        <f>IF(OR(E2376="",E2376="!!!"),"",IF(NOT(ISNA(VLOOKUP(E2376,E$1:E2375,1,FALSE()))),"OLD",IF(AND(E2376&lt;&gt;"",E2376&lt;&gt;"!!!"),"NEW","")))</f>
        <v> </v>
      </c>
      <c r="G2376" s="23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4" t="str">
        <f>IF(J2376&lt;&gt;1,"",IF(I2376="SBJ","CB","?"))</f>
        <v> </v>
      </c>
      <c r="I2376" s="25" t="str">
        <f>IF(OR(E2376="",E2376="!!!",F2376="NEW"),"",INDEX(B2375:B$2,-1+SUMPRODUCT(MAX(ROW(E2375:E$2)*(E2376=E2375:E$2)))))</f>
        <v> </v>
      </c>
      <c r="J2376" s="25" t="str">
        <f>IF(OR(E2376="",E2376="!!!",F2376="NEW"),"",COUNTBLANK(OFFSET(A$1,,,SUMPRODUCT(MAX(ROW(E$2:E2376)*(E2376=E$2:E2376)))))-COUNTBLANK(OFFSET(A$1,,,SUMPRODUCT(MAX(ROW(E$1:E2375)*(E2=E$1:E2375))))))</f>
        <v> </v>
      </c>
      <c r="K2376" s="25" t="str">
        <f>IF(OR(E2376="",E2376="!!!",F2376="NEW"),"",INDEX(J$1:J2375,SUMPRODUCT(MAX(ROW(E$1:E2375)*(E2376=E$1:E2375)))))</f>
        <v> </v>
      </c>
      <c r="L2376" s="26"/>
    </row>
    <row r="2377" spans="1:12">
      <c r="A2377" s="20" t="s">
        <v>617</v>
      </c>
      <c r="E2377" s="21">
        <f>IF(D2377="?OLD","!!!","")</f>
        <v/>
      </c>
      <c r="F2377" s="22" t="str">
        <f>IF(OR(E2377="",E2377="!!!"),"",IF(NOT(ISNA(VLOOKUP(E2377,E$1:E2376,1,FALSE()))),"OLD",IF(AND(E2377&lt;&gt;"",E2377&lt;&gt;"!!!"),"NEW","")))</f>
        <v> </v>
      </c>
      <c r="G2377" s="23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4" t="str">
        <f>IF(J2377&lt;&gt;1,"",IF(I2377="SBJ","CB","?"))</f>
        <v> </v>
      </c>
      <c r="I2377" s="25" t="str">
        <f>IF(OR(E2377="",E2377="!!!",F2377="NEW"),"",INDEX(B2376:B$2,-1+SUMPRODUCT(MAX(ROW(E2376:E$2)*(E2377=E2376:E$2)))))</f>
        <v> </v>
      </c>
      <c r="J2377" s="25" t="str">
        <f>IF(OR(E2377="",E2377="!!!",F2377="NEW"),"",COUNTBLANK(OFFSET(A$1,,,SUMPRODUCT(MAX(ROW(E$2:E2377)*(E2377=E$2:E2377)))))-COUNTBLANK(OFFSET(A$1,,,SUMPRODUCT(MAX(ROW(E$1:E2376)*(E2=E$1:E2376))))))</f>
        <v> </v>
      </c>
      <c r="K2377" s="25" t="str">
        <f>IF(OR(E2377="",E2377="!!!",F2377="NEW"),"",INDEX(J$1:J2376,SUMPRODUCT(MAX(ROW(E$1:E2376)*(E2377=E$1:E2376)))))</f>
        <v> </v>
      </c>
      <c r="L2377" s="26"/>
    </row>
    <row r="2378" spans="1:12">
      <c r="A2378" s="20" t="s">
        <v>1392</v>
      </c>
      <c r="B2378" s="27" t="s">
        <v>653</v>
      </c>
      <c r="C2378" s="27" t="s">
        <v>674</v>
      </c>
      <c r="E2378" s="21">
        <f>IF(D2378="?OLD","!!!","")</f>
        <v/>
      </c>
      <c r="F2378" s="22" t="str">
        <f>IF(OR(E2378="",E2378="!!!"),"",IF(NOT(ISNA(VLOOKUP(E2378,E$1:E2377,1,FALSE()))),"OLD",IF(AND(E2378&lt;&gt;"",E2378&lt;&gt;"!!!"),"NEW","")))</f>
        <v> </v>
      </c>
      <c r="G2378" s="23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4" t="str">
        <f>IF(J2378&lt;&gt;1,"",IF(I2378="SBJ","CB","?"))</f>
        <v> </v>
      </c>
      <c r="I2378" s="25" t="str">
        <f>IF(OR(E2378="",E2378="!!!",F2378="NEW"),"",INDEX(B2377:B$2,-1+SUMPRODUCT(MAX(ROW(E2377:E$2)*(E2378=E2377:E$2)))))</f>
        <v> </v>
      </c>
      <c r="J2378" s="25" t="str">
        <f>IF(OR(E2378="",E2378="!!!",F2378="NEW"),"",COUNTBLANK(OFFSET(A$1,,,SUMPRODUCT(MAX(ROW(E$2:E2378)*(E2378=E$2:E2378)))))-COUNTBLANK(OFFSET(A$1,,,SUMPRODUCT(MAX(ROW(E$1:E2377)*(E2=E$1:E2377))))))</f>
        <v> </v>
      </c>
      <c r="K2378" s="25" t="str">
        <f>IF(OR(E2378="",E2378="!!!",F2378="NEW"),"",INDEX(J$1:J2377,SUMPRODUCT(MAX(ROW(E$1:E2377)*(E2378=E$1:E2377)))))</f>
        <v> </v>
      </c>
      <c r="L2378" s="26"/>
    </row>
    <row r="2379" spans="1:12">
      <c r="A2379" s="20" t="s">
        <v>1713</v>
      </c>
      <c r="E2379" s="21">
        <f>IF(D2379="?OLD","!!!","")</f>
        <v/>
      </c>
      <c r="F2379" s="22" t="str">
        <f>IF(OR(E2379="",E2379="!!!"),"",IF(NOT(ISNA(VLOOKUP(E2379,E$1:E2378,1,FALSE()))),"OLD",IF(AND(E2379&lt;&gt;"",E2379&lt;&gt;"!!!"),"NEW","")))</f>
        <v> </v>
      </c>
      <c r="G2379" s="23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4" t="str">
        <f>IF(J2379&lt;&gt;1,"",IF(I2379="SBJ","CB","?"))</f>
        <v> </v>
      </c>
      <c r="I2379" s="25" t="str">
        <f>IF(OR(E2379="",E2379="!!!",F2379="NEW"),"",INDEX(B2378:B$2,-1+SUMPRODUCT(MAX(ROW(E2378:E$2)*(E2379=E2378:E$2)))))</f>
        <v> </v>
      </c>
      <c r="J2379" s="25" t="str">
        <f>IF(OR(E2379="",E2379="!!!",F2379="NEW"),"",COUNTBLANK(OFFSET(A$1,,,SUMPRODUCT(MAX(ROW(E$2:E2379)*(E2379=E$2:E2379)))))-COUNTBLANK(OFFSET(A$1,,,SUMPRODUCT(MAX(ROW(E$1:E2378)*(E2=E$1:E2378))))))</f>
        <v> </v>
      </c>
      <c r="K2379" s="25" t="str">
        <f>IF(OR(E2379="",E2379="!!!",F2379="NEW"),"",INDEX(J$1:J2378,SUMPRODUCT(MAX(ROW(E$1:E2378)*(E2379=E$1:E2378)))))</f>
        <v> </v>
      </c>
      <c r="L2379" s="26"/>
    </row>
    <row r="2380" spans="1:12">
      <c r="A2380" s="20" t="s">
        <v>1714</v>
      </c>
      <c r="E2380" s="21">
        <f>IF(D2380="?OLD","!!!","")</f>
        <v/>
      </c>
      <c r="F2380" s="22" t="str">
        <f>IF(OR(E2380="",E2380="!!!"),"",IF(NOT(ISNA(VLOOKUP(E2380,E$1:E2379,1,FALSE()))),"OLD",IF(AND(E2380&lt;&gt;"",E2380&lt;&gt;"!!!"),"NEW","")))</f>
        <v> </v>
      </c>
      <c r="G2380" s="23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4" t="str">
        <f>IF(J2380&lt;&gt;1,"",IF(I2380="SBJ","CB","?"))</f>
        <v> </v>
      </c>
      <c r="I2380" s="25" t="str">
        <f>IF(OR(E2380="",E2380="!!!",F2380="NEW"),"",INDEX(B2379:B$2,-1+SUMPRODUCT(MAX(ROW(E2379:E$2)*(E2380=E2379:E$2)))))</f>
        <v> </v>
      </c>
      <c r="J2380" s="25" t="str">
        <f>IF(OR(E2380="",E2380="!!!",F2380="NEW"),"",COUNTBLANK(OFFSET(A$1,,,SUMPRODUCT(MAX(ROW(E$2:E2380)*(E2380=E$2:E2380)))))-COUNTBLANK(OFFSET(A$1,,,SUMPRODUCT(MAX(ROW(E$1:E2379)*(E2=E$1:E2379))))))</f>
        <v> </v>
      </c>
      <c r="K2380" s="25" t="str">
        <f>IF(OR(E2380="",E2380="!!!",F2380="NEW"),"",INDEX(J$1:J2379,SUMPRODUCT(MAX(ROW(E$1:E2379)*(E2380=E$1:E2379)))))</f>
        <v> </v>
      </c>
      <c r="L2380" s="26"/>
    </row>
    <row r="2381" spans="1:12">
      <c r="A2381" s="20" t="s">
        <v>1715</v>
      </c>
      <c r="E2381" s="21">
        <f>IF(D2381="?OLD","!!!","")</f>
        <v/>
      </c>
      <c r="F2381" s="22" t="str">
        <f>IF(OR(E2381="",E2381="!!!"),"",IF(NOT(ISNA(VLOOKUP(E2381,E$1:E2380,1,FALSE()))),"OLD",IF(AND(E2381&lt;&gt;"",E2381&lt;&gt;"!!!"),"NEW","")))</f>
        <v> </v>
      </c>
      <c r="G2381" s="23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4" t="str">
        <f>IF(J2381&lt;&gt;1,"",IF(I2381="SBJ","CB","?"))</f>
        <v> </v>
      </c>
      <c r="I2381" s="25" t="str">
        <f>IF(OR(E2381="",E2381="!!!",F2381="NEW"),"",INDEX(B2380:B$2,-1+SUMPRODUCT(MAX(ROW(E2380:E$2)*(E2381=E2380:E$2)))))</f>
        <v> </v>
      </c>
      <c r="J2381" s="25" t="str">
        <f>IF(OR(E2381="",E2381="!!!",F2381="NEW"),"",COUNTBLANK(OFFSET(A$1,,,SUMPRODUCT(MAX(ROW(E$2:E2381)*(E2381=E$2:E2381)))))-COUNTBLANK(OFFSET(A$1,,,SUMPRODUCT(MAX(ROW(E$1:E2380)*(E2=E$1:E2380))))))</f>
        <v> </v>
      </c>
      <c r="K2381" s="25" t="str">
        <f>IF(OR(E2381="",E2381="!!!",F2381="NEW"),"",INDEX(J$1:J2380,SUMPRODUCT(MAX(ROW(E$1:E2380)*(E2381=E$1:E2380)))))</f>
        <v> </v>
      </c>
      <c r="L2381" s="26"/>
    </row>
    <row r="2382" spans="1:12">
      <c r="A2382" s="20" t="s">
        <v>617</v>
      </c>
      <c r="E2382" s="21">
        <f>IF(D2382="?OLD","!!!","")</f>
        <v/>
      </c>
      <c r="F2382" s="22" t="str">
        <f>IF(OR(E2382="",E2382="!!!"),"",IF(NOT(ISNA(VLOOKUP(E2382,E$1:E2381,1,FALSE()))),"OLD",IF(AND(E2382&lt;&gt;"",E2382&lt;&gt;"!!!"),"NEW","")))</f>
        <v> </v>
      </c>
      <c r="G2382" s="23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4" t="str">
        <f>IF(J2382&lt;&gt;1,"",IF(I2382="SBJ","CB","?"))</f>
        <v> </v>
      </c>
      <c r="I2382" s="25" t="str">
        <f>IF(OR(E2382="",E2382="!!!",F2382="NEW"),"",INDEX(B2381:B$2,-1+SUMPRODUCT(MAX(ROW(E2381:E$2)*(E2382=E2381:E$2)))))</f>
        <v> </v>
      </c>
      <c r="J2382" s="25" t="str">
        <f>IF(OR(E2382="",E2382="!!!",F2382="NEW"),"",COUNTBLANK(OFFSET(A$1,,,SUMPRODUCT(MAX(ROW(E$2:E2382)*(E2382=E$2:E2382)))))-COUNTBLANK(OFFSET(A$1,,,SUMPRODUCT(MAX(ROW(E$1:E2381)*(E2=E$1:E2381))))))</f>
        <v> </v>
      </c>
      <c r="K2382" s="25" t="str">
        <f>IF(OR(E2382="",E2382="!!!",F2382="NEW"),"",INDEX(J$1:J2381,SUMPRODUCT(MAX(ROW(E$1:E2381)*(E2382=E$1:E2381)))))</f>
        <v> </v>
      </c>
      <c r="L2382" s="26"/>
    </row>
    <row r="2383" spans="1:12">
      <c r="A2383" s="20" t="s">
        <v>670</v>
      </c>
      <c r="E2383" s="21">
        <f>IF(D2383="?OLD","!!!","")</f>
        <v/>
      </c>
      <c r="F2383" s="22" t="str">
        <f>IF(OR(E2383="",E2383="!!!"),"",IF(NOT(ISNA(VLOOKUP(E2383,E$1:E2382,1,FALSE()))),"OLD",IF(AND(E2383&lt;&gt;"",E2383&lt;&gt;"!!!"),"NEW","")))</f>
        <v> </v>
      </c>
      <c r="G2383" s="23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4" t="str">
        <f>IF(J2383&lt;&gt;1,"",IF(I2383="SBJ","CB","?"))</f>
        <v> </v>
      </c>
      <c r="I2383" s="25" t="str">
        <f>IF(OR(E2383="",E2383="!!!",F2383="NEW"),"",INDEX(B2382:B$2,-1+SUMPRODUCT(MAX(ROW(E2382:E$2)*(E2383=E2382:E$2)))))</f>
        <v> </v>
      </c>
      <c r="J2383" s="25" t="str">
        <f>IF(OR(E2383="",E2383="!!!",F2383="NEW"),"",COUNTBLANK(OFFSET(A$1,,,SUMPRODUCT(MAX(ROW(E$2:E2383)*(E2383=E$2:E2383)))))-COUNTBLANK(OFFSET(A$1,,,SUMPRODUCT(MAX(ROW(E$1:E2382)*(E2=E$1:E2382))))))</f>
        <v> </v>
      </c>
      <c r="K2383" s="25" t="str">
        <f>IF(OR(E2383="",E2383="!!!",F2383="NEW"),"",INDEX(J$1:J2382,SUMPRODUCT(MAX(ROW(E$1:E2382)*(E2383=E$1:E2382)))))</f>
        <v> </v>
      </c>
      <c r="L2383" s="26"/>
    </row>
    <row r="2384" spans="1:12">
      <c r="A2384" s="20" t="s">
        <v>1716</v>
      </c>
      <c r="B2384" s="27" t="s">
        <v>709</v>
      </c>
      <c r="C2384" s="27" t="s">
        <v>674</v>
      </c>
      <c r="E2384" s="21">
        <f>IF(D2384="?OLD","!!!","")</f>
        <v/>
      </c>
      <c r="F2384" s="22" t="str">
        <f>IF(OR(E2384="",E2384="!!!"),"",IF(NOT(ISNA(VLOOKUP(E2384,E$1:E2383,1,FALSE()))),"OLD",IF(AND(E2384&lt;&gt;"",E2384&lt;&gt;"!!!"),"NEW","")))</f>
        <v> </v>
      </c>
      <c r="G2384" s="23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4" t="str">
        <f>IF(J2384&lt;&gt;1,"",IF(I2384="SBJ","CB","?"))</f>
        <v> </v>
      </c>
      <c r="I2384" s="25" t="str">
        <f>IF(OR(E2384="",E2384="!!!",F2384="NEW"),"",INDEX(B2383:B$2,-1+SUMPRODUCT(MAX(ROW(E2383:E$2)*(E2384=E2383:E$2)))))</f>
        <v> </v>
      </c>
      <c r="J2384" s="25" t="str">
        <f>IF(OR(E2384="",E2384="!!!",F2384="NEW"),"",COUNTBLANK(OFFSET(A$1,,,SUMPRODUCT(MAX(ROW(E$2:E2384)*(E2384=E$2:E2384)))))-COUNTBLANK(OFFSET(A$1,,,SUMPRODUCT(MAX(ROW(E$1:E2383)*(E2=E$1:E2383))))))</f>
        <v> </v>
      </c>
      <c r="K2384" s="25" t="str">
        <f>IF(OR(E2384="",E2384="!!!",F2384="NEW"),"",INDEX(J$1:J2383,SUMPRODUCT(MAX(ROW(E$1:E2383)*(E2384=E$1:E2383)))))</f>
        <v> </v>
      </c>
      <c r="L2384" s="26"/>
    </row>
    <row r="2385" spans="1:12">
      <c r="A2385" s="20" t="s">
        <v>635</v>
      </c>
      <c r="B2385" s="27" t="s">
        <v>708</v>
      </c>
      <c r="C2385" s="27" t="s">
        <v>626</v>
      </c>
      <c r="D2385" s="27" t="s">
        <v>627</v>
      </c>
      <c r="E2385" s="21">
        <f>IF(D2385="?OLD","!!!","")</f>
        <v/>
      </c>
      <c r="F2385" s="22" t="str">
        <f>IF(OR(E2385="",E2385="!!!"),"",IF(NOT(ISNA(VLOOKUP(E2385,E$1:E2384,1,FALSE()))),"OLD",IF(AND(E2385&lt;&gt;"",E2385&lt;&gt;"!!!"),"NEW","")))</f>
        <v> </v>
      </c>
      <c r="G2385" s="23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4" t="str">
        <f>IF(J2385&lt;&gt;1,"",IF(I2385="SBJ","CB","?"))</f>
        <v> </v>
      </c>
      <c r="I2385" s="25" t="str">
        <f>IF(OR(E2385="",E2385="!!!",F2385="NEW"),"",INDEX(B2384:B$2,-1+SUMPRODUCT(MAX(ROW(E2384:E$2)*(E2385=E2384:E$2)))))</f>
        <v> </v>
      </c>
      <c r="J2385" s="25" t="str">
        <f>IF(OR(E2385="",E2385="!!!",F2385="NEW"),"",COUNTBLANK(OFFSET(A$1,,,SUMPRODUCT(MAX(ROW(E$2:E2385)*(E2385=E$2:E2385)))))-COUNTBLANK(OFFSET(A$1,,,SUMPRODUCT(MAX(ROW(E$1:E2384)*(E2=E$1:E2384))))))</f>
        <v> </v>
      </c>
      <c r="K2385" s="25" t="str">
        <f>IF(OR(E2385="",E2385="!!!",F2385="NEW"),"",INDEX(J$1:J2384,SUMPRODUCT(MAX(ROW(E$1:E2384)*(E2385=E$1:E2384)))))</f>
        <v> </v>
      </c>
      <c r="L2385" s="26"/>
    </row>
    <row r="2386" spans="1:12">
      <c r="A2386" s="20" t="s">
        <v>1717</v>
      </c>
      <c r="E2386" s="21">
        <f>IF(D2386="?OLD","!!!","")</f>
        <v/>
      </c>
      <c r="F2386" s="22" t="str">
        <f>IF(OR(E2386="",E2386="!!!"),"",IF(NOT(ISNA(VLOOKUP(E2386,E$1:E2385,1,FALSE()))),"OLD",IF(AND(E2386&lt;&gt;"",E2386&lt;&gt;"!!!"),"NEW","")))</f>
        <v> </v>
      </c>
      <c r="G2386" s="23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4" t="str">
        <f>IF(J2386&lt;&gt;1,"",IF(I2386="SBJ","CB","?"))</f>
        <v> </v>
      </c>
      <c r="I2386" s="25" t="str">
        <f>IF(OR(E2386="",E2386="!!!",F2386="NEW"),"",INDEX(B2385:B$2,-1+SUMPRODUCT(MAX(ROW(E2385:E$2)*(E2386=E2385:E$2)))))</f>
        <v> </v>
      </c>
      <c r="J2386" s="25" t="str">
        <f>IF(OR(E2386="",E2386="!!!",F2386="NEW"),"",COUNTBLANK(OFFSET(A$1,,,SUMPRODUCT(MAX(ROW(E$2:E2386)*(E2386=E$2:E2386)))))-COUNTBLANK(OFFSET(A$1,,,SUMPRODUCT(MAX(ROW(E$1:E2385)*(E2=E$1:E2385))))))</f>
        <v> </v>
      </c>
      <c r="K2386" s="25" t="str">
        <f>IF(OR(E2386="",E2386="!!!",F2386="NEW"),"",INDEX(J$1:J2385,SUMPRODUCT(MAX(ROW(E$1:E2385)*(E2386=E$1:E2385)))))</f>
        <v> </v>
      </c>
      <c r="L2386" s="26"/>
    </row>
    <row r="2387" spans="1:12">
      <c r="A2387" s="20" t="s">
        <v>617</v>
      </c>
      <c r="E2387" s="21">
        <f>IF(D2387="?OLD","!!!","")</f>
        <v/>
      </c>
      <c r="F2387" s="22" t="str">
        <f>IF(OR(E2387="",E2387="!!!"),"",IF(NOT(ISNA(VLOOKUP(E2387,E$1:E2386,1,FALSE()))),"OLD",IF(AND(E2387&lt;&gt;"",E2387&lt;&gt;"!!!"),"NEW","")))</f>
        <v> </v>
      </c>
      <c r="G2387" s="23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4" t="str">
        <f>IF(J2387&lt;&gt;1,"",IF(I2387="SBJ","CB","?"))</f>
        <v> </v>
      </c>
      <c r="I2387" s="25" t="str">
        <f>IF(OR(E2387="",E2387="!!!",F2387="NEW"),"",INDEX(B2386:B$2,-1+SUMPRODUCT(MAX(ROW(E2386:E$2)*(E2387=E2386:E$2)))))</f>
        <v> </v>
      </c>
      <c r="J2387" s="25" t="str">
        <f>IF(OR(E2387="",E2387="!!!",F2387="NEW"),"",COUNTBLANK(OFFSET(A$1,,,SUMPRODUCT(MAX(ROW(E$2:E2387)*(E2387=E$2:E2387)))))-COUNTBLANK(OFFSET(A$1,,,SUMPRODUCT(MAX(ROW(E$1:E2386)*(E2=E$1:E2386))))))</f>
        <v> </v>
      </c>
      <c r="K2387" s="25" t="str">
        <f>IF(OR(E2387="",E2387="!!!",F2387="NEW"),"",INDEX(J$1:J2386,SUMPRODUCT(MAX(ROW(E$1:E2386)*(E2387=E$1:E2386)))))</f>
        <v> </v>
      </c>
      <c r="L2387" s="26"/>
    </row>
    <row r="2388" spans="1:12">
      <c r="A2388" s="20" t="s">
        <v>632</v>
      </c>
      <c r="E2388" s="21">
        <f>IF(D2388="?OLD","!!!","")</f>
        <v/>
      </c>
      <c r="F2388" s="22" t="str">
        <f>IF(OR(E2388="",E2388="!!!"),"",IF(NOT(ISNA(VLOOKUP(E2388,E$1:E2387,1,FALSE()))),"OLD",IF(AND(E2388&lt;&gt;"",E2388&lt;&gt;"!!!"),"NEW","")))</f>
        <v> </v>
      </c>
      <c r="G2388" s="23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4" t="str">
        <f>IF(J2388&lt;&gt;1,"",IF(I2388="SBJ","CB","?"))</f>
        <v> </v>
      </c>
      <c r="I2388" s="25" t="str">
        <f>IF(OR(E2388="",E2388="!!!",F2388="NEW"),"",INDEX(B2387:B$2,-1+SUMPRODUCT(MAX(ROW(E2387:E$2)*(E2388=E2387:E$2)))))</f>
        <v> </v>
      </c>
      <c r="J2388" s="25" t="str">
        <f>IF(OR(E2388="",E2388="!!!",F2388="NEW"),"",COUNTBLANK(OFFSET(A$1,,,SUMPRODUCT(MAX(ROW(E$2:E2388)*(E2388=E$2:E2388)))))-COUNTBLANK(OFFSET(A$1,,,SUMPRODUCT(MAX(ROW(E$1:E2387)*(E2=E$1:E2387))))))</f>
        <v> </v>
      </c>
      <c r="K2388" s="25" t="str">
        <f>IF(OR(E2388="",E2388="!!!",F2388="NEW"),"",INDEX(J$1:J2387,SUMPRODUCT(MAX(ROW(E$1:E2387)*(E2388=E$1:E2387)))))</f>
        <v> </v>
      </c>
      <c r="L2388" s="26"/>
    </row>
    <row r="2389" spans="1:12">
      <c r="A2389" s="20" t="s">
        <v>1712</v>
      </c>
      <c r="E2389" s="21">
        <f>IF(D2389="?OLD","!!!","")</f>
        <v/>
      </c>
      <c r="F2389" s="22" t="str">
        <f>IF(OR(E2389="",E2389="!!!"),"",IF(NOT(ISNA(VLOOKUP(E2389,E$1:E2388,1,FALSE()))),"OLD",IF(AND(E2389&lt;&gt;"",E2389&lt;&gt;"!!!"),"NEW","")))</f>
        <v> </v>
      </c>
      <c r="G2389" s="23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4" t="str">
        <f>IF(J2389&lt;&gt;1,"",IF(I2389="SBJ","CB","?"))</f>
        <v> </v>
      </c>
      <c r="I2389" s="25" t="str">
        <f>IF(OR(E2389="",E2389="!!!",F2389="NEW"),"",INDEX(B2388:B$2,-1+SUMPRODUCT(MAX(ROW(E2388:E$2)*(E2389=E2388:E$2)))))</f>
        <v> </v>
      </c>
      <c r="J2389" s="25" t="str">
        <f>IF(OR(E2389="",E2389="!!!",F2389="NEW"),"",COUNTBLANK(OFFSET(A$1,,,SUMPRODUCT(MAX(ROW(E$2:E2389)*(E2389=E$2:E2389)))))-COUNTBLANK(OFFSET(A$1,,,SUMPRODUCT(MAX(ROW(E$1:E2388)*(E2=E$1:E2388))))))</f>
        <v> </v>
      </c>
      <c r="K2389" s="25" t="str">
        <f>IF(OR(E2389="",E2389="!!!",F2389="NEW"),"",INDEX(J$1:J2388,SUMPRODUCT(MAX(ROW(E$1:E2388)*(E2389=E$1:E2388)))))</f>
        <v> </v>
      </c>
      <c r="L2389" s="26"/>
    </row>
    <row r="2390" spans="1:12">
      <c r="A2390" s="20" t="s">
        <v>617</v>
      </c>
      <c r="E2390" s="21">
        <f>IF(D2390="?OLD","!!!","")</f>
        <v/>
      </c>
      <c r="F2390" s="22" t="str">
        <f>IF(OR(E2390="",E2390="!!!"),"",IF(NOT(ISNA(VLOOKUP(E2390,E$1:E2389,1,FALSE()))),"OLD",IF(AND(E2390&lt;&gt;"",E2390&lt;&gt;"!!!"),"NEW","")))</f>
        <v> </v>
      </c>
      <c r="G2390" s="23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4" t="str">
        <f>IF(J2390&lt;&gt;1,"",IF(I2390="SBJ","CB","?"))</f>
        <v> </v>
      </c>
      <c r="I2390" s="25" t="str">
        <f>IF(OR(E2390="",E2390="!!!",F2390="NEW"),"",INDEX(B2389:B$2,-1+SUMPRODUCT(MAX(ROW(E2389:E$2)*(E2390=E2389:E$2)))))</f>
        <v> </v>
      </c>
      <c r="J2390" s="25" t="str">
        <f>IF(OR(E2390="",E2390="!!!",F2390="NEW"),"",COUNTBLANK(OFFSET(A$1,,,SUMPRODUCT(MAX(ROW(E$2:E2390)*(E2390=E$2:E2390)))))-COUNTBLANK(OFFSET(A$1,,,SUMPRODUCT(MAX(ROW(E$1:E2389)*(E2=E$1:E2389))))))</f>
        <v> </v>
      </c>
      <c r="K2390" s="25" t="str">
        <f>IF(OR(E2390="",E2390="!!!",F2390="NEW"),"",INDEX(J$1:J2389,SUMPRODUCT(MAX(ROW(E$1:E2389)*(E2390=E$1:E2389)))))</f>
        <v> </v>
      </c>
      <c r="L2390" s="26"/>
    </row>
    <row r="2391" spans="1:12">
      <c r="A2391" s="20" t="s">
        <v>1392</v>
      </c>
      <c r="B2391" s="27" t="s">
        <v>1262</v>
      </c>
      <c r="C2391" s="27" t="s">
        <v>674</v>
      </c>
      <c r="E2391" s="21">
        <f>IF(D2391="?OLD","!!!","")</f>
        <v/>
      </c>
      <c r="F2391" s="22" t="str">
        <f>IF(OR(E2391="",E2391="!!!"),"",IF(NOT(ISNA(VLOOKUP(E2391,E$1:E2390,1,FALSE()))),"OLD",IF(AND(E2391&lt;&gt;"",E2391&lt;&gt;"!!!"),"NEW","")))</f>
        <v> </v>
      </c>
      <c r="G2391" s="23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4" t="str">
        <f>IF(J2391&lt;&gt;1,"",IF(I2391="SBJ","CB","?"))</f>
        <v> </v>
      </c>
      <c r="I2391" s="25" t="str">
        <f>IF(OR(E2391="",E2391="!!!",F2391="NEW"),"",INDEX(B2390:B$2,-1+SUMPRODUCT(MAX(ROW(E2390:E$2)*(E2391=E2390:E$2)))))</f>
        <v> </v>
      </c>
      <c r="J2391" s="25" t="str">
        <f>IF(OR(E2391="",E2391="!!!",F2391="NEW"),"",COUNTBLANK(OFFSET(A$1,,,SUMPRODUCT(MAX(ROW(E$2:E2391)*(E2391=E$2:E2391)))))-COUNTBLANK(OFFSET(A$1,,,SUMPRODUCT(MAX(ROW(E$1:E2390)*(E2=E$1:E2390))))))</f>
        <v> </v>
      </c>
      <c r="K2391" s="25" t="str">
        <f>IF(OR(E2391="",E2391="!!!",F2391="NEW"),"",INDEX(J$1:J2390,SUMPRODUCT(MAX(ROW(E$1:E2390)*(E2391=E$1:E2390)))))</f>
        <v> </v>
      </c>
      <c r="L2391" s="26"/>
    </row>
    <row r="2392" spans="1:12">
      <c r="A2392" s="20" t="s">
        <v>331</v>
      </c>
      <c r="E2392" s="21">
        <f>IF(D2392="?OLD","!!!","")</f>
        <v/>
      </c>
      <c r="F2392" s="22" t="str">
        <f>IF(OR(E2392="",E2392="!!!"),"",IF(NOT(ISNA(VLOOKUP(E2392,E$1:E2391,1,FALSE()))),"OLD",IF(AND(E2392&lt;&gt;"",E2392&lt;&gt;"!!!"),"NEW","")))</f>
        <v> </v>
      </c>
      <c r="G2392" s="23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4" t="str">
        <f>IF(J2392&lt;&gt;1,"",IF(I2392="SBJ","CB","?"))</f>
        <v> </v>
      </c>
      <c r="I2392" s="25" t="str">
        <f>IF(OR(E2392="",E2392="!!!",F2392="NEW"),"",INDEX(B2391:B$2,-1+SUMPRODUCT(MAX(ROW(E2391:E$2)*(E2392=E2391:E$2)))))</f>
        <v> </v>
      </c>
      <c r="J2392" s="25" t="str">
        <f>IF(OR(E2392="",E2392="!!!",F2392="NEW"),"",COUNTBLANK(OFFSET(A$1,,,SUMPRODUCT(MAX(ROW(E$2:E2392)*(E2392=E$2:E2392)))))-COUNTBLANK(OFFSET(A$1,,,SUMPRODUCT(MAX(ROW(E$1:E2391)*(E2=E$1:E2391))))))</f>
        <v> </v>
      </c>
      <c r="K2392" s="25" t="str">
        <f>IF(OR(E2392="",E2392="!!!",F2392="NEW"),"",INDEX(J$1:J2391,SUMPRODUCT(MAX(ROW(E$1:E2391)*(E2392=E$1:E2391)))))</f>
        <v> </v>
      </c>
      <c r="L2392" s="26"/>
    </row>
    <row r="2393" spans="1:12">
      <c r="A2393" s="20" t="s">
        <v>670</v>
      </c>
      <c r="E2393" s="21">
        <f>IF(D2393="?OLD","!!!","")</f>
        <v/>
      </c>
      <c r="F2393" s="22" t="str">
        <f>IF(OR(E2393="",E2393="!!!"),"",IF(NOT(ISNA(VLOOKUP(E2393,E$1:E2392,1,FALSE()))),"OLD",IF(AND(E2393&lt;&gt;"",E2393&lt;&gt;"!!!"),"NEW","")))</f>
        <v> </v>
      </c>
      <c r="G2393" s="23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4" t="str">
        <f>IF(J2393&lt;&gt;1,"",IF(I2393="SBJ","CB","?"))</f>
        <v> </v>
      </c>
      <c r="I2393" s="25" t="str">
        <f>IF(OR(E2393="",E2393="!!!",F2393="NEW"),"",INDEX(B2392:B$2,-1+SUMPRODUCT(MAX(ROW(E2392:E$2)*(E2393=E2392:E$2)))))</f>
        <v> </v>
      </c>
      <c r="J2393" s="25" t="str">
        <f>IF(OR(E2393="",E2393="!!!",F2393="NEW"),"",COUNTBLANK(OFFSET(A$1,,,SUMPRODUCT(MAX(ROW(E$2:E2393)*(E2393=E$2:E2393)))))-COUNTBLANK(OFFSET(A$1,,,SUMPRODUCT(MAX(ROW(E$1:E2392)*(E2=E$1:E2392))))))</f>
        <v> </v>
      </c>
      <c r="K2393" s="25" t="str">
        <f>IF(OR(E2393="",E2393="!!!",F2393="NEW"),"",INDEX(J$1:J2392,SUMPRODUCT(MAX(ROW(E$1:E2392)*(E2393=E$1:E2392)))))</f>
        <v> </v>
      </c>
      <c r="L2393" s="26"/>
    </row>
    <row r="2394" spans="1:12">
      <c r="A2394" s="20" t="s">
        <v>682</v>
      </c>
      <c r="E2394" s="21">
        <f>IF(D2394="?OLD","!!!","")</f>
        <v/>
      </c>
      <c r="F2394" s="22" t="str">
        <f>IF(OR(E2394="",E2394="!!!"),"",IF(NOT(ISNA(VLOOKUP(E2394,E$1:E2393,1,FALSE()))),"OLD",IF(AND(E2394&lt;&gt;"",E2394&lt;&gt;"!!!"),"NEW","")))</f>
        <v> </v>
      </c>
      <c r="G2394" s="23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4" t="str">
        <f>IF(J2394&lt;&gt;1,"",IF(I2394="SBJ","CB","?"))</f>
        <v> </v>
      </c>
      <c r="I2394" s="25" t="str">
        <f>IF(OR(E2394="",E2394="!!!",F2394="NEW"),"",INDEX(B2393:B$2,-1+SUMPRODUCT(MAX(ROW(E2393:E$2)*(E2394=E2393:E$2)))))</f>
        <v> </v>
      </c>
      <c r="J2394" s="25" t="str">
        <f>IF(OR(E2394="",E2394="!!!",F2394="NEW"),"",COUNTBLANK(OFFSET(A$1,,,SUMPRODUCT(MAX(ROW(E$2:E2394)*(E2394=E$2:E2394)))))-COUNTBLANK(OFFSET(A$1,,,SUMPRODUCT(MAX(ROW(E$1:E2393)*(E2=E$1:E2393))))))</f>
        <v> </v>
      </c>
      <c r="K2394" s="25" t="str">
        <f>IF(OR(E2394="",E2394="!!!",F2394="NEW"),"",INDEX(J$1:J2393,SUMPRODUCT(MAX(ROW(E$1:E2393)*(E2394=E$1:E2393)))))</f>
        <v> </v>
      </c>
      <c r="L2394" s="26"/>
    </row>
    <row r="2395" spans="1:12">
      <c r="A2395" s="20" t="s">
        <v>1162</v>
      </c>
      <c r="B2395" s="27" t="s">
        <v>1393</v>
      </c>
      <c r="C2395" s="27" t="s">
        <v>650</v>
      </c>
      <c r="D2395" s="27" t="s">
        <v>627</v>
      </c>
      <c r="E2395" s="21">
        <f>IF(D2395="?OLD","!!!","")</f>
        <v/>
      </c>
      <c r="F2395" s="22" t="str">
        <f>IF(OR(E2395="",E2395="!!!"),"",IF(NOT(ISNA(VLOOKUP(E2395,E$1:E2394,1,FALSE()))),"OLD",IF(AND(E2395&lt;&gt;"",E2395&lt;&gt;"!!!"),"NEW","")))</f>
        <v> </v>
      </c>
      <c r="G2395" s="23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4" t="str">
        <f>IF(J2395&lt;&gt;1,"",IF(I2395="SBJ","CB","?"))</f>
        <v> </v>
      </c>
      <c r="I2395" s="25" t="str">
        <f>IF(OR(E2395="",E2395="!!!",F2395="NEW"),"",INDEX(B2394:B$2,-1+SUMPRODUCT(MAX(ROW(E2394:E$2)*(E2395=E2394:E$2)))))</f>
        <v> </v>
      </c>
      <c r="J2395" s="25" t="str">
        <f>IF(OR(E2395="",E2395="!!!",F2395="NEW"),"",COUNTBLANK(OFFSET(A$1,,,SUMPRODUCT(MAX(ROW(E$2:E2395)*(E2395=E$2:E2395)))))-COUNTBLANK(OFFSET(A$1,,,SUMPRODUCT(MAX(ROW(E$1:E2394)*(E2=E$1:E2394))))))</f>
        <v> </v>
      </c>
      <c r="K2395" s="25" t="str">
        <f>IF(OR(E2395="",E2395="!!!",F2395="NEW"),"",INDEX(J$1:J2394,SUMPRODUCT(MAX(ROW(E$1:E2394)*(E2395=E$1:E2394)))))</f>
        <v> </v>
      </c>
      <c r="L2395" s="26"/>
    </row>
    <row r="2396" spans="1:12">
      <c r="A2396" s="20" t="s">
        <v>1419</v>
      </c>
      <c r="E2396" s="21">
        <f>IF(D2396="?OLD","!!!","")</f>
        <v/>
      </c>
      <c r="F2396" s="22" t="str">
        <f>IF(OR(E2396="",E2396="!!!"),"",IF(NOT(ISNA(VLOOKUP(E2396,E$1:E2395,1,FALSE()))),"OLD",IF(AND(E2396&lt;&gt;"",E2396&lt;&gt;"!!!"),"NEW","")))</f>
        <v> </v>
      </c>
      <c r="G2396" s="23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4" t="str">
        <f>IF(J2396&lt;&gt;1,"",IF(I2396="SBJ","CB","?"))</f>
        <v> </v>
      </c>
      <c r="I2396" s="25" t="str">
        <f>IF(OR(E2396="",E2396="!!!",F2396="NEW"),"",INDEX(B2395:B$2,-1+SUMPRODUCT(MAX(ROW(E2395:E$2)*(E2396=E2395:E$2)))))</f>
        <v> </v>
      </c>
      <c r="J2396" s="25" t="str">
        <f>IF(OR(E2396="",E2396="!!!",F2396="NEW"),"",COUNTBLANK(OFFSET(A$1,,,SUMPRODUCT(MAX(ROW(E$2:E2396)*(E2396=E$2:E2396)))))-COUNTBLANK(OFFSET(A$1,,,SUMPRODUCT(MAX(ROW(E$1:E2395)*(E2=E$1:E2395))))))</f>
        <v> </v>
      </c>
      <c r="K2396" s="25" t="str">
        <f>IF(OR(E2396="",E2396="!!!",F2396="NEW"),"",INDEX(J$1:J2395,SUMPRODUCT(MAX(ROW(E$1:E2395)*(E2396=E$1:E2395)))))</f>
        <v> </v>
      </c>
      <c r="L2396" s="26"/>
    </row>
    <row r="2397" spans="1:12">
      <c r="A2397" s="20" t="s">
        <v>623</v>
      </c>
      <c r="E2397" s="21">
        <f>IF(D2397="?OLD","!!!","")</f>
        <v/>
      </c>
      <c r="F2397" s="22" t="str">
        <f>IF(OR(E2397="",E2397="!!!"),"",IF(NOT(ISNA(VLOOKUP(E2397,E$1:E2396,1,FALSE()))),"OLD",IF(AND(E2397&lt;&gt;"",E2397&lt;&gt;"!!!"),"NEW","")))</f>
        <v> </v>
      </c>
      <c r="G2397" s="23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4" t="str">
        <f>IF(J2397&lt;&gt;1,"",IF(I2397="SBJ","CB","?"))</f>
        <v> </v>
      </c>
      <c r="I2397" s="25" t="str">
        <f>IF(OR(E2397="",E2397="!!!",F2397="NEW"),"",INDEX(B2396:B$2,-1+SUMPRODUCT(MAX(ROW(E2396:E$2)*(E2397=E2396:E$2)))))</f>
        <v> </v>
      </c>
      <c r="J2397" s="25" t="str">
        <f>IF(OR(E2397="",E2397="!!!",F2397="NEW"),"",COUNTBLANK(OFFSET(A$1,,,SUMPRODUCT(MAX(ROW(E$2:E2397)*(E2397=E$2:E2397)))))-COUNTBLANK(OFFSET(A$1,,,SUMPRODUCT(MAX(ROW(E$1:E2396)*(E2=E$1:E2396))))))</f>
        <v> </v>
      </c>
      <c r="K2397" s="25" t="str">
        <f>IF(OR(E2397="",E2397="!!!",F2397="NEW"),"",INDEX(J$1:J2396,SUMPRODUCT(MAX(ROW(E$1:E2396)*(E2397=E$1:E2396)))))</f>
        <v> </v>
      </c>
      <c r="L2397" s="26"/>
    </row>
    <row r="2398" spans="1:12">
      <c r="A2398" s="20"/>
    </row>
    <row r="2399" spans="1:12">
      <c r="A2399" s="20" t="s">
        <v>1718</v>
      </c>
    </row>
    <row r="2400" spans="1:12">
      <c r="A2400" s="20" t="s">
        <v>812</v>
      </c>
      <c r="E2400" s="21">
        <f>IF(D2400="?OLD","!!!","")</f>
        <v/>
      </c>
      <c r="F2400" s="22" t="str">
        <f>IF(OR(E2400="",E2400="!!!"),"",IF(NOT(ISNA(VLOOKUP(E2400,E$1:E2399,1,FALSE()))),"OLD",IF(AND(E2400&lt;&gt;"",E2400&lt;&gt;"!!!"),"NEW","")))</f>
        <v> </v>
      </c>
      <c r="G2400" s="23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4" t="str">
        <f>IF(J2400&lt;&gt;1,"",IF(I2400="SBJ","CB","?"))</f>
        <v> </v>
      </c>
      <c r="I2400" s="25" t="str">
        <f>IF(OR(E2400="",E2400="!!!",F2400="NEW"),"",INDEX(B2399:B$2,-1+SUMPRODUCT(MAX(ROW(E2399:E$2)*(E2400=E2399:E$2)))))</f>
        <v> </v>
      </c>
      <c r="J2400" s="25" t="str">
        <f>IF(OR(E2400="",E2400="!!!",F2400="NEW"),"",COUNTBLANK(OFFSET(A$1,,,SUMPRODUCT(MAX(ROW(E$2:E2400)*(E2400=E$2:E2400)))))-COUNTBLANK(OFFSET(A$1,,,SUMPRODUCT(MAX(ROW(E$1:E2399)*(E2=E$1:E2399))))))</f>
        <v> </v>
      </c>
      <c r="K2400" s="25" t="str">
        <f>IF(OR(E2400="",E2400="!!!",F2400="NEW"),"",INDEX(J$1:J2399,SUMPRODUCT(MAX(ROW(E$1:E2399)*(E2400=E$1:E2399)))))</f>
        <v> </v>
      </c>
      <c r="L2400" s="26"/>
    </row>
    <row r="2401" spans="1:12">
      <c r="A2401" s="20" t="s">
        <v>1719</v>
      </c>
      <c r="E2401" s="21">
        <f>IF(D2401="?OLD","!!!","")</f>
        <v/>
      </c>
      <c r="F2401" s="22" t="str">
        <f>IF(OR(E2401="",E2401="!!!"),"",IF(NOT(ISNA(VLOOKUP(E2401,E$1:E2400,1,FALSE()))),"OLD",IF(AND(E2401&lt;&gt;"",E2401&lt;&gt;"!!!"),"NEW","")))</f>
        <v> </v>
      </c>
      <c r="G2401" s="23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4" t="str">
        <f>IF(J2401&lt;&gt;1,"",IF(I2401="SBJ","CB","?"))</f>
        <v> </v>
      </c>
      <c r="I2401" s="25" t="str">
        <f>IF(OR(E2401="",E2401="!!!",F2401="NEW"),"",INDEX(B2400:B$2,-1+SUMPRODUCT(MAX(ROW(E2400:E$2)*(E2401=E2400:E$2)))))</f>
        <v> </v>
      </c>
      <c r="J2401" s="25" t="str">
        <f>IF(OR(E2401="",E2401="!!!",F2401="NEW"),"",COUNTBLANK(OFFSET(A$1,,,SUMPRODUCT(MAX(ROW(E$2:E2401)*(E2401=E$2:E2401)))))-COUNTBLANK(OFFSET(A$1,,,SUMPRODUCT(MAX(ROW(E$1:E2400)*(E2=E$1:E2400))))))</f>
        <v> </v>
      </c>
      <c r="K2401" s="25" t="str">
        <f>IF(OR(E2401="",E2401="!!!",F2401="NEW"),"",INDEX(J$1:J2400,SUMPRODUCT(MAX(ROW(E$1:E2400)*(E2401=E$1:E2400)))))</f>
        <v> </v>
      </c>
      <c r="L2401" s="26"/>
    </row>
    <row r="2402" spans="1:12">
      <c r="A2402" s="20" t="s">
        <v>1720</v>
      </c>
      <c r="E2402" s="21">
        <f>IF(D2402="?OLD","!!!","")</f>
        <v/>
      </c>
      <c r="F2402" s="22" t="str">
        <f>IF(OR(E2402="",E2402="!!!"),"",IF(NOT(ISNA(VLOOKUP(E2402,E$1:E2401,1,FALSE()))),"OLD",IF(AND(E2402&lt;&gt;"",E2402&lt;&gt;"!!!"),"NEW","")))</f>
        <v> </v>
      </c>
      <c r="G2402" s="23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4" t="str">
        <f>IF(J2402&lt;&gt;1,"",IF(I2402="SBJ","CB","?"))</f>
        <v> </v>
      </c>
      <c r="I2402" s="25" t="str">
        <f>IF(OR(E2402="",E2402="!!!",F2402="NEW"),"",INDEX(B2401:B$2,-1+SUMPRODUCT(MAX(ROW(E2401:E$2)*(E2402=E2401:E$2)))))</f>
        <v> </v>
      </c>
      <c r="J2402" s="25" t="str">
        <f>IF(OR(E2402="",E2402="!!!",F2402="NEW"),"",COUNTBLANK(OFFSET(A$1,,,SUMPRODUCT(MAX(ROW(E$2:E2402)*(E2402=E$2:E2402)))))-COUNTBLANK(OFFSET(A$1,,,SUMPRODUCT(MAX(ROW(E$1:E2401)*(E2=E$1:E2401))))))</f>
        <v> </v>
      </c>
      <c r="K2402" s="25" t="str">
        <f>IF(OR(E2402="",E2402="!!!",F2402="NEW"),"",INDEX(J$1:J2401,SUMPRODUCT(MAX(ROW(E$1:E2401)*(E2402=E$1:E2401)))))</f>
        <v> </v>
      </c>
      <c r="L2402" s="26"/>
    </row>
    <row r="2403" spans="1:12">
      <c r="A2403" s="20" t="s">
        <v>652</v>
      </c>
      <c r="B2403" s="27" t="s">
        <v>613</v>
      </c>
      <c r="C2403" s="27" t="s">
        <v>626</v>
      </c>
      <c r="D2403" s="27" t="s">
        <v>627</v>
      </c>
      <c r="E2403" s="21">
        <f>IF(D2403="?OLD","!!!","")</f>
        <v/>
      </c>
      <c r="F2403" s="22" t="str">
        <f>IF(OR(E2403="",E2403="!!!"),"",IF(NOT(ISNA(VLOOKUP(E2403,E$1:E2402,1,FALSE()))),"OLD",IF(AND(E2403&lt;&gt;"",E2403&lt;&gt;"!!!"),"NEW","")))</f>
        <v> </v>
      </c>
      <c r="G2403" s="23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4" t="str">
        <f>IF(J2403&lt;&gt;1,"",IF(I2403="SBJ","CB","?"))</f>
        <v> </v>
      </c>
      <c r="I2403" s="25" t="str">
        <f>IF(OR(E2403="",E2403="!!!",F2403="NEW"),"",INDEX(B2402:B$2,-1+SUMPRODUCT(MAX(ROW(E2402:E$2)*(E2403=E2402:E$2)))))</f>
        <v> </v>
      </c>
      <c r="J2403" s="25" t="str">
        <f>IF(OR(E2403="",E2403="!!!",F2403="NEW"),"",COUNTBLANK(OFFSET(A$1,,,SUMPRODUCT(MAX(ROW(E$2:E2403)*(E2403=E$2:E2403)))))-COUNTBLANK(OFFSET(A$1,,,SUMPRODUCT(MAX(ROW(E$1:E2402)*(E2=E$1:E2402))))))</f>
        <v> </v>
      </c>
      <c r="K2403" s="25" t="str">
        <f>IF(OR(E2403="",E2403="!!!",F2403="NEW"),"",INDEX(J$1:J2402,SUMPRODUCT(MAX(ROW(E$1:E2402)*(E2403=E$1:E2402)))))</f>
        <v> </v>
      </c>
      <c r="L2403" s="26"/>
    </row>
    <row r="2404" spans="1:12">
      <c r="A2404" s="20" t="s">
        <v>1721</v>
      </c>
      <c r="E2404" s="21">
        <f>IF(D2404="?OLD","!!!","")</f>
        <v/>
      </c>
      <c r="F2404" s="22" t="str">
        <f>IF(OR(E2404="",E2404="!!!"),"",IF(NOT(ISNA(VLOOKUP(E2404,E$1:E2403,1,FALSE()))),"OLD",IF(AND(E2404&lt;&gt;"",E2404&lt;&gt;"!!!"),"NEW","")))</f>
        <v> </v>
      </c>
      <c r="G2404" s="23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4" t="str">
        <f>IF(J2404&lt;&gt;1,"",IF(I2404="SBJ","CB","?"))</f>
        <v> </v>
      </c>
      <c r="I2404" s="25" t="str">
        <f>IF(OR(E2404="",E2404="!!!",F2404="NEW"),"",INDEX(B2403:B$2,-1+SUMPRODUCT(MAX(ROW(E2403:E$2)*(E2404=E2403:E$2)))))</f>
        <v> </v>
      </c>
      <c r="J2404" s="25" t="str">
        <f>IF(OR(E2404="",E2404="!!!",F2404="NEW"),"",COUNTBLANK(OFFSET(A$1,,,SUMPRODUCT(MAX(ROW(E$2:E2404)*(E2404=E$2:E2404)))))-COUNTBLANK(OFFSET(A$1,,,SUMPRODUCT(MAX(ROW(E$1:E2403)*(E2=E$1:E2403))))))</f>
        <v> </v>
      </c>
      <c r="K2404" s="25" t="str">
        <f>IF(OR(E2404="",E2404="!!!",F2404="NEW"),"",INDEX(J$1:J2403,SUMPRODUCT(MAX(ROW(E$1:E2403)*(E2404=E$1:E2403)))))</f>
        <v> </v>
      </c>
      <c r="L2404" s="26"/>
    </row>
    <row r="2405" spans="1:12">
      <c r="A2405" s="20" t="s">
        <v>1253</v>
      </c>
      <c r="E2405" s="21">
        <f>IF(D2405="?OLD","!!!","")</f>
        <v/>
      </c>
      <c r="F2405" s="22" t="str">
        <f>IF(OR(E2405="",E2405="!!!"),"",IF(NOT(ISNA(VLOOKUP(E2405,E$1:E2404,1,FALSE()))),"OLD",IF(AND(E2405&lt;&gt;"",E2405&lt;&gt;"!!!"),"NEW","")))</f>
        <v> </v>
      </c>
      <c r="G2405" s="23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4" t="str">
        <f>IF(J2405&lt;&gt;1,"",IF(I2405="SBJ","CB","?"))</f>
        <v> </v>
      </c>
      <c r="I2405" s="25" t="str">
        <f>IF(OR(E2405="",E2405="!!!",F2405="NEW"),"",INDEX(B2404:B$2,-1+SUMPRODUCT(MAX(ROW(E2404:E$2)*(E2405=E2404:E$2)))))</f>
        <v> </v>
      </c>
      <c r="J2405" s="25" t="str">
        <f>IF(OR(E2405="",E2405="!!!",F2405="NEW"),"",COUNTBLANK(OFFSET(A$1,,,SUMPRODUCT(MAX(ROW(E$2:E2405)*(E2405=E$2:E2405)))))-COUNTBLANK(OFFSET(A$1,,,SUMPRODUCT(MAX(ROW(E$1:E2404)*(E2=E$1:E2404))))))</f>
        <v> </v>
      </c>
      <c r="K2405" s="25" t="str">
        <f>IF(OR(E2405="",E2405="!!!",F2405="NEW"),"",INDEX(J$1:J2404,SUMPRODUCT(MAX(ROW(E$1:E2404)*(E2405=E$1:E2404)))))</f>
        <v> </v>
      </c>
      <c r="L2405" s="26"/>
    </row>
    <row r="2406" spans="1:12">
      <c r="A2406" s="20" t="s">
        <v>1722</v>
      </c>
      <c r="B2406" s="27" t="s">
        <v>647</v>
      </c>
      <c r="C2406" s="27" t="s">
        <v>650</v>
      </c>
      <c r="D2406" s="27" t="s">
        <v>627</v>
      </c>
      <c r="E2406" s="21">
        <f>IF(D2406="?OLD","!!!","")</f>
        <v/>
      </c>
      <c r="F2406" s="22" t="str">
        <f>IF(OR(E2406="",E2406="!!!"),"",IF(NOT(ISNA(VLOOKUP(E2406,E$1:E2405,1,FALSE()))),"OLD",IF(AND(E2406&lt;&gt;"",E2406&lt;&gt;"!!!"),"NEW","")))</f>
        <v> </v>
      </c>
      <c r="G2406" s="23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4" t="str">
        <f>IF(J2406&lt;&gt;1,"",IF(I2406="SBJ","CB","?"))</f>
        <v> </v>
      </c>
      <c r="I2406" s="25" t="str">
        <f>IF(OR(E2406="",E2406="!!!",F2406="NEW"),"",INDEX(B2405:B$2,-1+SUMPRODUCT(MAX(ROW(E2405:E$2)*(E2406=E2405:E$2)))))</f>
        <v> </v>
      </c>
      <c r="J2406" s="25" t="str">
        <f>IF(OR(E2406="",E2406="!!!",F2406="NEW"),"",COUNTBLANK(OFFSET(A$1,,,SUMPRODUCT(MAX(ROW(E$2:E2406)*(E2406=E$2:E2406)))))-COUNTBLANK(OFFSET(A$1,,,SUMPRODUCT(MAX(ROW(E$1:E2405)*(E2=E$1:E2405))))))</f>
        <v> </v>
      </c>
      <c r="K2406" s="25" t="str">
        <f>IF(OR(E2406="",E2406="!!!",F2406="NEW"),"",INDEX(J$1:J2405,SUMPRODUCT(MAX(ROW(E$1:E2405)*(E2406=E$1:E2405)))))</f>
        <v> </v>
      </c>
      <c r="L2406" s="26"/>
    </row>
    <row r="2407" spans="1:12">
      <c r="A2407" s="20" t="s">
        <v>623</v>
      </c>
      <c r="E2407" s="21">
        <f>IF(D2407="?OLD","!!!","")</f>
        <v/>
      </c>
      <c r="F2407" s="22" t="str">
        <f>IF(OR(E2407="",E2407="!!!"),"",IF(NOT(ISNA(VLOOKUP(E2407,E$1:E2406,1,FALSE()))),"OLD",IF(AND(E2407&lt;&gt;"",E2407&lt;&gt;"!!!"),"NEW","")))</f>
        <v> </v>
      </c>
      <c r="G2407" s="23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4" t="str">
        <f>IF(J2407&lt;&gt;1,"",IF(I2407="SBJ","CB","?"))</f>
        <v> </v>
      </c>
      <c r="I2407" s="25" t="str">
        <f>IF(OR(E2407="",E2407="!!!",F2407="NEW"),"",INDEX(B2406:B$2,-1+SUMPRODUCT(MAX(ROW(E2406:E$2)*(E2407=E2406:E$2)))))</f>
        <v> </v>
      </c>
      <c r="J2407" s="25" t="str">
        <f>IF(OR(E2407="",E2407="!!!",F2407="NEW"),"",COUNTBLANK(OFFSET(A$1,,,SUMPRODUCT(MAX(ROW(E$2:E2407)*(E2407=E$2:E2407)))))-COUNTBLANK(OFFSET(A$1,,,SUMPRODUCT(MAX(ROW(E$1:E2406)*(E2=E$1:E2406))))))</f>
        <v> </v>
      </c>
      <c r="K2407" s="25" t="str">
        <f>IF(OR(E2407="",E2407="!!!",F2407="NEW"),"",INDEX(J$1:J2406,SUMPRODUCT(MAX(ROW(E$1:E2406)*(E2407=E$1:E2406)))))</f>
        <v> </v>
      </c>
      <c r="L2407" s="26"/>
    </row>
    <row r="2408" spans="1:12">
      <c r="A2408" s="20"/>
    </row>
    <row r="2409" spans="1:12">
      <c r="A2409" s="20" t="s">
        <v>1723</v>
      </c>
    </row>
    <row r="2410" spans="1:12">
      <c r="A2410" s="20" t="s">
        <v>715</v>
      </c>
      <c r="B2410" s="27" t="s">
        <v>647</v>
      </c>
      <c r="C2410" s="27" t="s">
        <v>683</v>
      </c>
      <c r="D2410" s="27" t="s">
        <v>627</v>
      </c>
      <c r="E2410" s="21">
        <f>IF(D2410="?OLD","!!!","")</f>
        <v/>
      </c>
      <c r="F2410" s="22" t="str">
        <f>IF(OR(E2410="",E2410="!!!"),"",IF(NOT(ISNA(VLOOKUP(E2410,E$1:E2409,1,FALSE()))),"OLD",IF(AND(E2410&lt;&gt;"",E2410&lt;&gt;"!!!"),"NEW","")))</f>
        <v> </v>
      </c>
      <c r="G2410" s="23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4" t="str">
        <f>IF(J2410&lt;&gt;1,"",IF(I2410="SBJ","CB","?"))</f>
        <v> </v>
      </c>
      <c r="I2410" s="25" t="str">
        <f>IF(OR(E2410="",E2410="!!!",F2410="NEW"),"",INDEX(B2409:B$2,-1+SUMPRODUCT(MAX(ROW(E2409:E$2)*(E2410=E2409:E$2)))))</f>
        <v> </v>
      </c>
      <c r="J2410" s="25" t="str">
        <f>IF(OR(E2410="",E2410="!!!",F2410="NEW"),"",COUNTBLANK(OFFSET(A$1,,,SUMPRODUCT(MAX(ROW(E$2:E2410)*(E2410=E$2:E2410)))))-COUNTBLANK(OFFSET(A$1,,,SUMPRODUCT(MAX(ROW(E$1:E2409)*(E2=E$1:E2409))))))</f>
        <v> </v>
      </c>
      <c r="K2410" s="25" t="str">
        <f>IF(OR(E2410="",E2410="!!!",F2410="NEW"),"",INDEX(J$1:J2409,SUMPRODUCT(MAX(ROW(E$1:E2409)*(E2410=E$1:E2409)))))</f>
        <v> </v>
      </c>
      <c r="L2410" s="26"/>
    </row>
    <row r="2411" spans="1:12">
      <c r="A2411" s="20" t="s">
        <v>751</v>
      </c>
      <c r="E2411" s="21">
        <f>IF(D2411="?OLD","!!!","")</f>
        <v/>
      </c>
      <c r="F2411" s="22" t="str">
        <f>IF(OR(E2411="",E2411="!!!"),"",IF(NOT(ISNA(VLOOKUP(E2411,E$1:E2410,1,FALSE()))),"OLD",IF(AND(E2411&lt;&gt;"",E2411&lt;&gt;"!!!"),"NEW","")))</f>
        <v> </v>
      </c>
      <c r="G2411" s="23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4" t="str">
        <f>IF(J2411&lt;&gt;1,"",IF(I2411="SBJ","CB","?"))</f>
        <v> </v>
      </c>
      <c r="I2411" s="25" t="str">
        <f>IF(OR(E2411="",E2411="!!!",F2411="NEW"),"",INDEX(B2410:B$2,-1+SUMPRODUCT(MAX(ROW(E2410:E$2)*(E2411=E2410:E$2)))))</f>
        <v> </v>
      </c>
      <c r="J2411" s="25" t="str">
        <f>IF(OR(E2411="",E2411="!!!",F2411="NEW"),"",COUNTBLANK(OFFSET(A$1,,,SUMPRODUCT(MAX(ROW(E$2:E2411)*(E2411=E$2:E2411)))))-COUNTBLANK(OFFSET(A$1,,,SUMPRODUCT(MAX(ROW(E$1:E2410)*(E2=E$1:E2410))))))</f>
        <v> </v>
      </c>
      <c r="K2411" s="25" t="str">
        <f>IF(OR(E2411="",E2411="!!!",F2411="NEW"),"",INDEX(J$1:J2410,SUMPRODUCT(MAX(ROW(E$1:E2410)*(E2411=E$1:E2410)))))</f>
        <v> </v>
      </c>
      <c r="L2411" s="26"/>
    </row>
    <row r="2412" spans="1:12">
      <c r="A2412" s="20" t="s">
        <v>652</v>
      </c>
      <c r="B2412" s="27" t="s">
        <v>613</v>
      </c>
      <c r="C2412" s="27" t="s">
        <v>626</v>
      </c>
      <c r="D2412" s="27" t="s">
        <v>627</v>
      </c>
      <c r="E2412" s="21">
        <f>IF(D2412="?OLD","!!!","")</f>
        <v/>
      </c>
      <c r="F2412" s="22" t="str">
        <f>IF(OR(E2412="",E2412="!!!"),"",IF(NOT(ISNA(VLOOKUP(E2412,E$1:E2411,1,FALSE()))),"OLD",IF(AND(E2412&lt;&gt;"",E2412&lt;&gt;"!!!"),"NEW","")))</f>
        <v> </v>
      </c>
      <c r="G2412" s="23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4" t="str">
        <f>IF(J2412&lt;&gt;1,"",IF(I2412="SBJ","CB","?"))</f>
        <v> </v>
      </c>
      <c r="I2412" s="25" t="str">
        <f>IF(OR(E2412="",E2412="!!!",F2412="NEW"),"",INDEX(B2411:B$2,-1+SUMPRODUCT(MAX(ROW(E2411:E$2)*(E2412=E2411:E$2)))))</f>
        <v> </v>
      </c>
      <c r="J2412" s="25" t="str">
        <f>IF(OR(E2412="",E2412="!!!",F2412="NEW"),"",COUNTBLANK(OFFSET(A$1,,,SUMPRODUCT(MAX(ROW(E$2:E2412)*(E2412=E$2:E2412)))))-COUNTBLANK(OFFSET(A$1,,,SUMPRODUCT(MAX(ROW(E$1:E2411)*(E2=E$1:E2411))))))</f>
        <v> </v>
      </c>
      <c r="K2412" s="25" t="str">
        <f>IF(OR(E2412="",E2412="!!!",F2412="NEW"),"",INDEX(J$1:J2411,SUMPRODUCT(MAX(ROW(E$1:E2411)*(E2412=E$1:E2411)))))</f>
        <v> </v>
      </c>
      <c r="L2412" s="26"/>
    </row>
    <row r="2413" spans="1:12">
      <c r="A2413" s="20" t="s">
        <v>1724</v>
      </c>
      <c r="E2413" s="21">
        <f>IF(D2413="?OLD","!!!","")</f>
        <v/>
      </c>
      <c r="F2413" s="22" t="str">
        <f>IF(OR(E2413="",E2413="!!!"),"",IF(NOT(ISNA(VLOOKUP(E2413,E$1:E2412,1,FALSE()))),"OLD",IF(AND(E2413&lt;&gt;"",E2413&lt;&gt;"!!!"),"NEW","")))</f>
        <v> </v>
      </c>
      <c r="G2413" s="23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4" t="str">
        <f>IF(J2413&lt;&gt;1,"",IF(I2413="SBJ","CB","?"))</f>
        <v> </v>
      </c>
      <c r="I2413" s="25" t="str">
        <f>IF(OR(E2413="",E2413="!!!",F2413="NEW"),"",INDEX(B2412:B$2,-1+SUMPRODUCT(MAX(ROW(E2412:E$2)*(E2413=E2412:E$2)))))</f>
        <v> </v>
      </c>
      <c r="J2413" s="25" t="str">
        <f>IF(OR(E2413="",E2413="!!!",F2413="NEW"),"",COUNTBLANK(OFFSET(A$1,,,SUMPRODUCT(MAX(ROW(E$2:E2413)*(E2413=E$2:E2413)))))-COUNTBLANK(OFFSET(A$1,,,SUMPRODUCT(MAX(ROW(E$1:E2412)*(E2=E$1:E2412))))))</f>
        <v> </v>
      </c>
      <c r="K2413" s="25" t="str">
        <f>IF(OR(E2413="",E2413="!!!",F2413="NEW"),"",INDEX(J$1:J2412,SUMPRODUCT(MAX(ROW(E$1:E2412)*(E2413=E$1:E2412)))))</f>
        <v> </v>
      </c>
      <c r="L2413" s="26"/>
    </row>
    <row r="2414" spans="1:12">
      <c r="A2414" s="20" t="s">
        <v>632</v>
      </c>
      <c r="E2414" s="21">
        <f>IF(D2414="?OLD","!!!","")</f>
        <v/>
      </c>
      <c r="F2414" s="22" t="str">
        <f>IF(OR(E2414="",E2414="!!!"),"",IF(NOT(ISNA(VLOOKUP(E2414,E$1:E2413,1,FALSE()))),"OLD",IF(AND(E2414&lt;&gt;"",E2414&lt;&gt;"!!!"),"NEW","")))</f>
        <v> </v>
      </c>
      <c r="G2414" s="23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4" t="str">
        <f>IF(J2414&lt;&gt;1,"",IF(I2414="SBJ","CB","?"))</f>
        <v> </v>
      </c>
      <c r="I2414" s="25" t="str">
        <f>IF(OR(E2414="",E2414="!!!",F2414="NEW"),"",INDEX(B2413:B$2,-1+SUMPRODUCT(MAX(ROW(E2413:E$2)*(E2414=E2413:E$2)))))</f>
        <v> </v>
      </c>
      <c r="J2414" s="25" t="str">
        <f>IF(OR(E2414="",E2414="!!!",F2414="NEW"),"",COUNTBLANK(OFFSET(A$1,,,SUMPRODUCT(MAX(ROW(E$2:E2414)*(E2414=E$2:E2414)))))-COUNTBLANK(OFFSET(A$1,,,SUMPRODUCT(MAX(ROW(E$1:E2413)*(E2=E$1:E2413))))))</f>
        <v> </v>
      </c>
      <c r="K2414" s="25" t="str">
        <f>IF(OR(E2414="",E2414="!!!",F2414="NEW"),"",INDEX(J$1:J2413,SUMPRODUCT(MAX(ROW(E$1:E2413)*(E2414=E$1:E2413)))))</f>
        <v> </v>
      </c>
      <c r="L2414" s="26"/>
    </row>
    <row r="2415" spans="1:12">
      <c r="A2415" s="20" t="s">
        <v>670</v>
      </c>
      <c r="E2415" s="21">
        <f>IF(D2415="?OLD","!!!","")</f>
        <v/>
      </c>
      <c r="F2415" s="22" t="str">
        <f>IF(OR(E2415="",E2415="!!!"),"",IF(NOT(ISNA(VLOOKUP(E2415,E$1:E2414,1,FALSE()))),"OLD",IF(AND(E2415&lt;&gt;"",E2415&lt;&gt;"!!!"),"NEW","")))</f>
        <v> </v>
      </c>
      <c r="G2415" s="23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4" t="str">
        <f>IF(J2415&lt;&gt;1,"",IF(I2415="SBJ","CB","?"))</f>
        <v> </v>
      </c>
      <c r="I2415" s="25" t="str">
        <f>IF(OR(E2415="",E2415="!!!",F2415="NEW"),"",INDEX(B2414:B$2,-1+SUMPRODUCT(MAX(ROW(E2414:E$2)*(E2415=E2414:E$2)))))</f>
        <v> </v>
      </c>
      <c r="J2415" s="25" t="str">
        <f>IF(OR(E2415="",E2415="!!!",F2415="NEW"),"",COUNTBLANK(OFFSET(A$1,,,SUMPRODUCT(MAX(ROW(E$2:E2415)*(E2415=E$2:E2415)))))-COUNTBLANK(OFFSET(A$1,,,SUMPRODUCT(MAX(ROW(E$1:E2414)*(E2=E$1:E2414))))))</f>
        <v> </v>
      </c>
      <c r="K2415" s="25" t="str">
        <f>IF(OR(E2415="",E2415="!!!",F2415="NEW"),"",INDEX(J$1:J2414,SUMPRODUCT(MAX(ROW(E$1:E2414)*(E2415=E$1:E2414)))))</f>
        <v> </v>
      </c>
      <c r="L2415" s="26"/>
    </row>
    <row r="2416" spans="1:12">
      <c r="A2416" s="20" t="s">
        <v>1435</v>
      </c>
      <c r="E2416" s="21">
        <f>IF(D2416="?OLD","!!!","")</f>
        <v/>
      </c>
      <c r="F2416" s="22" t="str">
        <f>IF(OR(E2416="",E2416="!!!"),"",IF(NOT(ISNA(VLOOKUP(E2416,E$1:E2415,1,FALSE()))),"OLD",IF(AND(E2416&lt;&gt;"",E2416&lt;&gt;"!!!"),"NEW","")))</f>
        <v> </v>
      </c>
      <c r="G2416" s="23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4" t="str">
        <f>IF(J2416&lt;&gt;1,"",IF(I2416="SBJ","CB","?"))</f>
        <v> </v>
      </c>
      <c r="I2416" s="25" t="str">
        <f>IF(OR(E2416="",E2416="!!!",F2416="NEW"),"",INDEX(B2415:B$2,-1+SUMPRODUCT(MAX(ROW(E2415:E$2)*(E2416=E2415:E$2)))))</f>
        <v> </v>
      </c>
      <c r="J2416" s="25" t="str">
        <f>IF(OR(E2416="",E2416="!!!",F2416="NEW"),"",COUNTBLANK(OFFSET(A$1,,,SUMPRODUCT(MAX(ROW(E$2:E2416)*(E2416=E$2:E2416)))))-COUNTBLANK(OFFSET(A$1,,,SUMPRODUCT(MAX(ROW(E$1:E2415)*(E2=E$1:E2415))))))</f>
        <v> </v>
      </c>
      <c r="K2416" s="25" t="str">
        <f>IF(OR(E2416="",E2416="!!!",F2416="NEW"),"",INDEX(J$1:J2415,SUMPRODUCT(MAX(ROW(E$1:E2415)*(E2416=E$1:E2415)))))</f>
        <v> </v>
      </c>
      <c r="L2416" s="26"/>
    </row>
    <row r="2417" spans="1:12">
      <c r="A2417" s="20" t="s">
        <v>1436</v>
      </c>
      <c r="B2417" s="27" t="s">
        <v>608</v>
      </c>
      <c r="C2417" s="27" t="s">
        <v>609</v>
      </c>
      <c r="E2417" s="21">
        <f>IF(D2417="?OLD","!!!","")</f>
        <v/>
      </c>
      <c r="F2417" s="22" t="str">
        <f>IF(OR(E2417="",E2417="!!!"),"",IF(NOT(ISNA(VLOOKUP(E2417,E$1:E2416,1,FALSE()))),"OLD",IF(AND(E2417&lt;&gt;"",E2417&lt;&gt;"!!!"),"NEW","")))</f>
        <v> </v>
      </c>
      <c r="G2417" s="23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4" t="str">
        <f>IF(J2417&lt;&gt;1,"",IF(I2417="SBJ","CB","?"))</f>
        <v> </v>
      </c>
      <c r="I2417" s="25" t="str">
        <f>IF(OR(E2417="",E2417="!!!",F2417="NEW"),"",INDEX(B2416:B$2,-1+SUMPRODUCT(MAX(ROW(E2416:E$2)*(E2417=E2416:E$2)))))</f>
        <v> </v>
      </c>
      <c r="J2417" s="25" t="str">
        <f>IF(OR(E2417="",E2417="!!!",F2417="NEW"),"",COUNTBLANK(OFFSET(A$1,,,SUMPRODUCT(MAX(ROW(E$2:E2417)*(E2417=E$2:E2417)))))-COUNTBLANK(OFFSET(A$1,,,SUMPRODUCT(MAX(ROW(E$1:E2416)*(E2=E$1:E2416))))))</f>
        <v> </v>
      </c>
      <c r="K2417" s="25" t="str">
        <f>IF(OR(E2417="",E2417="!!!",F2417="NEW"),"",INDEX(J$1:J2416,SUMPRODUCT(MAX(ROW(E$1:E2416)*(E2417=E$1:E2416)))))</f>
        <v> </v>
      </c>
      <c r="L2417" s="26"/>
    </row>
    <row r="2418" spans="1:12">
      <c r="A2418" s="20" t="s">
        <v>617</v>
      </c>
      <c r="E2418" s="21">
        <f>IF(D2418="?OLD","!!!","")</f>
        <v/>
      </c>
      <c r="F2418" s="22" t="str">
        <f>IF(OR(E2418="",E2418="!!!"),"",IF(NOT(ISNA(VLOOKUP(E2418,E$1:E2417,1,FALSE()))),"OLD",IF(AND(E2418&lt;&gt;"",E2418&lt;&gt;"!!!"),"NEW","")))</f>
        <v> </v>
      </c>
      <c r="G2418" s="23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4" t="str">
        <f>IF(J2418&lt;&gt;1,"",IF(I2418="SBJ","CB","?"))</f>
        <v> </v>
      </c>
      <c r="I2418" s="25" t="str">
        <f>IF(OR(E2418="",E2418="!!!",F2418="NEW"),"",INDEX(B2417:B$2,-1+SUMPRODUCT(MAX(ROW(E2417:E$2)*(E2418=E2417:E$2)))))</f>
        <v> </v>
      </c>
      <c r="J2418" s="25" t="str">
        <f>IF(OR(E2418="",E2418="!!!",F2418="NEW"),"",COUNTBLANK(OFFSET(A$1,,,SUMPRODUCT(MAX(ROW(E$2:E2418)*(E2418=E$2:E2418)))))-COUNTBLANK(OFFSET(A$1,,,SUMPRODUCT(MAX(ROW(E$1:E2417)*(E2=E$1:E2417))))))</f>
        <v> </v>
      </c>
      <c r="K2418" s="25" t="str">
        <f>IF(OR(E2418="",E2418="!!!",F2418="NEW"),"",INDEX(J$1:J2417,SUMPRODUCT(MAX(ROW(E$1:E2417)*(E2418=E$1:E2417)))))</f>
        <v> </v>
      </c>
      <c r="L2418" s="26"/>
    </row>
    <row r="2419" spans="1:12">
      <c r="A2419" s="20" t="s">
        <v>632</v>
      </c>
      <c r="E2419" s="21">
        <f>IF(D2419="?OLD","!!!","")</f>
        <v/>
      </c>
      <c r="F2419" s="22" t="str">
        <f>IF(OR(E2419="",E2419="!!!"),"",IF(NOT(ISNA(VLOOKUP(E2419,E$1:E2418,1,FALSE()))),"OLD",IF(AND(E2419&lt;&gt;"",E2419&lt;&gt;"!!!"),"NEW","")))</f>
        <v> </v>
      </c>
      <c r="G2419" s="23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4" t="str">
        <f>IF(J2419&lt;&gt;1,"",IF(I2419="SBJ","CB","?"))</f>
        <v> </v>
      </c>
      <c r="I2419" s="25" t="str">
        <f>IF(OR(E2419="",E2419="!!!",F2419="NEW"),"",INDEX(B2418:B$2,-1+SUMPRODUCT(MAX(ROW(E2418:E$2)*(E2419=E2418:E$2)))))</f>
        <v> </v>
      </c>
      <c r="J2419" s="25" t="str">
        <f>IF(OR(E2419="",E2419="!!!",F2419="NEW"),"",COUNTBLANK(OFFSET(A$1,,,SUMPRODUCT(MAX(ROW(E$2:E2419)*(E2419=E$2:E2419)))))-COUNTBLANK(OFFSET(A$1,,,SUMPRODUCT(MAX(ROW(E$1:E2418)*(E2=E$1:E2418))))))</f>
        <v> </v>
      </c>
      <c r="K2419" s="25" t="str">
        <f>IF(OR(E2419="",E2419="!!!",F2419="NEW"),"",INDEX(J$1:J2418,SUMPRODUCT(MAX(ROW(E$1:E2418)*(E2419=E$1:E2418)))))</f>
        <v> </v>
      </c>
      <c r="L2419" s="26"/>
    </row>
    <row r="2420" spans="1:12">
      <c r="A2420" s="20" t="s">
        <v>682</v>
      </c>
      <c r="B2420" s="27" t="s">
        <v>636</v>
      </c>
      <c r="C2420" s="27" t="s">
        <v>683</v>
      </c>
      <c r="D2420" s="27" t="s">
        <v>627</v>
      </c>
      <c r="E2420" s="21">
        <f>IF(D2420="?OLD","!!!","")</f>
        <v/>
      </c>
      <c r="F2420" s="22" t="str">
        <f>IF(OR(E2420="",E2420="!!!"),"",IF(NOT(ISNA(VLOOKUP(E2420,E$1:E2419,1,FALSE()))),"OLD",IF(AND(E2420&lt;&gt;"",E2420&lt;&gt;"!!!"),"NEW","")))</f>
        <v> </v>
      </c>
      <c r="G2420" s="23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4" t="str">
        <f>IF(J2420&lt;&gt;1,"",IF(I2420="SBJ","CB","?"))</f>
        <v> </v>
      </c>
      <c r="I2420" s="25" t="str">
        <f>IF(OR(E2420="",E2420="!!!",F2420="NEW"),"",INDEX(B2419:B$2,-1+SUMPRODUCT(MAX(ROW(E2419:E$2)*(E2420=E2419:E$2)))))</f>
        <v> </v>
      </c>
      <c r="J2420" s="25" t="str">
        <f>IF(OR(E2420="",E2420="!!!",F2420="NEW"),"",COUNTBLANK(OFFSET(A$1,,,SUMPRODUCT(MAX(ROW(E$2:E2420)*(E2420=E$2:E2420)))))-COUNTBLANK(OFFSET(A$1,,,SUMPRODUCT(MAX(ROW(E$1:E2419)*(E2=E$1:E2419))))))</f>
        <v> </v>
      </c>
      <c r="K2420" s="25" t="str">
        <f>IF(OR(E2420="",E2420="!!!",F2420="NEW"),"",INDEX(J$1:J2419,SUMPRODUCT(MAX(ROW(E$1:E2419)*(E2420=E$1:E2419)))))</f>
        <v> </v>
      </c>
      <c r="L2420" s="26"/>
    </row>
    <row r="2421" spans="1:12">
      <c r="A2421" s="20" t="s">
        <v>1488</v>
      </c>
      <c r="E2421" s="21">
        <f>IF(D2421="?OLD","!!!","")</f>
        <v/>
      </c>
      <c r="F2421" s="22" t="str">
        <f>IF(OR(E2421="",E2421="!!!"),"",IF(NOT(ISNA(VLOOKUP(E2421,E$1:E2420,1,FALSE()))),"OLD",IF(AND(E2421&lt;&gt;"",E2421&lt;&gt;"!!!"),"NEW","")))</f>
        <v> </v>
      </c>
      <c r="G2421" s="23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4" t="str">
        <f>IF(J2421&lt;&gt;1,"",IF(I2421="SBJ","CB","?"))</f>
        <v> </v>
      </c>
      <c r="I2421" s="25" t="str">
        <f>IF(OR(E2421="",E2421="!!!",F2421="NEW"),"",INDEX(B2420:B$2,-1+SUMPRODUCT(MAX(ROW(E2420:E$2)*(E2421=E2420:E$2)))))</f>
        <v> </v>
      </c>
      <c r="J2421" s="25" t="str">
        <f>IF(OR(E2421="",E2421="!!!",F2421="NEW"),"",COUNTBLANK(OFFSET(A$1,,,SUMPRODUCT(MAX(ROW(E$2:E2421)*(E2421=E$2:E2421)))))-COUNTBLANK(OFFSET(A$1,,,SUMPRODUCT(MAX(ROW(E$1:E2420)*(E2=E$1:E2420))))))</f>
        <v> </v>
      </c>
      <c r="K2421" s="25" t="str">
        <f>IF(OR(E2421="",E2421="!!!",F2421="NEW"),"",INDEX(J$1:J2420,SUMPRODUCT(MAX(ROW(E$1:E2420)*(E2421=E$1:E2420)))))</f>
        <v> </v>
      </c>
      <c r="L2421" s="26"/>
    </row>
    <row r="2422" spans="1:12">
      <c r="A2422" s="20" t="s">
        <v>1433</v>
      </c>
      <c r="E2422" s="21">
        <f>IF(D2422="?OLD","!!!","")</f>
        <v/>
      </c>
      <c r="F2422" s="22" t="str">
        <f>IF(OR(E2422="",E2422="!!!"),"",IF(NOT(ISNA(VLOOKUP(E2422,E$1:E2421,1,FALSE()))),"OLD",IF(AND(E2422&lt;&gt;"",E2422&lt;&gt;"!!!"),"NEW","")))</f>
        <v> </v>
      </c>
      <c r="G2422" s="23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4" t="str">
        <f>IF(J2422&lt;&gt;1,"",IF(I2422="SBJ","CB","?"))</f>
        <v> </v>
      </c>
      <c r="I2422" s="25" t="str">
        <f>IF(OR(E2422="",E2422="!!!",F2422="NEW"),"",INDEX(B2421:B$2,-1+SUMPRODUCT(MAX(ROW(E2421:E$2)*(E2422=E2421:E$2)))))</f>
        <v> </v>
      </c>
      <c r="J2422" s="25" t="str">
        <f>IF(OR(E2422="",E2422="!!!",F2422="NEW"),"",COUNTBLANK(OFFSET(A$1,,,SUMPRODUCT(MAX(ROW(E$2:E2422)*(E2422=E$2:E2422)))))-COUNTBLANK(OFFSET(A$1,,,SUMPRODUCT(MAX(ROW(E$1:E2421)*(E2=E$1:E2421))))))</f>
        <v> </v>
      </c>
      <c r="K2422" s="25" t="str">
        <f>IF(OR(E2422="",E2422="!!!",F2422="NEW"),"",INDEX(J$1:J2421,SUMPRODUCT(MAX(ROW(E$1:E2421)*(E2422=E$1:E2421)))))</f>
        <v> </v>
      </c>
      <c r="L2422" s="26"/>
    </row>
    <row r="2423" spans="1:12">
      <c r="A2423" s="20" t="s">
        <v>646</v>
      </c>
      <c r="B2423" s="27" t="s">
        <v>658</v>
      </c>
      <c r="C2423" s="27" t="s">
        <v>626</v>
      </c>
      <c r="D2423" s="27" t="s">
        <v>627</v>
      </c>
      <c r="E2423" s="21">
        <f>IF(D2423="?OLD","!!!","")</f>
        <v/>
      </c>
      <c r="F2423" s="22" t="str">
        <f>IF(OR(E2423="",E2423="!!!"),"",IF(NOT(ISNA(VLOOKUP(E2423,E$1:E2422,1,FALSE()))),"OLD",IF(AND(E2423&lt;&gt;"",E2423&lt;&gt;"!!!"),"NEW","")))</f>
        <v> </v>
      </c>
      <c r="G2423" s="23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4" t="str">
        <f>IF(J2423&lt;&gt;1,"",IF(I2423="SBJ","CB","?"))</f>
        <v> </v>
      </c>
      <c r="I2423" s="25" t="str">
        <f>IF(OR(E2423="",E2423="!!!",F2423="NEW"),"",INDEX(B2422:B$2,-1+SUMPRODUCT(MAX(ROW(E2422:E$2)*(E2423=E2422:E$2)))))</f>
        <v> </v>
      </c>
      <c r="J2423" s="25" t="str">
        <f>IF(OR(E2423="",E2423="!!!",F2423="NEW"),"",COUNTBLANK(OFFSET(A$1,,,SUMPRODUCT(MAX(ROW(E$2:E2423)*(E2423=E$2:E2423)))))-COUNTBLANK(OFFSET(A$1,,,SUMPRODUCT(MAX(ROW(E$1:E2422)*(E2=E$1:E2422))))))</f>
        <v> </v>
      </c>
      <c r="K2423" s="25" t="str">
        <f>IF(OR(E2423="",E2423="!!!",F2423="NEW"),"",INDEX(J$1:J2422,SUMPRODUCT(MAX(ROW(E$1:E2422)*(E2423=E$1:E2422)))))</f>
        <v> </v>
      </c>
      <c r="L2423" s="26"/>
    </row>
    <row r="2424" spans="1:12">
      <c r="A2424" s="20" t="s">
        <v>623</v>
      </c>
      <c r="E2424" s="21">
        <f>IF(D2424="?OLD","!!!","")</f>
        <v/>
      </c>
      <c r="F2424" s="22" t="str">
        <f>IF(OR(E2424="",E2424="!!!"),"",IF(NOT(ISNA(VLOOKUP(E2424,E$1:E2423,1,FALSE()))),"OLD",IF(AND(E2424&lt;&gt;"",E2424&lt;&gt;"!!!"),"NEW","")))</f>
        <v> </v>
      </c>
      <c r="G2424" s="23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4" t="str">
        <f>IF(J2424&lt;&gt;1,"",IF(I2424="SBJ","CB","?"))</f>
        <v> </v>
      </c>
      <c r="I2424" s="25" t="str">
        <f>IF(OR(E2424="",E2424="!!!",F2424="NEW"),"",INDEX(B2423:B$2,-1+SUMPRODUCT(MAX(ROW(E2423:E$2)*(E2424=E2423:E$2)))))</f>
        <v> </v>
      </c>
      <c r="J2424" s="25" t="str">
        <f>IF(OR(E2424="",E2424="!!!",F2424="NEW"),"",COUNTBLANK(OFFSET(A$1,,,SUMPRODUCT(MAX(ROW(E$2:E2424)*(E2424=E$2:E2424)))))-COUNTBLANK(OFFSET(A$1,,,SUMPRODUCT(MAX(ROW(E$1:E2423)*(E2=E$1:E2423))))))</f>
        <v> </v>
      </c>
      <c r="K2424" s="25" t="str">
        <f>IF(OR(E2424="",E2424="!!!",F2424="NEW"),"",INDEX(J$1:J2423,SUMPRODUCT(MAX(ROW(E$1:E2423)*(E2424=E$1:E2423)))))</f>
        <v> </v>
      </c>
      <c r="L2424" s="26"/>
    </row>
    <row r="2425" spans="1:12">
      <c r="A2425" s="20"/>
    </row>
    <row r="2426" spans="1:12">
      <c r="A2426" s="20" t="s">
        <v>1725</v>
      </c>
    </row>
    <row r="2427" spans="1:12">
      <c r="A2427" s="20" t="s">
        <v>664</v>
      </c>
      <c r="E2427" s="21">
        <f>IF(D2427="?OLD","!!!","")</f>
        <v/>
      </c>
      <c r="F2427" s="22" t="str">
        <f>IF(OR(E2427="",E2427="!!!"),"",IF(NOT(ISNA(VLOOKUP(E2427,E$1:E2426,1,FALSE()))),"OLD",IF(AND(E2427&lt;&gt;"",E2427&lt;&gt;"!!!"),"NEW","")))</f>
        <v> </v>
      </c>
      <c r="G2427" s="23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4" t="str">
        <f>IF(J2427&lt;&gt;1,"",IF(I2427="SBJ","CB","?"))</f>
        <v> </v>
      </c>
      <c r="I2427" s="25" t="str">
        <f>IF(OR(E2427="",E2427="!!!",F2427="NEW"),"",INDEX(B2426:B$2,-1+SUMPRODUCT(MAX(ROW(E2426:E$2)*(E2427=E2426:E$2)))))</f>
        <v> </v>
      </c>
      <c r="J2427" s="25" t="str">
        <f>IF(OR(E2427="",E2427="!!!",F2427="NEW"),"",COUNTBLANK(OFFSET(A$1,,,SUMPRODUCT(MAX(ROW(E$2:E2427)*(E2427=E$2:E2427)))))-COUNTBLANK(OFFSET(A$1,,,SUMPRODUCT(MAX(ROW(E$1:E2426)*(E2=E$1:E2426))))))</f>
        <v> </v>
      </c>
      <c r="K2427" s="25" t="str">
        <f>IF(OR(E2427="",E2427="!!!",F2427="NEW"),"",INDEX(J$1:J2426,SUMPRODUCT(MAX(ROW(E$1:E2426)*(E2427=E$1:E2426)))))</f>
        <v> </v>
      </c>
      <c r="L2427" s="26"/>
    </row>
    <row r="2428" spans="1:12">
      <c r="A2428" s="20" t="s">
        <v>775</v>
      </c>
      <c r="B2428" s="27" t="s">
        <v>613</v>
      </c>
      <c r="C2428" s="27" t="s">
        <v>626</v>
      </c>
      <c r="D2428" s="27" t="s">
        <v>627</v>
      </c>
      <c r="E2428" s="21">
        <f>IF(D2428="?OLD","!!!","")</f>
        <v/>
      </c>
      <c r="F2428" s="22" t="str">
        <f>IF(OR(E2428="",E2428="!!!"),"",IF(NOT(ISNA(VLOOKUP(E2428,E$1:E2427,1,FALSE()))),"OLD",IF(AND(E2428&lt;&gt;"",E2428&lt;&gt;"!!!"),"NEW","")))</f>
        <v> </v>
      </c>
      <c r="G2428" s="23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4" t="str">
        <f>IF(J2428&lt;&gt;1,"",IF(I2428="SBJ","CB","?"))</f>
        <v> </v>
      </c>
      <c r="I2428" s="25" t="str">
        <f>IF(OR(E2428="",E2428="!!!",F2428="NEW"),"",INDEX(B2427:B$2,-1+SUMPRODUCT(MAX(ROW(E2427:E$2)*(E2428=E2427:E$2)))))</f>
        <v> </v>
      </c>
      <c r="J2428" s="25" t="str">
        <f>IF(OR(E2428="",E2428="!!!",F2428="NEW"),"",COUNTBLANK(OFFSET(A$1,,,SUMPRODUCT(MAX(ROW(E$2:E2428)*(E2428=E$2:E2428)))))-COUNTBLANK(OFFSET(A$1,,,SUMPRODUCT(MAX(ROW(E$1:E2427)*(E2=E$1:E2427))))))</f>
        <v> </v>
      </c>
      <c r="K2428" s="25" t="str">
        <f>IF(OR(E2428="",E2428="!!!",F2428="NEW"),"",INDEX(J$1:J2427,SUMPRODUCT(MAX(ROW(E$1:E2427)*(E2428=E$1:E2427)))))</f>
        <v> </v>
      </c>
      <c r="L2428" s="26"/>
    </row>
    <row r="2429" spans="1:12">
      <c r="A2429" s="20" t="s">
        <v>1726</v>
      </c>
      <c r="E2429" s="21">
        <f>IF(D2429="?OLD","!!!","")</f>
        <v/>
      </c>
      <c r="F2429" s="22" t="str">
        <f>IF(OR(E2429="",E2429="!!!"),"",IF(NOT(ISNA(VLOOKUP(E2429,E$1:E2428,1,FALSE()))),"OLD",IF(AND(E2429&lt;&gt;"",E2429&lt;&gt;"!!!"),"NEW","")))</f>
        <v> </v>
      </c>
      <c r="G2429" s="23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4" t="str">
        <f>IF(J2429&lt;&gt;1,"",IF(I2429="SBJ","CB","?"))</f>
        <v> </v>
      </c>
      <c r="I2429" s="25" t="str">
        <f>IF(OR(E2429="",E2429="!!!",F2429="NEW"),"",INDEX(B2428:B$2,-1+SUMPRODUCT(MAX(ROW(E2428:E$2)*(E2429=E2428:E$2)))))</f>
        <v> </v>
      </c>
      <c r="J2429" s="25" t="str">
        <f>IF(OR(E2429="",E2429="!!!",F2429="NEW"),"",COUNTBLANK(OFFSET(A$1,,,SUMPRODUCT(MAX(ROW(E$2:E2429)*(E2429=E$2:E2429)))))-COUNTBLANK(OFFSET(A$1,,,SUMPRODUCT(MAX(ROW(E$1:E2428)*(E2=E$1:E2428))))))</f>
        <v> </v>
      </c>
      <c r="K2429" s="25" t="str">
        <f>IF(OR(E2429="",E2429="!!!",F2429="NEW"),"",INDEX(J$1:J2428,SUMPRODUCT(MAX(ROW(E$1:E2428)*(E2429=E$1:E2428)))))</f>
        <v> </v>
      </c>
      <c r="L2429" s="26"/>
    </row>
    <row r="2430" spans="1:12">
      <c r="A2430" s="20" t="s">
        <v>617</v>
      </c>
      <c r="E2430" s="21">
        <f>IF(D2430="?OLD","!!!","")</f>
        <v/>
      </c>
      <c r="F2430" s="22" t="str">
        <f>IF(OR(E2430="",E2430="!!!"),"",IF(NOT(ISNA(VLOOKUP(E2430,E$1:E2429,1,FALSE()))),"OLD",IF(AND(E2430&lt;&gt;"",E2430&lt;&gt;"!!!"),"NEW","")))</f>
        <v> </v>
      </c>
      <c r="G2430" s="23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4" t="str">
        <f>IF(J2430&lt;&gt;1,"",IF(I2430="SBJ","CB","?"))</f>
        <v> </v>
      </c>
      <c r="I2430" s="25" t="str">
        <f>IF(OR(E2430="",E2430="!!!",F2430="NEW"),"",INDEX(B2429:B$2,-1+SUMPRODUCT(MAX(ROW(E2429:E$2)*(E2430=E2429:E$2)))))</f>
        <v> </v>
      </c>
      <c r="J2430" s="25" t="str">
        <f>IF(OR(E2430="",E2430="!!!",F2430="NEW"),"",COUNTBLANK(OFFSET(A$1,,,SUMPRODUCT(MAX(ROW(E$2:E2430)*(E2430=E$2:E2430)))))-COUNTBLANK(OFFSET(A$1,,,SUMPRODUCT(MAX(ROW(E$1:E2429)*(E2=E$1:E2429))))))</f>
        <v> </v>
      </c>
      <c r="K2430" s="25" t="str">
        <f>IF(OR(E2430="",E2430="!!!",F2430="NEW"),"",INDEX(J$1:J2429,SUMPRODUCT(MAX(ROW(E$1:E2429)*(E2430=E$1:E2429)))))</f>
        <v> </v>
      </c>
      <c r="L2430" s="26"/>
    </row>
    <row r="2431" spans="1:12">
      <c r="A2431" s="20" t="s">
        <v>733</v>
      </c>
      <c r="E2431" s="21">
        <f>IF(D2431="?OLD","!!!","")</f>
        <v/>
      </c>
      <c r="F2431" s="22" t="str">
        <f>IF(OR(E2431="",E2431="!!!"),"",IF(NOT(ISNA(VLOOKUP(E2431,E$1:E2430,1,FALSE()))),"OLD",IF(AND(E2431&lt;&gt;"",E2431&lt;&gt;"!!!"),"NEW","")))</f>
        <v> </v>
      </c>
      <c r="G2431" s="23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4" t="str">
        <f>IF(J2431&lt;&gt;1,"",IF(I2431="SBJ","CB","?"))</f>
        <v> </v>
      </c>
      <c r="I2431" s="25" t="str">
        <f>IF(OR(E2431="",E2431="!!!",F2431="NEW"),"",INDEX(B2430:B$2,-1+SUMPRODUCT(MAX(ROW(E2430:E$2)*(E2431=E2430:E$2)))))</f>
        <v> </v>
      </c>
      <c r="J2431" s="25" t="str">
        <f>IF(OR(E2431="",E2431="!!!",F2431="NEW"),"",COUNTBLANK(OFFSET(A$1,,,SUMPRODUCT(MAX(ROW(E$2:E2431)*(E2431=E$2:E2431)))))-COUNTBLANK(OFFSET(A$1,,,SUMPRODUCT(MAX(ROW(E$1:E2430)*(E2=E$1:E2430))))))</f>
        <v> </v>
      </c>
      <c r="K2431" s="25" t="str">
        <f>IF(OR(E2431="",E2431="!!!",F2431="NEW"),"",INDEX(J$1:J2430,SUMPRODUCT(MAX(ROW(E$1:E2430)*(E2431=E$1:E2430)))))</f>
        <v> </v>
      </c>
      <c r="L2431" s="26"/>
    </row>
    <row r="2432" spans="1:12">
      <c r="A2432" s="20" t="s">
        <v>1727</v>
      </c>
      <c r="B2432" s="27" t="s">
        <v>636</v>
      </c>
      <c r="E2432" s="21">
        <f>IF(D2432="?OLD","!!!","")</f>
        <v/>
      </c>
      <c r="F2432" s="22" t="str">
        <f>IF(OR(E2432="",E2432="!!!"),"",IF(NOT(ISNA(VLOOKUP(E2432,E$1:E2431,1,FALSE()))),"OLD",IF(AND(E2432&lt;&gt;"",E2432&lt;&gt;"!!!"),"NEW","")))</f>
        <v> </v>
      </c>
      <c r="G2432" s="23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4" t="str">
        <f>IF(J2432&lt;&gt;1,"",IF(I2432="SBJ","CB","?"))</f>
        <v> </v>
      </c>
      <c r="I2432" s="25" t="str">
        <f>IF(OR(E2432="",E2432="!!!",F2432="NEW"),"",INDEX(B2431:B$2,-1+SUMPRODUCT(MAX(ROW(E2431:E$2)*(E2432=E2431:E$2)))))</f>
        <v> </v>
      </c>
      <c r="J2432" s="25" t="str">
        <f>IF(OR(E2432="",E2432="!!!",F2432="NEW"),"",COUNTBLANK(OFFSET(A$1,,,SUMPRODUCT(MAX(ROW(E$2:E2432)*(E2432=E$2:E2432)))))-COUNTBLANK(OFFSET(A$1,,,SUMPRODUCT(MAX(ROW(E$1:E2431)*(E2=E$1:E2431))))))</f>
        <v> </v>
      </c>
      <c r="K2432" s="25" t="str">
        <f>IF(OR(E2432="",E2432="!!!",F2432="NEW"),"",INDEX(J$1:J2431,SUMPRODUCT(MAX(ROW(E$1:E2431)*(E2432=E$1:E2431)))))</f>
        <v> </v>
      </c>
      <c r="L2432" s="26"/>
    </row>
    <row r="2433" spans="1:12">
      <c r="A2433" s="20" t="s">
        <v>1728</v>
      </c>
      <c r="B2433" s="27" t="s">
        <v>798</v>
      </c>
      <c r="C2433" s="27" t="s">
        <v>640</v>
      </c>
      <c r="D2433" s="27" t="s">
        <v>627</v>
      </c>
      <c r="E2433" s="21">
        <f>IF(D2433="?OLD","!!!","")</f>
        <v/>
      </c>
      <c r="F2433" s="22" t="str">
        <f>IF(OR(E2433="",E2433="!!!"),"",IF(NOT(ISNA(VLOOKUP(E2433,E$1:E2432,1,FALSE()))),"OLD",IF(AND(E2433&lt;&gt;"",E2433&lt;&gt;"!!!"),"NEW","")))</f>
        <v> </v>
      </c>
      <c r="G2433" s="23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4" t="str">
        <f>IF(J2433&lt;&gt;1,"",IF(I2433="SBJ","CB","?"))</f>
        <v> </v>
      </c>
      <c r="I2433" s="25" t="str">
        <f>IF(OR(E2433="",E2433="!!!",F2433="NEW"),"",INDEX(B2432:B$2,-1+SUMPRODUCT(MAX(ROW(E2432:E$2)*(E2433=E2432:E$2)))))</f>
        <v> </v>
      </c>
      <c r="J2433" s="25" t="str">
        <f>IF(OR(E2433="",E2433="!!!",F2433="NEW"),"",COUNTBLANK(OFFSET(A$1,,,SUMPRODUCT(MAX(ROW(E$2:E2433)*(E2433=E$2:E2433)))))-COUNTBLANK(OFFSET(A$1,,,SUMPRODUCT(MAX(ROW(E$1:E2432)*(E2=E$1:E2432))))))</f>
        <v> </v>
      </c>
      <c r="K2433" s="25" t="str">
        <f>IF(OR(E2433="",E2433="!!!",F2433="NEW"),"",INDEX(J$1:J2432,SUMPRODUCT(MAX(ROW(E$1:E2432)*(E2433=E$1:E2432)))))</f>
        <v> </v>
      </c>
      <c r="L2433" s="26"/>
    </row>
    <row r="2434" spans="1:12">
      <c r="A2434" s="20" t="s">
        <v>1729</v>
      </c>
      <c r="E2434" s="21">
        <f>IF(D2434="?OLD","!!!","")</f>
        <v/>
      </c>
      <c r="F2434" s="22" t="str">
        <f>IF(OR(E2434="",E2434="!!!"),"",IF(NOT(ISNA(VLOOKUP(E2434,E$1:E2433,1,FALSE()))),"OLD",IF(AND(E2434&lt;&gt;"",E2434&lt;&gt;"!!!"),"NEW","")))</f>
        <v> </v>
      </c>
      <c r="G2434" s="23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4" t="str">
        <f>IF(J2434&lt;&gt;1,"",IF(I2434="SBJ","CB","?"))</f>
        <v> </v>
      </c>
      <c r="I2434" s="25" t="str">
        <f>IF(OR(E2434="",E2434="!!!",F2434="NEW"),"",INDEX(B2433:B$2,-1+SUMPRODUCT(MAX(ROW(E2433:E$2)*(E2434=E2433:E$2)))))</f>
        <v> </v>
      </c>
      <c r="J2434" s="25" t="str">
        <f>IF(OR(E2434="",E2434="!!!",F2434="NEW"),"",COUNTBLANK(OFFSET(A$1,,,SUMPRODUCT(MAX(ROW(E$2:E2434)*(E2434=E$2:E2434)))))-COUNTBLANK(OFFSET(A$1,,,SUMPRODUCT(MAX(ROW(E$1:E2433)*(E2=E$1:E2433))))))</f>
        <v> </v>
      </c>
      <c r="K2434" s="25" t="str">
        <f>IF(OR(E2434="",E2434="!!!",F2434="NEW"),"",INDEX(J$1:J2433,SUMPRODUCT(MAX(ROW(E$1:E2433)*(E2434=E$1:E2433)))))</f>
        <v> </v>
      </c>
      <c r="L2434" s="26"/>
    </row>
    <row r="2435" spans="1:12">
      <c r="A2435" s="20" t="s">
        <v>1623</v>
      </c>
      <c r="E2435" s="21">
        <f>IF(D2435="?OLD","!!!","")</f>
        <v/>
      </c>
      <c r="F2435" s="22" t="str">
        <f>IF(OR(E2435="",E2435="!!!"),"",IF(NOT(ISNA(VLOOKUP(E2435,E$1:E2434,1,FALSE()))),"OLD",IF(AND(E2435&lt;&gt;"",E2435&lt;&gt;"!!!"),"NEW","")))</f>
        <v> </v>
      </c>
      <c r="G2435" s="23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4" t="str">
        <f>IF(J2435&lt;&gt;1,"",IF(I2435="SBJ","CB","?"))</f>
        <v> </v>
      </c>
      <c r="I2435" s="25" t="str">
        <f>IF(OR(E2435="",E2435="!!!",F2435="NEW"),"",INDEX(B2434:B$2,-1+SUMPRODUCT(MAX(ROW(E2434:E$2)*(E2435=E2434:E$2)))))</f>
        <v> </v>
      </c>
      <c r="J2435" s="25" t="str">
        <f>IF(OR(E2435="",E2435="!!!",F2435="NEW"),"",COUNTBLANK(OFFSET(A$1,,,SUMPRODUCT(MAX(ROW(E$2:E2435)*(E2435=E$2:E2435)))))-COUNTBLANK(OFFSET(A$1,,,SUMPRODUCT(MAX(ROW(E$1:E2434)*(E2=E$1:E2434))))))</f>
        <v> </v>
      </c>
      <c r="K2435" s="25" t="str">
        <f>IF(OR(E2435="",E2435="!!!",F2435="NEW"),"",INDEX(J$1:J2434,SUMPRODUCT(MAX(ROW(E$1:E2434)*(E2435=E$1:E2434)))))</f>
        <v> </v>
      </c>
      <c r="L2435" s="26"/>
    </row>
    <row r="2436" spans="1:12">
      <c r="A2436" s="20" t="s">
        <v>617</v>
      </c>
      <c r="E2436" s="21">
        <f>IF(D2436="?OLD","!!!","")</f>
        <v/>
      </c>
      <c r="F2436" s="22" t="str">
        <f>IF(OR(E2436="",E2436="!!!"),"",IF(NOT(ISNA(VLOOKUP(E2436,E$1:E2435,1,FALSE()))),"OLD",IF(AND(E2436&lt;&gt;"",E2436&lt;&gt;"!!!"),"NEW","")))</f>
        <v> </v>
      </c>
      <c r="G2436" s="23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4" t="str">
        <f>IF(J2436&lt;&gt;1,"",IF(I2436="SBJ","CB","?"))</f>
        <v> </v>
      </c>
      <c r="I2436" s="25" t="str">
        <f>IF(OR(E2436="",E2436="!!!",F2436="NEW"),"",INDEX(B2435:B$2,-1+SUMPRODUCT(MAX(ROW(E2435:E$2)*(E2436=E2435:E$2)))))</f>
        <v> </v>
      </c>
      <c r="J2436" s="25" t="str">
        <f>IF(OR(E2436="",E2436="!!!",F2436="NEW"),"",COUNTBLANK(OFFSET(A$1,,,SUMPRODUCT(MAX(ROW(E$2:E2436)*(E2436=E$2:E2436)))))-COUNTBLANK(OFFSET(A$1,,,SUMPRODUCT(MAX(ROW(E$1:E2435)*(E2=E$1:E2435))))))</f>
        <v> </v>
      </c>
      <c r="K2436" s="25" t="str">
        <f>IF(OR(E2436="",E2436="!!!",F2436="NEW"),"",INDEX(J$1:J2435,SUMPRODUCT(MAX(ROW(E$1:E2435)*(E2436=E$1:E2435)))))</f>
        <v> </v>
      </c>
      <c r="L2436" s="26"/>
    </row>
    <row r="2437" spans="1:12">
      <c r="A2437" s="20" t="s">
        <v>1420</v>
      </c>
      <c r="B2437" s="27" t="s">
        <v>708</v>
      </c>
      <c r="C2437" s="27" t="s">
        <v>674</v>
      </c>
      <c r="E2437" s="21">
        <f>IF(D2437="?OLD","!!!","")</f>
        <v/>
      </c>
      <c r="F2437" s="22" t="str">
        <f>IF(OR(E2437="",E2437="!!!"),"",IF(NOT(ISNA(VLOOKUP(E2437,E$1:E2436,1,FALSE()))),"OLD",IF(AND(E2437&lt;&gt;"",E2437&lt;&gt;"!!!"),"NEW","")))</f>
        <v> </v>
      </c>
      <c r="G2437" s="23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4" t="str">
        <f>IF(J2437&lt;&gt;1,"",IF(I2437="SBJ","CB","?"))</f>
        <v> </v>
      </c>
      <c r="I2437" s="25" t="str">
        <f>IF(OR(E2437="",E2437="!!!",F2437="NEW"),"",INDEX(B2436:B$2,-1+SUMPRODUCT(MAX(ROW(E2436:E$2)*(E2437=E2436:E$2)))))</f>
        <v> </v>
      </c>
      <c r="J2437" s="25" t="str">
        <f>IF(OR(E2437="",E2437="!!!",F2437="NEW"),"",COUNTBLANK(OFFSET(A$1,,,SUMPRODUCT(MAX(ROW(E$2:E2437)*(E2437=E$2:E2437)))))-COUNTBLANK(OFFSET(A$1,,,SUMPRODUCT(MAX(ROW(E$1:E2436)*(E2=E$1:E2436))))))</f>
        <v> </v>
      </c>
      <c r="K2437" s="25" t="str">
        <f>IF(OR(E2437="",E2437="!!!",F2437="NEW"),"",INDEX(J$1:J2436,SUMPRODUCT(MAX(ROW(E$1:E2436)*(E2437=E$1:E2436)))))</f>
        <v> </v>
      </c>
      <c r="L2437" s="26"/>
    </row>
    <row r="2438" spans="1:12">
      <c r="A2438" s="20" t="s">
        <v>1253</v>
      </c>
      <c r="E2438" s="21">
        <f>IF(D2438="?OLD","!!!","")</f>
        <v/>
      </c>
      <c r="F2438" s="22" t="str">
        <f>IF(OR(E2438="",E2438="!!!"),"",IF(NOT(ISNA(VLOOKUP(E2438,E$1:E2437,1,FALSE()))),"OLD",IF(AND(E2438&lt;&gt;"",E2438&lt;&gt;"!!!"),"NEW","")))</f>
        <v> </v>
      </c>
      <c r="G2438" s="23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4" t="str">
        <f>IF(J2438&lt;&gt;1,"",IF(I2438="SBJ","CB","?"))</f>
        <v> </v>
      </c>
      <c r="I2438" s="25" t="str">
        <f>IF(OR(E2438="",E2438="!!!",F2438="NEW"),"",INDEX(B2437:B$2,-1+SUMPRODUCT(MAX(ROW(E2437:E$2)*(E2438=E2437:E$2)))))</f>
        <v> </v>
      </c>
      <c r="J2438" s="25" t="str">
        <f>IF(OR(E2438="",E2438="!!!",F2438="NEW"),"",COUNTBLANK(OFFSET(A$1,,,SUMPRODUCT(MAX(ROW(E$2:E2438)*(E2438=E$2:E2438)))))-COUNTBLANK(OFFSET(A$1,,,SUMPRODUCT(MAX(ROW(E$1:E2437)*(E2=E$1:E2437))))))</f>
        <v> </v>
      </c>
      <c r="K2438" s="25" t="str">
        <f>IF(OR(E2438="",E2438="!!!",F2438="NEW"),"",INDEX(J$1:J2437,SUMPRODUCT(MAX(ROW(E$1:E2437)*(E2438=E$1:E2437)))))</f>
        <v> </v>
      </c>
      <c r="L2438" s="26"/>
    </row>
    <row r="2439" spans="1:12">
      <c r="A2439" s="20" t="s">
        <v>1722</v>
      </c>
      <c r="B2439" s="27" t="s">
        <v>1657</v>
      </c>
      <c r="C2439" s="27" t="s">
        <v>650</v>
      </c>
      <c r="D2439" s="27" t="s">
        <v>627</v>
      </c>
      <c r="E2439" s="21">
        <f>IF(D2439="?OLD","!!!","")</f>
        <v/>
      </c>
      <c r="F2439" s="22" t="str">
        <f>IF(OR(E2439="",E2439="!!!"),"",IF(NOT(ISNA(VLOOKUP(E2439,E$1:E2438,1,FALSE()))),"OLD",IF(AND(E2439&lt;&gt;"",E2439&lt;&gt;"!!!"),"NEW","")))</f>
        <v> </v>
      </c>
      <c r="G2439" s="23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4" t="str">
        <f>IF(J2439&lt;&gt;1,"",IF(I2439="SBJ","CB","?"))</f>
        <v> </v>
      </c>
      <c r="I2439" s="25" t="str">
        <f>IF(OR(E2439="",E2439="!!!",F2439="NEW"),"",INDEX(B2438:B$2,-1+SUMPRODUCT(MAX(ROW(E2438:E$2)*(E2439=E2438:E$2)))))</f>
        <v> </v>
      </c>
      <c r="J2439" s="25" t="str">
        <f>IF(OR(E2439="",E2439="!!!",F2439="NEW"),"",COUNTBLANK(OFFSET(A$1,,,SUMPRODUCT(MAX(ROW(E$2:E2439)*(E2439=E$2:E2439)))))-COUNTBLANK(OFFSET(A$1,,,SUMPRODUCT(MAX(ROW(E$1:E2438)*(E2=E$1:E2438))))))</f>
        <v> </v>
      </c>
      <c r="K2439" s="25" t="str">
        <f>IF(OR(E2439="",E2439="!!!",F2439="NEW"),"",INDEX(J$1:J2438,SUMPRODUCT(MAX(ROW(E$1:E2438)*(E2439=E$1:E2438)))))</f>
        <v> </v>
      </c>
      <c r="L2439" s="26"/>
    </row>
    <row r="2440" spans="1:12">
      <c r="A2440" s="20" t="s">
        <v>1730</v>
      </c>
      <c r="E2440" s="21">
        <f>IF(D2440="?OLD","!!!","")</f>
        <v/>
      </c>
      <c r="F2440" s="22" t="str">
        <f>IF(OR(E2440="",E2440="!!!"),"",IF(NOT(ISNA(VLOOKUP(E2440,E$1:E2439,1,FALSE()))),"OLD",IF(AND(E2440&lt;&gt;"",E2440&lt;&gt;"!!!"),"NEW","")))</f>
        <v> </v>
      </c>
      <c r="G2440" s="23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4" t="str">
        <f>IF(J2440&lt;&gt;1,"",IF(I2440="SBJ","CB","?"))</f>
        <v> </v>
      </c>
      <c r="I2440" s="25" t="str">
        <f>IF(OR(E2440="",E2440="!!!",F2440="NEW"),"",INDEX(B2439:B$2,-1+SUMPRODUCT(MAX(ROW(E2439:E$2)*(E2440=E2439:E$2)))))</f>
        <v> </v>
      </c>
      <c r="J2440" s="25" t="str">
        <f>IF(OR(E2440="",E2440="!!!",F2440="NEW"),"",COUNTBLANK(OFFSET(A$1,,,SUMPRODUCT(MAX(ROW(E$2:E2440)*(E2440=E$2:E2440)))))-COUNTBLANK(OFFSET(A$1,,,SUMPRODUCT(MAX(ROW(E$1:E2439)*(E2=E$1:E2439))))))</f>
        <v> </v>
      </c>
      <c r="K2440" s="25" t="str">
        <f>IF(OR(E2440="",E2440="!!!",F2440="NEW"),"",INDEX(J$1:J2439,SUMPRODUCT(MAX(ROW(E$1:E2439)*(E2440=E$1:E2439)))))</f>
        <v> </v>
      </c>
      <c r="L2440" s="26"/>
    </row>
    <row r="2441" spans="1:12">
      <c r="A2441" s="20" t="s">
        <v>1731</v>
      </c>
      <c r="E2441" s="21">
        <f>IF(D2441="?OLD","!!!","")</f>
        <v/>
      </c>
      <c r="F2441" s="22" t="str">
        <f>IF(OR(E2441="",E2441="!!!"),"",IF(NOT(ISNA(VLOOKUP(E2441,E$1:E2440,1,FALSE()))),"OLD",IF(AND(E2441&lt;&gt;"",E2441&lt;&gt;"!!!"),"NEW","")))</f>
        <v> </v>
      </c>
      <c r="G2441" s="23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4" t="str">
        <f>IF(J2441&lt;&gt;1,"",IF(I2441="SBJ","CB","?"))</f>
        <v> </v>
      </c>
      <c r="I2441" s="25" t="str">
        <f>IF(OR(E2441="",E2441="!!!",F2441="NEW"),"",INDEX(B2440:B$2,-1+SUMPRODUCT(MAX(ROW(E2440:E$2)*(E2441=E2440:E$2)))))</f>
        <v> </v>
      </c>
      <c r="J2441" s="25" t="str">
        <f>IF(OR(E2441="",E2441="!!!",F2441="NEW"),"",COUNTBLANK(OFFSET(A$1,,,SUMPRODUCT(MAX(ROW(E$2:E2441)*(E2441=E$2:E2441)))))-COUNTBLANK(OFFSET(A$1,,,SUMPRODUCT(MAX(ROW(E$1:E2440)*(E2=E$1:E2440))))))</f>
        <v> </v>
      </c>
      <c r="K2441" s="25" t="str">
        <f>IF(OR(E2441="",E2441="!!!",F2441="NEW"),"",INDEX(J$1:J2440,SUMPRODUCT(MAX(ROW(E$1:E2440)*(E2441=E$1:E2440)))))</f>
        <v> </v>
      </c>
      <c r="L2441" s="26"/>
    </row>
    <row r="2442" spans="1:12">
      <c r="A2442" s="20" t="s">
        <v>617</v>
      </c>
      <c r="E2442" s="21">
        <f>IF(D2442="?OLD","!!!","")</f>
        <v/>
      </c>
      <c r="F2442" s="22" t="str">
        <f>IF(OR(E2442="",E2442="!!!"),"",IF(NOT(ISNA(VLOOKUP(E2442,E$1:E2441,1,FALSE()))),"OLD",IF(AND(E2442&lt;&gt;"",E2442&lt;&gt;"!!!"),"NEW","")))</f>
        <v> </v>
      </c>
      <c r="G2442" s="23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4" t="str">
        <f>IF(J2442&lt;&gt;1,"",IF(I2442="SBJ","CB","?"))</f>
        <v> </v>
      </c>
      <c r="I2442" s="25" t="str">
        <f>IF(OR(E2442="",E2442="!!!",F2442="NEW"),"",INDEX(B2441:B$2,-1+SUMPRODUCT(MAX(ROW(E2441:E$2)*(E2442=E2441:E$2)))))</f>
        <v> </v>
      </c>
      <c r="J2442" s="25" t="str">
        <f>IF(OR(E2442="",E2442="!!!",F2442="NEW"),"",COUNTBLANK(OFFSET(A$1,,,SUMPRODUCT(MAX(ROW(E$2:E2442)*(E2442=E$2:E2442)))))-COUNTBLANK(OFFSET(A$1,,,SUMPRODUCT(MAX(ROW(E$1:E2441)*(E2=E$1:E2441))))))</f>
        <v> </v>
      </c>
      <c r="K2442" s="25" t="str">
        <f>IF(OR(E2442="",E2442="!!!",F2442="NEW"),"",INDEX(J$1:J2441,SUMPRODUCT(MAX(ROW(E$1:E2441)*(E2442=E$1:E2441)))))</f>
        <v> </v>
      </c>
      <c r="L2442" s="26"/>
    </row>
    <row r="2443" spans="1:12">
      <c r="A2443" s="20" t="s">
        <v>978</v>
      </c>
      <c r="E2443" s="21">
        <f>IF(D2443="?OLD","!!!","")</f>
        <v/>
      </c>
      <c r="F2443" s="22" t="str">
        <f>IF(OR(E2443="",E2443="!!!"),"",IF(NOT(ISNA(VLOOKUP(E2443,E$1:E2442,1,FALSE()))),"OLD",IF(AND(E2443&lt;&gt;"",E2443&lt;&gt;"!!!"),"NEW","")))</f>
        <v> </v>
      </c>
      <c r="G2443" s="23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4" t="str">
        <f>IF(J2443&lt;&gt;1,"",IF(I2443="SBJ","CB","?"))</f>
        <v> </v>
      </c>
      <c r="I2443" s="25" t="str">
        <f>IF(OR(E2443="",E2443="!!!",F2443="NEW"),"",INDEX(B2442:B$2,-1+SUMPRODUCT(MAX(ROW(E2442:E$2)*(E2443=E2442:E$2)))))</f>
        <v> </v>
      </c>
      <c r="J2443" s="25" t="str">
        <f>IF(OR(E2443="",E2443="!!!",F2443="NEW"),"",COUNTBLANK(OFFSET(A$1,,,SUMPRODUCT(MAX(ROW(E$2:E2443)*(E2443=E$2:E2443)))))-COUNTBLANK(OFFSET(A$1,,,SUMPRODUCT(MAX(ROW(E$1:E2442)*(E2=E$1:E2442))))))</f>
        <v> </v>
      </c>
      <c r="K2443" s="25" t="str">
        <f>IF(OR(E2443="",E2443="!!!",F2443="NEW"),"",INDEX(J$1:J2442,SUMPRODUCT(MAX(ROW(E$1:E2442)*(E2443=E$1:E2442)))))</f>
        <v> </v>
      </c>
      <c r="L2443" s="26"/>
    </row>
    <row r="2444" spans="1:12">
      <c r="A2444" s="20" t="s">
        <v>1732</v>
      </c>
      <c r="E2444" s="21">
        <f>IF(D2444="?OLD","!!!","")</f>
        <v/>
      </c>
      <c r="F2444" s="22" t="str">
        <f>IF(OR(E2444="",E2444="!!!"),"",IF(NOT(ISNA(VLOOKUP(E2444,E$1:E2443,1,FALSE()))),"OLD",IF(AND(E2444&lt;&gt;"",E2444&lt;&gt;"!!!"),"NEW","")))</f>
        <v> </v>
      </c>
      <c r="G2444" s="23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4" t="str">
        <f>IF(J2444&lt;&gt;1,"",IF(I2444="SBJ","CB","?"))</f>
        <v> </v>
      </c>
      <c r="I2444" s="25" t="str">
        <f>IF(OR(E2444="",E2444="!!!",F2444="NEW"),"",INDEX(B2443:B$2,-1+SUMPRODUCT(MAX(ROW(E2443:E$2)*(E2444=E2443:E$2)))))</f>
        <v> </v>
      </c>
      <c r="J2444" s="25" t="str">
        <f>IF(OR(E2444="",E2444="!!!",F2444="NEW"),"",COUNTBLANK(OFFSET(A$1,,,SUMPRODUCT(MAX(ROW(E$2:E2444)*(E2444=E$2:E2444)))))-COUNTBLANK(OFFSET(A$1,,,SUMPRODUCT(MAX(ROW(E$1:E2443)*(E2=E$1:E2443))))))</f>
        <v> </v>
      </c>
      <c r="K2444" s="25" t="str">
        <f>IF(OR(E2444="",E2444="!!!",F2444="NEW"),"",INDEX(J$1:J2443,SUMPRODUCT(MAX(ROW(E$1:E2443)*(E2444=E$1:E2443)))))</f>
        <v> </v>
      </c>
      <c r="L2444" s="26"/>
    </row>
    <row r="2445" spans="1:12">
      <c r="A2445" s="20" t="s">
        <v>785</v>
      </c>
      <c r="E2445" s="21">
        <f>IF(D2445="?OLD","!!!","")</f>
        <v/>
      </c>
      <c r="F2445" s="22" t="str">
        <f>IF(OR(E2445="",E2445="!!!"),"",IF(NOT(ISNA(VLOOKUP(E2445,E$1:E2444,1,FALSE()))),"OLD",IF(AND(E2445&lt;&gt;"",E2445&lt;&gt;"!!!"),"NEW","")))</f>
        <v> </v>
      </c>
      <c r="G2445" s="23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4" t="str">
        <f>IF(J2445&lt;&gt;1,"",IF(I2445="SBJ","CB","?"))</f>
        <v> </v>
      </c>
      <c r="I2445" s="25" t="str">
        <f>IF(OR(E2445="",E2445="!!!",F2445="NEW"),"",INDEX(B2444:B$2,-1+SUMPRODUCT(MAX(ROW(E2444:E$2)*(E2445=E2444:E$2)))))</f>
        <v> </v>
      </c>
      <c r="J2445" s="25" t="str">
        <f>IF(OR(E2445="",E2445="!!!",F2445="NEW"),"",COUNTBLANK(OFFSET(A$1,,,SUMPRODUCT(MAX(ROW(E$2:E2445)*(E2445=E$2:E2445)))))-COUNTBLANK(OFFSET(A$1,,,SUMPRODUCT(MAX(ROW(E$1:E2444)*(E2=E$1:E2444))))))</f>
        <v> </v>
      </c>
      <c r="K2445" s="25" t="str">
        <f>IF(OR(E2445="",E2445="!!!",F2445="NEW"),"",INDEX(J$1:J2444,SUMPRODUCT(MAX(ROW(E$1:E2444)*(E2445=E$1:E2444)))))</f>
        <v> </v>
      </c>
      <c r="L2445" s="26"/>
    </row>
    <row r="2446" spans="1:12">
      <c r="A2446" s="20" t="s">
        <v>1733</v>
      </c>
      <c r="B2446" s="27" t="s">
        <v>639</v>
      </c>
      <c r="C2446" s="27" t="s">
        <v>1734</v>
      </c>
      <c r="D2446" s="27" t="s">
        <v>627</v>
      </c>
      <c r="E2446" s="21">
        <f>IF(D2446="?OLD","!!!","")</f>
        <v/>
      </c>
      <c r="F2446" s="22" t="str">
        <f>IF(OR(E2446="",E2446="!!!"),"",IF(NOT(ISNA(VLOOKUP(E2446,E$1:E2445,1,FALSE()))),"OLD",IF(AND(E2446&lt;&gt;"",E2446&lt;&gt;"!!!"),"NEW","")))</f>
        <v> </v>
      </c>
      <c r="G2446" s="23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4" t="str">
        <f>IF(J2446&lt;&gt;1,"",IF(I2446="SBJ","CB","?"))</f>
        <v> </v>
      </c>
      <c r="I2446" s="25" t="str">
        <f>IF(OR(E2446="",E2446="!!!",F2446="NEW"),"",INDEX(B2445:B$2,-1+SUMPRODUCT(MAX(ROW(E2445:E$2)*(E2446=E2445:E$2)))))</f>
        <v> </v>
      </c>
      <c r="J2446" s="25" t="str">
        <f>IF(OR(E2446="",E2446="!!!",F2446="NEW"),"",COUNTBLANK(OFFSET(A$1,,,SUMPRODUCT(MAX(ROW(E$2:E2446)*(E2446=E$2:E2446)))))-COUNTBLANK(OFFSET(A$1,,,SUMPRODUCT(MAX(ROW(E$1:E2445)*(E2=E$1:E2445))))))</f>
        <v> </v>
      </c>
      <c r="K2446" s="25" t="str">
        <f>IF(OR(E2446="",E2446="!!!",F2446="NEW"),"",INDEX(J$1:J2445,SUMPRODUCT(MAX(ROW(E$1:E2445)*(E2446=E$1:E2445)))))</f>
        <v> </v>
      </c>
      <c r="L2446" s="26"/>
    </row>
    <row r="2447" spans="1:12">
      <c r="A2447" s="20" t="s">
        <v>1656</v>
      </c>
      <c r="E2447" s="21">
        <f>IF(D2447="?OLD","!!!","")</f>
        <v/>
      </c>
      <c r="F2447" s="22" t="str">
        <f>IF(OR(E2447="",E2447="!!!"),"",IF(NOT(ISNA(VLOOKUP(E2447,E$1:E2446,1,FALSE()))),"OLD",IF(AND(E2447&lt;&gt;"",E2447&lt;&gt;"!!!"),"NEW","")))</f>
        <v> </v>
      </c>
      <c r="G2447" s="23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4" t="str">
        <f>IF(J2447&lt;&gt;1,"",IF(I2447="SBJ","CB","?"))</f>
        <v> </v>
      </c>
      <c r="I2447" s="25" t="str">
        <f>IF(OR(E2447="",E2447="!!!",F2447="NEW"),"",INDEX(B2446:B$2,-1+SUMPRODUCT(MAX(ROW(E2446:E$2)*(E2447=E2446:E$2)))))</f>
        <v> </v>
      </c>
      <c r="J2447" s="25" t="str">
        <f>IF(OR(E2447="",E2447="!!!",F2447="NEW"),"",COUNTBLANK(OFFSET(A$1,,,SUMPRODUCT(MAX(ROW(E$2:E2447)*(E2447=E$2:E2447)))))-COUNTBLANK(OFFSET(A$1,,,SUMPRODUCT(MAX(ROW(E$1:E2446)*(E2=E$1:E2446))))))</f>
        <v> </v>
      </c>
      <c r="K2447" s="25" t="str">
        <f>IF(OR(E2447="",E2447="!!!",F2447="NEW"),"",INDEX(J$1:J2446,SUMPRODUCT(MAX(ROW(E$1:E2446)*(E2447=E$1:E2446)))))</f>
        <v> </v>
      </c>
      <c r="L2447" s="26"/>
    </row>
    <row r="2448" spans="1:12">
      <c r="A2448" s="20" t="s">
        <v>751</v>
      </c>
      <c r="E2448" s="21">
        <f>IF(D2448="?OLD","!!!","")</f>
        <v/>
      </c>
      <c r="F2448" s="22" t="str">
        <f>IF(OR(E2448="",E2448="!!!"),"",IF(NOT(ISNA(VLOOKUP(E2448,E$1:E2447,1,FALSE()))),"OLD",IF(AND(E2448&lt;&gt;"",E2448&lt;&gt;"!!!"),"NEW","")))</f>
        <v> </v>
      </c>
      <c r="G2448" s="23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4" t="str">
        <f>IF(J2448&lt;&gt;1,"",IF(I2448="SBJ","CB","?"))</f>
        <v> </v>
      </c>
      <c r="I2448" s="25" t="str">
        <f>IF(OR(E2448="",E2448="!!!",F2448="NEW"),"",INDEX(B2447:B$2,-1+SUMPRODUCT(MAX(ROW(E2447:E$2)*(E2448=E2447:E$2)))))</f>
        <v> </v>
      </c>
      <c r="J2448" s="25" t="str">
        <f>IF(OR(E2448="",E2448="!!!",F2448="NEW"),"",COUNTBLANK(OFFSET(A$1,,,SUMPRODUCT(MAX(ROW(E$2:E2448)*(E2448=E$2:E2448)))))-COUNTBLANK(OFFSET(A$1,,,SUMPRODUCT(MAX(ROW(E$1:E2447)*(E2=E$1:E2447))))))</f>
        <v> </v>
      </c>
      <c r="K2448" s="25" t="str">
        <f>IF(OR(E2448="",E2448="!!!",F2448="NEW"),"",INDEX(J$1:J2447,SUMPRODUCT(MAX(ROW(E$1:E2447)*(E2448=E$1:E2447)))))</f>
        <v> </v>
      </c>
      <c r="L2448" s="26"/>
    </row>
    <row r="2449" spans="1:12">
      <c r="A2449" s="20" t="s">
        <v>1735</v>
      </c>
      <c r="B2449" s="27" t="s">
        <v>798</v>
      </c>
      <c r="C2449" s="27" t="s">
        <v>650</v>
      </c>
      <c r="D2449" s="27" t="s">
        <v>627</v>
      </c>
      <c r="E2449" s="21">
        <f>IF(D2449="?OLD","!!!","")</f>
        <v/>
      </c>
      <c r="F2449" s="22" t="str">
        <f>IF(OR(E2449="",E2449="!!!"),"",IF(NOT(ISNA(VLOOKUP(E2449,E$1:E2448,1,FALSE()))),"OLD",IF(AND(E2449&lt;&gt;"",E2449&lt;&gt;"!!!"),"NEW","")))</f>
        <v> </v>
      </c>
      <c r="G2449" s="23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4" t="str">
        <f>IF(J2449&lt;&gt;1,"",IF(I2449="SBJ","CB","?"))</f>
        <v> </v>
      </c>
      <c r="I2449" s="25" t="str">
        <f>IF(OR(E2449="",E2449="!!!",F2449="NEW"),"",INDEX(B2448:B$2,-1+SUMPRODUCT(MAX(ROW(E2448:E$2)*(E2449=E2448:E$2)))))</f>
        <v> </v>
      </c>
      <c r="J2449" s="25" t="str">
        <f>IF(OR(E2449="",E2449="!!!",F2449="NEW"),"",COUNTBLANK(OFFSET(A$1,,,SUMPRODUCT(MAX(ROW(E$2:E2449)*(E2449=E$2:E2449)))))-COUNTBLANK(OFFSET(A$1,,,SUMPRODUCT(MAX(ROW(E$1:E2448)*(E2=E$1:E2448))))))</f>
        <v> </v>
      </c>
      <c r="K2449" s="25" t="str">
        <f>IF(OR(E2449="",E2449="!!!",F2449="NEW"),"",INDEX(J$1:J2448,SUMPRODUCT(MAX(ROW(E$1:E2448)*(E2449=E$1:E2448)))))</f>
        <v> </v>
      </c>
      <c r="L2449" s="26"/>
    </row>
    <row r="2450" spans="1:12">
      <c r="A2450" s="20" t="s">
        <v>623</v>
      </c>
      <c r="E2450" s="21">
        <f>IF(D2450="?OLD","!!!","")</f>
        <v/>
      </c>
      <c r="F2450" s="22" t="str">
        <f>IF(OR(E2450="",E2450="!!!"),"",IF(NOT(ISNA(VLOOKUP(E2450,E$1:E2449,1,FALSE()))),"OLD",IF(AND(E2450&lt;&gt;"",E2450&lt;&gt;"!!!"),"NEW","")))</f>
        <v> </v>
      </c>
      <c r="G2450" s="23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4" t="str">
        <f>IF(J2450&lt;&gt;1,"",IF(I2450="SBJ","CB","?"))</f>
        <v> </v>
      </c>
      <c r="I2450" s="25" t="str">
        <f>IF(OR(E2450="",E2450="!!!",F2450="NEW"),"",INDEX(B2449:B$2,-1+SUMPRODUCT(MAX(ROW(E2449:E$2)*(E2450=E2449:E$2)))))</f>
        <v> </v>
      </c>
      <c r="J2450" s="25" t="str">
        <f>IF(OR(E2450="",E2450="!!!",F2450="NEW"),"",COUNTBLANK(OFFSET(A$1,,,SUMPRODUCT(MAX(ROW(E$2:E2450)*(E2450=E$2:E2450)))))-COUNTBLANK(OFFSET(A$1,,,SUMPRODUCT(MAX(ROW(E$1:E2449)*(E2=E$1:E2449))))))</f>
        <v> </v>
      </c>
      <c r="K2450" s="25" t="str">
        <f>IF(OR(E2450="",E2450="!!!",F2450="NEW"),"",INDEX(J$1:J2449,SUMPRODUCT(MAX(ROW(E$1:E2449)*(E2450=E$1:E2449)))))</f>
        <v> </v>
      </c>
      <c r="L2450" s="26"/>
    </row>
    <row r="2451" spans="1:12">
      <c r="A2451" s="20"/>
    </row>
    <row r="2452" spans="1:12">
      <c r="A2452" s="20" t="s">
        <v>1736</v>
      </c>
    </row>
    <row r="2453" spans="1:12">
      <c r="A2453" s="20" t="s">
        <v>1737</v>
      </c>
      <c r="E2453" s="21">
        <f>IF(D2453="?OLD","!!!","")</f>
        <v/>
      </c>
      <c r="F2453" s="22" t="str">
        <f>IF(OR(E2453="",E2453="!!!"),"",IF(NOT(ISNA(VLOOKUP(E2453,E$1:E2452,1,FALSE()))),"OLD",IF(AND(E2453&lt;&gt;"",E2453&lt;&gt;"!!!"),"NEW","")))</f>
        <v> </v>
      </c>
      <c r="G2453" s="23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4" t="str">
        <f>IF(J2453&lt;&gt;1,"",IF(I2453="SBJ","CB","?"))</f>
        <v> </v>
      </c>
      <c r="I2453" s="25" t="str">
        <f>IF(OR(E2453="",E2453="!!!",F2453="NEW"),"",INDEX(B2452:B$2,-1+SUMPRODUCT(MAX(ROW(E2452:E$2)*(E2453=E2452:E$2)))))</f>
        <v> </v>
      </c>
      <c r="J2453" s="25" t="str">
        <f>IF(OR(E2453="",E2453="!!!",F2453="NEW"),"",COUNTBLANK(OFFSET(A$1,,,SUMPRODUCT(MAX(ROW(E$2:E2453)*(E2453=E$2:E2453)))))-COUNTBLANK(OFFSET(A$1,,,SUMPRODUCT(MAX(ROW(E$1:E2452)*(E2=E$1:E2452))))))</f>
        <v> </v>
      </c>
      <c r="K2453" s="25" t="str">
        <f>IF(OR(E2453="",E2453="!!!",F2453="NEW"),"",INDEX(J$1:J2452,SUMPRODUCT(MAX(ROW(E$1:E2452)*(E2453=E$1:E2452)))))</f>
        <v> </v>
      </c>
      <c r="L2453" s="26"/>
    </row>
    <row r="2454" spans="1:12">
      <c r="A2454" s="20" t="s">
        <v>289</v>
      </c>
      <c r="B2454" s="27" t="s">
        <v>608</v>
      </c>
      <c r="C2454" s="27" t="s">
        <v>683</v>
      </c>
      <c r="D2454" s="27" t="s">
        <v>627</v>
      </c>
      <c r="E2454" s="21">
        <f>IF(D2454="?OLD","!!!","")</f>
        <v/>
      </c>
      <c r="F2454" s="22" t="str">
        <f>IF(OR(E2454="",E2454="!!!"),"",IF(NOT(ISNA(VLOOKUP(E2454,E$1:E2453,1,FALSE()))),"OLD",IF(AND(E2454&lt;&gt;"",E2454&lt;&gt;"!!!"),"NEW","")))</f>
        <v> </v>
      </c>
      <c r="G2454" s="23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4" t="str">
        <f>IF(J2454&lt;&gt;1,"",IF(I2454="SBJ","CB","?"))</f>
        <v> </v>
      </c>
      <c r="I2454" s="25" t="str">
        <f>IF(OR(E2454="",E2454="!!!",F2454="NEW"),"",INDEX(B2453:B$2,-1+SUMPRODUCT(MAX(ROW(E2453:E$2)*(E2454=E2453:E$2)))))</f>
        <v> </v>
      </c>
      <c r="J2454" s="25" t="str">
        <f>IF(OR(E2454="",E2454="!!!",F2454="NEW"),"",COUNTBLANK(OFFSET(A$1,,,SUMPRODUCT(MAX(ROW(E$2:E2454)*(E2454=E$2:E2454)))))-COUNTBLANK(OFFSET(A$1,,,SUMPRODUCT(MAX(ROW(E$1:E2453)*(E2=E$1:E2453))))))</f>
        <v> </v>
      </c>
      <c r="K2454" s="25" t="str">
        <f>IF(OR(E2454="",E2454="!!!",F2454="NEW"),"",INDEX(J$1:J2453,SUMPRODUCT(MAX(ROW(E$1:E2453)*(E2454=E$1:E2453)))))</f>
        <v> </v>
      </c>
      <c r="L2454" s="26"/>
    </row>
    <row r="2455" spans="1:12">
      <c r="A2455" s="20" t="s">
        <v>617</v>
      </c>
      <c r="E2455" s="21">
        <f>IF(D2455="?OLD","!!!","")</f>
        <v/>
      </c>
      <c r="F2455" s="22" t="str">
        <f>IF(OR(E2455="",E2455="!!!"),"",IF(NOT(ISNA(VLOOKUP(E2455,E$1:E2454,1,FALSE()))),"OLD",IF(AND(E2455&lt;&gt;"",E2455&lt;&gt;"!!!"),"NEW","")))</f>
        <v> </v>
      </c>
      <c r="G2455" s="23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4" t="str">
        <f>IF(J2455&lt;&gt;1,"",IF(I2455="SBJ","CB","?"))</f>
        <v> </v>
      </c>
      <c r="I2455" s="25" t="str">
        <f>IF(OR(E2455="",E2455="!!!",F2455="NEW"),"",INDEX(B2454:B$2,-1+SUMPRODUCT(MAX(ROW(E2454:E$2)*(E2455=E2454:E$2)))))</f>
        <v> </v>
      </c>
      <c r="J2455" s="25" t="str">
        <f>IF(OR(E2455="",E2455="!!!",F2455="NEW"),"",COUNTBLANK(OFFSET(A$1,,,SUMPRODUCT(MAX(ROW(E$2:E2455)*(E2455=E$2:E2455)))))-COUNTBLANK(OFFSET(A$1,,,SUMPRODUCT(MAX(ROW(E$1:E2454)*(E2=E$1:E2454))))))</f>
        <v> </v>
      </c>
      <c r="K2455" s="25" t="str">
        <f>IF(OR(E2455="",E2455="!!!",F2455="NEW"),"",INDEX(J$1:J2454,SUMPRODUCT(MAX(ROW(E$1:E2454)*(E2455=E$1:E2454)))))</f>
        <v> </v>
      </c>
      <c r="L2455" s="26"/>
    </row>
    <row r="2456" spans="1:12">
      <c r="A2456" s="20" t="s">
        <v>831</v>
      </c>
      <c r="E2456" s="21">
        <f>IF(D2456="?OLD","!!!","")</f>
        <v/>
      </c>
      <c r="F2456" s="22" t="str">
        <f>IF(OR(E2456="",E2456="!!!"),"",IF(NOT(ISNA(VLOOKUP(E2456,E$1:E2455,1,FALSE()))),"OLD",IF(AND(E2456&lt;&gt;"",E2456&lt;&gt;"!!!"),"NEW","")))</f>
        <v> </v>
      </c>
      <c r="G2456" s="23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4" t="str">
        <f>IF(J2456&lt;&gt;1,"",IF(I2456="SBJ","CB","?"))</f>
        <v> </v>
      </c>
      <c r="I2456" s="25" t="str">
        <f>IF(OR(E2456="",E2456="!!!",F2456="NEW"),"",INDEX(B2455:B$2,-1+SUMPRODUCT(MAX(ROW(E2455:E$2)*(E2456=E2455:E$2)))))</f>
        <v> </v>
      </c>
      <c r="J2456" s="25" t="str">
        <f>IF(OR(E2456="",E2456="!!!",F2456="NEW"),"",COUNTBLANK(OFFSET(A$1,,,SUMPRODUCT(MAX(ROW(E$2:E2456)*(E2456=E$2:E2456)))))-COUNTBLANK(OFFSET(A$1,,,SUMPRODUCT(MAX(ROW(E$1:E2455)*(E2=E$1:E2455))))))</f>
        <v> </v>
      </c>
      <c r="K2456" s="25" t="str">
        <f>IF(OR(E2456="",E2456="!!!",F2456="NEW"),"",INDEX(J$1:J2455,SUMPRODUCT(MAX(ROW(E$1:E2455)*(E2456=E$1:E2455)))))</f>
        <v> </v>
      </c>
      <c r="L2456" s="26"/>
    </row>
    <row r="2457" spans="1:12">
      <c r="A2457" s="20" t="s">
        <v>612</v>
      </c>
      <c r="B2457" s="27" t="s">
        <v>636</v>
      </c>
      <c r="E2457" s="21">
        <f>IF(D2457="?OLD","!!!","")</f>
        <v/>
      </c>
      <c r="F2457" s="22" t="str">
        <f>IF(OR(E2457="",E2457="!!!"),"",IF(NOT(ISNA(VLOOKUP(E2457,E$1:E2456,1,FALSE()))),"OLD",IF(AND(E2457&lt;&gt;"",E2457&lt;&gt;"!!!"),"NEW","")))</f>
        <v> </v>
      </c>
      <c r="G2457" s="23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4" t="str">
        <f>IF(J2457&lt;&gt;1,"",IF(I2457="SBJ","CB","?"))</f>
        <v> </v>
      </c>
      <c r="I2457" s="25" t="str">
        <f>IF(OR(E2457="",E2457="!!!",F2457="NEW"),"",INDEX(B2456:B$2,-1+SUMPRODUCT(MAX(ROW(E2456:E$2)*(E2457=E2456:E$2)))))</f>
        <v> </v>
      </c>
      <c r="J2457" s="25" t="str">
        <f>IF(OR(E2457="",E2457="!!!",F2457="NEW"),"",COUNTBLANK(OFFSET(A$1,,,SUMPRODUCT(MAX(ROW(E$2:E2457)*(E2457=E$2:E2457)))))-COUNTBLANK(OFFSET(A$1,,,SUMPRODUCT(MAX(ROW(E$1:E2456)*(E2=E$1:E2456))))))</f>
        <v> </v>
      </c>
      <c r="K2457" s="25" t="str">
        <f>IF(OR(E2457="",E2457="!!!",F2457="NEW"),"",INDEX(J$1:J2456,SUMPRODUCT(MAX(ROW(E$1:E2456)*(E2457=E$1:E2456)))))</f>
        <v> </v>
      </c>
      <c r="L2457" s="26"/>
    </row>
    <row r="2458" spans="1:12">
      <c r="A2458" s="20" t="s">
        <v>851</v>
      </c>
      <c r="E2458" s="21">
        <f>IF(D2458="?OLD","!!!","")</f>
        <v/>
      </c>
      <c r="F2458" s="22" t="str">
        <f>IF(OR(E2458="",E2458="!!!"),"",IF(NOT(ISNA(VLOOKUP(E2458,E$1:E2457,1,FALSE()))),"OLD",IF(AND(E2458&lt;&gt;"",E2458&lt;&gt;"!!!"),"NEW","")))</f>
        <v> </v>
      </c>
      <c r="G2458" s="23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4" t="str">
        <f>IF(J2458&lt;&gt;1,"",IF(I2458="SBJ","CB","?"))</f>
        <v> </v>
      </c>
      <c r="I2458" s="25" t="str">
        <f>IF(OR(E2458="",E2458="!!!",F2458="NEW"),"",INDEX(B2457:B$2,-1+SUMPRODUCT(MAX(ROW(E2457:E$2)*(E2458=E2457:E$2)))))</f>
        <v> </v>
      </c>
      <c r="J2458" s="25" t="str">
        <f>IF(OR(E2458="",E2458="!!!",F2458="NEW"),"",COUNTBLANK(OFFSET(A$1,,,SUMPRODUCT(MAX(ROW(E$2:E2458)*(E2458=E$2:E2458)))))-COUNTBLANK(OFFSET(A$1,,,SUMPRODUCT(MAX(ROW(E$1:E2457)*(E2=E$1:E2457))))))</f>
        <v> </v>
      </c>
      <c r="K2458" s="25" t="str">
        <f>IF(OR(E2458="",E2458="!!!",F2458="NEW"),"",INDEX(J$1:J2457,SUMPRODUCT(MAX(ROW(E$1:E2457)*(E2458=E$1:E2457)))))</f>
        <v> </v>
      </c>
      <c r="L2458" s="26"/>
    </row>
    <row r="2459" spans="1:12">
      <c r="A2459" s="20" t="s">
        <v>1738</v>
      </c>
      <c r="E2459" s="21">
        <f>IF(D2459="?OLD","!!!","")</f>
        <v/>
      </c>
      <c r="F2459" s="22" t="str">
        <f>IF(OR(E2459="",E2459="!!!"),"",IF(NOT(ISNA(VLOOKUP(E2459,E$1:E2458,1,FALSE()))),"OLD",IF(AND(E2459&lt;&gt;"",E2459&lt;&gt;"!!!"),"NEW","")))</f>
        <v> </v>
      </c>
      <c r="G2459" s="23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4" t="str">
        <f>IF(J2459&lt;&gt;1,"",IF(I2459="SBJ","CB","?"))</f>
        <v> </v>
      </c>
      <c r="I2459" s="25" t="str">
        <f>IF(OR(E2459="",E2459="!!!",F2459="NEW"),"",INDEX(B2458:B$2,-1+SUMPRODUCT(MAX(ROW(E2458:E$2)*(E2459=E2458:E$2)))))</f>
        <v> </v>
      </c>
      <c r="J2459" s="25" t="str">
        <f>IF(OR(E2459="",E2459="!!!",F2459="NEW"),"",COUNTBLANK(OFFSET(A$1,,,SUMPRODUCT(MAX(ROW(E$2:E2459)*(E2459=E$2:E2459)))))-COUNTBLANK(OFFSET(A$1,,,SUMPRODUCT(MAX(ROW(E$1:E2458)*(E2=E$1:E2458))))))</f>
        <v> </v>
      </c>
      <c r="K2459" s="25" t="str">
        <f>IF(OR(E2459="",E2459="!!!",F2459="NEW"),"",INDEX(J$1:J2458,SUMPRODUCT(MAX(ROW(E$1:E2458)*(E2459=E$1:E2458)))))</f>
        <v> </v>
      </c>
      <c r="L2459" s="26"/>
    </row>
    <row r="2460" spans="1:12">
      <c r="A2460" s="20" t="s">
        <v>617</v>
      </c>
      <c r="E2460" s="21">
        <f>IF(D2460="?OLD","!!!","")</f>
        <v/>
      </c>
      <c r="F2460" s="22" t="str">
        <f>IF(OR(E2460="",E2460="!!!"),"",IF(NOT(ISNA(VLOOKUP(E2460,E$1:E2459,1,FALSE()))),"OLD",IF(AND(E2460&lt;&gt;"",E2460&lt;&gt;"!!!"),"NEW","")))</f>
        <v> </v>
      </c>
      <c r="G2460" s="23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4" t="str">
        <f>IF(J2460&lt;&gt;1,"",IF(I2460="SBJ","CB","?"))</f>
        <v> </v>
      </c>
      <c r="I2460" s="25" t="str">
        <f>IF(OR(E2460="",E2460="!!!",F2460="NEW"),"",INDEX(B2459:B$2,-1+SUMPRODUCT(MAX(ROW(E2459:E$2)*(E2460=E2459:E$2)))))</f>
        <v> </v>
      </c>
      <c r="J2460" s="25" t="str">
        <f>IF(OR(E2460="",E2460="!!!",F2460="NEW"),"",COUNTBLANK(OFFSET(A$1,,,SUMPRODUCT(MAX(ROW(E$2:E2460)*(E2460=E$2:E2460)))))-COUNTBLANK(OFFSET(A$1,,,SUMPRODUCT(MAX(ROW(E$1:E2459)*(E2=E$1:E2459))))))</f>
        <v> </v>
      </c>
      <c r="K2460" s="25" t="str">
        <f>IF(OR(E2460="",E2460="!!!",F2460="NEW"),"",INDEX(J$1:J2459,SUMPRODUCT(MAX(ROW(E$1:E2459)*(E2460=E$1:E2459)))))</f>
        <v> </v>
      </c>
      <c r="L2460" s="26"/>
    </row>
    <row r="2461" spans="1:12">
      <c r="A2461" s="20" t="s">
        <v>883</v>
      </c>
      <c r="E2461" s="21">
        <f>IF(D2461="?OLD","!!!","")</f>
        <v/>
      </c>
      <c r="F2461" s="22" t="str">
        <f>IF(OR(E2461="",E2461="!!!"),"",IF(NOT(ISNA(VLOOKUP(E2461,E$1:E2460,1,FALSE()))),"OLD",IF(AND(E2461&lt;&gt;"",E2461&lt;&gt;"!!!"),"NEW","")))</f>
        <v> </v>
      </c>
      <c r="G2461" s="23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4" t="str">
        <f>IF(J2461&lt;&gt;1,"",IF(I2461="SBJ","CB","?"))</f>
        <v> </v>
      </c>
      <c r="I2461" s="25" t="str">
        <f>IF(OR(E2461="",E2461="!!!",F2461="NEW"),"",INDEX(B2460:B$2,-1+SUMPRODUCT(MAX(ROW(E2460:E$2)*(E2461=E2460:E$2)))))</f>
        <v> </v>
      </c>
      <c r="J2461" s="25" t="str">
        <f>IF(OR(E2461="",E2461="!!!",F2461="NEW"),"",COUNTBLANK(OFFSET(A$1,,,SUMPRODUCT(MAX(ROW(E$2:E2461)*(E2461=E$2:E2461)))))-COUNTBLANK(OFFSET(A$1,,,SUMPRODUCT(MAX(ROW(E$1:E2460)*(E2=E$1:E2460))))))</f>
        <v> </v>
      </c>
      <c r="K2461" s="25" t="str">
        <f>IF(OR(E2461="",E2461="!!!",F2461="NEW"),"",INDEX(J$1:J2460,SUMPRODUCT(MAX(ROW(E$1:E2460)*(E2461=E$1:E2460)))))</f>
        <v> </v>
      </c>
      <c r="L2461" s="26"/>
    </row>
    <row r="2462" spans="1:12">
      <c r="A2462" s="20" t="s">
        <v>775</v>
      </c>
      <c r="B2462" s="27" t="s">
        <v>653</v>
      </c>
      <c r="C2462" s="27" t="s">
        <v>626</v>
      </c>
      <c r="D2462" s="27" t="s">
        <v>627</v>
      </c>
      <c r="E2462" s="21">
        <f>IF(D2462="?OLD","!!!","")</f>
        <v/>
      </c>
      <c r="F2462" s="22" t="str">
        <f>IF(OR(E2462="",E2462="!!!"),"",IF(NOT(ISNA(VLOOKUP(E2462,E$1:E2461,1,FALSE()))),"OLD",IF(AND(E2462&lt;&gt;"",E2462&lt;&gt;"!!!"),"NEW","")))</f>
        <v> </v>
      </c>
      <c r="G2462" s="23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4" t="str">
        <f>IF(J2462&lt;&gt;1,"",IF(I2462="SBJ","CB","?"))</f>
        <v> </v>
      </c>
      <c r="I2462" s="25" t="str">
        <f>IF(OR(E2462="",E2462="!!!",F2462="NEW"),"",INDEX(B2461:B$2,-1+SUMPRODUCT(MAX(ROW(E2461:E$2)*(E2462=E2461:E$2)))))</f>
        <v> </v>
      </c>
      <c r="J2462" s="25" t="str">
        <f>IF(OR(E2462="",E2462="!!!",F2462="NEW"),"",COUNTBLANK(OFFSET(A$1,,,SUMPRODUCT(MAX(ROW(E$2:E2462)*(E2462=E$2:E2462)))))-COUNTBLANK(OFFSET(A$1,,,SUMPRODUCT(MAX(ROW(E$1:E2461)*(E2=E$1:E2461))))))</f>
        <v> </v>
      </c>
      <c r="K2462" s="25" t="str">
        <f>IF(OR(E2462="",E2462="!!!",F2462="NEW"),"",INDEX(J$1:J2461,SUMPRODUCT(MAX(ROW(E$1:E2461)*(E2462=E$1:E2461)))))</f>
        <v> </v>
      </c>
      <c r="L2462" s="26"/>
    </row>
    <row r="2463" spans="1:12">
      <c r="A2463" s="20" t="s">
        <v>670</v>
      </c>
      <c r="E2463" s="21">
        <f>IF(D2463="?OLD","!!!","")</f>
        <v/>
      </c>
      <c r="F2463" s="22" t="str">
        <f>IF(OR(E2463="",E2463="!!!"),"",IF(NOT(ISNA(VLOOKUP(E2463,E$1:E2462,1,FALSE()))),"OLD",IF(AND(E2463&lt;&gt;"",E2463&lt;&gt;"!!!"),"NEW","")))</f>
        <v> </v>
      </c>
      <c r="G2463" s="23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4" t="str">
        <f>IF(J2463&lt;&gt;1,"",IF(I2463="SBJ","CB","?"))</f>
        <v> </v>
      </c>
      <c r="I2463" s="25" t="str">
        <f>IF(OR(E2463="",E2463="!!!",F2463="NEW"),"",INDEX(B2462:B$2,-1+SUMPRODUCT(MAX(ROW(E2462:E$2)*(E2463=E2462:E$2)))))</f>
        <v> </v>
      </c>
      <c r="J2463" s="25" t="str">
        <f>IF(OR(E2463="",E2463="!!!",F2463="NEW"),"",COUNTBLANK(OFFSET(A$1,,,SUMPRODUCT(MAX(ROW(E$2:E2463)*(E2463=E$2:E2463)))))-COUNTBLANK(OFFSET(A$1,,,SUMPRODUCT(MAX(ROW(E$1:E2462)*(E2=E$1:E2462))))))</f>
        <v> </v>
      </c>
      <c r="K2463" s="25" t="str">
        <f>IF(OR(E2463="",E2463="!!!",F2463="NEW"),"",INDEX(J$1:J2462,SUMPRODUCT(MAX(ROW(E$1:E2462)*(E2463=E$1:E2462)))))</f>
        <v> </v>
      </c>
      <c r="L2463" s="26"/>
    </row>
    <row r="2464" spans="1:12">
      <c r="A2464" s="20" t="s">
        <v>682</v>
      </c>
      <c r="B2464" s="27" t="s">
        <v>639</v>
      </c>
      <c r="C2464" s="27" t="s">
        <v>683</v>
      </c>
      <c r="D2464" s="27" t="s">
        <v>627</v>
      </c>
      <c r="E2464" s="21">
        <f>IF(D2464="?OLD","!!!","")</f>
        <v/>
      </c>
      <c r="F2464" s="22" t="str">
        <f>IF(OR(E2464="",E2464="!!!"),"",IF(NOT(ISNA(VLOOKUP(E2464,E$1:E2463,1,FALSE()))),"OLD",IF(AND(E2464&lt;&gt;"",E2464&lt;&gt;"!!!"),"NEW","")))</f>
        <v> </v>
      </c>
      <c r="G2464" s="23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4" t="str">
        <f>IF(J2464&lt;&gt;1,"",IF(I2464="SBJ","CB","?"))</f>
        <v> </v>
      </c>
      <c r="I2464" s="25" t="str">
        <f>IF(OR(E2464="",E2464="!!!",F2464="NEW"),"",INDEX(B2463:B$2,-1+SUMPRODUCT(MAX(ROW(E2463:E$2)*(E2464=E2463:E$2)))))</f>
        <v> </v>
      </c>
      <c r="J2464" s="25" t="str">
        <f>IF(OR(E2464="",E2464="!!!",F2464="NEW"),"",COUNTBLANK(OFFSET(A$1,,,SUMPRODUCT(MAX(ROW(E$2:E2464)*(E2464=E$2:E2464)))))-COUNTBLANK(OFFSET(A$1,,,SUMPRODUCT(MAX(ROW(E$1:E2463)*(E2=E$1:E2463))))))</f>
        <v> </v>
      </c>
      <c r="K2464" s="25" t="str">
        <f>IF(OR(E2464="",E2464="!!!",F2464="NEW"),"",INDEX(J$1:J2463,SUMPRODUCT(MAX(ROW(E$1:E2463)*(E2464=E$1:E2463)))))</f>
        <v> </v>
      </c>
      <c r="L2464" s="26"/>
    </row>
    <row r="2465" spans="1:12">
      <c r="A2465" s="20" t="s">
        <v>737</v>
      </c>
      <c r="E2465" s="21">
        <f>IF(D2465="?OLD","!!!","")</f>
        <v/>
      </c>
      <c r="F2465" s="22" t="str">
        <f>IF(OR(E2465="",E2465="!!!"),"",IF(NOT(ISNA(VLOOKUP(E2465,E$1:E2464,1,FALSE()))),"OLD",IF(AND(E2465&lt;&gt;"",E2465&lt;&gt;"!!!"),"NEW","")))</f>
        <v> </v>
      </c>
      <c r="G2465" s="23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4" t="str">
        <f>IF(J2465&lt;&gt;1,"",IF(I2465="SBJ","CB","?"))</f>
        <v> </v>
      </c>
      <c r="I2465" s="25" t="str">
        <f>IF(OR(E2465="",E2465="!!!",F2465="NEW"),"",INDEX(B2464:B$2,-1+SUMPRODUCT(MAX(ROW(E2464:E$2)*(E2465=E2464:E$2)))))</f>
        <v> </v>
      </c>
      <c r="J2465" s="25" t="str">
        <f>IF(OR(E2465="",E2465="!!!",F2465="NEW"),"",COUNTBLANK(OFFSET(A$1,,,SUMPRODUCT(MAX(ROW(E$2:E2465)*(E2465=E$2:E2465)))))-COUNTBLANK(OFFSET(A$1,,,SUMPRODUCT(MAX(ROW(E$1:E2464)*(E2=E$1:E2464))))))</f>
        <v> </v>
      </c>
      <c r="K2465" s="25" t="str">
        <f>IF(OR(E2465="",E2465="!!!",F2465="NEW"),"",INDEX(J$1:J2464,SUMPRODUCT(MAX(ROW(E$1:E2464)*(E2465=E$1:E2464)))))</f>
        <v> </v>
      </c>
      <c r="L2465" s="26"/>
    </row>
    <row r="2466" spans="1:12">
      <c r="A2466" s="20" t="s">
        <v>1739</v>
      </c>
      <c r="E2466" s="21">
        <f>IF(D2466="?OLD","!!!","")</f>
        <v/>
      </c>
      <c r="F2466" s="22" t="str">
        <f>IF(OR(E2466="",E2466="!!!"),"",IF(NOT(ISNA(VLOOKUP(E2466,E$1:E2465,1,FALSE()))),"OLD",IF(AND(E2466&lt;&gt;"",E2466&lt;&gt;"!!!"),"NEW","")))</f>
        <v> </v>
      </c>
      <c r="G2466" s="23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4" t="str">
        <f>IF(J2466&lt;&gt;1,"",IF(I2466="SBJ","CB","?"))</f>
        <v> </v>
      </c>
      <c r="I2466" s="25" t="str">
        <f>IF(OR(E2466="",E2466="!!!",F2466="NEW"),"",INDEX(B2465:B$2,-1+SUMPRODUCT(MAX(ROW(E2465:E$2)*(E2466=E2465:E$2)))))</f>
        <v> </v>
      </c>
      <c r="J2466" s="25" t="str">
        <f>IF(OR(E2466="",E2466="!!!",F2466="NEW"),"",COUNTBLANK(OFFSET(A$1,,,SUMPRODUCT(MAX(ROW(E$2:E2466)*(E2466=E$2:E2466)))))-COUNTBLANK(OFFSET(A$1,,,SUMPRODUCT(MAX(ROW(E$1:E2465)*(E2=E$1:E2465))))))</f>
        <v> </v>
      </c>
      <c r="K2466" s="25" t="str">
        <f>IF(OR(E2466="",E2466="!!!",F2466="NEW"),"",INDEX(J$1:J2465,SUMPRODUCT(MAX(ROW(E$1:E2465)*(E2466=E$1:E2465)))))</f>
        <v> </v>
      </c>
      <c r="L2466" s="26"/>
    </row>
    <row r="2467" spans="1:12">
      <c r="A2467" s="20" t="s">
        <v>883</v>
      </c>
      <c r="E2467" s="21">
        <f>IF(D2467="?OLD","!!!","")</f>
        <v/>
      </c>
      <c r="F2467" s="22" t="str">
        <f>IF(OR(E2467="",E2467="!!!"),"",IF(NOT(ISNA(VLOOKUP(E2467,E$1:E2466,1,FALSE()))),"OLD",IF(AND(E2467&lt;&gt;"",E2467&lt;&gt;"!!!"),"NEW","")))</f>
        <v> </v>
      </c>
      <c r="G2467" s="23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4" t="str">
        <f>IF(J2467&lt;&gt;1,"",IF(I2467="SBJ","CB","?"))</f>
        <v> </v>
      </c>
      <c r="I2467" s="25" t="str">
        <f>IF(OR(E2467="",E2467="!!!",F2467="NEW"),"",INDEX(B2466:B$2,-1+SUMPRODUCT(MAX(ROW(E2466:E$2)*(E2467=E2466:E$2)))))</f>
        <v> </v>
      </c>
      <c r="J2467" s="25" t="str">
        <f>IF(OR(E2467="",E2467="!!!",F2467="NEW"),"",COUNTBLANK(OFFSET(A$1,,,SUMPRODUCT(MAX(ROW(E$2:E2467)*(E2467=E$2:E2467)))))-COUNTBLANK(OFFSET(A$1,,,SUMPRODUCT(MAX(ROW(E$1:E2466)*(E2=E$1:E2466))))))</f>
        <v> </v>
      </c>
      <c r="K2467" s="25" t="str">
        <f>IF(OR(E2467="",E2467="!!!",F2467="NEW"),"",INDEX(J$1:J2466,SUMPRODUCT(MAX(ROW(E$1:E2466)*(E2467=E$1:E2466)))))</f>
        <v> </v>
      </c>
      <c r="L2467" s="26"/>
    </row>
    <row r="2468" spans="1:12">
      <c r="A2468" s="20" t="s">
        <v>932</v>
      </c>
      <c r="E2468" s="21">
        <f>IF(D2468="?OLD","!!!","")</f>
        <v/>
      </c>
      <c r="F2468" s="22" t="str">
        <f>IF(OR(E2468="",E2468="!!!"),"",IF(NOT(ISNA(VLOOKUP(E2468,E$1:E2467,1,FALSE()))),"OLD",IF(AND(E2468&lt;&gt;"",E2468&lt;&gt;"!!!"),"NEW","")))</f>
        <v> </v>
      </c>
      <c r="G2468" s="23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4" t="str">
        <f>IF(J2468&lt;&gt;1,"",IF(I2468="SBJ","CB","?"))</f>
        <v> </v>
      </c>
      <c r="I2468" s="25" t="str">
        <f>IF(OR(E2468="",E2468="!!!",F2468="NEW"),"",INDEX(B2467:B$2,-1+SUMPRODUCT(MAX(ROW(E2467:E$2)*(E2468=E2467:E$2)))))</f>
        <v> </v>
      </c>
      <c r="J2468" s="25" t="str">
        <f>IF(OR(E2468="",E2468="!!!",F2468="NEW"),"",COUNTBLANK(OFFSET(A$1,,,SUMPRODUCT(MAX(ROW(E$2:E2468)*(E2468=E$2:E2468)))))-COUNTBLANK(OFFSET(A$1,,,SUMPRODUCT(MAX(ROW(E$1:E2467)*(E2=E$1:E2467))))))</f>
        <v> </v>
      </c>
      <c r="K2468" s="25" t="str">
        <f>IF(OR(E2468="",E2468="!!!",F2468="NEW"),"",INDEX(J$1:J2467,SUMPRODUCT(MAX(ROW(E$1:E2467)*(E2468=E$1:E2467)))))</f>
        <v> </v>
      </c>
      <c r="L2468" s="26"/>
    </row>
    <row r="2469" spans="1:12">
      <c r="A2469" s="20" t="s">
        <v>617</v>
      </c>
      <c r="E2469" s="21">
        <f>IF(D2469="?OLD","!!!","")</f>
        <v/>
      </c>
      <c r="F2469" s="22" t="str">
        <f>IF(OR(E2469="",E2469="!!!"),"",IF(NOT(ISNA(VLOOKUP(E2469,E$1:E2468,1,FALSE()))),"OLD",IF(AND(E2469&lt;&gt;"",E2469&lt;&gt;"!!!"),"NEW","")))</f>
        <v> </v>
      </c>
      <c r="G2469" s="23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4" t="str">
        <f>IF(J2469&lt;&gt;1,"",IF(I2469="SBJ","CB","?"))</f>
        <v> </v>
      </c>
      <c r="I2469" s="25" t="str">
        <f>IF(OR(E2469="",E2469="!!!",F2469="NEW"),"",INDEX(B2468:B$2,-1+SUMPRODUCT(MAX(ROW(E2468:E$2)*(E2469=E2468:E$2)))))</f>
        <v> </v>
      </c>
      <c r="J2469" s="25" t="str">
        <f>IF(OR(E2469="",E2469="!!!",F2469="NEW"),"",COUNTBLANK(OFFSET(A$1,,,SUMPRODUCT(MAX(ROW(E$2:E2469)*(E2469=E$2:E2469)))))-COUNTBLANK(OFFSET(A$1,,,SUMPRODUCT(MAX(ROW(E$1:E2468)*(E2=E$1:E2468))))))</f>
        <v> </v>
      </c>
      <c r="K2469" s="25" t="str">
        <f>IF(OR(E2469="",E2469="!!!",F2469="NEW"),"",INDEX(J$1:J2468,SUMPRODUCT(MAX(ROW(E$1:E2468)*(E2469=E$1:E2468)))))</f>
        <v> </v>
      </c>
      <c r="L2469" s="26"/>
    </row>
    <row r="2470" spans="1:12">
      <c r="A2470" s="20" t="s">
        <v>1740</v>
      </c>
      <c r="E2470" s="21">
        <f>IF(D2470="?OLD","!!!","")</f>
        <v/>
      </c>
      <c r="F2470" s="22" t="str">
        <f>IF(OR(E2470="",E2470="!!!"),"",IF(NOT(ISNA(VLOOKUP(E2470,E$1:E2469,1,FALSE()))),"OLD",IF(AND(E2470&lt;&gt;"",E2470&lt;&gt;"!!!"),"NEW","")))</f>
        <v> </v>
      </c>
      <c r="G2470" s="23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4" t="str">
        <f>IF(J2470&lt;&gt;1,"",IF(I2470="SBJ","CB","?"))</f>
        <v> </v>
      </c>
      <c r="I2470" s="25" t="str">
        <f>IF(OR(E2470="",E2470="!!!",F2470="NEW"),"",INDEX(B2469:B$2,-1+SUMPRODUCT(MAX(ROW(E2469:E$2)*(E2470=E2469:E$2)))))</f>
        <v> </v>
      </c>
      <c r="J2470" s="25" t="str">
        <f>IF(OR(E2470="",E2470="!!!",F2470="NEW"),"",COUNTBLANK(OFFSET(A$1,,,SUMPRODUCT(MAX(ROW(E$2:E2470)*(E2470=E$2:E2470)))))-COUNTBLANK(OFFSET(A$1,,,SUMPRODUCT(MAX(ROW(E$1:E2469)*(E2=E$1:E2469))))))</f>
        <v> </v>
      </c>
      <c r="K2470" s="25" t="str">
        <f>IF(OR(E2470="",E2470="!!!",F2470="NEW"),"",INDEX(J$1:J2469,SUMPRODUCT(MAX(ROW(E$1:E2469)*(E2470=E$1:E2469)))))</f>
        <v> </v>
      </c>
      <c r="L2470" s="26"/>
    </row>
    <row r="2471" spans="1:12">
      <c r="A2471" s="20" t="s">
        <v>617</v>
      </c>
      <c r="E2471" s="21">
        <f>IF(D2471="?OLD","!!!","")</f>
        <v/>
      </c>
      <c r="F2471" s="22" t="str">
        <f>IF(OR(E2471="",E2471="!!!"),"",IF(NOT(ISNA(VLOOKUP(E2471,E$1:E2470,1,FALSE()))),"OLD",IF(AND(E2471&lt;&gt;"",E2471&lt;&gt;"!!!"),"NEW","")))</f>
        <v> </v>
      </c>
      <c r="G2471" s="23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4" t="str">
        <f>IF(J2471&lt;&gt;1,"",IF(I2471="SBJ","CB","?"))</f>
        <v> </v>
      </c>
      <c r="I2471" s="25" t="str">
        <f>IF(OR(E2471="",E2471="!!!",F2471="NEW"),"",INDEX(B2470:B$2,-1+SUMPRODUCT(MAX(ROW(E2470:E$2)*(E2471=E2470:E$2)))))</f>
        <v> </v>
      </c>
      <c r="J2471" s="25" t="str">
        <f>IF(OR(E2471="",E2471="!!!",F2471="NEW"),"",COUNTBLANK(OFFSET(A$1,,,SUMPRODUCT(MAX(ROW(E$2:E2471)*(E2471=E$2:E2471)))))-COUNTBLANK(OFFSET(A$1,,,SUMPRODUCT(MAX(ROW(E$1:E2470)*(E2=E$1:E2470))))))</f>
        <v> </v>
      </c>
      <c r="K2471" s="25" t="str">
        <f>IF(OR(E2471="",E2471="!!!",F2471="NEW"),"",INDEX(J$1:J2470,SUMPRODUCT(MAX(ROW(E$1:E2470)*(E2471=E$1:E2470)))))</f>
        <v> </v>
      </c>
      <c r="L2471" s="26"/>
    </row>
    <row r="2472" spans="1:12">
      <c r="A2472" s="20" t="s">
        <v>1632</v>
      </c>
      <c r="E2472" s="21">
        <f>IF(D2472="?OLD","!!!","")</f>
        <v/>
      </c>
      <c r="F2472" s="22" t="str">
        <f>IF(OR(E2472="",E2472="!!!"),"",IF(NOT(ISNA(VLOOKUP(E2472,E$1:E2471,1,FALSE()))),"OLD",IF(AND(E2472&lt;&gt;"",E2472&lt;&gt;"!!!"),"NEW","")))</f>
        <v> </v>
      </c>
      <c r="G2472" s="23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4" t="str">
        <f>IF(J2472&lt;&gt;1,"",IF(I2472="SBJ","CB","?"))</f>
        <v> </v>
      </c>
      <c r="I2472" s="25" t="str">
        <f>IF(OR(E2472="",E2472="!!!",F2472="NEW"),"",INDEX(B2471:B$2,-1+SUMPRODUCT(MAX(ROW(E2471:E$2)*(E2472=E2471:E$2)))))</f>
        <v> </v>
      </c>
      <c r="J2472" s="25" t="str">
        <f>IF(OR(E2472="",E2472="!!!",F2472="NEW"),"",COUNTBLANK(OFFSET(A$1,,,SUMPRODUCT(MAX(ROW(E$2:E2472)*(E2472=E$2:E2472)))))-COUNTBLANK(OFFSET(A$1,,,SUMPRODUCT(MAX(ROW(E$1:E2471)*(E2=E$1:E2471))))))</f>
        <v> </v>
      </c>
      <c r="K2472" s="25" t="str">
        <f>IF(OR(E2472="",E2472="!!!",F2472="NEW"),"",INDEX(J$1:J2471,SUMPRODUCT(MAX(ROW(E$1:E2471)*(E2472=E$1:E2471)))))</f>
        <v> </v>
      </c>
      <c r="L2472" s="26"/>
    </row>
    <row r="2473" spans="1:12">
      <c r="A2473" s="20" t="s">
        <v>1741</v>
      </c>
      <c r="E2473" s="21">
        <f>IF(D2473="?OLD","!!!","")</f>
        <v/>
      </c>
      <c r="F2473" s="22" t="str">
        <f>IF(OR(E2473="",E2473="!!!"),"",IF(NOT(ISNA(VLOOKUP(E2473,E$1:E2472,1,FALSE()))),"OLD",IF(AND(E2473&lt;&gt;"",E2473&lt;&gt;"!!!"),"NEW","")))</f>
        <v> </v>
      </c>
      <c r="G2473" s="23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4" t="str">
        <f>IF(J2473&lt;&gt;1,"",IF(I2473="SBJ","CB","?"))</f>
        <v> </v>
      </c>
      <c r="I2473" s="25" t="str">
        <f>IF(OR(E2473="",E2473="!!!",F2473="NEW"),"",INDEX(B2472:B$2,-1+SUMPRODUCT(MAX(ROW(E2472:E$2)*(E2473=E2472:E$2)))))</f>
        <v> </v>
      </c>
      <c r="J2473" s="25" t="str">
        <f>IF(OR(E2473="",E2473="!!!",F2473="NEW"),"",COUNTBLANK(OFFSET(A$1,,,SUMPRODUCT(MAX(ROW(E$2:E2473)*(E2473=E$2:E2473)))))-COUNTBLANK(OFFSET(A$1,,,SUMPRODUCT(MAX(ROW(E$1:E2472)*(E2=E$1:E2472))))))</f>
        <v> </v>
      </c>
      <c r="K2473" s="25" t="str">
        <f>IF(OR(E2473="",E2473="!!!",F2473="NEW"),"",INDEX(J$1:J2472,SUMPRODUCT(MAX(ROW(E$1:E2472)*(E2473=E$1:E2472)))))</f>
        <v> </v>
      </c>
      <c r="L2473" s="26"/>
    </row>
    <row r="2474" spans="1:12">
      <c r="A2474" s="20" t="s">
        <v>1212</v>
      </c>
      <c r="B2474" s="27" t="s">
        <v>895</v>
      </c>
      <c r="C2474" s="27" t="s">
        <v>626</v>
      </c>
      <c r="D2474" s="27" t="s">
        <v>627</v>
      </c>
      <c r="E2474" s="21">
        <f>IF(D2474="?OLD","!!!","")</f>
        <v/>
      </c>
      <c r="F2474" s="22" t="str">
        <f>IF(OR(E2474="",E2474="!!!"),"",IF(NOT(ISNA(VLOOKUP(E2474,E$1:E2473,1,FALSE()))),"OLD",IF(AND(E2474&lt;&gt;"",E2474&lt;&gt;"!!!"),"NEW","")))</f>
        <v> </v>
      </c>
      <c r="G2474" s="23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4" t="str">
        <f>IF(J2474&lt;&gt;1,"",IF(I2474="SBJ","CB","?"))</f>
        <v> </v>
      </c>
      <c r="I2474" s="25" t="str">
        <f>IF(OR(E2474="",E2474="!!!",F2474="NEW"),"",INDEX(B2473:B$2,-1+SUMPRODUCT(MAX(ROW(E2473:E$2)*(E2474=E2473:E$2)))))</f>
        <v> </v>
      </c>
      <c r="J2474" s="25" t="str">
        <f>IF(OR(E2474="",E2474="!!!",F2474="NEW"),"",COUNTBLANK(OFFSET(A$1,,,SUMPRODUCT(MAX(ROW(E$2:E2474)*(E2474=E$2:E2474)))))-COUNTBLANK(OFFSET(A$1,,,SUMPRODUCT(MAX(ROW(E$1:E2473)*(E2=E$1:E2473))))))</f>
        <v> </v>
      </c>
      <c r="K2474" s="25" t="str">
        <f>IF(OR(E2474="",E2474="!!!",F2474="NEW"),"",INDEX(J$1:J2473,SUMPRODUCT(MAX(ROW(E$1:E2473)*(E2474=E$1:E2473)))))</f>
        <v> </v>
      </c>
      <c r="L2474" s="26"/>
    </row>
    <row r="2475" spans="1:12">
      <c r="A2475" s="20" t="s">
        <v>629</v>
      </c>
      <c r="E2475" s="21">
        <f>IF(D2475="?OLD","!!!","")</f>
        <v/>
      </c>
      <c r="F2475" s="22" t="str">
        <f>IF(OR(E2475="",E2475="!!!"),"",IF(NOT(ISNA(VLOOKUP(E2475,E$1:E2474,1,FALSE()))),"OLD",IF(AND(E2475&lt;&gt;"",E2475&lt;&gt;"!!!"),"NEW","")))</f>
        <v> </v>
      </c>
      <c r="G2475" s="23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4" t="str">
        <f>IF(J2475&lt;&gt;1,"",IF(I2475="SBJ","CB","?"))</f>
        <v> </v>
      </c>
      <c r="I2475" s="25" t="str">
        <f>IF(OR(E2475="",E2475="!!!",F2475="NEW"),"",INDEX(B2474:B$2,-1+SUMPRODUCT(MAX(ROW(E2474:E$2)*(E2475=E2474:E$2)))))</f>
        <v> </v>
      </c>
      <c r="J2475" s="25" t="str">
        <f>IF(OR(E2475="",E2475="!!!",F2475="NEW"),"",COUNTBLANK(OFFSET(A$1,,,SUMPRODUCT(MAX(ROW(E$2:E2475)*(E2475=E$2:E2475)))))-COUNTBLANK(OFFSET(A$1,,,SUMPRODUCT(MAX(ROW(E$1:E2474)*(E2=E$1:E2474))))))</f>
        <v> </v>
      </c>
      <c r="K2475" s="25" t="str">
        <f>IF(OR(E2475="",E2475="!!!",F2475="NEW"),"",INDEX(J$1:J2474,SUMPRODUCT(MAX(ROW(E$1:E2474)*(E2475=E$1:E2474)))))</f>
        <v> </v>
      </c>
      <c r="L2475" s="26"/>
    </row>
    <row r="2476" spans="1:12">
      <c r="A2476" s="20" t="s">
        <v>1203</v>
      </c>
      <c r="B2476" s="27" t="s">
        <v>798</v>
      </c>
      <c r="C2476" s="27" t="s">
        <v>650</v>
      </c>
      <c r="D2476" s="27" t="s">
        <v>627</v>
      </c>
      <c r="E2476" s="21">
        <f>IF(D2476="?OLD","!!!","")</f>
        <v/>
      </c>
      <c r="F2476" s="22" t="str">
        <f>IF(OR(E2476="",E2476="!!!"),"",IF(NOT(ISNA(VLOOKUP(E2476,E$1:E2475,1,FALSE()))),"OLD",IF(AND(E2476&lt;&gt;"",E2476&lt;&gt;"!!!"),"NEW","")))</f>
        <v> </v>
      </c>
      <c r="G2476" s="23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4" t="str">
        <f>IF(J2476&lt;&gt;1,"",IF(I2476="SBJ","CB","?"))</f>
        <v> </v>
      </c>
      <c r="I2476" s="25" t="str">
        <f>IF(OR(E2476="",E2476="!!!",F2476="NEW"),"",INDEX(B2475:B$2,-1+SUMPRODUCT(MAX(ROW(E2475:E$2)*(E2476=E2475:E$2)))))</f>
        <v> </v>
      </c>
      <c r="J2476" s="25" t="str">
        <f>IF(OR(E2476="",E2476="!!!",F2476="NEW"),"",COUNTBLANK(OFFSET(A$1,,,SUMPRODUCT(MAX(ROW(E$2:E2476)*(E2476=E$2:E2476)))))-COUNTBLANK(OFFSET(A$1,,,SUMPRODUCT(MAX(ROW(E$1:E2475)*(E2=E$1:E2475))))))</f>
        <v> </v>
      </c>
      <c r="K2476" s="25" t="str">
        <f>IF(OR(E2476="",E2476="!!!",F2476="NEW"),"",INDEX(J$1:J2475,SUMPRODUCT(MAX(ROW(E$1:E2475)*(E2476=E$1:E2475)))))</f>
        <v> </v>
      </c>
      <c r="L2476" s="26"/>
    </row>
    <row r="2477" spans="1:12">
      <c r="A2477" s="20" t="s">
        <v>1204</v>
      </c>
      <c r="E2477" s="21">
        <f>IF(D2477="?OLD","!!!","")</f>
        <v/>
      </c>
      <c r="F2477" s="22" t="str">
        <f>IF(OR(E2477="",E2477="!!!"),"",IF(NOT(ISNA(VLOOKUP(E2477,E$1:E2476,1,FALSE()))),"OLD",IF(AND(E2477&lt;&gt;"",E2477&lt;&gt;"!!!"),"NEW","")))</f>
        <v> </v>
      </c>
      <c r="G2477" s="23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4" t="str">
        <f>IF(J2477&lt;&gt;1,"",IF(I2477="SBJ","CB","?"))</f>
        <v> </v>
      </c>
      <c r="I2477" s="25" t="str">
        <f>IF(OR(E2477="",E2477="!!!",F2477="NEW"),"",INDEX(B2476:B$2,-1+SUMPRODUCT(MAX(ROW(E2476:E$2)*(E2477=E2476:E$2)))))</f>
        <v> </v>
      </c>
      <c r="J2477" s="25" t="str">
        <f>IF(OR(E2477="",E2477="!!!",F2477="NEW"),"",COUNTBLANK(OFFSET(A$1,,,SUMPRODUCT(MAX(ROW(E$2:E2477)*(E2477=E$2:E2477)))))-COUNTBLANK(OFFSET(A$1,,,SUMPRODUCT(MAX(ROW(E$1:E2476)*(E2=E$1:E2476))))))</f>
        <v> </v>
      </c>
      <c r="K2477" s="25" t="str">
        <f>IF(OR(E2477="",E2477="!!!",F2477="NEW"),"",INDEX(J$1:J2476,SUMPRODUCT(MAX(ROW(E$1:E2476)*(E2477=E$1:E2476)))))</f>
        <v> </v>
      </c>
      <c r="L2477" s="26"/>
    </row>
    <row r="2478" spans="1:12">
      <c r="A2478" s="20" t="s">
        <v>648</v>
      </c>
      <c r="E2478" s="21">
        <f>IF(D2478="?OLD","!!!","")</f>
        <v/>
      </c>
      <c r="F2478" s="22" t="str">
        <f>IF(OR(E2478="",E2478="!!!"),"",IF(NOT(ISNA(VLOOKUP(E2478,E$1:E2477,1,FALSE()))),"OLD",IF(AND(E2478&lt;&gt;"",E2478&lt;&gt;"!!!"),"NEW","")))</f>
        <v> </v>
      </c>
      <c r="G2478" s="23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4" t="str">
        <f>IF(J2478&lt;&gt;1,"",IF(I2478="SBJ","CB","?"))</f>
        <v> </v>
      </c>
      <c r="I2478" s="25" t="str">
        <f>IF(OR(E2478="",E2478="!!!",F2478="NEW"),"",INDEX(B2477:B$2,-1+SUMPRODUCT(MAX(ROW(E2477:E$2)*(E2478=E2477:E$2)))))</f>
        <v> </v>
      </c>
      <c r="J2478" s="25" t="str">
        <f>IF(OR(E2478="",E2478="!!!",F2478="NEW"),"",COUNTBLANK(OFFSET(A$1,,,SUMPRODUCT(MAX(ROW(E$2:E2478)*(E2478=E$2:E2478)))))-COUNTBLANK(OFFSET(A$1,,,SUMPRODUCT(MAX(ROW(E$1:E2477)*(E2=E$1:E2477))))))</f>
        <v> </v>
      </c>
      <c r="K2478" s="25" t="str">
        <f>IF(OR(E2478="",E2478="!!!",F2478="NEW"),"",INDEX(J$1:J2477,SUMPRODUCT(MAX(ROW(E$1:E2477)*(E2478=E$1:E2477)))))</f>
        <v> </v>
      </c>
      <c r="L2478" s="26"/>
    </row>
    <row r="2479" spans="1:12">
      <c r="A2479" s="20" t="s">
        <v>617</v>
      </c>
      <c r="E2479" s="21">
        <f>IF(D2479="?OLD","!!!","")</f>
        <v/>
      </c>
      <c r="F2479" s="22" t="str">
        <f>IF(OR(E2479="",E2479="!!!"),"",IF(NOT(ISNA(VLOOKUP(E2479,E$1:E2478,1,FALSE()))),"OLD",IF(AND(E2479&lt;&gt;"",E2479&lt;&gt;"!!!"),"NEW","")))</f>
        <v> </v>
      </c>
      <c r="G2479" s="23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4" t="str">
        <f>IF(J2479&lt;&gt;1,"",IF(I2479="SBJ","CB","?"))</f>
        <v> </v>
      </c>
      <c r="I2479" s="25" t="str">
        <f>IF(OR(E2479="",E2479="!!!",F2479="NEW"),"",INDEX(B2478:B$2,-1+SUMPRODUCT(MAX(ROW(E2478:E$2)*(E2479=E2478:E$2)))))</f>
        <v> </v>
      </c>
      <c r="J2479" s="25" t="str">
        <f>IF(OR(E2479="",E2479="!!!",F2479="NEW"),"",COUNTBLANK(OFFSET(A$1,,,SUMPRODUCT(MAX(ROW(E$2:E2479)*(E2479=E$2:E2479)))))-COUNTBLANK(OFFSET(A$1,,,SUMPRODUCT(MAX(ROW(E$1:E2478)*(E2=E$1:E2478))))))</f>
        <v> </v>
      </c>
      <c r="K2479" s="25" t="str">
        <f>IF(OR(E2479="",E2479="!!!",F2479="NEW"),"",INDEX(J$1:J2478,SUMPRODUCT(MAX(ROW(E$1:E2478)*(E2479=E$1:E2478)))))</f>
        <v> </v>
      </c>
      <c r="L2479" s="26"/>
    </row>
    <row r="2480" spans="1:12">
      <c r="A2480" s="20" t="s">
        <v>1392</v>
      </c>
      <c r="B2480" s="27" t="s">
        <v>1262</v>
      </c>
      <c r="C2480" s="27" t="s">
        <v>674</v>
      </c>
      <c r="E2480" s="21">
        <f>IF(D2480="?OLD","!!!","")</f>
        <v/>
      </c>
      <c r="F2480" s="22" t="str">
        <f>IF(OR(E2480="",E2480="!!!"),"",IF(NOT(ISNA(VLOOKUP(E2480,E$1:E2479,1,FALSE()))),"OLD",IF(AND(E2480&lt;&gt;"",E2480&lt;&gt;"!!!"),"NEW","")))</f>
        <v> </v>
      </c>
      <c r="G2480" s="23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4" t="str">
        <f>IF(J2480&lt;&gt;1,"",IF(I2480="SBJ","CB","?"))</f>
        <v> </v>
      </c>
      <c r="I2480" s="25" t="str">
        <f>IF(OR(E2480="",E2480="!!!",F2480="NEW"),"",INDEX(B2479:B$2,-1+SUMPRODUCT(MAX(ROW(E2479:E$2)*(E2480=E2479:E$2)))))</f>
        <v> </v>
      </c>
      <c r="J2480" s="25" t="str">
        <f>IF(OR(E2480="",E2480="!!!",F2480="NEW"),"",COUNTBLANK(OFFSET(A$1,,,SUMPRODUCT(MAX(ROW(E$2:E2480)*(E2480=E$2:E2480)))))-COUNTBLANK(OFFSET(A$1,,,SUMPRODUCT(MAX(ROW(E$1:E2479)*(E2=E$1:E2479))))))</f>
        <v> </v>
      </c>
      <c r="K2480" s="25" t="str">
        <f>IF(OR(E2480="",E2480="!!!",F2480="NEW"),"",INDEX(J$1:J2479,SUMPRODUCT(MAX(ROW(E$1:E2479)*(E2480=E$1:E2479)))))</f>
        <v> </v>
      </c>
      <c r="L2480" s="26"/>
    </row>
    <row r="2481" spans="1:12">
      <c r="A2481" s="20" t="s">
        <v>900</v>
      </c>
      <c r="E2481" s="21">
        <f>IF(D2481="?OLD","!!!","")</f>
        <v/>
      </c>
      <c r="F2481" s="22" t="str">
        <f>IF(OR(E2481="",E2481="!!!"),"",IF(NOT(ISNA(VLOOKUP(E2481,E$1:E2480,1,FALSE()))),"OLD",IF(AND(E2481&lt;&gt;"",E2481&lt;&gt;"!!!"),"NEW","")))</f>
        <v> </v>
      </c>
      <c r="G2481" s="23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4" t="str">
        <f>IF(J2481&lt;&gt;1,"",IF(I2481="SBJ","CB","?"))</f>
        <v> </v>
      </c>
      <c r="I2481" s="25" t="str">
        <f>IF(OR(E2481="",E2481="!!!",F2481="NEW"),"",INDEX(B2480:B$2,-1+SUMPRODUCT(MAX(ROW(E2480:E$2)*(E2481=E2480:E$2)))))</f>
        <v> </v>
      </c>
      <c r="J2481" s="25" t="str">
        <f>IF(OR(E2481="",E2481="!!!",F2481="NEW"),"",COUNTBLANK(OFFSET(A$1,,,SUMPRODUCT(MAX(ROW(E$2:E2481)*(E2481=E$2:E2481)))))-COUNTBLANK(OFFSET(A$1,,,SUMPRODUCT(MAX(ROW(E$1:E2480)*(E2=E$1:E2480))))))</f>
        <v> </v>
      </c>
      <c r="K2481" s="25" t="str">
        <f>IF(OR(E2481="",E2481="!!!",F2481="NEW"),"",INDEX(J$1:J2480,SUMPRODUCT(MAX(ROW(E$1:E2480)*(E2481=E$1:E2480)))))</f>
        <v> </v>
      </c>
      <c r="L2481" s="26"/>
    </row>
    <row r="2482" spans="1:12">
      <c r="A2482" s="20" t="s">
        <v>629</v>
      </c>
      <c r="E2482" s="21">
        <f>IF(D2482="?OLD","!!!","")</f>
        <v/>
      </c>
      <c r="F2482" s="22" t="str">
        <f>IF(OR(E2482="",E2482="!!!"),"",IF(NOT(ISNA(VLOOKUP(E2482,E$1:E2481,1,FALSE()))),"OLD",IF(AND(E2482&lt;&gt;"",E2482&lt;&gt;"!!!"),"NEW","")))</f>
        <v> </v>
      </c>
      <c r="G2482" s="23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4" t="str">
        <f>IF(J2482&lt;&gt;1,"",IF(I2482="SBJ","CB","?"))</f>
        <v> </v>
      </c>
      <c r="I2482" s="25" t="str">
        <f>IF(OR(E2482="",E2482="!!!",F2482="NEW"),"",INDEX(B2481:B$2,-1+SUMPRODUCT(MAX(ROW(E2481:E$2)*(E2482=E2481:E$2)))))</f>
        <v> </v>
      </c>
      <c r="J2482" s="25" t="str">
        <f>IF(OR(E2482="",E2482="!!!",F2482="NEW"),"",COUNTBLANK(OFFSET(A$1,,,SUMPRODUCT(MAX(ROW(E$2:E2482)*(E2482=E$2:E2482)))))-COUNTBLANK(OFFSET(A$1,,,SUMPRODUCT(MAX(ROW(E$1:E2481)*(E2=E$1:E2481))))))</f>
        <v> </v>
      </c>
      <c r="K2482" s="25" t="str">
        <f>IF(OR(E2482="",E2482="!!!",F2482="NEW"),"",INDEX(J$1:J2481,SUMPRODUCT(MAX(ROW(E$1:E2481)*(E2482=E$1:E2481)))))</f>
        <v> </v>
      </c>
      <c r="L2482" s="26"/>
    </row>
    <row r="2483" spans="1:12">
      <c r="A2483" s="20" t="s">
        <v>1239</v>
      </c>
      <c r="B2483" s="27" t="s">
        <v>1393</v>
      </c>
      <c r="C2483" s="27" t="s">
        <v>626</v>
      </c>
      <c r="D2483" s="27" t="s">
        <v>627</v>
      </c>
      <c r="E2483" s="21">
        <f>IF(D2483="?OLD","!!!","")</f>
        <v/>
      </c>
      <c r="F2483" s="22" t="str">
        <f>IF(OR(E2483="",E2483="!!!"),"",IF(NOT(ISNA(VLOOKUP(E2483,E$1:E2482,1,FALSE()))),"OLD",IF(AND(E2483&lt;&gt;"",E2483&lt;&gt;"!!!"),"NEW","")))</f>
        <v> </v>
      </c>
      <c r="G2483" s="23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4" t="str">
        <f>IF(J2483&lt;&gt;1,"",IF(I2483="SBJ","CB","?"))</f>
        <v> </v>
      </c>
      <c r="I2483" s="25" t="str">
        <f>IF(OR(E2483="",E2483="!!!",F2483="NEW"),"",INDEX(B2482:B$2,-1+SUMPRODUCT(MAX(ROW(E2482:E$2)*(E2483=E2482:E$2)))))</f>
        <v> </v>
      </c>
      <c r="J2483" s="25" t="str">
        <f>IF(OR(E2483="",E2483="!!!",F2483="NEW"),"",COUNTBLANK(OFFSET(A$1,,,SUMPRODUCT(MAX(ROW(E$2:E2483)*(E2483=E$2:E2483)))))-COUNTBLANK(OFFSET(A$1,,,SUMPRODUCT(MAX(ROW(E$1:E2482)*(E2=E$1:E2482))))))</f>
        <v> </v>
      </c>
      <c r="K2483" s="25" t="str">
        <f>IF(OR(E2483="",E2483="!!!",F2483="NEW"),"",INDEX(J$1:J2482,SUMPRODUCT(MAX(ROW(E$1:E2482)*(E2483=E$1:E2482)))))</f>
        <v> </v>
      </c>
      <c r="L2483" s="26"/>
    </row>
    <row r="2484" spans="1:12">
      <c r="A2484" s="20" t="s">
        <v>1742</v>
      </c>
      <c r="B2484" s="27" t="s">
        <v>1582</v>
      </c>
      <c r="E2484" s="21">
        <f>IF(D2484="?OLD","!!!","")</f>
        <v/>
      </c>
      <c r="F2484" s="22" t="str">
        <f>IF(OR(E2484="",E2484="!!!"),"",IF(NOT(ISNA(VLOOKUP(E2484,E$1:E2483,1,FALSE()))),"OLD",IF(AND(E2484&lt;&gt;"",E2484&lt;&gt;"!!!"),"NEW","")))</f>
        <v> </v>
      </c>
      <c r="G2484" s="23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4" t="str">
        <f>IF(J2484&lt;&gt;1,"",IF(I2484="SBJ","CB","?"))</f>
        <v> </v>
      </c>
      <c r="I2484" s="25" t="str">
        <f>IF(OR(E2484="",E2484="!!!",F2484="NEW"),"",INDEX(B2483:B$2,-1+SUMPRODUCT(MAX(ROW(E2483:E$2)*(E2484=E2483:E$2)))))</f>
        <v> </v>
      </c>
      <c r="J2484" s="25" t="str">
        <f>IF(OR(E2484="",E2484="!!!",F2484="NEW"),"",COUNTBLANK(OFFSET(A$1,,,SUMPRODUCT(MAX(ROW(E$2:E2484)*(E2484=E$2:E2484)))))-COUNTBLANK(OFFSET(A$1,,,SUMPRODUCT(MAX(ROW(E$1:E2483)*(E2=E$1:E2483))))))</f>
        <v> </v>
      </c>
      <c r="K2484" s="25" t="str">
        <f>IF(OR(E2484="",E2484="!!!",F2484="NEW"),"",INDEX(J$1:J2483,SUMPRODUCT(MAX(ROW(E$1:E2483)*(E2484=E$1:E2483)))))</f>
        <v> </v>
      </c>
      <c r="L2484" s="26"/>
    </row>
    <row r="2485" spans="1:12">
      <c r="A2485" s="20" t="s">
        <v>1006</v>
      </c>
      <c r="E2485" s="21">
        <f>IF(D2485="?OLD","!!!","")</f>
        <v/>
      </c>
      <c r="F2485" s="22" t="str">
        <f>IF(OR(E2485="",E2485="!!!"),"",IF(NOT(ISNA(VLOOKUP(E2485,E$1:E2484,1,FALSE()))),"OLD",IF(AND(E2485&lt;&gt;"",E2485&lt;&gt;"!!!"),"NEW","")))</f>
        <v> </v>
      </c>
      <c r="G2485" s="23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4" t="str">
        <f>IF(J2485&lt;&gt;1,"",IF(I2485="SBJ","CB","?"))</f>
        <v> </v>
      </c>
      <c r="I2485" s="25" t="str">
        <f>IF(OR(E2485="",E2485="!!!",F2485="NEW"),"",INDEX(B2484:B$2,-1+SUMPRODUCT(MAX(ROW(E2484:E$2)*(E2485=E2484:E$2)))))</f>
        <v> </v>
      </c>
      <c r="J2485" s="25" t="str">
        <f>IF(OR(E2485="",E2485="!!!",F2485="NEW"),"",COUNTBLANK(OFFSET(A$1,,,SUMPRODUCT(MAX(ROW(E$2:E2485)*(E2485=E$2:E2485)))))-COUNTBLANK(OFFSET(A$1,,,SUMPRODUCT(MAX(ROW(E$1:E2484)*(E2=E$1:E2484))))))</f>
        <v> </v>
      </c>
      <c r="K2485" s="25" t="str">
        <f>IF(OR(E2485="",E2485="!!!",F2485="NEW"),"",INDEX(J$1:J2484,SUMPRODUCT(MAX(ROW(E$1:E2484)*(E2485=E$1:E2484)))))</f>
        <v> </v>
      </c>
      <c r="L2485" s="26"/>
    </row>
    <row r="2486" spans="1:12">
      <c r="A2486" s="20" t="s">
        <v>1742</v>
      </c>
      <c r="E2486" s="21">
        <f>IF(D2486="?OLD","!!!","")</f>
        <v/>
      </c>
      <c r="F2486" s="22" t="str">
        <f>IF(OR(E2486="",E2486="!!!"),"",IF(NOT(ISNA(VLOOKUP(E2486,E$1:E2485,1,FALSE()))),"OLD",IF(AND(E2486&lt;&gt;"",E2486&lt;&gt;"!!!"),"NEW","")))</f>
        <v> </v>
      </c>
      <c r="G2486" s="23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4" t="str">
        <f>IF(J2486&lt;&gt;1,"",IF(I2486="SBJ","CB","?"))</f>
        <v> </v>
      </c>
      <c r="I2486" s="25" t="str">
        <f>IF(OR(E2486="",E2486="!!!",F2486="NEW"),"",INDEX(B2485:B$2,-1+SUMPRODUCT(MAX(ROW(E2485:E$2)*(E2486=E2485:E$2)))))</f>
        <v> </v>
      </c>
      <c r="J2486" s="25" t="str">
        <f>IF(OR(E2486="",E2486="!!!",F2486="NEW"),"",COUNTBLANK(OFFSET(A$1,,,SUMPRODUCT(MAX(ROW(E$2:E2486)*(E2486=E$2:E2486)))))-COUNTBLANK(OFFSET(A$1,,,SUMPRODUCT(MAX(ROW(E$1:E2485)*(E2=E$1:E2485))))))</f>
        <v> </v>
      </c>
      <c r="K2486" s="25" t="str">
        <f>IF(OR(E2486="",E2486="!!!",F2486="NEW"),"",INDEX(J$1:J2485,SUMPRODUCT(MAX(ROW(E$1:E2485)*(E2486=E$1:E2485)))))</f>
        <v> </v>
      </c>
      <c r="L2486" s="26"/>
    </row>
    <row r="2487" spans="1:12">
      <c r="A2487" s="20" t="s">
        <v>623</v>
      </c>
      <c r="E2487" s="21">
        <f>IF(D2487="?OLD","!!!","")</f>
        <v/>
      </c>
      <c r="F2487" s="22" t="str">
        <f>IF(OR(E2487="",E2487="!!!"),"",IF(NOT(ISNA(VLOOKUP(E2487,E$1:E2486,1,FALSE()))),"OLD",IF(AND(E2487&lt;&gt;"",E2487&lt;&gt;"!!!"),"NEW","")))</f>
        <v> </v>
      </c>
      <c r="G2487" s="23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4" t="str">
        <f>IF(J2487&lt;&gt;1,"",IF(I2487="SBJ","CB","?"))</f>
        <v> </v>
      </c>
      <c r="I2487" s="25" t="str">
        <f>IF(OR(E2487="",E2487="!!!",F2487="NEW"),"",INDEX(B2486:B$2,-1+SUMPRODUCT(MAX(ROW(E2486:E$2)*(E2487=E2486:E$2)))))</f>
        <v> </v>
      </c>
      <c r="J2487" s="25" t="str">
        <f>IF(OR(E2487="",E2487="!!!",F2487="NEW"),"",COUNTBLANK(OFFSET(A$1,,,SUMPRODUCT(MAX(ROW(E$2:E2487)*(E2487=E$2:E2487)))))-COUNTBLANK(OFFSET(A$1,,,SUMPRODUCT(MAX(ROW(E$1:E2486)*(E2=E$1:E2486))))))</f>
        <v> </v>
      </c>
      <c r="K2487" s="25" t="str">
        <f>IF(OR(E2487="",E2487="!!!",F2487="NEW"),"",INDEX(J$1:J2486,SUMPRODUCT(MAX(ROW(E$1:E2486)*(E2487=E$1:E2486)))))</f>
        <v> </v>
      </c>
      <c r="L2487" s="26"/>
    </row>
    <row r="2488" spans="1:12">
      <c r="A2488" s="20"/>
    </row>
    <row r="2489" spans="1:12">
      <c r="A2489" s="20" t="s">
        <v>1743</v>
      </c>
    </row>
    <row r="2490" spans="1:12">
      <c r="A2490" s="20" t="s">
        <v>1744</v>
      </c>
      <c r="E2490" s="21">
        <f>IF(D2490="?OLD","!!!","")</f>
        <v/>
      </c>
      <c r="F2490" s="22" t="str">
        <f>IF(OR(E2490="",E2490="!!!"),"",IF(NOT(ISNA(VLOOKUP(E2490,E$1:E2489,1,FALSE()))),"OLD",IF(AND(E2490&lt;&gt;"",E2490&lt;&gt;"!!!"),"NEW","")))</f>
        <v> </v>
      </c>
      <c r="G2490" s="23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4" t="str">
        <f>IF(J2490&lt;&gt;1,"",IF(I2490="SBJ","CB","?"))</f>
        <v> </v>
      </c>
      <c r="I2490" s="25" t="str">
        <f>IF(OR(E2490="",E2490="!!!",F2490="NEW"),"",INDEX(B2489:B$2,-1+SUMPRODUCT(MAX(ROW(E2489:E$2)*(E2490=E2489:E$2)))))</f>
        <v> </v>
      </c>
      <c r="J2490" s="25" t="str">
        <f>IF(OR(E2490="",E2490="!!!",F2490="NEW"),"",COUNTBLANK(OFFSET(A$1,,,SUMPRODUCT(MAX(ROW(E$2:E2490)*(E2490=E$2:E2490)))))-COUNTBLANK(OFFSET(A$1,,,SUMPRODUCT(MAX(ROW(E$1:E2489)*(E2=E$1:E2489))))))</f>
        <v> </v>
      </c>
      <c r="K2490" s="25" t="str">
        <f>IF(OR(E2490="",E2490="!!!",F2490="NEW"),"",INDEX(J$1:J2489,SUMPRODUCT(MAX(ROW(E$1:E2489)*(E2490=E$1:E2489)))))</f>
        <v> </v>
      </c>
      <c r="L2490" s="26"/>
    </row>
    <row r="2491" spans="1:12">
      <c r="A2491" s="20" t="s">
        <v>1277</v>
      </c>
      <c r="B2491" s="27" t="s">
        <v>647</v>
      </c>
      <c r="C2491" s="27" t="s">
        <v>1734</v>
      </c>
      <c r="D2491" s="27" t="s">
        <v>627</v>
      </c>
      <c r="E2491" s="21">
        <f>IF(D2491="?OLD","!!!","")</f>
        <v/>
      </c>
      <c r="F2491" s="22" t="str">
        <f>IF(OR(E2491="",E2491="!!!"),"",IF(NOT(ISNA(VLOOKUP(E2491,E$1:E2490,1,FALSE()))),"OLD",IF(AND(E2491&lt;&gt;"",E2491&lt;&gt;"!!!"),"NEW","")))</f>
        <v> </v>
      </c>
      <c r="G2491" s="23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4" t="str">
        <f>IF(J2491&lt;&gt;1,"",IF(I2491="SBJ","CB","?"))</f>
        <v> </v>
      </c>
      <c r="I2491" s="25" t="str">
        <f>IF(OR(E2491="",E2491="!!!",F2491="NEW"),"",INDEX(B2490:B$2,-1+SUMPRODUCT(MAX(ROW(E2490:E$2)*(E2491=E2490:E$2)))))</f>
        <v> </v>
      </c>
      <c r="J2491" s="25" t="str">
        <f>IF(OR(E2491="",E2491="!!!",F2491="NEW"),"",COUNTBLANK(OFFSET(A$1,,,SUMPRODUCT(MAX(ROW(E$2:E2491)*(E2491=E$2:E2491)))))-COUNTBLANK(OFFSET(A$1,,,SUMPRODUCT(MAX(ROW(E$1:E2490)*(E2=E$1:E2490))))))</f>
        <v> </v>
      </c>
      <c r="K2491" s="25" t="str">
        <f>IF(OR(E2491="",E2491="!!!",F2491="NEW"),"",INDEX(J$1:J2490,SUMPRODUCT(MAX(ROW(E$1:E2490)*(E2491=E$1:E2490)))))</f>
        <v> </v>
      </c>
      <c r="L2491" s="26"/>
    </row>
    <row r="2492" spans="1:12">
      <c r="A2492" s="20" t="s">
        <v>1745</v>
      </c>
      <c r="B2492" s="27" t="s">
        <v>658</v>
      </c>
      <c r="C2492" s="27" t="s">
        <v>697</v>
      </c>
      <c r="D2492" s="27" t="s">
        <v>627</v>
      </c>
      <c r="E2492" s="21">
        <f>IF(D2492="?OLD","!!!","")</f>
        <v/>
      </c>
      <c r="F2492" s="22" t="str">
        <f>IF(OR(E2492="",E2492="!!!"),"",IF(NOT(ISNA(VLOOKUP(E2492,E$1:E2491,1,FALSE()))),"OLD",IF(AND(E2492&lt;&gt;"",E2492&lt;&gt;"!!!"),"NEW","")))</f>
        <v> </v>
      </c>
      <c r="G2492" s="23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4" t="str">
        <f>IF(J2492&lt;&gt;1,"",IF(I2492="SBJ","CB","?"))</f>
        <v> </v>
      </c>
      <c r="I2492" s="25" t="str">
        <f>IF(OR(E2492="",E2492="!!!",F2492="NEW"),"",INDEX(B2491:B$2,-1+SUMPRODUCT(MAX(ROW(E2491:E$2)*(E2492=E2491:E$2)))))</f>
        <v> </v>
      </c>
      <c r="J2492" s="25" t="str">
        <f>IF(OR(E2492="",E2492="!!!",F2492="NEW"),"",COUNTBLANK(OFFSET(A$1,,,SUMPRODUCT(MAX(ROW(E$2:E2492)*(E2492=E$2:E2492)))))-COUNTBLANK(OFFSET(A$1,,,SUMPRODUCT(MAX(ROW(E$1:E2491)*(E2=E$1:E2491))))))</f>
        <v> </v>
      </c>
      <c r="K2492" s="25" t="str">
        <f>IF(OR(E2492="",E2492="!!!",F2492="NEW"),"",INDEX(J$1:J2491,SUMPRODUCT(MAX(ROW(E$1:E2491)*(E2492=E$1:E2491)))))</f>
        <v> </v>
      </c>
      <c r="L2492" s="26"/>
    </row>
    <row r="2493" spans="1:12">
      <c r="A2493" s="20" t="s">
        <v>632</v>
      </c>
      <c r="E2493" s="21">
        <f>IF(D2493="?OLD","!!!","")</f>
        <v/>
      </c>
      <c r="F2493" s="22" t="str">
        <f>IF(OR(E2493="",E2493="!!!"),"",IF(NOT(ISNA(VLOOKUP(E2493,E$1:E2492,1,FALSE()))),"OLD",IF(AND(E2493&lt;&gt;"",E2493&lt;&gt;"!!!"),"NEW","")))</f>
        <v> </v>
      </c>
      <c r="G2493" s="23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4" t="str">
        <f>IF(J2493&lt;&gt;1,"",IF(I2493="SBJ","CB","?"))</f>
        <v> </v>
      </c>
      <c r="I2493" s="25" t="str">
        <f>IF(OR(E2493="",E2493="!!!",F2493="NEW"),"",INDEX(B2492:B$2,-1+SUMPRODUCT(MAX(ROW(E2492:E$2)*(E2493=E2492:E$2)))))</f>
        <v> </v>
      </c>
      <c r="J2493" s="25" t="str">
        <f>IF(OR(E2493="",E2493="!!!",F2493="NEW"),"",COUNTBLANK(OFFSET(A$1,,,SUMPRODUCT(MAX(ROW(E$2:E2493)*(E2493=E$2:E2493)))))-COUNTBLANK(OFFSET(A$1,,,SUMPRODUCT(MAX(ROW(E$1:E2492)*(E2=E$1:E2492))))))</f>
        <v> </v>
      </c>
      <c r="K2493" s="25" t="str">
        <f>IF(OR(E2493="",E2493="!!!",F2493="NEW"),"",INDEX(J$1:J2492,SUMPRODUCT(MAX(ROW(E$1:E2492)*(E2493=E$1:E2492)))))</f>
        <v> </v>
      </c>
      <c r="L2493" s="26"/>
    </row>
    <row r="2494" spans="1:12">
      <c r="A2494" s="20" t="s">
        <v>1441</v>
      </c>
      <c r="B2494" s="27" t="s">
        <v>639</v>
      </c>
      <c r="C2494" s="27" t="s">
        <v>697</v>
      </c>
      <c r="D2494" s="27" t="s">
        <v>627</v>
      </c>
      <c r="E2494" s="21">
        <f>IF(D2494="?OLD","!!!","")</f>
        <v/>
      </c>
      <c r="F2494" s="22" t="str">
        <f>IF(OR(E2494="",E2494="!!!"),"",IF(NOT(ISNA(VLOOKUP(E2494,E$1:E2493,1,FALSE()))),"OLD",IF(AND(E2494&lt;&gt;"",E2494&lt;&gt;"!!!"),"NEW","")))</f>
        <v> </v>
      </c>
      <c r="G2494" s="23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4" t="str">
        <f>IF(J2494&lt;&gt;1,"",IF(I2494="SBJ","CB","?"))</f>
        <v> </v>
      </c>
      <c r="I2494" s="25" t="str">
        <f>IF(OR(E2494="",E2494="!!!",F2494="NEW"),"",INDEX(B2493:B$2,-1+SUMPRODUCT(MAX(ROW(E2493:E$2)*(E2494=E2493:E$2)))))</f>
        <v> </v>
      </c>
      <c r="J2494" s="25" t="str">
        <f>IF(OR(E2494="",E2494="!!!",F2494="NEW"),"",COUNTBLANK(OFFSET(A$1,,,SUMPRODUCT(MAX(ROW(E$2:E2494)*(E2494=E$2:E2494)))))-COUNTBLANK(OFFSET(A$1,,,SUMPRODUCT(MAX(ROW(E$1:E2493)*(E2=E$1:E2493))))))</f>
        <v> </v>
      </c>
      <c r="K2494" s="25" t="str">
        <f>IF(OR(E2494="",E2494="!!!",F2494="NEW"),"",INDEX(J$1:J2493,SUMPRODUCT(MAX(ROW(E$1:E2493)*(E2494=E$1:E2493)))))</f>
        <v> </v>
      </c>
      <c r="L2494" s="26"/>
    </row>
    <row r="2495" spans="1:12">
      <c r="A2495" s="20" t="s">
        <v>623</v>
      </c>
      <c r="E2495" s="21">
        <f>IF(D2495="?OLD","!!!","")</f>
        <v/>
      </c>
      <c r="F2495" s="22" t="str">
        <f>IF(OR(E2495="",E2495="!!!"),"",IF(NOT(ISNA(VLOOKUP(E2495,E$1:E2494,1,FALSE()))),"OLD",IF(AND(E2495&lt;&gt;"",E2495&lt;&gt;"!!!"),"NEW","")))</f>
        <v> </v>
      </c>
      <c r="G2495" s="23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4" t="str">
        <f>IF(J2495&lt;&gt;1,"",IF(I2495="SBJ","CB","?"))</f>
        <v> </v>
      </c>
      <c r="I2495" s="25" t="str">
        <f>IF(OR(E2495="",E2495="!!!",F2495="NEW"),"",INDEX(B2494:B$2,-1+SUMPRODUCT(MAX(ROW(E2494:E$2)*(E2495=E2494:E$2)))))</f>
        <v> </v>
      </c>
      <c r="J2495" s="25" t="str">
        <f>IF(OR(E2495="",E2495="!!!",F2495="NEW"),"",COUNTBLANK(OFFSET(A$1,,,SUMPRODUCT(MAX(ROW(E$2:E2495)*(E2495=E$2:E2495)))))-COUNTBLANK(OFFSET(A$1,,,SUMPRODUCT(MAX(ROW(E$1:E2494)*(E2=E$1:E2494))))))</f>
        <v> </v>
      </c>
      <c r="K2495" s="25" t="str">
        <f>IF(OR(E2495="",E2495="!!!",F2495="NEW"),"",INDEX(J$1:J2494,SUMPRODUCT(MAX(ROW(E$1:E2494)*(E2495=E$1:E2494)))))</f>
        <v> </v>
      </c>
      <c r="L2495" s="26"/>
    </row>
    <row r="2496" spans="1:12">
      <c r="A2496" s="20"/>
    </row>
    <row r="2497" spans="1:12">
      <c r="A2497" s="20" t="s">
        <v>1746</v>
      </c>
    </row>
    <row r="2498" spans="1:12">
      <c r="A2498" s="20" t="s">
        <v>812</v>
      </c>
      <c r="E2498" s="21">
        <f>IF(D2498="?OLD","!!!","")</f>
        <v/>
      </c>
      <c r="F2498" s="22" t="str">
        <f>IF(OR(E2498="",E2498="!!!"),"",IF(NOT(ISNA(VLOOKUP(E2498,E$1:E2497,1,FALSE()))),"OLD",IF(AND(E2498&lt;&gt;"",E2498&lt;&gt;"!!!"),"NEW","")))</f>
        <v> </v>
      </c>
      <c r="G2498" s="23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4" t="str">
        <f>IF(J2498&lt;&gt;1,"",IF(I2498="SBJ","CB","?"))</f>
        <v> </v>
      </c>
      <c r="I2498" s="25" t="str">
        <f>IF(OR(E2498="",E2498="!!!",F2498="NEW"),"",INDEX(B2497:B$2,-1+SUMPRODUCT(MAX(ROW(E2497:E$2)*(E2498=E2497:E$2)))))</f>
        <v> </v>
      </c>
      <c r="J2498" s="25" t="str">
        <f>IF(OR(E2498="",E2498="!!!",F2498="NEW"),"",COUNTBLANK(OFFSET(A$1,,,SUMPRODUCT(MAX(ROW(E$2:E2498)*(E2498=E$2:E2498)))))-COUNTBLANK(OFFSET(A$1,,,SUMPRODUCT(MAX(ROW(E$1:E2497)*(E2=E$1:E2497))))))</f>
        <v> </v>
      </c>
      <c r="K2498" s="25" t="str">
        <f>IF(OR(E2498="",E2498="!!!",F2498="NEW"),"",INDEX(J$1:J2497,SUMPRODUCT(MAX(ROW(E$1:E2497)*(E2498=E$1:E2497)))))</f>
        <v> </v>
      </c>
      <c r="L2498" s="26"/>
    </row>
    <row r="2499" spans="1:12">
      <c r="A2499" s="20" t="s">
        <v>908</v>
      </c>
      <c r="E2499" s="21">
        <f>IF(D2499="?OLD","!!!","")</f>
        <v/>
      </c>
      <c r="F2499" s="22" t="str">
        <f>IF(OR(E2499="",E2499="!!!"),"",IF(NOT(ISNA(VLOOKUP(E2499,E$1:E2498,1,FALSE()))),"OLD",IF(AND(E2499&lt;&gt;"",E2499&lt;&gt;"!!!"),"NEW","")))</f>
        <v> </v>
      </c>
      <c r="G2499" s="23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4" t="str">
        <f>IF(J2499&lt;&gt;1,"",IF(I2499="SBJ","CB","?"))</f>
        <v> </v>
      </c>
      <c r="I2499" s="25" t="str">
        <f>IF(OR(E2499="",E2499="!!!",F2499="NEW"),"",INDEX(B2498:B$2,-1+SUMPRODUCT(MAX(ROW(E2498:E$2)*(E2499=E2498:E$2)))))</f>
        <v> </v>
      </c>
      <c r="J2499" s="25" t="str">
        <f>IF(OR(E2499="",E2499="!!!",F2499="NEW"),"",COUNTBLANK(OFFSET(A$1,,,SUMPRODUCT(MAX(ROW(E$2:E2499)*(E2499=E$2:E2499)))))-COUNTBLANK(OFFSET(A$1,,,SUMPRODUCT(MAX(ROW(E$1:E2498)*(E2=E$1:E2498))))))</f>
        <v> </v>
      </c>
      <c r="K2499" s="25" t="str">
        <f>IF(OR(E2499="",E2499="!!!",F2499="NEW"),"",INDEX(J$1:J2498,SUMPRODUCT(MAX(ROW(E$1:E2498)*(E2499=E$1:E2498)))))</f>
        <v> </v>
      </c>
      <c r="L2499" s="26"/>
    </row>
    <row r="2500" spans="1:12">
      <c r="A2500" s="20" t="s">
        <v>1747</v>
      </c>
      <c r="B2500" s="27" t="s">
        <v>608</v>
      </c>
      <c r="C2500" s="27" t="s">
        <v>650</v>
      </c>
      <c r="D2500" s="27" t="s">
        <v>627</v>
      </c>
      <c r="E2500" s="21">
        <f>IF(D2500="?OLD","!!!","")</f>
        <v/>
      </c>
      <c r="F2500" s="22" t="str">
        <f>IF(OR(E2500="",E2500="!!!"),"",IF(NOT(ISNA(VLOOKUP(E2500,E$1:E2499,1,FALSE()))),"OLD",IF(AND(E2500&lt;&gt;"",E2500&lt;&gt;"!!!"),"NEW","")))</f>
        <v> </v>
      </c>
      <c r="G2500" s="23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4" t="str">
        <f>IF(J2500&lt;&gt;1,"",IF(I2500="SBJ","CB","?"))</f>
        <v> </v>
      </c>
      <c r="I2500" s="25" t="str">
        <f>IF(OR(E2500="",E2500="!!!",F2500="NEW"),"",INDEX(B2499:B$2,-1+SUMPRODUCT(MAX(ROW(E2499:E$2)*(E2500=E2499:E$2)))))</f>
        <v> </v>
      </c>
      <c r="J2500" s="25" t="str">
        <f>IF(OR(E2500="",E2500="!!!",F2500="NEW"),"",COUNTBLANK(OFFSET(A$1,,,SUMPRODUCT(MAX(ROW(E$2:E2500)*(E2500=E$2:E2500)))))-COUNTBLANK(OFFSET(A$1,,,SUMPRODUCT(MAX(ROW(E$1:E2499)*(E2=E$1:E2499))))))</f>
        <v> </v>
      </c>
      <c r="K2500" s="25" t="str">
        <f>IF(OR(E2500="",E2500="!!!",F2500="NEW"),"",INDEX(J$1:J2499,SUMPRODUCT(MAX(ROW(E$1:E2499)*(E2500=E$1:E2499)))))</f>
        <v> </v>
      </c>
      <c r="L2500" s="26"/>
    </row>
    <row r="2501" spans="1:12">
      <c r="A2501" s="20" t="s">
        <v>612</v>
      </c>
      <c r="B2501" s="27" t="s">
        <v>613</v>
      </c>
      <c r="E2501" s="21">
        <f>IF(D2501="?OLD","!!!","")</f>
        <v/>
      </c>
      <c r="F2501" s="22" t="str">
        <f>IF(OR(E2501="",E2501="!!!"),"",IF(NOT(ISNA(VLOOKUP(E2501,E$1:E2500,1,FALSE()))),"OLD",IF(AND(E2501&lt;&gt;"",E2501&lt;&gt;"!!!"),"NEW","")))</f>
        <v> </v>
      </c>
      <c r="G2501" s="23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4" t="str">
        <f>IF(J2501&lt;&gt;1,"",IF(I2501="SBJ","CB","?"))</f>
        <v> </v>
      </c>
      <c r="I2501" s="25" t="str">
        <f>IF(OR(E2501="",E2501="!!!",F2501="NEW"),"",INDEX(B2500:B$2,-1+SUMPRODUCT(MAX(ROW(E2500:E$2)*(E2501=E2500:E$2)))))</f>
        <v> </v>
      </c>
      <c r="J2501" s="25" t="str">
        <f>IF(OR(E2501="",E2501="!!!",F2501="NEW"),"",COUNTBLANK(OFFSET(A$1,,,SUMPRODUCT(MAX(ROW(E$2:E2501)*(E2501=E$2:E2501)))))-COUNTBLANK(OFFSET(A$1,,,SUMPRODUCT(MAX(ROW(E$1:E2500)*(E2=E$1:E2500))))))</f>
        <v> </v>
      </c>
      <c r="K2501" s="25" t="str">
        <f>IF(OR(E2501="",E2501="!!!",F2501="NEW"),"",INDEX(J$1:J2500,SUMPRODUCT(MAX(ROW(E$1:E2500)*(E2501=E$1:E2500)))))</f>
        <v> </v>
      </c>
      <c r="L2501" s="26"/>
    </row>
    <row r="2502" spans="1:12">
      <c r="A2502" s="20" t="s">
        <v>1748</v>
      </c>
      <c r="E2502" s="21">
        <f>IF(D2502="?OLD","!!!","")</f>
        <v/>
      </c>
      <c r="F2502" s="22" t="str">
        <f>IF(OR(E2502="",E2502="!!!"),"",IF(NOT(ISNA(VLOOKUP(E2502,E$1:E2501,1,FALSE()))),"OLD",IF(AND(E2502&lt;&gt;"",E2502&lt;&gt;"!!!"),"NEW","")))</f>
        <v> </v>
      </c>
      <c r="G2502" s="23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4" t="str">
        <f>IF(J2502&lt;&gt;1,"",IF(I2502="SBJ","CB","?"))</f>
        <v> </v>
      </c>
      <c r="I2502" s="25" t="str">
        <f>IF(OR(E2502="",E2502="!!!",F2502="NEW"),"",INDEX(B2501:B$2,-1+SUMPRODUCT(MAX(ROW(E2501:E$2)*(E2502=E2501:E$2)))))</f>
        <v> </v>
      </c>
      <c r="J2502" s="25" t="str">
        <f>IF(OR(E2502="",E2502="!!!",F2502="NEW"),"",COUNTBLANK(OFFSET(A$1,,,SUMPRODUCT(MAX(ROW(E$2:E2502)*(E2502=E$2:E2502)))))-COUNTBLANK(OFFSET(A$1,,,SUMPRODUCT(MAX(ROW(E$1:E2501)*(E2=E$1:E2501))))))</f>
        <v> </v>
      </c>
      <c r="K2502" s="25" t="str">
        <f>IF(OR(E2502="",E2502="!!!",F2502="NEW"),"",INDEX(J$1:J2501,SUMPRODUCT(MAX(ROW(E$1:E2501)*(E2502=E$1:E2501)))))</f>
        <v> </v>
      </c>
      <c r="L2502" s="26"/>
    </row>
    <row r="2503" spans="1:12">
      <c r="A2503" s="20" t="s">
        <v>752</v>
      </c>
      <c r="B2503" s="27" t="s">
        <v>647</v>
      </c>
      <c r="E2503" s="21">
        <f>IF(D2503="?OLD","!!!","")</f>
        <v/>
      </c>
      <c r="F2503" s="22" t="str">
        <f>IF(OR(E2503="",E2503="!!!"),"",IF(NOT(ISNA(VLOOKUP(E2503,E$1:E2502,1,FALSE()))),"OLD",IF(AND(E2503&lt;&gt;"",E2503&lt;&gt;"!!!"),"NEW","")))</f>
        <v> </v>
      </c>
      <c r="G2503" s="23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4" t="str">
        <f>IF(J2503&lt;&gt;1,"",IF(I2503="SBJ","CB","?"))</f>
        <v> </v>
      </c>
      <c r="I2503" s="25" t="str">
        <f>IF(OR(E2503="",E2503="!!!",F2503="NEW"),"",INDEX(B2502:B$2,-1+SUMPRODUCT(MAX(ROW(E2502:E$2)*(E2503=E2502:E$2)))))</f>
        <v> </v>
      </c>
      <c r="J2503" s="25" t="str">
        <f>IF(OR(E2503="",E2503="!!!",F2503="NEW"),"",COUNTBLANK(OFFSET(A$1,,,SUMPRODUCT(MAX(ROW(E$2:E2503)*(E2503=E$2:E2503)))))-COUNTBLANK(OFFSET(A$1,,,SUMPRODUCT(MAX(ROW(E$1:E2502)*(E2=E$1:E2502))))))</f>
        <v> </v>
      </c>
      <c r="K2503" s="25" t="str">
        <f>IF(OR(E2503="",E2503="!!!",F2503="NEW"),"",INDEX(J$1:J2502,SUMPRODUCT(MAX(ROW(E$1:E2502)*(E2503=E$1:E2502)))))</f>
        <v> </v>
      </c>
      <c r="L2503" s="26"/>
    </row>
    <row r="2504" spans="1:12">
      <c r="A2504" s="20" t="s">
        <v>858</v>
      </c>
      <c r="E2504" s="21">
        <f>IF(D2504="?OLD","!!!","")</f>
        <v/>
      </c>
      <c r="F2504" s="22" t="str">
        <f>IF(OR(E2504="",E2504="!!!"),"",IF(NOT(ISNA(VLOOKUP(E2504,E$1:E2503,1,FALSE()))),"OLD",IF(AND(E2504&lt;&gt;"",E2504&lt;&gt;"!!!"),"NEW","")))</f>
        <v> </v>
      </c>
      <c r="G2504" s="23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4" t="str">
        <f>IF(J2504&lt;&gt;1,"",IF(I2504="SBJ","CB","?"))</f>
        <v> </v>
      </c>
      <c r="I2504" s="25" t="str">
        <f>IF(OR(E2504="",E2504="!!!",F2504="NEW"),"",INDEX(B2503:B$2,-1+SUMPRODUCT(MAX(ROW(E2503:E$2)*(E2504=E2503:E$2)))))</f>
        <v> </v>
      </c>
      <c r="J2504" s="25" t="str">
        <f>IF(OR(E2504="",E2504="!!!",F2504="NEW"),"",COUNTBLANK(OFFSET(A$1,,,SUMPRODUCT(MAX(ROW(E$2:E2504)*(E2504=E$2:E2504)))))-COUNTBLANK(OFFSET(A$1,,,SUMPRODUCT(MAX(ROW(E$1:E2503)*(E2=E$1:E2503))))))</f>
        <v> </v>
      </c>
      <c r="K2504" s="25" t="str">
        <f>IF(OR(E2504="",E2504="!!!",F2504="NEW"),"",INDEX(J$1:J2503,SUMPRODUCT(MAX(ROW(E$1:E2503)*(E2504=E$1:E2503)))))</f>
        <v> </v>
      </c>
      <c r="L2504" s="26"/>
    </row>
    <row r="2505" spans="1:12">
      <c r="A2505" s="20" t="s">
        <v>617</v>
      </c>
      <c r="E2505" s="21">
        <f>IF(D2505="?OLD","!!!","")</f>
        <v/>
      </c>
      <c r="F2505" s="22" t="str">
        <f>IF(OR(E2505="",E2505="!!!"),"",IF(NOT(ISNA(VLOOKUP(E2505,E$1:E2504,1,FALSE()))),"OLD",IF(AND(E2505&lt;&gt;"",E2505&lt;&gt;"!!!"),"NEW","")))</f>
        <v> </v>
      </c>
      <c r="G2505" s="23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4" t="str">
        <f>IF(J2505&lt;&gt;1,"",IF(I2505="SBJ","CB","?"))</f>
        <v> </v>
      </c>
      <c r="I2505" s="25" t="str">
        <f>IF(OR(E2505="",E2505="!!!",F2505="NEW"),"",INDEX(B2504:B$2,-1+SUMPRODUCT(MAX(ROW(E2504:E$2)*(E2505=E2504:E$2)))))</f>
        <v> </v>
      </c>
      <c r="J2505" s="25" t="str">
        <f>IF(OR(E2505="",E2505="!!!",F2505="NEW"),"",COUNTBLANK(OFFSET(A$1,,,SUMPRODUCT(MAX(ROW(E$2:E2505)*(E2505=E$2:E2505)))))-COUNTBLANK(OFFSET(A$1,,,SUMPRODUCT(MAX(ROW(E$1:E2504)*(E2=E$1:E2504))))))</f>
        <v> </v>
      </c>
      <c r="K2505" s="25" t="str">
        <f>IF(OR(E2505="",E2505="!!!",F2505="NEW"),"",INDEX(J$1:J2504,SUMPRODUCT(MAX(ROW(E$1:E2504)*(E2505=E$1:E2504)))))</f>
        <v> </v>
      </c>
      <c r="L2505" s="26"/>
    </row>
    <row r="2506" spans="1:12">
      <c r="A2506" s="20" t="s">
        <v>736</v>
      </c>
      <c r="E2506" s="21">
        <f>IF(D2506="?OLD","!!!","")</f>
        <v/>
      </c>
      <c r="F2506" s="22" t="str">
        <f>IF(OR(E2506="",E2506="!!!"),"",IF(NOT(ISNA(VLOOKUP(E2506,E$1:E2505,1,FALSE()))),"OLD",IF(AND(E2506&lt;&gt;"",E2506&lt;&gt;"!!!"),"NEW","")))</f>
        <v> </v>
      </c>
      <c r="G2506" s="23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4" t="str">
        <f>IF(J2506&lt;&gt;1,"",IF(I2506="SBJ","CB","?"))</f>
        <v> </v>
      </c>
      <c r="I2506" s="25" t="str">
        <f>IF(OR(E2506="",E2506="!!!",F2506="NEW"),"",INDEX(B2505:B$2,-1+SUMPRODUCT(MAX(ROW(E2505:E$2)*(E2506=E2505:E$2)))))</f>
        <v> </v>
      </c>
      <c r="J2506" s="25" t="str">
        <f>IF(OR(E2506="",E2506="!!!",F2506="NEW"),"",COUNTBLANK(OFFSET(A$1,,,SUMPRODUCT(MAX(ROW(E$2:E2506)*(E2506=E$2:E2506)))))-COUNTBLANK(OFFSET(A$1,,,SUMPRODUCT(MAX(ROW(E$1:E2505)*(E2=E$1:E2505))))))</f>
        <v> </v>
      </c>
      <c r="K2506" s="25" t="str">
        <f>IF(OR(E2506="",E2506="!!!",F2506="NEW"),"",INDEX(J$1:J2505,SUMPRODUCT(MAX(ROW(E$1:E2505)*(E2506=E$1:E2505)))))</f>
        <v> </v>
      </c>
      <c r="L2506" s="26"/>
    </row>
    <row r="2507" spans="1:12">
      <c r="A2507" s="20" t="s">
        <v>1133</v>
      </c>
      <c r="E2507" s="21">
        <f>IF(D2507="?OLD","!!!","")</f>
        <v/>
      </c>
      <c r="F2507" s="22" t="str">
        <f>IF(OR(E2507="",E2507="!!!"),"",IF(NOT(ISNA(VLOOKUP(E2507,E$1:E2506,1,FALSE()))),"OLD",IF(AND(E2507&lt;&gt;"",E2507&lt;&gt;"!!!"),"NEW","")))</f>
        <v> </v>
      </c>
      <c r="G2507" s="23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4" t="str">
        <f>IF(J2507&lt;&gt;1,"",IF(I2507="SBJ","CB","?"))</f>
        <v> </v>
      </c>
      <c r="I2507" s="25" t="str">
        <f>IF(OR(E2507="",E2507="!!!",F2507="NEW"),"",INDEX(B2506:B$2,-1+SUMPRODUCT(MAX(ROW(E2506:E$2)*(E2507=E2506:E$2)))))</f>
        <v> </v>
      </c>
      <c r="J2507" s="25" t="str">
        <f>IF(OR(E2507="",E2507="!!!",F2507="NEW"),"",COUNTBLANK(OFFSET(A$1,,,SUMPRODUCT(MAX(ROW(E$2:E2507)*(E2507=E$2:E2507)))))-COUNTBLANK(OFFSET(A$1,,,SUMPRODUCT(MAX(ROW(E$1:E2506)*(E2=E$1:E2506))))))</f>
        <v> </v>
      </c>
      <c r="K2507" s="25" t="str">
        <f>IF(OR(E2507="",E2507="!!!",F2507="NEW"),"",INDEX(J$1:J2506,SUMPRODUCT(MAX(ROW(E$1:E2506)*(E2507=E$1:E2506)))))</f>
        <v> </v>
      </c>
      <c r="L2507" s="26"/>
    </row>
    <row r="2508" spans="1:12">
      <c r="A2508" s="20" t="s">
        <v>652</v>
      </c>
      <c r="B2508" s="27" t="s">
        <v>636</v>
      </c>
      <c r="C2508" s="27" t="s">
        <v>626</v>
      </c>
      <c r="D2508" s="27" t="s">
        <v>627</v>
      </c>
      <c r="E2508" s="21">
        <f>IF(D2508="?OLD","!!!","")</f>
        <v/>
      </c>
      <c r="F2508" s="22" t="str">
        <f>IF(OR(E2508="",E2508="!!!"),"",IF(NOT(ISNA(VLOOKUP(E2508,E$1:E2507,1,FALSE()))),"OLD",IF(AND(E2508&lt;&gt;"",E2508&lt;&gt;"!!!"),"NEW","")))</f>
        <v> </v>
      </c>
      <c r="G2508" s="23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4" t="str">
        <f>IF(J2508&lt;&gt;1,"",IF(I2508="SBJ","CB","?"))</f>
        <v> </v>
      </c>
      <c r="I2508" s="25" t="str">
        <f>IF(OR(E2508="",E2508="!!!",F2508="NEW"),"",INDEX(B2507:B$2,-1+SUMPRODUCT(MAX(ROW(E2507:E$2)*(E2508=E2507:E$2)))))</f>
        <v> </v>
      </c>
      <c r="J2508" s="25" t="str">
        <f>IF(OR(E2508="",E2508="!!!",F2508="NEW"),"",COUNTBLANK(OFFSET(A$1,,,SUMPRODUCT(MAX(ROW(E$2:E2508)*(E2508=E$2:E2508)))))-COUNTBLANK(OFFSET(A$1,,,SUMPRODUCT(MAX(ROW(E$1:E2507)*(E2=E$1:E2507))))))</f>
        <v> </v>
      </c>
      <c r="K2508" s="25" t="str">
        <f>IF(OR(E2508="",E2508="!!!",F2508="NEW"),"",INDEX(J$1:J2507,SUMPRODUCT(MAX(ROW(E$1:E2507)*(E2508=E$1:E2507)))))</f>
        <v> </v>
      </c>
      <c r="L2508" s="26"/>
    </row>
    <row r="2509" spans="1:12">
      <c r="A2509" s="20" t="s">
        <v>712</v>
      </c>
      <c r="E2509" s="21">
        <f>IF(D2509="?OLD","!!!","")</f>
        <v/>
      </c>
      <c r="F2509" s="22" t="str">
        <f>IF(OR(E2509="",E2509="!!!"),"",IF(NOT(ISNA(VLOOKUP(E2509,E$1:E2508,1,FALSE()))),"OLD",IF(AND(E2509&lt;&gt;"",E2509&lt;&gt;"!!!"),"NEW","")))</f>
        <v> </v>
      </c>
      <c r="G2509" s="23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4" t="str">
        <f>IF(J2509&lt;&gt;1,"",IF(I2509="SBJ","CB","?"))</f>
        <v> </v>
      </c>
      <c r="I2509" s="25" t="str">
        <f>IF(OR(E2509="",E2509="!!!",F2509="NEW"),"",INDEX(B2508:B$2,-1+SUMPRODUCT(MAX(ROW(E2508:E$2)*(E2509=E2508:E$2)))))</f>
        <v> </v>
      </c>
      <c r="J2509" s="25" t="str">
        <f>IF(OR(E2509="",E2509="!!!",F2509="NEW"),"",COUNTBLANK(OFFSET(A$1,,,SUMPRODUCT(MAX(ROW(E$2:E2509)*(E2509=E$2:E2509)))))-COUNTBLANK(OFFSET(A$1,,,SUMPRODUCT(MAX(ROW(E$1:E2508)*(E2=E$1:E2508))))))</f>
        <v> </v>
      </c>
      <c r="K2509" s="25" t="str">
        <f>IF(OR(E2509="",E2509="!!!",F2509="NEW"),"",INDEX(J$1:J2508,SUMPRODUCT(MAX(ROW(E$1:E2508)*(E2509=E$1:E2508)))))</f>
        <v> </v>
      </c>
      <c r="L2509" s="26"/>
    </row>
    <row r="2510" spans="1:12">
      <c r="A2510" s="20" t="s">
        <v>1314</v>
      </c>
      <c r="B2510" s="27" t="s">
        <v>658</v>
      </c>
      <c r="C2510" s="27" t="s">
        <v>626</v>
      </c>
      <c r="D2510" s="27" t="s">
        <v>627</v>
      </c>
      <c r="E2510" s="21">
        <f>IF(D2510="?OLD","!!!","")</f>
        <v/>
      </c>
      <c r="F2510" s="22" t="str">
        <f>IF(OR(E2510="",E2510="!!!"),"",IF(NOT(ISNA(VLOOKUP(E2510,E$1:E2509,1,FALSE()))),"OLD",IF(AND(E2510&lt;&gt;"",E2510&lt;&gt;"!!!"),"NEW","")))</f>
        <v> </v>
      </c>
      <c r="G2510" s="23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4" t="str">
        <f>IF(J2510&lt;&gt;1,"",IF(I2510="SBJ","CB","?"))</f>
        <v> </v>
      </c>
      <c r="I2510" s="25" t="str">
        <f>IF(OR(E2510="",E2510="!!!",F2510="NEW"),"",INDEX(B2509:B$2,-1+SUMPRODUCT(MAX(ROW(E2509:E$2)*(E2510=E2509:E$2)))))</f>
        <v> </v>
      </c>
      <c r="J2510" s="25" t="str">
        <f>IF(OR(E2510="",E2510="!!!",F2510="NEW"),"",COUNTBLANK(OFFSET(A$1,,,SUMPRODUCT(MAX(ROW(E$2:E2510)*(E2510=E$2:E2510)))))-COUNTBLANK(OFFSET(A$1,,,SUMPRODUCT(MAX(ROW(E$1:E2509)*(E2=E$1:E2509))))))</f>
        <v> </v>
      </c>
      <c r="K2510" s="25" t="str">
        <f>IF(OR(E2510="",E2510="!!!",F2510="NEW"),"",INDEX(J$1:J2509,SUMPRODUCT(MAX(ROW(E$1:E2509)*(E2510=E$1:E2509)))))</f>
        <v> </v>
      </c>
      <c r="L2510" s="26"/>
    </row>
    <row r="2511" spans="1:12">
      <c r="A2511" s="20" t="s">
        <v>1749</v>
      </c>
      <c r="E2511" s="21">
        <f>IF(D2511="?OLD","!!!","")</f>
        <v/>
      </c>
      <c r="F2511" s="22" t="str">
        <f>IF(OR(E2511="",E2511="!!!"),"",IF(NOT(ISNA(VLOOKUP(E2511,E$1:E2510,1,FALSE()))),"OLD",IF(AND(E2511&lt;&gt;"",E2511&lt;&gt;"!!!"),"NEW","")))</f>
        <v> </v>
      </c>
      <c r="G2511" s="23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4" t="str">
        <f>IF(J2511&lt;&gt;1,"",IF(I2511="SBJ","CB","?"))</f>
        <v> </v>
      </c>
      <c r="I2511" s="25" t="str">
        <f>IF(OR(E2511="",E2511="!!!",F2511="NEW"),"",INDEX(B2510:B$2,-1+SUMPRODUCT(MAX(ROW(E2510:E$2)*(E2511=E2510:E$2)))))</f>
        <v> </v>
      </c>
      <c r="J2511" s="25" t="str">
        <f>IF(OR(E2511="",E2511="!!!",F2511="NEW"),"",COUNTBLANK(OFFSET(A$1,,,SUMPRODUCT(MAX(ROW(E$2:E2511)*(E2511=E$2:E2511)))))-COUNTBLANK(OFFSET(A$1,,,SUMPRODUCT(MAX(ROW(E$1:E2510)*(E2=E$1:E2510))))))</f>
        <v> </v>
      </c>
      <c r="K2511" s="25" t="str">
        <f>IF(OR(E2511="",E2511="!!!",F2511="NEW"),"",INDEX(J$1:J2510,SUMPRODUCT(MAX(ROW(E$1:E2510)*(E2511=E$1:E2510)))))</f>
        <v> </v>
      </c>
      <c r="L2511" s="26"/>
    </row>
    <row r="2512" spans="1:12">
      <c r="A2512" s="20" t="s">
        <v>617</v>
      </c>
      <c r="E2512" s="21">
        <f>IF(D2512="?OLD","!!!","")</f>
        <v/>
      </c>
      <c r="F2512" s="22" t="str">
        <f>IF(OR(E2512="",E2512="!!!"),"",IF(NOT(ISNA(VLOOKUP(E2512,E$1:E2511,1,FALSE()))),"OLD",IF(AND(E2512&lt;&gt;"",E2512&lt;&gt;"!!!"),"NEW","")))</f>
        <v> </v>
      </c>
      <c r="G2512" s="23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4" t="str">
        <f>IF(J2512&lt;&gt;1,"",IF(I2512="SBJ","CB","?"))</f>
        <v> </v>
      </c>
      <c r="I2512" s="25" t="str">
        <f>IF(OR(E2512="",E2512="!!!",F2512="NEW"),"",INDEX(B2511:B$2,-1+SUMPRODUCT(MAX(ROW(E2511:E$2)*(E2512=E2511:E$2)))))</f>
        <v> </v>
      </c>
      <c r="J2512" s="25" t="str">
        <f>IF(OR(E2512="",E2512="!!!",F2512="NEW"),"",COUNTBLANK(OFFSET(A$1,,,SUMPRODUCT(MAX(ROW(E$2:E2512)*(E2512=E$2:E2512)))))-COUNTBLANK(OFFSET(A$1,,,SUMPRODUCT(MAX(ROW(E$1:E2511)*(E2=E$1:E2511))))))</f>
        <v> </v>
      </c>
      <c r="K2512" s="25" t="str">
        <f>IF(OR(E2512="",E2512="!!!",F2512="NEW"),"",INDEX(J$1:J2511,SUMPRODUCT(MAX(ROW(E$1:E2511)*(E2512=E$1:E2511)))))</f>
        <v> </v>
      </c>
      <c r="L2512" s="26"/>
    </row>
    <row r="2513" spans="1:12">
      <c r="A2513" s="20" t="s">
        <v>932</v>
      </c>
      <c r="E2513" s="21">
        <f>IF(D2513="?OLD","!!!","")</f>
        <v/>
      </c>
      <c r="F2513" s="22" t="str">
        <f>IF(OR(E2513="",E2513="!!!"),"",IF(NOT(ISNA(VLOOKUP(E2513,E$1:E2512,1,FALSE()))),"OLD",IF(AND(E2513&lt;&gt;"",E2513&lt;&gt;"!!!"),"NEW","")))</f>
        <v> </v>
      </c>
      <c r="G2513" s="23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4" t="str">
        <f>IF(J2513&lt;&gt;1,"",IF(I2513="SBJ","CB","?"))</f>
        <v> </v>
      </c>
      <c r="I2513" s="25" t="str">
        <f>IF(OR(E2513="",E2513="!!!",F2513="NEW"),"",INDEX(B2512:B$2,-1+SUMPRODUCT(MAX(ROW(E2512:E$2)*(E2513=E2512:E$2)))))</f>
        <v> </v>
      </c>
      <c r="J2513" s="25" t="str">
        <f>IF(OR(E2513="",E2513="!!!",F2513="NEW"),"",COUNTBLANK(OFFSET(A$1,,,SUMPRODUCT(MAX(ROW(E$2:E2513)*(E2513=E$2:E2513)))))-COUNTBLANK(OFFSET(A$1,,,SUMPRODUCT(MAX(ROW(E$1:E2512)*(E2=E$1:E2512))))))</f>
        <v> </v>
      </c>
      <c r="K2513" s="25" t="str">
        <f>IF(OR(E2513="",E2513="!!!",F2513="NEW"),"",INDEX(J$1:J2512,SUMPRODUCT(MAX(ROW(E$1:E2512)*(E2513=E$1:E2512)))))</f>
        <v> </v>
      </c>
      <c r="L2513" s="26"/>
    </row>
    <row r="2514" spans="1:12">
      <c r="A2514" s="20" t="s">
        <v>737</v>
      </c>
      <c r="E2514" s="21">
        <f>IF(D2514="?OLD","!!!","")</f>
        <v/>
      </c>
      <c r="F2514" s="22" t="str">
        <f>IF(OR(E2514="",E2514="!!!"),"",IF(NOT(ISNA(VLOOKUP(E2514,E$1:E2513,1,FALSE()))),"OLD",IF(AND(E2514&lt;&gt;"",E2514&lt;&gt;"!!!"),"NEW","")))</f>
        <v> </v>
      </c>
      <c r="G2514" s="23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4" t="str">
        <f>IF(J2514&lt;&gt;1,"",IF(I2514="SBJ","CB","?"))</f>
        <v> </v>
      </c>
      <c r="I2514" s="25" t="str">
        <f>IF(OR(E2514="",E2514="!!!",F2514="NEW"),"",INDEX(B2513:B$2,-1+SUMPRODUCT(MAX(ROW(E2513:E$2)*(E2514=E2513:E$2)))))</f>
        <v> </v>
      </c>
      <c r="J2514" s="25" t="str">
        <f>IF(OR(E2514="",E2514="!!!",F2514="NEW"),"",COUNTBLANK(OFFSET(A$1,,,SUMPRODUCT(MAX(ROW(E$2:E2514)*(E2514=E$2:E2514)))))-COUNTBLANK(OFFSET(A$1,,,SUMPRODUCT(MAX(ROW(E$1:E2513)*(E2=E$1:E2513))))))</f>
        <v> </v>
      </c>
      <c r="K2514" s="25" t="str">
        <f>IF(OR(E2514="",E2514="!!!",F2514="NEW"),"",INDEX(J$1:J2513,SUMPRODUCT(MAX(ROW(E$1:E2513)*(E2514=E$1:E2513)))))</f>
        <v> </v>
      </c>
      <c r="L2514" s="26"/>
    </row>
    <row r="2515" spans="1:12">
      <c r="A2515" s="20" t="s">
        <v>1349</v>
      </c>
      <c r="E2515" s="21">
        <f>IF(D2515="?OLD","!!!","")</f>
        <v/>
      </c>
      <c r="F2515" s="22" t="str">
        <f>IF(OR(E2515="",E2515="!!!"),"",IF(NOT(ISNA(VLOOKUP(E2515,E$1:E2514,1,FALSE()))),"OLD",IF(AND(E2515&lt;&gt;"",E2515&lt;&gt;"!!!"),"NEW","")))</f>
        <v> </v>
      </c>
      <c r="G2515" s="23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4" t="str">
        <f>IF(J2515&lt;&gt;1,"",IF(I2515="SBJ","CB","?"))</f>
        <v> </v>
      </c>
      <c r="I2515" s="25" t="str">
        <f>IF(OR(E2515="",E2515="!!!",F2515="NEW"),"",INDEX(B2514:B$2,-1+SUMPRODUCT(MAX(ROW(E2514:E$2)*(E2515=E2514:E$2)))))</f>
        <v> </v>
      </c>
      <c r="J2515" s="25" t="str">
        <f>IF(OR(E2515="",E2515="!!!",F2515="NEW"),"",COUNTBLANK(OFFSET(A$1,,,SUMPRODUCT(MAX(ROW(E$2:E2515)*(E2515=E$2:E2515)))))-COUNTBLANK(OFFSET(A$1,,,SUMPRODUCT(MAX(ROW(E$1:E2514)*(E2=E$1:E2514))))))</f>
        <v> </v>
      </c>
      <c r="K2515" s="25" t="str">
        <f>IF(OR(E2515="",E2515="!!!",F2515="NEW"),"",INDEX(J$1:J2514,SUMPRODUCT(MAX(ROW(E$1:E2514)*(E2515=E$1:E2514)))))</f>
        <v> </v>
      </c>
      <c r="L2515" s="26"/>
    </row>
    <row r="2516" spans="1:12">
      <c r="A2516" s="20" t="s">
        <v>617</v>
      </c>
      <c r="E2516" s="21">
        <f>IF(D2516="?OLD","!!!","")</f>
        <v/>
      </c>
      <c r="F2516" s="22" t="str">
        <f>IF(OR(E2516="",E2516="!!!"),"",IF(NOT(ISNA(VLOOKUP(E2516,E$1:E2515,1,FALSE()))),"OLD",IF(AND(E2516&lt;&gt;"",E2516&lt;&gt;"!!!"),"NEW","")))</f>
        <v> </v>
      </c>
      <c r="G2516" s="23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4" t="str">
        <f>IF(J2516&lt;&gt;1,"",IF(I2516="SBJ","CB","?"))</f>
        <v> </v>
      </c>
      <c r="I2516" s="25" t="str">
        <f>IF(OR(E2516="",E2516="!!!",F2516="NEW"),"",INDEX(B2515:B$2,-1+SUMPRODUCT(MAX(ROW(E2515:E$2)*(E2516=E2515:E$2)))))</f>
        <v> </v>
      </c>
      <c r="J2516" s="25" t="str">
        <f>IF(OR(E2516="",E2516="!!!",F2516="NEW"),"",COUNTBLANK(OFFSET(A$1,,,SUMPRODUCT(MAX(ROW(E$2:E2516)*(E2516=E$2:E2516)))))-COUNTBLANK(OFFSET(A$1,,,SUMPRODUCT(MAX(ROW(E$1:E2515)*(E2=E$1:E2515))))))</f>
        <v> </v>
      </c>
      <c r="K2516" s="25" t="str">
        <f>IF(OR(E2516="",E2516="!!!",F2516="NEW"),"",INDEX(J$1:J2515,SUMPRODUCT(MAX(ROW(E$1:E2515)*(E2516=E$1:E2515)))))</f>
        <v> </v>
      </c>
      <c r="L2516" s="26"/>
    </row>
    <row r="2517" spans="1:12">
      <c r="A2517" s="20" t="s">
        <v>733</v>
      </c>
      <c r="E2517" s="21">
        <f>IF(D2517="?OLD","!!!","")</f>
        <v/>
      </c>
      <c r="F2517" s="22" t="str">
        <f>IF(OR(E2517="",E2517="!!!"),"",IF(NOT(ISNA(VLOOKUP(E2517,E$1:E2516,1,FALSE()))),"OLD",IF(AND(E2517&lt;&gt;"",E2517&lt;&gt;"!!!"),"NEW","")))</f>
        <v> </v>
      </c>
      <c r="G2517" s="23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4" t="str">
        <f>IF(J2517&lt;&gt;1,"",IF(I2517="SBJ","CB","?"))</f>
        <v> </v>
      </c>
      <c r="I2517" s="25" t="str">
        <f>IF(OR(E2517="",E2517="!!!",F2517="NEW"),"",INDEX(B2516:B$2,-1+SUMPRODUCT(MAX(ROW(E2516:E$2)*(E2517=E2516:E$2)))))</f>
        <v> </v>
      </c>
      <c r="J2517" s="25" t="str">
        <f>IF(OR(E2517="",E2517="!!!",F2517="NEW"),"",COUNTBLANK(OFFSET(A$1,,,SUMPRODUCT(MAX(ROW(E$2:E2517)*(E2517=E$2:E2517)))))-COUNTBLANK(OFFSET(A$1,,,SUMPRODUCT(MAX(ROW(E$1:E2516)*(E2=E$1:E2516))))))</f>
        <v> </v>
      </c>
      <c r="K2517" s="25" t="str">
        <f>IF(OR(E2517="",E2517="!!!",F2517="NEW"),"",INDEX(J$1:J2516,SUMPRODUCT(MAX(ROW(E$1:E2516)*(E2517=E$1:E2516)))))</f>
        <v> </v>
      </c>
      <c r="L2517" s="26"/>
    </row>
    <row r="2518" spans="1:12">
      <c r="A2518" s="20" t="s">
        <v>1750</v>
      </c>
      <c r="E2518" s="21">
        <f>IF(D2518="?OLD","!!!","")</f>
        <v/>
      </c>
      <c r="F2518" s="22" t="str">
        <f>IF(OR(E2518="",E2518="!!!"),"",IF(NOT(ISNA(VLOOKUP(E2518,E$1:E2517,1,FALSE()))),"OLD",IF(AND(E2518&lt;&gt;"",E2518&lt;&gt;"!!!"),"NEW","")))</f>
        <v> </v>
      </c>
      <c r="G2518" s="23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4" t="str">
        <f>IF(J2518&lt;&gt;1,"",IF(I2518="SBJ","CB","?"))</f>
        <v> </v>
      </c>
      <c r="I2518" s="25" t="str">
        <f>IF(OR(E2518="",E2518="!!!",F2518="NEW"),"",INDEX(B2517:B$2,-1+SUMPRODUCT(MAX(ROW(E2517:E$2)*(E2518=E2517:E$2)))))</f>
        <v> </v>
      </c>
      <c r="J2518" s="25" t="str">
        <f>IF(OR(E2518="",E2518="!!!",F2518="NEW"),"",COUNTBLANK(OFFSET(A$1,,,SUMPRODUCT(MAX(ROW(E$2:E2518)*(E2518=E$2:E2518)))))-COUNTBLANK(OFFSET(A$1,,,SUMPRODUCT(MAX(ROW(E$1:E2517)*(E2=E$1:E2517))))))</f>
        <v> </v>
      </c>
      <c r="K2518" s="25" t="str">
        <f>IF(OR(E2518="",E2518="!!!",F2518="NEW"),"",INDEX(J$1:J2517,SUMPRODUCT(MAX(ROW(E$1:E2517)*(E2518=E$1:E2517)))))</f>
        <v> </v>
      </c>
      <c r="L2518" s="26"/>
    </row>
    <row r="2519" spans="1:12">
      <c r="A2519" s="20" t="s">
        <v>629</v>
      </c>
      <c r="E2519" s="21">
        <f>IF(D2519="?OLD","!!!","")</f>
        <v/>
      </c>
      <c r="F2519" s="22" t="str">
        <f>IF(OR(E2519="",E2519="!!!"),"",IF(NOT(ISNA(VLOOKUP(E2519,E$1:E2518,1,FALSE()))),"OLD",IF(AND(E2519&lt;&gt;"",E2519&lt;&gt;"!!!"),"NEW","")))</f>
        <v> </v>
      </c>
      <c r="G2519" s="23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4" t="str">
        <f>IF(J2519&lt;&gt;1,"",IF(I2519="SBJ","CB","?"))</f>
        <v> </v>
      </c>
      <c r="I2519" s="25" t="str">
        <f>IF(OR(E2519="",E2519="!!!",F2519="NEW"),"",INDEX(B2518:B$2,-1+SUMPRODUCT(MAX(ROW(E2518:E$2)*(E2519=E2518:E$2)))))</f>
        <v> </v>
      </c>
      <c r="J2519" s="25" t="str">
        <f>IF(OR(E2519="",E2519="!!!",F2519="NEW"),"",COUNTBLANK(OFFSET(A$1,,,SUMPRODUCT(MAX(ROW(E$2:E2519)*(E2519=E$2:E2519)))))-COUNTBLANK(OFFSET(A$1,,,SUMPRODUCT(MAX(ROW(E$1:E2518)*(E2=E$1:E2518))))))</f>
        <v> </v>
      </c>
      <c r="K2519" s="25" t="str">
        <f>IF(OR(E2519="",E2519="!!!",F2519="NEW"),"",INDEX(J$1:J2518,SUMPRODUCT(MAX(ROW(E$1:E2518)*(E2519=E$1:E2518)))))</f>
        <v> </v>
      </c>
      <c r="L2519" s="26"/>
    </row>
    <row r="2520" spans="1:12">
      <c r="A2520" s="20" t="s">
        <v>1239</v>
      </c>
      <c r="B2520" s="27" t="s">
        <v>639</v>
      </c>
      <c r="C2520" s="27" t="s">
        <v>626</v>
      </c>
      <c r="D2520" s="27" t="s">
        <v>627</v>
      </c>
      <c r="E2520" s="21">
        <f>IF(D2520="?OLD","!!!","")</f>
        <v/>
      </c>
      <c r="F2520" s="22" t="str">
        <f>IF(OR(E2520="",E2520="!!!"),"",IF(NOT(ISNA(VLOOKUP(E2520,E$1:E2519,1,FALSE()))),"OLD",IF(AND(E2520&lt;&gt;"",E2520&lt;&gt;"!!!"),"NEW","")))</f>
        <v> </v>
      </c>
      <c r="G2520" s="23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4" t="str">
        <f>IF(J2520&lt;&gt;1,"",IF(I2520="SBJ","CB","?"))</f>
        <v> </v>
      </c>
      <c r="I2520" s="25" t="str">
        <f>IF(OR(E2520="",E2520="!!!",F2520="NEW"),"",INDEX(B2519:B$2,-1+SUMPRODUCT(MAX(ROW(E2519:E$2)*(E2520=E2519:E$2)))))</f>
        <v> </v>
      </c>
      <c r="J2520" s="25" t="str">
        <f>IF(OR(E2520="",E2520="!!!",F2520="NEW"),"",COUNTBLANK(OFFSET(A$1,,,SUMPRODUCT(MAX(ROW(E$2:E2520)*(E2520=E$2:E2520)))))-COUNTBLANK(OFFSET(A$1,,,SUMPRODUCT(MAX(ROW(E$1:E2519)*(E2=E$1:E2519))))))</f>
        <v> </v>
      </c>
      <c r="K2520" s="25" t="str">
        <f>IF(OR(E2520="",E2520="!!!",F2520="NEW"),"",INDEX(J$1:J2519,SUMPRODUCT(MAX(ROW(E$1:E2519)*(E2520=E$1:E2519)))))</f>
        <v> </v>
      </c>
      <c r="L2520" s="26"/>
    </row>
    <row r="2521" spans="1:12">
      <c r="A2521" s="20" t="s">
        <v>623</v>
      </c>
      <c r="E2521" s="21">
        <f>IF(D2521="?OLD","!!!","")</f>
        <v/>
      </c>
      <c r="F2521" s="22" t="str">
        <f>IF(OR(E2521="",E2521="!!!"),"",IF(NOT(ISNA(VLOOKUP(E2521,E$1:E2520,1,FALSE()))),"OLD",IF(AND(E2521&lt;&gt;"",E2521&lt;&gt;"!!!"),"NEW","")))</f>
        <v> </v>
      </c>
      <c r="G2521" s="23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4" t="str">
        <f>IF(J2521&lt;&gt;1,"",IF(I2521="SBJ","CB","?"))</f>
        <v> </v>
      </c>
      <c r="I2521" s="25" t="str">
        <f>IF(OR(E2521="",E2521="!!!",F2521="NEW"),"",INDEX(B2520:B$2,-1+SUMPRODUCT(MAX(ROW(E2520:E$2)*(E2521=E2520:E$2)))))</f>
        <v> </v>
      </c>
      <c r="J2521" s="25" t="str">
        <f>IF(OR(E2521="",E2521="!!!",F2521="NEW"),"",COUNTBLANK(OFFSET(A$1,,,SUMPRODUCT(MAX(ROW(E$2:E2521)*(E2521=E$2:E2521)))))-COUNTBLANK(OFFSET(A$1,,,SUMPRODUCT(MAX(ROW(E$1:E2520)*(E2=E$1:E2520))))))</f>
        <v> </v>
      </c>
      <c r="K2521" s="25" t="str">
        <f>IF(OR(E2521="",E2521="!!!",F2521="NEW"),"",INDEX(J$1:J2520,SUMPRODUCT(MAX(ROW(E$1:E2520)*(E2521=E$1:E2520)))))</f>
        <v> </v>
      </c>
      <c r="L2521" s="26"/>
    </row>
    <row r="2522" spans="1:12">
      <c r="A2522" s="20"/>
    </row>
    <row r="2523" spans="1:12">
      <c r="A2523" s="20" t="s">
        <v>1751</v>
      </c>
    </row>
    <row r="2524" spans="1:12">
      <c r="A2524" s="20" t="s">
        <v>1752</v>
      </c>
      <c r="B2524" s="27" t="s">
        <v>613</v>
      </c>
      <c r="C2524" s="27" t="s">
        <v>683</v>
      </c>
      <c r="D2524" s="27" t="s">
        <v>627</v>
      </c>
      <c r="E2524" s="21">
        <f>IF(D2524="?OLD","!!!","")</f>
        <v/>
      </c>
      <c r="F2524" s="22" t="str">
        <f>IF(OR(E2524="",E2524="!!!"),"",IF(NOT(ISNA(VLOOKUP(E2524,E$1:E2523,1,FALSE()))),"OLD",IF(AND(E2524&lt;&gt;"",E2524&lt;&gt;"!!!"),"NEW","")))</f>
        <v> </v>
      </c>
      <c r="G2524" s="23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4" t="str">
        <f>IF(J2524&lt;&gt;1,"",IF(I2524="SBJ","CB","?"))</f>
        <v> </v>
      </c>
      <c r="I2524" s="25" t="str">
        <f>IF(OR(E2524="",E2524="!!!",F2524="NEW"),"",INDEX(B2523:B$2,-1+SUMPRODUCT(MAX(ROW(E2523:E$2)*(E2524=E2523:E$2)))))</f>
        <v> </v>
      </c>
      <c r="J2524" s="25" t="str">
        <f>IF(OR(E2524="",E2524="!!!",F2524="NEW"),"",COUNTBLANK(OFFSET(A$1,,,SUMPRODUCT(MAX(ROW(E$2:E2524)*(E2524=E$2:E2524)))))-COUNTBLANK(OFFSET(A$1,,,SUMPRODUCT(MAX(ROW(E$1:E2523)*(E2=E$1:E2523))))))</f>
        <v> </v>
      </c>
      <c r="K2524" s="25" t="str">
        <f>IF(OR(E2524="",E2524="!!!",F2524="NEW"),"",INDEX(J$1:J2523,SUMPRODUCT(MAX(ROW(E$1:E2523)*(E2524=E$1:E2523)))))</f>
        <v> </v>
      </c>
      <c r="L2524" s="26"/>
    </row>
    <row r="2525" spans="1:12">
      <c r="A2525" s="20" t="s">
        <v>737</v>
      </c>
      <c r="E2525" s="21">
        <f>IF(D2525="?OLD","!!!","")</f>
        <v/>
      </c>
      <c r="F2525" s="22" t="str">
        <f>IF(OR(E2525="",E2525="!!!"),"",IF(NOT(ISNA(VLOOKUP(E2525,E$1:E2524,1,FALSE()))),"OLD",IF(AND(E2525&lt;&gt;"",E2525&lt;&gt;"!!!"),"NEW","")))</f>
        <v> </v>
      </c>
      <c r="G2525" s="23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4" t="str">
        <f>IF(J2525&lt;&gt;1,"",IF(I2525="SBJ","CB","?"))</f>
        <v> </v>
      </c>
      <c r="I2525" s="25" t="str">
        <f>IF(OR(E2525="",E2525="!!!",F2525="NEW"),"",INDEX(B2524:B$2,-1+SUMPRODUCT(MAX(ROW(E2524:E$2)*(E2525=E2524:E$2)))))</f>
        <v> </v>
      </c>
      <c r="J2525" s="25" t="str">
        <f>IF(OR(E2525="",E2525="!!!",F2525="NEW"),"",COUNTBLANK(OFFSET(A$1,,,SUMPRODUCT(MAX(ROW(E$2:E2525)*(E2525=E$2:E2525)))))-COUNTBLANK(OFFSET(A$1,,,SUMPRODUCT(MAX(ROW(E$1:E2524)*(E2=E$1:E2524))))))</f>
        <v> </v>
      </c>
      <c r="K2525" s="25" t="str">
        <f>IF(OR(E2525="",E2525="!!!",F2525="NEW"),"",INDEX(J$1:J2524,SUMPRODUCT(MAX(ROW(E$1:E2524)*(E2525=E$1:E2524)))))</f>
        <v> </v>
      </c>
      <c r="L2525" s="26"/>
    </row>
    <row r="2526" spans="1:12">
      <c r="A2526" s="20" t="s">
        <v>783</v>
      </c>
      <c r="E2526" s="21">
        <f>IF(D2526="?OLD","!!!","")</f>
        <v/>
      </c>
      <c r="F2526" s="22" t="str">
        <f>IF(OR(E2526="",E2526="!!!"),"",IF(NOT(ISNA(VLOOKUP(E2526,E$1:E2525,1,FALSE()))),"OLD",IF(AND(E2526&lt;&gt;"",E2526&lt;&gt;"!!!"),"NEW","")))</f>
        <v> </v>
      </c>
      <c r="G2526" s="23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4" t="str">
        <f>IF(J2526&lt;&gt;1,"",IF(I2526="SBJ","CB","?"))</f>
        <v> </v>
      </c>
      <c r="I2526" s="25" t="str">
        <f>IF(OR(E2526="",E2526="!!!",F2526="NEW"),"",INDEX(B2525:B$2,-1+SUMPRODUCT(MAX(ROW(E2525:E$2)*(E2526=E2525:E$2)))))</f>
        <v> </v>
      </c>
      <c r="J2526" s="25" t="str">
        <f>IF(OR(E2526="",E2526="!!!",F2526="NEW"),"",COUNTBLANK(OFFSET(A$1,,,SUMPRODUCT(MAX(ROW(E$2:E2526)*(E2526=E$2:E2526)))))-COUNTBLANK(OFFSET(A$1,,,SUMPRODUCT(MAX(ROW(E$1:E2525)*(E2=E$1:E2525))))))</f>
        <v> </v>
      </c>
      <c r="K2526" s="25" t="str">
        <f>IF(OR(E2526="",E2526="!!!",F2526="NEW"),"",INDEX(J$1:J2525,SUMPRODUCT(MAX(ROW(E$1:E2525)*(E2526=E$1:E2525)))))</f>
        <v> </v>
      </c>
      <c r="L2526" s="26"/>
    </row>
    <row r="2527" spans="1:12">
      <c r="A2527" s="20" t="s">
        <v>623</v>
      </c>
      <c r="E2527" s="21">
        <f>IF(D2527="?OLD","!!!","")</f>
        <v/>
      </c>
      <c r="F2527" s="22" t="str">
        <f>IF(OR(E2527="",E2527="!!!"),"",IF(NOT(ISNA(VLOOKUP(E2527,E$1:E2526,1,FALSE()))),"OLD",IF(AND(E2527&lt;&gt;"",E2527&lt;&gt;"!!!"),"NEW","")))</f>
        <v> </v>
      </c>
      <c r="G2527" s="23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4" t="str">
        <f>IF(J2527&lt;&gt;1,"",IF(I2527="SBJ","CB","?"))</f>
        <v> </v>
      </c>
      <c r="I2527" s="25" t="str">
        <f>IF(OR(E2527="",E2527="!!!",F2527="NEW"),"",INDEX(B2526:B$2,-1+SUMPRODUCT(MAX(ROW(E2526:E$2)*(E2527=E2526:E$2)))))</f>
        <v> </v>
      </c>
      <c r="J2527" s="25" t="str">
        <f>IF(OR(E2527="",E2527="!!!",F2527="NEW"),"",COUNTBLANK(OFFSET(A$1,,,SUMPRODUCT(MAX(ROW(E$2:E2527)*(E2527=E$2:E2527)))))-COUNTBLANK(OFFSET(A$1,,,SUMPRODUCT(MAX(ROW(E$1:E2526)*(E2=E$1:E2526))))))</f>
        <v> </v>
      </c>
      <c r="K2527" s="25" t="str">
        <f>IF(OR(E2527="",E2527="!!!",F2527="NEW"),"",INDEX(J$1:J2526,SUMPRODUCT(MAX(ROW(E$1:E2526)*(E2527=E$1:E2526)))))</f>
        <v> </v>
      </c>
      <c r="L2527" s="26"/>
    </row>
    <row r="2528" spans="1:12">
      <c r="A2528" s="20"/>
    </row>
    <row r="2529" spans="1:12">
      <c r="A2529" s="20" t="s">
        <v>1753</v>
      </c>
    </row>
    <row r="2530" spans="1:12">
      <c r="A2530" s="20" t="s">
        <v>687</v>
      </c>
      <c r="B2530" s="27" t="s">
        <v>613</v>
      </c>
      <c r="C2530" s="27" t="s">
        <v>626</v>
      </c>
      <c r="D2530" s="27" t="s">
        <v>627</v>
      </c>
      <c r="E2530" s="21">
        <f>IF(D2530="?OLD","!!!","")</f>
        <v/>
      </c>
      <c r="F2530" s="22" t="str">
        <f>IF(OR(E2530="",E2530="!!!"),"",IF(NOT(ISNA(VLOOKUP(E2530,E$1:E2529,1,FALSE()))),"OLD",IF(AND(E2530&lt;&gt;"",E2530&lt;&gt;"!!!"),"NEW","")))</f>
        <v> </v>
      </c>
      <c r="G2530" s="23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4" t="str">
        <f>IF(J2530&lt;&gt;1,"",IF(I2530="SBJ","CB","?"))</f>
        <v> </v>
      </c>
      <c r="I2530" s="25" t="str">
        <f>IF(OR(E2530="",E2530="!!!",F2530="NEW"),"",INDEX(B2529:B$2,-1+SUMPRODUCT(MAX(ROW(E2529:E$2)*(E2530=E2529:E$2)))))</f>
        <v> </v>
      </c>
      <c r="J2530" s="25" t="str">
        <f>IF(OR(E2530="",E2530="!!!",F2530="NEW"),"",COUNTBLANK(OFFSET(A$1,,,SUMPRODUCT(MAX(ROW(E$2:E2530)*(E2530=E$2:E2530)))))-COUNTBLANK(OFFSET(A$1,,,SUMPRODUCT(MAX(ROW(E$1:E2529)*(E2=E$1:E2529))))))</f>
        <v> </v>
      </c>
      <c r="K2530" s="25" t="str">
        <f>IF(OR(E2530="",E2530="!!!",F2530="NEW"),"",INDEX(J$1:J2529,SUMPRODUCT(MAX(ROW(E$1:E2529)*(E2530=E$1:E2529)))))</f>
        <v> </v>
      </c>
      <c r="L2530" s="26"/>
    </row>
    <row r="2531" spans="1:12">
      <c r="A2531" s="20" t="s">
        <v>1750</v>
      </c>
      <c r="E2531" s="21">
        <f>IF(D2531="?OLD","!!!","")</f>
        <v/>
      </c>
      <c r="F2531" s="22" t="str">
        <f>IF(OR(E2531="",E2531="!!!"),"",IF(NOT(ISNA(VLOOKUP(E2531,E$1:E2530,1,FALSE()))),"OLD",IF(AND(E2531&lt;&gt;"",E2531&lt;&gt;"!!!"),"NEW","")))</f>
        <v> </v>
      </c>
      <c r="G2531" s="23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4" t="str">
        <f>IF(J2531&lt;&gt;1,"",IF(I2531="SBJ","CB","?"))</f>
        <v> </v>
      </c>
      <c r="I2531" s="25" t="str">
        <f>IF(OR(E2531="",E2531="!!!",F2531="NEW"),"",INDEX(B2530:B$2,-1+SUMPRODUCT(MAX(ROW(E2530:E$2)*(E2531=E2530:E$2)))))</f>
        <v> </v>
      </c>
      <c r="J2531" s="25" t="str">
        <f>IF(OR(E2531="",E2531="!!!",F2531="NEW"),"",COUNTBLANK(OFFSET(A$1,,,SUMPRODUCT(MAX(ROW(E$2:E2531)*(E2531=E$2:E2531)))))-COUNTBLANK(OFFSET(A$1,,,SUMPRODUCT(MAX(ROW(E$1:E2530)*(E2=E$1:E2530))))))</f>
        <v> </v>
      </c>
      <c r="K2531" s="25" t="str">
        <f>IF(OR(E2531="",E2531="!!!",F2531="NEW"),"",INDEX(J$1:J2530,SUMPRODUCT(MAX(ROW(E$1:E2530)*(E2531=E$1:E2530)))))</f>
        <v> </v>
      </c>
      <c r="L2531" s="26"/>
    </row>
    <row r="2532" spans="1:12">
      <c r="A2532" s="20" t="s">
        <v>629</v>
      </c>
      <c r="E2532" s="21">
        <f>IF(D2532="?OLD","!!!","")</f>
        <v/>
      </c>
      <c r="F2532" s="22" t="str">
        <f>IF(OR(E2532="",E2532="!!!"),"",IF(NOT(ISNA(VLOOKUP(E2532,E$1:E2531,1,FALSE()))),"OLD",IF(AND(E2532&lt;&gt;"",E2532&lt;&gt;"!!!"),"NEW","")))</f>
        <v> </v>
      </c>
      <c r="G2532" s="23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4" t="str">
        <f>IF(J2532&lt;&gt;1,"",IF(I2532="SBJ","CB","?"))</f>
        <v> </v>
      </c>
      <c r="I2532" s="25" t="str">
        <f>IF(OR(E2532="",E2532="!!!",F2532="NEW"),"",INDEX(B2531:B$2,-1+SUMPRODUCT(MAX(ROW(E2531:E$2)*(E2532=E2531:E$2)))))</f>
        <v> </v>
      </c>
      <c r="J2532" s="25" t="str">
        <f>IF(OR(E2532="",E2532="!!!",F2532="NEW"),"",COUNTBLANK(OFFSET(A$1,,,SUMPRODUCT(MAX(ROW(E$2:E2532)*(E2532=E$2:E2532)))))-COUNTBLANK(OFFSET(A$1,,,SUMPRODUCT(MAX(ROW(E$1:E2531)*(E2=E$1:E2531))))))</f>
        <v> </v>
      </c>
      <c r="K2532" s="25" t="str">
        <f>IF(OR(E2532="",E2532="!!!",F2532="NEW"),"",INDEX(J$1:J2531,SUMPRODUCT(MAX(ROW(E$1:E2531)*(E2532=E$1:E2531)))))</f>
        <v> </v>
      </c>
      <c r="L2532" s="26"/>
    </row>
    <row r="2533" spans="1:12">
      <c r="A2533" s="20" t="s">
        <v>1754</v>
      </c>
      <c r="E2533" s="21">
        <f>IF(D2533="?OLD","!!!","")</f>
        <v/>
      </c>
      <c r="F2533" s="22" t="str">
        <f>IF(OR(E2533="",E2533="!!!"),"",IF(NOT(ISNA(VLOOKUP(E2533,E$1:E2532,1,FALSE()))),"OLD",IF(AND(E2533&lt;&gt;"",E2533&lt;&gt;"!!!"),"NEW","")))</f>
        <v> </v>
      </c>
      <c r="G2533" s="23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4" t="str">
        <f>IF(J2533&lt;&gt;1,"",IF(I2533="SBJ","CB","?"))</f>
        <v> </v>
      </c>
      <c r="I2533" s="25" t="str">
        <f>IF(OR(E2533="",E2533="!!!",F2533="NEW"),"",INDEX(B2532:B$2,-1+SUMPRODUCT(MAX(ROW(E2532:E$2)*(E2533=E2532:E$2)))))</f>
        <v> </v>
      </c>
      <c r="J2533" s="25" t="str">
        <f>IF(OR(E2533="",E2533="!!!",F2533="NEW"),"",COUNTBLANK(OFFSET(A$1,,,SUMPRODUCT(MAX(ROW(E$2:E2533)*(E2533=E$2:E2533)))))-COUNTBLANK(OFFSET(A$1,,,SUMPRODUCT(MAX(ROW(E$1:E2532)*(E2=E$1:E2532))))))</f>
        <v> </v>
      </c>
      <c r="K2533" s="25" t="str">
        <f>IF(OR(E2533="",E2533="!!!",F2533="NEW"),"",INDEX(J$1:J2532,SUMPRODUCT(MAX(ROW(E$1:E2532)*(E2533=E$1:E2532)))))</f>
        <v> </v>
      </c>
      <c r="L2533" s="26"/>
    </row>
    <row r="2534" spans="1:12">
      <c r="A2534" s="20" t="s">
        <v>1755</v>
      </c>
      <c r="E2534" s="21">
        <f>IF(D2534="?OLD","!!!","")</f>
        <v/>
      </c>
      <c r="F2534" s="22" t="str">
        <f>IF(OR(E2534="",E2534="!!!"),"",IF(NOT(ISNA(VLOOKUP(E2534,E$1:E2533,1,FALSE()))),"OLD",IF(AND(E2534&lt;&gt;"",E2534&lt;&gt;"!!!"),"NEW","")))</f>
        <v> </v>
      </c>
      <c r="G2534" s="23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4" t="str">
        <f>IF(J2534&lt;&gt;1,"",IF(I2534="SBJ","CB","?"))</f>
        <v> </v>
      </c>
      <c r="I2534" s="25" t="str">
        <f>IF(OR(E2534="",E2534="!!!",F2534="NEW"),"",INDEX(B2533:B$2,-1+SUMPRODUCT(MAX(ROW(E2533:E$2)*(E2534=E2533:E$2)))))</f>
        <v> </v>
      </c>
      <c r="J2534" s="25" t="str">
        <f>IF(OR(E2534="",E2534="!!!",F2534="NEW"),"",COUNTBLANK(OFFSET(A$1,,,SUMPRODUCT(MAX(ROW(E$2:E2534)*(E2534=E$2:E2534)))))-COUNTBLANK(OFFSET(A$1,,,SUMPRODUCT(MAX(ROW(E$1:E2533)*(E2=E$1:E2533))))))</f>
        <v> </v>
      </c>
      <c r="K2534" s="25" t="str">
        <f>IF(OR(E2534="",E2534="!!!",F2534="NEW"),"",INDEX(J$1:J2533,SUMPRODUCT(MAX(ROW(E$1:E2533)*(E2534=E$1:E2533)))))</f>
        <v> </v>
      </c>
      <c r="L2534" s="26"/>
    </row>
    <row r="2535" spans="1:12">
      <c r="A2535" s="20" t="s">
        <v>617</v>
      </c>
      <c r="E2535" s="21">
        <f>IF(D2535="?OLD","!!!","")</f>
        <v/>
      </c>
      <c r="F2535" s="22" t="str">
        <f>IF(OR(E2535="",E2535="!!!"),"",IF(NOT(ISNA(VLOOKUP(E2535,E$1:E2534,1,FALSE()))),"OLD",IF(AND(E2535&lt;&gt;"",E2535&lt;&gt;"!!!"),"NEW","")))</f>
        <v> </v>
      </c>
      <c r="G2535" s="23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4" t="str">
        <f>IF(J2535&lt;&gt;1,"",IF(I2535="SBJ","CB","?"))</f>
        <v> </v>
      </c>
      <c r="I2535" s="25" t="str">
        <f>IF(OR(E2535="",E2535="!!!",F2535="NEW"),"",INDEX(B2534:B$2,-1+SUMPRODUCT(MAX(ROW(E2534:E$2)*(E2535=E2534:E$2)))))</f>
        <v> </v>
      </c>
      <c r="J2535" s="25" t="str">
        <f>IF(OR(E2535="",E2535="!!!",F2535="NEW"),"",COUNTBLANK(OFFSET(A$1,,,SUMPRODUCT(MAX(ROW(E$2:E2535)*(E2535=E$2:E2535)))))-COUNTBLANK(OFFSET(A$1,,,SUMPRODUCT(MAX(ROW(E$1:E2534)*(E2=E$1:E2534))))))</f>
        <v> </v>
      </c>
      <c r="K2535" s="25" t="str">
        <f>IF(OR(E2535="",E2535="!!!",F2535="NEW"),"",INDEX(J$1:J2534,SUMPRODUCT(MAX(ROW(E$1:E2534)*(E2535=E$1:E2534)))))</f>
        <v> </v>
      </c>
      <c r="L2535" s="26"/>
    </row>
    <row r="2536" spans="1:12">
      <c r="A2536" s="20" t="s">
        <v>1756</v>
      </c>
      <c r="E2536" s="21">
        <f>IF(D2536="?OLD","!!!","")</f>
        <v/>
      </c>
      <c r="F2536" s="22" t="str">
        <f>IF(OR(E2536="",E2536="!!!"),"",IF(NOT(ISNA(VLOOKUP(E2536,E$1:E2535,1,FALSE()))),"OLD",IF(AND(E2536&lt;&gt;"",E2536&lt;&gt;"!!!"),"NEW","")))</f>
        <v> </v>
      </c>
      <c r="G2536" s="23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4" t="str">
        <f>IF(J2536&lt;&gt;1,"",IF(I2536="SBJ","CB","?"))</f>
        <v> </v>
      </c>
      <c r="I2536" s="25" t="str">
        <f>IF(OR(E2536="",E2536="!!!",F2536="NEW"),"",INDEX(B2535:B$2,-1+SUMPRODUCT(MAX(ROW(E2535:E$2)*(E2536=E2535:E$2)))))</f>
        <v> </v>
      </c>
      <c r="J2536" s="25" t="str">
        <f>IF(OR(E2536="",E2536="!!!",F2536="NEW"),"",COUNTBLANK(OFFSET(A$1,,,SUMPRODUCT(MAX(ROW(E$2:E2536)*(E2536=E$2:E2536)))))-COUNTBLANK(OFFSET(A$1,,,SUMPRODUCT(MAX(ROW(E$1:E2535)*(E2=E$1:E2535))))))</f>
        <v> </v>
      </c>
      <c r="K2536" s="25" t="str">
        <f>IF(OR(E2536="",E2536="!!!",F2536="NEW"),"",INDEX(J$1:J2535,SUMPRODUCT(MAX(ROW(E$1:E2535)*(E2536=E$1:E2535)))))</f>
        <v> </v>
      </c>
      <c r="L2536" s="26"/>
    </row>
    <row r="2537" spans="1:12">
      <c r="A2537" s="20" t="s">
        <v>1757</v>
      </c>
      <c r="E2537" s="21">
        <f>IF(D2537="?OLD","!!!","")</f>
        <v/>
      </c>
      <c r="F2537" s="22" t="str">
        <f>IF(OR(E2537="",E2537="!!!"),"",IF(NOT(ISNA(VLOOKUP(E2537,E$1:E2536,1,FALSE()))),"OLD",IF(AND(E2537&lt;&gt;"",E2537&lt;&gt;"!!!"),"NEW","")))</f>
        <v> </v>
      </c>
      <c r="G2537" s="23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4" t="str">
        <f>IF(J2537&lt;&gt;1,"",IF(I2537="SBJ","CB","?"))</f>
        <v> </v>
      </c>
      <c r="I2537" s="25" t="str">
        <f>IF(OR(E2537="",E2537="!!!",F2537="NEW"),"",INDEX(B2536:B$2,-1+SUMPRODUCT(MAX(ROW(E2536:E$2)*(E2537=E2536:E$2)))))</f>
        <v> </v>
      </c>
      <c r="J2537" s="25" t="str">
        <f>IF(OR(E2537="",E2537="!!!",F2537="NEW"),"",COUNTBLANK(OFFSET(A$1,,,SUMPRODUCT(MAX(ROW(E$2:E2537)*(E2537=E$2:E2537)))))-COUNTBLANK(OFFSET(A$1,,,SUMPRODUCT(MAX(ROW(E$1:E2536)*(E2=E$1:E2536))))))</f>
        <v> </v>
      </c>
      <c r="K2537" s="25" t="str">
        <f>IF(OR(E2537="",E2537="!!!",F2537="NEW"),"",INDEX(J$1:J2536,SUMPRODUCT(MAX(ROW(E$1:E2536)*(E2537=E$1:E2536)))))</f>
        <v> </v>
      </c>
      <c r="L2537" s="26"/>
    </row>
    <row r="2538" spans="1:12">
      <c r="A2538" s="20" t="s">
        <v>617</v>
      </c>
      <c r="E2538" s="21">
        <f>IF(D2538="?OLD","!!!","")</f>
        <v/>
      </c>
      <c r="F2538" s="22" t="str">
        <f>IF(OR(E2538="",E2538="!!!"),"",IF(NOT(ISNA(VLOOKUP(E2538,E$1:E2537,1,FALSE()))),"OLD",IF(AND(E2538&lt;&gt;"",E2538&lt;&gt;"!!!"),"NEW","")))</f>
        <v> </v>
      </c>
      <c r="G2538" s="23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4" t="str">
        <f>IF(J2538&lt;&gt;1,"",IF(I2538="SBJ","CB","?"))</f>
        <v> </v>
      </c>
      <c r="I2538" s="25" t="str">
        <f>IF(OR(E2538="",E2538="!!!",F2538="NEW"),"",INDEX(B2537:B$2,-1+SUMPRODUCT(MAX(ROW(E2537:E$2)*(E2538=E2537:E$2)))))</f>
        <v> </v>
      </c>
      <c r="J2538" s="25" t="str">
        <f>IF(OR(E2538="",E2538="!!!",F2538="NEW"),"",COUNTBLANK(OFFSET(A$1,,,SUMPRODUCT(MAX(ROW(E$2:E2538)*(E2538=E$2:E2538)))))-COUNTBLANK(OFFSET(A$1,,,SUMPRODUCT(MAX(ROW(E$1:E2537)*(E2=E$1:E2537))))))</f>
        <v> </v>
      </c>
      <c r="K2538" s="25" t="str">
        <f>IF(OR(E2538="",E2538="!!!",F2538="NEW"),"",INDEX(J$1:J2537,SUMPRODUCT(MAX(ROW(E$1:E2537)*(E2538=E$1:E2537)))))</f>
        <v> </v>
      </c>
      <c r="L2538" s="26"/>
    </row>
    <row r="2539" spans="1:12">
      <c r="A2539" s="20" t="s">
        <v>629</v>
      </c>
      <c r="E2539" s="21">
        <f>IF(D2539="?OLD","!!!","")</f>
        <v/>
      </c>
      <c r="F2539" s="22" t="str">
        <f>IF(OR(E2539="",E2539="!!!"),"",IF(NOT(ISNA(VLOOKUP(E2539,E$1:E2538,1,FALSE()))),"OLD",IF(AND(E2539&lt;&gt;"",E2539&lt;&gt;"!!!"),"NEW","")))</f>
        <v> </v>
      </c>
      <c r="G2539" s="23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4" t="str">
        <f>IF(J2539&lt;&gt;1,"",IF(I2539="SBJ","CB","?"))</f>
        <v> </v>
      </c>
      <c r="I2539" s="25" t="str">
        <f>IF(OR(E2539="",E2539="!!!",F2539="NEW"),"",INDEX(B2538:B$2,-1+SUMPRODUCT(MAX(ROW(E2538:E$2)*(E2539=E2538:E$2)))))</f>
        <v> </v>
      </c>
      <c r="J2539" s="25" t="str">
        <f>IF(OR(E2539="",E2539="!!!",F2539="NEW"),"",COUNTBLANK(OFFSET(A$1,,,SUMPRODUCT(MAX(ROW(E$2:E2539)*(E2539=E$2:E2539)))))-COUNTBLANK(OFFSET(A$1,,,SUMPRODUCT(MAX(ROW(E$1:E2538)*(E2=E$1:E2538))))))</f>
        <v> </v>
      </c>
      <c r="K2539" s="25" t="str">
        <f>IF(OR(E2539="",E2539="!!!",F2539="NEW"),"",INDEX(J$1:J2538,SUMPRODUCT(MAX(ROW(E$1:E2538)*(E2539=E$1:E2538)))))</f>
        <v> </v>
      </c>
      <c r="L2539" s="26"/>
    </row>
    <row r="2540" spans="1:12">
      <c r="A2540" s="20" t="s">
        <v>738</v>
      </c>
      <c r="E2540" s="21">
        <f>IF(D2540="?OLD","!!!","")</f>
        <v/>
      </c>
      <c r="F2540" s="22" t="str">
        <f>IF(OR(E2540="",E2540="!!!"),"",IF(NOT(ISNA(VLOOKUP(E2540,E$1:E2539,1,FALSE()))),"OLD",IF(AND(E2540&lt;&gt;"",E2540&lt;&gt;"!!!"),"NEW","")))</f>
        <v> </v>
      </c>
      <c r="G2540" s="23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4" t="str">
        <f>IF(J2540&lt;&gt;1,"",IF(I2540="SBJ","CB","?"))</f>
        <v> </v>
      </c>
      <c r="I2540" s="25" t="str">
        <f>IF(OR(E2540="",E2540="!!!",F2540="NEW"),"",INDEX(B2539:B$2,-1+SUMPRODUCT(MAX(ROW(E2539:E$2)*(E2540=E2539:E$2)))))</f>
        <v> </v>
      </c>
      <c r="J2540" s="25" t="str">
        <f>IF(OR(E2540="",E2540="!!!",F2540="NEW"),"",COUNTBLANK(OFFSET(A$1,,,SUMPRODUCT(MAX(ROW(E$2:E2540)*(E2540=E$2:E2540)))))-COUNTBLANK(OFFSET(A$1,,,SUMPRODUCT(MAX(ROW(E$1:E2539)*(E2=E$1:E2539))))))</f>
        <v> </v>
      </c>
      <c r="K2540" s="25" t="str">
        <f>IF(OR(E2540="",E2540="!!!",F2540="NEW"),"",INDEX(J$1:J2539,SUMPRODUCT(MAX(ROW(E$1:E2539)*(E2540=E$1:E2539)))))</f>
        <v> </v>
      </c>
      <c r="L2540" s="26"/>
    </row>
    <row r="2541" spans="1:12">
      <c r="A2541" s="20" t="s">
        <v>1758</v>
      </c>
      <c r="E2541" s="21">
        <f>IF(D2541="?OLD","!!!","")</f>
        <v/>
      </c>
      <c r="F2541" s="22" t="str">
        <f>IF(OR(E2541="",E2541="!!!"),"",IF(NOT(ISNA(VLOOKUP(E2541,E$1:E2540,1,FALSE()))),"OLD",IF(AND(E2541&lt;&gt;"",E2541&lt;&gt;"!!!"),"NEW","")))</f>
        <v> </v>
      </c>
      <c r="G2541" s="23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4" t="str">
        <f>IF(J2541&lt;&gt;1,"",IF(I2541="SBJ","CB","?"))</f>
        <v> </v>
      </c>
      <c r="I2541" s="25" t="str">
        <f>IF(OR(E2541="",E2541="!!!",F2541="NEW"),"",INDEX(B2540:B$2,-1+SUMPRODUCT(MAX(ROW(E2540:E$2)*(E2541=E2540:E$2)))))</f>
        <v> </v>
      </c>
      <c r="J2541" s="25" t="str">
        <f>IF(OR(E2541="",E2541="!!!",F2541="NEW"),"",COUNTBLANK(OFFSET(A$1,,,SUMPRODUCT(MAX(ROW(E$2:E2541)*(E2541=E$2:E2541)))))-COUNTBLANK(OFFSET(A$1,,,SUMPRODUCT(MAX(ROW(E$1:E2540)*(E2=E$1:E2540))))))</f>
        <v> </v>
      </c>
      <c r="K2541" s="25" t="str">
        <f>IF(OR(E2541="",E2541="!!!",F2541="NEW"),"",INDEX(J$1:J2540,SUMPRODUCT(MAX(ROW(E$1:E2540)*(E2541=E$1:E2540)))))</f>
        <v> </v>
      </c>
      <c r="L2541" s="26"/>
    </row>
    <row r="2542" spans="1:12">
      <c r="A2542" s="20" t="s">
        <v>1759</v>
      </c>
      <c r="E2542" s="21">
        <f>IF(D2542="?OLD","!!!","")</f>
        <v/>
      </c>
      <c r="F2542" s="22" t="str">
        <f>IF(OR(E2542="",E2542="!!!"),"",IF(NOT(ISNA(VLOOKUP(E2542,E$1:E2541,1,FALSE()))),"OLD",IF(AND(E2542&lt;&gt;"",E2542&lt;&gt;"!!!"),"NEW","")))</f>
        <v> </v>
      </c>
      <c r="G2542" s="23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4" t="str">
        <f>IF(J2542&lt;&gt;1,"",IF(I2542="SBJ","CB","?"))</f>
        <v> </v>
      </c>
      <c r="I2542" s="25" t="str">
        <f>IF(OR(E2542="",E2542="!!!",F2542="NEW"),"",INDEX(B2541:B$2,-1+SUMPRODUCT(MAX(ROW(E2541:E$2)*(E2542=E2541:E$2)))))</f>
        <v> </v>
      </c>
      <c r="J2542" s="25" t="str">
        <f>IF(OR(E2542="",E2542="!!!",F2542="NEW"),"",COUNTBLANK(OFFSET(A$1,,,SUMPRODUCT(MAX(ROW(E$2:E2542)*(E2542=E$2:E2542)))))-COUNTBLANK(OFFSET(A$1,,,SUMPRODUCT(MAX(ROW(E$1:E2541)*(E2=E$1:E2541))))))</f>
        <v> </v>
      </c>
      <c r="K2542" s="25" t="str">
        <f>IF(OR(E2542="",E2542="!!!",F2542="NEW"),"",INDEX(J$1:J2541,SUMPRODUCT(MAX(ROW(E$1:E2541)*(E2542=E$1:E2541)))))</f>
        <v> </v>
      </c>
      <c r="L2542" s="26"/>
    </row>
    <row r="2543" spans="1:12">
      <c r="A2543" s="20" t="s">
        <v>617</v>
      </c>
      <c r="E2543" s="21">
        <f>IF(D2543="?OLD","!!!","")</f>
        <v/>
      </c>
      <c r="F2543" s="22" t="str">
        <f>IF(OR(E2543="",E2543="!!!"),"",IF(NOT(ISNA(VLOOKUP(E2543,E$1:E2542,1,FALSE()))),"OLD",IF(AND(E2543&lt;&gt;"",E2543&lt;&gt;"!!!"),"NEW","")))</f>
        <v> </v>
      </c>
      <c r="G2543" s="23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4" t="str">
        <f>IF(J2543&lt;&gt;1,"",IF(I2543="SBJ","CB","?"))</f>
        <v> </v>
      </c>
      <c r="I2543" s="25" t="str">
        <f>IF(OR(E2543="",E2543="!!!",F2543="NEW"),"",INDEX(B2542:B$2,-1+SUMPRODUCT(MAX(ROW(E2542:E$2)*(E2543=E2542:E$2)))))</f>
        <v> </v>
      </c>
      <c r="J2543" s="25" t="str">
        <f>IF(OR(E2543="",E2543="!!!",F2543="NEW"),"",COUNTBLANK(OFFSET(A$1,,,SUMPRODUCT(MAX(ROW(E$2:E2543)*(E2543=E$2:E2543)))))-COUNTBLANK(OFFSET(A$1,,,SUMPRODUCT(MAX(ROW(E$1:E2542)*(E2=E$1:E2542))))))</f>
        <v> </v>
      </c>
      <c r="K2543" s="25" t="str">
        <f>IF(OR(E2543="",E2543="!!!",F2543="NEW"),"",INDEX(J$1:J2542,SUMPRODUCT(MAX(ROW(E$1:E2542)*(E2543=E$1:E2542)))))</f>
        <v> </v>
      </c>
      <c r="L2543" s="26"/>
    </row>
    <row r="2544" spans="1:12">
      <c r="A2544" s="20" t="s">
        <v>629</v>
      </c>
      <c r="E2544" s="21">
        <f>IF(D2544="?OLD","!!!","")</f>
        <v/>
      </c>
      <c r="F2544" s="22" t="str">
        <f>IF(OR(E2544="",E2544="!!!"),"",IF(NOT(ISNA(VLOOKUP(E2544,E$1:E2543,1,FALSE()))),"OLD",IF(AND(E2544&lt;&gt;"",E2544&lt;&gt;"!!!"),"NEW","")))</f>
        <v> </v>
      </c>
      <c r="G2544" s="23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4" t="str">
        <f>IF(J2544&lt;&gt;1,"",IF(I2544="SBJ","CB","?"))</f>
        <v> </v>
      </c>
      <c r="I2544" s="25" t="str">
        <f>IF(OR(E2544="",E2544="!!!",F2544="NEW"),"",INDEX(B2543:B$2,-1+SUMPRODUCT(MAX(ROW(E2543:E$2)*(E2544=E2543:E$2)))))</f>
        <v> </v>
      </c>
      <c r="J2544" s="25" t="str">
        <f>IF(OR(E2544="",E2544="!!!",F2544="NEW"),"",COUNTBLANK(OFFSET(A$1,,,SUMPRODUCT(MAX(ROW(E$2:E2544)*(E2544=E$2:E2544)))))-COUNTBLANK(OFFSET(A$1,,,SUMPRODUCT(MAX(ROW(E$1:E2543)*(E2=E$1:E2543))))))</f>
        <v> </v>
      </c>
      <c r="K2544" s="25" t="str">
        <f>IF(OR(E2544="",E2544="!!!",F2544="NEW"),"",INDEX(J$1:J2543,SUMPRODUCT(MAX(ROW(E$1:E2543)*(E2544=E$1:E2543)))))</f>
        <v> </v>
      </c>
      <c r="L2544" s="26"/>
    </row>
    <row r="2545" spans="1:12">
      <c r="A2545" s="20" t="s">
        <v>1760</v>
      </c>
      <c r="E2545" s="21">
        <f>IF(D2545="?OLD","!!!","")</f>
        <v/>
      </c>
      <c r="F2545" s="22" t="str">
        <f>IF(OR(E2545="",E2545="!!!"),"",IF(NOT(ISNA(VLOOKUP(E2545,E$1:E2544,1,FALSE()))),"OLD",IF(AND(E2545&lt;&gt;"",E2545&lt;&gt;"!!!"),"NEW","")))</f>
        <v> </v>
      </c>
      <c r="G2545" s="23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4" t="str">
        <f>IF(J2545&lt;&gt;1,"",IF(I2545="SBJ","CB","?"))</f>
        <v> </v>
      </c>
      <c r="I2545" s="25" t="str">
        <f>IF(OR(E2545="",E2545="!!!",F2545="NEW"),"",INDEX(B2544:B$2,-1+SUMPRODUCT(MAX(ROW(E2544:E$2)*(E2545=E2544:E$2)))))</f>
        <v> </v>
      </c>
      <c r="J2545" s="25" t="str">
        <f>IF(OR(E2545="",E2545="!!!",F2545="NEW"),"",COUNTBLANK(OFFSET(A$1,,,SUMPRODUCT(MAX(ROW(E$2:E2545)*(E2545=E$2:E2545)))))-COUNTBLANK(OFFSET(A$1,,,SUMPRODUCT(MAX(ROW(E$1:E2544)*(E2=E$1:E2544))))))</f>
        <v> </v>
      </c>
      <c r="K2545" s="25" t="str">
        <f>IF(OR(E2545="",E2545="!!!",F2545="NEW"),"",INDEX(J$1:J2544,SUMPRODUCT(MAX(ROW(E$1:E2544)*(E2545=E$1:E2544)))))</f>
        <v> </v>
      </c>
      <c r="L2545" s="26"/>
    </row>
    <row r="2546" spans="1:12">
      <c r="A2546" s="20" t="s">
        <v>1119</v>
      </c>
      <c r="E2546" s="21">
        <f>IF(D2546="?OLD","!!!","")</f>
        <v/>
      </c>
      <c r="F2546" s="22" t="str">
        <f>IF(OR(E2546="",E2546="!!!"),"",IF(NOT(ISNA(VLOOKUP(E2546,E$1:E2545,1,FALSE()))),"OLD",IF(AND(E2546&lt;&gt;"",E2546&lt;&gt;"!!!"),"NEW","")))</f>
        <v> </v>
      </c>
      <c r="G2546" s="23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4" t="str">
        <f>IF(J2546&lt;&gt;1,"",IF(I2546="SBJ","CB","?"))</f>
        <v> </v>
      </c>
      <c r="I2546" s="25" t="str">
        <f>IF(OR(E2546="",E2546="!!!",F2546="NEW"),"",INDEX(B2545:B$2,-1+SUMPRODUCT(MAX(ROW(E2545:E$2)*(E2546=E2545:E$2)))))</f>
        <v> </v>
      </c>
      <c r="J2546" s="25" t="str">
        <f>IF(OR(E2546="",E2546="!!!",F2546="NEW"),"",COUNTBLANK(OFFSET(A$1,,,SUMPRODUCT(MAX(ROW(E$2:E2546)*(E2546=E$2:E2546)))))-COUNTBLANK(OFFSET(A$1,,,SUMPRODUCT(MAX(ROW(E$1:E2545)*(E2=E$1:E2545))))))</f>
        <v> </v>
      </c>
      <c r="K2546" s="25" t="str">
        <f>IF(OR(E2546="",E2546="!!!",F2546="NEW"),"",INDEX(J$1:J2545,SUMPRODUCT(MAX(ROW(E$1:E2545)*(E2546=E$1:E2545)))))</f>
        <v> </v>
      </c>
      <c r="L2546" s="26"/>
    </row>
    <row r="2547" spans="1:12">
      <c r="A2547" s="20" t="s">
        <v>632</v>
      </c>
      <c r="E2547" s="21">
        <f>IF(D2547="?OLD","!!!","")</f>
        <v/>
      </c>
      <c r="F2547" s="22" t="str">
        <f>IF(OR(E2547="",E2547="!!!"),"",IF(NOT(ISNA(VLOOKUP(E2547,E$1:E2546,1,FALSE()))),"OLD",IF(AND(E2547&lt;&gt;"",E2547&lt;&gt;"!!!"),"NEW","")))</f>
        <v> </v>
      </c>
      <c r="G2547" s="23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4" t="str">
        <f>IF(J2547&lt;&gt;1,"",IF(I2547="SBJ","CB","?"))</f>
        <v> </v>
      </c>
      <c r="I2547" s="25" t="str">
        <f>IF(OR(E2547="",E2547="!!!",F2547="NEW"),"",INDEX(B2546:B$2,-1+SUMPRODUCT(MAX(ROW(E2546:E$2)*(E2547=E2546:E$2)))))</f>
        <v> </v>
      </c>
      <c r="J2547" s="25" t="str">
        <f>IF(OR(E2547="",E2547="!!!",F2547="NEW"),"",COUNTBLANK(OFFSET(A$1,,,SUMPRODUCT(MAX(ROW(E$2:E2547)*(E2547=E$2:E2547)))))-COUNTBLANK(OFFSET(A$1,,,SUMPRODUCT(MAX(ROW(E$1:E2546)*(E2=E$1:E2546))))))</f>
        <v> </v>
      </c>
      <c r="K2547" s="25" t="str">
        <f>IF(OR(E2547="",E2547="!!!",F2547="NEW"),"",INDEX(J$1:J2546,SUMPRODUCT(MAX(ROW(E$1:E2546)*(E2547=E$1:E2546)))))</f>
        <v> </v>
      </c>
      <c r="L2547" s="26"/>
    </row>
    <row r="2548" spans="1:12">
      <c r="A2548" s="20" t="s">
        <v>629</v>
      </c>
      <c r="E2548" s="21">
        <f>IF(D2548="?OLD","!!!","")</f>
        <v/>
      </c>
      <c r="F2548" s="22" t="str">
        <f>IF(OR(E2548="",E2548="!!!"),"",IF(NOT(ISNA(VLOOKUP(E2548,E$1:E2547,1,FALSE()))),"OLD",IF(AND(E2548&lt;&gt;"",E2548&lt;&gt;"!!!"),"NEW","")))</f>
        <v> </v>
      </c>
      <c r="G2548" s="23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4" t="str">
        <f>IF(J2548&lt;&gt;1,"",IF(I2548="SBJ","CB","?"))</f>
        <v> </v>
      </c>
      <c r="I2548" s="25" t="str">
        <f>IF(OR(E2548="",E2548="!!!",F2548="NEW"),"",INDEX(B2547:B$2,-1+SUMPRODUCT(MAX(ROW(E2547:E$2)*(E2548=E2547:E$2)))))</f>
        <v> </v>
      </c>
      <c r="J2548" s="25" t="str">
        <f>IF(OR(E2548="",E2548="!!!",F2548="NEW"),"",COUNTBLANK(OFFSET(A$1,,,SUMPRODUCT(MAX(ROW(E$2:E2548)*(E2548=E$2:E2548)))))-COUNTBLANK(OFFSET(A$1,,,SUMPRODUCT(MAX(ROW(E$1:E2547)*(E2=E$1:E2547))))))</f>
        <v> </v>
      </c>
      <c r="K2548" s="25" t="str">
        <f>IF(OR(E2548="",E2548="!!!",F2548="NEW"),"",INDEX(J$1:J2547,SUMPRODUCT(MAX(ROW(E$1:E2547)*(E2548=E$1:E2547)))))</f>
        <v> </v>
      </c>
      <c r="L2548" s="26"/>
    </row>
    <row r="2549" spans="1:12">
      <c r="A2549" s="20" t="s">
        <v>1761</v>
      </c>
      <c r="E2549" s="21">
        <f>IF(D2549="?OLD","!!!","")</f>
        <v/>
      </c>
      <c r="F2549" s="22" t="str">
        <f>IF(OR(E2549="",E2549="!!!"),"",IF(NOT(ISNA(VLOOKUP(E2549,E$1:E2548,1,FALSE()))),"OLD",IF(AND(E2549&lt;&gt;"",E2549&lt;&gt;"!!!"),"NEW","")))</f>
        <v> </v>
      </c>
      <c r="G2549" s="23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4" t="str">
        <f>IF(J2549&lt;&gt;1,"",IF(I2549="SBJ","CB","?"))</f>
        <v> </v>
      </c>
      <c r="I2549" s="25" t="str">
        <f>IF(OR(E2549="",E2549="!!!",F2549="NEW"),"",INDEX(B2548:B$2,-1+SUMPRODUCT(MAX(ROW(E2548:E$2)*(E2549=E2548:E$2)))))</f>
        <v> </v>
      </c>
      <c r="J2549" s="25" t="str">
        <f>IF(OR(E2549="",E2549="!!!",F2549="NEW"),"",COUNTBLANK(OFFSET(A$1,,,SUMPRODUCT(MAX(ROW(E$2:E2549)*(E2549=E$2:E2549)))))-COUNTBLANK(OFFSET(A$1,,,SUMPRODUCT(MAX(ROW(E$1:E2548)*(E2=E$1:E2548))))))</f>
        <v> </v>
      </c>
      <c r="K2549" s="25" t="str">
        <f>IF(OR(E2549="",E2549="!!!",F2549="NEW"),"",INDEX(J$1:J2548,SUMPRODUCT(MAX(ROW(E$1:E2548)*(E2549=E$1:E2548)))))</f>
        <v> </v>
      </c>
      <c r="L2549" s="26"/>
    </row>
    <row r="2550" spans="1:12">
      <c r="A2550" s="20" t="s">
        <v>623</v>
      </c>
      <c r="E2550" s="21">
        <f>IF(D2550="?OLD","!!!","")</f>
        <v/>
      </c>
      <c r="F2550" s="22" t="str">
        <f>IF(OR(E2550="",E2550="!!!"),"",IF(NOT(ISNA(VLOOKUP(E2550,E$1:E2549,1,FALSE()))),"OLD",IF(AND(E2550&lt;&gt;"",E2550&lt;&gt;"!!!"),"NEW","")))</f>
        <v> </v>
      </c>
      <c r="G2550" s="23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4" t="str">
        <f>IF(J2550&lt;&gt;1,"",IF(I2550="SBJ","CB","?"))</f>
        <v> </v>
      </c>
      <c r="I2550" s="25" t="str">
        <f>IF(OR(E2550="",E2550="!!!",F2550="NEW"),"",INDEX(B2549:B$2,-1+SUMPRODUCT(MAX(ROW(E2549:E$2)*(E2550=E2549:E$2)))))</f>
        <v> </v>
      </c>
      <c r="J2550" s="25" t="str">
        <f>IF(OR(E2550="",E2550="!!!",F2550="NEW"),"",COUNTBLANK(OFFSET(A$1,,,SUMPRODUCT(MAX(ROW(E$2:E2550)*(E2550=E$2:E2550)))))-COUNTBLANK(OFFSET(A$1,,,SUMPRODUCT(MAX(ROW(E$1:E2549)*(E2=E$1:E2549))))))</f>
        <v> </v>
      </c>
      <c r="K2550" s="25" t="str">
        <f>IF(OR(E2550="",E2550="!!!",F2550="NEW"),"",INDEX(J$1:J2549,SUMPRODUCT(MAX(ROW(E$1:E2549)*(E2550=E$1:E2549)))))</f>
        <v> </v>
      </c>
      <c r="L2550" s="26"/>
    </row>
    <row r="2551" spans="1:12">
      <c r="A2551" s="20"/>
    </row>
    <row r="2552" spans="1:12">
      <c r="A2552" s="20" t="s">
        <v>1762</v>
      </c>
    </row>
    <row r="2553" spans="1:12">
      <c r="A2553" s="20" t="s">
        <v>687</v>
      </c>
      <c r="B2553" s="27" t="s">
        <v>613</v>
      </c>
      <c r="C2553" s="27" t="s">
        <v>626</v>
      </c>
      <c r="D2553" s="27" t="s">
        <v>627</v>
      </c>
      <c r="E2553" s="21">
        <f>IF(D2553="?OLD","!!!","")</f>
        <v/>
      </c>
      <c r="F2553" s="22" t="str">
        <f>IF(OR(E2553="",E2553="!!!"),"",IF(NOT(ISNA(VLOOKUP(E2553,E$1:E2552,1,FALSE()))),"OLD",IF(AND(E2553&lt;&gt;"",E2553&lt;&gt;"!!!"),"NEW","")))</f>
        <v> </v>
      </c>
      <c r="G2553" s="23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4" t="str">
        <f>IF(J2553&lt;&gt;1,"",IF(I2553="SBJ","CB","?"))</f>
        <v> </v>
      </c>
      <c r="I2553" s="25" t="str">
        <f>IF(OR(E2553="",E2553="!!!",F2553="NEW"),"",INDEX(B2552:B$2,-1+SUMPRODUCT(MAX(ROW(E2552:E$2)*(E2553=E2552:E$2)))))</f>
        <v> </v>
      </c>
      <c r="J2553" s="25" t="str">
        <f>IF(OR(E2553="",E2553="!!!",F2553="NEW"),"",COUNTBLANK(OFFSET(A$1,,,SUMPRODUCT(MAX(ROW(E$2:E2553)*(E2553=E$2:E2553)))))-COUNTBLANK(OFFSET(A$1,,,SUMPRODUCT(MAX(ROW(E$1:E2552)*(E2=E$1:E2552))))))</f>
        <v> </v>
      </c>
      <c r="K2553" s="25" t="str">
        <f>IF(OR(E2553="",E2553="!!!",F2553="NEW"),"",INDEX(J$1:J2552,SUMPRODUCT(MAX(ROW(E$1:E2552)*(E2553=E$1:E2552)))))</f>
        <v> </v>
      </c>
      <c r="L2553" s="26"/>
    </row>
    <row r="2554" spans="1:12">
      <c r="A2554" s="20" t="s">
        <v>1763</v>
      </c>
      <c r="E2554" s="21">
        <f>IF(D2554="?OLD","!!!","")</f>
        <v/>
      </c>
      <c r="F2554" s="22" t="str">
        <f>IF(OR(E2554="",E2554="!!!"),"",IF(NOT(ISNA(VLOOKUP(E2554,E$1:E2553,1,FALSE()))),"OLD",IF(AND(E2554&lt;&gt;"",E2554&lt;&gt;"!!!"),"NEW","")))</f>
        <v> </v>
      </c>
      <c r="G2554" s="23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4" t="str">
        <f>IF(J2554&lt;&gt;1,"",IF(I2554="SBJ","CB","?"))</f>
        <v> </v>
      </c>
      <c r="I2554" s="25" t="str">
        <f>IF(OR(E2554="",E2554="!!!",F2554="NEW"),"",INDEX(B2553:B$2,-1+SUMPRODUCT(MAX(ROW(E2553:E$2)*(E2554=E2553:E$2)))))</f>
        <v> </v>
      </c>
      <c r="J2554" s="25" t="str">
        <f>IF(OR(E2554="",E2554="!!!",F2554="NEW"),"",COUNTBLANK(OFFSET(A$1,,,SUMPRODUCT(MAX(ROW(E$2:E2554)*(E2554=E$2:E2554)))))-COUNTBLANK(OFFSET(A$1,,,SUMPRODUCT(MAX(ROW(E$1:E2553)*(E2=E$1:E2553))))))</f>
        <v> </v>
      </c>
      <c r="K2554" s="25" t="str">
        <f>IF(OR(E2554="",E2554="!!!",F2554="NEW"),"",INDEX(J$1:J2553,SUMPRODUCT(MAX(ROW(E$1:E2553)*(E2554=E$1:E2553)))))</f>
        <v> </v>
      </c>
      <c r="L2554" s="26"/>
    </row>
    <row r="2555" spans="1:12">
      <c r="A2555" s="20" t="s">
        <v>1077</v>
      </c>
      <c r="E2555" s="21">
        <f>IF(D2555="?OLD","!!!","")</f>
        <v/>
      </c>
      <c r="F2555" s="22" t="str">
        <f>IF(OR(E2555="",E2555="!!!"),"",IF(NOT(ISNA(VLOOKUP(E2555,E$1:E2554,1,FALSE()))),"OLD",IF(AND(E2555&lt;&gt;"",E2555&lt;&gt;"!!!"),"NEW","")))</f>
        <v> </v>
      </c>
      <c r="G2555" s="23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4" t="str">
        <f>IF(J2555&lt;&gt;1,"",IF(I2555="SBJ","CB","?"))</f>
        <v> </v>
      </c>
      <c r="I2555" s="25" t="str">
        <f>IF(OR(E2555="",E2555="!!!",F2555="NEW"),"",INDEX(B2554:B$2,-1+SUMPRODUCT(MAX(ROW(E2554:E$2)*(E2555=E2554:E$2)))))</f>
        <v> </v>
      </c>
      <c r="J2555" s="25" t="str">
        <f>IF(OR(E2555="",E2555="!!!",F2555="NEW"),"",COUNTBLANK(OFFSET(A$1,,,SUMPRODUCT(MAX(ROW(E$2:E2555)*(E2555=E$2:E2555)))))-COUNTBLANK(OFFSET(A$1,,,SUMPRODUCT(MAX(ROW(E$1:E2554)*(E2=E$1:E2554))))))</f>
        <v> </v>
      </c>
      <c r="K2555" s="25" t="str">
        <f>IF(OR(E2555="",E2555="!!!",F2555="NEW"),"",INDEX(J$1:J2554,SUMPRODUCT(MAX(ROW(E$1:E2554)*(E2555=E$1:E2554)))))</f>
        <v> </v>
      </c>
      <c r="L2555" s="26"/>
    </row>
    <row r="2556" spans="1:12">
      <c r="A2556" s="20" t="s">
        <v>1764</v>
      </c>
      <c r="B2556" s="27" t="s">
        <v>647</v>
      </c>
      <c r="E2556" s="21">
        <f>IF(D2556="?OLD","!!!","")</f>
        <v/>
      </c>
      <c r="F2556" s="22" t="str">
        <f>IF(OR(E2556="",E2556="!!!"),"",IF(NOT(ISNA(VLOOKUP(E2556,E$1:E2555,1,FALSE()))),"OLD",IF(AND(E2556&lt;&gt;"",E2556&lt;&gt;"!!!"),"NEW","")))</f>
        <v> </v>
      </c>
      <c r="G2556" s="23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4" t="str">
        <f>IF(J2556&lt;&gt;1,"",IF(I2556="SBJ","CB","?"))</f>
        <v> </v>
      </c>
      <c r="I2556" s="25" t="str">
        <f>IF(OR(E2556="",E2556="!!!",F2556="NEW"),"",INDEX(B2555:B$2,-1+SUMPRODUCT(MAX(ROW(E2555:E$2)*(E2556=E2555:E$2)))))</f>
        <v> </v>
      </c>
      <c r="J2556" s="25" t="str">
        <f>IF(OR(E2556="",E2556="!!!",F2556="NEW"),"",COUNTBLANK(OFFSET(A$1,,,SUMPRODUCT(MAX(ROW(E$2:E2556)*(E2556=E$2:E2556)))))-COUNTBLANK(OFFSET(A$1,,,SUMPRODUCT(MAX(ROW(E$1:E2555)*(E2=E$1:E2555))))))</f>
        <v> </v>
      </c>
      <c r="K2556" s="25" t="str">
        <f>IF(OR(E2556="",E2556="!!!",F2556="NEW"),"",INDEX(J$1:J2555,SUMPRODUCT(MAX(ROW(E$1:E2555)*(E2556=E$1:E2555)))))</f>
        <v> </v>
      </c>
      <c r="L2556" s="26"/>
    </row>
    <row r="2557" spans="1:12">
      <c r="A2557" s="20" t="s">
        <v>852</v>
      </c>
      <c r="E2557" s="21">
        <f>IF(D2557="?OLD","!!!","")</f>
        <v/>
      </c>
      <c r="F2557" s="22" t="str">
        <f>IF(OR(E2557="",E2557="!!!"),"",IF(NOT(ISNA(VLOOKUP(E2557,E$1:E2556,1,FALSE()))),"OLD",IF(AND(E2557&lt;&gt;"",E2557&lt;&gt;"!!!"),"NEW","")))</f>
        <v> </v>
      </c>
      <c r="G2557" s="23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4" t="str">
        <f>IF(J2557&lt;&gt;1,"",IF(I2557="SBJ","CB","?"))</f>
        <v> </v>
      </c>
      <c r="I2557" s="25" t="str">
        <f>IF(OR(E2557="",E2557="!!!",F2557="NEW"),"",INDEX(B2556:B$2,-1+SUMPRODUCT(MAX(ROW(E2556:E$2)*(E2557=E2556:E$2)))))</f>
        <v> </v>
      </c>
      <c r="J2557" s="25" t="str">
        <f>IF(OR(E2557="",E2557="!!!",F2557="NEW"),"",COUNTBLANK(OFFSET(A$1,,,SUMPRODUCT(MAX(ROW(E$2:E2557)*(E2557=E$2:E2557)))))-COUNTBLANK(OFFSET(A$1,,,SUMPRODUCT(MAX(ROW(E$1:E2556)*(E2=E$1:E2556))))))</f>
        <v> </v>
      </c>
      <c r="K2557" s="25" t="str">
        <f>IF(OR(E2557="",E2557="!!!",F2557="NEW"),"",INDEX(J$1:J2556,SUMPRODUCT(MAX(ROW(E$1:E2556)*(E2557=E$1:E2556)))))</f>
        <v> </v>
      </c>
      <c r="L2557" s="26"/>
    </row>
    <row r="2558" spans="1:12">
      <c r="A2558" s="20" t="s">
        <v>713</v>
      </c>
      <c r="E2558" s="21">
        <f>IF(D2558="?OLD","!!!","")</f>
        <v/>
      </c>
      <c r="F2558" s="22" t="str">
        <f>IF(OR(E2558="",E2558="!!!"),"",IF(NOT(ISNA(VLOOKUP(E2558,E$1:E2557,1,FALSE()))),"OLD",IF(AND(E2558&lt;&gt;"",E2558&lt;&gt;"!!!"),"NEW","")))</f>
        <v> </v>
      </c>
      <c r="G2558" s="23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4" t="str">
        <f>IF(J2558&lt;&gt;1,"",IF(I2558="SBJ","CB","?"))</f>
        <v> </v>
      </c>
      <c r="I2558" s="25" t="str">
        <f>IF(OR(E2558="",E2558="!!!",F2558="NEW"),"",INDEX(B2557:B$2,-1+SUMPRODUCT(MAX(ROW(E2557:E$2)*(E2558=E2557:E$2)))))</f>
        <v> </v>
      </c>
      <c r="J2558" s="25" t="str">
        <f>IF(OR(E2558="",E2558="!!!",F2558="NEW"),"",COUNTBLANK(OFFSET(A$1,,,SUMPRODUCT(MAX(ROW(E$2:E2558)*(E2558=E$2:E2558)))))-COUNTBLANK(OFFSET(A$1,,,SUMPRODUCT(MAX(ROW(E$1:E2557)*(E2=E$1:E2557))))))</f>
        <v> </v>
      </c>
      <c r="K2558" s="25" t="str">
        <f>IF(OR(E2558="",E2558="!!!",F2558="NEW"),"",INDEX(J$1:J2557,SUMPRODUCT(MAX(ROW(E$1:E2557)*(E2558=E$1:E2557)))))</f>
        <v> </v>
      </c>
      <c r="L2558" s="26"/>
    </row>
    <row r="2559" spans="1:12">
      <c r="A2559" s="20" t="s">
        <v>617</v>
      </c>
      <c r="E2559" s="21">
        <f>IF(D2559="?OLD","!!!","")</f>
        <v/>
      </c>
      <c r="F2559" s="22" t="str">
        <f>IF(OR(E2559="",E2559="!!!"),"",IF(NOT(ISNA(VLOOKUP(E2559,E$1:E2558,1,FALSE()))),"OLD",IF(AND(E2559&lt;&gt;"",E2559&lt;&gt;"!!!"),"NEW","")))</f>
        <v> </v>
      </c>
      <c r="G2559" s="23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4" t="str">
        <f>IF(J2559&lt;&gt;1,"",IF(I2559="SBJ","CB","?"))</f>
        <v> </v>
      </c>
      <c r="I2559" s="25" t="str">
        <f>IF(OR(E2559="",E2559="!!!",F2559="NEW"),"",INDEX(B2558:B$2,-1+SUMPRODUCT(MAX(ROW(E2558:E$2)*(E2559=E2558:E$2)))))</f>
        <v> </v>
      </c>
      <c r="J2559" s="25" t="str">
        <f>IF(OR(E2559="",E2559="!!!",F2559="NEW"),"",COUNTBLANK(OFFSET(A$1,,,SUMPRODUCT(MAX(ROW(E$2:E2559)*(E2559=E$2:E2559)))))-COUNTBLANK(OFFSET(A$1,,,SUMPRODUCT(MAX(ROW(E$1:E2558)*(E2=E$1:E2558))))))</f>
        <v> </v>
      </c>
      <c r="K2559" s="25" t="str">
        <f>IF(OR(E2559="",E2559="!!!",F2559="NEW"),"",INDEX(J$1:J2558,SUMPRODUCT(MAX(ROW(E$1:E2558)*(E2559=E$1:E2558)))))</f>
        <v> </v>
      </c>
      <c r="L2559" s="26"/>
    </row>
    <row r="2560" spans="1:12">
      <c r="A2560" s="20" t="s">
        <v>632</v>
      </c>
      <c r="E2560" s="21">
        <f>IF(D2560="?OLD","!!!","")</f>
        <v/>
      </c>
      <c r="F2560" s="22" t="str">
        <f>IF(OR(E2560="",E2560="!!!"),"",IF(NOT(ISNA(VLOOKUP(E2560,E$1:E2559,1,FALSE()))),"OLD",IF(AND(E2560&lt;&gt;"",E2560&lt;&gt;"!!!"),"NEW","")))</f>
        <v> </v>
      </c>
      <c r="G2560" s="23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4" t="str">
        <f>IF(J2560&lt;&gt;1,"",IF(I2560="SBJ","CB","?"))</f>
        <v> </v>
      </c>
      <c r="I2560" s="25" t="str">
        <f>IF(OR(E2560="",E2560="!!!",F2560="NEW"),"",INDEX(B2559:B$2,-1+SUMPRODUCT(MAX(ROW(E2559:E$2)*(E2560=E2559:E$2)))))</f>
        <v> </v>
      </c>
      <c r="J2560" s="25" t="str">
        <f>IF(OR(E2560="",E2560="!!!",F2560="NEW"),"",COUNTBLANK(OFFSET(A$1,,,SUMPRODUCT(MAX(ROW(E$2:E2560)*(E2560=E$2:E2560)))))-COUNTBLANK(OFFSET(A$1,,,SUMPRODUCT(MAX(ROW(E$1:E2559)*(E2=E$1:E2559))))))</f>
        <v> </v>
      </c>
      <c r="K2560" s="25" t="str">
        <f>IF(OR(E2560="",E2560="!!!",F2560="NEW"),"",INDEX(J$1:J2559,SUMPRODUCT(MAX(ROW(E$1:E2559)*(E2560=E$1:E2559)))))</f>
        <v> </v>
      </c>
      <c r="L2560" s="26"/>
    </row>
    <row r="2561" spans="1:12">
      <c r="A2561" s="20" t="s">
        <v>1712</v>
      </c>
      <c r="B2561" s="27" t="s">
        <v>658</v>
      </c>
      <c r="C2561" s="27" t="s">
        <v>683</v>
      </c>
      <c r="D2561" s="27" t="s">
        <v>627</v>
      </c>
      <c r="E2561" s="21">
        <f>IF(D2561="?OLD","!!!","")</f>
        <v/>
      </c>
      <c r="F2561" s="22" t="str">
        <f>IF(OR(E2561="",E2561="!!!"),"",IF(NOT(ISNA(VLOOKUP(E2561,E$1:E2560,1,FALSE()))),"OLD",IF(AND(E2561&lt;&gt;"",E2561&lt;&gt;"!!!"),"NEW","")))</f>
        <v> </v>
      </c>
      <c r="G2561" s="23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4" t="str">
        <f>IF(J2561&lt;&gt;1,"",IF(I2561="SBJ","CB","?"))</f>
        <v> </v>
      </c>
      <c r="I2561" s="25" t="str">
        <f>IF(OR(E2561="",E2561="!!!",F2561="NEW"),"",INDEX(B2560:B$2,-1+SUMPRODUCT(MAX(ROW(E2560:E$2)*(E2561=E2560:E$2)))))</f>
        <v> </v>
      </c>
      <c r="J2561" s="25" t="str">
        <f>IF(OR(E2561="",E2561="!!!",F2561="NEW"),"",COUNTBLANK(OFFSET(A$1,,,SUMPRODUCT(MAX(ROW(E$2:E2561)*(E2561=E$2:E2561)))))-COUNTBLANK(OFFSET(A$1,,,SUMPRODUCT(MAX(ROW(E$1:E2560)*(E2=E$1:E2560))))))</f>
        <v> </v>
      </c>
      <c r="K2561" s="25" t="str">
        <f>IF(OR(E2561="",E2561="!!!",F2561="NEW"),"",INDEX(J$1:J2560,SUMPRODUCT(MAX(ROW(E$1:E2560)*(E2561=E$1:E2560)))))</f>
        <v> </v>
      </c>
      <c r="L2561" s="26"/>
    </row>
    <row r="2562" spans="1:12">
      <c r="A2562" s="20" t="s">
        <v>1765</v>
      </c>
      <c r="E2562" s="21">
        <f>IF(D2562="?OLD","!!!","")</f>
        <v/>
      </c>
      <c r="F2562" s="22" t="str">
        <f>IF(OR(E2562="",E2562="!!!"),"",IF(NOT(ISNA(VLOOKUP(E2562,E$1:E2561,1,FALSE()))),"OLD",IF(AND(E2562&lt;&gt;"",E2562&lt;&gt;"!!!"),"NEW","")))</f>
        <v> </v>
      </c>
      <c r="G2562" s="23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4" t="str">
        <f>IF(J2562&lt;&gt;1,"",IF(I2562="SBJ","CB","?"))</f>
        <v> </v>
      </c>
      <c r="I2562" s="25" t="str">
        <f>IF(OR(E2562="",E2562="!!!",F2562="NEW"),"",INDEX(B2561:B$2,-1+SUMPRODUCT(MAX(ROW(E2561:E$2)*(E2562=E2561:E$2)))))</f>
        <v> </v>
      </c>
      <c r="J2562" s="25" t="str">
        <f>IF(OR(E2562="",E2562="!!!",F2562="NEW"),"",COUNTBLANK(OFFSET(A$1,,,SUMPRODUCT(MAX(ROW(E$2:E2562)*(E2562=E$2:E2562)))))-COUNTBLANK(OFFSET(A$1,,,SUMPRODUCT(MAX(ROW(E$1:E2561)*(E2=E$1:E2561))))))</f>
        <v> </v>
      </c>
      <c r="K2562" s="25" t="str">
        <f>IF(OR(E2562="",E2562="!!!",F2562="NEW"),"",INDEX(J$1:J2561,SUMPRODUCT(MAX(ROW(E$1:E2561)*(E2562=E$1:E2561)))))</f>
        <v> </v>
      </c>
      <c r="L2562" s="26"/>
    </row>
    <row r="2563" spans="1:12">
      <c r="A2563" s="20" t="s">
        <v>1763</v>
      </c>
      <c r="E2563" s="21">
        <f>IF(D2563="?OLD","!!!","")</f>
        <v/>
      </c>
      <c r="F2563" s="22" t="str">
        <f>IF(OR(E2563="",E2563="!!!"),"",IF(NOT(ISNA(VLOOKUP(E2563,E$1:E2562,1,FALSE()))),"OLD",IF(AND(E2563&lt;&gt;"",E2563&lt;&gt;"!!!"),"NEW","")))</f>
        <v> </v>
      </c>
      <c r="G2563" s="23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4" t="str">
        <f>IF(J2563&lt;&gt;1,"",IF(I2563="SBJ","CB","?"))</f>
        <v> </v>
      </c>
      <c r="I2563" s="25" t="str">
        <f>IF(OR(E2563="",E2563="!!!",F2563="NEW"),"",INDEX(B2562:B$2,-1+SUMPRODUCT(MAX(ROW(E2562:E$2)*(E2563=E2562:E$2)))))</f>
        <v> </v>
      </c>
      <c r="J2563" s="25" t="str">
        <f>IF(OR(E2563="",E2563="!!!",F2563="NEW"),"",COUNTBLANK(OFFSET(A$1,,,SUMPRODUCT(MAX(ROW(E$2:E2563)*(E2563=E$2:E2563)))))-COUNTBLANK(OFFSET(A$1,,,SUMPRODUCT(MAX(ROW(E$1:E2562)*(E2=E$1:E2562))))))</f>
        <v> </v>
      </c>
      <c r="K2563" s="25" t="str">
        <f>IF(OR(E2563="",E2563="!!!",F2563="NEW"),"",INDEX(J$1:J2562,SUMPRODUCT(MAX(ROW(E$1:E2562)*(E2563=E$1:E2562)))))</f>
        <v> </v>
      </c>
      <c r="L2563" s="26"/>
    </row>
    <row r="2564" spans="1:12">
      <c r="A2564" s="20" t="s">
        <v>632</v>
      </c>
      <c r="E2564" s="21">
        <f>IF(D2564="?OLD","!!!","")</f>
        <v/>
      </c>
      <c r="F2564" s="22" t="str">
        <f>IF(OR(E2564="",E2564="!!!"),"",IF(NOT(ISNA(VLOOKUP(E2564,E$1:E2563,1,FALSE()))),"OLD",IF(AND(E2564&lt;&gt;"",E2564&lt;&gt;"!!!"),"NEW","")))</f>
        <v> </v>
      </c>
      <c r="G2564" s="23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4" t="str">
        <f>IF(J2564&lt;&gt;1,"",IF(I2564="SBJ","CB","?"))</f>
        <v> </v>
      </c>
      <c r="I2564" s="25" t="str">
        <f>IF(OR(E2564="",E2564="!!!",F2564="NEW"),"",INDEX(B2563:B$2,-1+SUMPRODUCT(MAX(ROW(E2563:E$2)*(E2564=E2563:E$2)))))</f>
        <v> </v>
      </c>
      <c r="J2564" s="25" t="str">
        <f>IF(OR(E2564="",E2564="!!!",F2564="NEW"),"",COUNTBLANK(OFFSET(A$1,,,SUMPRODUCT(MAX(ROW(E$2:E2564)*(E2564=E$2:E2564)))))-COUNTBLANK(OFFSET(A$1,,,SUMPRODUCT(MAX(ROW(E$1:E2563)*(E2=E$1:E2563))))))</f>
        <v> </v>
      </c>
      <c r="K2564" s="25" t="str">
        <f>IF(OR(E2564="",E2564="!!!",F2564="NEW"),"",INDEX(J$1:J2563,SUMPRODUCT(MAX(ROW(E$1:E2563)*(E2564=E$1:E2563)))))</f>
        <v> </v>
      </c>
      <c r="L2564" s="26"/>
    </row>
    <row r="2565" spans="1:12">
      <c r="A2565" s="20" t="s">
        <v>1212</v>
      </c>
      <c r="B2565" s="27" t="s">
        <v>658</v>
      </c>
      <c r="C2565" s="27" t="s">
        <v>626</v>
      </c>
      <c r="D2565" s="27" t="s">
        <v>627</v>
      </c>
      <c r="E2565" s="21">
        <f>IF(D2565="?OLD","!!!","")</f>
        <v/>
      </c>
      <c r="F2565" s="22" t="str">
        <f>IF(OR(E2565="",E2565="!!!"),"",IF(NOT(ISNA(VLOOKUP(E2565,E$1:E2564,1,FALSE()))),"OLD",IF(AND(E2565&lt;&gt;"",E2565&lt;&gt;"!!!"),"NEW","")))</f>
        <v> </v>
      </c>
      <c r="G2565" s="23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4" t="str">
        <f>IF(J2565&lt;&gt;1,"",IF(I2565="SBJ","CB","?"))</f>
        <v> </v>
      </c>
      <c r="I2565" s="25" t="str">
        <f>IF(OR(E2565="",E2565="!!!",F2565="NEW"),"",INDEX(B2564:B$2,-1+SUMPRODUCT(MAX(ROW(E2564:E$2)*(E2565=E2564:E$2)))))</f>
        <v> </v>
      </c>
      <c r="J2565" s="25" t="str">
        <f>IF(OR(E2565="",E2565="!!!",F2565="NEW"),"",COUNTBLANK(OFFSET(A$1,,,SUMPRODUCT(MAX(ROW(E$2:E2565)*(E2565=E$2:E2565)))))-COUNTBLANK(OFFSET(A$1,,,SUMPRODUCT(MAX(ROW(E$1:E2564)*(E2=E$1:E2564))))))</f>
        <v> </v>
      </c>
      <c r="K2565" s="25" t="str">
        <f>IF(OR(E2565="",E2565="!!!",F2565="NEW"),"",INDEX(J$1:J2564,SUMPRODUCT(MAX(ROW(E$1:E2564)*(E2565=E$1:E2564)))))</f>
        <v> </v>
      </c>
      <c r="L2565" s="26"/>
    </row>
    <row r="2566" spans="1:12">
      <c r="A2566" s="20" t="s">
        <v>623</v>
      </c>
      <c r="E2566" s="21">
        <f>IF(D2566="?OLD","!!!","")</f>
        <v/>
      </c>
      <c r="F2566" s="22" t="str">
        <f>IF(OR(E2566="",E2566="!!!"),"",IF(NOT(ISNA(VLOOKUP(E2566,E$1:E2565,1,FALSE()))),"OLD",IF(AND(E2566&lt;&gt;"",E2566&lt;&gt;"!!!"),"NEW","")))</f>
        <v> </v>
      </c>
      <c r="G2566" s="23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4" t="str">
        <f>IF(J2566&lt;&gt;1,"",IF(I2566="SBJ","CB","?"))</f>
        <v> </v>
      </c>
      <c r="I2566" s="25" t="str">
        <f>IF(OR(E2566="",E2566="!!!",F2566="NEW"),"",INDEX(B2565:B$2,-1+SUMPRODUCT(MAX(ROW(E2565:E$2)*(E2566=E2565:E$2)))))</f>
        <v> </v>
      </c>
      <c r="J2566" s="25" t="str">
        <f>IF(OR(E2566="",E2566="!!!",F2566="NEW"),"",COUNTBLANK(OFFSET(A$1,,,SUMPRODUCT(MAX(ROW(E$2:E2566)*(E2566=E$2:E2566)))))-COUNTBLANK(OFFSET(A$1,,,SUMPRODUCT(MAX(ROW(E$1:E2565)*(E2=E$1:E2565))))))</f>
        <v> </v>
      </c>
      <c r="K2566" s="25" t="str">
        <f>IF(OR(E2566="",E2566="!!!",F2566="NEW"),"",INDEX(J$1:J2565,SUMPRODUCT(MAX(ROW(E$1:E2565)*(E2566=E$1:E2565)))))</f>
        <v> </v>
      </c>
      <c r="L2566" s="26"/>
    </row>
    <row r="2567" spans="1:12">
      <c r="A2567" s="20"/>
    </row>
    <row r="2568" spans="1:12">
      <c r="A2568" s="20" t="s">
        <v>1766</v>
      </c>
    </row>
    <row r="2569" spans="1:12">
      <c r="A2569" s="20" t="s">
        <v>838</v>
      </c>
      <c r="E2569" s="21">
        <f>IF(D2569="?OLD","!!!","")</f>
        <v/>
      </c>
      <c r="F2569" s="22" t="str">
        <f>IF(OR(E2569="",E2569="!!!"),"",IF(NOT(ISNA(VLOOKUP(E2569,E$1:E2568,1,FALSE()))),"OLD",IF(AND(E2569&lt;&gt;"",E2569&lt;&gt;"!!!"),"NEW","")))</f>
        <v> </v>
      </c>
      <c r="G2569" s="23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4" t="str">
        <f>IF(J2569&lt;&gt;1,"",IF(I2569="SBJ","CB","?"))</f>
        <v> </v>
      </c>
      <c r="I2569" s="25" t="str">
        <f>IF(OR(E2569="",E2569="!!!",F2569="NEW"),"",INDEX(B2568:B$2,-1+SUMPRODUCT(MAX(ROW(E2568:E$2)*(E2569=E2568:E$2)))))</f>
        <v> </v>
      </c>
      <c r="J2569" s="25" t="str">
        <f>IF(OR(E2569="",E2569="!!!",F2569="NEW"),"",COUNTBLANK(OFFSET(A$1,,,SUMPRODUCT(MAX(ROW(E$2:E2569)*(E2569=E$2:E2569)))))-COUNTBLANK(OFFSET(A$1,,,SUMPRODUCT(MAX(ROW(E$1:E2568)*(E2=E$1:E2568))))))</f>
        <v> </v>
      </c>
      <c r="K2569" s="25" t="str">
        <f>IF(OR(E2569="",E2569="!!!",F2569="NEW"),"",INDEX(J$1:J2568,SUMPRODUCT(MAX(ROW(E$1:E2568)*(E2569=E$1:E2568)))))</f>
        <v> </v>
      </c>
      <c r="L2569" s="26"/>
    </row>
    <row r="2570" spans="1:12">
      <c r="A2570" s="20" t="s">
        <v>1133</v>
      </c>
      <c r="E2570" s="21">
        <f>IF(D2570="?OLD","!!!","")</f>
        <v/>
      </c>
      <c r="F2570" s="22" t="str">
        <f>IF(OR(E2570="",E2570="!!!"),"",IF(NOT(ISNA(VLOOKUP(E2570,E$1:E2569,1,FALSE()))),"OLD",IF(AND(E2570&lt;&gt;"",E2570&lt;&gt;"!!!"),"NEW","")))</f>
        <v> </v>
      </c>
      <c r="G2570" s="23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4" t="str">
        <f>IF(J2570&lt;&gt;1,"",IF(I2570="SBJ","CB","?"))</f>
        <v> </v>
      </c>
      <c r="I2570" s="25" t="str">
        <f>IF(OR(E2570="",E2570="!!!",F2570="NEW"),"",INDEX(B2569:B$2,-1+SUMPRODUCT(MAX(ROW(E2569:E$2)*(E2570=E2569:E$2)))))</f>
        <v> </v>
      </c>
      <c r="J2570" s="25" t="str">
        <f>IF(OR(E2570="",E2570="!!!",F2570="NEW"),"",COUNTBLANK(OFFSET(A$1,,,SUMPRODUCT(MAX(ROW(E$2:E2570)*(E2570=E$2:E2570)))))-COUNTBLANK(OFFSET(A$1,,,SUMPRODUCT(MAX(ROW(E$1:E2569)*(E2=E$1:E2569))))))</f>
        <v> </v>
      </c>
      <c r="K2570" s="25" t="str">
        <f>IF(OR(E2570="",E2570="!!!",F2570="NEW"),"",INDEX(J$1:J2569,SUMPRODUCT(MAX(ROW(E$1:E2569)*(E2570=E$1:E2569)))))</f>
        <v> </v>
      </c>
      <c r="L2570" s="26"/>
    </row>
    <row r="2571" spans="1:12">
      <c r="A2571" s="20" t="s">
        <v>1173</v>
      </c>
      <c r="B2571" s="27" t="s">
        <v>613</v>
      </c>
      <c r="E2571" s="21">
        <f>IF(D2571="?OLD","!!!","")</f>
        <v/>
      </c>
      <c r="F2571" s="22" t="str">
        <f>IF(OR(E2571="",E2571="!!!"),"",IF(NOT(ISNA(VLOOKUP(E2571,E$1:E2570,1,FALSE()))),"OLD",IF(AND(E2571&lt;&gt;"",E2571&lt;&gt;"!!!"),"NEW","")))</f>
        <v> </v>
      </c>
      <c r="G2571" s="23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4" t="str">
        <f>IF(J2571&lt;&gt;1,"",IF(I2571="SBJ","CB","?"))</f>
        <v> </v>
      </c>
      <c r="I2571" s="25" t="str">
        <f>IF(OR(E2571="",E2571="!!!",F2571="NEW"),"",INDEX(B2570:B$2,-1+SUMPRODUCT(MAX(ROW(E2570:E$2)*(E2571=E2570:E$2)))))</f>
        <v> </v>
      </c>
      <c r="J2571" s="25" t="str">
        <f>IF(OR(E2571="",E2571="!!!",F2571="NEW"),"",COUNTBLANK(OFFSET(A$1,,,SUMPRODUCT(MAX(ROW(E$2:E2571)*(E2571=E$2:E2571)))))-COUNTBLANK(OFFSET(A$1,,,SUMPRODUCT(MAX(ROW(E$1:E2570)*(E2=E$1:E2570))))))</f>
        <v> </v>
      </c>
      <c r="K2571" s="25" t="str">
        <f>IF(OR(E2571="",E2571="!!!",F2571="NEW"),"",INDEX(J$1:J2570,SUMPRODUCT(MAX(ROW(E$1:E2570)*(E2571=E$1:E2570)))))</f>
        <v> </v>
      </c>
      <c r="L2571" s="26"/>
    </row>
    <row r="2572" spans="1:12">
      <c r="A2572" s="20" t="s">
        <v>1767</v>
      </c>
      <c r="E2572" s="21">
        <f>IF(D2572="?OLD","!!!","")</f>
        <v/>
      </c>
      <c r="F2572" s="22" t="str">
        <f>IF(OR(E2572="",E2572="!!!"),"",IF(NOT(ISNA(VLOOKUP(E2572,E$1:E2571,1,FALSE()))),"OLD",IF(AND(E2572&lt;&gt;"",E2572&lt;&gt;"!!!"),"NEW","")))</f>
        <v> </v>
      </c>
      <c r="G2572" s="23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4" t="str">
        <f>IF(J2572&lt;&gt;1,"",IF(I2572="SBJ","CB","?"))</f>
        <v> </v>
      </c>
      <c r="I2572" s="25" t="str">
        <f>IF(OR(E2572="",E2572="!!!",F2572="NEW"),"",INDEX(B2571:B$2,-1+SUMPRODUCT(MAX(ROW(E2571:E$2)*(E2572=E2571:E$2)))))</f>
        <v> </v>
      </c>
      <c r="J2572" s="25" t="str">
        <f>IF(OR(E2572="",E2572="!!!",F2572="NEW"),"",COUNTBLANK(OFFSET(A$1,,,SUMPRODUCT(MAX(ROW(E$2:E2572)*(E2572=E$2:E2572)))))-COUNTBLANK(OFFSET(A$1,,,SUMPRODUCT(MAX(ROW(E$1:E2571)*(E2=E$1:E2571))))))</f>
        <v> </v>
      </c>
      <c r="K2572" s="25" t="str">
        <f>IF(OR(E2572="",E2572="!!!",F2572="NEW"),"",INDEX(J$1:J2571,SUMPRODUCT(MAX(ROW(E$1:E2571)*(E2572=E$1:E2571)))))</f>
        <v> </v>
      </c>
      <c r="L2572" s="26"/>
    </row>
    <row r="2573" spans="1:12">
      <c r="A2573" s="20" t="s">
        <v>634</v>
      </c>
      <c r="E2573" s="21">
        <f>IF(D2573="?OLD","!!!","")</f>
        <v/>
      </c>
      <c r="F2573" s="22" t="str">
        <f>IF(OR(E2573="",E2573="!!!"),"",IF(NOT(ISNA(VLOOKUP(E2573,E$1:E2572,1,FALSE()))),"OLD",IF(AND(E2573&lt;&gt;"",E2573&lt;&gt;"!!!"),"NEW","")))</f>
        <v> </v>
      </c>
      <c r="G2573" s="23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4" t="str">
        <f>IF(J2573&lt;&gt;1,"",IF(I2573="SBJ","CB","?"))</f>
        <v> </v>
      </c>
      <c r="I2573" s="25" t="str">
        <f>IF(OR(E2573="",E2573="!!!",F2573="NEW"),"",INDEX(B2572:B$2,-1+SUMPRODUCT(MAX(ROW(E2572:E$2)*(E2573=E2572:E$2)))))</f>
        <v> </v>
      </c>
      <c r="J2573" s="25" t="str">
        <f>IF(OR(E2573="",E2573="!!!",F2573="NEW"),"",COUNTBLANK(OFFSET(A$1,,,SUMPRODUCT(MAX(ROW(E$2:E2573)*(E2573=E$2:E2573)))))-COUNTBLANK(OFFSET(A$1,,,SUMPRODUCT(MAX(ROW(E$1:E2572)*(E2=E$1:E2572))))))</f>
        <v> </v>
      </c>
      <c r="K2573" s="25" t="str">
        <f>IF(OR(E2573="",E2573="!!!",F2573="NEW"),"",INDEX(J$1:J2572,SUMPRODUCT(MAX(ROW(E$1:E2572)*(E2573=E$1:E2572)))))</f>
        <v> </v>
      </c>
      <c r="L2573" s="26"/>
    </row>
    <row r="2574" spans="1:12">
      <c r="A2574" s="20" t="s">
        <v>1006</v>
      </c>
      <c r="E2574" s="21">
        <f>IF(D2574="?OLD","!!!","")</f>
        <v/>
      </c>
      <c r="F2574" s="22" t="str">
        <f>IF(OR(E2574="",E2574="!!!"),"",IF(NOT(ISNA(VLOOKUP(E2574,E$1:E2573,1,FALSE()))),"OLD",IF(AND(E2574&lt;&gt;"",E2574&lt;&gt;"!!!"),"NEW","")))</f>
        <v> </v>
      </c>
      <c r="G2574" s="23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4" t="str">
        <f>IF(J2574&lt;&gt;1,"",IF(I2574="SBJ","CB","?"))</f>
        <v> </v>
      </c>
      <c r="I2574" s="25" t="str">
        <f>IF(OR(E2574="",E2574="!!!",F2574="NEW"),"",INDEX(B2573:B$2,-1+SUMPRODUCT(MAX(ROW(E2573:E$2)*(E2574=E2573:E$2)))))</f>
        <v> </v>
      </c>
      <c r="J2574" s="25" t="str">
        <f>IF(OR(E2574="",E2574="!!!",F2574="NEW"),"",COUNTBLANK(OFFSET(A$1,,,SUMPRODUCT(MAX(ROW(E$2:E2574)*(E2574=E$2:E2574)))))-COUNTBLANK(OFFSET(A$1,,,SUMPRODUCT(MAX(ROW(E$1:E2573)*(E2=E$1:E2573))))))</f>
        <v> </v>
      </c>
      <c r="K2574" s="25" t="str">
        <f>IF(OR(E2574="",E2574="!!!",F2574="NEW"),"",INDEX(J$1:J2573,SUMPRODUCT(MAX(ROW(E$1:E2573)*(E2574=E$1:E2573)))))</f>
        <v> </v>
      </c>
      <c r="L2574" s="26"/>
    </row>
    <row r="2575" spans="1:12">
      <c r="A2575" s="20" t="s">
        <v>1244</v>
      </c>
      <c r="B2575" s="27" t="s">
        <v>608</v>
      </c>
      <c r="C2575" s="27" t="s">
        <v>683</v>
      </c>
      <c r="D2575" s="27" t="s">
        <v>627</v>
      </c>
      <c r="E2575" s="21">
        <f>IF(D2575="?OLD","!!!","")</f>
        <v/>
      </c>
      <c r="F2575" s="22" t="str">
        <f>IF(OR(E2575="",E2575="!!!"),"",IF(NOT(ISNA(VLOOKUP(E2575,E$1:E2574,1,FALSE()))),"OLD",IF(AND(E2575&lt;&gt;"",E2575&lt;&gt;"!!!"),"NEW","")))</f>
        <v> </v>
      </c>
      <c r="G2575" s="23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4" t="str">
        <f>IF(J2575&lt;&gt;1,"",IF(I2575="SBJ","CB","?"))</f>
        <v> </v>
      </c>
      <c r="I2575" s="25" t="str">
        <f>IF(OR(E2575="",E2575="!!!",F2575="NEW"),"",INDEX(B2574:B$2,-1+SUMPRODUCT(MAX(ROW(E2574:E$2)*(E2575=E2574:E$2)))))</f>
        <v> </v>
      </c>
      <c r="J2575" s="25" t="str">
        <f>IF(OR(E2575="",E2575="!!!",F2575="NEW"),"",COUNTBLANK(OFFSET(A$1,,,SUMPRODUCT(MAX(ROW(E$2:E2575)*(E2575=E$2:E2575)))))-COUNTBLANK(OFFSET(A$1,,,SUMPRODUCT(MAX(ROW(E$1:E2574)*(E2=E$1:E2574))))))</f>
        <v> </v>
      </c>
      <c r="K2575" s="25" t="str">
        <f>IF(OR(E2575="",E2575="!!!",F2575="NEW"),"",INDEX(J$1:J2574,SUMPRODUCT(MAX(ROW(E$1:E2574)*(E2575=E$1:E2574)))))</f>
        <v> </v>
      </c>
      <c r="L2575" s="26"/>
    </row>
    <row r="2576" spans="1:12">
      <c r="A2576" s="20" t="s">
        <v>617</v>
      </c>
      <c r="E2576" s="21">
        <f>IF(D2576="?OLD","!!!","")</f>
        <v/>
      </c>
      <c r="F2576" s="22" t="str">
        <f>IF(OR(E2576="",E2576="!!!"),"",IF(NOT(ISNA(VLOOKUP(E2576,E$1:E2575,1,FALSE()))),"OLD",IF(AND(E2576&lt;&gt;"",E2576&lt;&gt;"!!!"),"NEW","")))</f>
        <v> </v>
      </c>
      <c r="G2576" s="23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4" t="str">
        <f>IF(J2576&lt;&gt;1,"",IF(I2576="SBJ","CB","?"))</f>
        <v> </v>
      </c>
      <c r="I2576" s="25" t="str">
        <f>IF(OR(E2576="",E2576="!!!",F2576="NEW"),"",INDEX(B2575:B$2,-1+SUMPRODUCT(MAX(ROW(E2575:E$2)*(E2576=E2575:E$2)))))</f>
        <v> </v>
      </c>
      <c r="J2576" s="25" t="str">
        <f>IF(OR(E2576="",E2576="!!!",F2576="NEW"),"",COUNTBLANK(OFFSET(A$1,,,SUMPRODUCT(MAX(ROW(E$2:E2576)*(E2576=E$2:E2576)))))-COUNTBLANK(OFFSET(A$1,,,SUMPRODUCT(MAX(ROW(E$1:E2575)*(E2=E$1:E2575))))))</f>
        <v> </v>
      </c>
      <c r="K2576" s="25" t="str">
        <f>IF(OR(E2576="",E2576="!!!",F2576="NEW"),"",INDEX(J$1:J2575,SUMPRODUCT(MAX(ROW(E$1:E2575)*(E2576=E$1:E2575)))))</f>
        <v> </v>
      </c>
      <c r="L2576" s="26"/>
    </row>
    <row r="2577" spans="1:12">
      <c r="A2577" s="20" t="s">
        <v>831</v>
      </c>
      <c r="E2577" s="21">
        <f>IF(D2577="?OLD","!!!","")</f>
        <v/>
      </c>
      <c r="F2577" s="22" t="str">
        <f>IF(OR(E2577="",E2577="!!!"),"",IF(NOT(ISNA(VLOOKUP(E2577,E$1:E2576,1,FALSE()))),"OLD",IF(AND(E2577&lt;&gt;"",E2577&lt;&gt;"!!!"),"NEW","")))</f>
        <v> </v>
      </c>
      <c r="G2577" s="23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4" t="str">
        <f>IF(J2577&lt;&gt;1,"",IF(I2577="SBJ","CB","?"))</f>
        <v> </v>
      </c>
      <c r="I2577" s="25" t="str">
        <f>IF(OR(E2577="",E2577="!!!",F2577="NEW"),"",INDEX(B2576:B$2,-1+SUMPRODUCT(MAX(ROW(E2576:E$2)*(E2577=E2576:E$2)))))</f>
        <v> </v>
      </c>
      <c r="J2577" s="25" t="str">
        <f>IF(OR(E2577="",E2577="!!!",F2577="NEW"),"",COUNTBLANK(OFFSET(A$1,,,SUMPRODUCT(MAX(ROW(E$2:E2577)*(E2577=E$2:E2577)))))-COUNTBLANK(OFFSET(A$1,,,SUMPRODUCT(MAX(ROW(E$1:E2576)*(E2=E$1:E2576))))))</f>
        <v> </v>
      </c>
      <c r="K2577" s="25" t="str">
        <f>IF(OR(E2577="",E2577="!!!",F2577="NEW"),"",INDEX(J$1:J2576,SUMPRODUCT(MAX(ROW(E$1:E2576)*(E2577=E$1:E2576)))))</f>
        <v> </v>
      </c>
      <c r="L2577" s="26"/>
    </row>
    <row r="2578" spans="1:12">
      <c r="A2578" s="20" t="s">
        <v>574</v>
      </c>
      <c r="E2578" s="21">
        <f>IF(D2578="?OLD","!!!","")</f>
        <v/>
      </c>
      <c r="F2578" s="22" t="str">
        <f>IF(OR(E2578="",E2578="!!!"),"",IF(NOT(ISNA(VLOOKUP(E2578,E$1:E2577,1,FALSE()))),"OLD",IF(AND(E2578&lt;&gt;"",E2578&lt;&gt;"!!!"),"NEW","")))</f>
        <v> </v>
      </c>
      <c r="G2578" s="23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4" t="str">
        <f>IF(J2578&lt;&gt;1,"",IF(I2578="SBJ","CB","?"))</f>
        <v> </v>
      </c>
      <c r="I2578" s="25" t="str">
        <f>IF(OR(E2578="",E2578="!!!",F2578="NEW"),"",INDEX(B2577:B$2,-1+SUMPRODUCT(MAX(ROW(E2577:E$2)*(E2578=E2577:E$2)))))</f>
        <v> </v>
      </c>
      <c r="J2578" s="25" t="str">
        <f>IF(OR(E2578="",E2578="!!!",F2578="NEW"),"",COUNTBLANK(OFFSET(A$1,,,SUMPRODUCT(MAX(ROW(E$2:E2578)*(E2578=E$2:E2578)))))-COUNTBLANK(OFFSET(A$1,,,SUMPRODUCT(MAX(ROW(E$1:E2577)*(E2=E$1:E2577))))))</f>
        <v> </v>
      </c>
      <c r="K2578" s="25" t="str">
        <f>IF(OR(E2578="",E2578="!!!",F2578="NEW"),"",INDEX(J$1:J2577,SUMPRODUCT(MAX(ROW(E$1:E2577)*(E2578=E$1:E2577)))))</f>
        <v> </v>
      </c>
      <c r="L2578" s="26"/>
    </row>
    <row r="2579" spans="1:12">
      <c r="A2579" s="20" t="s">
        <v>1077</v>
      </c>
      <c r="E2579" s="21">
        <f>IF(D2579="?OLD","!!!","")</f>
        <v/>
      </c>
      <c r="F2579" s="22" t="str">
        <f>IF(OR(E2579="",E2579="!!!"),"",IF(NOT(ISNA(VLOOKUP(E2579,E$1:E2578,1,FALSE()))),"OLD",IF(AND(E2579&lt;&gt;"",E2579&lt;&gt;"!!!"),"NEW","")))</f>
        <v> </v>
      </c>
      <c r="G2579" s="23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4" t="str">
        <f>IF(J2579&lt;&gt;1,"",IF(I2579="SBJ","CB","?"))</f>
        <v> </v>
      </c>
      <c r="I2579" s="25" t="str">
        <f>IF(OR(E2579="",E2579="!!!",F2579="NEW"),"",INDEX(B2578:B$2,-1+SUMPRODUCT(MAX(ROW(E2578:E$2)*(E2579=E2578:E$2)))))</f>
        <v> </v>
      </c>
      <c r="J2579" s="25" t="str">
        <f>IF(OR(E2579="",E2579="!!!",F2579="NEW"),"",COUNTBLANK(OFFSET(A$1,,,SUMPRODUCT(MAX(ROW(E$2:E2579)*(E2579=E$2:E2579)))))-COUNTBLANK(OFFSET(A$1,,,SUMPRODUCT(MAX(ROW(E$1:E2578)*(E2=E$1:E2578))))))</f>
        <v> </v>
      </c>
      <c r="K2579" s="25" t="str">
        <f>IF(OR(E2579="",E2579="!!!",F2579="NEW"),"",INDEX(J$1:J2578,SUMPRODUCT(MAX(ROW(E$1:E2578)*(E2579=E$1:E2578)))))</f>
        <v> </v>
      </c>
      <c r="L2579" s="26"/>
    </row>
    <row r="2580" spans="1:12">
      <c r="A2580" s="20" t="s">
        <v>1764</v>
      </c>
      <c r="B2580" s="27" t="s">
        <v>706</v>
      </c>
      <c r="E2580" s="21">
        <f>IF(D2580="?OLD","!!!","")</f>
        <v/>
      </c>
      <c r="F2580" s="22" t="str">
        <f>IF(OR(E2580="",E2580="!!!"),"",IF(NOT(ISNA(VLOOKUP(E2580,E$1:E2579,1,FALSE()))),"OLD",IF(AND(E2580&lt;&gt;"",E2580&lt;&gt;"!!!"),"NEW","")))</f>
        <v> </v>
      </c>
      <c r="G2580" s="23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4" t="str">
        <f>IF(J2580&lt;&gt;1,"",IF(I2580="SBJ","CB","?"))</f>
        <v> </v>
      </c>
      <c r="I2580" s="25" t="str">
        <f>IF(OR(E2580="",E2580="!!!",F2580="NEW"),"",INDEX(B2579:B$2,-1+SUMPRODUCT(MAX(ROW(E2579:E$2)*(E2580=E2579:E$2)))))</f>
        <v> </v>
      </c>
      <c r="J2580" s="25" t="str">
        <f>IF(OR(E2580="",E2580="!!!",F2580="NEW"),"",COUNTBLANK(OFFSET(A$1,,,SUMPRODUCT(MAX(ROW(E$2:E2580)*(E2580=E$2:E2580)))))-COUNTBLANK(OFFSET(A$1,,,SUMPRODUCT(MAX(ROW(E$1:E2579)*(E2=E$1:E2579))))))</f>
        <v> </v>
      </c>
      <c r="K2580" s="25" t="str">
        <f>IF(OR(E2580="",E2580="!!!",F2580="NEW"),"",INDEX(J$1:J2579,SUMPRODUCT(MAX(ROW(E$1:E2579)*(E2580=E$1:E2579)))))</f>
        <v> </v>
      </c>
      <c r="L2580" s="26"/>
    </row>
    <row r="2581" spans="1:12">
      <c r="A2581" s="20" t="s">
        <v>852</v>
      </c>
      <c r="E2581" s="21">
        <f>IF(D2581="?OLD","!!!","")</f>
        <v/>
      </c>
      <c r="F2581" s="22" t="str">
        <f>IF(OR(E2581="",E2581="!!!"),"",IF(NOT(ISNA(VLOOKUP(E2581,E$1:E2580,1,FALSE()))),"OLD",IF(AND(E2581&lt;&gt;"",E2581&lt;&gt;"!!!"),"NEW","")))</f>
        <v> </v>
      </c>
      <c r="G2581" s="23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4" t="str">
        <f>IF(J2581&lt;&gt;1,"",IF(I2581="SBJ","CB","?"))</f>
        <v> </v>
      </c>
      <c r="I2581" s="25" t="str">
        <f>IF(OR(E2581="",E2581="!!!",F2581="NEW"),"",INDEX(B2580:B$2,-1+SUMPRODUCT(MAX(ROW(E2580:E$2)*(E2581=E2580:E$2)))))</f>
        <v> </v>
      </c>
      <c r="J2581" s="25" t="str">
        <f>IF(OR(E2581="",E2581="!!!",F2581="NEW"),"",COUNTBLANK(OFFSET(A$1,,,SUMPRODUCT(MAX(ROW(E$2:E2581)*(E2581=E$2:E2581)))))-COUNTBLANK(OFFSET(A$1,,,SUMPRODUCT(MAX(ROW(E$1:E2580)*(E2=E$1:E2580))))))</f>
        <v> </v>
      </c>
      <c r="K2581" s="25" t="str">
        <f>IF(OR(E2581="",E2581="!!!",F2581="NEW"),"",INDEX(J$1:J2580,SUMPRODUCT(MAX(ROW(E$1:E2580)*(E2581=E$1:E2580)))))</f>
        <v> </v>
      </c>
      <c r="L2581" s="26"/>
    </row>
    <row r="2582" spans="1:12">
      <c r="A2582" s="20" t="s">
        <v>713</v>
      </c>
      <c r="E2582" s="21">
        <f>IF(D2582="?OLD","!!!","")</f>
        <v/>
      </c>
      <c r="F2582" s="22" t="str">
        <f>IF(OR(E2582="",E2582="!!!"),"",IF(NOT(ISNA(VLOOKUP(E2582,E$1:E2581,1,FALSE()))),"OLD",IF(AND(E2582&lt;&gt;"",E2582&lt;&gt;"!!!"),"NEW","")))</f>
        <v> </v>
      </c>
      <c r="G2582" s="23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4" t="str">
        <f>IF(J2582&lt;&gt;1,"",IF(I2582="SBJ","CB","?"))</f>
        <v> </v>
      </c>
      <c r="I2582" s="25" t="str">
        <f>IF(OR(E2582="",E2582="!!!",F2582="NEW"),"",INDEX(B2581:B$2,-1+SUMPRODUCT(MAX(ROW(E2581:E$2)*(E2582=E2581:E$2)))))</f>
        <v> </v>
      </c>
      <c r="J2582" s="25" t="str">
        <f>IF(OR(E2582="",E2582="!!!",F2582="NEW"),"",COUNTBLANK(OFFSET(A$1,,,SUMPRODUCT(MAX(ROW(E$2:E2582)*(E2582=E$2:E2582)))))-COUNTBLANK(OFFSET(A$1,,,SUMPRODUCT(MAX(ROW(E$1:E2581)*(E2=E$1:E2581))))))</f>
        <v> </v>
      </c>
      <c r="K2582" s="25" t="str">
        <f>IF(OR(E2582="",E2582="!!!",F2582="NEW"),"",INDEX(J$1:J2581,SUMPRODUCT(MAX(ROW(E$1:E2581)*(E2582=E$1:E2581)))))</f>
        <v> </v>
      </c>
      <c r="L2582" s="26"/>
    </row>
    <row r="2583" spans="1:12">
      <c r="A2583" s="20" t="s">
        <v>623</v>
      </c>
      <c r="E2583" s="21">
        <f>IF(D2583="?OLD","!!!","")</f>
        <v/>
      </c>
      <c r="F2583" s="22" t="str">
        <f>IF(OR(E2583="",E2583="!!!"),"",IF(NOT(ISNA(VLOOKUP(E2583,E$1:E2582,1,FALSE()))),"OLD",IF(AND(E2583&lt;&gt;"",E2583&lt;&gt;"!!!"),"NEW","")))</f>
        <v> </v>
      </c>
      <c r="G2583" s="23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4" t="str">
        <f>IF(J2583&lt;&gt;1,"",IF(I2583="SBJ","CB","?"))</f>
        <v> </v>
      </c>
      <c r="I2583" s="25" t="str">
        <f>IF(OR(E2583="",E2583="!!!",F2583="NEW"),"",INDEX(B2582:B$2,-1+SUMPRODUCT(MAX(ROW(E2582:E$2)*(E2583=E2582:E$2)))))</f>
        <v> </v>
      </c>
      <c r="J2583" s="25" t="str">
        <f>IF(OR(E2583="",E2583="!!!",F2583="NEW"),"",COUNTBLANK(OFFSET(A$1,,,SUMPRODUCT(MAX(ROW(E$2:E2583)*(E2583=E$2:E2583)))))-COUNTBLANK(OFFSET(A$1,,,SUMPRODUCT(MAX(ROW(E$1:E2582)*(E2=E$1:E2582))))))</f>
        <v> </v>
      </c>
      <c r="K2583" s="25" t="str">
        <f>IF(OR(E2583="",E2583="!!!",F2583="NEW"),"",INDEX(J$1:J2582,SUMPRODUCT(MAX(ROW(E$1:E2582)*(E2583=E$1:E2582)))))</f>
        <v> </v>
      </c>
      <c r="L2583" s="26"/>
    </row>
    <row r="2584" spans="1:12">
      <c r="A2584" s="20"/>
    </row>
    <row r="2585" spans="1:12">
      <c r="A2585" s="20" t="s">
        <v>1768</v>
      </c>
    </row>
    <row r="2586" spans="1:12">
      <c r="A2586" s="20" t="s">
        <v>1769</v>
      </c>
      <c r="E2586" s="21">
        <f>IF(D2586="?OLD","!!!","")</f>
        <v/>
      </c>
      <c r="F2586" s="22" t="str">
        <f>IF(OR(E2586="",E2586="!!!"),"",IF(NOT(ISNA(VLOOKUP(E2586,E$1:E2585,1,FALSE()))),"OLD",IF(AND(E2586&lt;&gt;"",E2586&lt;&gt;"!!!"),"NEW","")))</f>
        <v> </v>
      </c>
      <c r="G2586" s="23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4" t="str">
        <f>IF(J2586&lt;&gt;1,"",IF(I2586="SBJ","CB","?"))</f>
        <v> </v>
      </c>
      <c r="I2586" s="25" t="str">
        <f>IF(OR(E2586="",E2586="!!!",F2586="NEW"),"",INDEX(B2585:B$2,-1+SUMPRODUCT(MAX(ROW(E2585:E$2)*(E2586=E2585:E$2)))))</f>
        <v> </v>
      </c>
      <c r="J2586" s="25" t="str">
        <f>IF(OR(E2586="",E2586="!!!",F2586="NEW"),"",COUNTBLANK(OFFSET(A$1,,,SUMPRODUCT(MAX(ROW(E$2:E2586)*(E2586=E$2:E2586)))))-COUNTBLANK(OFFSET(A$1,,,SUMPRODUCT(MAX(ROW(E$1:E2585)*(E2=E$1:E2585))))))</f>
        <v> </v>
      </c>
      <c r="K2586" s="25" t="str">
        <f>IF(OR(E2586="",E2586="!!!",F2586="NEW"),"",INDEX(J$1:J2585,SUMPRODUCT(MAX(ROW(E$1:E2585)*(E2586=E$1:E2585)))))</f>
        <v> </v>
      </c>
      <c r="L2586" s="26"/>
    </row>
    <row r="2587" spans="1:12">
      <c r="A2587" s="20" t="s">
        <v>1770</v>
      </c>
      <c r="E2587" s="21">
        <f>IF(D2587="?OLD","!!!","")</f>
        <v/>
      </c>
      <c r="F2587" s="22" t="str">
        <f>IF(OR(E2587="",E2587="!!!"),"",IF(NOT(ISNA(VLOOKUP(E2587,E$1:E2586,1,FALSE()))),"OLD",IF(AND(E2587&lt;&gt;"",E2587&lt;&gt;"!!!"),"NEW","")))</f>
        <v> </v>
      </c>
      <c r="G2587" s="23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4" t="str">
        <f>IF(J2587&lt;&gt;1,"",IF(I2587="SBJ","CB","?"))</f>
        <v> </v>
      </c>
      <c r="I2587" s="25" t="str">
        <f>IF(OR(E2587="",E2587="!!!",F2587="NEW"),"",INDEX(B2586:B$2,-1+SUMPRODUCT(MAX(ROW(E2586:E$2)*(E2587=E2586:E$2)))))</f>
        <v> </v>
      </c>
      <c r="J2587" s="25" t="str">
        <f>IF(OR(E2587="",E2587="!!!",F2587="NEW"),"",COUNTBLANK(OFFSET(A$1,,,SUMPRODUCT(MAX(ROW(E$2:E2587)*(E2587=E$2:E2587)))))-COUNTBLANK(OFFSET(A$1,,,SUMPRODUCT(MAX(ROW(E$1:E2586)*(E2=E$1:E2586))))))</f>
        <v> </v>
      </c>
      <c r="K2587" s="25" t="str">
        <f>IF(OR(E2587="",E2587="!!!",F2587="NEW"),"",INDEX(J$1:J2586,SUMPRODUCT(MAX(ROW(E$1:E2586)*(E2587=E$1:E2586)))))</f>
        <v> </v>
      </c>
      <c r="L2587" s="26"/>
    </row>
    <row r="2588" spans="1:12">
      <c r="A2588" s="20" t="s">
        <v>1444</v>
      </c>
      <c r="B2588" s="27" t="s">
        <v>613</v>
      </c>
      <c r="C2588" s="27" t="s">
        <v>650</v>
      </c>
      <c r="D2588" s="27" t="s">
        <v>627</v>
      </c>
      <c r="E2588" s="21">
        <f>IF(D2588="?OLD","!!!","")</f>
        <v/>
      </c>
      <c r="F2588" s="22" t="str">
        <f>IF(OR(E2588="",E2588="!!!"),"",IF(NOT(ISNA(VLOOKUP(E2588,E$1:E2587,1,FALSE()))),"OLD",IF(AND(E2588&lt;&gt;"",E2588&lt;&gt;"!!!"),"NEW","")))</f>
        <v> </v>
      </c>
      <c r="G2588" s="23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4" t="str">
        <f>IF(J2588&lt;&gt;1,"",IF(I2588="SBJ","CB","?"))</f>
        <v> </v>
      </c>
      <c r="I2588" s="25" t="str">
        <f>IF(OR(E2588="",E2588="!!!",F2588="NEW"),"",INDEX(B2587:B$2,-1+SUMPRODUCT(MAX(ROW(E2587:E$2)*(E2588=E2587:E$2)))))</f>
        <v> </v>
      </c>
      <c r="J2588" s="25" t="str">
        <f>IF(OR(E2588="",E2588="!!!",F2588="NEW"),"",COUNTBLANK(OFFSET(A$1,,,SUMPRODUCT(MAX(ROW(E$2:E2588)*(E2588=E$2:E2588)))))-COUNTBLANK(OFFSET(A$1,,,SUMPRODUCT(MAX(ROW(E$1:E2587)*(E2=E$1:E2587))))))</f>
        <v> </v>
      </c>
      <c r="K2588" s="25" t="str">
        <f>IF(OR(E2588="",E2588="!!!",F2588="NEW"),"",INDEX(J$1:J2587,SUMPRODUCT(MAX(ROW(E$1:E2587)*(E2588=E$1:E2587)))))</f>
        <v> </v>
      </c>
      <c r="L2588" s="26"/>
    </row>
    <row r="2589" spans="1:12">
      <c r="A2589" s="20" t="s">
        <v>737</v>
      </c>
      <c r="E2589" s="21">
        <f>IF(D2589="?OLD","!!!","")</f>
        <v/>
      </c>
      <c r="F2589" s="22" t="str">
        <f>IF(OR(E2589="",E2589="!!!"),"",IF(NOT(ISNA(VLOOKUP(E2589,E$1:E2588,1,FALSE()))),"OLD",IF(AND(E2589&lt;&gt;"",E2589&lt;&gt;"!!!"),"NEW","")))</f>
        <v> </v>
      </c>
      <c r="G2589" s="23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4" t="str">
        <f>IF(J2589&lt;&gt;1,"",IF(I2589="SBJ","CB","?"))</f>
        <v> </v>
      </c>
      <c r="I2589" s="25" t="str">
        <f>IF(OR(E2589="",E2589="!!!",F2589="NEW"),"",INDEX(B2588:B$2,-1+SUMPRODUCT(MAX(ROW(E2588:E$2)*(E2589=E2588:E$2)))))</f>
        <v> </v>
      </c>
      <c r="J2589" s="25" t="str">
        <f>IF(OR(E2589="",E2589="!!!",F2589="NEW"),"",COUNTBLANK(OFFSET(A$1,,,SUMPRODUCT(MAX(ROW(E$2:E2589)*(E2589=E$2:E2589)))))-COUNTBLANK(OFFSET(A$1,,,SUMPRODUCT(MAX(ROW(E$1:E2588)*(E2=E$1:E2588))))))</f>
        <v> </v>
      </c>
      <c r="K2589" s="25" t="str">
        <f>IF(OR(E2589="",E2589="!!!",F2589="NEW"),"",INDEX(J$1:J2588,SUMPRODUCT(MAX(ROW(E$1:E2588)*(E2589=E$1:E2588)))))</f>
        <v> </v>
      </c>
      <c r="L2589" s="26"/>
    </row>
    <row r="2590" spans="1:12">
      <c r="A2590" s="20" t="s">
        <v>1705</v>
      </c>
      <c r="E2590" s="21">
        <f>IF(D2590="?OLD","!!!","")</f>
        <v/>
      </c>
      <c r="F2590" s="22" t="str">
        <f>IF(OR(E2590="",E2590="!!!"),"",IF(NOT(ISNA(VLOOKUP(E2590,E$1:E2589,1,FALSE()))),"OLD",IF(AND(E2590&lt;&gt;"",E2590&lt;&gt;"!!!"),"NEW","")))</f>
        <v> </v>
      </c>
      <c r="G2590" s="23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4" t="str">
        <f>IF(J2590&lt;&gt;1,"",IF(I2590="SBJ","CB","?"))</f>
        <v> </v>
      </c>
      <c r="I2590" s="25" t="str">
        <f>IF(OR(E2590="",E2590="!!!",F2590="NEW"),"",INDEX(B2589:B$2,-1+SUMPRODUCT(MAX(ROW(E2589:E$2)*(E2590=E2589:E$2)))))</f>
        <v> </v>
      </c>
      <c r="J2590" s="25" t="str">
        <f>IF(OR(E2590="",E2590="!!!",F2590="NEW"),"",COUNTBLANK(OFFSET(A$1,,,SUMPRODUCT(MAX(ROW(E$2:E2590)*(E2590=E$2:E2590)))))-COUNTBLANK(OFFSET(A$1,,,SUMPRODUCT(MAX(ROW(E$1:E2589)*(E2=E$1:E2589))))))</f>
        <v> </v>
      </c>
      <c r="K2590" s="25" t="str">
        <f>IF(OR(E2590="",E2590="!!!",F2590="NEW"),"",INDEX(J$1:J2589,SUMPRODUCT(MAX(ROW(E$1:E2589)*(E2590=E$1:E2589)))))</f>
        <v> </v>
      </c>
      <c r="L2590" s="26"/>
    </row>
    <row r="2591" spans="1:12">
      <c r="A2591" s="20" t="s">
        <v>617</v>
      </c>
      <c r="E2591" s="21">
        <f>IF(D2591="?OLD","!!!","")</f>
        <v/>
      </c>
      <c r="F2591" s="22" t="str">
        <f>IF(OR(E2591="",E2591="!!!"),"",IF(NOT(ISNA(VLOOKUP(E2591,E$1:E2590,1,FALSE()))),"OLD",IF(AND(E2591&lt;&gt;"",E2591&lt;&gt;"!!!"),"NEW","")))</f>
        <v> </v>
      </c>
      <c r="G2591" s="23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4" t="str">
        <f>IF(J2591&lt;&gt;1,"",IF(I2591="SBJ","CB","?"))</f>
        <v> </v>
      </c>
      <c r="I2591" s="25" t="str">
        <f>IF(OR(E2591="",E2591="!!!",F2591="NEW"),"",INDEX(B2590:B$2,-1+SUMPRODUCT(MAX(ROW(E2590:E$2)*(E2591=E2590:E$2)))))</f>
        <v> </v>
      </c>
      <c r="J2591" s="25" t="str">
        <f>IF(OR(E2591="",E2591="!!!",F2591="NEW"),"",COUNTBLANK(OFFSET(A$1,,,SUMPRODUCT(MAX(ROW(E$2:E2591)*(E2591=E$2:E2591)))))-COUNTBLANK(OFFSET(A$1,,,SUMPRODUCT(MAX(ROW(E$1:E2590)*(E2=E$1:E2590))))))</f>
        <v> </v>
      </c>
      <c r="K2591" s="25" t="str">
        <f>IF(OR(E2591="",E2591="!!!",F2591="NEW"),"",INDEX(J$1:J2590,SUMPRODUCT(MAX(ROW(E$1:E2590)*(E2591=E$1:E2590)))))</f>
        <v> </v>
      </c>
      <c r="L2591" s="26"/>
    </row>
    <row r="2592" spans="1:12">
      <c r="A2592" s="20" t="s">
        <v>737</v>
      </c>
      <c r="E2592" s="21">
        <f>IF(D2592="?OLD","!!!","")</f>
        <v/>
      </c>
      <c r="F2592" s="22" t="str">
        <f>IF(OR(E2592="",E2592="!!!"),"",IF(NOT(ISNA(VLOOKUP(E2592,E$1:E2591,1,FALSE()))),"OLD",IF(AND(E2592&lt;&gt;"",E2592&lt;&gt;"!!!"),"NEW","")))</f>
        <v> </v>
      </c>
      <c r="G2592" s="23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4" t="str">
        <f>IF(J2592&lt;&gt;1,"",IF(I2592="SBJ","CB","?"))</f>
        <v> </v>
      </c>
      <c r="I2592" s="25" t="str">
        <f>IF(OR(E2592="",E2592="!!!",F2592="NEW"),"",INDEX(B2591:B$2,-1+SUMPRODUCT(MAX(ROW(E2591:E$2)*(E2592=E2591:E$2)))))</f>
        <v> </v>
      </c>
      <c r="J2592" s="25" t="str">
        <f>IF(OR(E2592="",E2592="!!!",F2592="NEW"),"",COUNTBLANK(OFFSET(A$1,,,SUMPRODUCT(MAX(ROW(E$2:E2592)*(E2592=E$2:E2592)))))-COUNTBLANK(OFFSET(A$1,,,SUMPRODUCT(MAX(ROW(E$1:E2591)*(E2=E$1:E2591))))))</f>
        <v> </v>
      </c>
      <c r="K2592" s="25" t="str">
        <f>IF(OR(E2592="",E2592="!!!",F2592="NEW"),"",INDEX(J$1:J2591,SUMPRODUCT(MAX(ROW(E$1:E2591)*(E2592=E$1:E2591)))))</f>
        <v> </v>
      </c>
      <c r="L2592" s="26"/>
    </row>
    <row r="2593" spans="1:12">
      <c r="A2593" s="20" t="s">
        <v>1706</v>
      </c>
      <c r="E2593" s="21">
        <f>IF(D2593="?OLD","!!!","")</f>
        <v/>
      </c>
      <c r="F2593" s="22" t="str">
        <f>IF(OR(E2593="",E2593="!!!"),"",IF(NOT(ISNA(VLOOKUP(E2593,E$1:E2592,1,FALSE()))),"OLD",IF(AND(E2593&lt;&gt;"",E2593&lt;&gt;"!!!"),"NEW","")))</f>
        <v> </v>
      </c>
      <c r="G2593" s="23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4" t="str">
        <f>IF(J2593&lt;&gt;1,"",IF(I2593="SBJ","CB","?"))</f>
        <v> </v>
      </c>
      <c r="I2593" s="25" t="str">
        <f>IF(OR(E2593="",E2593="!!!",F2593="NEW"),"",INDEX(B2592:B$2,-1+SUMPRODUCT(MAX(ROW(E2592:E$2)*(E2593=E2592:E$2)))))</f>
        <v> </v>
      </c>
      <c r="J2593" s="25" t="str">
        <f>IF(OR(E2593="",E2593="!!!",F2593="NEW"),"",COUNTBLANK(OFFSET(A$1,,,SUMPRODUCT(MAX(ROW(E$2:E2593)*(E2593=E$2:E2593)))))-COUNTBLANK(OFFSET(A$1,,,SUMPRODUCT(MAX(ROW(E$1:E2592)*(E2=E$1:E2592))))))</f>
        <v> </v>
      </c>
      <c r="K2593" s="25" t="str">
        <f>IF(OR(E2593="",E2593="!!!",F2593="NEW"),"",INDEX(J$1:J2592,SUMPRODUCT(MAX(ROW(E$1:E2592)*(E2593=E$1:E2592)))))</f>
        <v> </v>
      </c>
      <c r="L2593" s="26"/>
    </row>
    <row r="2594" spans="1:12">
      <c r="A2594" s="20" t="s">
        <v>632</v>
      </c>
      <c r="E2594" s="21">
        <f>IF(D2594="?OLD","!!!","")</f>
        <v/>
      </c>
      <c r="F2594" s="22" t="str">
        <f>IF(OR(E2594="",E2594="!!!"),"",IF(NOT(ISNA(VLOOKUP(E2594,E$1:E2593,1,FALSE()))),"OLD",IF(AND(E2594&lt;&gt;"",E2594&lt;&gt;"!!!"),"NEW","")))</f>
        <v> </v>
      </c>
      <c r="G2594" s="23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4" t="str">
        <f>IF(J2594&lt;&gt;1,"",IF(I2594="SBJ","CB","?"))</f>
        <v> </v>
      </c>
      <c r="I2594" s="25" t="str">
        <f>IF(OR(E2594="",E2594="!!!",F2594="NEW"),"",INDEX(B2593:B$2,-1+SUMPRODUCT(MAX(ROW(E2593:E$2)*(E2594=E2593:E$2)))))</f>
        <v> </v>
      </c>
      <c r="J2594" s="25" t="str">
        <f>IF(OR(E2594="",E2594="!!!",F2594="NEW"),"",COUNTBLANK(OFFSET(A$1,,,SUMPRODUCT(MAX(ROW(E$2:E2594)*(E2594=E$2:E2594)))))-COUNTBLANK(OFFSET(A$1,,,SUMPRODUCT(MAX(ROW(E$1:E2593)*(E2=E$1:E2593))))))</f>
        <v> </v>
      </c>
      <c r="K2594" s="25" t="str">
        <f>IF(OR(E2594="",E2594="!!!",F2594="NEW"),"",INDEX(J$1:J2593,SUMPRODUCT(MAX(ROW(E$1:E2593)*(E2594=E$1:E2593)))))</f>
        <v> </v>
      </c>
      <c r="L2594" s="26"/>
    </row>
    <row r="2595" spans="1:12">
      <c r="A2595" s="20" t="s">
        <v>737</v>
      </c>
      <c r="E2595" s="21">
        <f>IF(D2595="?OLD","!!!","")</f>
        <v/>
      </c>
      <c r="F2595" s="22" t="str">
        <f>IF(OR(E2595="",E2595="!!!"),"",IF(NOT(ISNA(VLOOKUP(E2595,E$1:E2594,1,FALSE()))),"OLD",IF(AND(E2595&lt;&gt;"",E2595&lt;&gt;"!!!"),"NEW","")))</f>
        <v> </v>
      </c>
      <c r="G2595" s="23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4" t="str">
        <f>IF(J2595&lt;&gt;1,"",IF(I2595="SBJ","CB","?"))</f>
        <v> </v>
      </c>
      <c r="I2595" s="25" t="str">
        <f>IF(OR(E2595="",E2595="!!!",F2595="NEW"),"",INDEX(B2594:B$2,-1+SUMPRODUCT(MAX(ROW(E2594:E$2)*(E2595=E2594:E$2)))))</f>
        <v> </v>
      </c>
      <c r="J2595" s="25" t="str">
        <f>IF(OR(E2595="",E2595="!!!",F2595="NEW"),"",COUNTBLANK(OFFSET(A$1,,,SUMPRODUCT(MAX(ROW(E$2:E2595)*(E2595=E$2:E2595)))))-COUNTBLANK(OFFSET(A$1,,,SUMPRODUCT(MAX(ROW(E$1:E2594)*(E2=E$1:E2594))))))</f>
        <v> </v>
      </c>
      <c r="K2595" s="25" t="str">
        <f>IF(OR(E2595="",E2595="!!!",F2595="NEW"),"",INDEX(J$1:J2594,SUMPRODUCT(MAX(ROW(E$1:E2594)*(E2595=E$1:E2594)))))</f>
        <v> </v>
      </c>
      <c r="L2595" s="26"/>
    </row>
    <row r="2596" spans="1:12">
      <c r="A2596" s="20" t="s">
        <v>1771</v>
      </c>
      <c r="E2596" s="21">
        <f>IF(D2596="?OLD","!!!","")</f>
        <v/>
      </c>
      <c r="F2596" s="22" t="str">
        <f>IF(OR(E2596="",E2596="!!!"),"",IF(NOT(ISNA(VLOOKUP(E2596,E$1:E2595,1,FALSE()))),"OLD",IF(AND(E2596&lt;&gt;"",E2596&lt;&gt;"!!!"),"NEW","")))</f>
        <v> </v>
      </c>
      <c r="G2596" s="23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4" t="str">
        <f>IF(J2596&lt;&gt;1,"",IF(I2596="SBJ","CB","?"))</f>
        <v> </v>
      </c>
      <c r="I2596" s="25" t="str">
        <f>IF(OR(E2596="",E2596="!!!",F2596="NEW"),"",INDEX(B2595:B$2,-1+SUMPRODUCT(MAX(ROW(E2595:E$2)*(E2596=E2595:E$2)))))</f>
        <v> </v>
      </c>
      <c r="J2596" s="25" t="str">
        <f>IF(OR(E2596="",E2596="!!!",F2596="NEW"),"",COUNTBLANK(OFFSET(A$1,,,SUMPRODUCT(MAX(ROW(E$2:E2596)*(E2596=E$2:E2596)))))-COUNTBLANK(OFFSET(A$1,,,SUMPRODUCT(MAX(ROW(E$1:E2595)*(E2=E$1:E2595))))))</f>
        <v> </v>
      </c>
      <c r="K2596" s="25" t="str">
        <f>IF(OR(E2596="",E2596="!!!",F2596="NEW"),"",INDEX(J$1:J2595,SUMPRODUCT(MAX(ROW(E$1:E2595)*(E2596=E$1:E2595)))))</f>
        <v> </v>
      </c>
      <c r="L2596" s="26"/>
    </row>
    <row r="2597" spans="1:12">
      <c r="A2597" s="20" t="s">
        <v>617</v>
      </c>
      <c r="E2597" s="21">
        <f>IF(D2597="?OLD","!!!","")</f>
        <v/>
      </c>
      <c r="F2597" s="22" t="str">
        <f>IF(OR(E2597="",E2597="!!!"),"",IF(NOT(ISNA(VLOOKUP(E2597,E$1:E2596,1,FALSE()))),"OLD",IF(AND(E2597&lt;&gt;"",E2597&lt;&gt;"!!!"),"NEW","")))</f>
        <v> </v>
      </c>
      <c r="G2597" s="23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4" t="str">
        <f>IF(J2597&lt;&gt;1,"",IF(I2597="SBJ","CB","?"))</f>
        <v> </v>
      </c>
      <c r="I2597" s="25" t="str">
        <f>IF(OR(E2597="",E2597="!!!",F2597="NEW"),"",INDEX(B2596:B$2,-1+SUMPRODUCT(MAX(ROW(E2596:E$2)*(E2597=E2596:E$2)))))</f>
        <v> </v>
      </c>
      <c r="J2597" s="25" t="str">
        <f>IF(OR(E2597="",E2597="!!!",F2597="NEW"),"",COUNTBLANK(OFFSET(A$1,,,SUMPRODUCT(MAX(ROW(E$2:E2597)*(E2597=E$2:E2597)))))-COUNTBLANK(OFFSET(A$1,,,SUMPRODUCT(MAX(ROW(E$1:E2596)*(E2=E$1:E2596))))))</f>
        <v> </v>
      </c>
      <c r="K2597" s="25" t="str">
        <f>IF(OR(E2597="",E2597="!!!",F2597="NEW"),"",INDEX(J$1:J2596,SUMPRODUCT(MAX(ROW(E$1:E2596)*(E2597=E$1:E2596)))))</f>
        <v> </v>
      </c>
      <c r="L2597" s="26"/>
    </row>
    <row r="2598" spans="1:12">
      <c r="A2598" s="20" t="s">
        <v>932</v>
      </c>
      <c r="E2598" s="21">
        <f>IF(D2598="?OLD","!!!","")</f>
        <v/>
      </c>
      <c r="F2598" s="22" t="str">
        <f>IF(OR(E2598="",E2598="!!!"),"",IF(NOT(ISNA(VLOOKUP(E2598,E$1:E2597,1,FALSE()))),"OLD",IF(AND(E2598&lt;&gt;"",E2598&lt;&gt;"!!!"),"NEW","")))</f>
        <v> </v>
      </c>
      <c r="G2598" s="23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4" t="str">
        <f>IF(J2598&lt;&gt;1,"",IF(I2598="SBJ","CB","?"))</f>
        <v> </v>
      </c>
      <c r="I2598" s="25" t="str">
        <f>IF(OR(E2598="",E2598="!!!",F2598="NEW"),"",INDEX(B2597:B$2,-1+SUMPRODUCT(MAX(ROW(E2597:E$2)*(E2598=E2597:E$2)))))</f>
        <v> </v>
      </c>
      <c r="J2598" s="25" t="str">
        <f>IF(OR(E2598="",E2598="!!!",F2598="NEW"),"",COUNTBLANK(OFFSET(A$1,,,SUMPRODUCT(MAX(ROW(E$2:E2598)*(E2598=E$2:E2598)))))-COUNTBLANK(OFFSET(A$1,,,SUMPRODUCT(MAX(ROW(E$1:E2597)*(E2=E$1:E2597))))))</f>
        <v> </v>
      </c>
      <c r="K2598" s="25" t="str">
        <f>IF(OR(E2598="",E2598="!!!",F2598="NEW"),"",INDEX(J$1:J2597,SUMPRODUCT(MAX(ROW(E$1:E2597)*(E2598=E$1:E2597)))))</f>
        <v> </v>
      </c>
      <c r="L2598" s="26"/>
    </row>
    <row r="2599" spans="1:12">
      <c r="A2599" s="20" t="s">
        <v>682</v>
      </c>
      <c r="B2599" s="27" t="s">
        <v>636</v>
      </c>
      <c r="C2599" s="27" t="s">
        <v>683</v>
      </c>
      <c r="D2599" s="27" t="s">
        <v>627</v>
      </c>
      <c r="E2599" s="21">
        <f>IF(D2599="?OLD","!!!","")</f>
        <v/>
      </c>
      <c r="F2599" s="22" t="str">
        <f>IF(OR(E2599="",E2599="!!!"),"",IF(NOT(ISNA(VLOOKUP(E2599,E$1:E2598,1,FALSE()))),"OLD",IF(AND(E2599&lt;&gt;"",E2599&lt;&gt;"!!!"),"NEW","")))</f>
        <v> </v>
      </c>
      <c r="G2599" s="23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4" t="str">
        <f>IF(J2599&lt;&gt;1,"",IF(I2599="SBJ","CB","?"))</f>
        <v> </v>
      </c>
      <c r="I2599" s="25" t="str">
        <f>IF(OR(E2599="",E2599="!!!",F2599="NEW"),"",INDEX(B2598:B$2,-1+SUMPRODUCT(MAX(ROW(E2598:E$2)*(E2599=E2598:E$2)))))</f>
        <v> </v>
      </c>
      <c r="J2599" s="25" t="str">
        <f>IF(OR(E2599="",E2599="!!!",F2599="NEW"),"",COUNTBLANK(OFFSET(A$1,,,SUMPRODUCT(MAX(ROW(E$2:E2599)*(E2599=E$2:E2599)))))-COUNTBLANK(OFFSET(A$1,,,SUMPRODUCT(MAX(ROW(E$1:E2598)*(E2=E$1:E2598))))))</f>
        <v> </v>
      </c>
      <c r="K2599" s="25" t="str">
        <f>IF(OR(E2599="",E2599="!!!",F2599="NEW"),"",INDEX(J$1:J2598,SUMPRODUCT(MAX(ROW(E$1:E2598)*(E2599=E$1:E2598)))))</f>
        <v> </v>
      </c>
      <c r="L2599" s="26"/>
    </row>
    <row r="2600" spans="1:12">
      <c r="A2600" s="20" t="s">
        <v>1772</v>
      </c>
      <c r="B2600" s="27" t="s">
        <v>658</v>
      </c>
      <c r="C2600" s="27" t="s">
        <v>640</v>
      </c>
      <c r="D2600" s="27" t="s">
        <v>627</v>
      </c>
      <c r="E2600" s="21">
        <f>IF(D2600="?OLD","!!!","")</f>
        <v/>
      </c>
      <c r="F2600" s="22" t="str">
        <f>IF(OR(E2600="",E2600="!!!"),"",IF(NOT(ISNA(VLOOKUP(E2600,E$1:E2599,1,FALSE()))),"OLD",IF(AND(E2600&lt;&gt;"",E2600&lt;&gt;"!!!"),"NEW","")))</f>
        <v> </v>
      </c>
      <c r="G2600" s="23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4" t="str">
        <f>IF(J2600&lt;&gt;1,"",IF(I2600="SBJ","CB","?"))</f>
        <v> </v>
      </c>
      <c r="I2600" s="25" t="str">
        <f>IF(OR(E2600="",E2600="!!!",F2600="NEW"),"",INDEX(B2599:B$2,-1+SUMPRODUCT(MAX(ROW(E2599:E$2)*(E2600=E2599:E$2)))))</f>
        <v> </v>
      </c>
      <c r="J2600" s="25" t="str">
        <f>IF(OR(E2600="",E2600="!!!",F2600="NEW"),"",COUNTBLANK(OFFSET(A$1,,,SUMPRODUCT(MAX(ROW(E$2:E2600)*(E2600=E$2:E2600)))))-COUNTBLANK(OFFSET(A$1,,,SUMPRODUCT(MAX(ROW(E$1:E2599)*(E2=E$1:E2599))))))</f>
        <v> </v>
      </c>
      <c r="K2600" s="25" t="str">
        <f>IF(OR(E2600="",E2600="!!!",F2600="NEW"),"",INDEX(J$1:J2599,SUMPRODUCT(MAX(ROW(E$1:E2599)*(E2600=E$1:E2599)))))</f>
        <v> </v>
      </c>
      <c r="L2600" s="26"/>
    </row>
    <row r="2601" spans="1:12">
      <c r="A2601" s="20" t="s">
        <v>1773</v>
      </c>
      <c r="E2601" s="21">
        <f>IF(D2601="?OLD","!!!","")</f>
        <v/>
      </c>
      <c r="F2601" s="22" t="str">
        <f>IF(OR(E2601="",E2601="!!!"),"",IF(NOT(ISNA(VLOOKUP(E2601,E$1:E2600,1,FALSE()))),"OLD",IF(AND(E2601&lt;&gt;"",E2601&lt;&gt;"!!!"),"NEW","")))</f>
        <v> </v>
      </c>
      <c r="G2601" s="23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4" t="str">
        <f>IF(J2601&lt;&gt;1,"",IF(I2601="SBJ","CB","?"))</f>
        <v> </v>
      </c>
      <c r="I2601" s="25" t="str">
        <f>IF(OR(E2601="",E2601="!!!",F2601="NEW"),"",INDEX(B2600:B$2,-1+SUMPRODUCT(MAX(ROW(E2600:E$2)*(E2601=E2600:E$2)))))</f>
        <v> </v>
      </c>
      <c r="J2601" s="25" t="str">
        <f>IF(OR(E2601="",E2601="!!!",F2601="NEW"),"",COUNTBLANK(OFFSET(A$1,,,SUMPRODUCT(MAX(ROW(E$2:E2601)*(E2601=E$2:E2601)))))-COUNTBLANK(OFFSET(A$1,,,SUMPRODUCT(MAX(ROW(E$1:E2600)*(E2=E$1:E2600))))))</f>
        <v> </v>
      </c>
      <c r="K2601" s="25" t="str">
        <f>IF(OR(E2601="",E2601="!!!",F2601="NEW"),"",INDEX(J$1:J2600,SUMPRODUCT(MAX(ROW(E$1:E2600)*(E2601=E$1:E2600)))))</f>
        <v> </v>
      </c>
      <c r="L2601" s="26"/>
    </row>
    <row r="2602" spans="1:12">
      <c r="A2602" s="20" t="s">
        <v>1774</v>
      </c>
      <c r="E2602" s="21">
        <f>IF(D2602="?OLD","!!!","")</f>
        <v/>
      </c>
      <c r="F2602" s="22" t="str">
        <f>IF(OR(E2602="",E2602="!!!"),"",IF(NOT(ISNA(VLOOKUP(E2602,E$1:E2601,1,FALSE()))),"OLD",IF(AND(E2602&lt;&gt;"",E2602&lt;&gt;"!!!"),"NEW","")))</f>
        <v> </v>
      </c>
      <c r="G2602" s="23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4" t="str">
        <f>IF(J2602&lt;&gt;1,"",IF(I2602="SBJ","CB","?"))</f>
        <v> </v>
      </c>
      <c r="I2602" s="25" t="str">
        <f>IF(OR(E2602="",E2602="!!!",F2602="NEW"),"",INDEX(B2601:B$2,-1+SUMPRODUCT(MAX(ROW(E2601:E$2)*(E2602=E2601:E$2)))))</f>
        <v> </v>
      </c>
      <c r="J2602" s="25" t="str">
        <f>IF(OR(E2602="",E2602="!!!",F2602="NEW"),"",COUNTBLANK(OFFSET(A$1,,,SUMPRODUCT(MAX(ROW(E$2:E2602)*(E2602=E$2:E2602)))))-COUNTBLANK(OFFSET(A$1,,,SUMPRODUCT(MAX(ROW(E$1:E2601)*(E2=E$1:E2601))))))</f>
        <v> </v>
      </c>
      <c r="K2602" s="25" t="str">
        <f>IF(OR(E2602="",E2602="!!!",F2602="NEW"),"",INDEX(J$1:J2601,SUMPRODUCT(MAX(ROW(E$1:E2601)*(E2602=E$1:E2601)))))</f>
        <v> </v>
      </c>
      <c r="L2602" s="26"/>
    </row>
    <row r="2603" spans="1:12">
      <c r="A2603" s="20" t="s">
        <v>1775</v>
      </c>
      <c r="E2603" s="21">
        <f>IF(D2603="?OLD","!!!","")</f>
        <v/>
      </c>
      <c r="F2603" s="22" t="str">
        <f>IF(OR(E2603="",E2603="!!!"),"",IF(NOT(ISNA(VLOOKUP(E2603,E$1:E2602,1,FALSE()))),"OLD",IF(AND(E2603&lt;&gt;"",E2603&lt;&gt;"!!!"),"NEW","")))</f>
        <v> </v>
      </c>
      <c r="G2603" s="23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4" t="str">
        <f>IF(J2603&lt;&gt;1,"",IF(I2603="SBJ","CB","?"))</f>
        <v> </v>
      </c>
      <c r="I2603" s="25" t="str">
        <f>IF(OR(E2603="",E2603="!!!",F2603="NEW"),"",INDEX(B2602:B$2,-1+SUMPRODUCT(MAX(ROW(E2602:E$2)*(E2603=E2602:E$2)))))</f>
        <v> </v>
      </c>
      <c r="J2603" s="25" t="str">
        <f>IF(OR(E2603="",E2603="!!!",F2603="NEW"),"",COUNTBLANK(OFFSET(A$1,,,SUMPRODUCT(MAX(ROW(E$2:E2603)*(E2603=E$2:E2603)))))-COUNTBLANK(OFFSET(A$1,,,SUMPRODUCT(MAX(ROW(E$1:E2602)*(E2=E$1:E2602))))))</f>
        <v> </v>
      </c>
      <c r="K2603" s="25" t="str">
        <f>IF(OR(E2603="",E2603="!!!",F2603="NEW"),"",INDEX(J$1:J2602,SUMPRODUCT(MAX(ROW(E$1:E2602)*(E2603=E$1:E2602)))))</f>
        <v> </v>
      </c>
      <c r="L2603" s="26"/>
    </row>
    <row r="2604" spans="1:12">
      <c r="A2604" s="20" t="s">
        <v>623</v>
      </c>
      <c r="E2604" s="21">
        <f>IF(D2604="?OLD","!!!","")</f>
        <v/>
      </c>
      <c r="F2604" s="22" t="str">
        <f>IF(OR(E2604="",E2604="!!!"),"",IF(NOT(ISNA(VLOOKUP(E2604,E$1:E2603,1,FALSE()))),"OLD",IF(AND(E2604&lt;&gt;"",E2604&lt;&gt;"!!!"),"NEW","")))</f>
        <v> </v>
      </c>
      <c r="G2604" s="23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4" t="str">
        <f>IF(J2604&lt;&gt;1,"",IF(I2604="SBJ","CB","?"))</f>
        <v> </v>
      </c>
      <c r="I2604" s="25" t="str">
        <f>IF(OR(E2604="",E2604="!!!",F2604="NEW"),"",INDEX(B2603:B$2,-1+SUMPRODUCT(MAX(ROW(E2603:E$2)*(E2604=E2603:E$2)))))</f>
        <v> </v>
      </c>
      <c r="J2604" s="25" t="str">
        <f>IF(OR(E2604="",E2604="!!!",F2604="NEW"),"",COUNTBLANK(OFFSET(A$1,,,SUMPRODUCT(MAX(ROW(E$2:E2604)*(E2604=E$2:E2604)))))-COUNTBLANK(OFFSET(A$1,,,SUMPRODUCT(MAX(ROW(E$1:E2603)*(E2=E$1:E2603))))))</f>
        <v> </v>
      </c>
      <c r="K2604" s="25" t="str">
        <f>IF(OR(E2604="",E2604="!!!",F2604="NEW"),"",INDEX(J$1:J2603,SUMPRODUCT(MAX(ROW(E$1:E2603)*(E2604=E$1:E2603)))))</f>
        <v> </v>
      </c>
      <c r="L2604" s="26"/>
    </row>
    <row r="2605" spans="1:12">
      <c r="A2605" s="20"/>
    </row>
    <row r="2606" spans="1:12">
      <c r="A2606" s="20" t="s">
        <v>1776</v>
      </c>
    </row>
    <row r="2607" spans="1:12">
      <c r="A2607" s="20" t="s">
        <v>1777</v>
      </c>
      <c r="B2607" s="27" t="s">
        <v>613</v>
      </c>
      <c r="E2607" s="21">
        <f>IF(D2607="?OLD","!!!","")</f>
        <v/>
      </c>
      <c r="F2607" s="22" t="str">
        <f>IF(OR(E2607="",E2607="!!!"),"",IF(NOT(ISNA(VLOOKUP(E2607,E$1:E2606,1,FALSE()))),"OLD",IF(AND(E2607&lt;&gt;"",E2607&lt;&gt;"!!!"),"NEW","")))</f>
        <v> </v>
      </c>
      <c r="G2607" s="23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4" t="str">
        <f>IF(J2607&lt;&gt;1,"",IF(I2607="SBJ","CB","?"))</f>
        <v> </v>
      </c>
      <c r="I2607" s="25" t="str">
        <f>IF(OR(E2607="",E2607="!!!",F2607="NEW"),"",INDEX(B2606:B$2,-1+SUMPRODUCT(MAX(ROW(E2606:E$2)*(E2607=E2606:E$2)))))</f>
        <v> </v>
      </c>
      <c r="J2607" s="25" t="str">
        <f>IF(OR(E2607="",E2607="!!!",F2607="NEW"),"",COUNTBLANK(OFFSET(A$1,,,SUMPRODUCT(MAX(ROW(E$2:E2607)*(E2607=E$2:E2607)))))-COUNTBLANK(OFFSET(A$1,,,SUMPRODUCT(MAX(ROW(E$1:E2606)*(E2=E$1:E2606))))))</f>
        <v> </v>
      </c>
      <c r="K2607" s="25" t="str">
        <f>IF(OR(E2607="",E2607="!!!",F2607="NEW"),"",INDEX(J$1:J2606,SUMPRODUCT(MAX(ROW(E$1:E2606)*(E2607=E$1:E2606)))))</f>
        <v> </v>
      </c>
      <c r="L2607" s="26"/>
    </row>
    <row r="2608" spans="1:12">
      <c r="A2608" s="20" t="s">
        <v>1778</v>
      </c>
      <c r="E2608" s="21">
        <f>IF(D2608="?OLD","!!!","")</f>
        <v/>
      </c>
      <c r="F2608" s="22" t="str">
        <f>IF(OR(E2608="",E2608="!!!"),"",IF(NOT(ISNA(VLOOKUP(E2608,E$1:E2607,1,FALSE()))),"OLD",IF(AND(E2608&lt;&gt;"",E2608&lt;&gt;"!!!"),"NEW","")))</f>
        <v> </v>
      </c>
      <c r="G2608" s="23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4" t="str">
        <f>IF(J2608&lt;&gt;1,"",IF(I2608="SBJ","CB","?"))</f>
        <v> </v>
      </c>
      <c r="I2608" s="25" t="str">
        <f>IF(OR(E2608="",E2608="!!!",F2608="NEW"),"",INDEX(B2607:B$2,-1+SUMPRODUCT(MAX(ROW(E2607:E$2)*(E2608=E2607:E$2)))))</f>
        <v> </v>
      </c>
      <c r="J2608" s="25" t="str">
        <f>IF(OR(E2608="",E2608="!!!",F2608="NEW"),"",COUNTBLANK(OFFSET(A$1,,,SUMPRODUCT(MAX(ROW(E$2:E2608)*(E2608=E$2:E2608)))))-COUNTBLANK(OFFSET(A$1,,,SUMPRODUCT(MAX(ROW(E$1:E2607)*(E2=E$1:E2607))))))</f>
        <v> </v>
      </c>
      <c r="K2608" s="25" t="str">
        <f>IF(OR(E2608="",E2608="!!!",F2608="NEW"),"",INDEX(J$1:J2607,SUMPRODUCT(MAX(ROW(E$1:E2607)*(E2608=E$1:E2607)))))</f>
        <v> </v>
      </c>
      <c r="L2608" s="26"/>
    </row>
    <row r="2609" spans="1:12">
      <c r="A2609" s="20" t="s">
        <v>623</v>
      </c>
      <c r="E2609" s="21">
        <f>IF(D2609="?OLD","!!!","")</f>
        <v/>
      </c>
      <c r="F2609" s="22" t="str">
        <f>IF(OR(E2609="",E2609="!!!"),"",IF(NOT(ISNA(VLOOKUP(E2609,E$1:E2608,1,FALSE()))),"OLD",IF(AND(E2609&lt;&gt;"",E2609&lt;&gt;"!!!"),"NEW","")))</f>
        <v> </v>
      </c>
      <c r="G2609" s="23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4" t="str">
        <f>IF(J2609&lt;&gt;1,"",IF(I2609="SBJ","CB","?"))</f>
        <v> </v>
      </c>
      <c r="I2609" s="25" t="str">
        <f>IF(OR(E2609="",E2609="!!!",F2609="NEW"),"",INDEX(B2608:B$2,-1+SUMPRODUCT(MAX(ROW(E2608:E$2)*(E2609=E2608:E$2)))))</f>
        <v> </v>
      </c>
      <c r="J2609" s="25" t="str">
        <f>IF(OR(E2609="",E2609="!!!",F2609="NEW"),"",COUNTBLANK(OFFSET(A$1,,,SUMPRODUCT(MAX(ROW(E$2:E2609)*(E2609=E$2:E2609)))))-COUNTBLANK(OFFSET(A$1,,,SUMPRODUCT(MAX(ROW(E$1:E2608)*(E2=E$1:E2608))))))</f>
        <v> </v>
      </c>
      <c r="K2609" s="25" t="str">
        <f>IF(OR(E2609="",E2609="!!!",F2609="NEW"),"",INDEX(J$1:J2608,SUMPRODUCT(MAX(ROW(E$1:E2608)*(E2609=E$1:E2608)))))</f>
        <v> </v>
      </c>
      <c r="L2609" s="26"/>
    </row>
    <row r="2610" spans="1:12">
      <c r="A2610" s="20"/>
    </row>
    <row r="2611" spans="1:12">
      <c r="A2611" s="20" t="s">
        <v>1779</v>
      </c>
    </row>
    <row r="2612" spans="1:12">
      <c r="A2612" s="20" t="s">
        <v>1453</v>
      </c>
      <c r="E2612" s="21">
        <f>IF(D2612="?OLD","!!!","")</f>
        <v/>
      </c>
      <c r="F2612" s="22" t="str">
        <f>IF(OR(E2612="",E2612="!!!"),"",IF(NOT(ISNA(VLOOKUP(E2612,E$1:E2611,1,FALSE()))),"OLD",IF(AND(E2612&lt;&gt;"",E2612&lt;&gt;"!!!"),"NEW","")))</f>
        <v> </v>
      </c>
      <c r="G2612" s="23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4" t="str">
        <f>IF(J2612&lt;&gt;1,"",IF(I2612="SBJ","CB","?"))</f>
        <v> </v>
      </c>
      <c r="I2612" s="25" t="str">
        <f>IF(OR(E2612="",E2612="!!!",F2612="NEW"),"",INDEX(B2611:B$2,-1+SUMPRODUCT(MAX(ROW(E2611:E$2)*(E2612=E2611:E$2)))))</f>
        <v> </v>
      </c>
      <c r="J2612" s="25" t="str">
        <f>IF(OR(E2612="",E2612="!!!",F2612="NEW"),"",COUNTBLANK(OFFSET(A$1,,,SUMPRODUCT(MAX(ROW(E$2:E2612)*(E2612=E$2:E2612)))))-COUNTBLANK(OFFSET(A$1,,,SUMPRODUCT(MAX(ROW(E$1:E2611)*(E2=E$1:E2611))))))</f>
        <v> </v>
      </c>
      <c r="K2612" s="25" t="str">
        <f>IF(OR(E2612="",E2612="!!!",F2612="NEW"),"",INDEX(J$1:J2611,SUMPRODUCT(MAX(ROW(E$1:E2611)*(E2612=E$1:E2611)))))</f>
        <v> </v>
      </c>
      <c r="L2612" s="26"/>
    </row>
    <row r="2613" spans="1:12">
      <c r="A2613" s="20" t="s">
        <v>1780</v>
      </c>
      <c r="E2613" s="21">
        <f>IF(D2613="?OLD","!!!","")</f>
        <v/>
      </c>
      <c r="F2613" s="22" t="str">
        <f>IF(OR(E2613="",E2613="!!!"),"",IF(NOT(ISNA(VLOOKUP(E2613,E$1:E2612,1,FALSE()))),"OLD",IF(AND(E2613&lt;&gt;"",E2613&lt;&gt;"!!!"),"NEW","")))</f>
        <v> </v>
      </c>
      <c r="G2613" s="23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4" t="str">
        <f>IF(J2613&lt;&gt;1,"",IF(I2613="SBJ","CB","?"))</f>
        <v> </v>
      </c>
      <c r="I2613" s="25" t="str">
        <f>IF(OR(E2613="",E2613="!!!",F2613="NEW"),"",INDEX(B2612:B$2,-1+SUMPRODUCT(MAX(ROW(E2612:E$2)*(E2613=E2612:E$2)))))</f>
        <v> </v>
      </c>
      <c r="J2613" s="25" t="str">
        <f>IF(OR(E2613="",E2613="!!!",F2613="NEW"),"",COUNTBLANK(OFFSET(A$1,,,SUMPRODUCT(MAX(ROW(E$2:E2613)*(E2613=E$2:E2613)))))-COUNTBLANK(OFFSET(A$1,,,SUMPRODUCT(MAX(ROW(E$1:E2612)*(E2=E$1:E2612))))))</f>
        <v> </v>
      </c>
      <c r="K2613" s="25" t="str">
        <f>IF(OR(E2613="",E2613="!!!",F2613="NEW"),"",INDEX(J$1:J2612,SUMPRODUCT(MAX(ROW(E$1:E2612)*(E2613=E$1:E2612)))))</f>
        <v> </v>
      </c>
      <c r="L2613" s="26"/>
    </row>
    <row r="2614" spans="1:12">
      <c r="A2614" s="20" t="s">
        <v>1455</v>
      </c>
      <c r="E2614" s="21">
        <f>IF(D2614="?OLD","!!!","")</f>
        <v/>
      </c>
      <c r="F2614" s="22" t="str">
        <f>IF(OR(E2614="",E2614="!!!"),"",IF(NOT(ISNA(VLOOKUP(E2614,E$1:E2613,1,FALSE()))),"OLD",IF(AND(E2614&lt;&gt;"",E2614&lt;&gt;"!!!"),"NEW","")))</f>
        <v> </v>
      </c>
      <c r="G2614" s="23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4" t="str">
        <f>IF(J2614&lt;&gt;1,"",IF(I2614="SBJ","CB","?"))</f>
        <v> </v>
      </c>
      <c r="I2614" s="25" t="str">
        <f>IF(OR(E2614="",E2614="!!!",F2614="NEW"),"",INDEX(B2613:B$2,-1+SUMPRODUCT(MAX(ROW(E2613:E$2)*(E2614=E2613:E$2)))))</f>
        <v> </v>
      </c>
      <c r="J2614" s="25" t="str">
        <f>IF(OR(E2614="",E2614="!!!",F2614="NEW"),"",COUNTBLANK(OFFSET(A$1,,,SUMPRODUCT(MAX(ROW(E$2:E2614)*(E2614=E$2:E2614)))))-COUNTBLANK(OFFSET(A$1,,,SUMPRODUCT(MAX(ROW(E$1:E2613)*(E2=E$1:E2613))))))</f>
        <v> </v>
      </c>
      <c r="K2614" s="25" t="str">
        <f>IF(OR(E2614="",E2614="!!!",F2614="NEW"),"",INDEX(J$1:J2613,SUMPRODUCT(MAX(ROW(E$1:E2613)*(E2614=E$1:E2613)))))</f>
        <v> </v>
      </c>
      <c r="L2614" s="26"/>
    </row>
    <row r="2615" spans="1:12">
      <c r="A261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2024-12-05T18:03:25Z</dcterms:created>
  <dcterms:modified xsi:type="dcterms:W3CDTF">2024-12-05T18:03:25Z</dcterms:modified>
</cp:coreProperties>
</file>