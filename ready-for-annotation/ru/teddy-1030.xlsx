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<sst xmlns="http://schemas.openxmlformats.org/spreadsheetml/2006/main" count="6597" uniqueCount="2006">
  <si>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</si>
  <si>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</si>
  <si>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</si>
  <si>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</si>
  <si>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</si>
  <si>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</si>
  <si>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</si>
  <si>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</si>
  <si>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</si>
  <si>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</si>
  <si>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</si>
  <si>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</si>
  <si>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</si>
  <si>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говорить</t>
  </si>
  <si>
    <t>Сейчас все говорят о счастье .</t>
  </si>
  <si>
    <t>file://conllu/ru/teddy-1030.conllu#s1_0</t>
  </si>
  <si>
    <t>2</t>
  </si>
  <si>
    <t>просить</t>
  </si>
  <si>
    <t>Однажды я попросил одного человека посчитать все книги со словом &amp;quot; счастье &amp;quot; в названии , опубликованные за последние 5 лет , и он сдался после 40-й , но их , конечно , было еще больше .</t>
  </si>
  <si>
    <t>file://conllu/ru/teddy-1030.conllu#s2_0</t>
  </si>
  <si>
    <t>5</t>
  </si>
  <si>
    <t>огромный</t>
  </si>
  <si>
    <t>Подъем интереса к счастью огромный среди исследователей .</t>
  </si>
  <si>
    <t>file://conllu/ru/teddy-1030.conllu#s3_0</t>
  </si>
  <si>
    <t>4</t>
  </si>
  <si>
    <t>существовать</t>
  </si>
  <si>
    <t>Существует множество тренингов на эту тему .</t>
  </si>
  <si>
    <t>file://conllu/ru/teddy-1030.conllu#s4_0</t>
  </si>
  <si>
    <t>хотеть</t>
  </si>
  <si>
    <t>Каждый хочет сделать людей счастливее .</t>
  </si>
  <si>
    <t>file://conllu/ru/teddy-1030.conllu#s5_0</t>
  </si>
  <si>
    <t>6</t>
  </si>
  <si>
    <t>8</t>
  </si>
  <si>
    <t>Но несмотря на такое обилие литературы , существуют некие когнитивные ловушки , которые практически не позволяют правильно думать о счастье .</t>
  </si>
  <si>
    <t>file://conllu/ru/teddy-1030.conllu#s6_0</t>
  </si>
  <si>
    <t>7</t>
  </si>
  <si>
    <t>посвятить</t>
  </si>
  <si>
    <t>И мое выступление сегодня в основном будет посвящено этим когнитивным ловушкам .</t>
  </si>
  <si>
    <t>file://conllu/ru/teddy-1030.conllu#s7_0</t>
  </si>
  <si>
    <t>касаться</t>
  </si>
  <si>
    <t>Это касается и обычных людей , думающих о своем счастье , и в той же мере ученых , размышляющих о счастье , так как оказывается , что мы все запутались в равной степени .</t>
  </si>
  <si>
    <t>file://conllu/ru/teddy-1030.conllu#s8_0</t>
  </si>
  <si>
    <t>9</t>
  </si>
  <si>
    <t>это (это нежелание)</t>
  </si>
  <si>
    <t>Первая из этих ловушек это нежелание признать , насколько сложно это понятие .</t>
  </si>
  <si>
    <t>file://conllu/ru/teddy-1030.conllu#s9_0</t>
  </si>
  <si>
    <t>10</t>
  </si>
  <si>
    <t>оказываться</t>
  </si>
  <si>
    <t>Оказывается , что слово &amp;quot; счастье &amp;quot; больше не является таким уж полезным словом , потому что мы применяем его по отношению к слишком разным вещам .</t>
  </si>
  <si>
    <t>file://conllu/ru/teddy-1030.conllu#s10_0</t>
  </si>
  <si>
    <t>11</t>
  </si>
  <si>
    <t>думать</t>
  </si>
  <si>
    <t>Думаю , что есть одно конкретное значение , которым мы должны ограничиться , но , в общем и целом , это то , о чем нам придется забыть и выработать более комплексный взгляд на то , что такое благополучие .</t>
  </si>
  <si>
    <t>file://conllu/ru/teddy-1030.conllu#s11_0</t>
  </si>
  <si>
    <t>12</t>
  </si>
  <si>
    <t>это (это смешение)</t>
  </si>
  <si>
    <t>Вторая ловушка это смешение опыта и памяти : то есть между состоянием счастья в жизни и ощущением счастья относительно своей жизни или ощущением , что жизнь тебя устраивает .</t>
  </si>
  <si>
    <t>file://conllu/ru/teddy-1030.conllu#s12_0</t>
  </si>
  <si>
    <t>13</t>
  </si>
  <si>
    <t>концепция</t>
  </si>
  <si>
    <t>Это две абсолютно разные концепции , но обе они обычно объединяются в одно понятие счастья .</t>
  </si>
  <si>
    <t>file://conllu/ru/teddy-1030.conllu#s13_0</t>
  </si>
  <si>
    <t>14</t>
  </si>
  <si>
    <t>третий</t>
  </si>
  <si>
    <t>И третья это иллюзия фокуса , и это печальный факт , что мы не можем думать о каком либо обстоятельстве , которое влияет на наше благополучие , не искажая его значимости .</t>
  </si>
  <si>
    <t>file://conllu/ru/teddy-1030.conllu#s14_0</t>
  </si>
  <si>
    <t>15</t>
  </si>
  <si>
    <t>ловушка</t>
  </si>
  <si>
    <t>Это самая настоящая когнитивная ловушка .</t>
  </si>
  <si>
    <t>file://conllu/ru/teddy-1030.conllu#s15_0</t>
  </si>
  <si>
    <t>16</t>
  </si>
  <si>
    <t>несуществовать</t>
  </si>
  <si>
    <t>И просто несуществует способа понять все это верно .</t>
  </si>
  <si>
    <t>file://conllu/ru/teddy-1030.conllu#s16_0</t>
  </si>
  <si>
    <t>17</t>
  </si>
  <si>
    <t>хотеться</t>
  </si>
  <si>
    <t>Мне бы хотелось начать с примера человека , который принял участие в сессии вопросов и ответов после одной из моих лекций и рассказал историю ( неразборчиво ) Он рассказал , как однажды он слушал симфонию , и это была просто восхитительная музыка , но в самом конце записи раздался ужасный скрежещущий звук .</t>
  </si>
  <si>
    <t>file://conllu/ru/teddy-1030.conllu#s17_0</t>
  </si>
  <si>
    <t>18</t>
  </si>
  <si>
    <t>добавить</t>
  </si>
  <si>
    <t>И затем он добавил , довольно эмоционально , что это испортило все переживание .</t>
  </si>
  <si>
    <t>file://conllu/ru/teddy-1030.conllu#s18_0</t>
  </si>
  <si>
    <t>19</t>
  </si>
  <si>
    <t>так</t>
  </si>
  <si>
    <t>Но это не так .</t>
  </si>
  <si>
    <t>file://conllu/ru/teddy-1030.conllu#s19_0</t>
  </si>
  <si>
    <t>20</t>
  </si>
  <si>
    <t>испортить</t>
  </si>
  <si>
    <t>Это испортило воспоминание о переживании .</t>
  </si>
  <si>
    <t>file://conllu/ru/teddy-1030.conllu#s20_0</t>
  </si>
  <si>
    <t>21</t>
  </si>
  <si>
    <t>испытать</t>
  </si>
  <si>
    <t>Он испытал этот опыт .</t>
  </si>
  <si>
    <t>file://conllu/ru/teddy-1030.conllu#s21_0</t>
  </si>
  <si>
    <t>22</t>
  </si>
  <si>
    <t>Он испытал 20 минут прекрасной музыки .</t>
  </si>
  <si>
    <t>file://conllu/ru/teddy-1030.conllu#s22_0</t>
  </si>
  <si>
    <t>23</t>
  </si>
  <si>
    <t>Потому?</t>
  </si>
  <si>
    <t>иметь</t>
  </si>
  <si>
    <t>Но они не имели никакого значения , потому что все , чтот осталось его воспоминание ; воспоминание было испорчено , и воспоминание было единственным , что у него осталось .</t>
  </si>
  <si>
    <t>file://conllu/ru/teddy-1030.conllu#s23_0</t>
  </si>
  <si>
    <t>24</t>
  </si>
  <si>
    <t>состоять</t>
  </si>
  <si>
    <t>И вывод из этого , на самом деле , состоит в том , что мы , возможно , воспринимаем себя и других через призму двух я .</t>
  </si>
  <si>
    <t>file://conllu/ru/teddy-1030.conllu#s24_0</t>
  </si>
  <si>
    <t>25</t>
  </si>
  <si>
    <t>один</t>
  </si>
  <si>
    <t>Одно это наше испытывающее я , тот , кто живет в настоящий момент , и знает только настоящее , и может пережить прошлый опыт , но , по сути , имеет только настоящее .</t>
  </si>
  <si>
    <t>file://conllu/ru/teddy-1030.conllu#s25_0</t>
  </si>
  <si>
    <t>26</t>
  </si>
  <si>
    <t>спрашивать (спрашивать знать)</t>
  </si>
  <si>
    <t>Это то испытывающее я , к которому обращается врач , ну , вы знаете , когда он спрашивает , &amp;quot; Вам больно , когда я здесь дотрагиваюсь ? &amp;quot;</t>
  </si>
  <si>
    <t>file://conllu/ru/teddy-1030.conllu#s26_0</t>
  </si>
  <si>
    <t>27</t>
  </si>
  <si>
    <t>быть</t>
  </si>
  <si>
    <t>И есть помнящее я , и помнящее я это то , которое ведет счет , и хранит историю нашей жизни , и это то , к которому врач обращается с вопросом , &amp;quot; Как вы себя чувствуете в последнее время ? &amp;quot; или &amp;quot; Как прошла ваша поездка в Албанию ? &amp;quot; , ну или что-нибудь подобное .</t>
  </si>
  <si>
    <t>file://conllu/ru/teddy-1030.conllu#s27_0</t>
  </si>
  <si>
    <t>28</t>
  </si>
  <si>
    <t>сущность</t>
  </si>
  <si>
    <t>Это две совершенно разные сущности , испытывающее я и помнящее я , и путаница между ними создает неразбериху с понятием счастья .</t>
  </si>
  <si>
    <t>file://conllu/ru/teddy-1030.conllu#s28_0</t>
  </si>
  <si>
    <t>29</t>
  </si>
  <si>
    <t>это (это рассказчик)</t>
  </si>
  <si>
    <t>Помнящее я это рассказчик историй .</t>
  </si>
  <si>
    <t>file://conllu/ru/teddy-1030.conllu#s29_0</t>
  </si>
  <si>
    <t>30</t>
  </si>
  <si>
    <t>начинаться</t>
  </si>
  <si>
    <t>И это начинается с базового отклика наших воспоминаний начинается сразу же .</t>
  </si>
  <si>
    <t>file://conllu/ru/teddy-1030.conllu#s30_0</t>
  </si>
  <si>
    <t>31</t>
  </si>
  <si>
    <t>рассказывать</t>
  </si>
  <si>
    <t>Мы рассказываем истории не только тогда , когда намереваемся их рассказать .</t>
  </si>
  <si>
    <t>file://conllu/ru/teddy-1030.conllu#s31_0</t>
  </si>
  <si>
    <t>32</t>
  </si>
  <si>
    <t>Наша память рассказывает нам истории , все , что мы выносим из нашего опыта , является историей .</t>
  </si>
  <si>
    <t>file://conllu/ru/teddy-1030.conllu#s32_0</t>
  </si>
  <si>
    <t>33</t>
  </si>
  <si>
    <t>позволить</t>
  </si>
  <si>
    <t>И позвольте мне привести один пример .</t>
  </si>
  <si>
    <t>file://conllu/ru/teddy-1030.conllu#s33_0</t>
  </si>
  <si>
    <t>34</t>
  </si>
  <si>
    <t>исследование</t>
  </si>
  <si>
    <t>Это одно давнее исследование .</t>
  </si>
  <si>
    <t>file://conllu/ru/teddy-1030.conllu#s34_0</t>
  </si>
  <si>
    <t>35</t>
  </si>
  <si>
    <t>проходить</t>
  </si>
  <si>
    <t>Реальные пациенты проходят болезненную процедуру .</t>
  </si>
  <si>
    <t>file://conllu/ru/teddy-1030.conllu#s35_0</t>
  </si>
  <si>
    <t>36</t>
  </si>
  <si>
    <t>углубляться</t>
  </si>
  <si>
    <t>Я не буду углубляться в детали .</t>
  </si>
  <si>
    <t>file://conllu/ru/teddy-1030.conllu#s36_0</t>
  </si>
  <si>
    <t>37</t>
  </si>
  <si>
    <t>безболезненный</t>
  </si>
  <si>
    <t>В наши дни это безболезненно , но тогда , в 1990-х , было иначе .</t>
  </si>
  <si>
    <t>file://conllu/ru/teddy-1030.conllu#s37_0</t>
  </si>
  <si>
    <t>38</t>
  </si>
  <si>
    <t>Их попросили рассказывать о своих ощущениях каждую минуту .</t>
  </si>
  <si>
    <t>file://conllu/ru/teddy-1030.conllu#s38_0</t>
  </si>
  <si>
    <t>39</t>
  </si>
  <si>
    <t>вот</t>
  </si>
  <si>
    <t>Вот два пациента .</t>
  </si>
  <si>
    <t>file://conllu/ru/teddy-1030.conllu#s39_0</t>
  </si>
  <si>
    <t>40</t>
  </si>
  <si>
    <t>данные</t>
  </si>
  <si>
    <t>И их данные .</t>
  </si>
  <si>
    <t>file://conllu/ru/teddy-1030.conllu#s40_0</t>
  </si>
  <si>
    <t>41</t>
  </si>
  <si>
    <t>Кто?</t>
  </si>
  <si>
    <t>спрашивать</t>
  </si>
  <si>
    <t>И вас спрашивают : &amp;quot; Кто из них страдал больше ? &amp;quot;</t>
  </si>
  <si>
    <t>file://conllu/ru/teddy-1030.conllu#s41_0</t>
  </si>
  <si>
    <t>42</t>
  </si>
  <si>
    <t>вопрос</t>
  </si>
  <si>
    <t>И это очень простой вопрос .</t>
  </si>
  <si>
    <t>file://conllu/ru/teddy-1030.conllu#s42_0</t>
  </si>
  <si>
    <t>43</t>
  </si>
  <si>
    <t>ясный</t>
  </si>
  <si>
    <t>Ясно , что Пациент Б страдал больше .</t>
  </si>
  <si>
    <t>file://conllu/ru/teddy-1030.conllu#s43_0</t>
  </si>
  <si>
    <t>44</t>
  </si>
  <si>
    <t>быть (быть долгий)</t>
  </si>
  <si>
    <t>Его колоноскопия была дольше , И каждую минуту боли , которую перенес Пациент А , Пациент Б также перенес , плюс дополнительное время .</t>
  </si>
  <si>
    <t>file://conllu/ru/teddy-1030.conllu#s44_0</t>
  </si>
  <si>
    <t>45</t>
  </si>
  <si>
    <t>появляться</t>
  </si>
  <si>
    <t>Но появляется другой вопрос : &amp;quot; Насколько сильно , по мнению самих пациентов , они страдали ? &amp;quot;</t>
  </si>
  <si>
    <t>file://conllu/ru/teddy-1030.conllu#s45_0</t>
  </si>
  <si>
    <t>46</t>
  </si>
  <si>
    <t>ожидать</t>
  </si>
  <si>
    <t>И здесь нас ожидает сюрприз .</t>
  </si>
  <si>
    <t>file://conllu/ru/teddy-1030.conllu#s46_0</t>
  </si>
  <si>
    <t>47</t>
  </si>
  <si>
    <t>Он состоит в том , что воспоминания Пациента А о колоноскопии гораздо хуже , чем у Пациента Б. Истории этих процедур были разными , и поскольку очень важная их часть это то , как они заканчиваются , и ни одна из них не воодушевляет особенно но одна из них определ . . .</t>
  </si>
  <si>
    <t>file://conllu/ru/teddy-1030.conllu#s47_0</t>
  </si>
  <si>
    <t>48</t>
  </si>
  <si>
    <t>смех</t>
  </si>
  <si>
    <t>( Смех ) но одна из них определенно хуже , чем другая .</t>
  </si>
  <si>
    <t>file://conllu/ru/teddy-1030.conllu#s48_0</t>
  </si>
  <si>
    <t>49</t>
  </si>
  <si>
    <t>тот</t>
  </si>
  <si>
    <t>И та , которая хуже , это та , в которой сильнее всего боль была в конце процедуры .</t>
  </si>
  <si>
    <t>file://conllu/ru/teddy-1030.conllu#s49_0</t>
  </si>
  <si>
    <t>50</t>
  </si>
  <si>
    <t>история</t>
  </si>
  <si>
    <t>Это плохая история .</t>
  </si>
  <si>
    <t>file://conllu/ru/teddy-1030.conllu#s50_0</t>
  </si>
  <si>
    <t>51</t>
  </si>
  <si>
    <t>знать</t>
  </si>
  <si>
    <t>Откуда мы это знаем ?</t>
  </si>
  <si>
    <t>file://conllu/ru/teddy-1030.conllu#s51_0</t>
  </si>
  <si>
    <t>52</t>
  </si>
  <si>
    <t>Потому что мы спрашивали людей после колоноскопии , а также гораздо позже .</t>
  </si>
  <si>
    <t>file://conllu/ru/teddy-1030.conllu#s52_0</t>
  </si>
  <si>
    <t>53</t>
  </si>
  <si>
    <t>&amp;quot; Насколько плохо все было , в общем и целом ? &amp;quot;</t>
  </si>
  <si>
    <t>file://conllu/ru/teddy-1030.conllu#s53_0</t>
  </si>
  <si>
    <t>54</t>
  </si>
  <si>
    <t>быть (быть плохой)</t>
  </si>
  <si>
    <t>И для А по воспоминаниям это было намного хуже , чем для Б . И появляется прямой конфликт между испытывающим и помнящим я .</t>
  </si>
  <si>
    <t>file://conllu/ru/teddy-1030.conllu#s54_0</t>
  </si>
  <si>
    <t>55</t>
  </si>
  <si>
    <t>очевидный</t>
  </si>
  <si>
    <t>С точки зрения испытывающего я , очевидно , что Пациент Б пережил более тяжелый опыт .</t>
  </si>
  <si>
    <t>file://conllu/ru/teddy-1030.conllu#s55_0</t>
  </si>
  <si>
    <t>56</t>
  </si>
  <si>
    <t>можно</t>
  </si>
  <si>
    <t>И теперь что можно попробовать с пациентом А , и мы на самом деле провели клинические исследования , и это сработало , вы можете продлить колоноскопию пациента А , оставив трубку внутри , но не двигая ее слишком сильно .</t>
  </si>
  <si>
    <t>file://conllu/ru/teddy-1030.conllu#s56_0</t>
  </si>
  <si>
    <t>57</t>
  </si>
  <si>
    <t>доставить</t>
  </si>
  <si>
    <t>Это доставит пациенту неприятные ощущения , но не сильную боль , гораздо меньше , чем до этого .</t>
  </si>
  <si>
    <t>file://conllu/ru/teddy-1030.conllu#s57_0</t>
  </si>
  <si>
    <t>58</t>
  </si>
  <si>
    <t>ставить</t>
  </si>
  <si>
    <t>И , если делать это в течение пары минут , вы поставите испытывающее я пациента А в худшее положение , но его помнящее я в гораздо лучшее , потому что теперь вы дали пациенту А лучшую историю о пережитом им опыте .</t>
  </si>
  <si>
    <t>file://conllu/ru/teddy-1030.conllu#s58_0</t>
  </si>
  <si>
    <t>59</t>
  </si>
  <si>
    <t>определять</t>
  </si>
  <si>
    <t>Что определяет общий тон истории ?</t>
  </si>
  <si>
    <t>file://conllu/ru/teddy-1030.conllu#s59_0</t>
  </si>
  <si>
    <t>60</t>
  </si>
  <si>
    <t>применимый</t>
  </si>
  <si>
    <t>И это применимо к историям , которые нам предоставляет память , а также к историям , которые мы придумываем .</t>
  </si>
  <si>
    <t>file://conllu/ru/teddy-1030.conllu#s60_0</t>
  </si>
  <si>
    <t>61</t>
  </si>
  <si>
    <t>Историю определяют перемены , значительные моменты и концовка .</t>
  </si>
  <si>
    <t>file://conllu/ru/teddy-1030.conllu#s61_0</t>
  </si>
  <si>
    <t>62</t>
  </si>
  <si>
    <t>важный</t>
  </si>
  <si>
    <t>Конец очень , очень важен , и , в данном случае , конец был решающим .</t>
  </si>
  <si>
    <t>file://conllu/ru/teddy-1030.conllu#s62_0</t>
  </si>
  <si>
    <t>63</t>
  </si>
  <si>
    <t>Итак?</t>
  </si>
  <si>
    <t>жить</t>
  </si>
  <si>
    <t>Итак , испытывающее я живет продолжительной жизнью .</t>
  </si>
  <si>
    <t>file://conllu/ru/teddy-1030.conllu#s63_0</t>
  </si>
  <si>
    <t>64</t>
  </si>
  <si>
    <t>У него есть моменты опыта , один за другим .</t>
  </si>
  <si>
    <t>file://conllu/ru/teddy-1030.conllu#s64_0</t>
  </si>
  <si>
    <t>65</t>
  </si>
  <si>
    <t>спросить</t>
  </si>
  <si>
    <t>И если вы спросите : что происходит с этими моментами ?</t>
  </si>
  <si>
    <t>file://conllu/ru/teddy-1030.conllu#s65_0</t>
  </si>
  <si>
    <t>66</t>
  </si>
  <si>
    <t>простой</t>
  </si>
  <si>
    <t>Ответ очень простой .</t>
  </si>
  <si>
    <t>file://conllu/ru/teddy-1030.conllu#s66_0</t>
  </si>
  <si>
    <t>67</t>
  </si>
  <si>
    <t>исчезать</t>
  </si>
  <si>
    <t>Они исчезают навсегда .</t>
  </si>
  <si>
    <t>file://conllu/ru/teddy-1030.conllu#s67_0</t>
  </si>
  <si>
    <t>68</t>
  </si>
  <si>
    <t>Я говорю о том , что большинство моментов нашей жизни и я подсчитал знаете , психологическое настоящее длится три секунды .</t>
  </si>
  <si>
    <t>file://conllu/ru/teddy-1030.conllu#s68_0</t>
  </si>
  <si>
    <t>69</t>
  </si>
  <si>
    <t>означать</t>
  </si>
  <si>
    <t>Что означает , представьте , в жизни их около 600 миллионов .</t>
  </si>
  <si>
    <t>file://conllu/ru/teddy-1030.conllu#s69_0</t>
  </si>
  <si>
    <t>70</t>
  </si>
  <si>
    <t>600 000</t>
  </si>
  <si>
    <t>В месяц около 600 000 .</t>
  </si>
  <si>
    <t>file://conllu/ru/teddy-1030.conllu#s70_0</t>
  </si>
  <si>
    <t>71</t>
  </si>
  <si>
    <t>оставлять</t>
  </si>
  <si>
    <t>Большая их часть не оставляет никакого следа .</t>
  </si>
  <si>
    <t>file://conllu/ru/teddy-1030.conllu#s71_0</t>
  </si>
  <si>
    <t>72</t>
  </si>
  <si>
    <t>игнорировать</t>
  </si>
  <si>
    <t>Большинство из них полностью игнорируется помнящим я .</t>
  </si>
  <si>
    <t>file://conllu/ru/teddy-1030.conllu#s72_0</t>
  </si>
  <si>
    <t>73</t>
  </si>
  <si>
    <t>создаваться</t>
  </si>
  <si>
    <t>И все-таки , каким-то образом создается впечатление , что они должны иметь значение , что то , что происходит во время этих моментов это наша жизнь .</t>
  </si>
  <si>
    <t>file://conllu/ru/teddy-1030.conllu#s73_0</t>
  </si>
  <si>
    <t>74</t>
  </si>
  <si>
    <t>Пока?</t>
  </si>
  <si>
    <t>ресурс</t>
  </si>
  <si>
    <t>Это ограниченный ресурс , который мы расходуем , пока находимся на этой земле .</t>
  </si>
  <si>
    <t>file://conllu/ru/teddy-1030.conllu#s74_0</t>
  </si>
  <si>
    <t>75</t>
  </si>
  <si>
    <t>казаться</t>
  </si>
  <si>
    <t>И как его потратить кажется вполне уместным вопросом , но это не та история , которую помнящее я сохраняет для нас .</t>
  </si>
  <si>
    <t>file://conllu/ru/teddy-1030.conllu#s75_0</t>
  </si>
  <si>
    <t>76</t>
  </si>
  <si>
    <t>Итак , у нас есть помнящее я и испытывающее я , и они действительно довольно серьезно отличаются друг от друга .</t>
  </si>
  <si>
    <t>file://conllu/ru/teddy-1030.conllu#s76_0</t>
  </si>
  <si>
    <t>77</t>
  </si>
  <si>
    <t>заключаться</t>
  </si>
  <si>
    <t>Самое большое их различие заключается в их подходе ко времени .</t>
  </si>
  <si>
    <t>file://conllu/ru/teddy-1030.conllu#s77_0</t>
  </si>
  <si>
    <t>78</t>
  </si>
  <si>
    <t>находиться</t>
  </si>
  <si>
    <t>С точки зрения испытывающего я если вы находитесь в отпуске , и вторая неделя вашей поездки так же хороша , как первая , тогда двухнедельная поездка должна быть вдвое лучше , чем однонедельная .</t>
  </si>
  <si>
    <t>file://conllu/ru/teddy-1030.conllu#s78_0</t>
  </si>
  <si>
    <t>79</t>
  </si>
  <si>
    <t>работать</t>
  </si>
  <si>
    <t>Но для помнящего я это работает иначе .</t>
  </si>
  <si>
    <t>file://conllu/ru/teddy-1030.conllu#s79_0</t>
  </si>
  <si>
    <t>80</t>
  </si>
  <si>
    <t>помнить</t>
  </si>
  <si>
    <t>Для помнящего я двухнедельная поездка едва ли лучше , чем однонедельная , потому что новые впечатления не добавляются .</t>
  </si>
  <si>
    <t>file://conllu/ru/teddy-1030.conllu#s80_0</t>
  </si>
  <si>
    <t>81</t>
  </si>
  <si>
    <t>меняться</t>
  </si>
  <si>
    <t>История не меняется .</t>
  </si>
  <si>
    <t>file://conllu/ru/teddy-1030.conllu#s81_0</t>
  </si>
  <si>
    <t>82</t>
  </si>
  <si>
    <t>ракурс</t>
  </si>
  <si>
    <t>И в этом ракурсе время критическая переменная , которая отличает помнящее я от испытывающего .</t>
  </si>
  <si>
    <t>file://conllu/ru/teddy-1030.conllu#s82_0</t>
  </si>
  <si>
    <t>83</t>
  </si>
  <si>
    <t>воздействовать</t>
  </si>
  <si>
    <t>Время слабо воздействует на эту историю .</t>
  </si>
  <si>
    <t>file://conllu/ru/teddy-1030.conllu#s83_0</t>
  </si>
  <si>
    <t>84</t>
  </si>
  <si>
    <t>рассказывать (рассказывать запоминать)</t>
  </si>
  <si>
    <t>Кроме этого , помнящее я не только запоминает и рассказывает истории .</t>
  </si>
  <si>
    <t>file://conllu/ru/teddy-1030.conllu#s84_0</t>
  </si>
  <si>
    <t>85</t>
  </si>
  <si>
    <t>принимать</t>
  </si>
  <si>
    <t>В действительности это оно принимает решения , потому что , если у вас пациент , у которого было , скажем , две колоноскопии у двух разных хирургов , и он решает , какого их них выбрать , в этом случае выбор падет на того , о ком воспоминание менее негативное , именно того хирурга он выберет .</t>
  </si>
  <si>
    <t>file://conllu/ru/teddy-1030.conllu#s85_0</t>
  </si>
  <si>
    <t>86</t>
  </si>
  <si>
    <t>Испытывающее я в этом выборе голоса не имеет .</t>
  </si>
  <si>
    <t>file://conllu/ru/teddy-1030.conllu#s86_0</t>
  </si>
  <si>
    <t>87</t>
  </si>
  <si>
    <t>выбирать</t>
  </si>
  <si>
    <t>На самом деле мы выбираем не между двумя опытами .</t>
  </si>
  <si>
    <t>file://conllu/ru/teddy-1030.conllu#s87_0</t>
  </si>
  <si>
    <t>88</t>
  </si>
  <si>
    <t>Мы выбираем между двумя воспоминаниями об опыте .</t>
  </si>
  <si>
    <t>file://conllu/ru/teddy-1030.conllu#s88_0</t>
  </si>
  <si>
    <t>89</t>
  </si>
  <si>
    <t>думать (думать думать)</t>
  </si>
  <si>
    <t>И даже когда мы думаем о будущем , мы обычно не думаем о нашем будущем как об опыте .</t>
  </si>
  <si>
    <t>file://conllu/ru/teddy-1030.conllu#s89_0</t>
  </si>
  <si>
    <t>90</t>
  </si>
  <si>
    <t>Мы думаем о нашем будущем , как о предвкушаемом воспоминании .</t>
  </si>
  <si>
    <t>file://conllu/ru/teddy-1030.conllu#s90_0</t>
  </si>
  <si>
    <t>91</t>
  </si>
  <si>
    <t>И , знаете , в целом на это можно смотреть , как на тиранию помнящего я , и можно сказать , что помнящее я словно тащит испытывающее я через тот опыт , который испытывающему я и не нужен .</t>
  </si>
  <si>
    <t>file://conllu/ru/teddy-1030.conllu#s91_0</t>
  </si>
  <si>
    <t>92</t>
  </si>
  <si>
    <t>У меня есть ощущение , что когда мы едем в отпуска , часто бывает так , что мы едем в отпуск , в значительной степени , чтобы ублажить наше помнящее я .</t>
  </si>
  <si>
    <t>file://conllu/ru/teddy-1030.conllu#s92_0</t>
  </si>
  <si>
    <t>93</t>
  </si>
  <si>
    <t>сложный</t>
  </si>
  <si>
    <t>И несколько сложно найти этому оправдание , я думаю .</t>
  </si>
  <si>
    <t>file://conllu/ru/teddy-1030.conllu#s93_0</t>
  </si>
  <si>
    <t>94</t>
  </si>
  <si>
    <t>то</t>
  </si>
  <si>
    <t>Я к тому , что насколько часто мы потом возвращаемся к нашим воспоминаниям ?</t>
  </si>
  <si>
    <t>file://conllu/ru/teddy-1030.conllu#s94_0</t>
  </si>
  <si>
    <t>95</t>
  </si>
  <si>
    <t>Это одно из объяснений , которое дается доминированию помнящего я .</t>
  </si>
  <si>
    <t>file://conllu/ru/teddy-1030.conllu#s95_0</t>
  </si>
  <si>
    <t>96</t>
  </si>
  <si>
    <t>И когда я думаю об этом , я думаю об отпуске , когда мы ездили в Антарктику несколько лет назад , что совершенно точно было моей самой лучшей поездкой , и я вспоминаю о ней достаточно часто , относительно того , как редко я думаю о других поездках .</t>
  </si>
  <si>
    <t>file://conllu/ru/teddy-1030.conllu#s96_0</t>
  </si>
  <si>
    <t>97</t>
  </si>
  <si>
    <t>возвращаться</t>
  </si>
  <si>
    <t>Я , возможно , возвращался к моим воспоминания о том трехнедельном путешествии , я бы сказал , на протяжении около 25 минут за последние четыре года .</t>
  </si>
  <si>
    <t>file://conllu/ru/teddy-1030.conllu#s97_0</t>
  </si>
  <si>
    <t>98</t>
  </si>
  <si>
    <t>тратить</t>
  </si>
  <si>
    <t>Кроме того , если бы я когда-либо открыл папку с 600 фотографиями , я бы потратил еще час .</t>
  </si>
  <si>
    <t>file://conllu/ru/teddy-1030.conllu#s98_0</t>
  </si>
  <si>
    <t>99</t>
  </si>
  <si>
    <t>неделя</t>
  </si>
  <si>
    <t>И теперь это три недели недели и максимум полтора часа .</t>
  </si>
  <si>
    <t>file://conllu/ru/teddy-1030.conllu#s99_0</t>
  </si>
  <si>
    <t>100</t>
  </si>
  <si>
    <t>Казалось бы , здесь есть несоответствие .</t>
  </si>
  <si>
    <t>file://conllu/ru/teddy-1030.conllu#s100_0</t>
  </si>
  <si>
    <t>101</t>
  </si>
  <si>
    <t>являться</t>
  </si>
  <si>
    <t>И я , может быть , являюсь нехарактерным случаем , потому что у меня очень слабый аппетит на воспоминания , но даже если вы занимаетесь этим больше , чем я , возникает искренний вопрос .</t>
  </si>
  <si>
    <t>file://conllu/ru/teddy-1030.conllu#s101_0</t>
  </si>
  <si>
    <t>102</t>
  </si>
  <si>
    <t>придавать</t>
  </si>
  <si>
    <t>Почему мы придаем такое высокое значение памяти в сравнении со значением опыта ?</t>
  </si>
  <si>
    <t>file://conllu/ru/teddy-1030.conllu#s102_0</t>
  </si>
  <si>
    <t>103</t>
  </si>
  <si>
    <t>Итак , я хочу , чтобы вы подумали о мысленном эксперименте .</t>
  </si>
  <si>
    <t>file://conllu/ru/teddy-1030.conllu#s103_0</t>
  </si>
  <si>
    <t>104</t>
  </si>
  <si>
    <t>представить</t>
  </si>
  <si>
    <t>Представьте вашу следующую поездку в отпуск .</t>
  </si>
  <si>
    <t>file://conllu/ru/teddy-1030.conllu#s104_0</t>
  </si>
  <si>
    <t>105</t>
  </si>
  <si>
    <t>И представьте , что вы знаете , что в конце ее все ваши фотографии будут уничтожены и вы примете препарат амнезирующего действия , так что вы ничего не будете помнить .</t>
  </si>
  <si>
    <t>file://conllu/ru/teddy-1030.conllu#s105_0</t>
  </si>
  <si>
    <t>106</t>
  </si>
  <si>
    <t>выбрать</t>
  </si>
  <si>
    <t>Ну , вы все еще выбрали бы ту же самую поездку ?</t>
  </si>
  <si>
    <t>file://conllu/ru/teddy-1030.conllu#s106_0</t>
  </si>
  <si>
    <t>107</t>
  </si>
  <si>
    <t>возникать</t>
  </si>
  <si>
    <t>( Смех ) И , если бы вы выбрали другой вариант , здесь возникает конфликт между двумя вашими я , и вам нужно подумать о том , как его разрешить , и на самом деле это далеко не так просто , потому что если вы мыслите через призму времени , ответ один .</t>
  </si>
  <si>
    <t>file://conllu/ru/teddy-1030.conllu#s107_0</t>
  </si>
  <si>
    <t>108</t>
  </si>
  <si>
    <t>призма</t>
  </si>
  <si>
    <t>А если через призму памяти ответ другой .</t>
  </si>
  <si>
    <t>file://conllu/ru/teddy-1030.conllu#s108_0</t>
  </si>
  <si>
    <t>109</t>
  </si>
  <si>
    <t>Почему мы выбираем те или иные поездки это проблема , которая ставит нас перед выбором между двумя я .</t>
  </si>
  <si>
    <t>file://conllu/ru/teddy-1030.conllu#s109_0</t>
  </si>
  <si>
    <t>110</t>
  </si>
  <si>
    <t>Далее?</t>
  </si>
  <si>
    <t>влечь</t>
  </si>
  <si>
    <t>Далее , два я влекут за собой два понятия счастья .</t>
  </si>
  <si>
    <t>file://conllu/ru/teddy-1030.conllu#s110_0</t>
  </si>
  <si>
    <t>111</t>
  </si>
  <si>
    <t>Действительно существуют две концепции счастья , которые мы можем использовать , каждая для соответствующего я .</t>
  </si>
  <si>
    <t>file://conllu/ru/teddy-1030.conllu#s111_0</t>
  </si>
  <si>
    <t>112</t>
  </si>
  <si>
    <t>Вы спросите : насколько счастливо испытывающее я ?</t>
  </si>
  <si>
    <t>file://conllu/ru/teddy-1030.conllu#s112_0</t>
  </si>
  <si>
    <t>113</t>
  </si>
  <si>
    <t>И затем : насколько счастливыми являются моменты в жизни испытывающего я ?</t>
  </si>
  <si>
    <t>file://conllu/ru/teddy-1030.conllu#s113_0</t>
  </si>
  <si>
    <t>114</t>
  </si>
  <si>
    <t>И все это – счастье на моменты является довольно сложным процессом .</t>
  </si>
  <si>
    <t>file://conllu/ru/teddy-1030.conllu#s114_0</t>
  </si>
  <si>
    <t>115</t>
  </si>
  <si>
    <t>каков</t>
  </si>
  <si>
    <t>Каковы чувства , которые можно измерить ?</t>
  </si>
  <si>
    <t>file://conllu/ru/teddy-1030.conllu#s115_0</t>
  </si>
  <si>
    <t>116</t>
  </si>
  <si>
    <t>состояние</t>
  </si>
  <si>
    <t>И , кстати , теперь мы в состоянии довольно сносно понять идею счастья испытывающего я во времени .</t>
  </si>
  <si>
    <t>file://conllu/ru/teddy-1030.conllu#s116_0</t>
  </si>
  <si>
    <t>117</t>
  </si>
  <si>
    <t>нечто</t>
  </si>
  <si>
    <t>Если вы спросите про счастье помнящего я , это нечто совершенно другое .</t>
  </si>
  <si>
    <t>file://conllu/ru/teddy-1030.conllu#s117_0</t>
  </si>
  <si>
    <t>118</t>
  </si>
  <si>
    <t>Это не то , насколько счастливо кто-то живет .</t>
  </si>
  <si>
    <t>file://conllu/ru/teddy-1030.conllu#s118_0</t>
  </si>
  <si>
    <t>119</t>
  </si>
  <si>
    <t>Это о том , насколько удовлетворен или доволен человек , когда он думает о своей жизни .</t>
  </si>
  <si>
    <t>file://conllu/ru/teddy-1030.conllu#s119_0</t>
  </si>
  <si>
    <t>120</t>
  </si>
  <si>
    <t>понятие</t>
  </si>
  <si>
    <t>Очень разные понятия .</t>
  </si>
  <si>
    <t>file://conllu/ru/teddy-1030.conllu#s120_0</t>
  </si>
  <si>
    <t>121</t>
  </si>
  <si>
    <t>запутаться</t>
  </si>
  <si>
    <t>Тот , кто не делает между ними различия , обязательно запутается в понимании счастья , и я сам из тех студентов благополучия , которые довольно долго путались в изучении счастья именно таким образом .</t>
  </si>
  <si>
    <t>file://conllu/ru/teddy-1030.conllu#s121_0</t>
  </si>
  <si>
    <t>122</t>
  </si>
  <si>
    <t>делать</t>
  </si>
  <si>
    <t>Различие между счастьем испытывающего я и удовлетворением помнящего я было сделано не так давно , и сейчас делаются попытки измерить оба состояния по отдельности , Организация Гэллап провела международный опрос , в котором приняли участие пол миллиона человек и ответили на вопросы , что они думают о своей жизни и своем опыте .</t>
  </si>
  <si>
    <t>file://conllu/ru/teddy-1030.conllu#s122_0</t>
  </si>
  <si>
    <t>123</t>
  </si>
  <si>
    <t>делаться</t>
  </si>
  <si>
    <t>Помимо этого делаются и другие попытки .</t>
  </si>
  <si>
    <t>file://conllu/ru/teddy-1030.conllu#s123_0</t>
  </si>
  <si>
    <t>124</t>
  </si>
  <si>
    <t>начать</t>
  </si>
  <si>
    <t>Так , в последнее время мы начали изучать счастье через призму двух я .</t>
  </si>
  <si>
    <t>file://conllu/ru/teddy-1030.conllu#s124_0</t>
  </si>
  <si>
    <t>125</t>
  </si>
  <si>
    <t>И главный урок , я думаю , который мы усвоили , это то , что они действительно очень отличаются друг от друга .</t>
  </si>
  <si>
    <t>file://conllu/ru/teddy-1030.conllu#s125_0</t>
  </si>
  <si>
    <t>126</t>
  </si>
  <si>
    <t>мочь</t>
  </si>
  <si>
    <t>Вы можете знать , насколько кто-либо удовлетворен своей жизнью , но это не дает вам понимания того , насколько счастливо он живет свою жизнь , и наоборот .</t>
  </si>
  <si>
    <t>file://conllu/ru/teddy-1030.conllu#s126_0</t>
  </si>
  <si>
    <t>127</t>
  </si>
  <si>
    <t>просто</t>
  </si>
  <si>
    <t>Просто , чтобы дать вам понимание соотношения , соотношение примерно ½ .</t>
  </si>
  <si>
    <t>file://conllu/ru/teddy-1030.conllu#s127_0</t>
  </si>
  <si>
    <t>128</t>
  </si>
  <si>
    <t>Что означает , если вы встретили кого-то и вам сказали , что рост его отца шесть футов , сколько бы вы узнали о его собственном росте ?</t>
  </si>
  <si>
    <t>file://conllu/ru/teddy-1030.conllu#s128_0</t>
  </si>
  <si>
    <t>129</t>
  </si>
  <si>
    <t>То есть?</t>
  </si>
  <si>
    <t>узнать</t>
  </si>
  <si>
    <t>То есть , вы бы узнали кое-что о его росте , но неопределенность здесь очень велика .</t>
  </si>
  <si>
    <t>file://conllu/ru/teddy-1030.conllu#s129_0</t>
  </si>
  <si>
    <t>130</t>
  </si>
  <si>
    <t>быть (быть вы)</t>
  </si>
  <si>
    <t>Ровно столько же неуверенности будет у вас , если я скажу вам , что кто-то поставил себе 8 по 10 бальной шкале , оценивая свою жизнь , тут большая неопределенность , насколько они счастливы с точки зрения испытывающего я .</t>
  </si>
  <si>
    <t>file://conllu/ru/teddy-1030.conllu#s130_0</t>
  </si>
  <si>
    <t>131</t>
  </si>
  <si>
    <t>низкий</t>
  </si>
  <si>
    <t>Так что соотношение крайне низко .</t>
  </si>
  <si>
    <t>file://conllu/ru/teddy-1030.conllu#s131_0</t>
  </si>
  <si>
    <t>132</t>
  </si>
  <si>
    <t>Мы кое-что знаем о том , что контролирует уровень удовлетворенности счастьем для я .</t>
  </si>
  <si>
    <t>file://conllu/ru/teddy-1030.conllu#s132_0</t>
  </si>
  <si>
    <t>133</t>
  </si>
  <si>
    <t>известный</t>
  </si>
  <si>
    <t>Нам известно , что деньги важны , цели очень важны Мы знаем , что счастье часто обусловлено удовлетворением людьми , которые нам нравятся , проведением времени с ними .</t>
  </si>
  <si>
    <t>file://conllu/ru/teddy-1030.conllu#s133_0</t>
  </si>
  <si>
    <t>134</t>
  </si>
  <si>
    <t>Есть и другие удовольствия , но это самые важные .</t>
  </si>
  <si>
    <t>file://conllu/ru/teddy-1030.conllu#s134_0</t>
  </si>
  <si>
    <t>135</t>
  </si>
  <si>
    <t>прийтись</t>
  </si>
  <si>
    <t>Так что если вы хотите , сделать счастье двух я максимальным , вам в конечном итоге придется делать две совершенно разные вещи .</t>
  </si>
  <si>
    <t>file://conllu/ru/teddy-1030.conllu#s135_0</t>
  </si>
  <si>
    <t>136</t>
  </si>
  <si>
    <t>должен</t>
  </si>
  <si>
    <t>Главная моя мысль мы не должны воспринимать счастье как замену благополучия .</t>
  </si>
  <si>
    <t>file://conllu/ru/teddy-1030.conllu#s136_0</t>
  </si>
  <si>
    <t>137</t>
  </si>
  <si>
    <t>Это совсем другое понятие .</t>
  </si>
  <si>
    <t>file://conllu/ru/teddy-1030.conllu#s137_0</t>
  </si>
  <si>
    <t>138</t>
  </si>
  <si>
    <t>быстро</t>
  </si>
  <si>
    <t>И теперь , очень быстро , еще одна причина , по которой мы не можем четко понимать счастье это то , что мы обращаем внимание на разные вещи , когда мы думаем и жизни и когда мы действительно ее проживаем .</t>
  </si>
  <si>
    <t>file://conllu/ru/teddy-1030.conllu#s138_0</t>
  </si>
  <si>
    <t>139</t>
  </si>
  <si>
    <t>дать</t>
  </si>
  <si>
    <t>Так что , если спросить , насколько счастливы люди в Калифорнии , правильного ответа вам не дадут .</t>
  </si>
  <si>
    <t>file://conllu/ru/teddy-1030.conllu#s139_0</t>
  </si>
  <si>
    <t>140</t>
  </si>
  <si>
    <t>Когда вы задаете этот вопрос , вы думаете , что там люди должно быть счастливее , если , допустим , вы живете в Огайо .</t>
  </si>
  <si>
    <t>file://conllu/ru/teddy-1030.conllu#s140_0</t>
  </si>
  <si>
    <t>141</t>
  </si>
  <si>
    <t>происходить</t>
  </si>
  <si>
    <t>( Смех ) И что происходит : когда вы думаете о жизни в Калифорнии , вы думаете о контрасте между ней и другими местами , и разницей , например , в климате .</t>
  </si>
  <si>
    <t>file://conllu/ru/teddy-1030.conllu#s141_0</t>
  </si>
  <si>
    <t>142</t>
  </si>
  <si>
    <t>Но оказывается , что климат не особенно важен для испытывающего я и даже не особо важен для рефлексирующего я , которое решает , насколько человек счастлив .</t>
  </si>
  <si>
    <t>file://conllu/ru/teddy-1030.conllu#s142_0</t>
  </si>
  <si>
    <t>143</t>
  </si>
  <si>
    <t>Но теперь , поскольку рефлексирующее я берет бразды правления в свои руки , результатом может стать для некоторых людей переезд в Калифорнию .</t>
  </si>
  <si>
    <t>file://conllu/ru/teddy-1030.conllu#s143_0</t>
  </si>
  <si>
    <t>144</t>
  </si>
  <si>
    <t>любопытный</t>
  </si>
  <si>
    <t>И довольно любопытно проследить , что происходит с людьми , которые туда едут в надежде стать счастливее .</t>
  </si>
  <si>
    <t>file://conllu/ru/teddy-1030.conllu#s144_0</t>
  </si>
  <si>
    <t>145</t>
  </si>
  <si>
    <t>стать</t>
  </si>
  <si>
    <t>Ну , испытывающее я не станет счастливее .</t>
  </si>
  <si>
    <t>file://conllu/ru/teddy-1030.conllu#s145_0</t>
  </si>
  <si>
    <t>146</t>
  </si>
  <si>
    <t>Это мы знаем точно .</t>
  </si>
  <si>
    <t>file://conllu/ru/teddy-1030.conllu#s146_0</t>
  </si>
  <si>
    <t>147</t>
  </si>
  <si>
    <t>случиться</t>
  </si>
  <si>
    <t>Но вот что случится .</t>
  </si>
  <si>
    <t>file://conllu/ru/teddy-1030.conllu#s147_0</t>
  </si>
  <si>
    <t>148</t>
  </si>
  <si>
    <t>считать</t>
  </si>
  <si>
    <t>Они будут считать себя счастливее , потому что , когда они будут думать об этом , они будут вспоминать ужасную погоду в Огайо .</t>
  </si>
  <si>
    <t>file://conllu/ru/teddy-1030.conllu#s148_0</t>
  </si>
  <si>
    <t>149</t>
  </si>
  <si>
    <t>подумать</t>
  </si>
  <si>
    <t>И они подумают , что приняли верное решение .</t>
  </si>
  <si>
    <t>file://conllu/ru/teddy-1030.conllu#s149_0</t>
  </si>
  <si>
    <t>150</t>
  </si>
  <si>
    <t>непростой</t>
  </si>
  <si>
    <t>Очень непросто думать однозначно о благополучии , и , я надеюсь , что донес до вас , насколько это сложно .</t>
  </si>
  <si>
    <t>file://conllu/ru/teddy-1030.conllu#s150_0</t>
  </si>
  <si>
    <t>151</t>
  </si>
  <si>
    <t>спасибо</t>
  </si>
  <si>
    <t>Спасибо .</t>
  </si>
  <si>
    <t>file://conllu/ru/teddy-1030.conllu#s151_0</t>
  </si>
  <si>
    <t>152</t>
  </si>
  <si>
    <t>аплодисменты</t>
  </si>
  <si>
    <t>( Аплодисменты ) Крис Андерсон : Спасибо .</t>
  </si>
  <si>
    <t>file://conllu/ru/teddy-1030.conllu#s152_0</t>
  </si>
  <si>
    <t>153</t>
  </si>
  <si>
    <t>я</t>
  </si>
  <si>
    <t>У меня к Вам вопрос .</t>
  </si>
  <si>
    <t>file://conllu/ru/teddy-1030.conllu#s153_0</t>
  </si>
  <si>
    <t>154</t>
  </si>
  <si>
    <t>Спасибо Вам большое .</t>
  </si>
  <si>
    <t>file://conllu/ru/teddy-1030.conllu#s154_0</t>
  </si>
  <si>
    <t>155</t>
  </si>
  <si>
    <t>говорить (говорить упомянуть)</t>
  </si>
  <si>
    <t>Когда мы с Вами говорили по телефону несколько недель назад , Вы упомянули о довольно интересном результате , полученном Гэллап .</t>
  </si>
  <si>
    <t>file://conllu/ru/teddy-1030.conllu#s155_0</t>
  </si>
  <si>
    <t>156</t>
  </si>
  <si>
    <t>Можете ли Вы рассказать нам немного об этом , раз у вас еще осталось немного времени ?</t>
  </si>
  <si>
    <t>file://conllu/ru/teddy-1030.conllu#s156_0</t>
  </si>
  <si>
    <t>157</t>
  </si>
  <si>
    <t>Даниэль</t>
  </si>
  <si>
    <t>Даниэль Канеман : Конечно .</t>
  </si>
  <si>
    <t>file://conllu/ru/teddy-1030.conllu#s157_0</t>
  </si>
  <si>
    <t>158</t>
  </si>
  <si>
    <t>Думаю , самым интересным результатом этого опроса было число , которе мы никак не ожидали получить .</t>
  </si>
  <si>
    <t>file://conllu/ru/teddy-1030.conllu#s158_0</t>
  </si>
  <si>
    <t>159</t>
  </si>
  <si>
    <t>получить</t>
  </si>
  <si>
    <t>Мы получили его в связи с счастьем испытывающего я .</t>
  </si>
  <si>
    <t>file://conllu/ru/teddy-1030.conllu#s159_0</t>
  </si>
  <si>
    <t>160</t>
  </si>
  <si>
    <t>оказаться</t>
  </si>
  <si>
    <t>Когда мы проследили , как чувства варьируются в зависимости от доходов , оказалось , если доход ниже 60 000 долларов в год , для американцев , и сегмент там доволньо большой около 600 000 , но это большой сегмент представителей , с доходом меньше 600 000 долларов в год . . .</t>
  </si>
  <si>
    <t>file://conllu/ru/teddy-1030.conllu#s160_0</t>
  </si>
  <si>
    <t>161</t>
  </si>
  <si>
    <t>к</t>
  </si>
  <si>
    <t>КА : 60 000 .</t>
  </si>
  <si>
    <t>file://conllu/ru/teddy-1030.conllu#s161_0</t>
  </si>
  <si>
    <t>162</t>
  </si>
  <si>
    <t>Дк</t>
  </si>
  <si>
    <t>ДК : 60 000 .</t>
  </si>
  <si>
    <t>file://conllu/ru/teddy-1030.conllu#s162_0</t>
  </si>
  <si>
    <t>163</t>
  </si>
  <si>
    <t>доллар</t>
  </si>
  <si>
    <t>60 000 долларов в год , люди несчастны , и чем беднее они , тем более они несчастны .</t>
  </si>
  <si>
    <t>file://conllu/ru/teddy-1030.conllu#s163_0</t>
  </si>
  <si>
    <t>164</t>
  </si>
  <si>
    <t>получать</t>
  </si>
  <si>
    <t>Но все , что выше этой цифры мы получаем абсолютно ровную прямую .</t>
  </si>
  <si>
    <t>file://conllu/ru/teddy-1030.conllu#s164_0</t>
  </si>
  <si>
    <t>165</t>
  </si>
  <si>
    <t>видеть</t>
  </si>
  <si>
    <t>Серьезно , я редко видел настолько прямые графики .</t>
  </si>
  <si>
    <t>file://conllu/ru/teddy-1030.conllu#s165_0</t>
  </si>
  <si>
    <t>166</t>
  </si>
  <si>
    <t>То есть очевидно , что деньги не покупают вам эмпирическое счастье , но их нехватка стопроцентно приводит к несчастью , и мы можем его измерить очень , очень четко .</t>
  </si>
  <si>
    <t>file://conllu/ru/teddy-1030.conllu#s166_0</t>
  </si>
  <si>
    <t>167</t>
  </si>
  <si>
    <t>иной</t>
  </si>
  <si>
    <t>Что касается второго я , помнящего , тут ситуация иная .</t>
  </si>
  <si>
    <t>file://conllu/ru/teddy-1030.conllu#s167_0</t>
  </si>
  <si>
    <t>168</t>
  </si>
  <si>
    <t>высокий</t>
  </si>
  <si>
    <t>Чем выше доход , тем больше удовлетвореннсть .</t>
  </si>
  <si>
    <t>file://conllu/ru/teddy-1030.conllu#s168_0</t>
  </si>
  <si>
    <t>169</t>
  </si>
  <si>
    <t>Это не касается чувств .</t>
  </si>
  <si>
    <t>file://conllu/ru/teddy-1030.conllu#s169_0</t>
  </si>
  <si>
    <t>170</t>
  </si>
  <si>
    <t>КА : Но , Данни , все американсие стремления направлены на жизнь , свободу , стремление к счастью .</t>
  </si>
  <si>
    <t>file://conllu/ru/teddy-1030.conllu#s170_0</t>
  </si>
  <si>
    <t>171</t>
  </si>
  <si>
    <t>перевернуть</t>
  </si>
  <si>
    <t>Если это открытие будет воспринято всерьез , это перевернет с ног на голову все , во что мы верим , например , систему налогообложения и так далее .</t>
  </si>
  <si>
    <t>file://conllu/ru/teddy-1030.conllu#s171_0</t>
  </si>
  <si>
    <t>172</t>
  </si>
  <si>
    <t>Есть ли вероятность , что государственные деятели , страна в целом , воспримет подобное исследование всерьез и будем придерживаться социальной политики , основанной на нем ?</t>
  </si>
  <si>
    <t>file://conllu/ru/teddy-1030.conllu#s172_0</t>
  </si>
  <si>
    <t>173</t>
  </si>
  <si>
    <t>ДК : Знаете , официальное признание исследования роли счастья в социальной политике есть .</t>
  </si>
  <si>
    <t>file://conllu/ru/teddy-1030.conllu#s173_0</t>
  </si>
  <si>
    <t>174</t>
  </si>
  <si>
    <t>присходить</t>
  </si>
  <si>
    <t>Оно медленно присходит в США , без сомнения , но это происходит в Великобритании и в других странах .</t>
  </si>
  <si>
    <t>file://conllu/ru/teddy-1030.conllu#s174_0</t>
  </si>
  <si>
    <t>175</t>
  </si>
  <si>
    <t>осознавать</t>
  </si>
  <si>
    <t>Люди осознают , что они должны принимать счастье во внимание , когда они думают о социальной политике .</t>
  </si>
  <si>
    <t>file://conllu/ru/teddy-1030.conllu#s175_0</t>
  </si>
  <si>
    <t>176</t>
  </si>
  <si>
    <t>занять</t>
  </si>
  <si>
    <t>Это займет немало времени , и люди будут спорить о том , хотят ли они исследовать эмпирическое счастье или оценку качества жизни , так что нам нужно будет обсудить это достаточно скоро .</t>
  </si>
  <si>
    <t>file://conllu/ru/teddy-1030.conllu#s176_0</t>
  </si>
  <si>
    <t>177</t>
  </si>
  <si>
    <t>Как повысить счастье , это может происходить по разному в зависимости от вашего образа мышления , и от того , думаете ли вы о помнящем я или испытывающем я .</t>
  </si>
  <si>
    <t>file://conllu/ru/teddy-1030.conllu#s177_0</t>
  </si>
  <si>
    <t>178</t>
  </si>
  <si>
    <t>Это будет иметь воздействие на политику .</t>
  </si>
  <si>
    <t>file://conllu/ru/teddy-1030.conllu#s178_0</t>
  </si>
  <si>
    <t>179</t>
  </si>
  <si>
    <t>В ближайшие годы , я думаю .</t>
  </si>
  <si>
    <t>file://conllu/ru/teddy-1030.conllu#s179_0</t>
  </si>
  <si>
    <t>180</t>
  </si>
  <si>
    <t>В США делаются попытки измерить уровень эмпирического счастья населения .</t>
  </si>
  <si>
    <t>file://conllu/ru/teddy-1030.conllu#s180_0</t>
  </si>
  <si>
    <t>181</t>
  </si>
  <si>
    <t>Думаю , в течение следующей декады или двух это станет частью национальной статистики .</t>
  </si>
  <si>
    <t>file://conllu/ru/teddy-1030.conllu#s181_0</t>
  </si>
  <si>
    <t>182</t>
  </si>
  <si>
    <t>КА : Ну , мне кажется , эта проблема будет , или по крайней мере должна стать темой самой интересной политической дискуссии в ближайшие несколько лет .</t>
  </si>
  <si>
    <t>file://conllu/ru/teddy-1030.conllu#s182_0</t>
  </si>
  <si>
    <t>183</t>
  </si>
  <si>
    <t>Большое вам спасибо за открытие бихевиористской экономики .</t>
  </si>
  <si>
    <t>file://conllu/ru/teddy-1030.conllu#s183_0</t>
  </si>
  <si>
    <t>184</t>
  </si>
  <si>
    <t>Спасибо , Данни Канеман .</t>
  </si>
  <si>
    <t>file://conllu/ru/teddy-1030.conllu#s184_0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</si>
  <si>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</si>
  <si>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</si>
  <si>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</si>
  <si>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</si>
  <si>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</si>
  <si>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</si>
  <si>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</si>
  <si>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</si>
  <si>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</si>
  <si>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</si>
  <si>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</si>
  <si>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Сейчас все говорят о счастье.</t>
  </si>
  <si>
    <t>Сейчас</t>
  </si>
  <si>
    <t>все</t>
  </si>
  <si>
    <t>SBJ</t>
  </si>
  <si>
    <t>pron</t>
  </si>
  <si>
    <t>?OLD</t>
  </si>
  <si>
    <t>говорят</t>
  </si>
  <si>
    <t>о</t>
  </si>
  <si>
    <t>счастье</t>
  </si>
  <si>
    <t>.</t>
  </si>
  <si>
    <t>--</t>
  </si>
  <si>
    <t># text = Однажды я попросил одного человека посчитать все книги со словом \"счастье\" в названии, опубликованные за последние 5 лет, и он сдался после 40-й, но их, конечно, было еще больше.</t>
  </si>
  <si>
    <t>Однажды</t>
  </si>
  <si>
    <t>попросил</t>
  </si>
  <si>
    <t>одного</t>
  </si>
  <si>
    <t>человека</t>
  </si>
  <si>
    <t>OBJ_2</t>
  </si>
  <si>
    <t>indef-np.quant</t>
  </si>
  <si>
    <t>посчитать</t>
  </si>
  <si>
    <t>книги</t>
  </si>
  <si>
    <t>other_2</t>
  </si>
  <si>
    <t>со</t>
  </si>
  <si>
    <t>словом</t>
  </si>
  <si>
    <t>&amp;quot;</t>
  </si>
  <si>
    <t>в</t>
  </si>
  <si>
    <t>названии</t>
  </si>
  <si>
    <t>,</t>
  </si>
  <si>
    <t>опубликованные</t>
  </si>
  <si>
    <t>за</t>
  </si>
  <si>
    <t>последние</t>
  </si>
  <si>
    <t>лет</t>
  </si>
  <si>
    <t>other_6</t>
  </si>
  <si>
    <t>и</t>
  </si>
  <si>
    <t>он</t>
  </si>
  <si>
    <t>SBJ_2</t>
  </si>
  <si>
    <t>сдался</t>
  </si>
  <si>
    <t>после</t>
  </si>
  <si>
    <t>40-й</t>
  </si>
  <si>
    <t>но</t>
  </si>
  <si>
    <t>их</t>
  </si>
  <si>
    <t>конечно</t>
  </si>
  <si>
    <t>было</t>
  </si>
  <si>
    <t>еще</t>
  </si>
  <si>
    <t>больше</t>
  </si>
  <si>
    <t># text = Подъем интереса к счастью огромный среди исследователей.</t>
  </si>
  <si>
    <t>Подъем</t>
  </si>
  <si>
    <t>интереса</t>
  </si>
  <si>
    <t>счастью</t>
  </si>
  <si>
    <t>среди</t>
  </si>
  <si>
    <t>исследователей</t>
  </si>
  <si>
    <t># text = Существует множество тренингов на эту тему.</t>
  </si>
  <si>
    <t>Существует</t>
  </si>
  <si>
    <t>множество</t>
  </si>
  <si>
    <t>тренингов</t>
  </si>
  <si>
    <t>на</t>
  </si>
  <si>
    <t>эту</t>
  </si>
  <si>
    <t>тему</t>
  </si>
  <si>
    <t>other_3</t>
  </si>
  <si>
    <t>def-np.dem</t>
  </si>
  <si>
    <t># text = Каждый хочет сделать людей счастливее.</t>
  </si>
  <si>
    <t>Каждый</t>
  </si>
  <si>
    <t>хочет</t>
  </si>
  <si>
    <t>сделать</t>
  </si>
  <si>
    <t>людей</t>
  </si>
  <si>
    <t>счастливее</t>
  </si>
  <si>
    <t># text = Но несмотря на такое обилие литературы, существуют некие когнитивные ловушки, которые практически не позволяют правильно думать о счастье.</t>
  </si>
  <si>
    <t>Но</t>
  </si>
  <si>
    <t>несмотря</t>
  </si>
  <si>
    <t>такое</t>
  </si>
  <si>
    <t>обилие</t>
  </si>
  <si>
    <t>other</t>
  </si>
  <si>
    <t>pron.pds</t>
  </si>
  <si>
    <t>литературы</t>
  </si>
  <si>
    <t>существуют</t>
  </si>
  <si>
    <t>некие</t>
  </si>
  <si>
    <t>когнитивные</t>
  </si>
  <si>
    <t>ловушки</t>
  </si>
  <si>
    <t>indef-np</t>
  </si>
  <si>
    <t>которые</t>
  </si>
  <si>
    <t>SBJ_3</t>
  </si>
  <si>
    <t>pron.pint</t>
  </si>
  <si>
    <t>практически</t>
  </si>
  <si>
    <t>не</t>
  </si>
  <si>
    <t>позволяют</t>
  </si>
  <si>
    <t>правильно</t>
  </si>
  <si>
    <t># text = И мое выступление сегодня в основном будет посвящено этим когнитивным ловушкам.</t>
  </si>
  <si>
    <t>И</t>
  </si>
  <si>
    <t>мое</t>
  </si>
  <si>
    <t>pron.ppos</t>
  </si>
  <si>
    <t>выступление</t>
  </si>
  <si>
    <t>сегодня</t>
  </si>
  <si>
    <t>основном</t>
  </si>
  <si>
    <t>будет</t>
  </si>
  <si>
    <t>посвящено</t>
  </si>
  <si>
    <t>этим</t>
  </si>
  <si>
    <t>когнитивным</t>
  </si>
  <si>
    <t>ловушкам</t>
  </si>
  <si>
    <t>OBJ</t>
  </si>
  <si>
    <t># text = Это касается и обычных людей, думающих о своем счастье, и в той же мере ученых, размышляющих о счастье, так как оказывается, что мы все запутались в равной степени.</t>
  </si>
  <si>
    <t>Это</t>
  </si>
  <si>
    <t>касается</t>
  </si>
  <si>
    <t>обычных</t>
  </si>
  <si>
    <t>думающих</t>
  </si>
  <si>
    <t>своем</t>
  </si>
  <si>
    <t>той</t>
  </si>
  <si>
    <t>же</t>
  </si>
  <si>
    <t>мере</t>
  </si>
  <si>
    <t>ученых</t>
  </si>
  <si>
    <t>размышляющих</t>
  </si>
  <si>
    <t>как</t>
  </si>
  <si>
    <t>оказывается</t>
  </si>
  <si>
    <t>что</t>
  </si>
  <si>
    <t>мы</t>
  </si>
  <si>
    <t>запутались</t>
  </si>
  <si>
    <t>равной</t>
  </si>
  <si>
    <t>степени</t>
  </si>
  <si>
    <t># text = Первая из этих ловушек -- это нежелание признать, насколько сложно это понятие.</t>
  </si>
  <si>
    <t>Первая</t>
  </si>
  <si>
    <t>из</t>
  </si>
  <si>
    <t>этих</t>
  </si>
  <si>
    <t>ловушек</t>
  </si>
  <si>
    <t>это</t>
  </si>
  <si>
    <t>нежелание</t>
  </si>
  <si>
    <t>признать</t>
  </si>
  <si>
    <t>насколько</t>
  </si>
  <si>
    <t>сложно</t>
  </si>
  <si>
    <t># text = Оказывается, что слово \"счастье\" больше не является таким уж полезным словом, потому что мы применяем его по отношению к слишком разным вещам.</t>
  </si>
  <si>
    <t>Оказывается</t>
  </si>
  <si>
    <t>слово</t>
  </si>
  <si>
    <t>является</t>
  </si>
  <si>
    <t>таким</t>
  </si>
  <si>
    <t>уж</t>
  </si>
  <si>
    <t>полезным</t>
  </si>
  <si>
    <t>потому</t>
  </si>
  <si>
    <t>применяем</t>
  </si>
  <si>
    <t>его</t>
  </si>
  <si>
    <t>OBJ_3</t>
  </si>
  <si>
    <t>по</t>
  </si>
  <si>
    <t>отношению</t>
  </si>
  <si>
    <t>слишком</t>
  </si>
  <si>
    <t>разным</t>
  </si>
  <si>
    <t>вещам</t>
  </si>
  <si>
    <t># text = Думаю, что есть одно конкретное значение, которым мы должны ограничиться, но, в общем и целом, это то, о чем нам придется забыть и выработать более комплексный взгляд на то, что такое благополучие.</t>
  </si>
  <si>
    <t>Думаю</t>
  </si>
  <si>
    <t>есть</t>
  </si>
  <si>
    <t>одно</t>
  </si>
  <si>
    <t>конкретное</t>
  </si>
  <si>
    <t>значение</t>
  </si>
  <si>
    <t>которым</t>
  </si>
  <si>
    <t>other_5</t>
  </si>
  <si>
    <t>SBJ_4</t>
  </si>
  <si>
    <t>должны</t>
  </si>
  <si>
    <t>ограничиться</t>
  </si>
  <si>
    <t>общем</t>
  </si>
  <si>
    <t>целом</t>
  </si>
  <si>
    <t>SBJ_5</t>
  </si>
  <si>
    <t>other_4</t>
  </si>
  <si>
    <t>чем</t>
  </si>
  <si>
    <t>нам</t>
  </si>
  <si>
    <t>OBJ_6</t>
  </si>
  <si>
    <t>придется</t>
  </si>
  <si>
    <t>забыть</t>
  </si>
  <si>
    <t>выработать</t>
  </si>
  <si>
    <t>более</t>
  </si>
  <si>
    <t>комплексный</t>
  </si>
  <si>
    <t>взгляд</t>
  </si>
  <si>
    <t>OBJ_8</t>
  </si>
  <si>
    <t>def-np.poss</t>
  </si>
  <si>
    <t>other_9</t>
  </si>
  <si>
    <t>other_10</t>
  </si>
  <si>
    <t>благополучие</t>
  </si>
  <si>
    <t>SBJ_11</t>
  </si>
  <si>
    <t># text = Вторая ловушка -- это смешение опыта и памяти: то есть между состоянием счастья в жизни и ощущением счастья относительно своей жизни или ощущением, что жизнь тебя устраивает.</t>
  </si>
  <si>
    <t>Вторая</t>
  </si>
  <si>
    <t>смешение</t>
  </si>
  <si>
    <t>опыта</t>
  </si>
  <si>
    <t>памяти</t>
  </si>
  <si>
    <t>:</t>
  </si>
  <si>
    <t>между</t>
  </si>
  <si>
    <t>состоянием</t>
  </si>
  <si>
    <t>счастья</t>
  </si>
  <si>
    <t>жизни</t>
  </si>
  <si>
    <t>ощущением</t>
  </si>
  <si>
    <t>относительно</t>
  </si>
  <si>
    <t>своей</t>
  </si>
  <si>
    <t>или</t>
  </si>
  <si>
    <t>жизнь</t>
  </si>
  <si>
    <t>тебя</t>
  </si>
  <si>
    <t>устраивает</t>
  </si>
  <si>
    <t># text = Это две абсолютно разные концепции, но обе они обычно объединяются в одно понятие счастья.</t>
  </si>
  <si>
    <t>две</t>
  </si>
  <si>
    <t>абсолютно</t>
  </si>
  <si>
    <t>разные</t>
  </si>
  <si>
    <t>концепции</t>
  </si>
  <si>
    <t>обе</t>
  </si>
  <si>
    <t>они</t>
  </si>
  <si>
    <t>обычно</t>
  </si>
  <si>
    <t>объединяются</t>
  </si>
  <si>
    <t># text = И третья -- это иллюзия фокуса, и это печальный факт, что мы не можем думать о каком либо обстоятельстве, которое влияет на наше благополучие, не искажая его значимости.</t>
  </si>
  <si>
    <t>третья</t>
  </si>
  <si>
    <t>иллюзия</t>
  </si>
  <si>
    <t>фокуса</t>
  </si>
  <si>
    <t>печальный</t>
  </si>
  <si>
    <t>факт</t>
  </si>
  <si>
    <t>можем</t>
  </si>
  <si>
    <t>каком</t>
  </si>
  <si>
    <t>либо</t>
  </si>
  <si>
    <t>обстоятельстве</t>
  </si>
  <si>
    <t>которое</t>
  </si>
  <si>
    <t>SBJ_7</t>
  </si>
  <si>
    <t>влияет</t>
  </si>
  <si>
    <t>наше</t>
  </si>
  <si>
    <t>other_8</t>
  </si>
  <si>
    <t>искажая</t>
  </si>
  <si>
    <t>other_7</t>
  </si>
  <si>
    <t>значимости</t>
  </si>
  <si>
    <t># text = Это самая настоящая когнитивная ловушка.</t>
  </si>
  <si>
    <t>самая</t>
  </si>
  <si>
    <t>настоящая</t>
  </si>
  <si>
    <t>когнитивная</t>
  </si>
  <si>
    <t># text = И просто несуществует способа понять все это верно.</t>
  </si>
  <si>
    <t>несуществует</t>
  </si>
  <si>
    <t>способа</t>
  </si>
  <si>
    <t>понять</t>
  </si>
  <si>
    <t>OBJ_4</t>
  </si>
  <si>
    <t>верно</t>
  </si>
  <si>
    <t># text = Мне бы хотелось начать с примера человека, который принял участие в сессии вопросов и ответов после одной из моих лекций и рассказал историю (неразборчиво) Он рассказал, как однажды он слушал симфонию, и это была просто восхитительная музыка, но в самом конце записи раздался ужасный скрежещущий звук.</t>
  </si>
  <si>
    <t>Мне</t>
  </si>
  <si>
    <t>бы</t>
  </si>
  <si>
    <t>хотелось</t>
  </si>
  <si>
    <t>с</t>
  </si>
  <si>
    <t>примера</t>
  </si>
  <si>
    <t>который</t>
  </si>
  <si>
    <t>принял</t>
  </si>
  <si>
    <t>участие</t>
  </si>
  <si>
    <t>сессии</t>
  </si>
  <si>
    <t>вопросов</t>
  </si>
  <si>
    <t>ответов</t>
  </si>
  <si>
    <t>одной</t>
  </si>
  <si>
    <t>моих</t>
  </si>
  <si>
    <t>лекций</t>
  </si>
  <si>
    <t>рассказал</t>
  </si>
  <si>
    <t>историю</t>
  </si>
  <si>
    <t>(</t>
  </si>
  <si>
    <t>неразборчиво</t>
  </si>
  <si>
    <t>)</t>
  </si>
  <si>
    <t>Он</t>
  </si>
  <si>
    <t>однажды</t>
  </si>
  <si>
    <t>слушал</t>
  </si>
  <si>
    <t>симфонию</t>
  </si>
  <si>
    <t>была</t>
  </si>
  <si>
    <t>восхитительная</t>
  </si>
  <si>
    <t>музыка</t>
  </si>
  <si>
    <t>самом</t>
  </si>
  <si>
    <t>конце</t>
  </si>
  <si>
    <t>записи</t>
  </si>
  <si>
    <t>раздался</t>
  </si>
  <si>
    <t>ужасный</t>
  </si>
  <si>
    <t>скрежещущий</t>
  </si>
  <si>
    <t>звук</t>
  </si>
  <si>
    <t># text = И затем он добавил, довольно эмоционально, что это испортило все переживание.</t>
  </si>
  <si>
    <t>затем</t>
  </si>
  <si>
    <t>добавил</t>
  </si>
  <si>
    <t>довольно</t>
  </si>
  <si>
    <t>эмоционально</t>
  </si>
  <si>
    <t>испортило</t>
  </si>
  <si>
    <t>переживание</t>
  </si>
  <si>
    <t># text = Но это не так.</t>
  </si>
  <si>
    <t># text = Это испортило воспоминание о переживании.</t>
  </si>
  <si>
    <t>воспоминание</t>
  </si>
  <si>
    <t>переживании</t>
  </si>
  <si>
    <t># text = Он испытал этот опыт.</t>
  </si>
  <si>
    <t>испытал</t>
  </si>
  <si>
    <t>этот</t>
  </si>
  <si>
    <t>опыт</t>
  </si>
  <si>
    <t># text = Он испытал 20 минут прекрасной музыки.</t>
  </si>
  <si>
    <t>минут</t>
  </si>
  <si>
    <t>прекрасной</t>
  </si>
  <si>
    <t>музыки</t>
  </si>
  <si>
    <t># text = Но они не имели никакого значения, потому что все, чтот осталось -- его воспоминание; воспоминание было испорчено, и воспоминание было единственным, что у него осталось.</t>
  </si>
  <si>
    <t>имели</t>
  </si>
  <si>
    <t>никакого</t>
  </si>
  <si>
    <t>значения</t>
  </si>
  <si>
    <t>чтот</t>
  </si>
  <si>
    <t>осталось</t>
  </si>
  <si>
    <t>;</t>
  </si>
  <si>
    <t>испорчено</t>
  </si>
  <si>
    <t>единственным</t>
  </si>
  <si>
    <t>у</t>
  </si>
  <si>
    <t>него</t>
  </si>
  <si>
    <t># text = И вывод из этого, на самом деле, состоит в том, что мы, возможно, воспринимаем себя и других через призму двух я.</t>
  </si>
  <si>
    <t>вывод</t>
  </si>
  <si>
    <t>этого</t>
  </si>
  <si>
    <t>деле</t>
  </si>
  <si>
    <t>состоит</t>
  </si>
  <si>
    <t>том</t>
  </si>
  <si>
    <t>возможно</t>
  </si>
  <si>
    <t>воспринимаем</t>
  </si>
  <si>
    <t>себя</t>
  </si>
  <si>
    <t>других</t>
  </si>
  <si>
    <t>через</t>
  </si>
  <si>
    <t>призму</t>
  </si>
  <si>
    <t>двух</t>
  </si>
  <si>
    <t># text = Одно -- это наше испытывающее я, тот, кто живет в настоящий момент, и знает только настоящее, и может пережить прошлый опыт, но, по сути, имеет только настоящее.</t>
  </si>
  <si>
    <t>Одно</t>
  </si>
  <si>
    <t>испытывающее</t>
  </si>
  <si>
    <t>кто</t>
  </si>
  <si>
    <t>живет</t>
  </si>
  <si>
    <t>настоящий</t>
  </si>
  <si>
    <t>момент</t>
  </si>
  <si>
    <t>знает</t>
  </si>
  <si>
    <t>только</t>
  </si>
  <si>
    <t>настоящее</t>
  </si>
  <si>
    <t>может</t>
  </si>
  <si>
    <t>пережить</t>
  </si>
  <si>
    <t>прошлый</t>
  </si>
  <si>
    <t>сути</t>
  </si>
  <si>
    <t>имеет</t>
  </si>
  <si>
    <t># text = Это то испытывающее я, к которому обращается врач, ну, вы знаете, когда он спрашивает, "Вам больно, когда я здесь дотрагиваюсь?"</t>
  </si>
  <si>
    <t>которому</t>
  </si>
  <si>
    <t>обращается</t>
  </si>
  <si>
    <t>врач</t>
  </si>
  <si>
    <t>ну</t>
  </si>
  <si>
    <t>вы</t>
  </si>
  <si>
    <t>знаете</t>
  </si>
  <si>
    <t>когда</t>
  </si>
  <si>
    <t>спрашивает</t>
  </si>
  <si>
    <t>Вам</t>
  </si>
  <si>
    <t>больно</t>
  </si>
  <si>
    <t>здесь</t>
  </si>
  <si>
    <t>дотрагиваюсь</t>
  </si>
  <si>
    <t>?</t>
  </si>
  <si>
    <t># text = И есть помнящее я, и помнящее я -- это то, которое ведет счет, и хранит историю нашей жизни, и это то, к которому врач обращается с вопросом, "Как вы себя чувствуете в последнее время?" или "Как прошла ваша поездка в Албанию?", ну или что-нибудь подобное.</t>
  </si>
  <si>
    <t>помнящее</t>
  </si>
  <si>
    <t>ведет</t>
  </si>
  <si>
    <t>счет</t>
  </si>
  <si>
    <t>хранит</t>
  </si>
  <si>
    <t>нашей</t>
  </si>
  <si>
    <t>вопросом</t>
  </si>
  <si>
    <t>Как</t>
  </si>
  <si>
    <t>OBJ_5</t>
  </si>
  <si>
    <t>чувствуете</t>
  </si>
  <si>
    <t>последнее</t>
  </si>
  <si>
    <t>время</t>
  </si>
  <si>
    <t>прошла</t>
  </si>
  <si>
    <t>ваша</t>
  </si>
  <si>
    <t>поездка</t>
  </si>
  <si>
    <t>SBJ_6</t>
  </si>
  <si>
    <t>Албанию</t>
  </si>
  <si>
    <t>ne</t>
  </si>
  <si>
    <t>что-нибудь</t>
  </si>
  <si>
    <t>подобное</t>
  </si>
  <si>
    <t># text = Это две совершенно разные сущности, испытывающее я и помнящее я, и путаница между ними создает неразбериху с понятием счастья.</t>
  </si>
  <si>
    <t>совершенно</t>
  </si>
  <si>
    <t>сущности</t>
  </si>
  <si>
    <t>путаница</t>
  </si>
  <si>
    <t>ними</t>
  </si>
  <si>
    <t>создает</t>
  </si>
  <si>
    <t>неразбериху</t>
  </si>
  <si>
    <t>понятием</t>
  </si>
  <si>
    <t># text = Помнящее я -- это рассказчик историй.</t>
  </si>
  <si>
    <t>Помнящее</t>
  </si>
  <si>
    <t>рассказчик</t>
  </si>
  <si>
    <t>историй</t>
  </si>
  <si>
    <t># text = И это начинается с базового отклика наших воспоминаний -- начинается сразу же.</t>
  </si>
  <si>
    <t>начинается</t>
  </si>
  <si>
    <t>базового</t>
  </si>
  <si>
    <t>отклика</t>
  </si>
  <si>
    <t>наших</t>
  </si>
  <si>
    <t>воспоминаний</t>
  </si>
  <si>
    <t>сразу</t>
  </si>
  <si>
    <t># text = Мы рассказываем истории не только тогда, когда намереваемся их рассказать.</t>
  </si>
  <si>
    <t>Мы</t>
  </si>
  <si>
    <t>рассказываем</t>
  </si>
  <si>
    <t>истории</t>
  </si>
  <si>
    <t>тогда</t>
  </si>
  <si>
    <t>намереваемся</t>
  </si>
  <si>
    <t>рассказать</t>
  </si>
  <si>
    <t># text = Наша память рассказывает нам истории, все, что мы выносим из нашего опыта, является историей.</t>
  </si>
  <si>
    <t>Наша</t>
  </si>
  <si>
    <t>память</t>
  </si>
  <si>
    <t>рассказывает</t>
  </si>
  <si>
    <t>выносим</t>
  </si>
  <si>
    <t>нашего</t>
  </si>
  <si>
    <t>историей</t>
  </si>
  <si>
    <t># text = И позвольте мне привести один пример.</t>
  </si>
  <si>
    <t>позвольте</t>
  </si>
  <si>
    <t>мне</t>
  </si>
  <si>
    <t>привести</t>
  </si>
  <si>
    <t>пример</t>
  </si>
  <si>
    <t># text = Это одно давнее исследование.</t>
  </si>
  <si>
    <t>давнее</t>
  </si>
  <si>
    <t># text = Реальные пациенты проходят болезненную процедуру.</t>
  </si>
  <si>
    <t>Реальные</t>
  </si>
  <si>
    <t>пациенты</t>
  </si>
  <si>
    <t>проходят</t>
  </si>
  <si>
    <t>болезненную</t>
  </si>
  <si>
    <t>процедуру</t>
  </si>
  <si>
    <t># text = Я не буду углубляться в детали.</t>
  </si>
  <si>
    <t>Я</t>
  </si>
  <si>
    <t>буду</t>
  </si>
  <si>
    <t>детали</t>
  </si>
  <si>
    <t># text = В наши дни это безболезненно, но тогда, в 1990-х, было иначе.</t>
  </si>
  <si>
    <t>В</t>
  </si>
  <si>
    <t>наши</t>
  </si>
  <si>
    <t>дни</t>
  </si>
  <si>
    <t>безболезненно</t>
  </si>
  <si>
    <t>1990-х</t>
  </si>
  <si>
    <t>иначе</t>
  </si>
  <si>
    <t># text = Их попросили рассказывать о своих ощущениях каждую минуту.</t>
  </si>
  <si>
    <t>Их</t>
  </si>
  <si>
    <t>попросили</t>
  </si>
  <si>
    <t>своих</t>
  </si>
  <si>
    <t>ощущениях</t>
  </si>
  <si>
    <t>каждую</t>
  </si>
  <si>
    <t>минуту</t>
  </si>
  <si>
    <t># text = Вот два пациента.</t>
  </si>
  <si>
    <t>Вот</t>
  </si>
  <si>
    <t>два</t>
  </si>
  <si>
    <t>пациента</t>
  </si>
  <si>
    <t># text = И их данные.</t>
  </si>
  <si>
    <t># text = И вас спрашивают: "Кто из них страдал больше?"</t>
  </si>
  <si>
    <t>вас</t>
  </si>
  <si>
    <t>спрашивают</t>
  </si>
  <si>
    <t>Кто</t>
  </si>
  <si>
    <t>них</t>
  </si>
  <si>
    <t>страдал</t>
  </si>
  <si>
    <t># text = И это очень простой вопрос.</t>
  </si>
  <si>
    <t>очень</t>
  </si>
  <si>
    <t># text = Ясно, что Пациент Б страдал больше.</t>
  </si>
  <si>
    <t>Ясно</t>
  </si>
  <si>
    <t>Пациент</t>
  </si>
  <si>
    <t>Б</t>
  </si>
  <si>
    <t># text = Его колоноскопия была дольше, И каждую минуту боли, которую перенес Пациент А, Пациент Б также перенес, плюс дополнительное время.</t>
  </si>
  <si>
    <t>Его</t>
  </si>
  <si>
    <t>колоноскопия</t>
  </si>
  <si>
    <t>дольше</t>
  </si>
  <si>
    <t>боли</t>
  </si>
  <si>
    <t>которую</t>
  </si>
  <si>
    <t>перенес</t>
  </si>
  <si>
    <t>А</t>
  </si>
  <si>
    <t>также</t>
  </si>
  <si>
    <t>плюс</t>
  </si>
  <si>
    <t>дополнительное</t>
  </si>
  <si>
    <t># text = Но появляется другой вопрос: \"Насколько сильно, по мнению самих пациентов, они страдали?\"</t>
  </si>
  <si>
    <t>появляется</t>
  </si>
  <si>
    <t>другой</t>
  </si>
  <si>
    <t>Насколько</t>
  </si>
  <si>
    <t>сильно</t>
  </si>
  <si>
    <t>мнению</t>
  </si>
  <si>
    <t>самих</t>
  </si>
  <si>
    <t>пациентов</t>
  </si>
  <si>
    <t>страдали</t>
  </si>
  <si>
    <t># text = И здесь нас ожидает сюрприз.</t>
  </si>
  <si>
    <t>нас</t>
  </si>
  <si>
    <t>ожидает</t>
  </si>
  <si>
    <t>сюрприз</t>
  </si>
  <si>
    <t># text = Он состоит в том, что воспоминания Пациента А о колоноскопии гораздо хуже, чем у Пациента Б. Истории этих процедур были разными, и поскольку очень важная их часть -- это то, как они заканчиваются, и ни одна из них не воодушевляет особенно -- но одна из них определ...</t>
  </si>
  <si>
    <t>воспоминания</t>
  </si>
  <si>
    <t>Пациента</t>
  </si>
  <si>
    <t>колоноскопии</t>
  </si>
  <si>
    <t>гораздо</t>
  </si>
  <si>
    <t>хуже</t>
  </si>
  <si>
    <t>Б.</t>
  </si>
  <si>
    <t>Истории</t>
  </si>
  <si>
    <t>процедур</t>
  </si>
  <si>
    <t>были</t>
  </si>
  <si>
    <t>разными</t>
  </si>
  <si>
    <t>поскольку</t>
  </si>
  <si>
    <t>важная</t>
  </si>
  <si>
    <t>часть</t>
  </si>
  <si>
    <t>заканчиваются</t>
  </si>
  <si>
    <t>ни</t>
  </si>
  <si>
    <t>одна</t>
  </si>
  <si>
    <t>воодушевляет</t>
  </si>
  <si>
    <t>особенно</t>
  </si>
  <si>
    <t>определ</t>
  </si>
  <si>
    <t># text = (Смех ) но одна из них определенно хуже, чем другая.</t>
  </si>
  <si>
    <t>Смех</t>
  </si>
  <si>
    <t>определенно</t>
  </si>
  <si>
    <t>другая</t>
  </si>
  <si>
    <t># text = И та, которая хуже, это та, в которой сильнее всего боль была в конце процедуры.</t>
  </si>
  <si>
    <t>та</t>
  </si>
  <si>
    <t>которая</t>
  </si>
  <si>
    <t>которой</t>
  </si>
  <si>
    <t>сильнее</t>
  </si>
  <si>
    <t>всего</t>
  </si>
  <si>
    <t>боль</t>
  </si>
  <si>
    <t>процедуры</t>
  </si>
  <si>
    <t># text = Это плохая история.</t>
  </si>
  <si>
    <t>плохая</t>
  </si>
  <si>
    <t># text = Откуда мы это знаем?</t>
  </si>
  <si>
    <t>Откуда</t>
  </si>
  <si>
    <t>знаем</t>
  </si>
  <si>
    <t># text = Потому что мы спрашивали людей после колоноскопии, а также гораздо позже.</t>
  </si>
  <si>
    <t>Потому</t>
  </si>
  <si>
    <t>спрашивали</t>
  </si>
  <si>
    <t>а</t>
  </si>
  <si>
    <t>позже</t>
  </si>
  <si>
    <t># text = "Насколько плохо все было, в общем и целом?"</t>
  </si>
  <si>
    <t>плохо</t>
  </si>
  <si>
    <t># text = И для А по воспоминаниям это было намного хуже, чем для Б. И появляется прямой конфликт между испытывающим и помнящим я.</t>
  </si>
  <si>
    <t>для</t>
  </si>
  <si>
    <t>воспоминаниям</t>
  </si>
  <si>
    <t>намного</t>
  </si>
  <si>
    <t>прямой</t>
  </si>
  <si>
    <t>конфликт</t>
  </si>
  <si>
    <t>испытывающим</t>
  </si>
  <si>
    <t>помнящим</t>
  </si>
  <si>
    <t># text = С точки зрения испытывающего я, очевидно, что Пациент Б пережил более тяжелый опыт.</t>
  </si>
  <si>
    <t>С</t>
  </si>
  <si>
    <t>точки</t>
  </si>
  <si>
    <t>зрения</t>
  </si>
  <si>
    <t>испытывающего</t>
  </si>
  <si>
    <t>очевидно</t>
  </si>
  <si>
    <t>пережил</t>
  </si>
  <si>
    <t>тяжелый</t>
  </si>
  <si>
    <t># text = И теперь что можно попробовать с пациентом А, и мы на самом деле провели клинические исследования, и это сработало, вы можете продлить колоноскопию пациента А, оставив трубку внутри, но не двигая ее слишком сильно.</t>
  </si>
  <si>
    <t>теперь</t>
  </si>
  <si>
    <t>попробовать</t>
  </si>
  <si>
    <t>пациентом</t>
  </si>
  <si>
    <t>провели</t>
  </si>
  <si>
    <t>клинические</t>
  </si>
  <si>
    <t>исследования</t>
  </si>
  <si>
    <t>сработало</t>
  </si>
  <si>
    <t>можете</t>
  </si>
  <si>
    <t>продлить</t>
  </si>
  <si>
    <t>колоноскопию</t>
  </si>
  <si>
    <t>оставив</t>
  </si>
  <si>
    <t>трубку</t>
  </si>
  <si>
    <t>внутри</t>
  </si>
  <si>
    <t>двигая</t>
  </si>
  <si>
    <t>ее</t>
  </si>
  <si>
    <t># text = Это доставит пациенту неприятные ощущения, но не сильную боль, гораздо меньше, чем до этого.</t>
  </si>
  <si>
    <t>доставит</t>
  </si>
  <si>
    <t>пациенту</t>
  </si>
  <si>
    <t>неприятные</t>
  </si>
  <si>
    <t>ощущения</t>
  </si>
  <si>
    <t>сильную</t>
  </si>
  <si>
    <t>меньше</t>
  </si>
  <si>
    <t>до</t>
  </si>
  <si>
    <t># text = И, если делать это в течение пары минут, вы поставите испытывающее я пациента А в худшее положение, но его помнящее я -- в гораздо лучшее, потому что теперь вы дали пациенту А лучшую историю о пережитом им опыте.</t>
  </si>
  <si>
    <t>если</t>
  </si>
  <si>
    <t>течение</t>
  </si>
  <si>
    <t>пары</t>
  </si>
  <si>
    <t>поставите</t>
  </si>
  <si>
    <t>худшее</t>
  </si>
  <si>
    <t>положение</t>
  </si>
  <si>
    <t>лучшее</t>
  </si>
  <si>
    <t>дали</t>
  </si>
  <si>
    <t>лучшую</t>
  </si>
  <si>
    <t>пережитом</t>
  </si>
  <si>
    <t>им</t>
  </si>
  <si>
    <t>опыте</t>
  </si>
  <si>
    <t># text = Что определяет общий тон истории?</t>
  </si>
  <si>
    <t>Что</t>
  </si>
  <si>
    <t>определяет</t>
  </si>
  <si>
    <t>общий</t>
  </si>
  <si>
    <t>тон</t>
  </si>
  <si>
    <t># text = И это применимо к историям, которые нам предоставляет память, а также к историям, которые мы придумываем.</t>
  </si>
  <si>
    <t>применимо</t>
  </si>
  <si>
    <t>историям</t>
  </si>
  <si>
    <t>предоставляет</t>
  </si>
  <si>
    <t>придумываем</t>
  </si>
  <si>
    <t># text = Историю определяют перемены, значительные моменты и концовка.</t>
  </si>
  <si>
    <t>Историю</t>
  </si>
  <si>
    <t>определяют</t>
  </si>
  <si>
    <t>перемены</t>
  </si>
  <si>
    <t>значительные</t>
  </si>
  <si>
    <t>моменты</t>
  </si>
  <si>
    <t>концовка</t>
  </si>
  <si>
    <t># text = Конец очень, очень важен, и, в данном случае, конец был решающим.</t>
  </si>
  <si>
    <t>Конец</t>
  </si>
  <si>
    <t>важен</t>
  </si>
  <si>
    <t>данном</t>
  </si>
  <si>
    <t>случае</t>
  </si>
  <si>
    <t>конец</t>
  </si>
  <si>
    <t>был</t>
  </si>
  <si>
    <t>решающим</t>
  </si>
  <si>
    <t># text = Итак, испытывающее я живет продолжительной жизнью.</t>
  </si>
  <si>
    <t>Итак</t>
  </si>
  <si>
    <t>продолжительной</t>
  </si>
  <si>
    <t>жизнью</t>
  </si>
  <si>
    <t># text = У него есть моменты опыта, один за другим.</t>
  </si>
  <si>
    <t>У</t>
  </si>
  <si>
    <t>другим</t>
  </si>
  <si>
    <t># text = И если вы спросите: что происходит с этими моментами?</t>
  </si>
  <si>
    <t>спросите</t>
  </si>
  <si>
    <t>происходит</t>
  </si>
  <si>
    <t>этими</t>
  </si>
  <si>
    <t>моментами</t>
  </si>
  <si>
    <t># text = Ответ очень простой.</t>
  </si>
  <si>
    <t>Ответ</t>
  </si>
  <si>
    <t># text = Они исчезают навсегда.</t>
  </si>
  <si>
    <t>Они</t>
  </si>
  <si>
    <t>исчезают</t>
  </si>
  <si>
    <t>навсегда</t>
  </si>
  <si>
    <t># text = Я говорю о том, что большинство моментов нашей жизни -- и я подсчитал -- знаете, психологическое настоящее длится три секунды.</t>
  </si>
  <si>
    <t>говорю</t>
  </si>
  <si>
    <t>большинство</t>
  </si>
  <si>
    <t>моментов</t>
  </si>
  <si>
    <t>подсчитал</t>
  </si>
  <si>
    <t>психологическое</t>
  </si>
  <si>
    <t>длится</t>
  </si>
  <si>
    <t>три</t>
  </si>
  <si>
    <t>секунды</t>
  </si>
  <si>
    <t># text = Что означает, представьте, в жизни их -- около 600 миллионов.</t>
  </si>
  <si>
    <t>означает</t>
  </si>
  <si>
    <t>представьте</t>
  </si>
  <si>
    <t>около</t>
  </si>
  <si>
    <t>600</t>
  </si>
  <si>
    <t>миллионов</t>
  </si>
  <si>
    <t># text = В месяц -- около 600 000.</t>
  </si>
  <si>
    <t>месяц</t>
  </si>
  <si>
    <t># text = Большая их часть не оставляет никакого следа.</t>
  </si>
  <si>
    <t>Большая</t>
  </si>
  <si>
    <t>оставляет</t>
  </si>
  <si>
    <t>следа</t>
  </si>
  <si>
    <t># text = Большинство из них полностью игнорируется помнящим я.</t>
  </si>
  <si>
    <t>Большинство</t>
  </si>
  <si>
    <t>полностью</t>
  </si>
  <si>
    <t>игнорируется</t>
  </si>
  <si>
    <t># text = И все-таки, каким-то образом создается впечатление, что они должны иметь значение, что то, что происходит во время этих моментов -- это наша жизнь.</t>
  </si>
  <si>
    <t>все-таки</t>
  </si>
  <si>
    <t>каким-то</t>
  </si>
  <si>
    <t>образом</t>
  </si>
  <si>
    <t>создается</t>
  </si>
  <si>
    <t>впечатление</t>
  </si>
  <si>
    <t>во</t>
  </si>
  <si>
    <t>наша</t>
  </si>
  <si>
    <t># text = Это ограниченный ресурс, который мы расходуем, пока находимся на этой земле.</t>
  </si>
  <si>
    <t>ограниченный</t>
  </si>
  <si>
    <t>расходуем</t>
  </si>
  <si>
    <t>пока</t>
  </si>
  <si>
    <t>находимся</t>
  </si>
  <si>
    <t>этой</t>
  </si>
  <si>
    <t>земле</t>
  </si>
  <si>
    <t># text = И как его потратить -- кажется вполне уместным вопросом, но это не та история, которую помнящее я сохраняет для нас.</t>
  </si>
  <si>
    <t>потратить</t>
  </si>
  <si>
    <t>кажется</t>
  </si>
  <si>
    <t>вполне</t>
  </si>
  <si>
    <t>уместным</t>
  </si>
  <si>
    <t>сохраняет</t>
  </si>
  <si>
    <t># text = Итак, у нас есть помнящее я и испытывающее я, и они действительно довольно серьезно отличаются друг от друга.</t>
  </si>
  <si>
    <t>действительно</t>
  </si>
  <si>
    <t>серьезно</t>
  </si>
  <si>
    <t>отличаются</t>
  </si>
  <si>
    <t>друг</t>
  </si>
  <si>
    <t>от</t>
  </si>
  <si>
    <t>друга</t>
  </si>
  <si>
    <t># text = Самое большое их различие заключается в их подходе ко времени.</t>
  </si>
  <si>
    <t>Самое</t>
  </si>
  <si>
    <t>большое</t>
  </si>
  <si>
    <t>различие</t>
  </si>
  <si>
    <t>заключается</t>
  </si>
  <si>
    <t>подходе</t>
  </si>
  <si>
    <t>ко</t>
  </si>
  <si>
    <t>времени</t>
  </si>
  <si>
    <t># text = С точки зрения испытывающего я если вы находитесь в отпуске, и вторая неделя вашей поездки так же хороша, как первая, тогда двухнедельная поездка должна быть вдвое лучше, чем однонедельная.</t>
  </si>
  <si>
    <t>находитесь</t>
  </si>
  <si>
    <t>отпуске</t>
  </si>
  <si>
    <t>вторая</t>
  </si>
  <si>
    <t>вашей</t>
  </si>
  <si>
    <t>поездки</t>
  </si>
  <si>
    <t>хороша</t>
  </si>
  <si>
    <t>первая</t>
  </si>
  <si>
    <t>двухнедельная</t>
  </si>
  <si>
    <t>должна</t>
  </si>
  <si>
    <t>вдвое</t>
  </si>
  <si>
    <t>лучше</t>
  </si>
  <si>
    <t>однонедельная</t>
  </si>
  <si>
    <t># text = Но для помнящего я это работает иначе.</t>
  </si>
  <si>
    <t>помнящего</t>
  </si>
  <si>
    <t>работает</t>
  </si>
  <si>
    <t># text = Для помнящего я двухнедельная поездка едва ли лучше, чем однонедельная, потому что новые впечатления не добавляются.</t>
  </si>
  <si>
    <t>Для</t>
  </si>
  <si>
    <t>едва</t>
  </si>
  <si>
    <t>ли</t>
  </si>
  <si>
    <t>новые</t>
  </si>
  <si>
    <t>впечатления</t>
  </si>
  <si>
    <t>добавляются</t>
  </si>
  <si>
    <t># text = История не меняется.</t>
  </si>
  <si>
    <t>История</t>
  </si>
  <si>
    <t>меняется</t>
  </si>
  <si>
    <t># text = И в этом ракурсе время -- критическая переменная, которая отличает помнящее я от испытывающего.</t>
  </si>
  <si>
    <t>этом</t>
  </si>
  <si>
    <t>ракурсе</t>
  </si>
  <si>
    <t>критическая</t>
  </si>
  <si>
    <t>переменная</t>
  </si>
  <si>
    <t>отличает</t>
  </si>
  <si>
    <t># text = Время слабо воздействует на эту историю.</t>
  </si>
  <si>
    <t>Время</t>
  </si>
  <si>
    <t>слабо</t>
  </si>
  <si>
    <t>воздействует</t>
  </si>
  <si>
    <t># text = Кроме этого, помнящее я не только запоминает и рассказывает истории.</t>
  </si>
  <si>
    <t>Кроме</t>
  </si>
  <si>
    <t>запоминает</t>
  </si>
  <si>
    <t># text = В действительности это оно принимает решения, потому что, если у вас пациент, у которого было, скажем, две колоноскопии у двух разных хирургов, и он решает, какого их них выбрать, в этом случае выбор падет на того, о ком воспоминание менее негативное, именно того хирурга он выберет.</t>
  </si>
  <si>
    <t>действительности</t>
  </si>
  <si>
    <t>оно</t>
  </si>
  <si>
    <t>принимает</t>
  </si>
  <si>
    <t>решения</t>
  </si>
  <si>
    <t>пациент</t>
  </si>
  <si>
    <t>которого</t>
  </si>
  <si>
    <t>скажем</t>
  </si>
  <si>
    <t>разных</t>
  </si>
  <si>
    <t>хирургов</t>
  </si>
  <si>
    <t>решает</t>
  </si>
  <si>
    <t>какого</t>
  </si>
  <si>
    <t>выбор</t>
  </si>
  <si>
    <t>падет</t>
  </si>
  <si>
    <t>того</t>
  </si>
  <si>
    <t>ком</t>
  </si>
  <si>
    <t>SBJ_9</t>
  </si>
  <si>
    <t>менее</t>
  </si>
  <si>
    <t>негативное</t>
  </si>
  <si>
    <t>именно</t>
  </si>
  <si>
    <t>хирурга</t>
  </si>
  <si>
    <t>SBJ_10</t>
  </si>
  <si>
    <t>выберет</t>
  </si>
  <si>
    <t># text = Испытывающее я в этом выборе голоса не имеет.</t>
  </si>
  <si>
    <t>Испытывающее</t>
  </si>
  <si>
    <t>выборе</t>
  </si>
  <si>
    <t>голоса</t>
  </si>
  <si>
    <t># text = На самом деле мы выбираем не между двумя опытами.</t>
  </si>
  <si>
    <t>На</t>
  </si>
  <si>
    <t>выбираем</t>
  </si>
  <si>
    <t>двумя</t>
  </si>
  <si>
    <t>опытами</t>
  </si>
  <si>
    <t># text = Мы выбираем между двумя воспоминаниями об опыте.</t>
  </si>
  <si>
    <t>воспоминаниями</t>
  </si>
  <si>
    <t>об</t>
  </si>
  <si>
    <t># text = И даже когда мы думаем о будущем, мы обычно не думаем о нашем будущем как об опыте.</t>
  </si>
  <si>
    <t>даже</t>
  </si>
  <si>
    <t>думаем</t>
  </si>
  <si>
    <t>будущем</t>
  </si>
  <si>
    <t>нашем</t>
  </si>
  <si>
    <t># text = Мы думаем о нашем будущем, как о предвкушаемом воспоминании.</t>
  </si>
  <si>
    <t>предвкушаемом</t>
  </si>
  <si>
    <t>воспоминании</t>
  </si>
  <si>
    <t># text = И, знаете, в целом на это можно смотреть, как на тиранию помнящего я, и можно сказать, что помнящее я словно тащит испытывающее я через тот опыт, который испытывающему я и не нужен.</t>
  </si>
  <si>
    <t>смотреть</t>
  </si>
  <si>
    <t>тиранию</t>
  </si>
  <si>
    <t>сказать</t>
  </si>
  <si>
    <t>словно</t>
  </si>
  <si>
    <t>тащит</t>
  </si>
  <si>
    <t>испытывающему</t>
  </si>
  <si>
    <t>нужен</t>
  </si>
  <si>
    <t># text = У меня есть ощущение, что когда мы едем в отпуска, часто бывает так, что мы едем в отпуск, в значительной степени, чтобы ублажить наше помнящее я.</t>
  </si>
  <si>
    <t>меня</t>
  </si>
  <si>
    <t>ощущение</t>
  </si>
  <si>
    <t>едем</t>
  </si>
  <si>
    <t>отпуска</t>
  </si>
  <si>
    <t>часто</t>
  </si>
  <si>
    <t>бывает</t>
  </si>
  <si>
    <t>отпуск</t>
  </si>
  <si>
    <t>значительной</t>
  </si>
  <si>
    <t>чтобы</t>
  </si>
  <si>
    <t>ублажить</t>
  </si>
  <si>
    <t># text = И несколько сложно найти этому оправдание, я думаю.</t>
  </si>
  <si>
    <t>несколько</t>
  </si>
  <si>
    <t>найти</t>
  </si>
  <si>
    <t>этому</t>
  </si>
  <si>
    <t>оправдание</t>
  </si>
  <si>
    <t>думаю</t>
  </si>
  <si>
    <t># text = Я к тому, что насколько часто мы потом возвращаемся к нашим воспоминаниям?</t>
  </si>
  <si>
    <t>тому</t>
  </si>
  <si>
    <t>потом</t>
  </si>
  <si>
    <t>возвращаемся</t>
  </si>
  <si>
    <t>нашим</t>
  </si>
  <si>
    <t># text = Это одно из объяснений, которое дается доминированию помнящего я.</t>
  </si>
  <si>
    <t>объяснений</t>
  </si>
  <si>
    <t>дается</t>
  </si>
  <si>
    <t>доминированию</t>
  </si>
  <si>
    <t># text = И когда я думаю об этом, я думаю об отпуске, когда мы ездили в Антарктику несколько лет назад, что совершенно точно было моей самой лучшей поездкой, и я вспоминаю о ней достаточно часто, относительно того, как редко я думаю о других поездках.</t>
  </si>
  <si>
    <t>ездили</t>
  </si>
  <si>
    <t>Антарктику</t>
  </si>
  <si>
    <t>назад</t>
  </si>
  <si>
    <t>точно</t>
  </si>
  <si>
    <t>моей</t>
  </si>
  <si>
    <t>самой</t>
  </si>
  <si>
    <t>лучшей</t>
  </si>
  <si>
    <t>поездкой</t>
  </si>
  <si>
    <t>вспоминаю</t>
  </si>
  <si>
    <t>ней</t>
  </si>
  <si>
    <t>достаточно</t>
  </si>
  <si>
    <t>редко</t>
  </si>
  <si>
    <t>поездках</t>
  </si>
  <si>
    <t># text = Я, возможно, возвращался к моим воспоминания о том трехнедельном путешествии, я бы сказал, на протяжении около 25 минут за последние четыре года.</t>
  </si>
  <si>
    <t>возвращался</t>
  </si>
  <si>
    <t>моим</t>
  </si>
  <si>
    <t>трехнедельном</t>
  </si>
  <si>
    <t>путешествии</t>
  </si>
  <si>
    <t>сказал</t>
  </si>
  <si>
    <t>протяжении</t>
  </si>
  <si>
    <t>четыре</t>
  </si>
  <si>
    <t>года</t>
  </si>
  <si>
    <t># text = Кроме того, если бы я когда-либо открыл папку с 600 фотографиями, я бы потратил еще час.</t>
  </si>
  <si>
    <t>когда-либо</t>
  </si>
  <si>
    <t>открыл</t>
  </si>
  <si>
    <t>папку</t>
  </si>
  <si>
    <t>фотографиями</t>
  </si>
  <si>
    <t>потратил</t>
  </si>
  <si>
    <t>час</t>
  </si>
  <si>
    <t># text = И теперь это три недели недели и максимум полтора часа.</t>
  </si>
  <si>
    <t>недели</t>
  </si>
  <si>
    <t>максимум</t>
  </si>
  <si>
    <t>полтора</t>
  </si>
  <si>
    <t>часа</t>
  </si>
  <si>
    <t># text = Казалось бы, здесь есть несоответствие.</t>
  </si>
  <si>
    <t>Казалось</t>
  </si>
  <si>
    <t>несоответствие</t>
  </si>
  <si>
    <t># text = И я, может быть, являюсь нехарактерным случаем, потому что у меня очень слабый аппетит на воспоминания, но даже если вы занимаетесь этим больше, чем я, возникает искренний вопрос.</t>
  </si>
  <si>
    <t>являюсь</t>
  </si>
  <si>
    <t>нехарактерным</t>
  </si>
  <si>
    <t>случаем</t>
  </si>
  <si>
    <t>слабый</t>
  </si>
  <si>
    <t>аппетит</t>
  </si>
  <si>
    <t>занимаетесь</t>
  </si>
  <si>
    <t>возникает</t>
  </si>
  <si>
    <t>искренний</t>
  </si>
  <si>
    <t># text = Почему мы придаем такое высокое значение памяти в сравнении со значением опыта?</t>
  </si>
  <si>
    <t>Почему</t>
  </si>
  <si>
    <t>придаем</t>
  </si>
  <si>
    <t>высокое</t>
  </si>
  <si>
    <t>сравнении</t>
  </si>
  <si>
    <t>значением</t>
  </si>
  <si>
    <t># text = Итак, я хочу, чтобы вы подумали о мысленном эксперименте.</t>
  </si>
  <si>
    <t>хочу</t>
  </si>
  <si>
    <t>подумали</t>
  </si>
  <si>
    <t>мысленном</t>
  </si>
  <si>
    <t>эксперименте</t>
  </si>
  <si>
    <t># text = Представьте вашу следующую поездку в отпуск.</t>
  </si>
  <si>
    <t>Представьте</t>
  </si>
  <si>
    <t>вашу</t>
  </si>
  <si>
    <t>следующую</t>
  </si>
  <si>
    <t>поездку</t>
  </si>
  <si>
    <t># text = И представьте, что вы знаете, что в конце ее все ваши фотографии будут уничтожены и вы примете препарат амнезирующего действия, так что вы ничего не будете помнить.</t>
  </si>
  <si>
    <t>ваши</t>
  </si>
  <si>
    <t>фотографии</t>
  </si>
  <si>
    <t>будут</t>
  </si>
  <si>
    <t>уничтожены</t>
  </si>
  <si>
    <t>примете</t>
  </si>
  <si>
    <t>препарат</t>
  </si>
  <si>
    <t>амнезирующего</t>
  </si>
  <si>
    <t>действия</t>
  </si>
  <si>
    <t>ничего</t>
  </si>
  <si>
    <t>pron.pind</t>
  </si>
  <si>
    <t>будете</t>
  </si>
  <si>
    <t># text = Ну, вы все еще выбрали бы ту же самую поездку?</t>
  </si>
  <si>
    <t>Ну</t>
  </si>
  <si>
    <t>выбрали</t>
  </si>
  <si>
    <t>ту</t>
  </si>
  <si>
    <t>самую</t>
  </si>
  <si>
    <t># text = (Смех) И, если бы вы выбрали другой вариант, здесь возникает конфликт между двумя вашими я, и вам нужно подумать о том, как его разрешить, и на самом деле это далеко не так просто, потому что если вы мыслите через призму времени, ответ один.</t>
  </si>
  <si>
    <t>вариант</t>
  </si>
  <si>
    <t>вашими</t>
  </si>
  <si>
    <t>вам</t>
  </si>
  <si>
    <t>нужно</t>
  </si>
  <si>
    <t>разрешить</t>
  </si>
  <si>
    <t>далеко</t>
  </si>
  <si>
    <t>мыслите</t>
  </si>
  <si>
    <t>ответ</t>
  </si>
  <si>
    <t># text = А если через призму памяти -- ответ другой.</t>
  </si>
  <si>
    <t># text = Почему мы выбираем те или иные поездки -- это проблема, которая ставит нас перед выбором между двумя я.</t>
  </si>
  <si>
    <t>те</t>
  </si>
  <si>
    <t>иные</t>
  </si>
  <si>
    <t>проблема</t>
  </si>
  <si>
    <t>ставит</t>
  </si>
  <si>
    <t>перед</t>
  </si>
  <si>
    <t>выбором</t>
  </si>
  <si>
    <t># text = Далее, два я влекут за собой два понятия счастья.</t>
  </si>
  <si>
    <t>Далее</t>
  </si>
  <si>
    <t>влекут</t>
  </si>
  <si>
    <t>собой</t>
  </si>
  <si>
    <t>понятия</t>
  </si>
  <si>
    <t># text = Действительно существуют две концепции счастья, которые мы можем использовать, каждая для соответствующего я.</t>
  </si>
  <si>
    <t>Действительно</t>
  </si>
  <si>
    <t>использовать</t>
  </si>
  <si>
    <t>каждая</t>
  </si>
  <si>
    <t>соответствующего</t>
  </si>
  <si>
    <t># text = Вы спросите: насколько счастливо испытывающее я?</t>
  </si>
  <si>
    <t>Вы</t>
  </si>
  <si>
    <t>счастливо</t>
  </si>
  <si>
    <t># text = И затем: насколько счастливыми являются моменты в жизни испытывающего я?</t>
  </si>
  <si>
    <t>счастливыми</t>
  </si>
  <si>
    <t>являются</t>
  </si>
  <si>
    <t># text = И все это – счастье на моменты является довольно сложным процессом.</t>
  </si>
  <si>
    <t>–</t>
  </si>
  <si>
    <t>сложным</t>
  </si>
  <si>
    <t>процессом</t>
  </si>
  <si>
    <t># text = Каковы чувства, которые можно измерить?</t>
  </si>
  <si>
    <t>Каковы</t>
  </si>
  <si>
    <t>чувства</t>
  </si>
  <si>
    <t>измерить</t>
  </si>
  <si>
    <t># text = И, кстати, теперь мы в состоянии довольно сносно понять идею счастья испытывающего я во времени.</t>
  </si>
  <si>
    <t>кстати</t>
  </si>
  <si>
    <t>состоянии</t>
  </si>
  <si>
    <t>сносно</t>
  </si>
  <si>
    <t>идею</t>
  </si>
  <si>
    <t># text = Если вы спросите про счастье помнящего я, это нечто совершенно другое.</t>
  </si>
  <si>
    <t>Если</t>
  </si>
  <si>
    <t>про</t>
  </si>
  <si>
    <t>другое</t>
  </si>
  <si>
    <t># text = Это не то, насколько счастливо кто-то живет.</t>
  </si>
  <si>
    <t>кто-то</t>
  </si>
  <si>
    <t># text = Это о том, насколько удовлетворен или доволен человек, когда он думает о своей жизни.</t>
  </si>
  <si>
    <t>удовлетворен</t>
  </si>
  <si>
    <t>доволен</t>
  </si>
  <si>
    <t>человек</t>
  </si>
  <si>
    <t>думает</t>
  </si>
  <si>
    <t># text = Очень разные понятия.</t>
  </si>
  <si>
    <t>Очень</t>
  </si>
  <si>
    <t># text = Тот, кто не делает между ними различия, обязательно запутается в понимании счастья, и я сам из тех студентов благополучия, которые довольно долго путались в изучении счастья именно таким образом.</t>
  </si>
  <si>
    <t>Тот</t>
  </si>
  <si>
    <t>делает</t>
  </si>
  <si>
    <t>различия</t>
  </si>
  <si>
    <t>обязательно</t>
  </si>
  <si>
    <t>запутается</t>
  </si>
  <si>
    <t>понимании</t>
  </si>
  <si>
    <t>сам</t>
  </si>
  <si>
    <t>тех</t>
  </si>
  <si>
    <t>студентов</t>
  </si>
  <si>
    <t>благополучия</t>
  </si>
  <si>
    <t>долго</t>
  </si>
  <si>
    <t>путались</t>
  </si>
  <si>
    <t>изучении</t>
  </si>
  <si>
    <t># text = Различие между счастьем испытывающего я и удовлетворением помнящего я было сделано не так давно, и сейчас делаются попытки измерить оба состояния по отдельности, Организация Гэллап провела международный опрос, в котором приняли участие полмиллиона человек и ответили на вопросы, что они думают о своей жизни и своем опыте.</t>
  </si>
  <si>
    <t>Различие</t>
  </si>
  <si>
    <t>счастьем</t>
  </si>
  <si>
    <t>удовлетворением</t>
  </si>
  <si>
    <t>сделано</t>
  </si>
  <si>
    <t>давно</t>
  </si>
  <si>
    <t>сейчас</t>
  </si>
  <si>
    <t>делаются</t>
  </si>
  <si>
    <t>попытки</t>
  </si>
  <si>
    <t>оба</t>
  </si>
  <si>
    <t>состояния</t>
  </si>
  <si>
    <t>отдельности</t>
  </si>
  <si>
    <t>Организация</t>
  </si>
  <si>
    <t>Гэллап</t>
  </si>
  <si>
    <t>провела</t>
  </si>
  <si>
    <t>международный</t>
  </si>
  <si>
    <t>опрос</t>
  </si>
  <si>
    <t>котором</t>
  </si>
  <si>
    <t>приняли</t>
  </si>
  <si>
    <t>пол</t>
  </si>
  <si>
    <t>миллиона</t>
  </si>
  <si>
    <t>ответили</t>
  </si>
  <si>
    <t>вопросы</t>
  </si>
  <si>
    <t>думают</t>
  </si>
  <si>
    <t># text = Помимо этого делаются и другие попытки.</t>
  </si>
  <si>
    <t>Помимо</t>
  </si>
  <si>
    <t>другие</t>
  </si>
  <si>
    <t># text = Так, в последнее время мы начали изучать счастье через призму двух я.</t>
  </si>
  <si>
    <t>Так</t>
  </si>
  <si>
    <t>начали</t>
  </si>
  <si>
    <t>изучать</t>
  </si>
  <si>
    <t># text = И главный урок, я думаю, который мы усвоили, это то, что они действительно очень отличаются друг от друга.</t>
  </si>
  <si>
    <t>главный</t>
  </si>
  <si>
    <t>урок</t>
  </si>
  <si>
    <t>усвоили</t>
  </si>
  <si>
    <t># text = Вы можете знать, насколько кто-либо удовлетворен своей жизнью, но это не дает вам понимания того, насколько счастливо он живет свою жизнь, и наоборот.</t>
  </si>
  <si>
    <t>кто-либо</t>
  </si>
  <si>
    <t>дает</t>
  </si>
  <si>
    <t>понимания</t>
  </si>
  <si>
    <t>свою</t>
  </si>
  <si>
    <t>наоборот</t>
  </si>
  <si>
    <t># text = Просто, чтобы дать вам понимание соотношения, соотношение примерно ½.</t>
  </si>
  <si>
    <t>Просто</t>
  </si>
  <si>
    <t>понимание</t>
  </si>
  <si>
    <t>соотношения</t>
  </si>
  <si>
    <t>соотношение</t>
  </si>
  <si>
    <t>примерно</t>
  </si>
  <si>
    <t>½</t>
  </si>
  <si>
    <t># text = Что означает, если вы встретили кого-то и вам сказали, что рост его отца шесть футов, сколько бы вы узнали о его собственном росте?</t>
  </si>
  <si>
    <t>встретили</t>
  </si>
  <si>
    <t>кого-то</t>
  </si>
  <si>
    <t>сказали</t>
  </si>
  <si>
    <t>рост</t>
  </si>
  <si>
    <t>отца</t>
  </si>
  <si>
    <t>шесть</t>
  </si>
  <si>
    <t>футов</t>
  </si>
  <si>
    <t>сколько</t>
  </si>
  <si>
    <t>узнали</t>
  </si>
  <si>
    <t>собственном</t>
  </si>
  <si>
    <t>росте</t>
  </si>
  <si>
    <t># text = То есть, вы бы узнали кое-что о его росте, но неопределенность здесь очень велика.</t>
  </si>
  <si>
    <t>То</t>
  </si>
  <si>
    <t>кое-что</t>
  </si>
  <si>
    <t>неопределенность</t>
  </si>
  <si>
    <t>велика</t>
  </si>
  <si>
    <t># text = Ровно столько же неуверенности будет у вас, если я скажу вам,что кто-то поставил себе 8 по 10 бальной шкале, оценивая свою жизнь, тут большая неопределенность, насколько они счастливы с точки зрения испытывающего я.</t>
  </si>
  <si>
    <t>Ровно</t>
  </si>
  <si>
    <t>столько</t>
  </si>
  <si>
    <t>неуверенности</t>
  </si>
  <si>
    <t>скажу</t>
  </si>
  <si>
    <t>поставил</t>
  </si>
  <si>
    <t>себе</t>
  </si>
  <si>
    <t>бальной</t>
  </si>
  <si>
    <t>шкале</t>
  </si>
  <si>
    <t>оценивая</t>
  </si>
  <si>
    <t>тут</t>
  </si>
  <si>
    <t>большая</t>
  </si>
  <si>
    <t>счастливы</t>
  </si>
  <si>
    <t># text = Так что соотношение крайне низко.</t>
  </si>
  <si>
    <t>крайне</t>
  </si>
  <si>
    <t>низко</t>
  </si>
  <si>
    <t># text = Мы кое-что знаем о том, что контролирует уровень удовлетворенности счастьем для я.</t>
  </si>
  <si>
    <t>контролирует</t>
  </si>
  <si>
    <t>уровень</t>
  </si>
  <si>
    <t>удовлетворенности</t>
  </si>
  <si>
    <t># text = Нам известно, что деньги важны, цели очень важны Мы знаем, что счастье часто обусловлено удовлетворением людьми, которые нам нравятся, проведением времени с ними.</t>
  </si>
  <si>
    <t>Нам</t>
  </si>
  <si>
    <t>известно</t>
  </si>
  <si>
    <t>деньги</t>
  </si>
  <si>
    <t>важны</t>
  </si>
  <si>
    <t>цели</t>
  </si>
  <si>
    <t>обусловлено</t>
  </si>
  <si>
    <t>людьми</t>
  </si>
  <si>
    <t>OBJ_7</t>
  </si>
  <si>
    <t>нравятся</t>
  </si>
  <si>
    <t>проведением</t>
  </si>
  <si>
    <t># text = Есть и другие удовольствия, но это самые важные.</t>
  </si>
  <si>
    <t>Есть</t>
  </si>
  <si>
    <t>удовольствия</t>
  </si>
  <si>
    <t>самые</t>
  </si>
  <si>
    <t>важные</t>
  </si>
  <si>
    <t># text = Так что если вы хотите, сделать счастье двух я максимальным, вам в конечном итоге придется делать две совершенно разные вещи.</t>
  </si>
  <si>
    <t>хотите</t>
  </si>
  <si>
    <t>максимальным</t>
  </si>
  <si>
    <t>конечном</t>
  </si>
  <si>
    <t>итоге</t>
  </si>
  <si>
    <t>вещи</t>
  </si>
  <si>
    <t># text = Главная моя мысль -- мы не должны воспринимать счастье как замену благополучия.</t>
  </si>
  <si>
    <t>Главная</t>
  </si>
  <si>
    <t>моя</t>
  </si>
  <si>
    <t>мысль</t>
  </si>
  <si>
    <t>воспринимать</t>
  </si>
  <si>
    <t>замену</t>
  </si>
  <si>
    <t># text = Это совсем другое понятие.</t>
  </si>
  <si>
    <t>совсем</t>
  </si>
  <si>
    <t># text = И теперь, очень быстро, еще одна причина, по которой мы не можем четко понимать счастье -- это то, что мы обращаем внимание на разные вещи, когда мы думаем и жизни и когда мы действительно ее проживаем.</t>
  </si>
  <si>
    <t>причина</t>
  </si>
  <si>
    <t>четко</t>
  </si>
  <si>
    <t>понимать</t>
  </si>
  <si>
    <t>обращаем</t>
  </si>
  <si>
    <t>внимание</t>
  </si>
  <si>
    <t>SBJ_8</t>
  </si>
  <si>
    <t>OBJ_9</t>
  </si>
  <si>
    <t>проживаем</t>
  </si>
  <si>
    <t># text = Так что, если спросить, насколько счастливы люди в Калифорнии, правильного ответа вам не дадут.</t>
  </si>
  <si>
    <t>люди</t>
  </si>
  <si>
    <t>Калифорнии</t>
  </si>
  <si>
    <t>правильного</t>
  </si>
  <si>
    <t>ответа</t>
  </si>
  <si>
    <t>дадут</t>
  </si>
  <si>
    <t># text = Когда вы задаете этот вопрос, вы думаете, что там люди должно быть счастливее, если, допустим, вы живете в Огайо.</t>
  </si>
  <si>
    <t>Когда</t>
  </si>
  <si>
    <t>задаете</t>
  </si>
  <si>
    <t>думаете</t>
  </si>
  <si>
    <t>там</t>
  </si>
  <si>
    <t>должно</t>
  </si>
  <si>
    <t>допустим</t>
  </si>
  <si>
    <t>живете</t>
  </si>
  <si>
    <t>Огайо</t>
  </si>
  <si>
    <t># text = (Смех) И что происходит: когда вы думаете о жизни в Калифорнии, вы думаете о контрасте между ней и другими местами, и разницей, например, в климате.</t>
  </si>
  <si>
    <t>контрасте</t>
  </si>
  <si>
    <t>другими</t>
  </si>
  <si>
    <t>местами</t>
  </si>
  <si>
    <t>разницей</t>
  </si>
  <si>
    <t>например</t>
  </si>
  <si>
    <t>климате</t>
  </si>
  <si>
    <t># text = Но оказывается, что климат не особенно важен для испытывающего я и даже не особо важен для рефлексирующего я, которое решает, насколько человек счастлив.</t>
  </si>
  <si>
    <t>климат</t>
  </si>
  <si>
    <t>особо</t>
  </si>
  <si>
    <t>рефлексирующего</t>
  </si>
  <si>
    <t>счастлив</t>
  </si>
  <si>
    <t># text = Но теперь, поскольку рефлексирующее я берет бразды правления в свои руки, результатом может стать -- для некоторых людей -- переезд в Калифорнию.</t>
  </si>
  <si>
    <t>рефлексирующее</t>
  </si>
  <si>
    <t>берет</t>
  </si>
  <si>
    <t>бразды</t>
  </si>
  <si>
    <t>правления</t>
  </si>
  <si>
    <t>свои</t>
  </si>
  <si>
    <t>руки</t>
  </si>
  <si>
    <t>результатом</t>
  </si>
  <si>
    <t>некоторых</t>
  </si>
  <si>
    <t>переезд</t>
  </si>
  <si>
    <t>Калифорнию</t>
  </si>
  <si>
    <t># text = И довольно любопытно проследить, что происходит с людьми, которые туда едут в надежде стать счастливее.</t>
  </si>
  <si>
    <t>любопытно</t>
  </si>
  <si>
    <t>проследить</t>
  </si>
  <si>
    <t>туда</t>
  </si>
  <si>
    <t>едут</t>
  </si>
  <si>
    <t>надежде</t>
  </si>
  <si>
    <t># text = Ну, испытывающее я не станет счастливее.</t>
  </si>
  <si>
    <t>станет</t>
  </si>
  <si>
    <t># text = Это мы знаем точно.</t>
  </si>
  <si>
    <t># text = Но вот что случится.</t>
  </si>
  <si>
    <t>случится</t>
  </si>
  <si>
    <t># text = Они будут считать себя счастливее, потому что, когда они будут думать об этом, они будут вспоминать ужасную погоду в Огайо.</t>
  </si>
  <si>
    <t>вспоминать</t>
  </si>
  <si>
    <t>ужасную</t>
  </si>
  <si>
    <t>погоду</t>
  </si>
  <si>
    <t># text = И они подумают, что приняли верное решение.</t>
  </si>
  <si>
    <t>подумают</t>
  </si>
  <si>
    <t>верное</t>
  </si>
  <si>
    <t>решение</t>
  </si>
  <si>
    <t># text = Очень непросто думать однозначно о благополучии, и, я надеюсь, что донес до вас, насколько это сложно.</t>
  </si>
  <si>
    <t>непросто</t>
  </si>
  <si>
    <t>однозначно</t>
  </si>
  <si>
    <t>благополучии</t>
  </si>
  <si>
    <t>надеюсь</t>
  </si>
  <si>
    <t>донес</t>
  </si>
  <si>
    <t># text = Спасибо.</t>
  </si>
  <si>
    <t>Спасибо</t>
  </si>
  <si>
    <t># text = (Аплодисменты) Крис Андерсон: Спасибо.</t>
  </si>
  <si>
    <t>Аплодисменты</t>
  </si>
  <si>
    <t>Крис</t>
  </si>
  <si>
    <t>Андерсон</t>
  </si>
  <si>
    <t># text = У меня к Вам вопрос.</t>
  </si>
  <si>
    <t># text = Спасибо Вам большое.</t>
  </si>
  <si>
    <t># text = Когда мы с Вами говорили по телефону несколько недель назад, Вы упомянули о довольно интересном результате, полученном Гэллап.</t>
  </si>
  <si>
    <t>Вами</t>
  </si>
  <si>
    <t>говорили</t>
  </si>
  <si>
    <t>телефону</t>
  </si>
  <si>
    <t>недель</t>
  </si>
  <si>
    <t>упомянули</t>
  </si>
  <si>
    <t>интересном</t>
  </si>
  <si>
    <t>результате</t>
  </si>
  <si>
    <t>полученном</t>
  </si>
  <si>
    <t># text = Можете ли Вы рассказать нам немного об этом, раз у вас еще осталось немного времени?</t>
  </si>
  <si>
    <t>Можете</t>
  </si>
  <si>
    <t>немного</t>
  </si>
  <si>
    <t>раз</t>
  </si>
  <si>
    <t># text = Даниэль Канеман: Конечно.</t>
  </si>
  <si>
    <t>Канеман</t>
  </si>
  <si>
    <t>Конечно</t>
  </si>
  <si>
    <t># text = Думаю, самым интересным результатом этого опроса было число, которе мы никак не ожидали получить.</t>
  </si>
  <si>
    <t>самым</t>
  </si>
  <si>
    <t>интересным</t>
  </si>
  <si>
    <t>опроса</t>
  </si>
  <si>
    <t>число</t>
  </si>
  <si>
    <t>которе</t>
  </si>
  <si>
    <t>никак</t>
  </si>
  <si>
    <t>ожидали</t>
  </si>
  <si>
    <t># text = Мы получили его в связи с счастьем испытывающего я.</t>
  </si>
  <si>
    <t>получили</t>
  </si>
  <si>
    <t>связи</t>
  </si>
  <si>
    <t># text = Когда мы проследили, как чувства варьируются в зависимости от доходов, оказалось, если доход ниже 60 000 долларов в год, для американцев, и сегмент там доволньо большой -- около 600 000, но это большой сегмент представителей, с доходом меньше 600 000 долларов в год...</t>
  </si>
  <si>
    <t>проследили</t>
  </si>
  <si>
    <t>варьируются</t>
  </si>
  <si>
    <t>зависимости</t>
  </si>
  <si>
    <t>доходов</t>
  </si>
  <si>
    <t>оказалось</t>
  </si>
  <si>
    <t>доход</t>
  </si>
  <si>
    <t>ниже</t>
  </si>
  <si>
    <t>60 000</t>
  </si>
  <si>
    <t>долларов</t>
  </si>
  <si>
    <t>год</t>
  </si>
  <si>
    <t>американцев</t>
  </si>
  <si>
    <t>сегмент</t>
  </si>
  <si>
    <t>доволньо</t>
  </si>
  <si>
    <t>большой</t>
  </si>
  <si>
    <t>представителей</t>
  </si>
  <si>
    <t>доходом</t>
  </si>
  <si>
    <t># text = КА: 60 000.</t>
  </si>
  <si>
    <t>КА</t>
  </si>
  <si>
    <t># text = ДК: 60 000.</t>
  </si>
  <si>
    <t>ДК</t>
  </si>
  <si>
    <t># text = 60 000 долларов в год, люди несчастны, и чем беднее они, тем более они несчастны.</t>
  </si>
  <si>
    <t>несчастны</t>
  </si>
  <si>
    <t>беднее</t>
  </si>
  <si>
    <t>тем</t>
  </si>
  <si>
    <t># text = Но все, что выше этой цифры -- мы получаем абсолютно ровную прямую.</t>
  </si>
  <si>
    <t>выше</t>
  </si>
  <si>
    <t>цифры</t>
  </si>
  <si>
    <t>получаем</t>
  </si>
  <si>
    <t>ровную</t>
  </si>
  <si>
    <t>прямую</t>
  </si>
  <si>
    <t># text = Серьезно, я редко видел настолько прямые графики.</t>
  </si>
  <si>
    <t>Серьезно</t>
  </si>
  <si>
    <t>видел</t>
  </si>
  <si>
    <t>настолько</t>
  </si>
  <si>
    <t>прямые</t>
  </si>
  <si>
    <t>графики</t>
  </si>
  <si>
    <t># text = То есть очевидно, что деньги не покупают вам эмпирическое счастье, но их нехватка стопроцентно приводит к несчастью, и мы можем его измерить очень, очень четко.</t>
  </si>
  <si>
    <t>покупают</t>
  </si>
  <si>
    <t>эмпирическое</t>
  </si>
  <si>
    <t>нехватка</t>
  </si>
  <si>
    <t>стопроцентно</t>
  </si>
  <si>
    <t>приводит</t>
  </si>
  <si>
    <t>несчастью</t>
  </si>
  <si>
    <t># text = Что касается второго я, помнящего, тут ситуация иная.</t>
  </si>
  <si>
    <t>второго</t>
  </si>
  <si>
    <t>ситуация</t>
  </si>
  <si>
    <t>иная</t>
  </si>
  <si>
    <t># text = Чем выше доход, тем больше удовлетвореннсть.</t>
  </si>
  <si>
    <t>Чем</t>
  </si>
  <si>
    <t>удовлетвореннсть</t>
  </si>
  <si>
    <t># text = Это не касается чувств.</t>
  </si>
  <si>
    <t>чувств</t>
  </si>
  <si>
    <t># text = КА: Но, Данни, все американсие стремления направлены на жизнь, свободу, стремление к счастью.</t>
  </si>
  <si>
    <t>Данни</t>
  </si>
  <si>
    <t>американсие</t>
  </si>
  <si>
    <t>стремления</t>
  </si>
  <si>
    <t>направлены</t>
  </si>
  <si>
    <t>свободу</t>
  </si>
  <si>
    <t>стремление</t>
  </si>
  <si>
    <t># text = Если это открытие будет воспринято всерьез, это перевернет с ног на голову все, во что мы верим, например, систему налогообложения и так далее.</t>
  </si>
  <si>
    <t>открытие</t>
  </si>
  <si>
    <t>воспринято</t>
  </si>
  <si>
    <t>всерьез</t>
  </si>
  <si>
    <t>перевернет</t>
  </si>
  <si>
    <t>ног</t>
  </si>
  <si>
    <t>голову</t>
  </si>
  <si>
    <t>верим</t>
  </si>
  <si>
    <t>систему</t>
  </si>
  <si>
    <t>налогообложения</t>
  </si>
  <si>
    <t>далее</t>
  </si>
  <si>
    <t># text = Есть ли вероятность, что государственные деятели, страна в целом, воспримет подобное исследование всерьез и будем придерживаться социальной политики, основанной на нем?</t>
  </si>
  <si>
    <t>вероятность</t>
  </si>
  <si>
    <t>государственные</t>
  </si>
  <si>
    <t>деятели</t>
  </si>
  <si>
    <t>страна</t>
  </si>
  <si>
    <t>воспримет</t>
  </si>
  <si>
    <t>будем</t>
  </si>
  <si>
    <t>придерживаться</t>
  </si>
  <si>
    <t>социальной</t>
  </si>
  <si>
    <t>политики</t>
  </si>
  <si>
    <t>основанной</t>
  </si>
  <si>
    <t>нем</t>
  </si>
  <si>
    <t># text = ДК: Знаете, официальное признание исследования роли счастья в социальной политике есть.</t>
  </si>
  <si>
    <t>Знаете</t>
  </si>
  <si>
    <t>официальное</t>
  </si>
  <si>
    <t>признание</t>
  </si>
  <si>
    <t>роли</t>
  </si>
  <si>
    <t>политике</t>
  </si>
  <si>
    <t># text = Оно медленно присходит в США, без сомнения, но это происходит в Великобритании и в других странах.</t>
  </si>
  <si>
    <t>Оно</t>
  </si>
  <si>
    <t>медленно</t>
  </si>
  <si>
    <t>присходит</t>
  </si>
  <si>
    <t>США</t>
  </si>
  <si>
    <t>без</t>
  </si>
  <si>
    <t>сомнения</t>
  </si>
  <si>
    <t>Великобритании</t>
  </si>
  <si>
    <t>странах</t>
  </si>
  <si>
    <t># text = Люди осознают, что они должны принимать счастье во внимание, когда они думают о социальной политике.</t>
  </si>
  <si>
    <t>Люди</t>
  </si>
  <si>
    <t>осознают</t>
  </si>
  <si>
    <t># text = Это займет немало времени, и люди будут спорить о том, хотят ли они исследовать эмпирическое счастье или оценку качества жизни, так что нам нужно будет обсудить это достаточно скоро.</t>
  </si>
  <si>
    <t>займет</t>
  </si>
  <si>
    <t>немало</t>
  </si>
  <si>
    <t>спорить</t>
  </si>
  <si>
    <t>хотят</t>
  </si>
  <si>
    <t>исследовать</t>
  </si>
  <si>
    <t>оценку</t>
  </si>
  <si>
    <t>качества</t>
  </si>
  <si>
    <t>обсудить</t>
  </si>
  <si>
    <t>скоро</t>
  </si>
  <si>
    <t># text = Как повысить счастье, это может происходить по разному в зависимости от вашего образа мышления, и от того, думаете ли вы о помнящем я или испытывающем я.</t>
  </si>
  <si>
    <t>повысить</t>
  </si>
  <si>
    <t>разному</t>
  </si>
  <si>
    <t>вашего</t>
  </si>
  <si>
    <t>образа</t>
  </si>
  <si>
    <t>мышления</t>
  </si>
  <si>
    <t>помнящем</t>
  </si>
  <si>
    <t>испытывающем</t>
  </si>
  <si>
    <t># text = Это будет иметь воздействие на политику.</t>
  </si>
  <si>
    <t>воздействие</t>
  </si>
  <si>
    <t>политику</t>
  </si>
  <si>
    <t># text = В ближайшие годы, я думаю.</t>
  </si>
  <si>
    <t>ближайшие</t>
  </si>
  <si>
    <t>годы</t>
  </si>
  <si>
    <t># text = В США делаются попытки измерить уровень эмпирического счастья населения.</t>
  </si>
  <si>
    <t>эмпирического</t>
  </si>
  <si>
    <t>населения</t>
  </si>
  <si>
    <t># text = Думаю, в течение следующей декады или двух это станет частью национальной статистики.</t>
  </si>
  <si>
    <t>следующей</t>
  </si>
  <si>
    <t>декады</t>
  </si>
  <si>
    <t>частью</t>
  </si>
  <si>
    <t>национальной</t>
  </si>
  <si>
    <t>статистики</t>
  </si>
  <si>
    <t># text = КА: Ну, мне кажется, эта проблема будет, или по крайней мере должна стать темой самой интересной политической дискуссии в ближайшие несколько лет.</t>
  </si>
  <si>
    <t>эта</t>
  </si>
  <si>
    <t>крайней</t>
  </si>
  <si>
    <t>темой</t>
  </si>
  <si>
    <t>интересной</t>
  </si>
  <si>
    <t>политической</t>
  </si>
  <si>
    <t>дискуссии</t>
  </si>
  <si>
    <t># text = Большое вам спасибо за открытие бихевиористской экономики.</t>
  </si>
  <si>
    <t>Большое</t>
  </si>
  <si>
    <t>бихевиористской</t>
  </si>
  <si>
    <t>экономики</t>
  </si>
  <si>
    <t># text = Спасибо, Данни Канеман.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</si>
</sst>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11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10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20</v>
      </c>
      <c r="B6" s="6" t="s">
        <v>16</v>
      </c>
      <c r="C6" s="6" t="s">
        <v>12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32</v>
      </c>
      <c r="C7" s="6" t="s">
        <v>12</v>
      </c>
      <c r="D7" s="7" t="s">
        <v>25</v>
      </c>
      <c r="E7" s="8" t="s">
        <v>33</v>
      </c>
      <c r="F7" s="6" t="s">
        <v>34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32</v>
      </c>
      <c r="C8" s="6" t="s">
        <v>12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32</v>
      </c>
      <c r="B9" s="6" t="s">
        <v>16</v>
      </c>
      <c r="C9" s="6" t="s">
        <v>12</v>
      </c>
      <c r="D9" s="7" t="s">
        <v>39</v>
      </c>
      <c r="E9" s="8" t="s">
        <v>40</v>
      </c>
      <c r="F9" s="6" t="s">
        <v>41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42</v>
      </c>
      <c r="B10" s="6" t="s">
        <v>35</v>
      </c>
      <c r="C10" s="6" t="s">
        <v>12</v>
      </c>
      <c r="D10" s="7" t="s">
        <v>43</v>
      </c>
      <c r="E10" s="8" t="s">
        <v>44</v>
      </c>
      <c r="F10" s="6" t="s">
        <v>45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46</v>
      </c>
      <c r="B11" s="6" t="s">
        <v>10</v>
      </c>
      <c r="C11" s="6" t="s">
        <v>12</v>
      </c>
      <c r="D11" s="7" t="s">
        <v>47</v>
      </c>
      <c r="E11" s="8" t="s">
        <v>48</v>
      </c>
      <c r="F11" s="6" t="s">
        <v>49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50</v>
      </c>
      <c r="B12" s="6" t="s">
        <v>10</v>
      </c>
      <c r="C12" s="6" t="s">
        <v>12</v>
      </c>
      <c r="D12" s="7" t="s">
        <v>51</v>
      </c>
      <c r="E12" s="8" t="s">
        <v>52</v>
      </c>
      <c r="F12" s="6" t="s">
        <v>53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20</v>
      </c>
      <c r="C13" s="6" t="s">
        <v>12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20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16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20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11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11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24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24</v>
      </c>
      <c r="C20" s="6" t="s">
        <v>12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16</v>
      </c>
      <c r="C21" s="6" t="s">
        <v>12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16</v>
      </c>
      <c r="C22" s="6" t="s">
        <v>12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16</v>
      </c>
      <c r="C23" s="6" t="s">
        <v>12</v>
      </c>
      <c r="D23" s="7" t="s">
        <v>91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24</v>
      </c>
      <c r="C24" s="6" t="s">
        <v>98</v>
      </c>
      <c r="D24" s="7" t="s">
        <v>99</v>
      </c>
      <c r="E24" s="8" t="s">
        <v>100</v>
      </c>
      <c r="F24" s="6" t="s">
        <v>101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46</v>
      </c>
      <c r="C25" s="6" t="s">
        <v>12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10</v>
      </c>
      <c r="C26" s="6" t="s">
        <v>12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78</v>
      </c>
      <c r="C27" s="6" t="s">
        <v>12</v>
      </c>
      <c r="D27" s="7" t="s">
        <v>111</v>
      </c>
      <c r="E27" s="8" t="s">
        <v>112</v>
      </c>
      <c r="F27" s="6" t="s">
        <v>113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114</v>
      </c>
      <c r="B28" s="6" t="s">
        <v>16</v>
      </c>
      <c r="C28" s="6" t="s">
        <v>12</v>
      </c>
      <c r="D28" s="7" t="s">
        <v>115</v>
      </c>
      <c r="E28" s="8" t="s">
        <v>116</v>
      </c>
      <c r="F28" s="6" t="s">
        <v>117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118</v>
      </c>
      <c r="B29" s="6" t="s">
        <v>20</v>
      </c>
      <c r="C29" s="6" t="s">
        <v>12</v>
      </c>
      <c r="D29" s="7" t="s">
        <v>119</v>
      </c>
      <c r="E29" s="8" t="s">
        <v>120</v>
      </c>
      <c r="F29" s="6" t="s">
        <v>121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122</v>
      </c>
      <c r="B30" s="6" t="s">
        <v>20</v>
      </c>
      <c r="C30" s="6" t="s">
        <v>12</v>
      </c>
      <c r="D30" s="7" t="s">
        <v>123</v>
      </c>
      <c r="E30" s="8" t="s">
        <v>124</v>
      </c>
      <c r="F30" s="6" t="s">
        <v>125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126</v>
      </c>
      <c r="B31" s="6" t="s">
        <v>11</v>
      </c>
      <c r="C31" s="6" t="s">
        <v>12</v>
      </c>
      <c r="D31" s="7" t="s">
        <v>127</v>
      </c>
      <c r="E31" s="8" t="s">
        <v>128</v>
      </c>
      <c r="F31" s="6" t="s">
        <v>129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130</v>
      </c>
      <c r="B32" s="6" t="s">
        <v>16</v>
      </c>
      <c r="C32" s="6" t="s">
        <v>12</v>
      </c>
      <c r="D32" s="7" t="s">
        <v>131</v>
      </c>
      <c r="E32" s="8" t="s">
        <v>132</v>
      </c>
      <c r="F32" s="6" t="s">
        <v>133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134</v>
      </c>
      <c r="B33" s="6" t="s">
        <v>11</v>
      </c>
      <c r="C33" s="6" t="s">
        <v>12</v>
      </c>
      <c r="D33" s="7" t="s">
        <v>131</v>
      </c>
      <c r="E33" s="8" t="s">
        <v>135</v>
      </c>
      <c r="F33" s="6" t="s">
        <v>136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137</v>
      </c>
      <c r="B34" s="6" t="s">
        <v>16</v>
      </c>
      <c r="C34" s="6" t="s">
        <v>12</v>
      </c>
      <c r="D34" s="7" t="s">
        <v>138</v>
      </c>
      <c r="E34" s="8" t="s">
        <v>139</v>
      </c>
      <c r="F34" s="6" t="s">
        <v>140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141</v>
      </c>
      <c r="B35" s="6" t="s">
        <v>24</v>
      </c>
      <c r="C35" s="6" t="s">
        <v>12</v>
      </c>
      <c r="D35" s="7" t="s">
        <v>142</v>
      </c>
      <c r="E35" s="8" t="s">
        <v>143</v>
      </c>
      <c r="F35" s="6" t="s">
        <v>144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145</v>
      </c>
      <c r="B36" s="6" t="s">
        <v>11</v>
      </c>
      <c r="C36" s="6" t="s">
        <v>12</v>
      </c>
      <c r="D36" s="7" t="s">
        <v>146</v>
      </c>
      <c r="E36" s="8" t="s">
        <v>147</v>
      </c>
      <c r="F36" s="6" t="s">
        <v>148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149</v>
      </c>
      <c r="B37" s="6" t="s">
        <v>24</v>
      </c>
      <c r="C37" s="6" t="s">
        <v>12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153</v>
      </c>
      <c r="B38" s="6" t="s">
        <v>20</v>
      </c>
      <c r="C38" s="6" t="s">
        <v>12</v>
      </c>
      <c r="D38" s="7" t="s">
        <v>154</v>
      </c>
      <c r="E38" s="8" t="s">
        <v>155</v>
      </c>
      <c r="F38" s="6" t="s">
        <v>156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157</v>
      </c>
      <c r="B39" s="6" t="s">
        <v>16</v>
      </c>
      <c r="C39" s="6" t="s">
        <v>12</v>
      </c>
      <c r="D39" s="7" t="s">
        <v>17</v>
      </c>
      <c r="E39" s="8" t="s">
        <v>158</v>
      </c>
      <c r="F39" s="6" t="s">
        <v>159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160</v>
      </c>
      <c r="B40" s="6" t="s">
        <v>10</v>
      </c>
      <c r="C40" s="6" t="s">
        <v>12</v>
      </c>
      <c r="D40" s="7" t="s">
        <v>161</v>
      </c>
      <c r="E40" s="8" t="s">
        <v>162</v>
      </c>
      <c r="F40" s="6" t="s">
        <v>163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164</v>
      </c>
      <c r="B41" s="6" t="s">
        <v>11</v>
      </c>
      <c r="C41" s="6" t="s">
        <v>12</v>
      </c>
      <c r="D41" s="7" t="s">
        <v>165</v>
      </c>
      <c r="E41" s="8" t="s">
        <v>166</v>
      </c>
      <c r="F41" s="6" t="s">
        <v>167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11</v>
      </c>
      <c r="C42" s="6" t="s">
        <v>169</v>
      </c>
      <c r="D42" s="7" t="s">
        <v>170</v>
      </c>
      <c r="E42" s="8" t="s">
        <v>171</v>
      </c>
      <c r="F42" s="6" t="s">
        <v>172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173</v>
      </c>
      <c r="B43" s="6" t="s">
        <v>20</v>
      </c>
      <c r="C43" s="6" t="s">
        <v>12</v>
      </c>
      <c r="D43" s="7" t="s">
        <v>174</v>
      </c>
      <c r="E43" s="8" t="s">
        <v>175</v>
      </c>
      <c r="F43" s="6" t="s">
        <v>176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177</v>
      </c>
      <c r="B44" s="6" t="s">
        <v>10</v>
      </c>
      <c r="C44" s="6" t="s">
        <v>12</v>
      </c>
      <c r="D44" s="7" t="s">
        <v>178</v>
      </c>
      <c r="E44" s="8" t="s">
        <v>179</v>
      </c>
      <c r="F44" s="6" t="s">
        <v>180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181</v>
      </c>
      <c r="B45" s="6" t="s">
        <v>11</v>
      </c>
      <c r="C45" s="6" t="s">
        <v>12</v>
      </c>
      <c r="D45" s="7" t="s">
        <v>182</v>
      </c>
      <c r="E45" s="8" t="s">
        <v>183</v>
      </c>
      <c r="F45" s="6" t="s">
        <v>184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185</v>
      </c>
      <c r="B46" s="6" t="s">
        <v>16</v>
      </c>
      <c r="C46" s="6" t="s">
        <v>12</v>
      </c>
      <c r="D46" s="7" t="s">
        <v>186</v>
      </c>
      <c r="E46" s="8" t="s">
        <v>187</v>
      </c>
      <c r="F46" s="6" t="s">
        <v>188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189</v>
      </c>
      <c r="B47" s="6" t="s">
        <v>24</v>
      </c>
      <c r="C47" s="6" t="s">
        <v>12</v>
      </c>
      <c r="D47" s="7" t="s">
        <v>190</v>
      </c>
      <c r="E47" s="8" t="s">
        <v>191</v>
      </c>
      <c r="F47" s="6" t="s">
        <v>192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193</v>
      </c>
      <c r="B48" s="6" t="s">
        <v>16</v>
      </c>
      <c r="C48" s="6" t="s">
        <v>12</v>
      </c>
      <c r="D48" s="7" t="s">
        <v>103</v>
      </c>
      <c r="E48" s="8" t="s">
        <v>194</v>
      </c>
      <c r="F48" s="6" t="s">
        <v>195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196</v>
      </c>
      <c r="B49" s="6" t="s">
        <v>16</v>
      </c>
      <c r="C49" s="6" t="s">
        <v>12</v>
      </c>
      <c r="D49" s="7" t="s">
        <v>197</v>
      </c>
      <c r="E49" s="8" t="s">
        <v>198</v>
      </c>
      <c r="F49" s="6" t="s">
        <v>199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200</v>
      </c>
      <c r="B50" s="6" t="s">
        <v>32</v>
      </c>
      <c r="C50" s="6" t="s">
        <v>12</v>
      </c>
      <c r="D50" s="7" t="s">
        <v>201</v>
      </c>
      <c r="E50" s="8" t="s">
        <v>202</v>
      </c>
      <c r="F50" s="6" t="s">
        <v>203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204</v>
      </c>
      <c r="B51" s="6" t="s">
        <v>11</v>
      </c>
      <c r="C51" s="6" t="s">
        <v>12</v>
      </c>
      <c r="D51" s="7" t="s">
        <v>205</v>
      </c>
      <c r="E51" s="8" t="s">
        <v>206</v>
      </c>
      <c r="F51" s="6" t="s">
        <v>207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208</v>
      </c>
      <c r="B52" s="6" t="s">
        <v>24</v>
      </c>
      <c r="C52" s="6" t="s">
        <v>12</v>
      </c>
      <c r="D52" s="7" t="s">
        <v>209</v>
      </c>
      <c r="E52" s="8" t="s">
        <v>210</v>
      </c>
      <c r="F52" s="6" t="s">
        <v>211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212</v>
      </c>
      <c r="B53" s="6" t="s">
        <v>24</v>
      </c>
      <c r="C53" s="6" t="s">
        <v>98</v>
      </c>
      <c r="D53" s="7" t="s">
        <v>170</v>
      </c>
      <c r="E53" s="8" t="s">
        <v>213</v>
      </c>
      <c r="F53" s="6" t="s">
        <v>214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215</v>
      </c>
      <c r="B54" s="6" t="s">
        <v>20</v>
      </c>
      <c r="C54" s="6" t="s">
        <v>12</v>
      </c>
      <c r="D54" s="7" t="s">
        <v>115</v>
      </c>
      <c r="E54" s="8" t="s">
        <v>216</v>
      </c>
      <c r="F54" s="6" t="s">
        <v>217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218</v>
      </c>
      <c r="B55" s="6" t="s">
        <v>35</v>
      </c>
      <c r="C55" s="6" t="s">
        <v>12</v>
      </c>
      <c r="D55" s="7" t="s">
        <v>219</v>
      </c>
      <c r="E55" s="8" t="s">
        <v>220</v>
      </c>
      <c r="F55" s="6" t="s">
        <v>221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222</v>
      </c>
      <c r="B56" s="6" t="s">
        <v>35</v>
      </c>
      <c r="C56" s="6" t="s">
        <v>12</v>
      </c>
      <c r="D56" s="7" t="s">
        <v>223</v>
      </c>
      <c r="E56" s="8" t="s">
        <v>224</v>
      </c>
      <c r="F56" s="6" t="s">
        <v>225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226</v>
      </c>
      <c r="B57" s="6" t="s">
        <v>24</v>
      </c>
      <c r="C57" s="6" t="s">
        <v>12</v>
      </c>
      <c r="D57" s="7" t="s">
        <v>227</v>
      </c>
      <c r="E57" s="8" t="s">
        <v>228</v>
      </c>
      <c r="F57" s="6" t="s">
        <v>229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230</v>
      </c>
      <c r="B58" s="6" t="s">
        <v>16</v>
      </c>
      <c r="C58" s="6" t="s">
        <v>12</v>
      </c>
      <c r="D58" s="7" t="s">
        <v>231</v>
      </c>
      <c r="E58" s="8" t="s">
        <v>232</v>
      </c>
      <c r="F58" s="6" t="s">
        <v>233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234</v>
      </c>
      <c r="B59" s="6" t="s">
        <v>54</v>
      </c>
      <c r="C59" s="6" t="s">
        <v>12</v>
      </c>
      <c r="D59" s="7" t="s">
        <v>235</v>
      </c>
      <c r="E59" s="8" t="s">
        <v>236</v>
      </c>
      <c r="F59" s="6" t="s">
        <v>237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238</v>
      </c>
      <c r="B60" s="6" t="s">
        <v>16</v>
      </c>
      <c r="C60" s="6" t="s">
        <v>12</v>
      </c>
      <c r="D60" s="7" t="s">
        <v>239</v>
      </c>
      <c r="E60" s="8" t="s">
        <v>240</v>
      </c>
      <c r="F60" s="6" t="s">
        <v>241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242</v>
      </c>
      <c r="B61" s="6" t="s">
        <v>11</v>
      </c>
      <c r="C61" s="6" t="s">
        <v>12</v>
      </c>
      <c r="D61" s="7" t="s">
        <v>243</v>
      </c>
      <c r="E61" s="8" t="s">
        <v>244</v>
      </c>
      <c r="F61" s="6" t="s">
        <v>245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246</v>
      </c>
      <c r="B62" s="6" t="s">
        <v>16</v>
      </c>
      <c r="C62" s="6" t="s">
        <v>12</v>
      </c>
      <c r="D62" s="7" t="s">
        <v>239</v>
      </c>
      <c r="E62" s="8" t="s">
        <v>247</v>
      </c>
      <c r="F62" s="6" t="s">
        <v>248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249</v>
      </c>
      <c r="B63" s="6" t="s">
        <v>20</v>
      </c>
      <c r="C63" s="6" t="s">
        <v>12</v>
      </c>
      <c r="D63" s="7" t="s">
        <v>250</v>
      </c>
      <c r="E63" s="8" t="s">
        <v>251</v>
      </c>
      <c r="F63" s="6" t="s">
        <v>252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253</v>
      </c>
      <c r="B64" s="6" t="s">
        <v>20</v>
      </c>
      <c r="C64" s="6" t="s">
        <v>254</v>
      </c>
      <c r="D64" s="7" t="s">
        <v>255</v>
      </c>
      <c r="E64" s="8" t="s">
        <v>256</v>
      </c>
      <c r="F64" s="6" t="s">
        <v>257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258</v>
      </c>
      <c r="B65" s="6" t="s">
        <v>11</v>
      </c>
      <c r="C65" s="6" t="s">
        <v>12</v>
      </c>
      <c r="D65" s="7" t="s">
        <v>115</v>
      </c>
      <c r="E65" s="8" t="s">
        <v>259</v>
      </c>
      <c r="F65" s="6" t="s">
        <v>260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261</v>
      </c>
      <c r="B66" s="6" t="s">
        <v>24</v>
      </c>
      <c r="C66" s="6" t="s">
        <v>12</v>
      </c>
      <c r="D66" s="7" t="s">
        <v>262</v>
      </c>
      <c r="E66" s="8" t="s">
        <v>263</v>
      </c>
      <c r="F66" s="6" t="s">
        <v>264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265</v>
      </c>
      <c r="B67" s="6" t="s">
        <v>11</v>
      </c>
      <c r="C67" s="6" t="s">
        <v>12</v>
      </c>
      <c r="D67" s="7" t="s">
        <v>266</v>
      </c>
      <c r="E67" s="8" t="s">
        <v>267</v>
      </c>
      <c r="F67" s="6" t="s">
        <v>268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269</v>
      </c>
      <c r="B68" s="6" t="s">
        <v>16</v>
      </c>
      <c r="C68" s="6" t="s">
        <v>12</v>
      </c>
      <c r="D68" s="7" t="s">
        <v>270</v>
      </c>
      <c r="E68" s="8" t="s">
        <v>271</v>
      </c>
      <c r="F68" s="6" t="s">
        <v>272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273</v>
      </c>
      <c r="B69" s="6" t="s">
        <v>16</v>
      </c>
      <c r="C69" s="6" t="s">
        <v>12</v>
      </c>
      <c r="D69" s="7" t="s">
        <v>13</v>
      </c>
      <c r="E69" s="8" t="s">
        <v>274</v>
      </c>
      <c r="F69" s="6" t="s">
        <v>275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276</v>
      </c>
      <c r="B70" s="6" t="s">
        <v>16</v>
      </c>
      <c r="C70" s="6" t="s">
        <v>12</v>
      </c>
      <c r="D70" s="7" t="s">
        <v>277</v>
      </c>
      <c r="E70" s="8" t="s">
        <v>278</v>
      </c>
      <c r="F70" s="6" t="s">
        <v>279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280</v>
      </c>
      <c r="B71" s="6" t="s">
        <v>31</v>
      </c>
      <c r="C71" s="6" t="s">
        <v>12</v>
      </c>
      <c r="D71" s="7" t="s">
        <v>281</v>
      </c>
      <c r="E71" s="8" t="s">
        <v>282</v>
      </c>
      <c r="F71" s="6" t="s">
        <v>283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284</v>
      </c>
      <c r="B72" s="6" t="s">
        <v>20</v>
      </c>
      <c r="C72" s="6" t="s">
        <v>12</v>
      </c>
      <c r="D72" s="7" t="s">
        <v>285</v>
      </c>
      <c r="E72" s="8" t="s">
        <v>286</v>
      </c>
      <c r="F72" s="6" t="s">
        <v>287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288</v>
      </c>
      <c r="B73" s="6" t="s">
        <v>20</v>
      </c>
      <c r="C73" s="6" t="s">
        <v>12</v>
      </c>
      <c r="D73" s="7" t="s">
        <v>289</v>
      </c>
      <c r="E73" s="8" t="s">
        <v>290</v>
      </c>
      <c r="F73" s="6" t="s">
        <v>291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292</v>
      </c>
      <c r="B74" s="6" t="s">
        <v>31</v>
      </c>
      <c r="C74" s="6" t="s">
        <v>12</v>
      </c>
      <c r="D74" s="7" t="s">
        <v>293</v>
      </c>
      <c r="E74" s="8" t="s">
        <v>294</v>
      </c>
      <c r="F74" s="6" t="s">
        <v>295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296</v>
      </c>
      <c r="B75" s="6" t="s">
        <v>11</v>
      </c>
      <c r="C75" s="6" t="s">
        <v>297</v>
      </c>
      <c r="D75" s="7" t="s">
        <v>298</v>
      </c>
      <c r="E75" s="8" t="s">
        <v>299</v>
      </c>
      <c r="F75" s="6" t="s">
        <v>300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301</v>
      </c>
      <c r="B76" s="6" t="s">
        <v>35</v>
      </c>
      <c r="C76" s="6" t="s">
        <v>12</v>
      </c>
      <c r="D76" s="7" t="s">
        <v>302</v>
      </c>
      <c r="E76" s="8" t="s">
        <v>303</v>
      </c>
      <c r="F76" s="6" t="s">
        <v>304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305</v>
      </c>
      <c r="B77" s="6" t="s">
        <v>20</v>
      </c>
      <c r="C77" s="6" t="s">
        <v>254</v>
      </c>
      <c r="D77" s="7" t="s">
        <v>115</v>
      </c>
      <c r="E77" s="8" t="s">
        <v>306</v>
      </c>
      <c r="F77" s="6" t="s">
        <v>307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308</v>
      </c>
      <c r="B78" s="6" t="s">
        <v>20</v>
      </c>
      <c r="C78" s="6" t="s">
        <v>12</v>
      </c>
      <c r="D78" s="7" t="s">
        <v>309</v>
      </c>
      <c r="E78" s="8" t="s">
        <v>310</v>
      </c>
      <c r="F78" s="6" t="s">
        <v>311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312</v>
      </c>
      <c r="B79" s="6" t="s">
        <v>32</v>
      </c>
      <c r="C79" s="6" t="s">
        <v>12</v>
      </c>
      <c r="D79" s="7" t="s">
        <v>313</v>
      </c>
      <c r="E79" s="8" t="s">
        <v>314</v>
      </c>
      <c r="F79" s="6" t="s">
        <v>315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316</v>
      </c>
      <c r="B80" s="6" t="s">
        <v>31</v>
      </c>
      <c r="C80" s="6" t="s">
        <v>12</v>
      </c>
      <c r="D80" s="7" t="s">
        <v>317</v>
      </c>
      <c r="E80" s="8" t="s">
        <v>318</v>
      </c>
      <c r="F80" s="6" t="s">
        <v>319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320</v>
      </c>
      <c r="B81" s="6" t="s">
        <v>16</v>
      </c>
      <c r="C81" s="6" t="s">
        <v>12</v>
      </c>
      <c r="D81" s="7" t="s">
        <v>321</v>
      </c>
      <c r="E81" s="8" t="s">
        <v>322</v>
      </c>
      <c r="F81" s="6" t="s">
        <v>323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324</v>
      </c>
      <c r="B82" s="6" t="s">
        <v>11</v>
      </c>
      <c r="C82" s="6" t="s">
        <v>12</v>
      </c>
      <c r="D82" s="7" t="s">
        <v>325</v>
      </c>
      <c r="E82" s="8" t="s">
        <v>326</v>
      </c>
      <c r="F82" s="6" t="s">
        <v>327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328</v>
      </c>
      <c r="B83" s="6" t="s">
        <v>24</v>
      </c>
      <c r="C83" s="6" t="s">
        <v>12</v>
      </c>
      <c r="D83" s="7" t="s">
        <v>329</v>
      </c>
      <c r="E83" s="8" t="s">
        <v>330</v>
      </c>
      <c r="F83" s="6" t="s">
        <v>331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332</v>
      </c>
      <c r="B84" s="6" t="s">
        <v>11</v>
      </c>
      <c r="C84" s="6" t="s">
        <v>12</v>
      </c>
      <c r="D84" s="7" t="s">
        <v>333</v>
      </c>
      <c r="E84" s="8" t="s">
        <v>334</v>
      </c>
      <c r="F84" s="6" t="s">
        <v>335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336</v>
      </c>
      <c r="B85" s="6" t="s">
        <v>46</v>
      </c>
      <c r="C85" s="6" t="s">
        <v>12</v>
      </c>
      <c r="D85" s="7" t="s">
        <v>337</v>
      </c>
      <c r="E85" s="8" t="s">
        <v>338</v>
      </c>
      <c r="F85" s="6" t="s">
        <v>339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340</v>
      </c>
      <c r="B86" s="6" t="s">
        <v>20</v>
      </c>
      <c r="C86" s="6" t="s">
        <v>98</v>
      </c>
      <c r="D86" s="7" t="s">
        <v>341</v>
      </c>
      <c r="E86" s="8" t="s">
        <v>342</v>
      </c>
      <c r="F86" s="6" t="s">
        <v>343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344</v>
      </c>
      <c r="B87" s="6" t="s">
        <v>32</v>
      </c>
      <c r="C87" s="6" t="s">
        <v>12</v>
      </c>
      <c r="D87" s="7" t="s">
        <v>99</v>
      </c>
      <c r="E87" s="8" t="s">
        <v>345</v>
      </c>
      <c r="F87" s="6" t="s">
        <v>346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347</v>
      </c>
      <c r="B88" s="6" t="s">
        <v>20</v>
      </c>
      <c r="C88" s="6" t="s">
        <v>12</v>
      </c>
      <c r="D88" s="7" t="s">
        <v>348</v>
      </c>
      <c r="E88" s="8" t="s">
        <v>349</v>
      </c>
      <c r="F88" s="6" t="s">
        <v>350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351</v>
      </c>
      <c r="B89" s="6" t="s">
        <v>16</v>
      </c>
      <c r="C89" s="6" t="s">
        <v>12</v>
      </c>
      <c r="D89" s="7" t="s">
        <v>348</v>
      </c>
      <c r="E89" s="8" t="s">
        <v>352</v>
      </c>
      <c r="F89" s="6" t="s">
        <v>353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354</v>
      </c>
      <c r="B90" s="6" t="s">
        <v>20</v>
      </c>
      <c r="C90" s="6" t="s">
        <v>12</v>
      </c>
      <c r="D90" s="7" t="s">
        <v>355</v>
      </c>
      <c r="E90" s="8" t="s">
        <v>356</v>
      </c>
      <c r="F90" s="6" t="s">
        <v>357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358</v>
      </c>
      <c r="B91" s="6" t="s">
        <v>16</v>
      </c>
      <c r="C91" s="6" t="s">
        <v>12</v>
      </c>
      <c r="D91" s="7" t="s">
        <v>51</v>
      </c>
      <c r="E91" s="8" t="s">
        <v>359</v>
      </c>
      <c r="F91" s="6" t="s">
        <v>360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361</v>
      </c>
      <c r="B92" s="6" t="s">
        <v>42</v>
      </c>
      <c r="C92" s="6" t="s">
        <v>12</v>
      </c>
      <c r="D92" s="7" t="s">
        <v>227</v>
      </c>
      <c r="E92" s="8" t="s">
        <v>362</v>
      </c>
      <c r="F92" s="6" t="s">
        <v>363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364</v>
      </c>
      <c r="B93" s="6" t="s">
        <v>11</v>
      </c>
      <c r="C93" s="6" t="s">
        <v>12</v>
      </c>
      <c r="D93" s="7" t="s">
        <v>115</v>
      </c>
      <c r="E93" s="8" t="s">
        <v>365</v>
      </c>
      <c r="F93" s="6" t="s">
        <v>366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367</v>
      </c>
      <c r="B94" s="6" t="s">
        <v>11</v>
      </c>
      <c r="C94" s="6" t="s">
        <v>12</v>
      </c>
      <c r="D94" s="7" t="s">
        <v>368</v>
      </c>
      <c r="E94" s="8" t="s">
        <v>369</v>
      </c>
      <c r="F94" s="6" t="s">
        <v>370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371</v>
      </c>
      <c r="B95" s="6" t="s">
        <v>11</v>
      </c>
      <c r="C95" s="6" t="s">
        <v>12</v>
      </c>
      <c r="D95" s="7" t="s">
        <v>372</v>
      </c>
      <c r="E95" s="8" t="s">
        <v>373</v>
      </c>
      <c r="F95" s="6" t="s">
        <v>374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375</v>
      </c>
      <c r="B96" s="6" t="s">
        <v>16</v>
      </c>
      <c r="C96" s="6" t="s">
        <v>12</v>
      </c>
      <c r="D96" s="7" t="s">
        <v>107</v>
      </c>
      <c r="E96" s="8" t="s">
        <v>376</v>
      </c>
      <c r="F96" s="6" t="s">
        <v>377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378</v>
      </c>
      <c r="B97" s="6" t="s">
        <v>24</v>
      </c>
      <c r="C97" s="6" t="s">
        <v>12</v>
      </c>
      <c r="D97" s="7" t="s">
        <v>355</v>
      </c>
      <c r="E97" s="8" t="s">
        <v>379</v>
      </c>
      <c r="F97" s="6" t="s">
        <v>380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381</v>
      </c>
      <c r="B98" s="6" t="s">
        <v>20</v>
      </c>
      <c r="C98" s="6" t="s">
        <v>12</v>
      </c>
      <c r="D98" s="7" t="s">
        <v>382</v>
      </c>
      <c r="E98" s="8" t="s">
        <v>383</v>
      </c>
      <c r="F98" s="6" t="s">
        <v>384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385</v>
      </c>
      <c r="B99" s="6" t="s">
        <v>70</v>
      </c>
      <c r="C99" s="6" t="s">
        <v>12</v>
      </c>
      <c r="D99" s="7" t="s">
        <v>386</v>
      </c>
      <c r="E99" s="8" t="s">
        <v>387</v>
      </c>
      <c r="F99" s="6" t="s">
        <v>388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389</v>
      </c>
      <c r="B100" s="6" t="s">
        <v>20</v>
      </c>
      <c r="C100" s="6" t="s">
        <v>12</v>
      </c>
      <c r="D100" s="7" t="s">
        <v>390</v>
      </c>
      <c r="E100" s="8" t="s">
        <v>391</v>
      </c>
      <c r="F100" s="6" t="s">
        <v>392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393</v>
      </c>
      <c r="B101" s="6" t="s">
        <v>20</v>
      </c>
      <c r="C101" s="6" t="s">
        <v>12</v>
      </c>
      <c r="D101" s="7" t="s">
        <v>115</v>
      </c>
      <c r="E101" s="8" t="s">
        <v>394</v>
      </c>
      <c r="F101" s="6" t="s">
        <v>395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396</v>
      </c>
      <c r="B102" s="6" t="s">
        <v>35</v>
      </c>
      <c r="C102" s="6" t="s">
        <v>98</v>
      </c>
      <c r="D102" s="7" t="s">
        <v>397</v>
      </c>
      <c r="E102" s="8" t="s">
        <v>398</v>
      </c>
      <c r="F102" s="6" t="s">
        <v>399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400</v>
      </c>
      <c r="B103" s="6" t="s">
        <v>11</v>
      </c>
      <c r="C103" s="6" t="s">
        <v>12</v>
      </c>
      <c r="D103" s="7" t="s">
        <v>401</v>
      </c>
      <c r="E103" s="8" t="s">
        <v>402</v>
      </c>
      <c r="F103" s="6" t="s">
        <v>403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404</v>
      </c>
      <c r="B104" s="6" t="s">
        <v>24</v>
      </c>
      <c r="C104" s="6" t="s">
        <v>254</v>
      </c>
      <c r="D104" s="7" t="s">
        <v>28</v>
      </c>
      <c r="E104" s="8" t="s">
        <v>405</v>
      </c>
      <c r="F104" s="6" t="s">
        <v>406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407</v>
      </c>
      <c r="B105" s="6" t="s">
        <v>10</v>
      </c>
      <c r="C105" s="6" t="s">
        <v>12</v>
      </c>
      <c r="D105" s="7" t="s">
        <v>408</v>
      </c>
      <c r="E105" s="8" t="s">
        <v>409</v>
      </c>
      <c r="F105" s="6" t="s">
        <v>410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411</v>
      </c>
      <c r="B106" s="6" t="s">
        <v>16</v>
      </c>
      <c r="C106" s="6" t="s">
        <v>12</v>
      </c>
      <c r="D106" s="7" t="s">
        <v>408</v>
      </c>
      <c r="E106" s="8" t="s">
        <v>412</v>
      </c>
      <c r="F106" s="6" t="s">
        <v>413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414</v>
      </c>
      <c r="B107" s="6" t="s">
        <v>31</v>
      </c>
      <c r="C107" s="6" t="s">
        <v>12</v>
      </c>
      <c r="D107" s="7" t="s">
        <v>415</v>
      </c>
      <c r="E107" s="8" t="s">
        <v>416</v>
      </c>
      <c r="F107" s="6" t="s">
        <v>417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418</v>
      </c>
      <c r="B108" s="6" t="s">
        <v>62</v>
      </c>
      <c r="C108" s="6" t="s">
        <v>12</v>
      </c>
      <c r="D108" s="7" t="s">
        <v>419</v>
      </c>
      <c r="E108" s="8" t="s">
        <v>420</v>
      </c>
      <c r="F108" s="6" t="s">
        <v>421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422</v>
      </c>
      <c r="B109" s="6" t="s">
        <v>24</v>
      </c>
      <c r="C109" s="6" t="s">
        <v>12</v>
      </c>
      <c r="D109" s="7" t="s">
        <v>423</v>
      </c>
      <c r="E109" s="8" t="s">
        <v>424</v>
      </c>
      <c r="F109" s="6" t="s">
        <v>425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426</v>
      </c>
      <c r="B110" s="6" t="s">
        <v>11</v>
      </c>
      <c r="C110" s="6" t="s">
        <v>12</v>
      </c>
      <c r="D110" s="7" t="s">
        <v>348</v>
      </c>
      <c r="E110" s="8" t="s">
        <v>427</v>
      </c>
      <c r="F110" s="6" t="s">
        <v>428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429</v>
      </c>
      <c r="B111" s="6" t="s">
        <v>20</v>
      </c>
      <c r="C111" s="6" t="s">
        <v>430</v>
      </c>
      <c r="D111" s="7" t="s">
        <v>431</v>
      </c>
      <c r="E111" s="8" t="s">
        <v>432</v>
      </c>
      <c r="F111" s="6" t="s">
        <v>433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434</v>
      </c>
      <c r="B112" s="6" t="s">
        <v>16</v>
      </c>
      <c r="C112" s="6" t="s">
        <v>12</v>
      </c>
      <c r="D112" s="7" t="s">
        <v>25</v>
      </c>
      <c r="E112" s="8" t="s">
        <v>435</v>
      </c>
      <c r="F112" s="6" t="s">
        <v>436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437</v>
      </c>
      <c r="B113" s="6" t="s">
        <v>16</v>
      </c>
      <c r="C113" s="6" t="s">
        <v>12</v>
      </c>
      <c r="D113" s="7" t="s">
        <v>262</v>
      </c>
      <c r="E113" s="8" t="s">
        <v>438</v>
      </c>
      <c r="F113" s="6" t="s">
        <v>439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440</v>
      </c>
      <c r="B114" s="6" t="s">
        <v>31</v>
      </c>
      <c r="C114" s="6" t="s">
        <v>12</v>
      </c>
      <c r="D114" s="7" t="s">
        <v>397</v>
      </c>
      <c r="E114" s="8" t="s">
        <v>441</v>
      </c>
      <c r="F114" s="6" t="s">
        <v>442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443</v>
      </c>
      <c r="B115" s="6" t="s">
        <v>32</v>
      </c>
      <c r="C115" s="6" t="s">
        <v>12</v>
      </c>
      <c r="D115" s="7" t="s">
        <v>397</v>
      </c>
      <c r="E115" s="8" t="s">
        <v>444</v>
      </c>
      <c r="F115" s="6" t="s">
        <v>445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446</v>
      </c>
      <c r="B116" s="6" t="s">
        <v>10</v>
      </c>
      <c r="C116" s="6" t="s">
        <v>12</v>
      </c>
      <c r="D116" s="7" t="s">
        <v>447</v>
      </c>
      <c r="E116" s="8" t="s">
        <v>448</v>
      </c>
      <c r="F116" s="6" t="s">
        <v>449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450</v>
      </c>
      <c r="B117" s="6" t="s">
        <v>32</v>
      </c>
      <c r="C117" s="6" t="s">
        <v>12</v>
      </c>
      <c r="D117" s="7" t="s">
        <v>451</v>
      </c>
      <c r="E117" s="8" t="s">
        <v>452</v>
      </c>
      <c r="F117" s="6" t="s">
        <v>453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454</v>
      </c>
      <c r="B118" s="6" t="s">
        <v>46</v>
      </c>
      <c r="C118" s="6" t="s">
        <v>12</v>
      </c>
      <c r="D118" s="7" t="s">
        <v>455</v>
      </c>
      <c r="E118" s="8" t="s">
        <v>456</v>
      </c>
      <c r="F118" s="6" t="s">
        <v>457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458</v>
      </c>
      <c r="B119" s="6" t="s">
        <v>11</v>
      </c>
      <c r="C119" s="6" t="s">
        <v>12</v>
      </c>
      <c r="D119" s="7" t="s">
        <v>372</v>
      </c>
      <c r="E119" s="8" t="s">
        <v>459</v>
      </c>
      <c r="F119" s="6" t="s">
        <v>460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461</v>
      </c>
      <c r="B120" s="6" t="s">
        <v>11</v>
      </c>
      <c r="C120" s="6" t="s">
        <v>12</v>
      </c>
      <c r="D120" s="7" t="s">
        <v>372</v>
      </c>
      <c r="E120" s="8" t="s">
        <v>462</v>
      </c>
      <c r="F120" s="6" t="s">
        <v>463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464</v>
      </c>
      <c r="B121" s="6" t="s">
        <v>11</v>
      </c>
      <c r="C121" s="6" t="s">
        <v>12</v>
      </c>
      <c r="D121" s="7" t="s">
        <v>465</v>
      </c>
      <c r="E121" s="8" t="s">
        <v>466</v>
      </c>
      <c r="F121" s="6" t="s">
        <v>467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468</v>
      </c>
      <c r="B122" s="6" t="s">
        <v>50</v>
      </c>
      <c r="C122" s="6" t="s">
        <v>12</v>
      </c>
      <c r="D122" s="7" t="s">
        <v>469</v>
      </c>
      <c r="E122" s="8" t="s">
        <v>470</v>
      </c>
      <c r="F122" s="6" t="s">
        <v>471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472</v>
      </c>
      <c r="B123" s="6" t="s">
        <v>50</v>
      </c>
      <c r="C123" s="6" t="s">
        <v>12</v>
      </c>
      <c r="D123" s="7" t="s">
        <v>473</v>
      </c>
      <c r="E123" s="8" t="s">
        <v>474</v>
      </c>
      <c r="F123" s="6" t="s">
        <v>475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476</v>
      </c>
      <c r="B124" s="6" t="s">
        <v>11</v>
      </c>
      <c r="C124" s="6" t="s">
        <v>12</v>
      </c>
      <c r="D124" s="7" t="s">
        <v>477</v>
      </c>
      <c r="E124" s="8" t="s">
        <v>478</v>
      </c>
      <c r="F124" s="6" t="s">
        <v>479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480</v>
      </c>
      <c r="B125" s="6" t="s">
        <v>35</v>
      </c>
      <c r="C125" s="6" t="s">
        <v>12</v>
      </c>
      <c r="D125" s="7" t="s">
        <v>481</v>
      </c>
      <c r="E125" s="8" t="s">
        <v>482</v>
      </c>
      <c r="F125" s="6" t="s">
        <v>483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484</v>
      </c>
      <c r="B126" s="6" t="s">
        <v>31</v>
      </c>
      <c r="C126" s="6" t="s">
        <v>12</v>
      </c>
      <c r="D126" s="7" t="s">
        <v>51</v>
      </c>
      <c r="E126" s="8" t="s">
        <v>485</v>
      </c>
      <c r="F126" s="6" t="s">
        <v>486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487</v>
      </c>
      <c r="B127" s="6" t="s">
        <v>16</v>
      </c>
      <c r="C127" s="6" t="s">
        <v>12</v>
      </c>
      <c r="D127" s="7" t="s">
        <v>488</v>
      </c>
      <c r="E127" s="8" t="s">
        <v>489</v>
      </c>
      <c r="F127" s="6" t="s">
        <v>490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491</v>
      </c>
      <c r="B128" s="6" t="s">
        <v>10</v>
      </c>
      <c r="C128" s="6" t="s">
        <v>12</v>
      </c>
      <c r="D128" s="7" t="s">
        <v>492</v>
      </c>
      <c r="E128" s="8" t="s">
        <v>493</v>
      </c>
      <c r="F128" s="6" t="s">
        <v>494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495</v>
      </c>
      <c r="B129" s="6" t="s">
        <v>16</v>
      </c>
      <c r="C129" s="6" t="s">
        <v>12</v>
      </c>
      <c r="D129" s="7" t="s">
        <v>277</v>
      </c>
      <c r="E129" s="8" t="s">
        <v>496</v>
      </c>
      <c r="F129" s="6" t="s">
        <v>497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498</v>
      </c>
      <c r="B130" s="6" t="s">
        <v>31</v>
      </c>
      <c r="C130" s="6" t="s">
        <v>499</v>
      </c>
      <c r="D130" s="7" t="s">
        <v>500</v>
      </c>
      <c r="E130" s="8" t="s">
        <v>501</v>
      </c>
      <c r="F130" s="6" t="s">
        <v>502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503</v>
      </c>
      <c r="B131" s="6" t="s">
        <v>20</v>
      </c>
      <c r="C131" s="6" t="s">
        <v>12</v>
      </c>
      <c r="D131" s="7" t="s">
        <v>504</v>
      </c>
      <c r="E131" s="8" t="s">
        <v>505</v>
      </c>
      <c r="F131" s="6" t="s">
        <v>506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507</v>
      </c>
      <c r="B132" s="6" t="s">
        <v>20</v>
      </c>
      <c r="C132" s="6" t="s">
        <v>12</v>
      </c>
      <c r="D132" s="7" t="s">
        <v>508</v>
      </c>
      <c r="E132" s="8" t="s">
        <v>509</v>
      </c>
      <c r="F132" s="6" t="s">
        <v>510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511</v>
      </c>
      <c r="B133" s="6" t="s">
        <v>11</v>
      </c>
      <c r="C133" s="6" t="s">
        <v>12</v>
      </c>
      <c r="D133" s="7" t="s">
        <v>209</v>
      </c>
      <c r="E133" s="8" t="s">
        <v>512</v>
      </c>
      <c r="F133" s="6" t="s">
        <v>513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514</v>
      </c>
      <c r="B134" s="6" t="s">
        <v>16</v>
      </c>
      <c r="C134" s="6" t="s">
        <v>12</v>
      </c>
      <c r="D134" s="7" t="s">
        <v>515</v>
      </c>
      <c r="E134" s="8" t="s">
        <v>516</v>
      </c>
      <c r="F134" s="6" t="s">
        <v>517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518</v>
      </c>
      <c r="B135" s="6" t="s">
        <v>10</v>
      </c>
      <c r="C135" s="6" t="s">
        <v>12</v>
      </c>
      <c r="D135" s="7" t="s">
        <v>115</v>
      </c>
      <c r="E135" s="8" t="s">
        <v>519</v>
      </c>
      <c r="F135" s="6" t="s">
        <v>520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521</v>
      </c>
      <c r="B136" s="6" t="s">
        <v>74</v>
      </c>
      <c r="C136" s="6" t="s">
        <v>12</v>
      </c>
      <c r="D136" s="7" t="s">
        <v>522</v>
      </c>
      <c r="E136" s="8" t="s">
        <v>523</v>
      </c>
      <c r="F136" s="6" t="s">
        <v>524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525</v>
      </c>
      <c r="B137" s="6" t="s">
        <v>32</v>
      </c>
      <c r="C137" s="6" t="s">
        <v>12</v>
      </c>
      <c r="D137" s="7" t="s">
        <v>526</v>
      </c>
      <c r="E137" s="8" t="s">
        <v>527</v>
      </c>
      <c r="F137" s="6" t="s">
        <v>528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529</v>
      </c>
      <c r="B138" s="6" t="s">
        <v>24</v>
      </c>
      <c r="C138" s="6" t="s">
        <v>12</v>
      </c>
      <c r="D138" s="7" t="s">
        <v>465</v>
      </c>
      <c r="E138" s="8" t="s">
        <v>530</v>
      </c>
      <c r="F138" s="6" t="s">
        <v>531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532</v>
      </c>
      <c r="B139" s="6" t="s">
        <v>20</v>
      </c>
      <c r="C139" s="6" t="s">
        <v>12</v>
      </c>
      <c r="D139" s="7" t="s">
        <v>533</v>
      </c>
      <c r="E139" s="8" t="s">
        <v>534</v>
      </c>
      <c r="F139" s="6" t="s">
        <v>535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536</v>
      </c>
      <c r="B140" s="6" t="s">
        <v>74</v>
      </c>
      <c r="C140" s="6" t="s">
        <v>12</v>
      </c>
      <c r="D140" s="7" t="s">
        <v>537</v>
      </c>
      <c r="E140" s="8" t="s">
        <v>538</v>
      </c>
      <c r="F140" s="6" t="s">
        <v>539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540</v>
      </c>
      <c r="B141" s="6" t="s">
        <v>32</v>
      </c>
      <c r="C141" s="6" t="s">
        <v>12</v>
      </c>
      <c r="D141" s="7" t="s">
        <v>51</v>
      </c>
      <c r="E141" s="8" t="s">
        <v>541</v>
      </c>
      <c r="F141" s="6" t="s">
        <v>542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543</v>
      </c>
      <c r="B142" s="6" t="s">
        <v>31</v>
      </c>
      <c r="C142" s="6" t="s">
        <v>12</v>
      </c>
      <c r="D142" s="7" t="s">
        <v>544</v>
      </c>
      <c r="E142" s="8" t="s">
        <v>545</v>
      </c>
      <c r="F142" s="6" t="s">
        <v>546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547</v>
      </c>
      <c r="B143" s="6" t="s">
        <v>16</v>
      </c>
      <c r="C143" s="6" t="s">
        <v>12</v>
      </c>
      <c r="D143" s="7" t="s">
        <v>47</v>
      </c>
      <c r="E143" s="8" t="s">
        <v>548</v>
      </c>
      <c r="F143" s="6" t="s">
        <v>549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550</v>
      </c>
      <c r="B144" s="6" t="s">
        <v>66</v>
      </c>
      <c r="C144" s="6" t="s">
        <v>12</v>
      </c>
      <c r="D144" s="7" t="s">
        <v>488</v>
      </c>
      <c r="E144" s="8" t="s">
        <v>551</v>
      </c>
      <c r="F144" s="6" t="s">
        <v>552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553</v>
      </c>
      <c r="B145" s="6" t="s">
        <v>11</v>
      </c>
      <c r="C145" s="6" t="s">
        <v>12</v>
      </c>
      <c r="D145" s="7" t="s">
        <v>554</v>
      </c>
      <c r="E145" s="8" t="s">
        <v>555</v>
      </c>
      <c r="F145" s="6" t="s">
        <v>556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557</v>
      </c>
      <c r="B146" s="6" t="s">
        <v>31</v>
      </c>
      <c r="C146" s="6" t="s">
        <v>12</v>
      </c>
      <c r="D146" s="7" t="s">
        <v>558</v>
      </c>
      <c r="E146" s="8" t="s">
        <v>559</v>
      </c>
      <c r="F146" s="6" t="s">
        <v>560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561</v>
      </c>
      <c r="B147" s="6" t="s">
        <v>11</v>
      </c>
      <c r="C147" s="6" t="s">
        <v>12</v>
      </c>
      <c r="D147" s="7" t="s">
        <v>209</v>
      </c>
      <c r="E147" s="8" t="s">
        <v>562</v>
      </c>
      <c r="F147" s="6" t="s">
        <v>563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564</v>
      </c>
      <c r="B148" s="6" t="s">
        <v>24</v>
      </c>
      <c r="C148" s="6" t="s">
        <v>12</v>
      </c>
      <c r="D148" s="7" t="s">
        <v>565</v>
      </c>
      <c r="E148" s="8" t="s">
        <v>566</v>
      </c>
      <c r="F148" s="6" t="s">
        <v>567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568</v>
      </c>
      <c r="B149" s="6" t="s">
        <v>11</v>
      </c>
      <c r="C149" s="6" t="s">
        <v>98</v>
      </c>
      <c r="D149" s="7" t="s">
        <v>569</v>
      </c>
      <c r="E149" s="8" t="s">
        <v>570</v>
      </c>
      <c r="F149" s="6" t="s">
        <v>571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572</v>
      </c>
      <c r="B150" s="6" t="s">
        <v>11</v>
      </c>
      <c r="C150" s="6" t="s">
        <v>12</v>
      </c>
      <c r="D150" s="7" t="s">
        <v>573</v>
      </c>
      <c r="E150" s="8" t="s">
        <v>574</v>
      </c>
      <c r="F150" s="6" t="s">
        <v>575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576</v>
      </c>
      <c r="B151" s="6" t="s">
        <v>16</v>
      </c>
      <c r="C151" s="6" t="s">
        <v>12</v>
      </c>
      <c r="D151" s="7" t="s">
        <v>577</v>
      </c>
      <c r="E151" s="8" t="s">
        <v>578</v>
      </c>
      <c r="F151" s="6" t="s">
        <v>579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580</v>
      </c>
      <c r="B152" s="6" t="s">
        <v>10</v>
      </c>
      <c r="C152" s="6" t="s">
        <v>12</v>
      </c>
      <c r="D152" s="7" t="s">
        <v>581</v>
      </c>
      <c r="E152" s="8" t="s">
        <v>582</v>
      </c>
      <c r="F152" s="6" t="s">
        <v>583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584</v>
      </c>
      <c r="B153" s="6" t="s">
        <v>16</v>
      </c>
      <c r="C153" s="6" t="s">
        <v>12</v>
      </c>
      <c r="D153" s="7" t="s">
        <v>585</v>
      </c>
      <c r="E153" s="8" t="s">
        <v>586</v>
      </c>
      <c r="F153" s="6" t="s">
        <v>587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588</v>
      </c>
      <c r="B154" s="6" t="s">
        <v>16</v>
      </c>
      <c r="C154" s="6" t="s">
        <v>12</v>
      </c>
      <c r="D154" s="7" t="s">
        <v>589</v>
      </c>
      <c r="E154" s="8" t="s">
        <v>590</v>
      </c>
      <c r="F154" s="6" t="s">
        <v>591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592</v>
      </c>
      <c r="B155" s="6" t="s">
        <v>10</v>
      </c>
      <c r="C155" s="6" t="s">
        <v>12</v>
      </c>
      <c r="D155" s="7" t="s">
        <v>581</v>
      </c>
      <c r="E155" s="8" t="s">
        <v>593</v>
      </c>
      <c r="F155" s="6" t="s">
        <v>594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595</v>
      </c>
      <c r="B156" s="6" t="s">
        <v>20</v>
      </c>
      <c r="C156" s="6" t="s">
        <v>12</v>
      </c>
      <c r="D156" s="7" t="s">
        <v>596</v>
      </c>
      <c r="E156" s="8" t="s">
        <v>597</v>
      </c>
      <c r="F156" s="6" t="s">
        <v>598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599</v>
      </c>
      <c r="B157" s="6" t="s">
        <v>10</v>
      </c>
      <c r="C157" s="6" t="s">
        <v>12</v>
      </c>
      <c r="D157" s="7" t="s">
        <v>488</v>
      </c>
      <c r="E157" s="8" t="s">
        <v>600</v>
      </c>
      <c r="F157" s="6" t="s">
        <v>601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602</v>
      </c>
      <c r="B158" s="6" t="s">
        <v>10</v>
      </c>
      <c r="C158" s="6" t="s">
        <v>12</v>
      </c>
      <c r="D158" s="7" t="s">
        <v>603</v>
      </c>
      <c r="E158" s="8" t="s">
        <v>604</v>
      </c>
      <c r="F158" s="6" t="s">
        <v>605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606</v>
      </c>
      <c r="B159" s="6" t="s">
        <v>32</v>
      </c>
      <c r="C159" s="6" t="s">
        <v>12</v>
      </c>
      <c r="D159" s="7" t="s">
        <v>115</v>
      </c>
      <c r="E159" s="8" t="s">
        <v>607</v>
      </c>
      <c r="F159" s="6" t="s">
        <v>608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609</v>
      </c>
      <c r="B160" s="6" t="s">
        <v>16</v>
      </c>
      <c r="C160" s="6" t="s">
        <v>12</v>
      </c>
      <c r="D160" s="7" t="s">
        <v>610</v>
      </c>
      <c r="E160" s="8" t="s">
        <v>611</v>
      </c>
      <c r="F160" s="6" t="s">
        <v>612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613</v>
      </c>
      <c r="B161" s="6" t="s">
        <v>58</v>
      </c>
      <c r="C161" s="6" t="s">
        <v>12</v>
      </c>
      <c r="D161" s="7" t="s">
        <v>614</v>
      </c>
      <c r="E161" s="8" t="s">
        <v>615</v>
      </c>
      <c r="F161" s="6" t="s">
        <v>616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617</v>
      </c>
      <c r="B162" s="6" t="s">
        <v>10</v>
      </c>
      <c r="C162" s="6" t="s">
        <v>12</v>
      </c>
      <c r="D162" s="7" t="s">
        <v>618</v>
      </c>
      <c r="E162" s="8" t="s">
        <v>619</v>
      </c>
      <c r="F162" s="6" t="s">
        <v>620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621</v>
      </c>
      <c r="B163" s="6" t="s">
        <v>10</v>
      </c>
      <c r="C163" s="6" t="s">
        <v>12</v>
      </c>
      <c r="D163" s="7" t="s">
        <v>622</v>
      </c>
      <c r="E163" s="8" t="s">
        <v>623</v>
      </c>
      <c r="F163" s="6" t="s">
        <v>624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625</v>
      </c>
      <c r="B164" s="6" t="s">
        <v>16</v>
      </c>
      <c r="C164" s="6" t="s">
        <v>12</v>
      </c>
      <c r="D164" s="7" t="s">
        <v>626</v>
      </c>
      <c r="E164" s="8" t="s">
        <v>627</v>
      </c>
      <c r="F164" s="6" t="s">
        <v>628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629</v>
      </c>
      <c r="B165" s="6" t="s">
        <v>50</v>
      </c>
      <c r="C165" s="6" t="s">
        <v>12</v>
      </c>
      <c r="D165" s="7" t="s">
        <v>630</v>
      </c>
      <c r="E165" s="8" t="s">
        <v>631</v>
      </c>
      <c r="F165" s="6" t="s">
        <v>632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633</v>
      </c>
      <c r="B166" s="6" t="s">
        <v>20</v>
      </c>
      <c r="C166" s="6" t="s">
        <v>12</v>
      </c>
      <c r="D166" s="7" t="s">
        <v>634</v>
      </c>
      <c r="E166" s="8" t="s">
        <v>635</v>
      </c>
      <c r="F166" s="6" t="s">
        <v>636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637</v>
      </c>
      <c r="B167" s="6" t="s">
        <v>11</v>
      </c>
      <c r="C167" s="6" t="s">
        <v>499</v>
      </c>
      <c r="D167" s="7" t="s">
        <v>223</v>
      </c>
      <c r="E167" s="8" t="s">
        <v>638</v>
      </c>
      <c r="F167" s="6" t="s">
        <v>639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640</v>
      </c>
      <c r="B168" s="6" t="s">
        <v>46</v>
      </c>
      <c r="C168" s="6" t="s">
        <v>12</v>
      </c>
      <c r="D168" s="7" t="s">
        <v>641</v>
      </c>
      <c r="E168" s="8" t="s">
        <v>642</v>
      </c>
      <c r="F168" s="6" t="s">
        <v>643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644</v>
      </c>
      <c r="B169" s="6" t="s">
        <v>16</v>
      </c>
      <c r="C169" s="6" t="s">
        <v>12</v>
      </c>
      <c r="D169" s="7" t="s">
        <v>645</v>
      </c>
      <c r="E169" s="8" t="s">
        <v>646</v>
      </c>
      <c r="F169" s="6" t="s">
        <v>647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648</v>
      </c>
      <c r="B170" s="6" t="s">
        <v>11</v>
      </c>
      <c r="C170" s="6" t="s">
        <v>12</v>
      </c>
      <c r="D170" s="7" t="s">
        <v>39</v>
      </c>
      <c r="E170" s="8" t="s">
        <v>649</v>
      </c>
      <c r="F170" s="6" t="s">
        <v>650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651</v>
      </c>
      <c r="B171" s="6" t="s">
        <v>10</v>
      </c>
      <c r="C171" s="6" t="s">
        <v>12</v>
      </c>
      <c r="D171" s="7" t="s">
        <v>618</v>
      </c>
      <c r="E171" s="8" t="s">
        <v>652</v>
      </c>
      <c r="F171" s="6" t="s">
        <v>653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654</v>
      </c>
      <c r="B172" s="6" t="s">
        <v>42</v>
      </c>
      <c r="C172" s="6" t="s">
        <v>12</v>
      </c>
      <c r="D172" s="7" t="s">
        <v>655</v>
      </c>
      <c r="E172" s="8" t="s">
        <v>656</v>
      </c>
      <c r="F172" s="6" t="s">
        <v>657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658</v>
      </c>
      <c r="B173" s="6" t="s">
        <v>10</v>
      </c>
      <c r="C173" s="6" t="s">
        <v>12</v>
      </c>
      <c r="D173" s="7" t="s">
        <v>115</v>
      </c>
      <c r="E173" s="8" t="s">
        <v>659</v>
      </c>
      <c r="F173" s="6" t="s">
        <v>660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661</v>
      </c>
      <c r="B174" s="6" t="s">
        <v>10</v>
      </c>
      <c r="C174" s="6" t="s">
        <v>12</v>
      </c>
      <c r="D174" s="7" t="s">
        <v>622</v>
      </c>
      <c r="E174" s="8" t="s">
        <v>662</v>
      </c>
      <c r="F174" s="6" t="s">
        <v>663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664</v>
      </c>
      <c r="B175" s="6" t="s">
        <v>11</v>
      </c>
      <c r="C175" s="6" t="s">
        <v>12</v>
      </c>
      <c r="D175" s="7" t="s">
        <v>665</v>
      </c>
      <c r="E175" s="8" t="s">
        <v>666</v>
      </c>
      <c r="F175" s="6" t="s">
        <v>667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668</v>
      </c>
      <c r="B176" s="6" t="s">
        <v>16</v>
      </c>
      <c r="C176" s="6" t="s">
        <v>12</v>
      </c>
      <c r="D176" s="7" t="s">
        <v>669</v>
      </c>
      <c r="E176" s="8" t="s">
        <v>670</v>
      </c>
      <c r="F176" s="6" t="s">
        <v>671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  <row r="177" spans="1:10" ht="60" customHeight="1">
      <c r="A177" s="6" t="s">
        <v>672</v>
      </c>
      <c r="B177" s="6" t="s">
        <v>16</v>
      </c>
      <c r="C177" s="6" t="s">
        <v>12</v>
      </c>
      <c r="D177" s="7" t="s">
        <v>673</v>
      </c>
      <c r="E177" s="8" t="s">
        <v>674</v>
      </c>
      <c r="F177" s="6" t="s">
        <v>675</v>
      </c>
      <c r="G177" s="9">
        <f>IF(A177=1,"_",IF(C177="_","???",C177))</f>
        <v/>
      </c>
      <c r="H177" s="10" t="s">
        <v>12</v>
      </c>
      <c r="I177" s="11" t="s">
        <v>12</v>
      </c>
      <c r="J177" s="12"/>
    </row>
    <row r="178" spans="1:10" ht="60" customHeight="1">
      <c r="A178" s="6" t="s">
        <v>676</v>
      </c>
      <c r="B178" s="6" t="s">
        <v>31</v>
      </c>
      <c r="C178" s="6" t="s">
        <v>12</v>
      </c>
      <c r="D178" s="7" t="s">
        <v>488</v>
      </c>
      <c r="E178" s="8" t="s">
        <v>677</v>
      </c>
      <c r="F178" s="6" t="s">
        <v>678</v>
      </c>
      <c r="G178" s="9">
        <f>IF(A178=1,"_",IF(C178="_","???",C178))</f>
        <v/>
      </c>
      <c r="H178" s="10" t="s">
        <v>12</v>
      </c>
      <c r="I178" s="11" t="s">
        <v>12</v>
      </c>
      <c r="J178" s="12"/>
    </row>
    <row r="179" spans="1:10" ht="60" customHeight="1">
      <c r="A179" s="6" t="s">
        <v>679</v>
      </c>
      <c r="B179" s="6" t="s">
        <v>11</v>
      </c>
      <c r="C179" s="6" t="s">
        <v>12</v>
      </c>
      <c r="D179" s="7" t="s">
        <v>99</v>
      </c>
      <c r="E179" s="8" t="s">
        <v>680</v>
      </c>
      <c r="F179" s="6" t="s">
        <v>681</v>
      </c>
      <c r="G179" s="9">
        <f>IF(A179=1,"_",IF(C179="_","???",C179))</f>
        <v/>
      </c>
      <c r="H179" s="10" t="s">
        <v>12</v>
      </c>
      <c r="I179" s="11" t="s">
        <v>12</v>
      </c>
      <c r="J179" s="12"/>
    </row>
    <row r="180" spans="1:10" ht="60" customHeight="1">
      <c r="A180" s="6" t="s">
        <v>682</v>
      </c>
      <c r="B180" s="6" t="s">
        <v>31</v>
      </c>
      <c r="C180" s="6" t="s">
        <v>12</v>
      </c>
      <c r="D180" s="7" t="s">
        <v>51</v>
      </c>
      <c r="E180" s="8" t="s">
        <v>683</v>
      </c>
      <c r="F180" s="6" t="s">
        <v>684</v>
      </c>
      <c r="G180" s="9">
        <f>IF(A180=1,"_",IF(C180="_","???",C180))</f>
        <v/>
      </c>
      <c r="H180" s="10" t="s">
        <v>12</v>
      </c>
      <c r="I180" s="11" t="s">
        <v>12</v>
      </c>
      <c r="J180" s="12"/>
    </row>
    <row r="181" spans="1:10" ht="60" customHeight="1">
      <c r="A181" s="6" t="s">
        <v>685</v>
      </c>
      <c r="B181" s="6" t="s">
        <v>11</v>
      </c>
      <c r="C181" s="6" t="s">
        <v>12</v>
      </c>
      <c r="D181" s="7" t="s">
        <v>473</v>
      </c>
      <c r="E181" s="8" t="s">
        <v>686</v>
      </c>
      <c r="F181" s="6" t="s">
        <v>687</v>
      </c>
      <c r="G181" s="9">
        <f>IF(A181=1,"_",IF(C181="_","???",C181))</f>
        <v/>
      </c>
      <c r="H181" s="10" t="s">
        <v>12</v>
      </c>
      <c r="I181" s="11" t="s">
        <v>12</v>
      </c>
      <c r="J181" s="12"/>
    </row>
    <row r="182" spans="1:10" ht="60" customHeight="1">
      <c r="A182" s="6" t="s">
        <v>688</v>
      </c>
      <c r="B182" s="6" t="s">
        <v>46</v>
      </c>
      <c r="C182" s="6" t="s">
        <v>12</v>
      </c>
      <c r="D182" s="7" t="s">
        <v>558</v>
      </c>
      <c r="E182" s="8" t="s">
        <v>689</v>
      </c>
      <c r="F182" s="6" t="s">
        <v>690</v>
      </c>
      <c r="G182" s="9">
        <f>IF(A182=1,"_",IF(C182="_","???",C182))</f>
        <v/>
      </c>
      <c r="H182" s="10" t="s">
        <v>12</v>
      </c>
      <c r="I182" s="11" t="s">
        <v>12</v>
      </c>
      <c r="J182" s="12"/>
    </row>
    <row r="183" spans="1:10" ht="60" customHeight="1">
      <c r="A183" s="6" t="s">
        <v>691</v>
      </c>
      <c r="B183" s="6" t="s">
        <v>10</v>
      </c>
      <c r="C183" s="6" t="s">
        <v>12</v>
      </c>
      <c r="D183" s="7" t="s">
        <v>618</v>
      </c>
      <c r="E183" s="8" t="s">
        <v>692</v>
      </c>
      <c r="F183" s="6" t="s">
        <v>693</v>
      </c>
      <c r="G183" s="9">
        <f>IF(A183=1,"_",IF(C183="_","???",C183))</f>
        <v/>
      </c>
      <c r="H183" s="10" t="s">
        <v>12</v>
      </c>
      <c r="I183" s="11" t="s">
        <v>12</v>
      </c>
      <c r="J183" s="12"/>
    </row>
    <row r="184" spans="1:10" ht="60" customHeight="1">
      <c r="A184" s="6" t="s">
        <v>694</v>
      </c>
      <c r="B184" s="6" t="s">
        <v>11</v>
      </c>
      <c r="C184" s="6" t="s">
        <v>12</v>
      </c>
      <c r="D184" s="7" t="s">
        <v>581</v>
      </c>
      <c r="E184" s="8" t="s">
        <v>695</v>
      </c>
      <c r="F184" s="6" t="s">
        <v>696</v>
      </c>
      <c r="G184" s="9">
        <f>IF(A184=1,"_",IF(C184="_","???",C184))</f>
        <v/>
      </c>
      <c r="H184" s="10" t="s">
        <v>12</v>
      </c>
      <c r="I184" s="11" t="s">
        <v>12</v>
      </c>
      <c r="J184" s="12"/>
    </row>
    <row r="185" spans="1:10" ht="60" customHeight="1">
      <c r="A185" s="6" t="s">
        <v>697</v>
      </c>
      <c r="B185" s="6" t="s">
        <v>10</v>
      </c>
      <c r="C185" s="6" t="s">
        <v>12</v>
      </c>
      <c r="D185" s="7" t="s">
        <v>581</v>
      </c>
      <c r="E185" s="8" t="s">
        <v>698</v>
      </c>
      <c r="F185" s="6" t="s">
        <v>699</v>
      </c>
      <c r="G185" s="9">
        <f>IF(A185=1,"_",IF(C185="_","???",C185))</f>
        <v/>
      </c>
      <c r="H185" s="10" t="s">
        <v>12</v>
      </c>
      <c r="I185" s="11" t="s">
        <v>12</v>
      </c>
      <c r="J18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5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700</v>
      </c>
      <c r="B1" s="13" t="s">
        <v>701</v>
      </c>
      <c r="C1" s="13" t="s">
        <v>702</v>
      </c>
      <c r="D1" s="13" t="s">
        <v>703</v>
      </c>
      <c r="E1" s="14" t="s">
        <v>704</v>
      </c>
      <c r="F1" s="15" t="s">
        <v>705</v>
      </c>
      <c r="G1" s="16" t="s">
        <v>706</v>
      </c>
      <c r="H1" s="17" t="s">
        <v>707</v>
      </c>
      <c r="I1" s="18" t="s">
        <v>708</v>
      </c>
      <c r="J1" s="18" t="s">
        <v>709</v>
      </c>
      <c r="K1" s="18" t="s">
        <v>710</v>
      </c>
      <c r="L1" s="19" t="s">
        <v>9</v>
      </c>
    </row>
    <row r="2" spans="1:12">
      <c r="A2" s="20" t="s">
        <v>711</v>
      </c>
    </row>
    <row r="3" spans="1:12">
      <c r="A3" s="20" t="s">
        <v>712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713</v>
      </c>
      <c r="B4" s="27" t="s">
        <v>714</v>
      </c>
      <c r="C4" s="27" t="s">
        <v>715</v>
      </c>
      <c r="D4" s="27" t="s">
        <v>716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717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718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719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720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/>
    </row>
    <row r="10" spans="1:12">
      <c r="A10" s="20" t="s">
        <v>721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722</v>
      </c>
    </row>
    <row r="12" spans="1:12">
      <c r="A12" s="20" t="s">
        <v>723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589</v>
      </c>
      <c r="B13" s="27" t="s">
        <v>714</v>
      </c>
      <c r="C13" s="27" t="s">
        <v>715</v>
      </c>
      <c r="D13" s="27" t="s">
        <v>716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724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725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726</v>
      </c>
      <c r="B16" s="27" t="s">
        <v>727</v>
      </c>
      <c r="C16" s="27" t="s">
        <v>728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729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713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730</v>
      </c>
      <c r="B19" s="27" t="s">
        <v>731</v>
      </c>
      <c r="C19" s="27" t="s">
        <v>728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732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733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734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719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734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735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736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737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738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739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740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741</v>
      </c>
      <c r="B32" s="27" t="s">
        <v>742</v>
      </c>
      <c r="C32" s="27" t="s">
        <v>728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737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743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744</v>
      </c>
      <c r="B35" s="27" t="s">
        <v>745</v>
      </c>
      <c r="C35" s="27" t="s">
        <v>715</v>
      </c>
      <c r="D35" s="27" t="s">
        <v>716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746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747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748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737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749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750</v>
      </c>
      <c r="B41" s="27" t="s">
        <v>745</v>
      </c>
      <c r="C41" s="27" t="s">
        <v>715</v>
      </c>
      <c r="D41" s="27" t="s">
        <v>716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737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751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737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752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753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754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720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755</v>
      </c>
    </row>
    <row r="51" spans="1:12">
      <c r="A51" s="20" t="s">
        <v>756</v>
      </c>
      <c r="B51" s="27" t="s">
        <v>714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757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618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758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759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760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720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/>
    </row>
    <row r="60" spans="1:12">
      <c r="A60" s="20" t="s">
        <v>761</v>
      </c>
    </row>
    <row r="61" spans="1:12">
      <c r="A61" s="20" t="s">
        <v>762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763</v>
      </c>
      <c r="B62" s="27" t="s">
        <v>714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764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765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766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767</v>
      </c>
      <c r="B66" s="27" t="s">
        <v>768</v>
      </c>
      <c r="C66" s="27" t="s">
        <v>769</v>
      </c>
      <c r="D66" s="27" t="s">
        <v>716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720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/>
    </row>
    <row r="69" spans="1:12">
      <c r="A69" s="20" t="s">
        <v>770</v>
      </c>
    </row>
    <row r="70" spans="1:12">
      <c r="A70" s="20" t="s">
        <v>771</v>
      </c>
      <c r="B70" s="27" t="s">
        <v>714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772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773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774</v>
      </c>
      <c r="B73" s="27" t="s">
        <v>727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775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720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/>
    </row>
    <row r="77" spans="1:12">
      <c r="A77" s="20" t="s">
        <v>776</v>
      </c>
    </row>
    <row r="78" spans="1:12">
      <c r="A78" s="20" t="s">
        <v>777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778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765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779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780</v>
      </c>
      <c r="B82" s="27" t="s">
        <v>781</v>
      </c>
      <c r="C82" s="27" t="s">
        <v>782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783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737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784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785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786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787</v>
      </c>
      <c r="B88" s="27" t="s">
        <v>714</v>
      </c>
      <c r="C88" s="27" t="s">
        <v>788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737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789</v>
      </c>
      <c r="B90" s="27" t="s">
        <v>790</v>
      </c>
      <c r="C90" s="27" t="s">
        <v>791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792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793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794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795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51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718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719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720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/>
    </row>
    <row r="100" spans="1:12">
      <c r="A100" s="20" t="s">
        <v>796</v>
      </c>
    </row>
    <row r="101" spans="1:12">
      <c r="A101" s="20" t="s">
        <v>797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798</v>
      </c>
      <c r="B102" s="27" t="s">
        <v>731</v>
      </c>
      <c r="C102" s="27" t="s">
        <v>799</v>
      </c>
      <c r="D102" s="27" t="s">
        <v>716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800</v>
      </c>
      <c r="B103" s="27" t="s">
        <v>714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801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735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802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803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804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805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806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807</v>
      </c>
      <c r="B111" s="27" t="s">
        <v>808</v>
      </c>
      <c r="C111" s="27" t="s">
        <v>769</v>
      </c>
      <c r="D111" s="27" t="s">
        <v>716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720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/>
    </row>
    <row r="114" spans="1:12">
      <c r="A114" s="20" t="s">
        <v>809</v>
      </c>
    </row>
    <row r="115" spans="1:12">
      <c r="A115" s="20" t="s">
        <v>810</v>
      </c>
      <c r="B115" s="27" t="s">
        <v>714</v>
      </c>
      <c r="C115" s="27" t="s">
        <v>782</v>
      </c>
      <c r="D115" s="27" t="s">
        <v>716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811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743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812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774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737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813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718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814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719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737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743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735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815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816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817</v>
      </c>
      <c r="B130" s="27" t="s">
        <v>731</v>
      </c>
      <c r="C130" s="27" t="s">
        <v>769</v>
      </c>
      <c r="D130" s="27" t="s">
        <v>716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818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737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819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718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719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737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83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820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821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737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822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823</v>
      </c>
      <c r="B142" s="27" t="s">
        <v>790</v>
      </c>
      <c r="C142" s="27" t="s">
        <v>715</v>
      </c>
      <c r="D142" s="27" t="s">
        <v>716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713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824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735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825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826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720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/>
    </row>
    <row r="150" spans="1:12">
      <c r="A150" s="20" t="s">
        <v>827</v>
      </c>
    </row>
    <row r="151" spans="1:12">
      <c r="A151" s="20" t="s">
        <v>828</v>
      </c>
      <c r="B151" s="27" t="s">
        <v>714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829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830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831</v>
      </c>
      <c r="B154" s="27" t="s">
        <v>731</v>
      </c>
      <c r="C154" s="27" t="s">
        <v>769</v>
      </c>
      <c r="D154" s="27" t="s">
        <v>716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12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832</v>
      </c>
      <c r="B157" s="27" t="s">
        <v>781</v>
      </c>
      <c r="C157" s="27" t="s">
        <v>782</v>
      </c>
      <c r="D157" s="27" t="s">
        <v>716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833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834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737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835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836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832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465</v>
      </c>
      <c r="B164" s="27" t="s">
        <v>790</v>
      </c>
      <c r="C164" s="27" t="s">
        <v>769</v>
      </c>
      <c r="D164" s="27" t="s">
        <v>716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720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721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837</v>
      </c>
    </row>
    <row r="169" spans="1:12">
      <c r="A169" s="20" t="s">
        <v>838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737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822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839</v>
      </c>
      <c r="B172" s="27" t="s">
        <v>745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734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719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734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754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793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840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841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842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843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733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737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844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822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823</v>
      </c>
      <c r="B186" s="27" t="s">
        <v>790</v>
      </c>
      <c r="C186" s="27" t="s">
        <v>715</v>
      </c>
      <c r="D186" s="27" t="s">
        <v>716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845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846</v>
      </c>
      <c r="B188" s="27" t="s">
        <v>847</v>
      </c>
      <c r="C188" s="27" t="s">
        <v>715</v>
      </c>
      <c r="D188" s="27" t="s">
        <v>716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848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849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618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850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851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852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720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853</v>
      </c>
    </row>
    <row r="198" spans="1:12">
      <c r="A198" s="20" t="s">
        <v>854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737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822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855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856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857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858</v>
      </c>
      <c r="B204" s="27" t="s">
        <v>745</v>
      </c>
      <c r="C204" s="27" t="s">
        <v>728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737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859</v>
      </c>
      <c r="B206" s="27" t="s">
        <v>860</v>
      </c>
      <c r="C206" s="27" t="s">
        <v>791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823</v>
      </c>
      <c r="B207" s="27" t="s">
        <v>861</v>
      </c>
      <c r="C207" s="27" t="s">
        <v>715</v>
      </c>
      <c r="D207" s="27" t="s">
        <v>716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862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863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737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749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737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735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864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743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865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737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832</v>
      </c>
      <c r="B218" s="27" t="s">
        <v>866</v>
      </c>
      <c r="C218" s="27" t="s">
        <v>782</v>
      </c>
      <c r="D218" s="27" t="s">
        <v>716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372</v>
      </c>
      <c r="B219" s="27" t="s">
        <v>867</v>
      </c>
      <c r="C219" s="27" t="s">
        <v>782</v>
      </c>
      <c r="D219" s="27" t="s">
        <v>716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737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718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868</v>
      </c>
      <c r="B222" s="27" t="s">
        <v>742</v>
      </c>
      <c r="C222" s="27" t="s">
        <v>791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869</v>
      </c>
      <c r="B223" s="27" t="s">
        <v>870</v>
      </c>
      <c r="C223" s="27" t="s">
        <v>715</v>
      </c>
      <c r="D223" s="27" t="s">
        <v>716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871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872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743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873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874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875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876</v>
      </c>
      <c r="B230" s="27" t="s">
        <v>877</v>
      </c>
      <c r="C230" s="27" t="s">
        <v>878</v>
      </c>
      <c r="D230" s="27" t="s">
        <v>716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765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372</v>
      </c>
      <c r="B232" s="27" t="s">
        <v>879</v>
      </c>
      <c r="C232" s="27" t="s">
        <v>782</v>
      </c>
      <c r="D232" s="27" t="s">
        <v>716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737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822</v>
      </c>
      <c r="B234" s="27" t="s">
        <v>880</v>
      </c>
      <c r="C234" s="27" t="s">
        <v>791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779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881</v>
      </c>
      <c r="B236" s="27" t="s">
        <v>882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720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/>
    </row>
    <row r="239" spans="1:12">
      <c r="A239" s="20" t="s">
        <v>883</v>
      </c>
    </row>
    <row r="240" spans="1:12">
      <c r="A240" s="20" t="s">
        <v>884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67</v>
      </c>
      <c r="B241" s="27" t="s">
        <v>714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832</v>
      </c>
      <c r="B244" s="27" t="s">
        <v>781</v>
      </c>
      <c r="C244" s="27" t="s">
        <v>782</v>
      </c>
      <c r="D244" s="27" t="s">
        <v>716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885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886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743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887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888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372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855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889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890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891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735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892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743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893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891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894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895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892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896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893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737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822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897</v>
      </c>
      <c r="B267" s="27" t="s">
        <v>790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898</v>
      </c>
      <c r="B268" s="27" t="s">
        <v>847</v>
      </c>
      <c r="C268" s="27" t="s">
        <v>715</v>
      </c>
      <c r="D268" s="27" t="s">
        <v>716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899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720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/>
    </row>
    <row r="272" spans="1:12">
      <c r="A272" s="20" t="s">
        <v>900</v>
      </c>
    </row>
    <row r="273" spans="1:12">
      <c r="A273" s="20" t="s">
        <v>810</v>
      </c>
      <c r="B273" s="27" t="s">
        <v>714</v>
      </c>
      <c r="C273" s="27" t="s">
        <v>782</v>
      </c>
      <c r="D273" s="27" t="s">
        <v>716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901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902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903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904</v>
      </c>
      <c r="B277" s="27" t="s">
        <v>781</v>
      </c>
      <c r="C277" s="27" t="s">
        <v>728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737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749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905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906</v>
      </c>
      <c r="B281" s="27" t="s">
        <v>745</v>
      </c>
      <c r="C281" s="27" t="s">
        <v>715</v>
      </c>
      <c r="D281" s="27" t="s">
        <v>716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907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908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735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856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465</v>
      </c>
      <c r="B286" s="27" t="s">
        <v>731</v>
      </c>
      <c r="C286" s="27" t="s">
        <v>728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891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720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/>
    </row>
    <row r="290" spans="1:12">
      <c r="A290" s="20" t="s">
        <v>909</v>
      </c>
    </row>
    <row r="291" spans="1:12">
      <c r="A291" s="20" t="s">
        <v>797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910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12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12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832</v>
      </c>
      <c r="B295" s="27" t="s">
        <v>745</v>
      </c>
      <c r="C295" s="27" t="s">
        <v>782</v>
      </c>
      <c r="D295" s="27" t="s">
        <v>716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911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912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737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743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832</v>
      </c>
      <c r="B300" s="27" t="s">
        <v>790</v>
      </c>
      <c r="C300" s="27" t="s">
        <v>782</v>
      </c>
      <c r="D300" s="27" t="s">
        <v>716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913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914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737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822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823</v>
      </c>
      <c r="B305" s="27" t="s">
        <v>861</v>
      </c>
      <c r="C305" s="27" t="s">
        <v>715</v>
      </c>
      <c r="D305" s="27" t="s">
        <v>716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793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915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51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718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916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917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918</v>
      </c>
      <c r="B312" s="27" t="s">
        <v>860</v>
      </c>
      <c r="C312" s="27" t="s">
        <v>788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737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919</v>
      </c>
      <c r="B314" s="27" t="s">
        <v>920</v>
      </c>
      <c r="C314" s="27" t="s">
        <v>791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921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765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922</v>
      </c>
      <c r="B317" s="27" t="s">
        <v>923</v>
      </c>
      <c r="C317" s="27" t="s">
        <v>799</v>
      </c>
      <c r="D317" s="27" t="s">
        <v>716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881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737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793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924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846</v>
      </c>
      <c r="B322" s="27" t="s">
        <v>925</v>
      </c>
      <c r="C322" s="27" t="s">
        <v>715</v>
      </c>
      <c r="D322" s="27" t="s">
        <v>716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926</v>
      </c>
      <c r="B323" s="27" t="s">
        <v>742</v>
      </c>
      <c r="C323" s="27" t="s">
        <v>878</v>
      </c>
      <c r="D323" s="27" t="s">
        <v>716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720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/>
    </row>
    <row r="326" spans="1:12">
      <c r="A326" s="20" t="s">
        <v>927</v>
      </c>
    </row>
    <row r="327" spans="1:12">
      <c r="A327" s="20" t="s">
        <v>810</v>
      </c>
      <c r="B327" s="27" t="s">
        <v>714</v>
      </c>
      <c r="C327" s="27" t="s">
        <v>782</v>
      </c>
      <c r="D327" s="27" t="s">
        <v>716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928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929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930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67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720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/>
    </row>
    <row r="334" spans="1:12">
      <c r="A334" s="20" t="s">
        <v>931</v>
      </c>
    </row>
    <row r="335" spans="1:12">
      <c r="A335" s="20" t="s">
        <v>797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492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932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933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934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713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832</v>
      </c>
      <c r="B341" s="27" t="s">
        <v>935</v>
      </c>
      <c r="C341" s="27" t="s">
        <v>782</v>
      </c>
      <c r="D341" s="27" t="s">
        <v>716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936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720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937</v>
      </c>
    </row>
    <row r="346" spans="1:12">
      <c r="A346" s="20" t="s">
        <v>938</v>
      </c>
      <c r="B346" s="27" t="s">
        <v>808</v>
      </c>
      <c r="C346" s="27" t="s">
        <v>715</v>
      </c>
      <c r="D346" s="27" t="s">
        <v>716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939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940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481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941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942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726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737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943</v>
      </c>
      <c r="B354" s="27" t="s">
        <v>790</v>
      </c>
      <c r="C354" s="27" t="s">
        <v>791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944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945</v>
      </c>
      <c r="B356" s="27" t="s">
        <v>847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735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946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947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743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948</v>
      </c>
      <c r="B361" s="27" t="s">
        <v>742</v>
      </c>
      <c r="C361" s="27" t="s">
        <v>728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747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949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829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950</v>
      </c>
      <c r="B365" s="27" t="s">
        <v>879</v>
      </c>
      <c r="C365" s="27" t="s">
        <v>799</v>
      </c>
      <c r="D365" s="27" t="s">
        <v>716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951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743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952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953</v>
      </c>
      <c r="B369" s="27" t="s">
        <v>847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954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955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956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957</v>
      </c>
      <c r="B373" s="27" t="s">
        <v>745</v>
      </c>
      <c r="C373" s="27" t="s">
        <v>715</v>
      </c>
      <c r="D373" s="27" t="s">
        <v>716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952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737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820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958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744</v>
      </c>
      <c r="B378" s="27" t="s">
        <v>790</v>
      </c>
      <c r="C378" s="27" t="s">
        <v>715</v>
      </c>
      <c r="D378" s="27" t="s">
        <v>716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959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960</v>
      </c>
      <c r="B380" s="27" t="s">
        <v>847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737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743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832</v>
      </c>
      <c r="B383" s="27" t="s">
        <v>790</v>
      </c>
      <c r="C383" s="27" t="s">
        <v>782</v>
      </c>
      <c r="D383" s="27" t="s">
        <v>716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961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492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962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963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737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749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735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964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965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966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967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968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969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970</v>
      </c>
      <c r="B397" s="27" t="s">
        <v>790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720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/>
    </row>
    <row r="400" spans="1:12">
      <c r="A400" s="20" t="s">
        <v>971</v>
      </c>
    </row>
    <row r="401" spans="1:12">
      <c r="A401" s="20" t="s">
        <v>797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972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744</v>
      </c>
      <c r="B403" s="27" t="s">
        <v>714</v>
      </c>
      <c r="C403" s="27" t="s">
        <v>715</v>
      </c>
      <c r="D403" s="27" t="s">
        <v>716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973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737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974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975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737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822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832</v>
      </c>
      <c r="B410" s="27" t="s">
        <v>790</v>
      </c>
      <c r="C410" s="27" t="s">
        <v>782</v>
      </c>
      <c r="D410" s="27" t="s">
        <v>716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976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713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977</v>
      </c>
      <c r="B413" s="27" t="s">
        <v>847</v>
      </c>
      <c r="C413" s="27" t="s">
        <v>728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720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978</v>
      </c>
    </row>
    <row r="417" spans="1:12">
      <c r="A417" s="20" t="s">
        <v>777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832</v>
      </c>
      <c r="B418" s="27" t="s">
        <v>714</v>
      </c>
      <c r="C418" s="27" t="s">
        <v>782</v>
      </c>
      <c r="D418" s="27" t="s">
        <v>716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793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83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720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/>
    </row>
    <row r="423" spans="1:12">
      <c r="A423" s="20" t="s">
        <v>979</v>
      </c>
    </row>
    <row r="424" spans="1:12">
      <c r="A424" s="20" t="s">
        <v>810</v>
      </c>
      <c r="B424" s="27" t="s">
        <v>714</v>
      </c>
      <c r="C424" s="27" t="s">
        <v>782</v>
      </c>
      <c r="D424" s="27" t="s">
        <v>716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976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980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718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981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720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/>
    </row>
    <row r="431" spans="1:12">
      <c r="A431" s="20" t="s">
        <v>982</v>
      </c>
    </row>
    <row r="432" spans="1:12">
      <c r="A432" s="20" t="s">
        <v>957</v>
      </c>
      <c r="B432" s="27" t="s">
        <v>714</v>
      </c>
      <c r="C432" s="27" t="s">
        <v>715</v>
      </c>
      <c r="D432" s="27" t="s">
        <v>716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983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984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985</v>
      </c>
      <c r="B435" s="27" t="s">
        <v>808</v>
      </c>
      <c r="C435" s="27" t="s">
        <v>769</v>
      </c>
      <c r="D435" s="27" t="s">
        <v>716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720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/>
    </row>
    <row r="438" spans="1:12">
      <c r="A438" s="20" t="s">
        <v>986</v>
      </c>
    </row>
    <row r="439" spans="1:12">
      <c r="A439" s="20" t="s">
        <v>957</v>
      </c>
      <c r="B439" s="27" t="s">
        <v>714</v>
      </c>
      <c r="C439" s="27" t="s">
        <v>715</v>
      </c>
      <c r="D439" s="27" t="s">
        <v>716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983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86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987</v>
      </c>
      <c r="B442" s="27" t="s">
        <v>781</v>
      </c>
      <c r="C442" s="27" t="s">
        <v>728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988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989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720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/>
    </row>
    <row r="447" spans="1:12">
      <c r="A447" s="20" t="s">
        <v>990</v>
      </c>
    </row>
    <row r="448" spans="1:12">
      <c r="A448" s="20" t="s">
        <v>777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906</v>
      </c>
      <c r="B449" s="27" t="s">
        <v>714</v>
      </c>
      <c r="C449" s="27" t="s">
        <v>715</v>
      </c>
      <c r="D449" s="27" t="s">
        <v>716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793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991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992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993</v>
      </c>
      <c r="B453" s="27" t="s">
        <v>781</v>
      </c>
      <c r="C453" s="27" t="s">
        <v>788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737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844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822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713</v>
      </c>
      <c r="B457" s="27" t="s">
        <v>745</v>
      </c>
      <c r="C457" s="27" t="s">
        <v>715</v>
      </c>
      <c r="D457" s="27" t="s">
        <v>716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737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994</v>
      </c>
      <c r="B459" s="27" t="s">
        <v>861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995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846</v>
      </c>
      <c r="B463" s="27" t="s">
        <v>731</v>
      </c>
      <c r="C463" s="27" t="s">
        <v>799</v>
      </c>
      <c r="D463" s="27" t="s">
        <v>716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980</v>
      </c>
      <c r="B464" s="27" t="s">
        <v>781</v>
      </c>
      <c r="C464" s="27" t="s">
        <v>728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996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980</v>
      </c>
      <c r="B466" s="27" t="s">
        <v>745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752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997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737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743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980</v>
      </c>
      <c r="B471" s="27" t="s">
        <v>745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752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998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737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822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999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1000</v>
      </c>
      <c r="B477" s="27" t="s">
        <v>768</v>
      </c>
      <c r="C477" s="27" t="s">
        <v>715</v>
      </c>
      <c r="D477" s="27" t="s">
        <v>716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995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720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/>
    </row>
    <row r="481" spans="1:12">
      <c r="A481" s="20" t="s">
        <v>1001</v>
      </c>
    </row>
    <row r="482" spans="1:12">
      <c r="A482" s="20" t="s">
        <v>797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1002</v>
      </c>
      <c r="B483" s="27" t="s">
        <v>714</v>
      </c>
      <c r="C483" s="27" t="s">
        <v>878</v>
      </c>
      <c r="D483" s="27" t="s">
        <v>716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829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1003</v>
      </c>
      <c r="B485" s="27" t="s">
        <v>731</v>
      </c>
      <c r="C485" s="27" t="s">
        <v>782</v>
      </c>
      <c r="D485" s="27" t="s">
        <v>716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737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765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964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1004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737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1005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735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1006</v>
      </c>
      <c r="B493" s="27" t="s">
        <v>781</v>
      </c>
      <c r="C493" s="27" t="s">
        <v>782</v>
      </c>
      <c r="D493" s="27" t="s">
        <v>716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737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822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823</v>
      </c>
      <c r="B496" s="27" t="s">
        <v>790</v>
      </c>
      <c r="C496" s="27" t="s">
        <v>715</v>
      </c>
      <c r="D496" s="27" t="s">
        <v>716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737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1007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737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1008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1009</v>
      </c>
      <c r="B501" s="27" t="s">
        <v>847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743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1010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1011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1012</v>
      </c>
      <c r="B505" s="27" t="s">
        <v>768</v>
      </c>
      <c r="C505" s="27" t="s">
        <v>728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1013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589</v>
      </c>
      <c r="B507" s="27" t="s">
        <v>790</v>
      </c>
      <c r="C507" s="27" t="s">
        <v>715</v>
      </c>
      <c r="D507" s="27" t="s">
        <v>716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720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/>
    </row>
    <row r="510" spans="1:12">
      <c r="A510" s="20" t="s">
        <v>1014</v>
      </c>
    </row>
    <row r="511" spans="1:12">
      <c r="A511" s="20" t="s">
        <v>1015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12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832</v>
      </c>
      <c r="B514" s="27" t="s">
        <v>745</v>
      </c>
      <c r="C514" s="27" t="s">
        <v>782</v>
      </c>
      <c r="D514" s="27" t="s">
        <v>716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922</v>
      </c>
      <c r="B515" s="27" t="s">
        <v>768</v>
      </c>
      <c r="C515" s="27" t="s">
        <v>799</v>
      </c>
      <c r="D515" s="27" t="s">
        <v>716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1016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589</v>
      </c>
      <c r="B517" s="27" t="s">
        <v>861</v>
      </c>
      <c r="C517" s="27" t="s">
        <v>715</v>
      </c>
      <c r="D517" s="27" t="s">
        <v>716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737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201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737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1017</v>
      </c>
      <c r="B521" s="27" t="s">
        <v>920</v>
      </c>
      <c r="C521" s="27" t="s">
        <v>791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1018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735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1019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1020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737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743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1021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1022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1023</v>
      </c>
      <c r="B530" s="27" t="s">
        <v>714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737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743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1024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1025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1026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985</v>
      </c>
      <c r="B536" s="27" t="s">
        <v>935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737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749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737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848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1027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737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1028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1022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1023</v>
      </c>
      <c r="B545" s="27" t="s">
        <v>847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720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/>
    </row>
    <row r="548" spans="1:12">
      <c r="A548" s="20" t="s">
        <v>721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1029</v>
      </c>
    </row>
    <row r="550" spans="1:12">
      <c r="A550" s="20" t="s">
        <v>810</v>
      </c>
      <c r="B550" s="27" t="s">
        <v>714</v>
      </c>
      <c r="C550" s="27" t="s">
        <v>782</v>
      </c>
      <c r="D550" s="27" t="s">
        <v>716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372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1016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589</v>
      </c>
      <c r="B553" s="27" t="s">
        <v>714</v>
      </c>
      <c r="C553" s="27" t="s">
        <v>715</v>
      </c>
      <c r="D553" s="27" t="s">
        <v>716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737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618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1030</v>
      </c>
      <c r="B556" s="27" t="s">
        <v>768</v>
      </c>
      <c r="C556" s="27" t="s">
        <v>791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1031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1032</v>
      </c>
      <c r="B558" s="27" t="s">
        <v>790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737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1033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737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1034</v>
      </c>
      <c r="B562" s="27" t="s">
        <v>714</v>
      </c>
      <c r="C562" s="27" t="s">
        <v>715</v>
      </c>
      <c r="D562" s="27" t="s">
        <v>716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1035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737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1036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744</v>
      </c>
      <c r="B566" s="27" t="s">
        <v>745</v>
      </c>
      <c r="C566" s="27" t="s">
        <v>715</v>
      </c>
      <c r="D566" s="27" t="s">
        <v>716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1037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737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734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1038</v>
      </c>
      <c r="B570" s="27" t="s">
        <v>935</v>
      </c>
      <c r="C570" s="27" t="s">
        <v>715</v>
      </c>
      <c r="D570" s="27" t="s">
        <v>716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1039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737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1036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589</v>
      </c>
      <c r="B574" s="27" t="s">
        <v>790</v>
      </c>
      <c r="C574" s="27" t="s">
        <v>715</v>
      </c>
      <c r="D574" s="27" t="s">
        <v>716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1040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1041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1042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734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/>
    </row>
    <row r="580" spans="1:12">
      <c r="A580" s="20" t="s">
        <v>721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1043</v>
      </c>
    </row>
    <row r="582" spans="1:12">
      <c r="A582" s="20" t="s">
        <v>797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855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1044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589</v>
      </c>
      <c r="B585" s="27" t="s">
        <v>714</v>
      </c>
      <c r="C585" s="27" t="s">
        <v>715</v>
      </c>
      <c r="D585" s="27" t="s">
        <v>716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737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743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1044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589</v>
      </c>
      <c r="B589" s="27" t="s">
        <v>731</v>
      </c>
      <c r="C589" s="27" t="s">
        <v>715</v>
      </c>
      <c r="D589" s="27" t="s">
        <v>716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12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832</v>
      </c>
      <c r="B592" s="27" t="s">
        <v>745</v>
      </c>
      <c r="C592" s="27" t="s">
        <v>782</v>
      </c>
      <c r="D592" s="27" t="s">
        <v>716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372</v>
      </c>
      <c r="B593" s="27" t="s">
        <v>781</v>
      </c>
      <c r="C593" s="27" t="s">
        <v>782</v>
      </c>
      <c r="D593" s="27" t="s">
        <v>716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737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919</v>
      </c>
      <c r="B595" s="27" t="s">
        <v>790</v>
      </c>
      <c r="C595" s="27" t="s">
        <v>791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1045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1046</v>
      </c>
      <c r="B597" s="27" t="s">
        <v>847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737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743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1047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953</v>
      </c>
      <c r="B601" s="27" t="s">
        <v>727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1048</v>
      </c>
      <c r="B602" s="27" t="s">
        <v>867</v>
      </c>
      <c r="C602" s="27" t="s">
        <v>799</v>
      </c>
      <c r="D602" s="27" t="s">
        <v>716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892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737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743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832</v>
      </c>
      <c r="B606" s="27" t="s">
        <v>745</v>
      </c>
      <c r="C606" s="27" t="s">
        <v>782</v>
      </c>
      <c r="D606" s="27" t="s">
        <v>716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372</v>
      </c>
      <c r="B607" s="27" t="s">
        <v>781</v>
      </c>
      <c r="C607" s="27" t="s">
        <v>782</v>
      </c>
      <c r="D607" s="27" t="s">
        <v>716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737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618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1030</v>
      </c>
      <c r="B610" s="27" t="s">
        <v>768</v>
      </c>
      <c r="C610" s="27" t="s">
        <v>791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1032</v>
      </c>
      <c r="B611" s="27" t="s">
        <v>790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1031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941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1049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737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734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1050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1034</v>
      </c>
      <c r="B618" s="27" t="s">
        <v>866</v>
      </c>
      <c r="C618" s="27" t="s">
        <v>715</v>
      </c>
      <c r="D618" s="27" t="s">
        <v>716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1009</v>
      </c>
      <c r="B619" s="27" t="s">
        <v>1051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1052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735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1053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1054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1042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734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896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734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1050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1055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1056</v>
      </c>
      <c r="B630" s="27" t="s">
        <v>925</v>
      </c>
      <c r="C630" s="27" t="s">
        <v>799</v>
      </c>
      <c r="D630" s="27" t="s">
        <v>716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1057</v>
      </c>
      <c r="B631" s="27" t="s">
        <v>1058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735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1059</v>
      </c>
      <c r="B633" s="27" t="s">
        <v>925</v>
      </c>
      <c r="C633" s="27" t="s">
        <v>1060</v>
      </c>
      <c r="D633" s="27" t="s">
        <v>716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1042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734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737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1033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896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1061</v>
      </c>
      <c r="B639" s="27" t="s">
        <v>742</v>
      </c>
      <c r="C639" s="27" t="s">
        <v>791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1062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720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/>
    </row>
    <row r="643" spans="1:12">
      <c r="A643" s="20" t="s">
        <v>1063</v>
      </c>
    </row>
    <row r="644" spans="1:12">
      <c r="A644" s="20" t="s">
        <v>810</v>
      </c>
      <c r="B644" s="27" t="s">
        <v>714</v>
      </c>
      <c r="C644" s="27" t="s">
        <v>782</v>
      </c>
      <c r="D644" s="27" t="s">
        <v>716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901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1064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903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1065</v>
      </c>
      <c r="B648" s="27" t="s">
        <v>781</v>
      </c>
      <c r="C648" s="27" t="s">
        <v>728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737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1016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589</v>
      </c>
      <c r="B651" s="27" t="s">
        <v>781</v>
      </c>
      <c r="C651" s="27" t="s">
        <v>715</v>
      </c>
      <c r="D651" s="27" t="s">
        <v>716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743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1044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589</v>
      </c>
      <c r="B654" s="27" t="s">
        <v>745</v>
      </c>
      <c r="C654" s="27" t="s">
        <v>715</v>
      </c>
      <c r="D654" s="27" t="s">
        <v>716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737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743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1066</v>
      </c>
      <c r="B657" s="27" t="s">
        <v>861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889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1067</v>
      </c>
      <c r="B659" s="27" t="s">
        <v>860</v>
      </c>
      <c r="C659" s="27" t="s">
        <v>715</v>
      </c>
      <c r="D659" s="27" t="s">
        <v>716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1068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1069</v>
      </c>
      <c r="B661" s="27" t="s">
        <v>935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941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1070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891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720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/>
    </row>
    <row r="667" spans="1:12">
      <c r="A667" s="20" t="s">
        <v>1071</v>
      </c>
    </row>
    <row r="668" spans="1:12">
      <c r="A668" s="20" t="s">
        <v>1072</v>
      </c>
      <c r="B668" s="27" t="s">
        <v>714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589</v>
      </c>
      <c r="B669" s="27" t="s">
        <v>745</v>
      </c>
      <c r="C669" s="27" t="s">
        <v>715</v>
      </c>
      <c r="D669" s="27" t="s">
        <v>716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12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832</v>
      </c>
      <c r="B672" s="27" t="s">
        <v>781</v>
      </c>
      <c r="C672" s="27" t="s">
        <v>782</v>
      </c>
      <c r="D672" s="27" t="s">
        <v>716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1073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1074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720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/>
    </row>
    <row r="677" spans="1:12">
      <c r="A677" s="20" t="s">
        <v>1075</v>
      </c>
    </row>
    <row r="678" spans="1:12">
      <c r="A678" s="20" t="s">
        <v>797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832</v>
      </c>
      <c r="B679" s="27" t="s">
        <v>714</v>
      </c>
      <c r="C679" s="27" t="s">
        <v>782</v>
      </c>
      <c r="D679" s="27" t="s">
        <v>716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1076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941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1077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1078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1079</v>
      </c>
      <c r="B684" s="27" t="s">
        <v>768</v>
      </c>
      <c r="C684" s="27" t="s">
        <v>799</v>
      </c>
      <c r="D684" s="27" t="s">
        <v>716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1080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12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12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1076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1081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816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720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/>
    </row>
    <row r="693" spans="1:12">
      <c r="A693" s="20" t="s">
        <v>1082</v>
      </c>
    </row>
    <row r="694" spans="1:12">
      <c r="A694" s="20" t="s">
        <v>1083</v>
      </c>
      <c r="B694" s="27" t="s">
        <v>714</v>
      </c>
      <c r="C694" s="27" t="s">
        <v>715</v>
      </c>
      <c r="D694" s="27" t="s">
        <v>716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1084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1085</v>
      </c>
      <c r="B696" s="27" t="s">
        <v>808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793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1022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1086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737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1036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1087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750</v>
      </c>
      <c r="B703" s="27" t="s">
        <v>935</v>
      </c>
      <c r="C703" s="27" t="s">
        <v>715</v>
      </c>
      <c r="D703" s="27" t="s">
        <v>716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1088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720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/>
    </row>
    <row r="707" spans="1:12">
      <c r="A707" s="20" t="s">
        <v>1089</v>
      </c>
    </row>
    <row r="708" spans="1:12">
      <c r="A708" s="20" t="s">
        <v>1090</v>
      </c>
      <c r="B708" s="27" t="s">
        <v>731</v>
      </c>
      <c r="C708" s="27" t="s">
        <v>799</v>
      </c>
      <c r="D708" s="27" t="s">
        <v>716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1091</v>
      </c>
      <c r="B709" s="27" t="s">
        <v>714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1092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869</v>
      </c>
      <c r="B711" s="27" t="s">
        <v>808</v>
      </c>
      <c r="C711" s="27" t="s">
        <v>715</v>
      </c>
      <c r="D711" s="27" t="s">
        <v>716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1085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737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713</v>
      </c>
      <c r="B714" s="27" t="s">
        <v>745</v>
      </c>
      <c r="C714" s="27" t="s">
        <v>715</v>
      </c>
      <c r="D714" s="27" t="s">
        <v>716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737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822</v>
      </c>
      <c r="B716" s="27" t="s">
        <v>935</v>
      </c>
      <c r="C716" s="27" t="s">
        <v>791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823</v>
      </c>
      <c r="B717" s="27" t="s">
        <v>861</v>
      </c>
      <c r="C717" s="27" t="s">
        <v>715</v>
      </c>
      <c r="D717" s="27" t="s">
        <v>716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1093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829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1094</v>
      </c>
      <c r="B720" s="27" t="s">
        <v>860</v>
      </c>
      <c r="C720" s="27" t="s">
        <v>799</v>
      </c>
      <c r="D720" s="27" t="s">
        <v>716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886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737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840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1095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720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/>
    </row>
    <row r="727" spans="1:12">
      <c r="A727" s="20" t="s">
        <v>1096</v>
      </c>
    </row>
    <row r="728" spans="1:12">
      <c r="A728" s="20" t="s">
        <v>797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1097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1098</v>
      </c>
      <c r="B730" s="27" t="s">
        <v>808</v>
      </c>
      <c r="C730" s="27" t="s">
        <v>715</v>
      </c>
      <c r="D730" s="27" t="s">
        <v>716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1099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107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1100</v>
      </c>
      <c r="B733" s="27" t="s">
        <v>727</v>
      </c>
      <c r="C733" s="27" t="s">
        <v>728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720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/>
    </row>
    <row r="736" spans="1:12">
      <c r="A736" s="20" t="s">
        <v>1101</v>
      </c>
    </row>
    <row r="737" spans="1:12">
      <c r="A737" s="20" t="s">
        <v>810</v>
      </c>
      <c r="B737" s="27" t="s">
        <v>714</v>
      </c>
      <c r="C737" s="27" t="s">
        <v>782</v>
      </c>
      <c r="D737" s="27" t="s">
        <v>716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856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1102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142</v>
      </c>
      <c r="B740" s="27" t="s">
        <v>781</v>
      </c>
      <c r="C740" s="27" t="s">
        <v>728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720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1103</v>
      </c>
    </row>
    <row r="744" spans="1:12">
      <c r="A744" s="20" t="s">
        <v>1104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1105</v>
      </c>
      <c r="B745" s="27" t="s">
        <v>714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1106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1107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1108</v>
      </c>
      <c r="B748" s="27" t="s">
        <v>808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720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  <row r="751" spans="1:12">
      <c r="A751" s="20" t="s">
        <v>1109</v>
      </c>
    </row>
    <row r="752" spans="1:12">
      <c r="A752" s="20" t="s">
        <v>1110</v>
      </c>
      <c r="B752" s="27" t="s">
        <v>714</v>
      </c>
      <c r="C752" s="27" t="s">
        <v>715</v>
      </c>
      <c r="D752" s="27" t="s">
        <v>716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793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1111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150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735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1112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720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/>
    </row>
    <row r="760" spans="1:12">
      <c r="A760" s="20" t="s">
        <v>1113</v>
      </c>
    </row>
    <row r="761" spans="1:12">
      <c r="A761" s="20" t="s">
        <v>1114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1115</v>
      </c>
      <c r="B762" s="27" t="s">
        <v>731</v>
      </c>
      <c r="C762" s="27" t="s">
        <v>799</v>
      </c>
      <c r="D762" s="27" t="s">
        <v>716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1116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832</v>
      </c>
      <c r="B764" s="27" t="s">
        <v>714</v>
      </c>
      <c r="C764" s="27" t="s">
        <v>782</v>
      </c>
      <c r="D764" s="27" t="s">
        <v>716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1117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737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749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1086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737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735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1118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737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752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1119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720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/>
    </row>
    <row r="777" spans="1:12">
      <c r="A777" s="20" t="s">
        <v>1120</v>
      </c>
    </row>
    <row r="778" spans="1:12">
      <c r="A778" s="20" t="s">
        <v>1121</v>
      </c>
      <c r="B778" s="27" t="s">
        <v>808</v>
      </c>
      <c r="C778" s="27" t="s">
        <v>715</v>
      </c>
      <c r="D778" s="27" t="s">
        <v>716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1122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131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718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1123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1124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1125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1126</v>
      </c>
      <c r="B785" s="27" t="s">
        <v>727</v>
      </c>
      <c r="C785" s="27" t="s">
        <v>728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720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/>
    </row>
    <row r="788" spans="1:12">
      <c r="A788" s="20" t="s">
        <v>1127</v>
      </c>
    </row>
    <row r="789" spans="1:12">
      <c r="A789" s="20" t="s">
        <v>1128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1129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1130</v>
      </c>
      <c r="B791" s="27" t="s">
        <v>714</v>
      </c>
      <c r="C791" s="27" t="s">
        <v>728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720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/>
    </row>
    <row r="794" spans="1:12">
      <c r="A794" s="20" t="s">
        <v>1131</v>
      </c>
    </row>
    <row r="795" spans="1:12">
      <c r="A795" s="20" t="s">
        <v>797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750</v>
      </c>
      <c r="B796" s="27" t="s">
        <v>781</v>
      </c>
      <c r="C796" s="27" t="s">
        <v>799</v>
      </c>
      <c r="D796" s="27" t="s">
        <v>716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165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720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/>
    </row>
    <row r="800" spans="1:12">
      <c r="A800" s="20" t="s">
        <v>721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1132</v>
      </c>
    </row>
    <row r="802" spans="1:12">
      <c r="A802" s="20" t="s">
        <v>797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1133</v>
      </c>
      <c r="B803" s="27" t="s">
        <v>808</v>
      </c>
      <c r="C803" s="27" t="s">
        <v>715</v>
      </c>
      <c r="D803" s="27" t="s">
        <v>716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1134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888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734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1135</v>
      </c>
      <c r="B807" s="27" t="s">
        <v>745</v>
      </c>
      <c r="C807" s="27" t="s">
        <v>791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829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1136</v>
      </c>
      <c r="B809" s="27" t="s">
        <v>731</v>
      </c>
      <c r="C809" s="27" t="s">
        <v>715</v>
      </c>
      <c r="D809" s="27" t="s">
        <v>716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1137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754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1042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734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/>
    </row>
    <row r="815" spans="1:12">
      <c r="A815" s="20" t="s">
        <v>1138</v>
      </c>
    </row>
    <row r="816" spans="1:12">
      <c r="A816" s="20" t="s">
        <v>797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832</v>
      </c>
      <c r="B817" s="27" t="s">
        <v>714</v>
      </c>
      <c r="C817" s="27" t="s">
        <v>782</v>
      </c>
      <c r="D817" s="27" t="s">
        <v>716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1139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266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174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720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/>
    </row>
    <row r="823" spans="1:12">
      <c r="A823" s="20" t="s">
        <v>1140</v>
      </c>
    </row>
    <row r="824" spans="1:12">
      <c r="A824" s="20" t="s">
        <v>1141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737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822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1142</v>
      </c>
      <c r="B827" s="27" t="s">
        <v>745</v>
      </c>
      <c r="C827" s="27" t="s">
        <v>1060</v>
      </c>
      <c r="D827" s="27" t="s">
        <v>716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1143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1137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754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720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/>
    </row>
    <row r="833" spans="1:12">
      <c r="A833" s="20" t="s">
        <v>1144</v>
      </c>
    </row>
    <row r="834" spans="1:12">
      <c r="A834" s="20" t="s">
        <v>1145</v>
      </c>
      <c r="B834" s="27" t="s">
        <v>731</v>
      </c>
      <c r="C834" s="27" t="s">
        <v>799</v>
      </c>
      <c r="D834" s="27" t="s">
        <v>716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1146</v>
      </c>
      <c r="B835" s="27" t="s">
        <v>714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961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1147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737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797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1125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1126</v>
      </c>
      <c r="B841" s="27" t="s">
        <v>727</v>
      </c>
      <c r="C841" s="27" t="s">
        <v>728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1148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737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1149</v>
      </c>
      <c r="B844" s="27" t="s">
        <v>1051</v>
      </c>
      <c r="C844" s="27" t="s">
        <v>791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1150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1142</v>
      </c>
      <c r="B846" s="27" t="s">
        <v>866</v>
      </c>
      <c r="C846" s="27" t="s">
        <v>1060</v>
      </c>
      <c r="D846" s="27" t="s">
        <v>716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1151</v>
      </c>
      <c r="B847" s="27" t="s">
        <v>742</v>
      </c>
      <c r="C847" s="27" t="s">
        <v>1060</v>
      </c>
      <c r="D847" s="27" t="s">
        <v>716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737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1142</v>
      </c>
      <c r="B849" s="27" t="s">
        <v>745</v>
      </c>
      <c r="C849" s="27" t="s">
        <v>1060</v>
      </c>
      <c r="D849" s="27" t="s">
        <v>716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1143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1152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1150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737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1153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1154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1054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720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/>
    </row>
    <row r="859" spans="1:12">
      <c r="A859" s="20" t="s">
        <v>721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1155</v>
      </c>
    </row>
    <row r="861" spans="1:12">
      <c r="A861" s="20" t="s">
        <v>777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1156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1157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174</v>
      </c>
      <c r="B864" s="27" t="s">
        <v>714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888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734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1158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1159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737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848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1160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1161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1162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737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906</v>
      </c>
      <c r="B875" s="27" t="s">
        <v>790</v>
      </c>
      <c r="C875" s="27" t="s">
        <v>715</v>
      </c>
      <c r="D875" s="27" t="s">
        <v>716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1163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1042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734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/>
    </row>
    <row r="880" spans="1:12">
      <c r="A880" s="20" t="s">
        <v>1164</v>
      </c>
    </row>
    <row r="881" spans="1:12">
      <c r="A881" s="20" t="s">
        <v>797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1040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1165</v>
      </c>
      <c r="B883" s="27" t="s">
        <v>808</v>
      </c>
      <c r="C883" s="27" t="s">
        <v>715</v>
      </c>
      <c r="D883" s="27" t="s">
        <v>716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1166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1167</v>
      </c>
      <c r="B885" s="27" t="s">
        <v>808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720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/>
    </row>
    <row r="888" spans="1:12">
      <c r="A888" s="20" t="s">
        <v>1168</v>
      </c>
    </row>
    <row r="889" spans="1:12">
      <c r="A889" s="20" t="s">
        <v>957</v>
      </c>
      <c r="B889" s="27" t="s">
        <v>714</v>
      </c>
      <c r="C889" s="27" t="s">
        <v>715</v>
      </c>
      <c r="D889" s="27" t="s">
        <v>716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1005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735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1006</v>
      </c>
      <c r="B892" s="27" t="s">
        <v>781</v>
      </c>
      <c r="C892" s="27" t="s">
        <v>782</v>
      </c>
      <c r="D892" s="27" t="s">
        <v>716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737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822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1169</v>
      </c>
      <c r="B895" s="27" t="s">
        <v>790</v>
      </c>
      <c r="C895" s="27" t="s">
        <v>878</v>
      </c>
      <c r="D895" s="27" t="s">
        <v>716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1170</v>
      </c>
      <c r="B896" s="27" t="s">
        <v>867</v>
      </c>
      <c r="C896" s="27" t="s">
        <v>1060</v>
      </c>
      <c r="D896" s="27" t="s">
        <v>716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1151</v>
      </c>
      <c r="B897" s="27" t="s">
        <v>860</v>
      </c>
      <c r="C897" s="27" t="s">
        <v>1060</v>
      </c>
      <c r="D897" s="27" t="s">
        <v>716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718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1171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1172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1173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737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868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999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1170</v>
      </c>
      <c r="B905" s="27" t="s">
        <v>768</v>
      </c>
      <c r="C905" s="27" t="s">
        <v>1060</v>
      </c>
      <c r="D905" s="27" t="s">
        <v>716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1174</v>
      </c>
      <c r="B906" s="27" t="s">
        <v>867</v>
      </c>
      <c r="C906" s="27" t="s">
        <v>1060</v>
      </c>
      <c r="D906" s="27" t="s">
        <v>716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1175</v>
      </c>
      <c r="B907" s="27" t="s">
        <v>860</v>
      </c>
      <c r="C907" s="27" t="s">
        <v>1060</v>
      </c>
      <c r="D907" s="27" t="s">
        <v>716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830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1176</v>
      </c>
      <c r="B909" s="27" t="s">
        <v>867</v>
      </c>
      <c r="C909" s="27" t="s">
        <v>769</v>
      </c>
      <c r="D909" s="27" t="s">
        <v>716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1177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1178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737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743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1179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1139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1180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750</v>
      </c>
      <c r="B917" s="27" t="s">
        <v>867</v>
      </c>
      <c r="C917" s="27" t="s">
        <v>799</v>
      </c>
      <c r="D917" s="27" t="s">
        <v>716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1181</v>
      </c>
      <c r="B918" s="27" t="s">
        <v>790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12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12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832</v>
      </c>
      <c r="B921" s="27" t="s">
        <v>768</v>
      </c>
      <c r="C921" s="27" t="s">
        <v>782</v>
      </c>
      <c r="D921" s="27" t="s">
        <v>716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372</v>
      </c>
      <c r="B922" s="27" t="s">
        <v>731</v>
      </c>
      <c r="C922" s="27" t="s">
        <v>782</v>
      </c>
      <c r="D922" s="27" t="s">
        <v>716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737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820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906</v>
      </c>
      <c r="B925" s="27" t="s">
        <v>861</v>
      </c>
      <c r="C925" s="27" t="s">
        <v>715</v>
      </c>
      <c r="D925" s="27" t="s">
        <v>716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1182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737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743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1183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1184</v>
      </c>
      <c r="B930" s="27" t="s">
        <v>790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829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1136</v>
      </c>
      <c r="B932" s="27" t="s">
        <v>867</v>
      </c>
      <c r="C932" s="27" t="s">
        <v>715</v>
      </c>
      <c r="D932" s="27" t="s">
        <v>716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793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1185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1186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12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12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749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1184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829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1136</v>
      </c>
      <c r="B941" s="27" t="s">
        <v>860</v>
      </c>
      <c r="C941" s="27" t="s">
        <v>715</v>
      </c>
      <c r="D941" s="27" t="s">
        <v>716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1187</v>
      </c>
      <c r="B942" s="27" t="s">
        <v>768</v>
      </c>
      <c r="C942" s="27" t="s">
        <v>728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720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720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720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/>
    </row>
    <row r="947" spans="1:12">
      <c r="A947" s="20" t="s">
        <v>1188</v>
      </c>
    </row>
    <row r="948" spans="1:12">
      <c r="A948" s="20" t="s">
        <v>954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1189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956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749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1184</v>
      </c>
      <c r="B952" s="27" t="s">
        <v>745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829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1136</v>
      </c>
      <c r="B954" s="27" t="s">
        <v>768</v>
      </c>
      <c r="C954" s="27" t="s">
        <v>715</v>
      </c>
      <c r="D954" s="27" t="s">
        <v>716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1190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1173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737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868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1191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720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/>
    </row>
    <row r="962" spans="1:12">
      <c r="A962" s="20" t="s">
        <v>1192</v>
      </c>
    </row>
    <row r="963" spans="1:12">
      <c r="A963" s="20" t="s">
        <v>797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1193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737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1194</v>
      </c>
      <c r="B966" s="27" t="s">
        <v>790</v>
      </c>
      <c r="C966" s="27" t="s">
        <v>791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1173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737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832</v>
      </c>
      <c r="B969" s="27" t="s">
        <v>714</v>
      </c>
      <c r="C969" s="27" t="s">
        <v>782</v>
      </c>
      <c r="D969" s="27" t="s">
        <v>716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1193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737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735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1195</v>
      </c>
      <c r="B973" s="27" t="s">
        <v>731</v>
      </c>
      <c r="C973" s="27" t="s">
        <v>791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1196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1197</v>
      </c>
      <c r="B975" s="27" t="s">
        <v>768</v>
      </c>
      <c r="C975" s="27" t="s">
        <v>715</v>
      </c>
      <c r="D975" s="27" t="s">
        <v>716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1198</v>
      </c>
      <c r="B976" s="27" t="s">
        <v>745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961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735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965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1199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720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/>
    </row>
    <row r="983" spans="1:12">
      <c r="A983" s="20" t="s">
        <v>1200</v>
      </c>
    </row>
    <row r="984" spans="1:12">
      <c r="A984" s="20" t="s">
        <v>810</v>
      </c>
      <c r="B984" s="27" t="s">
        <v>714</v>
      </c>
      <c r="C984" s="27" t="s">
        <v>782</v>
      </c>
      <c r="D984" s="27" t="s">
        <v>716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1201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205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720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/>
    </row>
    <row r="989" spans="1:12">
      <c r="A989" s="20" t="s">
        <v>1202</v>
      </c>
    </row>
    <row r="990" spans="1:12">
      <c r="A990" s="20" t="s">
        <v>1203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823</v>
      </c>
      <c r="B991" s="27" t="s">
        <v>714</v>
      </c>
      <c r="C991" s="27" t="s">
        <v>715</v>
      </c>
      <c r="D991" s="27" t="s">
        <v>716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832</v>
      </c>
      <c r="B992" s="27" t="s">
        <v>808</v>
      </c>
      <c r="C992" s="27" t="s">
        <v>782</v>
      </c>
      <c r="D992" s="27" t="s">
        <v>716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1204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1042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/>
    </row>
    <row r="996" spans="1:12">
      <c r="A996" s="20" t="s">
        <v>1205</v>
      </c>
    </row>
    <row r="997" spans="1:12">
      <c r="A997" s="20" t="s">
        <v>1206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822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823</v>
      </c>
      <c r="B999" s="27" t="s">
        <v>714</v>
      </c>
      <c r="C999" s="27" t="s">
        <v>715</v>
      </c>
      <c r="D999" s="27" t="s">
        <v>716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1207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774</v>
      </c>
      <c r="B1001" s="27" t="s">
        <v>808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747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1171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737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1208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1152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1172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1209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720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/>
    </row>
    <row r="1011" spans="1:12">
      <c r="A1011" s="20" t="s">
        <v>721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1210</v>
      </c>
    </row>
    <row r="1013" spans="1:12">
      <c r="A1013" s="20" t="s">
        <v>734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1158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1211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713</v>
      </c>
      <c r="B1016" s="27" t="s">
        <v>714</v>
      </c>
      <c r="C1016" s="27" t="s">
        <v>715</v>
      </c>
      <c r="D1016" s="27" t="s">
        <v>716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752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737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735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864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743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865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1042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734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/>
    </row>
    <row r="1026" spans="1:12">
      <c r="A1026" s="20" t="s">
        <v>1212</v>
      </c>
    </row>
    <row r="1027" spans="1:12">
      <c r="A1027" s="20" t="s">
        <v>797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1213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1151</v>
      </c>
      <c r="B1029" s="27" t="s">
        <v>781</v>
      </c>
      <c r="C1029" s="27" t="s">
        <v>1060</v>
      </c>
      <c r="D1029" s="27" t="s">
        <v>716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848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1214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832</v>
      </c>
      <c r="B1032" s="27" t="s">
        <v>714</v>
      </c>
      <c r="C1032" s="27" t="s">
        <v>782</v>
      </c>
      <c r="D1032" s="27" t="s">
        <v>716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752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1215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1173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737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868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1213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1143</v>
      </c>
      <c r="B1039" s="27" t="s">
        <v>781</v>
      </c>
      <c r="C1039" s="27" t="s">
        <v>1060</v>
      </c>
      <c r="D1039" s="27" t="s">
        <v>716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720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797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1156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1216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1217</v>
      </c>
      <c r="B1044" s="27" t="s">
        <v>745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889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1218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743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1219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589</v>
      </c>
      <c r="B1049" s="27" t="s">
        <v>768</v>
      </c>
      <c r="C1049" s="27" t="s">
        <v>715</v>
      </c>
      <c r="D1049" s="27" t="s">
        <v>716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720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/>
    </row>
    <row r="1052" spans="1:12">
      <c r="A1052" s="20" t="s">
        <v>1220</v>
      </c>
    </row>
    <row r="1053" spans="1:12">
      <c r="A1053" s="20" t="s">
        <v>1221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1222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1223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1224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589</v>
      </c>
      <c r="B1057" s="27" t="s">
        <v>714</v>
      </c>
      <c r="C1057" s="27" t="s">
        <v>715</v>
      </c>
      <c r="D1057" s="27" t="s">
        <v>716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737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1225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737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822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1142</v>
      </c>
      <c r="B1062" s="27" t="s">
        <v>745</v>
      </c>
      <c r="C1062" s="27" t="s">
        <v>1060</v>
      </c>
      <c r="D1062" s="27" t="s">
        <v>716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1143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1226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874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1227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985</v>
      </c>
      <c r="B1067" s="27" t="s">
        <v>745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720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/>
    </row>
    <row r="1070" spans="1:12">
      <c r="A1070" s="20" t="s">
        <v>1228</v>
      </c>
    </row>
    <row r="1071" spans="1:12">
      <c r="A1071" s="20" t="s">
        <v>797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1229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822</v>
      </c>
      <c r="B1073" s="27" t="s">
        <v>727</v>
      </c>
      <c r="C1073" s="27" t="s">
        <v>791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227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1230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941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1231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1151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737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743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823</v>
      </c>
      <c r="B1081" s="27" t="s">
        <v>745</v>
      </c>
      <c r="C1081" s="27" t="s">
        <v>715</v>
      </c>
      <c r="D1081" s="27" t="s">
        <v>716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765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964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1004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1232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1233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1234</v>
      </c>
      <c r="B1087" s="27" t="s">
        <v>745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737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743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832</v>
      </c>
      <c r="B1090" s="27" t="s">
        <v>745</v>
      </c>
      <c r="C1090" s="27" t="s">
        <v>782</v>
      </c>
      <c r="D1090" s="27" t="s">
        <v>716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1235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737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1034</v>
      </c>
      <c r="B1093" s="27" t="s">
        <v>745</v>
      </c>
      <c r="C1093" s="27" t="s">
        <v>715</v>
      </c>
      <c r="D1093" s="27" t="s">
        <v>716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1236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1237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1238</v>
      </c>
      <c r="B1096" s="27" t="s">
        <v>847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1130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1151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737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1239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1240</v>
      </c>
      <c r="B1101" s="27" t="s">
        <v>1051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1241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737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749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793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1242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1243</v>
      </c>
      <c r="B1107" s="27" t="s">
        <v>870</v>
      </c>
      <c r="C1107" s="27" t="s">
        <v>715</v>
      </c>
      <c r="D1107" s="27" t="s">
        <v>716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850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1159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720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/>
    </row>
    <row r="1112" spans="1:12">
      <c r="A1112" s="20" t="s">
        <v>1244</v>
      </c>
    </row>
    <row r="1113" spans="1:12">
      <c r="A1113" s="20" t="s">
        <v>810</v>
      </c>
      <c r="B1113" s="27" t="s">
        <v>714</v>
      </c>
      <c r="C1113" s="27" t="s">
        <v>782</v>
      </c>
      <c r="D1113" s="27" t="s">
        <v>716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1245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1246</v>
      </c>
      <c r="B1115" s="27" t="s">
        <v>808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1247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1248</v>
      </c>
      <c r="B1117" s="27" t="s">
        <v>808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737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749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793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1249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1198</v>
      </c>
      <c r="B1122" s="27" t="s">
        <v>781</v>
      </c>
      <c r="C1122" s="27" t="s">
        <v>728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737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1172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1250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737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868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1251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1003</v>
      </c>
      <c r="B1129" s="27" t="s">
        <v>768</v>
      </c>
      <c r="C1129" s="27" t="s">
        <v>782</v>
      </c>
      <c r="D1129" s="27" t="s">
        <v>716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720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/>
    </row>
    <row r="1132" spans="1:12">
      <c r="A1132" s="20" t="s">
        <v>1252</v>
      </c>
    </row>
    <row r="1133" spans="1:12">
      <c r="A1133" s="20" t="s">
        <v>797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737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1253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473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832</v>
      </c>
      <c r="B1137" s="27" t="s">
        <v>727</v>
      </c>
      <c r="C1137" s="27" t="s">
        <v>782</v>
      </c>
      <c r="D1137" s="27" t="s">
        <v>716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735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1254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1255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987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737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1034</v>
      </c>
      <c r="B1143" s="27" t="s">
        <v>714</v>
      </c>
      <c r="C1143" s="27" t="s">
        <v>715</v>
      </c>
      <c r="D1143" s="27" t="s">
        <v>716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1256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1016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589</v>
      </c>
      <c r="B1146" s="27" t="s">
        <v>714</v>
      </c>
      <c r="C1146" s="27" t="s">
        <v>715</v>
      </c>
      <c r="D1146" s="27" t="s">
        <v>716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1130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1151</v>
      </c>
      <c r="B1148" s="27" t="s">
        <v>768</v>
      </c>
      <c r="C1148" s="27" t="s">
        <v>1060</v>
      </c>
      <c r="D1148" s="27" t="s">
        <v>716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735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1257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1258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737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749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846</v>
      </c>
      <c r="B1154" s="27" t="s">
        <v>727</v>
      </c>
      <c r="C1154" s="27" t="s">
        <v>715</v>
      </c>
      <c r="D1154" s="27" t="s">
        <v>716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1044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589</v>
      </c>
      <c r="B1156" s="27" t="s">
        <v>731</v>
      </c>
      <c r="C1156" s="27" t="s">
        <v>715</v>
      </c>
      <c r="D1156" s="27" t="s">
        <v>716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12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12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735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1172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1259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737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844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822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1229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1034</v>
      </c>
      <c r="B1166" s="27" t="s">
        <v>861</v>
      </c>
      <c r="C1166" s="27" t="s">
        <v>715</v>
      </c>
      <c r="D1166" s="27" t="s">
        <v>716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1260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1246</v>
      </c>
      <c r="B1168" s="27" t="s">
        <v>935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1151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1261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953</v>
      </c>
      <c r="B1171" s="27" t="s">
        <v>935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718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1262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1263</v>
      </c>
      <c r="B1174" s="27" t="s">
        <v>925</v>
      </c>
      <c r="C1174" s="27" t="s">
        <v>715</v>
      </c>
      <c r="D1174" s="27" t="s">
        <v>716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1264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720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/>
    </row>
    <row r="1178" spans="1:12">
      <c r="A1178" s="20" t="s">
        <v>1265</v>
      </c>
    </row>
    <row r="1179" spans="1:12">
      <c r="A1179" s="20" t="s">
        <v>1266</v>
      </c>
      <c r="B1179" s="27" t="s">
        <v>714</v>
      </c>
      <c r="C1179" s="27" t="s">
        <v>791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1267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1268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1269</v>
      </c>
      <c r="B1182" s="27" t="s">
        <v>808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1085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1042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/>
    </row>
    <row r="1186" spans="1:12">
      <c r="A1186" s="20" t="s">
        <v>1270</v>
      </c>
    </row>
    <row r="1187" spans="1:12">
      <c r="A1187" s="20" t="s">
        <v>797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832</v>
      </c>
      <c r="B1188" s="27" t="s">
        <v>714</v>
      </c>
      <c r="C1188" s="27" t="s">
        <v>782</v>
      </c>
      <c r="D1188" s="27" t="s">
        <v>716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1271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618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1272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737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789</v>
      </c>
      <c r="B1193" s="27" t="s">
        <v>790</v>
      </c>
      <c r="C1193" s="27" t="s">
        <v>791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869</v>
      </c>
      <c r="B1194" s="27" t="s">
        <v>847</v>
      </c>
      <c r="C1194" s="27" t="s">
        <v>715</v>
      </c>
      <c r="D1194" s="27" t="s">
        <v>716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1273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1091</v>
      </c>
      <c r="B1196" s="27" t="s">
        <v>847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737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1208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1152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618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1272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737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789</v>
      </c>
      <c r="B1203" s="27" t="s">
        <v>870</v>
      </c>
      <c r="C1203" s="27" t="s">
        <v>791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823</v>
      </c>
      <c r="B1204" s="27" t="s">
        <v>1058</v>
      </c>
      <c r="C1204" s="27" t="s">
        <v>715</v>
      </c>
      <c r="D1204" s="27" t="s">
        <v>716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1274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720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/>
    </row>
    <row r="1208" spans="1:12">
      <c r="A1208" s="20" t="s">
        <v>1275</v>
      </c>
    </row>
    <row r="1209" spans="1:12">
      <c r="A1209" s="20" t="s">
        <v>1276</v>
      </c>
      <c r="B1209" s="27" t="s">
        <v>808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1277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1278</v>
      </c>
      <c r="B1211" s="27" t="s">
        <v>714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737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1279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1280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743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1281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720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/>
    </row>
    <row r="1219" spans="1:12">
      <c r="A1219" s="20" t="s">
        <v>1282</v>
      </c>
    </row>
    <row r="1220" spans="1:12">
      <c r="A1220" s="20" t="s">
        <v>1283</v>
      </c>
      <c r="B1220" s="27" t="s">
        <v>714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1139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737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1139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1284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737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743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737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735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1285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1286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737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1287</v>
      </c>
      <c r="B1232" s="27" t="s">
        <v>745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1288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1289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720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/>
    </row>
    <row r="1237" spans="1:12">
      <c r="A1237" s="20" t="s">
        <v>1290</v>
      </c>
    </row>
    <row r="1238" spans="1:12">
      <c r="A1238" s="20" t="s">
        <v>1291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737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1016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589</v>
      </c>
      <c r="B1241" s="27" t="s">
        <v>714</v>
      </c>
      <c r="C1241" s="27" t="s">
        <v>715</v>
      </c>
      <c r="D1241" s="27" t="s">
        <v>716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1018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1292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1293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720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/>
    </row>
    <row r="1247" spans="1:12">
      <c r="A1247" s="20" t="s">
        <v>1294</v>
      </c>
    </row>
    <row r="1248" spans="1:12">
      <c r="A1248" s="20" t="s">
        <v>1295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1000</v>
      </c>
      <c r="B1249" s="27" t="s">
        <v>781</v>
      </c>
      <c r="C1249" s="27" t="s">
        <v>715</v>
      </c>
      <c r="D1249" s="27" t="s">
        <v>716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855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1280</v>
      </c>
      <c r="B1251" s="27" t="s">
        <v>808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886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737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107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739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1296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720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/>
    </row>
    <row r="1259" spans="1:12">
      <c r="A1259" s="20" t="s">
        <v>1297</v>
      </c>
    </row>
    <row r="1260" spans="1:12">
      <c r="A1260" s="20" t="s">
        <v>797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1253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1034</v>
      </c>
      <c r="B1262" s="27" t="s">
        <v>714</v>
      </c>
      <c r="C1262" s="27" t="s">
        <v>715</v>
      </c>
      <c r="D1262" s="27" t="s">
        <v>716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1298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888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822</v>
      </c>
      <c r="B1265" s="27" t="s">
        <v>745</v>
      </c>
      <c r="C1265" s="27" t="s">
        <v>791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1299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941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1300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1301</v>
      </c>
      <c r="B1269" s="27" t="s">
        <v>731</v>
      </c>
      <c r="C1269" s="27" t="s">
        <v>769</v>
      </c>
      <c r="D1269" s="27" t="s">
        <v>716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1042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/>
    </row>
    <row r="1272" spans="1:12">
      <c r="A1272" s="20" t="s">
        <v>1302</v>
      </c>
    </row>
    <row r="1273" spans="1:12">
      <c r="A1273" s="20" t="s">
        <v>1303</v>
      </c>
      <c r="B1273" s="27" t="s">
        <v>714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1139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266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720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/>
    </row>
    <row r="1278" spans="1:12">
      <c r="A1278" s="20" t="s">
        <v>1304</v>
      </c>
    </row>
    <row r="1279" spans="1:12">
      <c r="A1279" s="20" t="s">
        <v>1305</v>
      </c>
      <c r="B1279" s="27" t="s">
        <v>714</v>
      </c>
      <c r="C1279" s="27" t="s">
        <v>715</v>
      </c>
      <c r="D1279" s="27" t="s">
        <v>716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1306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1307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720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/>
    </row>
    <row r="1284" spans="1:12">
      <c r="A1284" s="20" t="s">
        <v>1308</v>
      </c>
    </row>
    <row r="1285" spans="1:12">
      <c r="A1285" s="20" t="s">
        <v>1110</v>
      </c>
      <c r="B1285" s="27" t="s">
        <v>714</v>
      </c>
      <c r="C1285" s="27" t="s">
        <v>715</v>
      </c>
      <c r="D1285" s="27" t="s">
        <v>716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1309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718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1006</v>
      </c>
      <c r="B1288" s="27" t="s">
        <v>781</v>
      </c>
      <c r="C1288" s="27" t="s">
        <v>782</v>
      </c>
      <c r="D1288" s="27" t="s">
        <v>716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737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822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1310</v>
      </c>
      <c r="B1291" s="27" t="s">
        <v>790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1311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1048</v>
      </c>
      <c r="B1293" s="27" t="s">
        <v>742</v>
      </c>
      <c r="C1293" s="27" t="s">
        <v>799</v>
      </c>
      <c r="D1293" s="27" t="s">
        <v>716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892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12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12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743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589</v>
      </c>
      <c r="B1298" s="27" t="s">
        <v>790</v>
      </c>
      <c r="C1298" s="27" t="s">
        <v>715</v>
      </c>
      <c r="D1298" s="27" t="s">
        <v>716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1312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12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12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1035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737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1313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1023</v>
      </c>
      <c r="B1305" s="27" t="s">
        <v>861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1314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1315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1316</v>
      </c>
      <c r="B1308" s="27" t="s">
        <v>867</v>
      </c>
      <c r="C1308" s="27" t="s">
        <v>728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720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/>
    </row>
    <row r="1311" spans="1:12">
      <c r="A1311" s="20" t="s">
        <v>1317</v>
      </c>
    </row>
    <row r="1312" spans="1:12">
      <c r="A1312" s="20" t="s">
        <v>1266</v>
      </c>
      <c r="B1312" s="27" t="s">
        <v>714</v>
      </c>
      <c r="C1312" s="27" t="s">
        <v>791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1318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737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1319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737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735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892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750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12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12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1320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1321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1322</v>
      </c>
      <c r="B1324" s="27" t="s">
        <v>731</v>
      </c>
      <c r="C1324" s="27" t="s">
        <v>728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720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/>
    </row>
    <row r="1327" spans="1:12">
      <c r="A1327" s="20" t="s">
        <v>1323</v>
      </c>
    </row>
    <row r="1328" spans="1:12">
      <c r="A1328" s="20" t="s">
        <v>1114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1324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12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12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1320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281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720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/>
    </row>
    <row r="1336" spans="1:12">
      <c r="A1336" s="20" t="s">
        <v>1325</v>
      </c>
    </row>
    <row r="1337" spans="1:12">
      <c r="A1337" s="20" t="s">
        <v>1326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750</v>
      </c>
      <c r="B1338" s="27" t="s">
        <v>731</v>
      </c>
      <c r="C1338" s="27" t="s">
        <v>799</v>
      </c>
      <c r="D1338" s="27" t="s">
        <v>716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1181</v>
      </c>
      <c r="B1339" s="27" t="s">
        <v>714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793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1327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992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1328</v>
      </c>
      <c r="B1343" s="27" t="s">
        <v>781</v>
      </c>
      <c r="C1343" s="27" t="s">
        <v>788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720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/>
    </row>
    <row r="1346" spans="1:12">
      <c r="A1346" s="20" t="s">
        <v>1329</v>
      </c>
    </row>
    <row r="1347" spans="1:12">
      <c r="A1347" s="20" t="s">
        <v>1330</v>
      </c>
      <c r="B1347" s="27" t="s">
        <v>714</v>
      </c>
      <c r="C1347" s="27" t="s">
        <v>878</v>
      </c>
      <c r="D1347" s="27" t="s">
        <v>716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829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1136</v>
      </c>
      <c r="B1349" s="27" t="s">
        <v>731</v>
      </c>
      <c r="C1349" s="27" t="s">
        <v>715</v>
      </c>
      <c r="D1349" s="27" t="s">
        <v>716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1331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1332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1219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589</v>
      </c>
      <c r="B1353" s="27" t="s">
        <v>714</v>
      </c>
      <c r="C1353" s="27" t="s">
        <v>715</v>
      </c>
      <c r="D1353" s="27" t="s">
        <v>716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720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/>
    </row>
    <row r="1356" spans="1:12">
      <c r="A1356" s="20" t="s">
        <v>1333</v>
      </c>
    </row>
    <row r="1357" spans="1:12">
      <c r="A1357" s="20" t="s">
        <v>797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1334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737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1335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1336</v>
      </c>
      <c r="B1361" s="27" t="s">
        <v>781</v>
      </c>
      <c r="C1361" s="27" t="s">
        <v>788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1337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1338</v>
      </c>
      <c r="B1363" s="27" t="s">
        <v>714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737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822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906</v>
      </c>
      <c r="B1366" s="27" t="s">
        <v>790</v>
      </c>
      <c r="C1366" s="27" t="s">
        <v>715</v>
      </c>
      <c r="D1366" s="27" t="s">
        <v>716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862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99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858</v>
      </c>
      <c r="B1369" s="27" t="s">
        <v>935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737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822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372</v>
      </c>
      <c r="B1372" s="27" t="s">
        <v>866</v>
      </c>
      <c r="C1372" s="27" t="s">
        <v>782</v>
      </c>
      <c r="D1372" s="27" t="s">
        <v>716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737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822</v>
      </c>
      <c r="B1374" s="27" t="s">
        <v>920</v>
      </c>
      <c r="C1374" s="27" t="s">
        <v>791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1299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1339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1054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830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1311</v>
      </c>
      <c r="B1379" s="27" t="s">
        <v>925</v>
      </c>
      <c r="C1379" s="27" t="s">
        <v>769</v>
      </c>
      <c r="D1379" s="27" t="s">
        <v>716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12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12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832</v>
      </c>
      <c r="B1382" s="27" t="s">
        <v>860</v>
      </c>
      <c r="C1382" s="27" t="s">
        <v>782</v>
      </c>
      <c r="D1382" s="27" t="s">
        <v>716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1340</v>
      </c>
      <c r="B1383" s="27" t="s">
        <v>860</v>
      </c>
      <c r="C1383" s="27" t="s">
        <v>799</v>
      </c>
      <c r="D1383" s="27" t="s">
        <v>716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897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720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/>
    </row>
    <row r="1387" spans="1:12">
      <c r="A1387" s="20" t="s">
        <v>1341</v>
      </c>
    </row>
    <row r="1388" spans="1:12">
      <c r="A1388" s="20" t="s">
        <v>810</v>
      </c>
      <c r="B1388" s="27" t="s">
        <v>714</v>
      </c>
      <c r="C1388" s="27" t="s">
        <v>782</v>
      </c>
      <c r="D1388" s="27" t="s">
        <v>716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1342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298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737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943</v>
      </c>
      <c r="B1392" s="27" t="s">
        <v>727</v>
      </c>
      <c r="C1392" s="27" t="s">
        <v>791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823</v>
      </c>
      <c r="B1393" s="27" t="s">
        <v>745</v>
      </c>
      <c r="C1393" s="27" t="s">
        <v>715</v>
      </c>
      <c r="D1393" s="27" t="s">
        <v>716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1343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737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1344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1345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765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1346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1347</v>
      </c>
      <c r="B1400" s="27" t="s">
        <v>731</v>
      </c>
      <c r="C1400" s="27" t="s">
        <v>769</v>
      </c>
      <c r="D1400" s="27" t="s">
        <v>716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720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/>
    </row>
    <row r="1403" spans="1:12">
      <c r="A1403" s="20" t="s">
        <v>1348</v>
      </c>
    </row>
    <row r="1404" spans="1:12">
      <c r="A1404" s="20" t="s">
        <v>797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820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846</v>
      </c>
      <c r="B1406" s="27" t="s">
        <v>727</v>
      </c>
      <c r="C1406" s="27" t="s">
        <v>715</v>
      </c>
      <c r="D1406" s="27" t="s">
        <v>716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1349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12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12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1350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1351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1352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1049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737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749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832</v>
      </c>
      <c r="B1416" s="27" t="s">
        <v>745</v>
      </c>
      <c r="C1416" s="27" t="s">
        <v>782</v>
      </c>
      <c r="D1416" s="27" t="s">
        <v>716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793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1193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205</v>
      </c>
      <c r="B1419" s="27" t="s">
        <v>781</v>
      </c>
      <c r="C1419" s="27" t="s">
        <v>769</v>
      </c>
      <c r="D1419" s="27" t="s">
        <v>716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737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1149</v>
      </c>
      <c r="B1421" s="27" t="s">
        <v>847</v>
      </c>
      <c r="C1421" s="27" t="s">
        <v>791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1044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589</v>
      </c>
      <c r="B1423" s="27" t="s">
        <v>790</v>
      </c>
      <c r="C1423" s="27" t="s">
        <v>715</v>
      </c>
      <c r="D1423" s="27" t="s">
        <v>716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1353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1213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1165</v>
      </c>
      <c r="B1426" s="27" t="s">
        <v>768</v>
      </c>
      <c r="C1426" s="27" t="s">
        <v>715</v>
      </c>
      <c r="D1426" s="27" t="s">
        <v>716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720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/>
    </row>
    <row r="1429" spans="1:12">
      <c r="A1429" s="20" t="s">
        <v>1354</v>
      </c>
    </row>
    <row r="1430" spans="1:12">
      <c r="A1430" s="20" t="s">
        <v>1291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737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999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1165</v>
      </c>
      <c r="B1433" s="27" t="s">
        <v>781</v>
      </c>
      <c r="C1433" s="27" t="s">
        <v>715</v>
      </c>
      <c r="D1433" s="27" t="s">
        <v>716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855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1044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589</v>
      </c>
      <c r="B1436" s="27" t="s">
        <v>714</v>
      </c>
      <c r="C1436" s="27" t="s">
        <v>715</v>
      </c>
      <c r="D1436" s="27" t="s">
        <v>716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743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1016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589</v>
      </c>
      <c r="B1439" s="27" t="s">
        <v>714</v>
      </c>
      <c r="C1439" s="27" t="s">
        <v>715</v>
      </c>
      <c r="D1439" s="27" t="s">
        <v>716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737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743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906</v>
      </c>
      <c r="B1442" s="27" t="s">
        <v>790</v>
      </c>
      <c r="C1442" s="27" t="s">
        <v>715</v>
      </c>
      <c r="D1442" s="27" t="s">
        <v>716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1355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974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1356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1357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1358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1359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1360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720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/>
    </row>
    <row r="1452" spans="1:12">
      <c r="A1452" s="20" t="s">
        <v>1361</v>
      </c>
    </row>
    <row r="1453" spans="1:12">
      <c r="A1453" s="20" t="s">
        <v>1362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1363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750</v>
      </c>
      <c r="B1455" s="27" t="s">
        <v>731</v>
      </c>
      <c r="C1455" s="27" t="s">
        <v>799</v>
      </c>
      <c r="D1455" s="27" t="s">
        <v>716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1364</v>
      </c>
      <c r="B1456" s="27" t="s">
        <v>714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1365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735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750</v>
      </c>
      <c r="B1459" s="27" t="s">
        <v>731</v>
      </c>
      <c r="C1459" s="27" t="s">
        <v>799</v>
      </c>
      <c r="D1459" s="27" t="s">
        <v>716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1366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1367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1368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720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/>
    </row>
    <row r="1465" spans="1:12">
      <c r="A1465" s="20" t="s">
        <v>1369</v>
      </c>
    </row>
    <row r="1466" spans="1:12">
      <c r="A1466" s="20" t="s">
        <v>1221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1222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1223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1224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589</v>
      </c>
      <c r="B1470" s="27" t="s">
        <v>714</v>
      </c>
      <c r="C1470" s="27" t="s">
        <v>715</v>
      </c>
      <c r="D1470" s="27" t="s">
        <v>716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1253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1034</v>
      </c>
      <c r="B1472" s="27" t="s">
        <v>714</v>
      </c>
      <c r="C1472" s="27" t="s">
        <v>715</v>
      </c>
      <c r="D1472" s="27" t="s">
        <v>716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1370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735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1371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737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743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1372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390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1373</v>
      </c>
      <c r="B1480" s="27" t="s">
        <v>768</v>
      </c>
      <c r="C1480" s="27" t="s">
        <v>799</v>
      </c>
      <c r="D1480" s="27" t="s">
        <v>716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1374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83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816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1375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737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820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1376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737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1086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1377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1057</v>
      </c>
      <c r="B1491" s="27" t="s">
        <v>861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1378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115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1379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1380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737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868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1381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720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/>
    </row>
    <row r="1501" spans="1:12">
      <c r="A1501" s="20" t="s">
        <v>1382</v>
      </c>
    </row>
    <row r="1502" spans="1:12">
      <c r="A1502" s="20" t="s">
        <v>777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1213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1383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589</v>
      </c>
      <c r="B1505" s="27" t="s">
        <v>714</v>
      </c>
      <c r="C1505" s="27" t="s">
        <v>715</v>
      </c>
      <c r="D1505" s="27" t="s">
        <v>716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832</v>
      </c>
      <c r="B1506" s="27" t="s">
        <v>808</v>
      </c>
      <c r="C1506" s="27" t="s">
        <v>782</v>
      </c>
      <c r="D1506" s="27" t="s">
        <v>716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1384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1119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720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/>
    </row>
    <row r="1511" spans="1:12">
      <c r="A1511" s="20" t="s">
        <v>1385</v>
      </c>
    </row>
    <row r="1512" spans="1:12">
      <c r="A1512" s="20" t="s">
        <v>1386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1383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589</v>
      </c>
      <c r="B1514" s="27" t="s">
        <v>714</v>
      </c>
      <c r="C1514" s="27" t="s">
        <v>715</v>
      </c>
      <c r="D1514" s="27" t="s">
        <v>716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1377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1057</v>
      </c>
      <c r="B1516" s="27" t="s">
        <v>745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1387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1388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1380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737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868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1381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737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844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822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1389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1390</v>
      </c>
      <c r="B1527" s="27" t="s">
        <v>790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793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1391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720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/>
    </row>
    <row r="1532" spans="1:12">
      <c r="A1532" s="20" t="s">
        <v>1392</v>
      </c>
    </row>
    <row r="1533" spans="1:12">
      <c r="A1533" s="20" t="s">
        <v>1393</v>
      </c>
      <c r="B1533" s="27" t="s">
        <v>714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793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1394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720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/>
    </row>
    <row r="1538" spans="1:12">
      <c r="A1538" s="20" t="s">
        <v>1395</v>
      </c>
    </row>
    <row r="1539" spans="1:12">
      <c r="A1539" s="20" t="s">
        <v>797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735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1396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1397</v>
      </c>
      <c r="B1542" s="27" t="s">
        <v>781</v>
      </c>
      <c r="C1542" s="27" t="s">
        <v>769</v>
      </c>
      <c r="D1542" s="27" t="s">
        <v>716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1054</v>
      </c>
      <c r="B1543" s="27" t="s">
        <v>714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12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12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1398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1399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737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1194</v>
      </c>
      <c r="B1549" s="27" t="s">
        <v>861</v>
      </c>
      <c r="C1549" s="27" t="s">
        <v>791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1400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1044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589</v>
      </c>
      <c r="B1552" s="27" t="s">
        <v>867</v>
      </c>
      <c r="C1552" s="27" t="s">
        <v>715</v>
      </c>
      <c r="D1552" s="27" t="s">
        <v>716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1359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1224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720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/>
    </row>
    <row r="1557" spans="1:12">
      <c r="A1557" s="20" t="s">
        <v>1401</v>
      </c>
    </row>
    <row r="1558" spans="1:12">
      <c r="A1558" s="20" t="s">
        <v>1402</v>
      </c>
      <c r="B1558" s="27" t="s">
        <v>714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1403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1404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765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766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953</v>
      </c>
      <c r="B1563" s="27" t="s">
        <v>781</v>
      </c>
      <c r="C1563" s="27" t="s">
        <v>769</v>
      </c>
      <c r="D1563" s="27" t="s">
        <v>716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720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/>
    </row>
    <row r="1566" spans="1:12">
      <c r="A1566" s="20" t="s">
        <v>1405</v>
      </c>
    </row>
    <row r="1567" spans="1:12">
      <c r="A1567" s="20" t="s">
        <v>1406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1003</v>
      </c>
      <c r="B1568" s="27" t="s">
        <v>781</v>
      </c>
      <c r="C1568" s="27" t="s">
        <v>782</v>
      </c>
      <c r="D1568" s="27" t="s">
        <v>716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737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1044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589</v>
      </c>
      <c r="B1571" s="27" t="s">
        <v>714</v>
      </c>
      <c r="C1571" s="27" t="s">
        <v>715</v>
      </c>
      <c r="D1571" s="27" t="s">
        <v>716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793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1022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1407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743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1092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1085</v>
      </c>
      <c r="B1577" s="27" t="s">
        <v>727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720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/>
    </row>
    <row r="1580" spans="1:12">
      <c r="A1580" s="20" t="s">
        <v>1408</v>
      </c>
    </row>
    <row r="1581" spans="1:12">
      <c r="A1581" s="20" t="s">
        <v>1114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1409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832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1410</v>
      </c>
      <c r="B1584" s="27" t="s">
        <v>714</v>
      </c>
      <c r="C1584" s="27" t="s">
        <v>715</v>
      </c>
      <c r="D1584" s="27" t="s">
        <v>716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1411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1412</v>
      </c>
      <c r="B1586" s="27" t="s">
        <v>808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737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844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822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737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1253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999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1133</v>
      </c>
      <c r="B1593" s="27" t="s">
        <v>781</v>
      </c>
      <c r="C1593" s="27" t="s">
        <v>715</v>
      </c>
      <c r="D1593" s="27" t="s">
        <v>716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1413</v>
      </c>
      <c r="B1594" s="27" t="s">
        <v>745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737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999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1414</v>
      </c>
      <c r="B1597" s="27" t="s">
        <v>867</v>
      </c>
      <c r="C1597" s="27" t="s">
        <v>791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752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737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1415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737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901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1171</v>
      </c>
      <c r="B1603" s="27" t="s">
        <v>768</v>
      </c>
      <c r="C1603" s="27" t="s">
        <v>728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999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1013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1416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1417</v>
      </c>
      <c r="B1607" s="27" t="s">
        <v>867</v>
      </c>
      <c r="C1607" s="27" t="s">
        <v>728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737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743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744</v>
      </c>
      <c r="B1610" s="27" t="s">
        <v>866</v>
      </c>
      <c r="C1610" s="27" t="s">
        <v>715</v>
      </c>
      <c r="D1610" s="27" t="s">
        <v>716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1418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737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1419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750</v>
      </c>
      <c r="B1614" s="27" t="s">
        <v>870</v>
      </c>
      <c r="C1614" s="27" t="s">
        <v>715</v>
      </c>
      <c r="D1614" s="27" t="s">
        <v>716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1136</v>
      </c>
      <c r="B1615" s="27" t="s">
        <v>870</v>
      </c>
      <c r="C1615" s="27" t="s">
        <v>715</v>
      </c>
      <c r="D1615" s="27" t="s">
        <v>716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415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737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735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1396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1286</v>
      </c>
      <c r="B1620" s="27" t="s">
        <v>925</v>
      </c>
      <c r="C1620" s="27" t="s">
        <v>769</v>
      </c>
      <c r="D1620" s="27" t="s">
        <v>716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1420</v>
      </c>
      <c r="B1621" s="27" t="s">
        <v>920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1421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765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1422</v>
      </c>
      <c r="B1624" s="27" t="s">
        <v>925</v>
      </c>
      <c r="C1624" s="27" t="s">
        <v>782</v>
      </c>
      <c r="D1624" s="27" t="s">
        <v>716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737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718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1423</v>
      </c>
      <c r="B1627" s="27" t="s">
        <v>879</v>
      </c>
      <c r="C1627" s="27" t="s">
        <v>791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980</v>
      </c>
      <c r="B1628" s="27" t="s">
        <v>1424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1425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1426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737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1427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1422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1428</v>
      </c>
      <c r="B1634" s="27" t="s">
        <v>880</v>
      </c>
      <c r="C1634" s="27" t="s">
        <v>769</v>
      </c>
      <c r="D1634" s="27" t="s">
        <v>716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744</v>
      </c>
      <c r="B1635" s="27" t="s">
        <v>1429</v>
      </c>
      <c r="C1635" s="27" t="s">
        <v>715</v>
      </c>
      <c r="D1635" s="27" t="s">
        <v>716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1430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720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/>
    </row>
    <row r="1639" spans="1:12">
      <c r="A1639" s="20" t="s">
        <v>1431</v>
      </c>
    </row>
    <row r="1640" spans="1:12">
      <c r="A1640" s="20" t="s">
        <v>1432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589</v>
      </c>
      <c r="B1641" s="27" t="s">
        <v>714</v>
      </c>
      <c r="C1641" s="27" t="s">
        <v>715</v>
      </c>
      <c r="D1641" s="27" t="s">
        <v>716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735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1396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1433</v>
      </c>
      <c r="B1644" s="27" t="s">
        <v>781</v>
      </c>
      <c r="C1644" s="27" t="s">
        <v>769</v>
      </c>
      <c r="D1644" s="27" t="s">
        <v>716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1434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793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1028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720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/>
    </row>
    <row r="1650" spans="1:12">
      <c r="A1650" s="20" t="s">
        <v>1435</v>
      </c>
    </row>
    <row r="1651" spans="1:12">
      <c r="A1651" s="20" t="s">
        <v>1436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964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1004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823</v>
      </c>
      <c r="B1654" s="27" t="s">
        <v>714</v>
      </c>
      <c r="C1654" s="27" t="s">
        <v>715</v>
      </c>
      <c r="D1654" s="27" t="s">
        <v>716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1437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793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889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1438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1439</v>
      </c>
      <c r="B1659" s="27" t="s">
        <v>781</v>
      </c>
      <c r="C1659" s="27" t="s">
        <v>728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720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/>
    </row>
    <row r="1662" spans="1:12">
      <c r="A1662" s="20" t="s">
        <v>1440</v>
      </c>
    </row>
    <row r="1663" spans="1:12">
      <c r="A1663" s="20" t="s">
        <v>1083</v>
      </c>
      <c r="B1663" s="27" t="s">
        <v>714</v>
      </c>
      <c r="C1663" s="27" t="s">
        <v>715</v>
      </c>
      <c r="D1663" s="27" t="s">
        <v>716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1437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889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1438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1441</v>
      </c>
      <c r="B1667" s="27" t="s">
        <v>781</v>
      </c>
      <c r="C1667" s="27" t="s">
        <v>728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1442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1264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720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/>
    </row>
    <row r="1672" spans="1:12">
      <c r="A1672" s="20" t="s">
        <v>1443</v>
      </c>
    </row>
    <row r="1673" spans="1:12">
      <c r="A1673" s="20" t="s">
        <v>797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1444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1036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823</v>
      </c>
      <c r="B1676" s="27" t="s">
        <v>745</v>
      </c>
      <c r="C1676" s="27" t="s">
        <v>715</v>
      </c>
      <c r="D1676" s="27" t="s">
        <v>716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1445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718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1446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737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823</v>
      </c>
      <c r="B1681" s="27" t="s">
        <v>714</v>
      </c>
      <c r="C1681" s="27" t="s">
        <v>715</v>
      </c>
      <c r="D1681" s="27" t="s">
        <v>716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907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793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1445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718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1447</v>
      </c>
      <c r="B1686" s="27" t="s">
        <v>731</v>
      </c>
      <c r="C1686" s="27" t="s">
        <v>799</v>
      </c>
      <c r="D1686" s="27" t="s">
        <v>716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1446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820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1442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1264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720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/>
    </row>
    <row r="1693" spans="1:12">
      <c r="A1693" s="20" t="s">
        <v>1448</v>
      </c>
    </row>
    <row r="1694" spans="1:12">
      <c r="A1694" s="20" t="s">
        <v>1083</v>
      </c>
      <c r="B1694" s="27" t="s">
        <v>714</v>
      </c>
      <c r="C1694" s="27" t="s">
        <v>715</v>
      </c>
      <c r="D1694" s="27" t="s">
        <v>716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1445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718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1447</v>
      </c>
      <c r="B1697" s="27" t="s">
        <v>731</v>
      </c>
      <c r="C1697" s="27" t="s">
        <v>799</v>
      </c>
      <c r="D1697" s="27" t="s">
        <v>716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1446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737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820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718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1449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1450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720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/>
    </row>
    <row r="1706" spans="1:12">
      <c r="A1706" s="20" t="s">
        <v>1451</v>
      </c>
    </row>
    <row r="1707" spans="1:12">
      <c r="A1707" s="20" t="s">
        <v>797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737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1035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737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735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865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765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832</v>
      </c>
      <c r="B1714" s="27" t="s">
        <v>731</v>
      </c>
      <c r="C1714" s="27" t="s">
        <v>782</v>
      </c>
      <c r="D1714" s="27" t="s">
        <v>716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227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1452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737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820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765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1453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1383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589</v>
      </c>
      <c r="B1722" s="27" t="s">
        <v>861</v>
      </c>
      <c r="C1722" s="27" t="s">
        <v>715</v>
      </c>
      <c r="D1722" s="27" t="s">
        <v>716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737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743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227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1454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737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822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1044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589</v>
      </c>
      <c r="B1730" s="27" t="s">
        <v>866</v>
      </c>
      <c r="C1730" s="27" t="s">
        <v>715</v>
      </c>
      <c r="D1730" s="27" t="s">
        <v>716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1455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1456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1016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589</v>
      </c>
      <c r="B1734" s="27" t="s">
        <v>866</v>
      </c>
      <c r="C1734" s="27" t="s">
        <v>715</v>
      </c>
      <c r="D1734" s="27" t="s">
        <v>716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1011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201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985</v>
      </c>
      <c r="B1737" s="27" t="s">
        <v>860</v>
      </c>
      <c r="C1737" s="27" t="s">
        <v>769</v>
      </c>
      <c r="D1737" s="27" t="s">
        <v>716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737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943</v>
      </c>
      <c r="B1739" s="27" t="s">
        <v>920</v>
      </c>
      <c r="C1739" s="27" t="s">
        <v>791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1457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589</v>
      </c>
      <c r="B1741" s="27" t="s">
        <v>920</v>
      </c>
      <c r="C1741" s="27" t="s">
        <v>715</v>
      </c>
      <c r="D1741" s="27" t="s">
        <v>716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743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793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1458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720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/>
    </row>
    <row r="1747" spans="1:12">
      <c r="A1747" s="20" t="s">
        <v>1459</v>
      </c>
    </row>
    <row r="1748" spans="1:12">
      <c r="A1748" s="20" t="s">
        <v>1295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1460</v>
      </c>
      <c r="B1749" s="27" t="s">
        <v>781</v>
      </c>
      <c r="C1749" s="27" t="s">
        <v>715</v>
      </c>
      <c r="D1749" s="27" t="s">
        <v>716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855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1461</v>
      </c>
      <c r="B1751" s="27" t="s">
        <v>714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737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822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1036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823</v>
      </c>
      <c r="B1755" s="27" t="s">
        <v>861</v>
      </c>
      <c r="C1755" s="27" t="s">
        <v>715</v>
      </c>
      <c r="D1755" s="27" t="s">
        <v>716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1462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735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1463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737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1464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1465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83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737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822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823</v>
      </c>
      <c r="B1765" s="27" t="s">
        <v>866</v>
      </c>
      <c r="C1765" s="27" t="s">
        <v>715</v>
      </c>
      <c r="D1765" s="27" t="s">
        <v>716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1462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735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1466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737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735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1467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826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737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1468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1469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922</v>
      </c>
      <c r="B1776" s="27" t="s">
        <v>925</v>
      </c>
      <c r="C1776" s="27" t="s">
        <v>799</v>
      </c>
      <c r="D1776" s="27" t="s">
        <v>716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1044</v>
      </c>
      <c r="B1777" s="27" t="s">
        <v>870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589</v>
      </c>
      <c r="B1778" s="27" t="s">
        <v>1058</v>
      </c>
      <c r="C1778" s="27" t="s">
        <v>715</v>
      </c>
      <c r="D1778" s="27" t="s">
        <v>716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720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/>
    </row>
    <row r="1781" spans="1:12">
      <c r="A1781" s="20" t="s">
        <v>1470</v>
      </c>
    </row>
    <row r="1782" spans="1:12">
      <c r="A1782" s="20" t="s">
        <v>797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1471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836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1472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1473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1474</v>
      </c>
      <c r="B1787" s="27" t="s">
        <v>727</v>
      </c>
      <c r="C1787" s="27" t="s">
        <v>769</v>
      </c>
      <c r="D1787" s="27" t="s">
        <v>716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737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589</v>
      </c>
      <c r="B1789" s="27" t="s">
        <v>745</v>
      </c>
      <c r="C1789" s="27" t="s">
        <v>715</v>
      </c>
      <c r="D1789" s="27" t="s">
        <v>716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1475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720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/>
    </row>
    <row r="1793" spans="1:12">
      <c r="A1793" s="20" t="s">
        <v>1476</v>
      </c>
    </row>
    <row r="1794" spans="1:12">
      <c r="A1794" s="20" t="s">
        <v>1110</v>
      </c>
      <c r="B1794" s="27" t="s">
        <v>714</v>
      </c>
      <c r="C1794" s="27" t="s">
        <v>715</v>
      </c>
      <c r="D1794" s="27" t="s">
        <v>716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618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1477</v>
      </c>
      <c r="B1796" s="27" t="s">
        <v>781</v>
      </c>
      <c r="C1796" s="27" t="s">
        <v>782</v>
      </c>
      <c r="D1796" s="27" t="s">
        <v>716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737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822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835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1464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823</v>
      </c>
      <c r="B1801" s="27" t="s">
        <v>745</v>
      </c>
      <c r="C1801" s="27" t="s">
        <v>715</v>
      </c>
      <c r="D1801" s="27" t="s">
        <v>716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1478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1479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618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1480</v>
      </c>
      <c r="B1805" s="27" t="s">
        <v>768</v>
      </c>
      <c r="C1805" s="27" t="s">
        <v>799</v>
      </c>
      <c r="D1805" s="27" t="s">
        <v>716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1214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1042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/>
    </row>
    <row r="1809" spans="1:12">
      <c r="A1809" s="20" t="s">
        <v>1481</v>
      </c>
    </row>
    <row r="1810" spans="1:12">
      <c r="A1810" s="20" t="s">
        <v>810</v>
      </c>
      <c r="B1810" s="27" t="s">
        <v>714</v>
      </c>
      <c r="C1810" s="27" t="s">
        <v>782</v>
      </c>
      <c r="D1810" s="27" t="s">
        <v>716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856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829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1482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737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919</v>
      </c>
      <c r="B1815" s="27" t="s">
        <v>790</v>
      </c>
      <c r="C1815" s="27" t="s">
        <v>791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1483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1484</v>
      </c>
      <c r="B1817" s="27" t="s">
        <v>847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1383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589</v>
      </c>
      <c r="B1819" s="27" t="s">
        <v>861</v>
      </c>
      <c r="C1819" s="27" t="s">
        <v>715</v>
      </c>
      <c r="D1819" s="27" t="s">
        <v>716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720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/>
    </row>
    <row r="1822" spans="1:12">
      <c r="A1822" s="20" t="s">
        <v>1485</v>
      </c>
    </row>
    <row r="1823" spans="1:12">
      <c r="A1823" s="20" t="s">
        <v>797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1036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589</v>
      </c>
      <c r="B1825" s="27" t="s">
        <v>745</v>
      </c>
      <c r="C1825" s="27" t="s">
        <v>715</v>
      </c>
      <c r="D1825" s="27" t="s">
        <v>716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1475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1442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1396</v>
      </c>
      <c r="B1828" s="27" t="s">
        <v>731</v>
      </c>
      <c r="C1828" s="27" t="s">
        <v>782</v>
      </c>
      <c r="D1828" s="27" t="s">
        <v>716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737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589</v>
      </c>
      <c r="B1830" s="27" t="s">
        <v>714</v>
      </c>
      <c r="C1830" s="27" t="s">
        <v>715</v>
      </c>
      <c r="D1830" s="27" t="s">
        <v>716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1475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1442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1371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737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1036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823</v>
      </c>
      <c r="B1836" s="27" t="s">
        <v>745</v>
      </c>
      <c r="C1836" s="27" t="s">
        <v>715</v>
      </c>
      <c r="D1836" s="27" t="s">
        <v>716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1486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735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1487</v>
      </c>
      <c r="B1839" s="27" t="s">
        <v>731</v>
      </c>
      <c r="C1839" s="27" t="s">
        <v>1060</v>
      </c>
      <c r="D1839" s="27" t="s">
        <v>716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1471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741</v>
      </c>
      <c r="B1841" s="27" t="s">
        <v>731</v>
      </c>
      <c r="C1841" s="27" t="s">
        <v>728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1488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737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822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1064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1489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752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1490</v>
      </c>
      <c r="B1848" s="27" t="s">
        <v>867</v>
      </c>
      <c r="C1848" s="27" t="s">
        <v>799</v>
      </c>
      <c r="D1848" s="27" t="s">
        <v>716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1491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1492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1493</v>
      </c>
      <c r="B1851" s="27" t="s">
        <v>790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737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743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589</v>
      </c>
      <c r="B1854" s="27" t="s">
        <v>790</v>
      </c>
      <c r="C1854" s="27" t="s">
        <v>715</v>
      </c>
      <c r="D1854" s="27" t="s">
        <v>716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1494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718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1495</v>
      </c>
      <c r="B1857" s="27" t="s">
        <v>768</v>
      </c>
      <c r="C1857" s="27" t="s">
        <v>715</v>
      </c>
      <c r="D1857" s="27" t="s">
        <v>716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1496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1464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737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894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1422</v>
      </c>
      <c r="B1862" s="27" t="s">
        <v>768</v>
      </c>
      <c r="C1862" s="27" t="s">
        <v>782</v>
      </c>
      <c r="D1862" s="27" t="s">
        <v>716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737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820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1497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589</v>
      </c>
      <c r="B1866" s="27" t="s">
        <v>866</v>
      </c>
      <c r="C1866" s="27" t="s">
        <v>715</v>
      </c>
      <c r="D1866" s="27" t="s">
        <v>716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1475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718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1010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1498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720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/>
    </row>
    <row r="1873" spans="1:12">
      <c r="A1873" s="20" t="s">
        <v>1499</v>
      </c>
    </row>
    <row r="1874" spans="1:12">
      <c r="A1874" s="20" t="s">
        <v>1110</v>
      </c>
      <c r="B1874" s="27" t="s">
        <v>714</v>
      </c>
      <c r="C1874" s="27" t="s">
        <v>715</v>
      </c>
      <c r="D1874" s="27" t="s">
        <v>716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737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1007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737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1500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618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1501</v>
      </c>
      <c r="B1880" s="27" t="s">
        <v>731</v>
      </c>
      <c r="C1880" s="27" t="s">
        <v>799</v>
      </c>
      <c r="D1880" s="27" t="s">
        <v>716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1169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718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1006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1502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1503</v>
      </c>
      <c r="B1885" s="27" t="s">
        <v>731</v>
      </c>
      <c r="C1885" s="27" t="s">
        <v>769</v>
      </c>
      <c r="D1885" s="27" t="s">
        <v>716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737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589</v>
      </c>
      <c r="B1887" s="27" t="s">
        <v>745</v>
      </c>
      <c r="C1887" s="27" t="s">
        <v>715</v>
      </c>
      <c r="D1887" s="27" t="s">
        <v>716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939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1504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737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765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1505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1320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106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987</v>
      </c>
      <c r="B1895" s="27" t="s">
        <v>768</v>
      </c>
      <c r="C1895" s="27" t="s">
        <v>728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739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740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1506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1507</v>
      </c>
      <c r="B1899" s="27" t="s">
        <v>768</v>
      </c>
      <c r="C1899" s="27" t="s">
        <v>728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720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/>
    </row>
    <row r="1902" spans="1:12">
      <c r="A1902" s="20" t="s">
        <v>1508</v>
      </c>
    </row>
    <row r="1903" spans="1:12">
      <c r="A1903" s="20" t="s">
        <v>1406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1422</v>
      </c>
      <c r="B1904" s="27" t="s">
        <v>781</v>
      </c>
      <c r="C1904" s="27" t="s">
        <v>782</v>
      </c>
      <c r="D1904" s="27" t="s">
        <v>716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737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1253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939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589</v>
      </c>
      <c r="B1908" s="27" t="s">
        <v>745</v>
      </c>
      <c r="C1908" s="27" t="s">
        <v>715</v>
      </c>
      <c r="D1908" s="27" t="s">
        <v>716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1509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1510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1511</v>
      </c>
      <c r="B1911" s="27" t="s">
        <v>727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941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1321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1512</v>
      </c>
      <c r="B1914" s="27" t="s">
        <v>731</v>
      </c>
      <c r="C1914" s="27" t="s">
        <v>728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737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589</v>
      </c>
      <c r="B1916" s="27" t="s">
        <v>714</v>
      </c>
      <c r="C1916" s="27" t="s">
        <v>715</v>
      </c>
      <c r="D1916" s="27" t="s">
        <v>716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939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1513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753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1514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720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/>
    </row>
    <row r="1923" spans="1:12">
      <c r="A1923" s="20" t="s">
        <v>1515</v>
      </c>
    </row>
    <row r="1924" spans="1:12">
      <c r="A1924" s="20" t="s">
        <v>797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1229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832</v>
      </c>
      <c r="B1926" s="27" t="s">
        <v>714</v>
      </c>
      <c r="C1926" s="27" t="s">
        <v>782</v>
      </c>
      <c r="D1926" s="27" t="s">
        <v>716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1315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1516</v>
      </c>
      <c r="B1928" s="27" t="s">
        <v>781</v>
      </c>
      <c r="C1928" s="27" t="s">
        <v>728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1516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743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1517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1518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1519</v>
      </c>
      <c r="B1933" s="27" t="s">
        <v>731</v>
      </c>
      <c r="C1933" s="27" t="s">
        <v>728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720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/>
    </row>
    <row r="1936" spans="1:12">
      <c r="A1936" s="20" t="s">
        <v>1520</v>
      </c>
    </row>
    <row r="1937" spans="1:12">
      <c r="A1937" s="20" t="s">
        <v>1521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939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737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1040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855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1522</v>
      </c>
      <c r="B1942" s="27" t="s">
        <v>714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720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/>
    </row>
    <row r="1945" spans="1:12">
      <c r="A1945" s="20" t="s">
        <v>1523</v>
      </c>
    </row>
    <row r="1946" spans="1:12">
      <c r="A1946" s="20" t="s">
        <v>797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589</v>
      </c>
      <c r="B1947" s="27" t="s">
        <v>714</v>
      </c>
      <c r="C1947" s="27" t="s">
        <v>715</v>
      </c>
      <c r="D1947" s="27" t="s">
        <v>716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737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1024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115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737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1524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1525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1526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737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844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822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999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1460</v>
      </c>
      <c r="B1959" s="27" t="s">
        <v>731</v>
      </c>
      <c r="C1959" s="27" t="s">
        <v>715</v>
      </c>
      <c r="D1959" s="27" t="s">
        <v>716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1139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1527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1528</v>
      </c>
      <c r="B1962" s="27" t="s">
        <v>781</v>
      </c>
      <c r="C1962" s="27" t="s">
        <v>878</v>
      </c>
      <c r="D1962" s="27" t="s">
        <v>716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765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1169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737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749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1444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1253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1034</v>
      </c>
      <c r="B1969" s="27" t="s">
        <v>790</v>
      </c>
      <c r="C1969" s="27" t="s">
        <v>715</v>
      </c>
      <c r="D1969" s="27" t="s">
        <v>716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1529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805</v>
      </c>
      <c r="B1971" s="27" t="s">
        <v>768</v>
      </c>
      <c r="C1971" s="27" t="s">
        <v>782</v>
      </c>
      <c r="D1971" s="27" t="s">
        <v>716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754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737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868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589</v>
      </c>
      <c r="B1975" s="27" t="s">
        <v>866</v>
      </c>
      <c r="C1975" s="27" t="s">
        <v>715</v>
      </c>
      <c r="D1975" s="27" t="s">
        <v>716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737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1530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1531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174</v>
      </c>
      <c r="B1979" s="27" t="s">
        <v>866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720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/>
    </row>
    <row r="1982" spans="1:12">
      <c r="A1982" s="20" t="s">
        <v>1532</v>
      </c>
    </row>
    <row r="1983" spans="1:12">
      <c r="A1983" s="20" t="s">
        <v>1533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823</v>
      </c>
      <c r="B1984" s="27" t="s">
        <v>714</v>
      </c>
      <c r="C1984" s="27" t="s">
        <v>715</v>
      </c>
      <c r="D1984" s="27" t="s">
        <v>716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1534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779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1535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858</v>
      </c>
      <c r="B1988" s="27" t="s">
        <v>808</v>
      </c>
      <c r="C1988" s="27" t="s">
        <v>782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887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735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1536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732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1537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886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1042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/>
    </row>
    <row r="1997" spans="1:12">
      <c r="A1997" s="20" t="s">
        <v>1538</v>
      </c>
    </row>
    <row r="1998" spans="1:12">
      <c r="A1998" s="20" t="s">
        <v>1291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737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589</v>
      </c>
      <c r="B2000" s="27" t="s">
        <v>714</v>
      </c>
      <c r="C2000" s="27" t="s">
        <v>715</v>
      </c>
      <c r="D2000" s="27" t="s">
        <v>716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1539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737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1468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1034</v>
      </c>
      <c r="B2004" s="27" t="s">
        <v>745</v>
      </c>
      <c r="C2004" s="27" t="s">
        <v>715</v>
      </c>
      <c r="D2004" s="27" t="s">
        <v>716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1540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718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1541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1542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720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/>
    </row>
    <row r="2011" spans="1:12">
      <c r="A2011" s="20" t="s">
        <v>1543</v>
      </c>
    </row>
    <row r="2012" spans="1:12">
      <c r="A2012" s="20" t="s">
        <v>1544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1545</v>
      </c>
      <c r="B2013" s="27" t="s">
        <v>731</v>
      </c>
      <c r="C2013" s="27" t="s">
        <v>799</v>
      </c>
      <c r="D2013" s="27" t="s">
        <v>716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1546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1547</v>
      </c>
      <c r="B2015" s="27" t="s">
        <v>808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735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1466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720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/>
    </row>
    <row r="2020" spans="1:12">
      <c r="A2020" s="20" t="s">
        <v>1548</v>
      </c>
    </row>
    <row r="2021" spans="1:12">
      <c r="A2021" s="20" t="s">
        <v>797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1319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737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822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1034</v>
      </c>
      <c r="B2025" s="27" t="s">
        <v>745</v>
      </c>
      <c r="C2025" s="27" t="s">
        <v>715</v>
      </c>
      <c r="D2025" s="27" t="s">
        <v>716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1035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737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822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735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965</v>
      </c>
      <c r="B2030" s="27" t="s">
        <v>768</v>
      </c>
      <c r="C2030" s="27" t="s">
        <v>878</v>
      </c>
      <c r="D2030" s="27" t="s">
        <v>716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1243</v>
      </c>
      <c r="B2031" s="27" t="s">
        <v>867</v>
      </c>
      <c r="C2031" s="27" t="s">
        <v>715</v>
      </c>
      <c r="D2031" s="27" t="s">
        <v>716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713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1549</v>
      </c>
      <c r="B2033" s="27" t="s">
        <v>867</v>
      </c>
      <c r="C2033" s="27" t="s">
        <v>799</v>
      </c>
      <c r="D2033" s="27" t="s">
        <v>716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1550</v>
      </c>
      <c r="B2034" s="27" t="s">
        <v>790</v>
      </c>
      <c r="C2034" s="27" t="s">
        <v>728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1551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1552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743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1034</v>
      </c>
      <c r="B2038" s="27" t="s">
        <v>861</v>
      </c>
      <c r="C2038" s="27" t="s">
        <v>715</v>
      </c>
      <c r="D2038" s="27" t="s">
        <v>716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1553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1554</v>
      </c>
      <c r="B2040" s="27" t="s">
        <v>935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1555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1556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737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83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822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1034</v>
      </c>
      <c r="B2046" s="27" t="s">
        <v>866</v>
      </c>
      <c r="C2046" s="27" t="s">
        <v>715</v>
      </c>
      <c r="D2046" s="27" t="s">
        <v>716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1557</v>
      </c>
      <c r="B2047" s="27" t="s">
        <v>860</v>
      </c>
      <c r="C2047" s="27" t="s">
        <v>1558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793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1559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321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720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/>
    </row>
    <row r="2053" spans="1:12">
      <c r="A2053" s="20" t="s">
        <v>1560</v>
      </c>
    </row>
    <row r="2054" spans="1:12">
      <c r="A2054" s="20" t="s">
        <v>1561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737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1034</v>
      </c>
      <c r="B2056" s="27" t="s">
        <v>714</v>
      </c>
      <c r="C2056" s="27" t="s">
        <v>715</v>
      </c>
      <c r="D2056" s="27" t="s">
        <v>716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713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753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1562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939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1563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816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1564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1547</v>
      </c>
      <c r="B2064" s="27" t="s">
        <v>808</v>
      </c>
      <c r="C2064" s="27" t="s">
        <v>769</v>
      </c>
      <c r="D2064" s="27" t="s">
        <v>716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1042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/>
    </row>
    <row r="2067" spans="1:12">
      <c r="A2067" s="20" t="s">
        <v>1565</v>
      </c>
    </row>
    <row r="2068" spans="1:12">
      <c r="A2068" s="20" t="s">
        <v>954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1189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956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797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737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1253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939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1034</v>
      </c>
      <c r="B2075" s="27" t="s">
        <v>745</v>
      </c>
      <c r="C2075" s="27" t="s">
        <v>715</v>
      </c>
      <c r="D2075" s="27" t="s">
        <v>716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1562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1157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1566</v>
      </c>
      <c r="B2078" s="27" t="s">
        <v>727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737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1040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1530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1217</v>
      </c>
      <c r="B2082" s="27" t="s">
        <v>714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889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1438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1567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589</v>
      </c>
      <c r="B2086" s="27" t="s">
        <v>790</v>
      </c>
      <c r="C2086" s="27" t="s">
        <v>715</v>
      </c>
      <c r="D2086" s="27" t="s">
        <v>716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737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743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1568</v>
      </c>
      <c r="B2089" s="27" t="s">
        <v>727</v>
      </c>
      <c r="C2089" s="27" t="s">
        <v>715</v>
      </c>
      <c r="D2089" s="27" t="s">
        <v>716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1569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573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718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1006</v>
      </c>
      <c r="B2093" s="27" t="s">
        <v>768</v>
      </c>
      <c r="C2093" s="27" t="s">
        <v>782</v>
      </c>
      <c r="D2093" s="27" t="s">
        <v>716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737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820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846</v>
      </c>
      <c r="B2096" s="27" t="s">
        <v>1051</v>
      </c>
      <c r="C2096" s="27" t="s">
        <v>715</v>
      </c>
      <c r="D2096" s="27" t="s">
        <v>716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1570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737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743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765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964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1004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832</v>
      </c>
      <c r="B2103" s="27" t="s">
        <v>745</v>
      </c>
      <c r="C2103" s="27" t="s">
        <v>782</v>
      </c>
      <c r="D2103" s="27" t="s">
        <v>716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1571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793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83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492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737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844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822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1253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1034</v>
      </c>
      <c r="B2112" s="27" t="s">
        <v>861</v>
      </c>
      <c r="C2112" s="27" t="s">
        <v>715</v>
      </c>
      <c r="D2112" s="27" t="s">
        <v>716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1572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1011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1012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1368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737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1573</v>
      </c>
      <c r="B2118" s="27" t="s">
        <v>731</v>
      </c>
      <c r="C2118" s="27" t="s">
        <v>728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107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720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/>
    </row>
    <row r="2122" spans="1:12">
      <c r="A2122" s="20" t="s">
        <v>1574</v>
      </c>
    </row>
    <row r="2123" spans="1:12">
      <c r="A2123" s="20" t="s">
        <v>1151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1253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1011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1012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887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12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12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1573</v>
      </c>
      <c r="B2130" s="27" t="s">
        <v>790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1157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720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/>
    </row>
    <row r="2134" spans="1:12">
      <c r="A2134" s="20" t="s">
        <v>1575</v>
      </c>
    </row>
    <row r="2135" spans="1:12">
      <c r="A2135" s="20" t="s">
        <v>1533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823</v>
      </c>
      <c r="B2136" s="27" t="s">
        <v>714</v>
      </c>
      <c r="C2136" s="27" t="s">
        <v>715</v>
      </c>
      <c r="D2136" s="27" t="s">
        <v>716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1437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1576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896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1577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1374</v>
      </c>
      <c r="B2141" s="27" t="s">
        <v>808</v>
      </c>
      <c r="C2141" s="27" t="s">
        <v>769</v>
      </c>
      <c r="D2141" s="27" t="s">
        <v>716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12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12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832</v>
      </c>
      <c r="B2144" s="27" t="s">
        <v>790</v>
      </c>
      <c r="C2144" s="27" t="s">
        <v>782</v>
      </c>
      <c r="D2144" s="27" t="s">
        <v>716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1578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737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1194</v>
      </c>
      <c r="B2147" s="27" t="s">
        <v>861</v>
      </c>
      <c r="C2147" s="27" t="s">
        <v>791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1579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1165</v>
      </c>
      <c r="B2149" s="27" t="s">
        <v>935</v>
      </c>
      <c r="C2149" s="27" t="s">
        <v>715</v>
      </c>
      <c r="D2149" s="27" t="s">
        <v>716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1580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1581</v>
      </c>
      <c r="B2151" s="27" t="s">
        <v>867</v>
      </c>
      <c r="C2151" s="27" t="s">
        <v>728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889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1438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589</v>
      </c>
      <c r="B2154" s="27" t="s">
        <v>861</v>
      </c>
      <c r="C2154" s="27" t="s">
        <v>715</v>
      </c>
      <c r="D2154" s="27" t="s">
        <v>716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720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/>
    </row>
    <row r="2157" spans="1:12">
      <c r="A2157" s="20" t="s">
        <v>1582</v>
      </c>
    </row>
    <row r="2158" spans="1:12">
      <c r="A2158" s="20" t="s">
        <v>1583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737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1129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589</v>
      </c>
      <c r="B2161" s="27" t="s">
        <v>714</v>
      </c>
      <c r="C2161" s="27" t="s">
        <v>715</v>
      </c>
      <c r="D2161" s="27" t="s">
        <v>716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1584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739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1585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1129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1586</v>
      </c>
      <c r="B2166" s="27" t="s">
        <v>781</v>
      </c>
      <c r="C2166" s="27" t="s">
        <v>728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891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720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/>
    </row>
    <row r="2170" spans="1:12">
      <c r="A2170" s="20" t="s">
        <v>1587</v>
      </c>
    </row>
    <row r="2171" spans="1:12">
      <c r="A2171" s="20" t="s">
        <v>1588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784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901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904</v>
      </c>
      <c r="B2174" s="27" t="s">
        <v>714</v>
      </c>
      <c r="C2174" s="27" t="s">
        <v>728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891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737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789</v>
      </c>
      <c r="B2177" s="27" t="s">
        <v>935</v>
      </c>
      <c r="C2177" s="27" t="s">
        <v>791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823</v>
      </c>
      <c r="B2178" s="27" t="s">
        <v>790</v>
      </c>
      <c r="C2178" s="27" t="s">
        <v>715</v>
      </c>
      <c r="D2178" s="27" t="s">
        <v>716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915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1589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737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1590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1213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1591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589</v>
      </c>
      <c r="B2185" s="27" t="s">
        <v>1058</v>
      </c>
      <c r="C2185" s="27" t="s">
        <v>715</v>
      </c>
      <c r="D2185" s="27" t="s">
        <v>716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720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/>
    </row>
    <row r="2188" spans="1:12">
      <c r="A2188" s="20" t="s">
        <v>1592</v>
      </c>
    </row>
    <row r="2189" spans="1:12">
      <c r="A2189" s="20" t="s">
        <v>1593</v>
      </c>
      <c r="B2189" s="27" t="s">
        <v>714</v>
      </c>
      <c r="C2189" s="27" t="s">
        <v>715</v>
      </c>
      <c r="D2189" s="27" t="s">
        <v>716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1298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888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835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1594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1016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589</v>
      </c>
      <c r="B2195" s="27" t="s">
        <v>781</v>
      </c>
      <c r="C2195" s="27" t="s">
        <v>715</v>
      </c>
      <c r="D2195" s="27" t="s">
        <v>716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1042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/>
    </row>
    <row r="2198" spans="1:12">
      <c r="A2198" s="20" t="s">
        <v>1595</v>
      </c>
    </row>
    <row r="2199" spans="1:12">
      <c r="A2199" s="20" t="s">
        <v>797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972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888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835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1596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1597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1280</v>
      </c>
      <c r="B2205" s="27" t="s">
        <v>714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735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892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1224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 t="s">
        <v>589</v>
      </c>
      <c r="B2209" s="27" t="s">
        <v>745</v>
      </c>
      <c r="C2209" s="27" t="s">
        <v>715</v>
      </c>
      <c r="D2209" s="27" t="s">
        <v>716</v>
      </c>
      <c r="E2209" s="21">
        <f>IF(D2209="?OLD","!!!","")</f>
        <v/>
      </c>
      <c r="F2209" s="22" t="str">
        <f>IF(OR(E2209="",E2209="!!!"),"",IF(NOT(ISNA(VLOOKUP(E2209,E$1:E2208,1,FALSE()))),"OLD",IF(AND(E2209&lt;&gt;"",E2209&lt;&gt;"!!!"),"NEW","")))</f>
        <v> </v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4" t="str">
        <f>IF(J2209&lt;&gt;1,"",IF(I2209="SBJ","CB","?"))</f>
        <v> </v>
      </c>
      <c r="I2209" s="25" t="str">
        <f>IF(OR(E2209="",E2209="!!!",F2209="NEW"),"",INDEX(B2208:B$2,-1+SUMPRODUCT(MAX(ROW(E2208:E$2)*(E2209=E2208:E$2)))))</f>
        <v> </v>
      </c>
      <c r="J2209" s="25" t="str">
        <f>IF(OR(E2209="",E2209="!!!",F2209="NEW"),"",COUNTBLANK(OFFSET(A$1,,,SUMPRODUCT(MAX(ROW(E$2:E2209)*(E2209=E$2:E2209)))))-COUNTBLANK(OFFSET(A$1,,,SUMPRODUCT(MAX(ROW(E$1:E2208)*(E2=E$1:E2208))))))</f>
        <v> </v>
      </c>
      <c r="K2209" s="25" t="str">
        <f>IF(OR(E2209="",E2209="!!!",F2209="NEW"),"",INDEX(J$1:J2208,SUMPRODUCT(MAX(ROW(E$1:E2208)*(E2209=E$1:E2208)))))</f>
        <v> </v>
      </c>
      <c r="L2209" s="26"/>
    </row>
    <row r="2210" spans="1:12">
      <c r="A2210" s="20" t="s">
        <v>1042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/>
    </row>
    <row r="2212" spans="1:12">
      <c r="A2212" s="20" t="s">
        <v>1598</v>
      </c>
    </row>
    <row r="2213" spans="1:12">
      <c r="A2213" s="20" t="s">
        <v>797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713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832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1599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719</v>
      </c>
      <c r="B2217" s="27" t="s">
        <v>714</v>
      </c>
      <c r="C2217" s="27" t="s">
        <v>769</v>
      </c>
      <c r="D2217" s="27" t="s">
        <v>716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765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1280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840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974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1600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1601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720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/>
    </row>
    <row r="2226" spans="1:12">
      <c r="A2226" s="20" t="s">
        <v>1602</v>
      </c>
    </row>
    <row r="2227" spans="1:12">
      <c r="A2227" s="20" t="s">
        <v>1603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1604</v>
      </c>
      <c r="B2228" s="27" t="s">
        <v>714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737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789</v>
      </c>
      <c r="B2230" s="27" t="s">
        <v>935</v>
      </c>
      <c r="C2230" s="27" t="s">
        <v>791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227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1605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1042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/>
    </row>
    <row r="2235" spans="1:12">
      <c r="A2235" s="20" t="s">
        <v>1606</v>
      </c>
    </row>
    <row r="2236" spans="1:12">
      <c r="A2236" s="20" t="s">
        <v>797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737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1607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737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1229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823</v>
      </c>
      <c r="B2241" s="27" t="s">
        <v>714</v>
      </c>
      <c r="C2241" s="27" t="s">
        <v>715</v>
      </c>
      <c r="D2241" s="27" t="s">
        <v>716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735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1608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974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1609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934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1610</v>
      </c>
      <c r="B2247" s="27" t="s">
        <v>727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891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1224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589</v>
      </c>
      <c r="B2250" s="27" t="s">
        <v>1058</v>
      </c>
      <c r="C2250" s="27" t="s">
        <v>715</v>
      </c>
      <c r="D2250" s="27" t="s">
        <v>716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1339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1368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720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/>
    </row>
    <row r="2255" spans="1:12">
      <c r="A2255" s="20" t="s">
        <v>1611</v>
      </c>
    </row>
    <row r="2256" spans="1:12">
      <c r="A2256" s="20" t="s">
        <v>1612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1034</v>
      </c>
      <c r="B2257" s="27" t="s">
        <v>745</v>
      </c>
      <c r="C2257" s="27" t="s">
        <v>715</v>
      </c>
      <c r="D2257" s="27" t="s">
        <v>716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1298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1613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719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1383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589</v>
      </c>
      <c r="B2262" s="27" t="s">
        <v>731</v>
      </c>
      <c r="C2262" s="27" t="s">
        <v>715</v>
      </c>
      <c r="D2262" s="27" t="s">
        <v>716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737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832</v>
      </c>
      <c r="B2264" s="27" t="s">
        <v>714</v>
      </c>
      <c r="C2264" s="27" t="s">
        <v>782</v>
      </c>
      <c r="D2264" s="27" t="s">
        <v>716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455</v>
      </c>
      <c r="B2265" s="27" t="s">
        <v>781</v>
      </c>
      <c r="C2265" s="27" t="s">
        <v>782</v>
      </c>
      <c r="D2265" s="27" t="s">
        <v>716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1064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1614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720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/>
    </row>
    <row r="2270" spans="1:12">
      <c r="A2270" s="20" t="s">
        <v>1615</v>
      </c>
    </row>
    <row r="2271" spans="1:12">
      <c r="A2271" s="20" t="s">
        <v>810</v>
      </c>
      <c r="B2271" s="27" t="s">
        <v>714</v>
      </c>
      <c r="C2271" s="27" t="s">
        <v>782</v>
      </c>
      <c r="D2271" s="27" t="s">
        <v>716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793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372</v>
      </c>
      <c r="B2273" s="27" t="s">
        <v>781</v>
      </c>
      <c r="C2273" s="27" t="s">
        <v>782</v>
      </c>
      <c r="D2273" s="27" t="s">
        <v>716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737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835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1594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1616</v>
      </c>
      <c r="B2277" s="27" t="s">
        <v>745</v>
      </c>
      <c r="C2277" s="27" t="s">
        <v>791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1018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720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/>
    </row>
    <row r="2281" spans="1:12">
      <c r="A2281" s="20" t="s">
        <v>1617</v>
      </c>
    </row>
    <row r="2282" spans="1:12">
      <c r="A2282" s="20" t="s">
        <v>810</v>
      </c>
      <c r="B2282" s="27" t="s">
        <v>714</v>
      </c>
      <c r="C2282" s="27" t="s">
        <v>782</v>
      </c>
      <c r="D2282" s="27" t="s">
        <v>716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718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1006</v>
      </c>
      <c r="B2284" s="27" t="s">
        <v>781</v>
      </c>
      <c r="C2284" s="27" t="s">
        <v>782</v>
      </c>
      <c r="D2284" s="27" t="s">
        <v>716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737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835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1618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896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1619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1620</v>
      </c>
      <c r="B2290" s="27" t="s">
        <v>745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737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1036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744</v>
      </c>
      <c r="B2293" s="27" t="s">
        <v>861</v>
      </c>
      <c r="C2293" s="27" t="s">
        <v>715</v>
      </c>
      <c r="D2293" s="27" t="s">
        <v>716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1621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718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895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892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720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/>
    </row>
    <row r="2300" spans="1:12">
      <c r="A2300" s="20" t="s">
        <v>1622</v>
      </c>
    </row>
    <row r="2301" spans="1:12">
      <c r="A2301" s="20" t="s">
        <v>1623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903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1586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720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/>
    </row>
    <row r="2306" spans="1:12">
      <c r="A2306" s="20" t="s">
        <v>1624</v>
      </c>
    </row>
    <row r="2307" spans="1:12">
      <c r="A2307" s="20" t="s">
        <v>1625</v>
      </c>
      <c r="B2307" s="27" t="s">
        <v>714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737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1017</v>
      </c>
      <c r="B2309" s="27" t="s">
        <v>790</v>
      </c>
      <c r="C2309" s="27" t="s">
        <v>791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793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1626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889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1067</v>
      </c>
      <c r="B2313" s="27" t="s">
        <v>768</v>
      </c>
      <c r="C2313" s="27" t="s">
        <v>715</v>
      </c>
      <c r="D2313" s="27" t="s">
        <v>716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1627</v>
      </c>
      <c r="B2314" s="27" t="s">
        <v>847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737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1628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1629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735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1630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891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737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743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589</v>
      </c>
      <c r="B2323" s="27" t="s">
        <v>781</v>
      </c>
      <c r="C2323" s="27" t="s">
        <v>715</v>
      </c>
      <c r="D2323" s="27" t="s">
        <v>716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1631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829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1632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1633</v>
      </c>
      <c r="B2327" s="27" t="s">
        <v>731</v>
      </c>
      <c r="C2327" s="27" t="s">
        <v>769</v>
      </c>
      <c r="D2327" s="27" t="s">
        <v>716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 t="s">
        <v>1634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737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789</v>
      </c>
      <c r="B2330" s="27" t="s">
        <v>861</v>
      </c>
      <c r="C2330" s="27" t="s">
        <v>791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974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1635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1636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735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1637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891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1427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841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1336</v>
      </c>
      <c r="B2339" s="27" t="s">
        <v>867</v>
      </c>
      <c r="C2339" s="27" t="s">
        <v>782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720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/>
    </row>
    <row r="2342" spans="1:12">
      <c r="A2342" s="20" t="s">
        <v>1638</v>
      </c>
    </row>
    <row r="2343" spans="1:12">
      <c r="A2343" s="20" t="s">
        <v>1639</v>
      </c>
      <c r="B2343" s="27" t="s">
        <v>714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889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1640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1224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589</v>
      </c>
      <c r="B2347" s="27" t="s">
        <v>714</v>
      </c>
      <c r="C2347" s="27" t="s">
        <v>715</v>
      </c>
      <c r="D2347" s="27" t="s">
        <v>716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743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1641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1383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589</v>
      </c>
      <c r="B2351" s="27" t="s">
        <v>714</v>
      </c>
      <c r="C2351" s="27" t="s">
        <v>715</v>
      </c>
      <c r="D2351" s="27" t="s">
        <v>716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752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1642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793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83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1643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737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743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1644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1645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1646</v>
      </c>
      <c r="B2361" s="27" t="s">
        <v>790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1605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1647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1648</v>
      </c>
      <c r="B2364" s="27" t="s">
        <v>860</v>
      </c>
      <c r="C2364" s="27" t="s">
        <v>728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848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1649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737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1650</v>
      </c>
      <c r="B2368" s="27" t="s">
        <v>867</v>
      </c>
      <c r="C2368" s="27" t="s">
        <v>1060</v>
      </c>
      <c r="D2368" s="27" t="s">
        <v>716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1651</v>
      </c>
      <c r="B2369" s="27" t="s">
        <v>860</v>
      </c>
      <c r="C2369" s="27" t="s">
        <v>1060</v>
      </c>
      <c r="D2369" s="27" t="s">
        <v>716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1652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1653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1654</v>
      </c>
      <c r="B2372" s="27" t="s">
        <v>847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737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735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 t="s">
        <v>1655</v>
      </c>
      <c r="B2375" s="27" t="s">
        <v>860</v>
      </c>
      <c r="C2375" s="27" t="s">
        <v>791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 t="s">
        <v>1656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 t="s">
        <v>945</v>
      </c>
      <c r="B2377" s="27" t="s">
        <v>1051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1657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1658</v>
      </c>
      <c r="B2379" s="27" t="s">
        <v>925</v>
      </c>
      <c r="C2379" s="27" t="s">
        <v>728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1620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743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1659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765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1660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737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822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906</v>
      </c>
      <c r="B2387" s="27" t="s">
        <v>920</v>
      </c>
      <c r="C2387" s="27" t="s">
        <v>715</v>
      </c>
      <c r="D2387" s="27" t="s">
        <v>716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1661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 t="s">
        <v>718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 t="s">
        <v>895</v>
      </c>
      <c r="E2390" s="21">
        <f>IF(D2390="?OLD","!!!","")</f>
        <v/>
      </c>
      <c r="F2390" s="22" t="str">
        <f>IF(OR(E2390="",E2390="!!!"),"",IF(NOT(ISNA(VLOOKUP(E2390,E$1:E2389,1,FALSE()))),"OLD",IF(AND(E2390&lt;&gt;"",E2390&lt;&gt;"!!!"),"NEW","")))</f>
        <v> </v>
      </c>
      <c r="G2390" s="23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4" t="str">
        <f>IF(J2390&lt;&gt;1,"",IF(I2390="SBJ","CB","?"))</f>
        <v> </v>
      </c>
      <c r="I2390" s="25" t="str">
        <f>IF(OR(E2390="",E2390="!!!",F2390="NEW"),"",INDEX(B2389:B$2,-1+SUMPRODUCT(MAX(ROW(E2389:E$2)*(E2390=E2389:E$2)))))</f>
        <v> </v>
      </c>
      <c r="J2390" s="25" t="str">
        <f>IF(OR(E2390="",E2390="!!!",F2390="NEW"),"",COUNTBLANK(OFFSET(A$1,,,SUMPRODUCT(MAX(ROW(E$2:E2390)*(E2390=E$2:E2390)))))-COUNTBLANK(OFFSET(A$1,,,SUMPRODUCT(MAX(ROW(E$1:E2389)*(E2=E$1:E2389))))))</f>
        <v> </v>
      </c>
      <c r="K2390" s="25" t="str">
        <f>IF(OR(E2390="",E2390="!!!",F2390="NEW"),"",INDEX(J$1:J2389,SUMPRODUCT(MAX(ROW(E$1:E2389)*(E2390=E$1:E2389)))))</f>
        <v> </v>
      </c>
      <c r="L2390" s="26"/>
    </row>
    <row r="2391" spans="1:12">
      <c r="A2391" s="20" t="s">
        <v>892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743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814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1264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720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/>
    </row>
    <row r="2397" spans="1:12">
      <c r="A2397" s="20" t="s">
        <v>1662</v>
      </c>
    </row>
    <row r="2398" spans="1:12">
      <c r="A2398" s="20" t="s">
        <v>1663</v>
      </c>
      <c r="E2398" s="21">
        <f>IF(D2398="?OLD","!!!","")</f>
        <v/>
      </c>
      <c r="F2398" s="22" t="str">
        <f>IF(OR(E2398="",E2398="!!!"),"",IF(NOT(ISNA(VLOOKUP(E2398,E$1:E2397,1,FALSE()))),"OLD",IF(AND(E2398&lt;&gt;"",E2398&lt;&gt;"!!!"),"NEW","")))</f>
        <v> </v>
      </c>
      <c r="G2398" s="23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4" t="str">
        <f>IF(J2398&lt;&gt;1,"",IF(I2398="SBJ","CB","?"))</f>
        <v> </v>
      </c>
      <c r="I2398" s="25" t="str">
        <f>IF(OR(E2398="",E2398="!!!",F2398="NEW"),"",INDEX(B2397:B$2,-1+SUMPRODUCT(MAX(ROW(E2397:E$2)*(E2398=E2397:E$2)))))</f>
        <v> </v>
      </c>
      <c r="J2398" s="25" t="str">
        <f>IF(OR(E2398="",E2398="!!!",F2398="NEW"),"",COUNTBLANK(OFFSET(A$1,,,SUMPRODUCT(MAX(ROW(E$2:E2398)*(E2398=E$2:E2398)))))-COUNTBLANK(OFFSET(A$1,,,SUMPRODUCT(MAX(ROW(E$1:E2397)*(E2=E$1:E2397))))))</f>
        <v> </v>
      </c>
      <c r="K2398" s="25" t="str">
        <f>IF(OR(E2398="",E2398="!!!",F2398="NEW"),"",INDEX(J$1:J2397,SUMPRODUCT(MAX(ROW(E$1:E2397)*(E2398=E$1:E2397)))))</f>
        <v> </v>
      </c>
      <c r="L2398" s="26"/>
    </row>
    <row r="2399" spans="1:12">
      <c r="A2399" s="20" t="s">
        <v>1003</v>
      </c>
      <c r="B2399" s="27" t="s">
        <v>781</v>
      </c>
      <c r="C2399" s="27" t="s">
        <v>782</v>
      </c>
      <c r="D2399" s="27" t="s">
        <v>716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 t="s">
        <v>1645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743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1664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1646</v>
      </c>
      <c r="B2403" s="27" t="s">
        <v>714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720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/>
    </row>
    <row r="2406" spans="1:12">
      <c r="A2406" s="20" t="s">
        <v>1665</v>
      </c>
    </row>
    <row r="2407" spans="1:12">
      <c r="A2407" s="20" t="s">
        <v>1666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737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 t="s">
        <v>735</v>
      </c>
      <c r="E2409" s="21">
        <f>IF(D2409="?OLD","!!!","")</f>
        <v/>
      </c>
      <c r="F2409" s="22" t="str">
        <f>IF(OR(E2409="",E2409="!!!"),"",IF(NOT(ISNA(VLOOKUP(E2409,E$1:E2408,1,FALSE()))),"OLD",IF(AND(E2409&lt;&gt;"",E2409&lt;&gt;"!!!"),"NEW","")))</f>
        <v> </v>
      </c>
      <c r="G2409" s="23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4" t="str">
        <f>IF(J2409&lt;&gt;1,"",IF(I2409="SBJ","CB","?"))</f>
        <v> </v>
      </c>
      <c r="I2409" s="25" t="str">
        <f>IF(OR(E2409="",E2409="!!!",F2409="NEW"),"",INDEX(B2408:B$2,-1+SUMPRODUCT(MAX(ROW(E2408:E$2)*(E2409=E2408:E$2)))))</f>
        <v> </v>
      </c>
      <c r="J2409" s="25" t="str">
        <f>IF(OR(E2409="",E2409="!!!",F2409="NEW"),"",COUNTBLANK(OFFSET(A$1,,,SUMPRODUCT(MAX(ROW(E$2:E2409)*(E2409=E$2:E2409)))))-COUNTBLANK(OFFSET(A$1,,,SUMPRODUCT(MAX(ROW(E$1:E2408)*(E2=E$1:E2408))))))</f>
        <v> </v>
      </c>
      <c r="K2409" s="25" t="str">
        <f>IF(OR(E2409="",E2409="!!!",F2409="NEW"),"",INDEX(J$1:J2408,SUMPRODUCT(MAX(ROW(E$1:E2408)*(E2409=E$1:E2408)))))</f>
        <v> </v>
      </c>
      <c r="L2409" s="26"/>
    </row>
    <row r="2410" spans="1:12">
      <c r="A2410" s="20" t="s">
        <v>1053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1054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823</v>
      </c>
      <c r="B2412" s="27" t="s">
        <v>714</v>
      </c>
      <c r="C2412" s="27" t="s">
        <v>715</v>
      </c>
      <c r="D2412" s="27" t="s">
        <v>716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1667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1668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719</v>
      </c>
      <c r="B2415" s="27" t="s">
        <v>727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1011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1012</v>
      </c>
      <c r="B2417" s="27" t="s">
        <v>731</v>
      </c>
      <c r="C2417" s="27" t="s">
        <v>728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1013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 t="s">
        <v>589</v>
      </c>
      <c r="B2419" s="27" t="s">
        <v>714</v>
      </c>
      <c r="C2419" s="27" t="s">
        <v>715</v>
      </c>
      <c r="D2419" s="27" t="s">
        <v>716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 t="s">
        <v>720</v>
      </c>
      <c r="E2420" s="21">
        <f>IF(D2420="?OLD","!!!","")</f>
        <v/>
      </c>
      <c r="F2420" s="22" t="str">
        <f>IF(OR(E2420="",E2420="!!!"),"",IF(NOT(ISNA(VLOOKUP(E2420,E$1:E2419,1,FALSE()))),"OLD",IF(AND(E2420&lt;&gt;"",E2420&lt;&gt;"!!!"),"NEW","")))</f>
        <v> </v>
      </c>
      <c r="G2420" s="23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4" t="str">
        <f>IF(J2420&lt;&gt;1,"",IF(I2420="SBJ","CB","?"))</f>
        <v> </v>
      </c>
      <c r="I2420" s="25" t="str">
        <f>IF(OR(E2420="",E2420="!!!",F2420="NEW"),"",INDEX(B2419:B$2,-1+SUMPRODUCT(MAX(ROW(E2419:E$2)*(E2420=E2419:E$2)))))</f>
        <v> </v>
      </c>
      <c r="J2420" s="25" t="str">
        <f>IF(OR(E2420="",E2420="!!!",F2420="NEW"),"",COUNTBLANK(OFFSET(A$1,,,SUMPRODUCT(MAX(ROW(E$2:E2420)*(E2420=E$2:E2420)))))-COUNTBLANK(OFFSET(A$1,,,SUMPRODUCT(MAX(ROW(E$1:E2419)*(E2=E$1:E2419))))))</f>
        <v> </v>
      </c>
      <c r="K2420" s="25" t="str">
        <f>IF(OR(E2420="",E2420="!!!",F2420="NEW"),"",INDEX(J$1:J2419,SUMPRODUCT(MAX(ROW(E$1:E2419)*(E2420=E$1:E2419)))))</f>
        <v> </v>
      </c>
      <c r="L2420" s="26"/>
    </row>
    <row r="2421" spans="1:12">
      <c r="A2421" s="20"/>
    </row>
    <row r="2422" spans="1:12">
      <c r="A2422" s="20" t="s">
        <v>1669</v>
      </c>
    </row>
    <row r="2423" spans="1:12">
      <c r="A2423" s="20" t="s">
        <v>797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1670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 t="s">
        <v>1671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 t="s">
        <v>737</v>
      </c>
      <c r="E2426" s="21">
        <f>IF(D2426="?OLD","!!!","")</f>
        <v/>
      </c>
      <c r="F2426" s="22" t="str">
        <f>IF(OR(E2426="",E2426="!!!"),"",IF(NOT(ISNA(VLOOKUP(E2426,E$1:E2425,1,FALSE()))),"OLD",IF(AND(E2426&lt;&gt;"",E2426&lt;&gt;"!!!"),"NEW","")))</f>
        <v> </v>
      </c>
      <c r="G2426" s="23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4" t="str">
        <f>IF(J2426&lt;&gt;1,"",IF(I2426="SBJ","CB","?"))</f>
        <v> </v>
      </c>
      <c r="I2426" s="25" t="str">
        <f>IF(OR(E2426="",E2426="!!!",F2426="NEW"),"",INDEX(B2425:B$2,-1+SUMPRODUCT(MAX(ROW(E2425:E$2)*(E2426=E2425:E$2)))))</f>
        <v> </v>
      </c>
      <c r="J2426" s="25" t="str">
        <f>IF(OR(E2426="",E2426="!!!",F2426="NEW"),"",COUNTBLANK(OFFSET(A$1,,,SUMPRODUCT(MAX(ROW(E$2:E2426)*(E2426=E$2:E2426)))))-COUNTBLANK(OFFSET(A$1,,,SUMPRODUCT(MAX(ROW(E$1:E2425)*(E2=E$1:E2425))))))</f>
        <v> </v>
      </c>
      <c r="K2426" s="25" t="str">
        <f>IF(OR(E2426="",E2426="!!!",F2426="NEW"),"",INDEX(J$1:J2425,SUMPRODUCT(MAX(ROW(E$1:E2425)*(E2426=E$1:E2425)))))</f>
        <v> </v>
      </c>
      <c r="L2426" s="26"/>
    </row>
    <row r="2427" spans="1:12">
      <c r="A2427" s="20" t="s">
        <v>589</v>
      </c>
      <c r="B2427" s="27" t="s">
        <v>714</v>
      </c>
      <c r="C2427" s="27" t="s">
        <v>715</v>
      </c>
      <c r="D2427" s="27" t="s">
        <v>716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1475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737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943</v>
      </c>
      <c r="B2430" s="27" t="s">
        <v>727</v>
      </c>
      <c r="C2430" s="27" t="s">
        <v>791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 t="s">
        <v>823</v>
      </c>
      <c r="B2431" s="27" t="s">
        <v>745</v>
      </c>
      <c r="C2431" s="27" t="s">
        <v>715</v>
      </c>
      <c r="D2431" s="27" t="s">
        <v>716</v>
      </c>
      <c r="E2431" s="21">
        <f>IF(D2431="?OLD","!!!","")</f>
        <v/>
      </c>
      <c r="F2431" s="22" t="str">
        <f>IF(OR(E2431="",E2431="!!!"),"",IF(NOT(ISNA(VLOOKUP(E2431,E$1:E2430,1,FALSE()))),"OLD",IF(AND(E2431&lt;&gt;"",E2431&lt;&gt;"!!!"),"NEW","")))</f>
        <v> </v>
      </c>
      <c r="G2431" s="23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4" t="str">
        <f>IF(J2431&lt;&gt;1,"",IF(I2431="SBJ","CB","?"))</f>
        <v> </v>
      </c>
      <c r="I2431" s="25" t="str">
        <f>IF(OR(E2431="",E2431="!!!",F2431="NEW"),"",INDEX(B2430:B$2,-1+SUMPRODUCT(MAX(ROW(E2430:E$2)*(E2431=E2430:E$2)))))</f>
        <v> </v>
      </c>
      <c r="J2431" s="25" t="str">
        <f>IF(OR(E2431="",E2431="!!!",F2431="NEW"),"",COUNTBLANK(OFFSET(A$1,,,SUMPRODUCT(MAX(ROW(E$2:E2431)*(E2431=E$2:E2431)))))-COUNTBLANK(OFFSET(A$1,,,SUMPRODUCT(MAX(ROW(E$1:E2430)*(E2=E$1:E2430))))))</f>
        <v> </v>
      </c>
      <c r="K2431" s="25" t="str">
        <f>IF(OR(E2431="",E2431="!!!",F2431="NEW"),"",INDEX(J$1:J2430,SUMPRODUCT(MAX(ROW(E$1:E2430)*(E2431=E$1:E2430)))))</f>
        <v> </v>
      </c>
      <c r="L2431" s="26"/>
    </row>
    <row r="2432" spans="1:12">
      <c r="A2432" s="20" t="s">
        <v>1672</v>
      </c>
      <c r="E2432" s="21">
        <f>IF(D2432="?OLD","!!!","")</f>
        <v/>
      </c>
      <c r="F2432" s="22" t="str">
        <f>IF(OR(E2432="",E2432="!!!"),"",IF(NOT(ISNA(VLOOKUP(E2432,E$1:E2431,1,FALSE()))),"OLD",IF(AND(E2432&lt;&gt;"",E2432&lt;&gt;"!!!"),"NEW","")))</f>
        <v> </v>
      </c>
      <c r="G2432" s="23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4" t="str">
        <f>IF(J2432&lt;&gt;1,"",IF(I2432="SBJ","CB","?"))</f>
        <v> </v>
      </c>
      <c r="I2432" s="25" t="str">
        <f>IF(OR(E2432="",E2432="!!!",F2432="NEW"),"",INDEX(B2431:B$2,-1+SUMPRODUCT(MAX(ROW(E2431:E$2)*(E2432=E2431:E$2)))))</f>
        <v> </v>
      </c>
      <c r="J2432" s="25" t="str">
        <f>IF(OR(E2432="",E2432="!!!",F2432="NEW"),"",COUNTBLANK(OFFSET(A$1,,,SUMPRODUCT(MAX(ROW(E$2:E2432)*(E2432=E$2:E2432)))))-COUNTBLANK(OFFSET(A$1,,,SUMPRODUCT(MAX(ROW(E$1:E2431)*(E2=E$1:E2431))))))</f>
        <v> </v>
      </c>
      <c r="K2432" s="25" t="str">
        <f>IF(OR(E2432="",E2432="!!!",F2432="NEW"),"",INDEX(J$1:J2431,SUMPRODUCT(MAX(ROW(E$1:E2431)*(E2432=E$1:E2431)))))</f>
        <v> </v>
      </c>
      <c r="L2432" s="26"/>
    </row>
    <row r="2433" spans="1:12">
      <c r="A2433" s="20" t="s">
        <v>737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832</v>
      </c>
      <c r="B2434" s="27" t="s">
        <v>745</v>
      </c>
      <c r="C2434" s="27" t="s">
        <v>782</v>
      </c>
      <c r="D2434" s="27" t="s">
        <v>716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372</v>
      </c>
      <c r="B2435" s="27" t="s">
        <v>781</v>
      </c>
      <c r="C2435" s="27" t="s">
        <v>782</v>
      </c>
      <c r="D2435" s="27" t="s">
        <v>716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737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 t="s">
        <v>822</v>
      </c>
      <c r="E2437" s="21">
        <f>IF(D2437="?OLD","!!!","")</f>
        <v/>
      </c>
      <c r="F2437" s="22" t="str">
        <f>IF(OR(E2437="",E2437="!!!"),"",IF(NOT(ISNA(VLOOKUP(E2437,E$1:E2436,1,FALSE()))),"OLD",IF(AND(E2437&lt;&gt;"",E2437&lt;&gt;"!!!"),"NEW","")))</f>
        <v> </v>
      </c>
      <c r="G2437" s="23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4" t="str">
        <f>IF(J2437&lt;&gt;1,"",IF(I2437="SBJ","CB","?"))</f>
        <v> </v>
      </c>
      <c r="I2437" s="25" t="str">
        <f>IF(OR(E2437="",E2437="!!!",F2437="NEW"),"",INDEX(B2436:B$2,-1+SUMPRODUCT(MAX(ROW(E2436:E$2)*(E2437=E2436:E$2)))))</f>
        <v> </v>
      </c>
      <c r="J2437" s="25" t="str">
        <f>IF(OR(E2437="",E2437="!!!",F2437="NEW"),"",COUNTBLANK(OFFSET(A$1,,,SUMPRODUCT(MAX(ROW(E$2:E2437)*(E2437=E$2:E2437)))))-COUNTBLANK(OFFSET(A$1,,,SUMPRODUCT(MAX(ROW(E$1:E2436)*(E2=E$1:E2436))))))</f>
        <v> </v>
      </c>
      <c r="K2437" s="25" t="str">
        <f>IF(OR(E2437="",E2437="!!!",F2437="NEW"),"",INDEX(J$1:J2436,SUMPRODUCT(MAX(ROW(E$1:E2436)*(E2437=E$1:E2436)))))</f>
        <v> </v>
      </c>
      <c r="L2437" s="26"/>
    </row>
    <row r="2438" spans="1:12">
      <c r="A2438" s="20" t="s">
        <v>906</v>
      </c>
      <c r="B2438" s="27" t="s">
        <v>790</v>
      </c>
      <c r="C2438" s="27" t="s">
        <v>715</v>
      </c>
      <c r="D2438" s="27" t="s">
        <v>716</v>
      </c>
      <c r="E2438" s="21">
        <f>IF(D2438="?OLD","!!!","")</f>
        <v/>
      </c>
      <c r="F2438" s="22" t="str">
        <f>IF(OR(E2438="",E2438="!!!"),"",IF(NOT(ISNA(VLOOKUP(E2438,E$1:E2437,1,FALSE()))),"OLD",IF(AND(E2438&lt;&gt;"",E2438&lt;&gt;"!!!"),"NEW","")))</f>
        <v> </v>
      </c>
      <c r="G2438" s="23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4" t="str">
        <f>IF(J2438&lt;&gt;1,"",IF(I2438="SBJ","CB","?"))</f>
        <v> </v>
      </c>
      <c r="I2438" s="25" t="str">
        <f>IF(OR(E2438="",E2438="!!!",F2438="NEW"),"",INDEX(B2437:B$2,-1+SUMPRODUCT(MAX(ROW(E2437:E$2)*(E2438=E2437:E$2)))))</f>
        <v> </v>
      </c>
      <c r="J2438" s="25" t="str">
        <f>IF(OR(E2438="",E2438="!!!",F2438="NEW"),"",COUNTBLANK(OFFSET(A$1,,,SUMPRODUCT(MAX(ROW(E$2:E2438)*(E2438=E$2:E2438)))))-COUNTBLANK(OFFSET(A$1,,,SUMPRODUCT(MAX(ROW(E$1:E2437)*(E2=E$1:E2437))))))</f>
        <v> </v>
      </c>
      <c r="K2438" s="25" t="str">
        <f>IF(OR(E2438="",E2438="!!!",F2438="NEW"),"",INDEX(J$1:J2437,SUMPRODUCT(MAX(ROW(E$1:E2437)*(E2438=E$1:E2437)))))</f>
        <v> </v>
      </c>
      <c r="L2438" s="26"/>
    </row>
    <row r="2439" spans="1:12">
      <c r="A2439" s="20" t="s">
        <v>1355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1139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 t="s">
        <v>1357</v>
      </c>
      <c r="E2441" s="21">
        <f>IF(D2441="?OLD","!!!","")</f>
        <v/>
      </c>
      <c r="F2441" s="22" t="str">
        <f>IF(OR(E2441="",E2441="!!!"),"",IF(NOT(ISNA(VLOOKUP(E2441,E$1:E2440,1,FALSE()))),"OLD",IF(AND(E2441&lt;&gt;"",E2441&lt;&gt;"!!!"),"NEW","")))</f>
        <v> </v>
      </c>
      <c r="G2441" s="23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4" t="str">
        <f>IF(J2441&lt;&gt;1,"",IF(I2441="SBJ","CB","?"))</f>
        <v> </v>
      </c>
      <c r="I2441" s="25" t="str">
        <f>IF(OR(E2441="",E2441="!!!",F2441="NEW"),"",INDEX(B2440:B$2,-1+SUMPRODUCT(MAX(ROW(E2440:E$2)*(E2441=E2440:E$2)))))</f>
        <v> </v>
      </c>
      <c r="J2441" s="25" t="str">
        <f>IF(OR(E2441="",E2441="!!!",F2441="NEW"),"",COUNTBLANK(OFFSET(A$1,,,SUMPRODUCT(MAX(ROW(E$2:E2441)*(E2441=E$2:E2441)))))-COUNTBLANK(OFFSET(A$1,,,SUMPRODUCT(MAX(ROW(E$1:E2440)*(E2=E$1:E2440))))))</f>
        <v> </v>
      </c>
      <c r="K2441" s="25" t="str">
        <f>IF(OR(E2441="",E2441="!!!",F2441="NEW"),"",INDEX(J$1:J2440,SUMPRODUCT(MAX(ROW(E$1:E2440)*(E2441=E$1:E2440)))))</f>
        <v> </v>
      </c>
      <c r="L2441" s="26"/>
    </row>
    <row r="2442" spans="1:12">
      <c r="A2442" s="20" t="s">
        <v>1358</v>
      </c>
      <c r="E2442" s="21">
        <f>IF(D2442="?OLD","!!!","")</f>
        <v/>
      </c>
      <c r="F2442" s="22" t="str">
        <f>IF(OR(E2442="",E2442="!!!"),"",IF(NOT(ISNA(VLOOKUP(E2442,E$1:E2441,1,FALSE()))),"OLD",IF(AND(E2442&lt;&gt;"",E2442&lt;&gt;"!!!"),"NEW","")))</f>
        <v> </v>
      </c>
      <c r="G2442" s="23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4" t="str">
        <f>IF(J2442&lt;&gt;1,"",IF(I2442="SBJ","CB","?"))</f>
        <v> </v>
      </c>
      <c r="I2442" s="25" t="str">
        <f>IF(OR(E2442="",E2442="!!!",F2442="NEW"),"",INDEX(B2441:B$2,-1+SUMPRODUCT(MAX(ROW(E2441:E$2)*(E2442=E2441:E$2)))))</f>
        <v> </v>
      </c>
      <c r="J2442" s="25" t="str">
        <f>IF(OR(E2442="",E2442="!!!",F2442="NEW"),"",COUNTBLANK(OFFSET(A$1,,,SUMPRODUCT(MAX(ROW(E$2:E2442)*(E2442=E$2:E2442)))))-COUNTBLANK(OFFSET(A$1,,,SUMPRODUCT(MAX(ROW(E$1:E2441)*(E2=E$1:E2441))))))</f>
        <v> </v>
      </c>
      <c r="K2442" s="25" t="str">
        <f>IF(OR(E2442="",E2442="!!!",F2442="NEW"),"",INDEX(J$1:J2441,SUMPRODUCT(MAX(ROW(E$1:E2441)*(E2442=E$1:E2441)))))</f>
        <v> </v>
      </c>
      <c r="L2442" s="26"/>
    </row>
    <row r="2443" spans="1:12">
      <c r="A2443" s="20" t="s">
        <v>1359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1360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720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/>
    </row>
    <row r="2447" spans="1:12">
      <c r="A2447" s="20" t="s">
        <v>1673</v>
      </c>
    </row>
    <row r="2448" spans="1:12">
      <c r="A2448" s="20" t="s">
        <v>1593</v>
      </c>
      <c r="B2448" s="27" t="s">
        <v>714</v>
      </c>
      <c r="C2448" s="27" t="s">
        <v>715</v>
      </c>
      <c r="D2448" s="27" t="s">
        <v>716</v>
      </c>
      <c r="E2448" s="21">
        <f>IF(D2448="?OLD","!!!","")</f>
        <v/>
      </c>
      <c r="F2448" s="22" t="str">
        <f>IF(OR(E2448="",E2448="!!!"),"",IF(NOT(ISNA(VLOOKUP(E2448,E$1:E2447,1,FALSE()))),"OLD",IF(AND(E2448&lt;&gt;"",E2448&lt;&gt;"!!!"),"NEW","")))</f>
        <v> </v>
      </c>
      <c r="G2448" s="23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4" t="str">
        <f>IF(J2448&lt;&gt;1,"",IF(I2448="SBJ","CB","?"))</f>
        <v> </v>
      </c>
      <c r="I2448" s="25" t="str">
        <f>IF(OR(E2448="",E2448="!!!",F2448="NEW"),"",INDEX(B2447:B$2,-1+SUMPRODUCT(MAX(ROW(E2447:E$2)*(E2448=E2447:E$2)))))</f>
        <v> </v>
      </c>
      <c r="J2448" s="25" t="str">
        <f>IF(OR(E2448="",E2448="!!!",F2448="NEW"),"",COUNTBLANK(OFFSET(A$1,,,SUMPRODUCT(MAX(ROW(E$2:E2448)*(E2448=E$2:E2448)))))-COUNTBLANK(OFFSET(A$1,,,SUMPRODUCT(MAX(ROW(E$1:E2447)*(E2=E$1:E2447))))))</f>
        <v> </v>
      </c>
      <c r="K2448" s="25" t="str">
        <f>IF(OR(E2448="",E2448="!!!",F2448="NEW"),"",INDEX(J$1:J2447,SUMPRODUCT(MAX(ROW(E$1:E2447)*(E2448=E$1:E2447)))))</f>
        <v> </v>
      </c>
      <c r="L2448" s="26"/>
    </row>
    <row r="2449" spans="1:12">
      <c r="A2449" s="20" t="s">
        <v>1236</v>
      </c>
      <c r="E2449" s="21">
        <f>IF(D2449="?OLD","!!!","")</f>
        <v/>
      </c>
      <c r="F2449" s="22" t="str">
        <f>IF(OR(E2449="",E2449="!!!"),"",IF(NOT(ISNA(VLOOKUP(E2449,E$1:E2448,1,FALSE()))),"OLD",IF(AND(E2449&lt;&gt;"",E2449&lt;&gt;"!!!"),"NEW","")))</f>
        <v> </v>
      </c>
      <c r="G2449" s="23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4" t="str">
        <f>IF(J2449&lt;&gt;1,"",IF(I2449="SBJ","CB","?"))</f>
        <v> </v>
      </c>
      <c r="I2449" s="25" t="str">
        <f>IF(OR(E2449="",E2449="!!!",F2449="NEW"),"",INDEX(B2448:B$2,-1+SUMPRODUCT(MAX(ROW(E2448:E$2)*(E2449=E2448:E$2)))))</f>
        <v> </v>
      </c>
      <c r="J2449" s="25" t="str">
        <f>IF(OR(E2449="",E2449="!!!",F2449="NEW"),"",COUNTBLANK(OFFSET(A$1,,,SUMPRODUCT(MAX(ROW(E$2:E2449)*(E2449=E$2:E2449)))))-COUNTBLANK(OFFSET(A$1,,,SUMPRODUCT(MAX(ROW(E$1:E2448)*(E2=E$1:E2448))))))</f>
        <v> </v>
      </c>
      <c r="K2449" s="25" t="str">
        <f>IF(OR(E2449="",E2449="!!!",F2449="NEW"),"",INDEX(J$1:J2448,SUMPRODUCT(MAX(ROW(E$1:E2448)*(E2449=E$1:E2448)))))</f>
        <v> </v>
      </c>
      <c r="L2449" s="26"/>
    </row>
    <row r="2450" spans="1:12">
      <c r="A2450" s="20" t="s">
        <v>209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 t="s">
        <v>737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 t="s">
        <v>835</v>
      </c>
      <c r="E2452" s="21">
        <f>IF(D2452="?OLD","!!!","")</f>
        <v/>
      </c>
      <c r="F2452" s="22" t="str">
        <f>IF(OR(E2452="",E2452="!!!"),"",IF(NOT(ISNA(VLOOKUP(E2452,E$1:E2451,1,FALSE()))),"OLD",IF(AND(E2452&lt;&gt;"",E2452&lt;&gt;"!!!"),"NEW","")))</f>
        <v> </v>
      </c>
      <c r="G2452" s="23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4" t="str">
        <f>IF(J2452&lt;&gt;1,"",IF(I2452="SBJ","CB","?"))</f>
        <v> </v>
      </c>
      <c r="I2452" s="25" t="str">
        <f>IF(OR(E2452="",E2452="!!!",F2452="NEW"),"",INDEX(B2451:B$2,-1+SUMPRODUCT(MAX(ROW(E2451:E$2)*(E2452=E2451:E$2)))))</f>
        <v> </v>
      </c>
      <c r="J2452" s="25" t="str">
        <f>IF(OR(E2452="",E2452="!!!",F2452="NEW"),"",COUNTBLANK(OFFSET(A$1,,,SUMPRODUCT(MAX(ROW(E$2:E2452)*(E2452=E$2:E2452)))))-COUNTBLANK(OFFSET(A$1,,,SUMPRODUCT(MAX(ROW(E$1:E2451)*(E2=E$1:E2451))))))</f>
        <v> </v>
      </c>
      <c r="K2452" s="25" t="str">
        <f>IF(OR(E2452="",E2452="!!!",F2452="NEW"),"",INDEX(J$1:J2451,SUMPRODUCT(MAX(ROW(E$1:E2451)*(E2452=E$1:E2451)))))</f>
        <v> </v>
      </c>
      <c r="L2452" s="26"/>
    </row>
    <row r="2453" spans="1:12">
      <c r="A2453" s="20" t="s">
        <v>1674</v>
      </c>
      <c r="B2453" s="27" t="s">
        <v>790</v>
      </c>
      <c r="C2453" s="27" t="s">
        <v>791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1618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895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1293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 t="s">
        <v>737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 t="s">
        <v>749</v>
      </c>
      <c r="E2458" s="21">
        <f>IF(D2458="?OLD","!!!","")</f>
        <v/>
      </c>
      <c r="F2458" s="22" t="str">
        <f>IF(OR(E2458="",E2458="!!!"),"",IF(NOT(ISNA(VLOOKUP(E2458,E$1:E2457,1,FALSE()))),"OLD",IF(AND(E2458&lt;&gt;"",E2458&lt;&gt;"!!!"),"NEW","")))</f>
        <v> </v>
      </c>
      <c r="G2458" s="23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4" t="str">
        <f>IF(J2458&lt;&gt;1,"",IF(I2458="SBJ","CB","?"))</f>
        <v> </v>
      </c>
      <c r="I2458" s="25" t="str">
        <f>IF(OR(E2458="",E2458="!!!",F2458="NEW"),"",INDEX(B2457:B$2,-1+SUMPRODUCT(MAX(ROW(E2457:E$2)*(E2458=E2457:E$2)))))</f>
        <v> </v>
      </c>
      <c r="J2458" s="25" t="str">
        <f>IF(OR(E2458="",E2458="!!!",F2458="NEW"),"",COUNTBLANK(OFFSET(A$1,,,SUMPRODUCT(MAX(ROW(E$2:E2458)*(E2458=E$2:E2458)))))-COUNTBLANK(OFFSET(A$1,,,SUMPRODUCT(MAX(ROW(E$1:E2457)*(E2=E$1:E2457))))))</f>
        <v> </v>
      </c>
      <c r="K2458" s="25" t="str">
        <f>IF(OR(E2458="",E2458="!!!",F2458="NEW"),"",INDEX(J$1:J2457,SUMPRODUCT(MAX(ROW(E$1:E2457)*(E2458=E$1:E2457)))))</f>
        <v> </v>
      </c>
      <c r="L2458" s="26"/>
    </row>
    <row r="2459" spans="1:12">
      <c r="A2459" s="20" t="s">
        <v>832</v>
      </c>
      <c r="B2459" s="27" t="s">
        <v>745</v>
      </c>
      <c r="C2459" s="27" t="s">
        <v>782</v>
      </c>
      <c r="D2459" s="27" t="s">
        <v>716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793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1675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1568</v>
      </c>
      <c r="B2462" s="27" t="s">
        <v>727</v>
      </c>
      <c r="C2462" s="27" t="s">
        <v>715</v>
      </c>
      <c r="D2462" s="27" t="s">
        <v>716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1676</v>
      </c>
      <c r="B2463" s="27" t="s">
        <v>745</v>
      </c>
      <c r="C2463" s="27" t="s">
        <v>878</v>
      </c>
      <c r="D2463" s="27" t="s">
        <v>716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 t="s">
        <v>1422</v>
      </c>
      <c r="B2464" s="27" t="s">
        <v>768</v>
      </c>
      <c r="C2464" s="27" t="s">
        <v>782</v>
      </c>
      <c r="D2464" s="27" t="s">
        <v>716</v>
      </c>
      <c r="E2464" s="21">
        <f>IF(D2464="?OLD","!!!","")</f>
        <v/>
      </c>
      <c r="F2464" s="22" t="str">
        <f>IF(OR(E2464="",E2464="!!!"),"",IF(NOT(ISNA(VLOOKUP(E2464,E$1:E2463,1,FALSE()))),"OLD",IF(AND(E2464&lt;&gt;"",E2464&lt;&gt;"!!!"),"NEW","")))</f>
        <v> </v>
      </c>
      <c r="G2464" s="23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4" t="str">
        <f>IF(J2464&lt;&gt;1,"",IF(I2464="SBJ","CB","?"))</f>
        <v> </v>
      </c>
      <c r="I2464" s="25" t="str">
        <f>IF(OR(E2464="",E2464="!!!",F2464="NEW"),"",INDEX(B2463:B$2,-1+SUMPRODUCT(MAX(ROW(E2463:E$2)*(E2464=E2463:E$2)))))</f>
        <v> </v>
      </c>
      <c r="J2464" s="25" t="str">
        <f>IF(OR(E2464="",E2464="!!!",F2464="NEW"),"",COUNTBLANK(OFFSET(A$1,,,SUMPRODUCT(MAX(ROW(E$2:E2464)*(E2464=E$2:E2464)))))-COUNTBLANK(OFFSET(A$1,,,SUMPRODUCT(MAX(ROW(E$1:E2463)*(E2=E$1:E2463))))))</f>
        <v> </v>
      </c>
      <c r="K2464" s="25" t="str">
        <f>IF(OR(E2464="",E2464="!!!",F2464="NEW"),"",INDEX(J$1:J2463,SUMPRODUCT(MAX(ROW(E$1:E2463)*(E2464=E$1:E2463)))))</f>
        <v> </v>
      </c>
      <c r="L2464" s="26"/>
    </row>
    <row r="2465" spans="1:12">
      <c r="A2465" s="20" t="s">
        <v>737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835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1594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744</v>
      </c>
      <c r="B2468" s="27" t="s">
        <v>866</v>
      </c>
      <c r="C2468" s="27" t="s">
        <v>715</v>
      </c>
      <c r="D2468" s="27" t="s">
        <v>716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1018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1677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897</v>
      </c>
      <c r="B2471" s="27" t="s">
        <v>1051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737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 t="s">
        <v>743</v>
      </c>
      <c r="E2473" s="21">
        <f>IF(D2473="?OLD","!!!","")</f>
        <v/>
      </c>
      <c r="F2473" s="22" t="str">
        <f>IF(OR(E2473="",E2473="!!!"),"",IF(NOT(ISNA(VLOOKUP(E2473,E$1:E2472,1,FALSE()))),"OLD",IF(AND(E2473&lt;&gt;"",E2473&lt;&gt;"!!!"),"NEW","")))</f>
        <v> </v>
      </c>
      <c r="G2473" s="23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4" t="str">
        <f>IF(J2473&lt;&gt;1,"",IF(I2473="SBJ","CB","?"))</f>
        <v> </v>
      </c>
      <c r="I2473" s="25" t="str">
        <f>IF(OR(E2473="",E2473="!!!",F2473="NEW"),"",INDEX(B2472:B$2,-1+SUMPRODUCT(MAX(ROW(E2472:E$2)*(E2473=E2472:E$2)))))</f>
        <v> </v>
      </c>
      <c r="J2473" s="25" t="str">
        <f>IF(OR(E2473="",E2473="!!!",F2473="NEW"),"",COUNTBLANK(OFFSET(A$1,,,SUMPRODUCT(MAX(ROW(E$2:E2473)*(E2473=E$2:E2473)))))-COUNTBLANK(OFFSET(A$1,,,SUMPRODUCT(MAX(ROW(E$1:E2472)*(E2=E$1:E2472))))))</f>
        <v> </v>
      </c>
      <c r="K2473" s="25" t="str">
        <f>IF(OR(E2473="",E2473="!!!",F2473="NEW"),"",INDEX(J$1:J2472,SUMPRODUCT(MAX(ROW(E$1:E2472)*(E2473=E$1:E2472)))))</f>
        <v> </v>
      </c>
      <c r="L2473" s="26"/>
    </row>
    <row r="2474" spans="1:12">
      <c r="A2474" s="20" t="s">
        <v>1678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720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/>
    </row>
    <row r="2477" spans="1:12">
      <c r="A2477" s="20" t="s">
        <v>1679</v>
      </c>
    </row>
    <row r="2478" spans="1:12">
      <c r="A2478" s="20" t="s">
        <v>1680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737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1468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 t="s">
        <v>537</v>
      </c>
      <c r="E2481" s="21">
        <f>IF(D2481="?OLD","!!!","")</f>
        <v/>
      </c>
      <c r="F2481" s="22" t="str">
        <f>IF(OR(E2481="",E2481="!!!"),"",IF(NOT(ISNA(VLOOKUP(E2481,E$1:E2480,1,FALSE()))),"OLD",IF(AND(E2481&lt;&gt;"",E2481&lt;&gt;"!!!"),"NEW","")))</f>
        <v> </v>
      </c>
      <c r="G2481" s="23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4" t="str">
        <f>IF(J2481&lt;&gt;1,"",IF(I2481="SBJ","CB","?"))</f>
        <v> </v>
      </c>
      <c r="I2481" s="25" t="str">
        <f>IF(OR(E2481="",E2481="!!!",F2481="NEW"),"",INDEX(B2480:B$2,-1+SUMPRODUCT(MAX(ROW(E2480:E$2)*(E2481=E2480:E$2)))))</f>
        <v> </v>
      </c>
      <c r="J2481" s="25" t="str">
        <f>IF(OR(E2481="",E2481="!!!",F2481="NEW"),"",COUNTBLANK(OFFSET(A$1,,,SUMPRODUCT(MAX(ROW(E$2:E2481)*(E2481=E$2:E2481)))))-COUNTBLANK(OFFSET(A$1,,,SUMPRODUCT(MAX(ROW(E$1:E2480)*(E2=E$1:E2480))))))</f>
        <v> </v>
      </c>
      <c r="K2481" s="25" t="str">
        <f>IF(OR(E2481="",E2481="!!!",F2481="NEW"),"",INDEX(J$1:J2480,SUMPRODUCT(MAX(ROW(E$1:E2480)*(E2481=E$1:E2480)))))</f>
        <v> </v>
      </c>
      <c r="L2481" s="26"/>
    </row>
    <row r="2482" spans="1:12">
      <c r="A2482" s="20" t="s">
        <v>1568</v>
      </c>
      <c r="B2482" s="27" t="s">
        <v>847</v>
      </c>
      <c r="C2482" s="27" t="s">
        <v>715</v>
      </c>
      <c r="D2482" s="27" t="s">
        <v>716</v>
      </c>
      <c r="E2482" s="21">
        <f>IF(D2482="?OLD","!!!","")</f>
        <v/>
      </c>
      <c r="F2482" s="22" t="str">
        <f>IF(OR(E2482="",E2482="!!!"),"",IF(NOT(ISNA(VLOOKUP(E2482,E$1:E2481,1,FALSE()))),"OLD",IF(AND(E2482&lt;&gt;"",E2482&lt;&gt;"!!!"),"NEW","")))</f>
        <v> </v>
      </c>
      <c r="G2482" s="23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4" t="str">
        <f>IF(J2482&lt;&gt;1,"",IF(I2482="SBJ","CB","?"))</f>
        <v> </v>
      </c>
      <c r="I2482" s="25" t="str">
        <f>IF(OR(E2482="",E2482="!!!",F2482="NEW"),"",INDEX(B2481:B$2,-1+SUMPRODUCT(MAX(ROW(E2481:E$2)*(E2482=E2481:E$2)))))</f>
        <v> </v>
      </c>
      <c r="J2482" s="25" t="str">
        <f>IF(OR(E2482="",E2482="!!!",F2482="NEW"),"",COUNTBLANK(OFFSET(A$1,,,SUMPRODUCT(MAX(ROW(E$2:E2482)*(E2482=E$2:E2482)))))-COUNTBLANK(OFFSET(A$1,,,SUMPRODUCT(MAX(ROW(E$1:E2481)*(E2=E$1:E2481))))))</f>
        <v> </v>
      </c>
      <c r="K2482" s="25" t="str">
        <f>IF(OR(E2482="",E2482="!!!",F2482="NEW"),"",INDEX(J$1:J2481,SUMPRODUCT(MAX(ROW(E$1:E2481)*(E2482=E$1:E2481)))))</f>
        <v> </v>
      </c>
      <c r="L2482" s="26"/>
    </row>
    <row r="2483" spans="1:12">
      <c r="A2483" s="20" t="s">
        <v>1681</v>
      </c>
      <c r="B2483" s="27" t="s">
        <v>847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1682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737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1683</v>
      </c>
      <c r="B2486" s="27" t="s">
        <v>714</v>
      </c>
      <c r="C2486" s="27" t="s">
        <v>728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1684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1685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720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/>
    </row>
    <row r="2491" spans="1:12">
      <c r="A2491" s="20" t="s">
        <v>1686</v>
      </c>
    </row>
    <row r="2492" spans="1:12">
      <c r="A2492" s="20" t="s">
        <v>1266</v>
      </c>
      <c r="B2492" s="27" t="s">
        <v>714</v>
      </c>
      <c r="C2492" s="27" t="s">
        <v>791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1318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737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1253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1034</v>
      </c>
      <c r="B2496" s="27" t="s">
        <v>745</v>
      </c>
      <c r="C2496" s="27" t="s">
        <v>715</v>
      </c>
      <c r="D2496" s="27" t="s">
        <v>716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 t="s">
        <v>1687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 t="s">
        <v>1688</v>
      </c>
      <c r="B2498" s="27" t="s">
        <v>727</v>
      </c>
      <c r="C2498" s="27" t="s">
        <v>791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743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1568</v>
      </c>
      <c r="B2500" s="27" t="s">
        <v>847</v>
      </c>
      <c r="C2500" s="27" t="s">
        <v>715</v>
      </c>
      <c r="D2500" s="27" t="s">
        <v>716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1689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 t="s">
        <v>737</v>
      </c>
      <c r="E2502" s="21">
        <f>IF(D2502="?OLD","!!!","")</f>
        <v/>
      </c>
      <c r="F2502" s="22" t="str">
        <f>IF(OR(E2502="",E2502="!!!"),"",IF(NOT(ISNA(VLOOKUP(E2502,E$1:E2501,1,FALSE()))),"OLD",IF(AND(E2502&lt;&gt;"",E2502&lt;&gt;"!!!"),"NEW","")))</f>
        <v> </v>
      </c>
      <c r="G2502" s="23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4" t="str">
        <f>IF(J2502&lt;&gt;1,"",IF(I2502="SBJ","CB","?"))</f>
        <v> </v>
      </c>
      <c r="I2502" s="25" t="str">
        <f>IF(OR(E2502="",E2502="!!!",F2502="NEW"),"",INDEX(B2501:B$2,-1+SUMPRODUCT(MAX(ROW(E2501:E$2)*(E2502=E2501:E$2)))))</f>
        <v> </v>
      </c>
      <c r="J2502" s="25" t="str">
        <f>IF(OR(E2502="",E2502="!!!",F2502="NEW"),"",COUNTBLANK(OFFSET(A$1,,,SUMPRODUCT(MAX(ROW(E$2:E2502)*(E2502=E$2:E2502)))))-COUNTBLANK(OFFSET(A$1,,,SUMPRODUCT(MAX(ROW(E$1:E2501)*(E2=E$1:E2501))))))</f>
        <v> </v>
      </c>
      <c r="K2502" s="25" t="str">
        <f>IF(OR(E2502="",E2502="!!!",F2502="NEW"),"",INDEX(J$1:J2501,SUMPRODUCT(MAX(ROW(E$1:E2501)*(E2502=E$1:E2501)))))</f>
        <v> </v>
      </c>
      <c r="L2502" s="26"/>
    </row>
    <row r="2503" spans="1:12">
      <c r="A2503" s="20" t="s">
        <v>822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1690</v>
      </c>
      <c r="B2504" s="27" t="s">
        <v>861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846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1691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1692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1693</v>
      </c>
      <c r="B2508" s="27" t="s">
        <v>768</v>
      </c>
      <c r="C2508" s="27" t="s">
        <v>728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 t="s">
        <v>737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 t="s">
        <v>1694</v>
      </c>
      <c r="E2510" s="21">
        <f>IF(D2510="?OLD","!!!","")</f>
        <v/>
      </c>
      <c r="F2510" s="22" t="str">
        <f>IF(OR(E2510="",E2510="!!!"),"",IF(NOT(ISNA(VLOOKUP(E2510,E$1:E2509,1,FALSE()))),"OLD",IF(AND(E2510&lt;&gt;"",E2510&lt;&gt;"!!!"),"NEW","")))</f>
        <v> </v>
      </c>
      <c r="G2510" s="23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4" t="str">
        <f>IF(J2510&lt;&gt;1,"",IF(I2510="SBJ","CB","?"))</f>
        <v> </v>
      </c>
      <c r="I2510" s="25" t="str">
        <f>IF(OR(E2510="",E2510="!!!",F2510="NEW"),"",INDEX(B2509:B$2,-1+SUMPRODUCT(MAX(ROW(E2509:E$2)*(E2510=E2509:E$2)))))</f>
        <v> </v>
      </c>
      <c r="J2510" s="25" t="str">
        <f>IF(OR(E2510="",E2510="!!!",F2510="NEW"),"",COUNTBLANK(OFFSET(A$1,,,SUMPRODUCT(MAX(ROW(E$2:E2510)*(E2510=E$2:E2510)))))-COUNTBLANK(OFFSET(A$1,,,SUMPRODUCT(MAX(ROW(E$1:E2509)*(E2=E$1:E2509))))))</f>
        <v> </v>
      </c>
      <c r="K2510" s="25" t="str">
        <f>IF(OR(E2510="",E2510="!!!",F2510="NEW"),"",INDEX(J$1:J2509,SUMPRODUCT(MAX(ROW(E$1:E2509)*(E2510=E$1:E2509)))))</f>
        <v> </v>
      </c>
      <c r="L2510" s="26"/>
    </row>
    <row r="2511" spans="1:12">
      <c r="A2511" s="20" t="s">
        <v>939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1034</v>
      </c>
      <c r="B2512" s="27" t="s">
        <v>866</v>
      </c>
      <c r="C2512" s="27" t="s">
        <v>715</v>
      </c>
      <c r="D2512" s="27" t="s">
        <v>716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1695</v>
      </c>
      <c r="E2513" s="21">
        <f>IF(D2513="?OLD","!!!","")</f>
        <v/>
      </c>
      <c r="F2513" s="22" t="str">
        <f>IF(OR(E2513="",E2513="!!!"),"",IF(NOT(ISNA(VLOOKUP(E2513,E$1:E2512,1,FALSE()))),"OLD",IF(AND(E2513&lt;&gt;"",E2513&lt;&gt;"!!!"),"NEW","")))</f>
        <v> </v>
      </c>
      <c r="G2513" s="23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4" t="str">
        <f>IF(J2513&lt;&gt;1,"",IF(I2513="SBJ","CB","?"))</f>
        <v> </v>
      </c>
      <c r="I2513" s="25" t="str">
        <f>IF(OR(E2513="",E2513="!!!",F2513="NEW"),"",INDEX(B2512:B$2,-1+SUMPRODUCT(MAX(ROW(E2512:E$2)*(E2513=E2512:E$2)))))</f>
        <v> </v>
      </c>
      <c r="J2513" s="25" t="str">
        <f>IF(OR(E2513="",E2513="!!!",F2513="NEW"),"",COUNTBLANK(OFFSET(A$1,,,SUMPRODUCT(MAX(ROW(E$2:E2513)*(E2513=E$2:E2513)))))-COUNTBLANK(OFFSET(A$1,,,SUMPRODUCT(MAX(ROW(E$1:E2512)*(E2=E$1:E2512))))))</f>
        <v> </v>
      </c>
      <c r="K2513" s="25" t="str">
        <f>IF(OR(E2513="",E2513="!!!",F2513="NEW"),"",INDEX(J$1:J2512,SUMPRODUCT(MAX(ROW(E$1:E2512)*(E2513=E$1:E2512)))))</f>
        <v> </v>
      </c>
      <c r="L2513" s="26"/>
    </row>
    <row r="2514" spans="1:12">
      <c r="A2514" s="20" t="s">
        <v>718</v>
      </c>
      <c r="E2514" s="21">
        <f>IF(D2514="?OLD","!!!","")</f>
        <v/>
      </c>
      <c r="F2514" s="22" t="str">
        <f>IF(OR(E2514="",E2514="!!!"),"",IF(NOT(ISNA(VLOOKUP(E2514,E$1:E2513,1,FALSE()))),"OLD",IF(AND(E2514&lt;&gt;"",E2514&lt;&gt;"!!!"),"NEW","")))</f>
        <v> </v>
      </c>
      <c r="G2514" s="23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4" t="str">
        <f>IF(J2514&lt;&gt;1,"",IF(I2514="SBJ","CB","?"))</f>
        <v> </v>
      </c>
      <c r="I2514" s="25" t="str">
        <f>IF(OR(E2514="",E2514="!!!",F2514="NEW"),"",INDEX(B2513:B$2,-1+SUMPRODUCT(MAX(ROW(E2513:E$2)*(E2514=E2513:E$2)))))</f>
        <v> </v>
      </c>
      <c r="J2514" s="25" t="str">
        <f>IF(OR(E2514="",E2514="!!!",F2514="NEW"),"",COUNTBLANK(OFFSET(A$1,,,SUMPRODUCT(MAX(ROW(E$2:E2514)*(E2514=E$2:E2514)))))-COUNTBLANK(OFFSET(A$1,,,SUMPRODUCT(MAX(ROW(E$1:E2513)*(E2=E$1:E2513))))))</f>
        <v> </v>
      </c>
      <c r="K2514" s="25" t="str">
        <f>IF(OR(E2514="",E2514="!!!",F2514="NEW"),"",INDEX(J$1:J2513,SUMPRODUCT(MAX(ROW(E$1:E2513)*(E2514=E$1:E2513)))))</f>
        <v> </v>
      </c>
      <c r="L2514" s="26"/>
    </row>
    <row r="2515" spans="1:12">
      <c r="A2515" s="20" t="s">
        <v>846</v>
      </c>
      <c r="B2515" s="27" t="s">
        <v>742</v>
      </c>
      <c r="C2515" s="27" t="s">
        <v>799</v>
      </c>
      <c r="D2515" s="27" t="s">
        <v>716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1696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1697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 t="s">
        <v>1042</v>
      </c>
      <c r="E2518" s="21">
        <f>IF(D2518="?OLD","!!!","")</f>
        <v/>
      </c>
      <c r="F2518" s="22" t="str">
        <f>IF(OR(E2518="",E2518="!!!"),"",IF(NOT(ISNA(VLOOKUP(E2518,E$1:E2517,1,FALSE()))),"OLD",IF(AND(E2518&lt;&gt;"",E2518&lt;&gt;"!!!"),"NEW","")))</f>
        <v> </v>
      </c>
      <c r="G2518" s="23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4" t="str">
        <f>IF(J2518&lt;&gt;1,"",IF(I2518="SBJ","CB","?"))</f>
        <v> </v>
      </c>
      <c r="I2518" s="25" t="str">
        <f>IF(OR(E2518="",E2518="!!!",F2518="NEW"),"",INDEX(B2517:B$2,-1+SUMPRODUCT(MAX(ROW(E2517:E$2)*(E2518=E2517:E$2)))))</f>
        <v> </v>
      </c>
      <c r="J2518" s="25" t="str">
        <f>IF(OR(E2518="",E2518="!!!",F2518="NEW"),"",COUNTBLANK(OFFSET(A$1,,,SUMPRODUCT(MAX(ROW(E$2:E2518)*(E2518=E$2:E2518)))))-COUNTBLANK(OFFSET(A$1,,,SUMPRODUCT(MAX(ROW(E$1:E2517)*(E2=E$1:E2517))))))</f>
        <v> </v>
      </c>
      <c r="K2518" s="25" t="str">
        <f>IF(OR(E2518="",E2518="!!!",F2518="NEW"),"",INDEX(J$1:J2517,SUMPRODUCT(MAX(ROW(E$1:E2517)*(E2518=E$1:E2517)))))</f>
        <v> </v>
      </c>
      <c r="L2518" s="26"/>
    </row>
    <row r="2519" spans="1:12">
      <c r="A2519" s="20"/>
    </row>
    <row r="2520" spans="1:12">
      <c r="A2520" s="20" t="s">
        <v>1698</v>
      </c>
    </row>
    <row r="2521" spans="1:12">
      <c r="A2521" s="20" t="s">
        <v>1699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 t="s">
        <v>855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 t="s">
        <v>737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1034</v>
      </c>
      <c r="B2524" s="27" t="s">
        <v>714</v>
      </c>
      <c r="C2524" s="27" t="s">
        <v>715</v>
      </c>
      <c r="D2524" s="27" t="s">
        <v>716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939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1695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 t="s">
        <v>1700</v>
      </c>
      <c r="B2527" s="27" t="s">
        <v>808</v>
      </c>
      <c r="E2527" s="21">
        <f>IF(D2527="?OLD","!!!","")</f>
        <v/>
      </c>
      <c r="F2527" s="22" t="str">
        <f>IF(OR(E2527="",E2527="!!!"),"",IF(NOT(ISNA(VLOOKUP(E2527,E$1:E2526,1,FALSE()))),"OLD",IF(AND(E2527&lt;&gt;"",E2527&lt;&gt;"!!!"),"NEW","")))</f>
        <v> </v>
      </c>
      <c r="G2527" s="23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4" t="str">
        <f>IF(J2527&lt;&gt;1,"",IF(I2527="SBJ","CB","?"))</f>
        <v> </v>
      </c>
      <c r="I2527" s="25" t="str">
        <f>IF(OR(E2527="",E2527="!!!",F2527="NEW"),"",INDEX(B2526:B$2,-1+SUMPRODUCT(MAX(ROW(E2526:E$2)*(E2527=E2526:E$2)))))</f>
        <v> </v>
      </c>
      <c r="J2527" s="25" t="str">
        <f>IF(OR(E2527="",E2527="!!!",F2527="NEW"),"",COUNTBLANK(OFFSET(A$1,,,SUMPRODUCT(MAX(ROW(E$2:E2527)*(E2527=E$2:E2527)))))-COUNTBLANK(OFFSET(A$1,,,SUMPRODUCT(MAX(ROW(E$1:E2526)*(E2=E$1:E2526))))))</f>
        <v> </v>
      </c>
      <c r="K2527" s="25" t="str">
        <f>IF(OR(E2527="",E2527="!!!",F2527="NEW"),"",INDEX(J$1:J2526,SUMPRODUCT(MAX(ROW(E$1:E2526)*(E2527=E$1:E2526)))))</f>
        <v> </v>
      </c>
      <c r="L2527" s="26"/>
    </row>
    <row r="2528" spans="1:12">
      <c r="A2528" s="20" t="s">
        <v>718</v>
      </c>
      <c r="E2528" s="21">
        <f>IF(D2528="?OLD","!!!","")</f>
        <v/>
      </c>
      <c r="F2528" s="22" t="str">
        <f>IF(OR(E2528="",E2528="!!!"),"",IF(NOT(ISNA(VLOOKUP(E2528,E$1:E2527,1,FALSE()))),"OLD",IF(AND(E2528&lt;&gt;"",E2528&lt;&gt;"!!!"),"NEW","")))</f>
        <v> </v>
      </c>
      <c r="G2528" s="23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4" t="str">
        <f>IF(J2528&lt;&gt;1,"",IF(I2528="SBJ","CB","?"))</f>
        <v> </v>
      </c>
      <c r="I2528" s="25" t="str">
        <f>IF(OR(E2528="",E2528="!!!",F2528="NEW"),"",INDEX(B2527:B$2,-1+SUMPRODUCT(MAX(ROW(E2527:E$2)*(E2528=E2527:E$2)))))</f>
        <v> </v>
      </c>
      <c r="J2528" s="25" t="str">
        <f>IF(OR(E2528="",E2528="!!!",F2528="NEW"),"",COUNTBLANK(OFFSET(A$1,,,SUMPRODUCT(MAX(ROW(E$2:E2528)*(E2528=E$2:E2528)))))-COUNTBLANK(OFFSET(A$1,,,SUMPRODUCT(MAX(ROW(E$1:E2527)*(E2=E$1:E2527))))))</f>
        <v> </v>
      </c>
      <c r="K2528" s="25" t="str">
        <f>IF(OR(E2528="",E2528="!!!",F2528="NEW"),"",INDEX(J$1:J2527,SUMPRODUCT(MAX(ROW(E$1:E2527)*(E2528=E$1:E2527)))))</f>
        <v> </v>
      </c>
      <c r="L2528" s="26"/>
    </row>
    <row r="2529" spans="1:12">
      <c r="A2529" s="20" t="s">
        <v>846</v>
      </c>
      <c r="B2529" s="27" t="s">
        <v>768</v>
      </c>
      <c r="C2529" s="27" t="s">
        <v>799</v>
      </c>
      <c r="D2529" s="27" t="s">
        <v>716</v>
      </c>
      <c r="E2529" s="21">
        <f>IF(D2529="?OLD","!!!","")</f>
        <v/>
      </c>
      <c r="F2529" s="22" t="str">
        <f>IF(OR(E2529="",E2529="!!!"),"",IF(NOT(ISNA(VLOOKUP(E2529,E$1:E2528,1,FALSE()))),"OLD",IF(AND(E2529&lt;&gt;"",E2529&lt;&gt;"!!!"),"NEW","")))</f>
        <v> </v>
      </c>
      <c r="G2529" s="23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4" t="str">
        <f>IF(J2529&lt;&gt;1,"",IF(I2529="SBJ","CB","?"))</f>
        <v> </v>
      </c>
      <c r="I2529" s="25" t="str">
        <f>IF(OR(E2529="",E2529="!!!",F2529="NEW"),"",INDEX(B2528:B$2,-1+SUMPRODUCT(MAX(ROW(E2528:E$2)*(E2529=E2528:E$2)))))</f>
        <v> </v>
      </c>
      <c r="J2529" s="25" t="str">
        <f>IF(OR(E2529="",E2529="!!!",F2529="NEW"),"",COUNTBLANK(OFFSET(A$1,,,SUMPRODUCT(MAX(ROW(E$2:E2529)*(E2529=E$2:E2529)))))-COUNTBLANK(OFFSET(A$1,,,SUMPRODUCT(MAX(ROW(E$1:E2528)*(E2=E$1:E2528))))))</f>
        <v> </v>
      </c>
      <c r="K2529" s="25" t="str">
        <f>IF(OR(E2529="",E2529="!!!",F2529="NEW"),"",INDEX(J$1:J2528,SUMPRODUCT(MAX(ROW(E$1:E2528)*(E2529=E$1:E2528)))))</f>
        <v> </v>
      </c>
      <c r="L2529" s="26"/>
    </row>
    <row r="2530" spans="1:12">
      <c r="A2530" s="20" t="s">
        <v>1697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737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749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 t="s">
        <v>1701</v>
      </c>
      <c r="B2533" s="27" t="s">
        <v>745</v>
      </c>
      <c r="E2533" s="21">
        <f>IF(D2533="?OLD","!!!","")</f>
        <v/>
      </c>
      <c r="F2533" s="22" t="str">
        <f>IF(OR(E2533="",E2533="!!!"),"",IF(NOT(ISNA(VLOOKUP(E2533,E$1:E2532,1,FALSE()))),"OLD",IF(AND(E2533&lt;&gt;"",E2533&lt;&gt;"!!!"),"NEW","")))</f>
        <v> </v>
      </c>
      <c r="G2533" s="23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4" t="str">
        <f>IF(J2533&lt;&gt;1,"",IF(I2533="SBJ","CB","?"))</f>
        <v> </v>
      </c>
      <c r="I2533" s="25" t="str">
        <f>IF(OR(E2533="",E2533="!!!",F2533="NEW"),"",INDEX(B2532:B$2,-1+SUMPRODUCT(MAX(ROW(E2532:E$2)*(E2533=E2532:E$2)))))</f>
        <v> </v>
      </c>
      <c r="J2533" s="25" t="str">
        <f>IF(OR(E2533="",E2533="!!!",F2533="NEW"),"",COUNTBLANK(OFFSET(A$1,,,SUMPRODUCT(MAX(ROW(E$2:E2533)*(E2533=E$2:E2533)))))-COUNTBLANK(OFFSET(A$1,,,SUMPRODUCT(MAX(ROW(E$1:E2532)*(E2=E$1:E2532))))))</f>
        <v> </v>
      </c>
      <c r="K2533" s="25" t="str">
        <f>IF(OR(E2533="",E2533="!!!",F2533="NEW"),"",INDEX(J$1:J2532,SUMPRODUCT(MAX(ROW(E$1:E2532)*(E2533=E$1:E2532)))))</f>
        <v> </v>
      </c>
      <c r="L2533" s="26"/>
    </row>
    <row r="2534" spans="1:12">
      <c r="A2534" s="20" t="s">
        <v>1040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 t="s">
        <v>1139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 t="s">
        <v>1702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 t="s">
        <v>720</v>
      </c>
      <c r="E2537" s="21">
        <f>IF(D2537="?OLD","!!!","")</f>
        <v/>
      </c>
      <c r="F2537" s="22" t="str">
        <f>IF(OR(E2537="",E2537="!!!"),"",IF(NOT(ISNA(VLOOKUP(E2537,E$1:E2536,1,FALSE()))),"OLD",IF(AND(E2537&lt;&gt;"",E2537&lt;&gt;"!!!"),"NEW","")))</f>
        <v> </v>
      </c>
      <c r="G2537" s="23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4" t="str">
        <f>IF(J2537&lt;&gt;1,"",IF(I2537="SBJ","CB","?"))</f>
        <v> </v>
      </c>
      <c r="I2537" s="25" t="str">
        <f>IF(OR(E2537="",E2537="!!!",F2537="NEW"),"",INDEX(B2536:B$2,-1+SUMPRODUCT(MAX(ROW(E2536:E$2)*(E2537=E2536:E$2)))))</f>
        <v> </v>
      </c>
      <c r="J2537" s="25" t="str">
        <f>IF(OR(E2537="",E2537="!!!",F2537="NEW"),"",COUNTBLANK(OFFSET(A$1,,,SUMPRODUCT(MAX(ROW(E$2:E2537)*(E2537=E$2:E2537)))))-COUNTBLANK(OFFSET(A$1,,,SUMPRODUCT(MAX(ROW(E$1:E2536)*(E2=E$1:E2536))))))</f>
        <v> </v>
      </c>
      <c r="K2537" s="25" t="str">
        <f>IF(OR(E2537="",E2537="!!!",F2537="NEW"),"",INDEX(J$1:J2536,SUMPRODUCT(MAX(ROW(E$1:E2536)*(E2537=E$1:E2536)))))</f>
        <v> </v>
      </c>
      <c r="L2537" s="26"/>
    </row>
    <row r="2538" spans="1:12">
      <c r="A2538" s="20"/>
    </row>
    <row r="2539" spans="1:12">
      <c r="A2539" s="20" t="s">
        <v>1703</v>
      </c>
    </row>
    <row r="2540" spans="1:12">
      <c r="A2540" s="20" t="s">
        <v>1704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1705</v>
      </c>
      <c r="B2541" s="27" t="s">
        <v>714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816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1706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 t="s">
        <v>803</v>
      </c>
      <c r="E2544" s="21">
        <f>IF(D2544="?OLD","!!!","")</f>
        <v/>
      </c>
      <c r="F2544" s="22" t="str">
        <f>IF(OR(E2544="",E2544="!!!"),"",IF(NOT(ISNA(VLOOKUP(E2544,E$1:E2543,1,FALSE()))),"OLD",IF(AND(E2544&lt;&gt;"",E2544&lt;&gt;"!!!"),"NEW","")))</f>
        <v> </v>
      </c>
      <c r="G2544" s="23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4" t="str">
        <f>IF(J2544&lt;&gt;1,"",IF(I2544="SBJ","CB","?"))</f>
        <v> </v>
      </c>
      <c r="I2544" s="25" t="str">
        <f>IF(OR(E2544="",E2544="!!!",F2544="NEW"),"",INDEX(B2543:B$2,-1+SUMPRODUCT(MAX(ROW(E2543:E$2)*(E2544=E2543:E$2)))))</f>
        <v> </v>
      </c>
      <c r="J2544" s="25" t="str">
        <f>IF(OR(E2544="",E2544="!!!",F2544="NEW"),"",COUNTBLANK(OFFSET(A$1,,,SUMPRODUCT(MAX(ROW(E$2:E2544)*(E2544=E$2:E2544)))))-COUNTBLANK(OFFSET(A$1,,,SUMPRODUCT(MAX(ROW(E$1:E2543)*(E2=E$1:E2543))))))</f>
        <v> </v>
      </c>
      <c r="K2544" s="25" t="str">
        <f>IF(OR(E2544="",E2544="!!!",F2544="NEW"),"",INDEX(J$1:J2543,SUMPRODUCT(MAX(ROW(E$1:E2543)*(E2544=E$1:E2543)))))</f>
        <v> </v>
      </c>
      <c r="L2544" s="26"/>
    </row>
    <row r="2545" spans="1:12">
      <c r="A2545" s="20" t="s">
        <v>999</v>
      </c>
      <c r="E2545" s="21">
        <f>IF(D2545="?OLD","!!!","")</f>
        <v/>
      </c>
      <c r="F2545" s="22" t="str">
        <f>IF(OR(E2545="",E2545="!!!"),"",IF(NOT(ISNA(VLOOKUP(E2545,E$1:E2544,1,FALSE()))),"OLD",IF(AND(E2545&lt;&gt;"",E2545&lt;&gt;"!!!"),"NEW","")))</f>
        <v> </v>
      </c>
      <c r="G2545" s="23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4" t="str">
        <f>IF(J2545&lt;&gt;1,"",IF(I2545="SBJ","CB","?"))</f>
        <v> </v>
      </c>
      <c r="I2545" s="25" t="str">
        <f>IF(OR(E2545="",E2545="!!!",F2545="NEW"),"",INDEX(B2544:B$2,-1+SUMPRODUCT(MAX(ROW(E2544:E$2)*(E2545=E2544:E$2)))))</f>
        <v> </v>
      </c>
      <c r="J2545" s="25" t="str">
        <f>IF(OR(E2545="",E2545="!!!",F2545="NEW"),"",COUNTBLANK(OFFSET(A$1,,,SUMPRODUCT(MAX(ROW(E$2:E2545)*(E2545=E$2:E2545)))))-COUNTBLANK(OFFSET(A$1,,,SUMPRODUCT(MAX(ROW(E$1:E2544)*(E2=E$1:E2544))))))</f>
        <v> </v>
      </c>
      <c r="K2545" s="25" t="str">
        <f>IF(OR(E2545="",E2545="!!!",F2545="NEW"),"",INDEX(J$1:J2544,SUMPRODUCT(MAX(ROW(E$1:E2544)*(E2545=E$1:E2544)))))</f>
        <v> </v>
      </c>
      <c r="L2545" s="26"/>
    </row>
    <row r="2546" spans="1:12">
      <c r="A2546" s="20" t="s">
        <v>1133</v>
      </c>
      <c r="B2546" s="27" t="s">
        <v>781</v>
      </c>
      <c r="C2546" s="27" t="s">
        <v>715</v>
      </c>
      <c r="D2546" s="27" t="s">
        <v>716</v>
      </c>
      <c r="E2546" s="21">
        <f>IF(D2546="?OLD","!!!","")</f>
        <v/>
      </c>
      <c r="F2546" s="22" t="str">
        <f>IF(OR(E2546="",E2546="!!!"),"",IF(NOT(ISNA(VLOOKUP(E2546,E$1:E2545,1,FALSE()))),"OLD",IF(AND(E2546&lt;&gt;"",E2546&lt;&gt;"!!!"),"NEW","")))</f>
        <v> </v>
      </c>
      <c r="G2546" s="23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4" t="str">
        <f>IF(J2546&lt;&gt;1,"",IF(I2546="SBJ","CB","?"))</f>
        <v> </v>
      </c>
      <c r="I2546" s="25" t="str">
        <f>IF(OR(E2546="",E2546="!!!",F2546="NEW"),"",INDEX(B2545:B$2,-1+SUMPRODUCT(MAX(ROW(E2545:E$2)*(E2546=E2545:E$2)))))</f>
        <v> </v>
      </c>
      <c r="J2546" s="25" t="str">
        <f>IF(OR(E2546="",E2546="!!!",F2546="NEW"),"",COUNTBLANK(OFFSET(A$1,,,SUMPRODUCT(MAX(ROW(E$2:E2546)*(E2546=E$2:E2546)))))-COUNTBLANK(OFFSET(A$1,,,SUMPRODUCT(MAX(ROW(E$1:E2545)*(E2=E$1:E2545))))))</f>
        <v> </v>
      </c>
      <c r="K2546" s="25" t="str">
        <f>IF(OR(E2546="",E2546="!!!",F2546="NEW"),"",INDEX(J$1:J2545,SUMPRODUCT(MAX(ROW(E$1:E2545)*(E2546=E$1:E2545)))))</f>
        <v> </v>
      </c>
      <c r="L2546" s="26"/>
    </row>
    <row r="2547" spans="1:12">
      <c r="A2547" s="20" t="s">
        <v>737</v>
      </c>
      <c r="E2547" s="21">
        <f>IF(D2547="?OLD","!!!","")</f>
        <v/>
      </c>
      <c r="F2547" s="22" t="str">
        <f>IF(OR(E2547="",E2547="!!!"),"",IF(NOT(ISNA(VLOOKUP(E2547,E$1:E2546,1,FALSE()))),"OLD",IF(AND(E2547&lt;&gt;"",E2547&lt;&gt;"!!!"),"NEW","")))</f>
        <v> </v>
      </c>
      <c r="G2547" s="23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4" t="str">
        <f>IF(J2547&lt;&gt;1,"",IF(I2547="SBJ","CB","?"))</f>
        <v> </v>
      </c>
      <c r="I2547" s="25" t="str">
        <f>IF(OR(E2547="",E2547="!!!",F2547="NEW"),"",INDEX(B2546:B$2,-1+SUMPRODUCT(MAX(ROW(E2546:E$2)*(E2547=E2546:E$2)))))</f>
        <v> </v>
      </c>
      <c r="J2547" s="25" t="str">
        <f>IF(OR(E2547="",E2547="!!!",F2547="NEW"),"",COUNTBLANK(OFFSET(A$1,,,SUMPRODUCT(MAX(ROW(E$2:E2547)*(E2547=E$2:E2547)))))-COUNTBLANK(OFFSET(A$1,,,SUMPRODUCT(MAX(ROW(E$1:E2546)*(E2=E$1:E2546))))))</f>
        <v> </v>
      </c>
      <c r="K2547" s="25" t="str">
        <f>IF(OR(E2547="",E2547="!!!",F2547="NEW"),"",INDEX(J$1:J2546,SUMPRODUCT(MAX(ROW(E$1:E2546)*(E2547=E$1:E2546)))))</f>
        <v> </v>
      </c>
      <c r="L2547" s="26"/>
    </row>
    <row r="2548" spans="1:12">
      <c r="A2548" s="20" t="s">
        <v>1253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589</v>
      </c>
      <c r="B2549" s="27" t="s">
        <v>745</v>
      </c>
      <c r="C2549" s="27" t="s">
        <v>715</v>
      </c>
      <c r="D2549" s="27" t="s">
        <v>716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1707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1568</v>
      </c>
      <c r="B2551" s="27" t="s">
        <v>727</v>
      </c>
      <c r="C2551" s="27" t="s">
        <v>715</v>
      </c>
      <c r="D2551" s="27" t="s">
        <v>716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737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 t="s">
        <v>822</v>
      </c>
      <c r="E2553" s="21">
        <f>IF(D2553="?OLD","!!!","")</f>
        <v/>
      </c>
      <c r="F2553" s="22" t="str">
        <f>IF(OR(E2553="",E2553="!!!"),"",IF(NOT(ISNA(VLOOKUP(E2553,E$1:E2552,1,FALSE()))),"OLD",IF(AND(E2553&lt;&gt;"",E2553&lt;&gt;"!!!"),"NEW","")))</f>
        <v> </v>
      </c>
      <c r="G2553" s="23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4" t="str">
        <f>IF(J2553&lt;&gt;1,"",IF(I2553="SBJ","CB","?"))</f>
        <v> </v>
      </c>
      <c r="I2553" s="25" t="str">
        <f>IF(OR(E2553="",E2553="!!!",F2553="NEW"),"",INDEX(B2552:B$2,-1+SUMPRODUCT(MAX(ROW(E2552:E$2)*(E2553=E2552:E$2)))))</f>
        <v> </v>
      </c>
      <c r="J2553" s="25" t="str">
        <f>IF(OR(E2553="",E2553="!!!",F2553="NEW"),"",COUNTBLANK(OFFSET(A$1,,,SUMPRODUCT(MAX(ROW(E$2:E2553)*(E2553=E$2:E2553)))))-COUNTBLANK(OFFSET(A$1,,,SUMPRODUCT(MAX(ROW(E$1:E2552)*(E2=E$1:E2552))))))</f>
        <v> </v>
      </c>
      <c r="K2553" s="25" t="str">
        <f>IF(OR(E2553="",E2553="!!!",F2553="NEW"),"",INDEX(J$1:J2552,SUMPRODUCT(MAX(ROW(E$1:E2552)*(E2553=E$1:E2552)))))</f>
        <v> </v>
      </c>
      <c r="L2553" s="26"/>
    </row>
    <row r="2554" spans="1:12">
      <c r="A2554" s="20" t="s">
        <v>1616</v>
      </c>
      <c r="B2554" s="27" t="s">
        <v>790</v>
      </c>
      <c r="C2554" s="27" t="s">
        <v>791</v>
      </c>
      <c r="E2554" s="21">
        <f>IF(D2554="?OLD","!!!","")</f>
        <v/>
      </c>
      <c r="F2554" s="22" t="str">
        <f>IF(OR(E2554="",E2554="!!!"),"",IF(NOT(ISNA(VLOOKUP(E2554,E$1:E2553,1,FALSE()))),"OLD",IF(AND(E2554&lt;&gt;"",E2554&lt;&gt;"!!!"),"NEW","")))</f>
        <v> </v>
      </c>
      <c r="G2554" s="23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4" t="str">
        <f>IF(J2554&lt;&gt;1,"",IF(I2554="SBJ","CB","?"))</f>
        <v> </v>
      </c>
      <c r="I2554" s="25" t="str">
        <f>IF(OR(E2554="",E2554="!!!",F2554="NEW"),"",INDEX(B2553:B$2,-1+SUMPRODUCT(MAX(ROW(E2553:E$2)*(E2554=E2553:E$2)))))</f>
        <v> </v>
      </c>
      <c r="J2554" s="25" t="str">
        <f>IF(OR(E2554="",E2554="!!!",F2554="NEW"),"",COUNTBLANK(OFFSET(A$1,,,SUMPRODUCT(MAX(ROW(E$2:E2554)*(E2554=E$2:E2554)))))-COUNTBLANK(OFFSET(A$1,,,SUMPRODUCT(MAX(ROW(E$1:E2553)*(E2=E$1:E2553))))))</f>
        <v> </v>
      </c>
      <c r="K2554" s="25" t="str">
        <f>IF(OR(E2554="",E2554="!!!",F2554="NEW"),"",INDEX(J$1:J2553,SUMPRODUCT(MAX(ROW(E$1:E2553)*(E2554=E$1:E2553)))))</f>
        <v> </v>
      </c>
      <c r="L2554" s="26"/>
    </row>
    <row r="2555" spans="1:12">
      <c r="A2555" s="20" t="s">
        <v>1708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1709</v>
      </c>
      <c r="B2556" s="27" t="s">
        <v>847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32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848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46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1710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1711</v>
      </c>
      <c r="B2561" s="27" t="s">
        <v>867</v>
      </c>
      <c r="C2561" s="27" t="s">
        <v>728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 t="s">
        <v>737</v>
      </c>
      <c r="E2562" s="21">
        <f>IF(D2562="?OLD","!!!","")</f>
        <v/>
      </c>
      <c r="F2562" s="22" t="str">
        <f>IF(OR(E2562="",E2562="!!!"),"",IF(NOT(ISNA(VLOOKUP(E2562,E$1:E2561,1,FALSE()))),"OLD",IF(AND(E2562&lt;&gt;"",E2562&lt;&gt;"!!!"),"NEW","")))</f>
        <v> </v>
      </c>
      <c r="G2562" s="23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4" t="str">
        <f>IF(J2562&lt;&gt;1,"",IF(I2562="SBJ","CB","?"))</f>
        <v> </v>
      </c>
      <c r="I2562" s="25" t="str">
        <f>IF(OR(E2562="",E2562="!!!",F2562="NEW"),"",INDEX(B2561:B$2,-1+SUMPRODUCT(MAX(ROW(E2561:E$2)*(E2562=E2561:E$2)))))</f>
        <v> </v>
      </c>
      <c r="J2562" s="25" t="str">
        <f>IF(OR(E2562="",E2562="!!!",F2562="NEW"),"",COUNTBLANK(OFFSET(A$1,,,SUMPRODUCT(MAX(ROW(E$2:E2562)*(E2562=E$2:E2562)))))-COUNTBLANK(OFFSET(A$1,,,SUMPRODUCT(MAX(ROW(E$1:E2561)*(E2=E$1:E2561))))))</f>
        <v> </v>
      </c>
      <c r="K2562" s="25" t="str">
        <f>IF(OR(E2562="",E2562="!!!",F2562="NEW"),"",INDEX(J$1:J2561,SUMPRODUCT(MAX(ROW(E$1:E2561)*(E2562=E$1:E2561)))))</f>
        <v> </v>
      </c>
      <c r="L2562" s="26"/>
    </row>
    <row r="2563" spans="1:12">
      <c r="A2563" s="20" t="s">
        <v>1712</v>
      </c>
      <c r="E2563" s="21">
        <f>IF(D2563="?OLD","!!!","")</f>
        <v/>
      </c>
      <c r="F2563" s="22" t="str">
        <f>IF(OR(E2563="",E2563="!!!"),"",IF(NOT(ISNA(VLOOKUP(E2563,E$1:E2562,1,FALSE()))),"OLD",IF(AND(E2563&lt;&gt;"",E2563&lt;&gt;"!!!"),"NEW","")))</f>
        <v> </v>
      </c>
      <c r="G2563" s="23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4" t="str">
        <f>IF(J2563&lt;&gt;1,"",IF(I2563="SBJ","CB","?"))</f>
        <v> </v>
      </c>
      <c r="I2563" s="25" t="str">
        <f>IF(OR(E2563="",E2563="!!!",F2563="NEW"),"",INDEX(B2562:B$2,-1+SUMPRODUCT(MAX(ROW(E2562:E$2)*(E2563=E2562:E$2)))))</f>
        <v> </v>
      </c>
      <c r="J2563" s="25" t="str">
        <f>IF(OR(E2563="",E2563="!!!",F2563="NEW"),"",COUNTBLANK(OFFSET(A$1,,,SUMPRODUCT(MAX(ROW(E$2:E2563)*(E2563=E$2:E2563)))))-COUNTBLANK(OFFSET(A$1,,,SUMPRODUCT(MAX(ROW(E$1:E2562)*(E2=E$1:E2562))))))</f>
        <v> </v>
      </c>
      <c r="K2563" s="25" t="str">
        <f>IF(OR(E2563="",E2563="!!!",F2563="NEW"),"",INDEX(J$1:J2562,SUMPRODUCT(MAX(ROW(E$1:E2562)*(E2563=E$1:E2562)))))</f>
        <v> </v>
      </c>
      <c r="L2563" s="26"/>
    </row>
    <row r="2564" spans="1:12">
      <c r="A2564" s="20" t="s">
        <v>1677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897</v>
      </c>
      <c r="B2565" s="27" t="s">
        <v>847</v>
      </c>
      <c r="E2565" s="21">
        <f>IF(D2565="?OLD","!!!","")</f>
        <v/>
      </c>
      <c r="F2565" s="22" t="str">
        <f>IF(OR(E2565="",E2565="!!!"),"",IF(NOT(ISNA(VLOOKUP(E2565,E$1:E2564,1,FALSE()))),"OLD",IF(AND(E2565&lt;&gt;"",E2565&lt;&gt;"!!!"),"NEW","")))</f>
        <v> </v>
      </c>
      <c r="G2565" s="23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4" t="str">
        <f>IF(J2565&lt;&gt;1,"",IF(I2565="SBJ","CB","?"))</f>
        <v> </v>
      </c>
      <c r="I2565" s="25" t="str">
        <f>IF(OR(E2565="",E2565="!!!",F2565="NEW"),"",INDEX(B2564:B$2,-1+SUMPRODUCT(MAX(ROW(E2564:E$2)*(E2565=E2564:E$2)))))</f>
        <v> </v>
      </c>
      <c r="J2565" s="25" t="str">
        <f>IF(OR(E2565="",E2565="!!!",F2565="NEW"),"",COUNTBLANK(OFFSET(A$1,,,SUMPRODUCT(MAX(ROW(E$2:E2565)*(E2565=E$2:E2565)))))-COUNTBLANK(OFFSET(A$1,,,SUMPRODUCT(MAX(ROW(E$1:E2564)*(E2=E$1:E2564))))))</f>
        <v> </v>
      </c>
      <c r="K2565" s="25" t="str">
        <f>IF(OR(E2565="",E2565="!!!",F2565="NEW"),"",INDEX(J$1:J2564,SUMPRODUCT(MAX(ROW(E$1:E2564)*(E2565=E$1:E2564)))))</f>
        <v> </v>
      </c>
      <c r="L2565" s="26"/>
    </row>
    <row r="2566" spans="1:12">
      <c r="A2566" s="20" t="s">
        <v>737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1713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 t="s">
        <v>1714</v>
      </c>
      <c r="E2568" s="21">
        <f>IF(D2568="?OLD","!!!","")</f>
        <v/>
      </c>
      <c r="F2568" s="22" t="str">
        <f>IF(OR(E2568="",E2568="!!!"),"",IF(NOT(ISNA(VLOOKUP(E2568,E$1:E2567,1,FALSE()))),"OLD",IF(AND(E2568&lt;&gt;"",E2568&lt;&gt;"!!!"),"NEW","")))</f>
        <v> </v>
      </c>
      <c r="G2568" s="23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4" t="str">
        <f>IF(J2568&lt;&gt;1,"",IF(I2568="SBJ","CB","?"))</f>
        <v> </v>
      </c>
      <c r="I2568" s="25" t="str">
        <f>IF(OR(E2568="",E2568="!!!",F2568="NEW"),"",INDEX(B2567:B$2,-1+SUMPRODUCT(MAX(ROW(E2567:E$2)*(E2568=E2567:E$2)))))</f>
        <v> </v>
      </c>
      <c r="J2568" s="25" t="str">
        <f>IF(OR(E2568="",E2568="!!!",F2568="NEW"),"",COUNTBLANK(OFFSET(A$1,,,SUMPRODUCT(MAX(ROW(E$2:E2568)*(E2568=E$2:E2568)))))-COUNTBLANK(OFFSET(A$1,,,SUMPRODUCT(MAX(ROW(E$1:E2567)*(E2=E$1:E2567))))))</f>
        <v> </v>
      </c>
      <c r="K2568" s="25" t="str">
        <f>IF(OR(E2568="",E2568="!!!",F2568="NEW"),"",INDEX(J$1:J2567,SUMPRODUCT(MAX(ROW(E$1:E2567)*(E2568=E$1:E2567)))))</f>
        <v> </v>
      </c>
      <c r="L2568" s="26"/>
    </row>
    <row r="2569" spans="1:12">
      <c r="A2569" s="20" t="s">
        <v>1701</v>
      </c>
      <c r="B2569" s="27" t="s">
        <v>745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737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835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906</v>
      </c>
      <c r="B2572" s="27" t="s">
        <v>861</v>
      </c>
      <c r="C2572" s="27" t="s">
        <v>715</v>
      </c>
      <c r="D2572" s="27" t="s">
        <v>716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1715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941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 t="s">
        <v>1222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1223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1224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589</v>
      </c>
      <c r="B2578" s="27" t="s">
        <v>1058</v>
      </c>
      <c r="C2578" s="27" t="s">
        <v>715</v>
      </c>
      <c r="D2578" s="27" t="s">
        <v>716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720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/>
    </row>
    <row r="2581" spans="1:12">
      <c r="A2581" s="20" t="s">
        <v>1716</v>
      </c>
    </row>
    <row r="2582" spans="1:12">
      <c r="A2582" s="20" t="s">
        <v>1666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 t="s">
        <v>822</v>
      </c>
      <c r="E2583" s="21">
        <f>IF(D2583="?OLD","!!!","")</f>
        <v/>
      </c>
      <c r="F2583" s="22" t="str">
        <f>IF(OR(E2583="",E2583="!!!"),"",IF(NOT(ISNA(VLOOKUP(E2583,E$1:E2582,1,FALSE()))),"OLD",IF(AND(E2583&lt;&gt;"",E2583&lt;&gt;"!!!"),"NEW","")))</f>
        <v> </v>
      </c>
      <c r="G2583" s="23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4" t="str">
        <f>IF(J2583&lt;&gt;1,"",IF(I2583="SBJ","CB","?"))</f>
        <v> </v>
      </c>
      <c r="I2583" s="25" t="str">
        <f>IF(OR(E2583="",E2583="!!!",F2583="NEW"),"",INDEX(B2582:B$2,-1+SUMPRODUCT(MAX(ROW(E2582:E$2)*(E2583=E2582:E$2)))))</f>
        <v> </v>
      </c>
      <c r="J2583" s="25" t="str">
        <f>IF(OR(E2583="",E2583="!!!",F2583="NEW"),"",COUNTBLANK(OFFSET(A$1,,,SUMPRODUCT(MAX(ROW(E$2:E2583)*(E2583=E$2:E2583)))))-COUNTBLANK(OFFSET(A$1,,,SUMPRODUCT(MAX(ROW(E$1:E2582)*(E2=E$1:E2582))))))</f>
        <v> </v>
      </c>
      <c r="K2583" s="25" t="str">
        <f>IF(OR(E2583="",E2583="!!!",F2583="NEW"),"",INDEX(J$1:J2582,SUMPRODUCT(MAX(ROW(E$1:E2582)*(E2583=E$1:E2582)))))</f>
        <v> </v>
      </c>
      <c r="L2583" s="26"/>
    </row>
    <row r="2584" spans="1:12">
      <c r="A2584" s="20" t="s">
        <v>1683</v>
      </c>
      <c r="B2584" s="27" t="s">
        <v>714</v>
      </c>
      <c r="E2584" s="21">
        <f>IF(D2584="?OLD","!!!","")</f>
        <v/>
      </c>
      <c r="F2584" s="22" t="str">
        <f>IF(OR(E2584="",E2584="!!!"),"",IF(NOT(ISNA(VLOOKUP(E2584,E$1:E2583,1,FALSE()))),"OLD",IF(AND(E2584&lt;&gt;"",E2584&lt;&gt;"!!!"),"NEW","")))</f>
        <v> </v>
      </c>
      <c r="G2584" s="23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4" t="str">
        <f>IF(J2584&lt;&gt;1,"",IF(I2584="SBJ","CB","?"))</f>
        <v> </v>
      </c>
      <c r="I2584" s="25" t="str">
        <f>IF(OR(E2584="",E2584="!!!",F2584="NEW"),"",INDEX(B2583:B$2,-1+SUMPRODUCT(MAX(ROW(E2583:E$2)*(E2584=E2583:E$2)))))</f>
        <v> </v>
      </c>
      <c r="J2584" s="25" t="str">
        <f>IF(OR(E2584="",E2584="!!!",F2584="NEW"),"",COUNTBLANK(OFFSET(A$1,,,SUMPRODUCT(MAX(ROW(E$2:E2584)*(E2584=E$2:E2584)))))-COUNTBLANK(OFFSET(A$1,,,SUMPRODUCT(MAX(ROW(E$1:E2583)*(E2=E$1:E2583))))))</f>
        <v> </v>
      </c>
      <c r="K2584" s="25" t="str">
        <f>IF(OR(E2584="",E2584="!!!",F2584="NEW"),"",INDEX(J$1:J2583,SUMPRODUCT(MAX(ROW(E$1:E2583)*(E2584=E$1:E2583)))))</f>
        <v> </v>
      </c>
      <c r="L2584" s="26"/>
    </row>
    <row r="2585" spans="1:12">
      <c r="A2585" s="20" t="s">
        <v>1717</v>
      </c>
      <c r="E2585" s="21">
        <f>IF(D2585="?OLD","!!!","")</f>
        <v/>
      </c>
      <c r="F2585" s="22" t="str">
        <f>IF(OR(E2585="",E2585="!!!"),"",IF(NOT(ISNA(VLOOKUP(E2585,E$1:E2584,1,FALSE()))),"OLD",IF(AND(E2585&lt;&gt;"",E2585&lt;&gt;"!!!"),"NEW","")))</f>
        <v> </v>
      </c>
      <c r="G2585" s="23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4" t="str">
        <f>IF(J2585&lt;&gt;1,"",IF(I2585="SBJ","CB","?"))</f>
        <v> </v>
      </c>
      <c r="I2585" s="25" t="str">
        <f>IF(OR(E2585="",E2585="!!!",F2585="NEW"),"",INDEX(B2584:B$2,-1+SUMPRODUCT(MAX(ROW(E2584:E$2)*(E2585=E2584:E$2)))))</f>
        <v> </v>
      </c>
      <c r="J2585" s="25" t="str">
        <f>IF(OR(E2585="",E2585="!!!",F2585="NEW"),"",COUNTBLANK(OFFSET(A$1,,,SUMPRODUCT(MAX(ROW(E$2:E2585)*(E2585=E$2:E2585)))))-COUNTBLANK(OFFSET(A$1,,,SUMPRODUCT(MAX(ROW(E$1:E2584)*(E2=E$1:E2584))))))</f>
        <v> </v>
      </c>
      <c r="K2585" s="25" t="str">
        <f>IF(OR(E2585="",E2585="!!!",F2585="NEW"),"",INDEX(J$1:J2584,SUMPRODUCT(MAX(ROW(E$1:E2584)*(E2585=E$1:E2584)))))</f>
        <v> </v>
      </c>
      <c r="L2585" s="26"/>
    </row>
    <row r="2586" spans="1:12">
      <c r="A2586" s="20" t="s">
        <v>1718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720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/>
    </row>
    <row r="2589" spans="1:12">
      <c r="A2589" s="20" t="s">
        <v>1719</v>
      </c>
    </row>
    <row r="2590" spans="1:12">
      <c r="A2590" s="20" t="s">
        <v>1083</v>
      </c>
      <c r="B2590" s="27" t="s">
        <v>714</v>
      </c>
      <c r="C2590" s="27" t="s">
        <v>715</v>
      </c>
      <c r="D2590" s="27" t="s">
        <v>716</v>
      </c>
      <c r="E2590" s="21">
        <f>IF(D2590="?OLD","!!!","")</f>
        <v/>
      </c>
      <c r="F2590" s="22" t="str">
        <f>IF(OR(E2590="",E2590="!!!"),"",IF(NOT(ISNA(VLOOKUP(E2590,E$1:E2589,1,FALSE()))),"OLD",IF(AND(E2590&lt;&gt;"",E2590&lt;&gt;"!!!"),"NEW","")))</f>
        <v> </v>
      </c>
      <c r="G2590" s="23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4" t="str">
        <f>IF(J2590&lt;&gt;1,"",IF(I2590="SBJ","CB","?"))</f>
        <v> </v>
      </c>
      <c r="I2590" s="25" t="str">
        <f>IF(OR(E2590="",E2590="!!!",F2590="NEW"),"",INDEX(B2589:B$2,-1+SUMPRODUCT(MAX(ROW(E2589:E$2)*(E2590=E2589:E$2)))))</f>
        <v> </v>
      </c>
      <c r="J2590" s="25" t="str">
        <f>IF(OR(E2590="",E2590="!!!",F2590="NEW"),"",COUNTBLANK(OFFSET(A$1,,,SUMPRODUCT(MAX(ROW(E$2:E2590)*(E2590=E$2:E2590)))))-COUNTBLANK(OFFSET(A$1,,,SUMPRODUCT(MAX(ROW(E$1:E2589)*(E2=E$1:E2589))))))</f>
        <v> </v>
      </c>
      <c r="K2590" s="25" t="str">
        <f>IF(OR(E2590="",E2590="!!!",F2590="NEW"),"",INDEX(J$1:J2589,SUMPRODUCT(MAX(ROW(E$1:E2589)*(E2590=E$1:E2589)))))</f>
        <v> </v>
      </c>
      <c r="L2590" s="26"/>
    </row>
    <row r="2591" spans="1:12">
      <c r="A2591" s="20" t="s">
        <v>1700</v>
      </c>
      <c r="B2591" s="27" t="s">
        <v>808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1204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718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1006</v>
      </c>
      <c r="B2594" s="27" t="s">
        <v>781</v>
      </c>
      <c r="C2594" s="27" t="s">
        <v>782</v>
      </c>
      <c r="D2594" s="27" t="s">
        <v>716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 t="s">
        <v>737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 t="s">
        <v>822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 t="s">
        <v>1720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1721</v>
      </c>
      <c r="B2598" s="27" t="s">
        <v>790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1722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1640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1213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589</v>
      </c>
      <c r="B2602" s="27" t="s">
        <v>768</v>
      </c>
      <c r="C2602" s="27" t="s">
        <v>715</v>
      </c>
      <c r="D2602" s="27" t="s">
        <v>716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 t="s">
        <v>720</v>
      </c>
      <c r="E2603" s="21">
        <f>IF(D2603="?OLD","!!!","")</f>
        <v/>
      </c>
      <c r="F2603" s="22" t="str">
        <f>IF(OR(E2603="",E2603="!!!"),"",IF(NOT(ISNA(VLOOKUP(E2603,E$1:E2602,1,FALSE()))),"OLD",IF(AND(E2603&lt;&gt;"",E2603&lt;&gt;"!!!"),"NEW","")))</f>
        <v> </v>
      </c>
      <c r="G2603" s="23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4" t="str">
        <f>IF(J2603&lt;&gt;1,"",IF(I2603="SBJ","CB","?"))</f>
        <v> </v>
      </c>
      <c r="I2603" s="25" t="str">
        <f>IF(OR(E2603="",E2603="!!!",F2603="NEW"),"",INDEX(B2602:B$2,-1+SUMPRODUCT(MAX(ROW(E2602:E$2)*(E2603=E2602:E$2)))))</f>
        <v> </v>
      </c>
      <c r="J2603" s="25" t="str">
        <f>IF(OR(E2603="",E2603="!!!",F2603="NEW"),"",COUNTBLANK(OFFSET(A$1,,,SUMPRODUCT(MAX(ROW(E$2:E2603)*(E2603=E$2:E2603)))))-COUNTBLANK(OFFSET(A$1,,,SUMPRODUCT(MAX(ROW(E$1:E2602)*(E2=E$1:E2602))))))</f>
        <v> </v>
      </c>
      <c r="K2603" s="25" t="str">
        <f>IF(OR(E2603="",E2603="!!!",F2603="NEW"),"",INDEX(J$1:J2602,SUMPRODUCT(MAX(ROW(E$1:E2602)*(E2603=E$1:E2602)))))</f>
        <v> </v>
      </c>
      <c r="L2603" s="26"/>
    </row>
    <row r="2604" spans="1:12">
      <c r="A2604" s="20"/>
    </row>
    <row r="2605" spans="1:12">
      <c r="A2605" s="20" t="s">
        <v>1723</v>
      </c>
    </row>
    <row r="2606" spans="1:12">
      <c r="A2606" s="20" t="s">
        <v>1724</v>
      </c>
      <c r="B2606" s="27" t="s">
        <v>808</v>
      </c>
      <c r="C2606" s="27" t="s">
        <v>715</v>
      </c>
      <c r="D2606" s="27" t="s">
        <v>716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1725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737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822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1726</v>
      </c>
      <c r="B2610" s="27" t="s">
        <v>745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1727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737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1728</v>
      </c>
      <c r="B2613" s="27" t="s">
        <v>745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1139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 t="s">
        <v>1727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 t="s">
        <v>1083</v>
      </c>
      <c r="B2616" s="27" t="s">
        <v>790</v>
      </c>
      <c r="C2616" s="27" t="s">
        <v>715</v>
      </c>
      <c r="D2616" s="27" t="s">
        <v>716</v>
      </c>
      <c r="E2616" s="21">
        <f>IF(D2616="?OLD","!!!","")</f>
        <v/>
      </c>
      <c r="F2616" s="22" t="str">
        <f>IF(OR(E2616="",E2616="!!!"),"",IF(NOT(ISNA(VLOOKUP(E2616,E$1:E2615,1,FALSE()))),"OLD",IF(AND(E2616&lt;&gt;"",E2616&lt;&gt;"!!!"),"NEW","")))</f>
        <v> </v>
      </c>
      <c r="G2616" s="23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4" t="str">
        <f>IF(J2616&lt;&gt;1,"",IF(I2616="SBJ","CB","?"))</f>
        <v> </v>
      </c>
      <c r="I2616" s="25" t="str">
        <f>IF(OR(E2616="",E2616="!!!",F2616="NEW"),"",INDEX(B2615:B$2,-1+SUMPRODUCT(MAX(ROW(E2615:E$2)*(E2616=E2615:E$2)))))</f>
        <v> </v>
      </c>
      <c r="J2616" s="25" t="str">
        <f>IF(OR(E2616="",E2616="!!!",F2616="NEW"),"",COUNTBLANK(OFFSET(A$1,,,SUMPRODUCT(MAX(ROW(E$2:E2616)*(E2616=E$2:E2616)))))-COUNTBLANK(OFFSET(A$1,,,SUMPRODUCT(MAX(ROW(E$1:E2615)*(E2=E$1:E2615))))))</f>
        <v> </v>
      </c>
      <c r="K2616" s="25" t="str">
        <f>IF(OR(E2616="",E2616="!!!",F2616="NEW"),"",INDEX(J$1:J2615,SUMPRODUCT(MAX(ROW(E$1:E2615)*(E2616=E$1:E2615)))))</f>
        <v> </v>
      </c>
      <c r="L2616" s="26"/>
    </row>
    <row r="2617" spans="1:12">
      <c r="A2617" s="20" t="s">
        <v>1204</v>
      </c>
      <c r="E2617" s="21">
        <f>IF(D2617="?OLD","!!!","")</f>
        <v/>
      </c>
      <c r="F2617" s="22" t="str">
        <f>IF(OR(E2617="",E2617="!!!"),"",IF(NOT(ISNA(VLOOKUP(E2617,E$1:E2616,1,FALSE()))),"OLD",IF(AND(E2617&lt;&gt;"",E2617&lt;&gt;"!!!"),"NEW","")))</f>
        <v> </v>
      </c>
      <c r="G2617" s="23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4" t="str">
        <f>IF(J2617&lt;&gt;1,"",IF(I2617="SBJ","CB","?"))</f>
        <v> </v>
      </c>
      <c r="I2617" s="25" t="str">
        <f>IF(OR(E2617="",E2617="!!!",F2617="NEW"),"",INDEX(B2616:B$2,-1+SUMPRODUCT(MAX(ROW(E2616:E$2)*(E2617=E2616:E$2)))))</f>
        <v> </v>
      </c>
      <c r="J2617" s="25" t="str">
        <f>IF(OR(E2617="",E2617="!!!",F2617="NEW"),"",COUNTBLANK(OFFSET(A$1,,,SUMPRODUCT(MAX(ROW(E$2:E2617)*(E2617=E$2:E2617)))))-COUNTBLANK(OFFSET(A$1,,,SUMPRODUCT(MAX(ROW(E$1:E2616)*(E2=E$1:E2616))))))</f>
        <v> </v>
      </c>
      <c r="K2617" s="25" t="str">
        <f>IF(OR(E2617="",E2617="!!!",F2617="NEW"),"",INDEX(J$1:J2616,SUMPRODUCT(MAX(ROW(E$1:E2616)*(E2617=E$1:E2616)))))</f>
        <v> </v>
      </c>
      <c r="L2617" s="26"/>
    </row>
    <row r="2618" spans="1:12">
      <c r="A2618" s="20" t="s">
        <v>737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 t="s">
        <v>822</v>
      </c>
      <c r="E2619" s="21">
        <f>IF(D2619="?OLD","!!!","")</f>
        <v/>
      </c>
      <c r="F2619" s="22" t="str">
        <f>IF(OR(E2619="",E2619="!!!"),"",IF(NOT(ISNA(VLOOKUP(E2619,E$1:E2618,1,FALSE()))),"OLD",IF(AND(E2619&lt;&gt;"",E2619&lt;&gt;"!!!"),"NEW","")))</f>
        <v> </v>
      </c>
      <c r="G2619" s="23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4" t="str">
        <f>IF(J2619&lt;&gt;1,"",IF(I2619="SBJ","CB","?"))</f>
        <v> </v>
      </c>
      <c r="I2619" s="25" t="str">
        <f>IF(OR(E2619="",E2619="!!!",F2619="NEW"),"",INDEX(B2618:B$2,-1+SUMPRODUCT(MAX(ROW(E2618:E$2)*(E2619=E2618:E$2)))))</f>
        <v> </v>
      </c>
      <c r="J2619" s="25" t="str">
        <f>IF(OR(E2619="",E2619="!!!",F2619="NEW"),"",COUNTBLANK(OFFSET(A$1,,,SUMPRODUCT(MAX(ROW(E$2:E2619)*(E2619=E$2:E2619)))))-COUNTBLANK(OFFSET(A$1,,,SUMPRODUCT(MAX(ROW(E$1:E2618)*(E2=E$1:E2618))))))</f>
        <v> </v>
      </c>
      <c r="K2619" s="25" t="str">
        <f>IF(OR(E2619="",E2619="!!!",F2619="NEW"),"",INDEX(J$1:J2618,SUMPRODUCT(MAX(ROW(E$1:E2618)*(E2619=E$1:E2618)))))</f>
        <v> </v>
      </c>
      <c r="L2619" s="26"/>
    </row>
    <row r="2620" spans="1:12">
      <c r="A2620" s="20" t="s">
        <v>719</v>
      </c>
      <c r="B2620" s="27" t="s">
        <v>861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 t="s">
        <v>1464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1729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1641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 t="s">
        <v>1730</v>
      </c>
      <c r="E2624" s="21">
        <f>IF(D2624="?OLD","!!!","")</f>
        <v/>
      </c>
      <c r="F2624" s="22" t="str">
        <f>IF(OR(E2624="",E2624="!!!"),"",IF(NOT(ISNA(VLOOKUP(E2624,E$1:E2623,1,FALSE()))),"OLD",IF(AND(E2624&lt;&gt;"",E2624&lt;&gt;"!!!"),"NEW","")))</f>
        <v> </v>
      </c>
      <c r="G2624" s="23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4" t="str">
        <f>IF(J2624&lt;&gt;1,"",IF(I2624="SBJ","CB","?"))</f>
        <v> </v>
      </c>
      <c r="I2624" s="25" t="str">
        <f>IF(OR(E2624="",E2624="!!!",F2624="NEW"),"",INDEX(B2623:B$2,-1+SUMPRODUCT(MAX(ROW(E2623:E$2)*(E2624=E2623:E$2)))))</f>
        <v> </v>
      </c>
      <c r="J2624" s="25" t="str">
        <f>IF(OR(E2624="",E2624="!!!",F2624="NEW"),"",COUNTBLANK(OFFSET(A$1,,,SUMPRODUCT(MAX(ROW(E$2:E2624)*(E2624=E$2:E2624)))))-COUNTBLANK(OFFSET(A$1,,,SUMPRODUCT(MAX(ROW(E$1:E2623)*(E2=E$1:E2623))))))</f>
        <v> </v>
      </c>
      <c r="K2624" s="25" t="str">
        <f>IF(OR(E2624="",E2624="!!!",F2624="NEW"),"",INDEX(J$1:J2623,SUMPRODUCT(MAX(ROW(E$1:E2623)*(E2624=E$1:E2623)))))</f>
        <v> </v>
      </c>
      <c r="L2624" s="26"/>
    </row>
    <row r="2625" spans="1:12">
      <c r="A2625" s="20" t="s">
        <v>737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 t="s">
        <v>789</v>
      </c>
      <c r="B2626" s="27" t="s">
        <v>920</v>
      </c>
      <c r="C2626" s="27" t="s">
        <v>791</v>
      </c>
      <c r="E2626" s="21">
        <f>IF(D2626="?OLD","!!!","")</f>
        <v/>
      </c>
      <c r="F2626" s="22" t="str">
        <f>IF(OR(E2626="",E2626="!!!"),"",IF(NOT(ISNA(VLOOKUP(E2626,E$1:E2625,1,FALSE()))),"OLD",IF(AND(E2626&lt;&gt;"",E2626&lt;&gt;"!!!"),"NEW","")))</f>
        <v> </v>
      </c>
      <c r="G2626" s="23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4" t="str">
        <f>IF(J2626&lt;&gt;1,"",IF(I2626="SBJ","CB","?"))</f>
        <v> </v>
      </c>
      <c r="I2626" s="25" t="str">
        <f>IF(OR(E2626="",E2626="!!!",F2626="NEW"),"",INDEX(B2625:B$2,-1+SUMPRODUCT(MAX(ROW(E2625:E$2)*(E2626=E2625:E$2)))))</f>
        <v> </v>
      </c>
      <c r="J2626" s="25" t="str">
        <f>IF(OR(E2626="",E2626="!!!",F2626="NEW"),"",COUNTBLANK(OFFSET(A$1,,,SUMPRODUCT(MAX(ROW(E$2:E2626)*(E2626=E$2:E2626)))))-COUNTBLANK(OFFSET(A$1,,,SUMPRODUCT(MAX(ROW(E$1:E2625)*(E2=E$1:E2625))))))</f>
        <v> </v>
      </c>
      <c r="K2626" s="25" t="str">
        <f>IF(OR(E2626="",E2626="!!!",F2626="NEW"),"",INDEX(J$1:J2625,SUMPRODUCT(MAX(ROW(E$1:E2625)*(E2626=E$1:E2625)))))</f>
        <v> </v>
      </c>
      <c r="L2626" s="26"/>
    </row>
    <row r="2627" spans="1:12">
      <c r="A2627" s="20" t="s">
        <v>869</v>
      </c>
      <c r="B2627" s="27" t="s">
        <v>1731</v>
      </c>
      <c r="C2627" s="27" t="s">
        <v>715</v>
      </c>
      <c r="D2627" s="27" t="s">
        <v>716</v>
      </c>
      <c r="E2627" s="21">
        <f>IF(D2627="?OLD","!!!","")</f>
        <v/>
      </c>
      <c r="F2627" s="22" t="str">
        <f>IF(OR(E2627="",E2627="!!!"),"",IF(NOT(ISNA(VLOOKUP(E2627,E$1:E2626,1,FALSE()))),"OLD",IF(AND(E2627&lt;&gt;"",E2627&lt;&gt;"!!!"),"NEW","")))</f>
        <v> </v>
      </c>
      <c r="G2627" s="23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4" t="str">
        <f>IF(J2627&lt;&gt;1,"",IF(I2627="SBJ","CB","?"))</f>
        <v> </v>
      </c>
      <c r="I2627" s="25" t="str">
        <f>IF(OR(E2627="",E2627="!!!",F2627="NEW"),"",INDEX(B2626:B$2,-1+SUMPRODUCT(MAX(ROW(E2626:E$2)*(E2627=E2626:E$2)))))</f>
        <v> </v>
      </c>
      <c r="J2627" s="25" t="str">
        <f>IF(OR(E2627="",E2627="!!!",F2627="NEW"),"",COUNTBLANK(OFFSET(A$1,,,SUMPRODUCT(MAX(ROW(E$2:E2627)*(E2627=E$2:E2627)))))-COUNTBLANK(OFFSET(A$1,,,SUMPRODUCT(MAX(ROW(E$1:E2626)*(E2=E$1:E2626))))))</f>
        <v> </v>
      </c>
      <c r="K2627" s="25" t="str">
        <f>IF(OR(E2627="",E2627="!!!",F2627="NEW"),"",INDEX(J$1:J2626,SUMPRODUCT(MAX(ROW(E$1:E2626)*(E2627=E$1:E2626)))))</f>
        <v> </v>
      </c>
      <c r="L2627" s="26"/>
    </row>
    <row r="2628" spans="1:12">
      <c r="A2628" s="20" t="s">
        <v>1732</v>
      </c>
      <c r="E2628" s="21">
        <f>IF(D2628="?OLD","!!!","")</f>
        <v/>
      </c>
      <c r="F2628" s="22" t="str">
        <f>IF(OR(E2628="",E2628="!!!"),"",IF(NOT(ISNA(VLOOKUP(E2628,E$1:E2627,1,FALSE()))),"OLD",IF(AND(E2628&lt;&gt;"",E2628&lt;&gt;"!!!"),"NEW","")))</f>
        <v> </v>
      </c>
      <c r="G2628" s="23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4" t="str">
        <f>IF(J2628&lt;&gt;1,"",IF(I2628="SBJ","CB","?"))</f>
        <v> </v>
      </c>
      <c r="I2628" s="25" t="str">
        <f>IF(OR(E2628="",E2628="!!!",F2628="NEW"),"",INDEX(B2627:B$2,-1+SUMPRODUCT(MAX(ROW(E2627:E$2)*(E2628=E2627:E$2)))))</f>
        <v> </v>
      </c>
      <c r="J2628" s="25" t="str">
        <f>IF(OR(E2628="",E2628="!!!",F2628="NEW"),"",COUNTBLANK(OFFSET(A$1,,,SUMPRODUCT(MAX(ROW(E$2:E2628)*(E2628=E$2:E2628)))))-COUNTBLANK(OFFSET(A$1,,,SUMPRODUCT(MAX(ROW(E$1:E2627)*(E2=E$1:E2627))))))</f>
        <v> </v>
      </c>
      <c r="K2628" s="25" t="str">
        <f>IF(OR(E2628="",E2628="!!!",F2628="NEW"),"",INDEX(J$1:J2627,SUMPRODUCT(MAX(ROW(E$1:E2627)*(E2628=E$1:E2627)))))</f>
        <v> </v>
      </c>
      <c r="L2628" s="26"/>
    </row>
    <row r="2629" spans="1:12">
      <c r="A2629" s="20" t="s">
        <v>737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 t="s">
        <v>1733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1368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941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1067</v>
      </c>
      <c r="B2633" s="27" t="s">
        <v>923</v>
      </c>
      <c r="C2633" s="27" t="s">
        <v>715</v>
      </c>
      <c r="D2633" s="27" t="s">
        <v>716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720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/>
    </row>
    <row r="2636" spans="1:12">
      <c r="A2636" s="20" t="s">
        <v>1734</v>
      </c>
    </row>
    <row r="2637" spans="1:12">
      <c r="A2637" s="20" t="s">
        <v>1735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 t="s">
        <v>743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1664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 t="s">
        <v>1736</v>
      </c>
      <c r="B2640" s="27" t="s">
        <v>714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737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749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832</v>
      </c>
      <c r="B2643" s="27" t="s">
        <v>745</v>
      </c>
      <c r="C2643" s="27" t="s">
        <v>782</v>
      </c>
      <c r="D2643" s="27" t="s">
        <v>716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 t="s">
        <v>1737</v>
      </c>
      <c r="E2644" s="21">
        <f>IF(D2644="?OLD","!!!","")</f>
        <v/>
      </c>
      <c r="F2644" s="22" t="str">
        <f>IF(OR(E2644="",E2644="!!!"),"",IF(NOT(ISNA(VLOOKUP(E2644,E$1:E2643,1,FALSE()))),"OLD",IF(AND(E2644&lt;&gt;"",E2644&lt;&gt;"!!!"),"NEW","")))</f>
        <v> </v>
      </c>
      <c r="G2644" s="23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4" t="str">
        <f>IF(J2644&lt;&gt;1,"",IF(I2644="SBJ","CB","?"))</f>
        <v> </v>
      </c>
      <c r="I2644" s="25" t="str">
        <f>IF(OR(E2644="",E2644="!!!",F2644="NEW"),"",INDEX(B2643:B$2,-1+SUMPRODUCT(MAX(ROW(E2643:E$2)*(E2644=E2643:E$2)))))</f>
        <v> </v>
      </c>
      <c r="J2644" s="25" t="str">
        <f>IF(OR(E2644="",E2644="!!!",F2644="NEW"),"",COUNTBLANK(OFFSET(A$1,,,SUMPRODUCT(MAX(ROW(E$2:E2644)*(E2644=E$2:E2644)))))-COUNTBLANK(OFFSET(A$1,,,SUMPRODUCT(MAX(ROW(E$1:E2643)*(E2=E$1:E2643))))))</f>
        <v> </v>
      </c>
      <c r="K2644" s="25" t="str">
        <f>IF(OR(E2644="",E2644="!!!",F2644="NEW"),"",INDEX(J$1:J2643,SUMPRODUCT(MAX(ROW(E$1:E2643)*(E2644=E$1:E2643)))))</f>
        <v> </v>
      </c>
      <c r="L2644" s="26"/>
    </row>
    <row r="2645" spans="1:12">
      <c r="A2645" s="20" t="s">
        <v>1738</v>
      </c>
      <c r="E2645" s="21">
        <f>IF(D2645="?OLD","!!!","")</f>
        <v/>
      </c>
      <c r="F2645" s="22" t="str">
        <f>IF(OR(E2645="",E2645="!!!"),"",IF(NOT(ISNA(VLOOKUP(E2645,E$1:E2644,1,FALSE()))),"OLD",IF(AND(E2645&lt;&gt;"",E2645&lt;&gt;"!!!"),"NEW","")))</f>
        <v> </v>
      </c>
      <c r="G2645" s="23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4" t="str">
        <f>IF(J2645&lt;&gt;1,"",IF(I2645="SBJ","CB","?"))</f>
        <v> </v>
      </c>
      <c r="I2645" s="25" t="str">
        <f>IF(OR(E2645="",E2645="!!!",F2645="NEW"),"",INDEX(B2644:B$2,-1+SUMPRODUCT(MAX(ROW(E2644:E$2)*(E2645=E2644:E$2)))))</f>
        <v> </v>
      </c>
      <c r="J2645" s="25" t="str">
        <f>IF(OR(E2645="",E2645="!!!",F2645="NEW"),"",COUNTBLANK(OFFSET(A$1,,,SUMPRODUCT(MAX(ROW(E$2:E2645)*(E2645=E$2:E2645)))))-COUNTBLANK(OFFSET(A$1,,,SUMPRODUCT(MAX(ROW(E$1:E2644)*(E2=E$1:E2644))))))</f>
        <v> </v>
      </c>
      <c r="K2645" s="25" t="str">
        <f>IF(OR(E2645="",E2645="!!!",F2645="NEW"),"",INDEX(J$1:J2644,SUMPRODUCT(MAX(ROW(E$1:E2644)*(E2645=E$1:E2644)))))</f>
        <v> </v>
      </c>
      <c r="L2645" s="26"/>
    </row>
    <row r="2646" spans="1:12">
      <c r="A2646" s="20" t="s">
        <v>720</v>
      </c>
      <c r="E2646" s="21">
        <f>IF(D2646="?OLD","!!!","")</f>
        <v/>
      </c>
      <c r="F2646" s="22" t="str">
        <f>IF(OR(E2646="",E2646="!!!"),"",IF(NOT(ISNA(VLOOKUP(E2646,E$1:E2645,1,FALSE()))),"OLD",IF(AND(E2646&lt;&gt;"",E2646&lt;&gt;"!!!"),"NEW","")))</f>
        <v> </v>
      </c>
      <c r="G2646" s="23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4" t="str">
        <f>IF(J2646&lt;&gt;1,"",IF(I2646="SBJ","CB","?"))</f>
        <v> </v>
      </c>
      <c r="I2646" s="25" t="str">
        <f>IF(OR(E2646="",E2646="!!!",F2646="NEW"),"",INDEX(B2645:B$2,-1+SUMPRODUCT(MAX(ROW(E2645:E$2)*(E2646=E2645:E$2)))))</f>
        <v> </v>
      </c>
      <c r="J2646" s="25" t="str">
        <f>IF(OR(E2646="",E2646="!!!",F2646="NEW"),"",COUNTBLANK(OFFSET(A$1,,,SUMPRODUCT(MAX(ROW(E$2:E2646)*(E2646=E$2:E2646)))))-COUNTBLANK(OFFSET(A$1,,,SUMPRODUCT(MAX(ROW(E$1:E2645)*(E2=E$1:E2645))))))</f>
        <v> </v>
      </c>
      <c r="K2646" s="25" t="str">
        <f>IF(OR(E2646="",E2646="!!!",F2646="NEW"),"",INDEX(J$1:J2645,SUMPRODUCT(MAX(ROW(E$1:E2645)*(E2646=E$1:E2645)))))</f>
        <v> </v>
      </c>
      <c r="L2646" s="26"/>
    </row>
    <row r="2647" spans="1:12">
      <c r="A2647" s="20"/>
    </row>
    <row r="2648" spans="1:12">
      <c r="A2648" s="20" t="s">
        <v>1739</v>
      </c>
    </row>
    <row r="2649" spans="1:12">
      <c r="A2649" s="20" t="s">
        <v>1666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822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1253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 t="s">
        <v>1034</v>
      </c>
      <c r="B2652" s="27" t="s">
        <v>745</v>
      </c>
      <c r="C2652" s="27" t="s">
        <v>715</v>
      </c>
      <c r="D2652" s="27" t="s">
        <v>716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1740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 t="s">
        <v>737</v>
      </c>
      <c r="E2654" s="21">
        <f>IF(D2654="?OLD","!!!","")</f>
        <v/>
      </c>
      <c r="F2654" s="22" t="str">
        <f>IF(OR(E2654="",E2654="!!!"),"",IF(NOT(ISNA(VLOOKUP(E2654,E$1:E2653,1,FALSE()))),"OLD",IF(AND(E2654&lt;&gt;"",E2654&lt;&gt;"!!!"),"NEW","")))</f>
        <v> </v>
      </c>
      <c r="G2654" s="23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4" t="str">
        <f>IF(J2654&lt;&gt;1,"",IF(I2654="SBJ","CB","?"))</f>
        <v> </v>
      </c>
      <c r="I2654" s="25" t="str">
        <f>IF(OR(E2654="",E2654="!!!",F2654="NEW"),"",INDEX(B2653:B$2,-1+SUMPRODUCT(MAX(ROW(E2653:E$2)*(E2654=E2653:E$2)))))</f>
        <v> </v>
      </c>
      <c r="J2654" s="25" t="str">
        <f>IF(OR(E2654="",E2654="!!!",F2654="NEW"),"",COUNTBLANK(OFFSET(A$1,,,SUMPRODUCT(MAX(ROW(E$2:E2654)*(E2654=E$2:E2654)))))-COUNTBLANK(OFFSET(A$1,,,SUMPRODUCT(MAX(ROW(E$1:E2653)*(E2=E$1:E2653))))))</f>
        <v> </v>
      </c>
      <c r="K2654" s="25" t="str">
        <f>IF(OR(E2654="",E2654="!!!",F2654="NEW"),"",INDEX(J$1:J2653,SUMPRODUCT(MAX(ROW(E$1:E2653)*(E2654=E$1:E2653)))))</f>
        <v> </v>
      </c>
      <c r="L2654" s="26"/>
    </row>
    <row r="2655" spans="1:12">
      <c r="A2655" s="20" t="s">
        <v>773</v>
      </c>
      <c r="E2655" s="21">
        <f>IF(D2655="?OLD","!!!","")</f>
        <v/>
      </c>
      <c r="F2655" s="22" t="str">
        <f>IF(OR(E2655="",E2655="!!!"),"",IF(NOT(ISNA(VLOOKUP(E2655,E$1:E2654,1,FALSE()))),"OLD",IF(AND(E2655&lt;&gt;"",E2655&lt;&gt;"!!!"),"NEW","")))</f>
        <v> </v>
      </c>
      <c r="G2655" s="23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4" t="str">
        <f>IF(J2655&lt;&gt;1,"",IF(I2655="SBJ","CB","?"))</f>
        <v> </v>
      </c>
      <c r="I2655" s="25" t="str">
        <f>IF(OR(E2655="",E2655="!!!",F2655="NEW"),"",INDEX(B2654:B$2,-1+SUMPRODUCT(MAX(ROW(E2654:E$2)*(E2655=E2654:E$2)))))</f>
        <v> </v>
      </c>
      <c r="J2655" s="25" t="str">
        <f>IF(OR(E2655="",E2655="!!!",F2655="NEW"),"",COUNTBLANK(OFFSET(A$1,,,SUMPRODUCT(MAX(ROW(E$2:E2655)*(E2655=E$2:E2655)))))-COUNTBLANK(OFFSET(A$1,,,SUMPRODUCT(MAX(ROW(E$1:E2654)*(E2=E$1:E2654))))))</f>
        <v> </v>
      </c>
      <c r="K2655" s="25" t="str">
        <f>IF(OR(E2655="",E2655="!!!",F2655="NEW"),"",INDEX(J$1:J2654,SUMPRODUCT(MAX(ROW(E$1:E2654)*(E2655=E$1:E2654)))))</f>
        <v> </v>
      </c>
      <c r="L2655" s="26"/>
    </row>
    <row r="2656" spans="1:12">
      <c r="A2656" s="20" t="s">
        <v>719</v>
      </c>
      <c r="B2656" s="27" t="s">
        <v>847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1013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 t="s">
        <v>589</v>
      </c>
      <c r="B2658" s="27" t="s">
        <v>861</v>
      </c>
      <c r="C2658" s="27" t="s">
        <v>715</v>
      </c>
      <c r="D2658" s="27" t="s">
        <v>716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1741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737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1568</v>
      </c>
      <c r="B2661" s="27" t="s">
        <v>808</v>
      </c>
      <c r="C2661" s="27" t="s">
        <v>715</v>
      </c>
      <c r="D2661" s="27" t="s">
        <v>716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735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1742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1743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 t="s">
        <v>871</v>
      </c>
      <c r="E2665" s="21">
        <f>IF(D2665="?OLD","!!!","")</f>
        <v/>
      </c>
      <c r="F2665" s="22" t="str">
        <f>IF(OR(E2665="",E2665="!!!"),"",IF(NOT(ISNA(VLOOKUP(E2665,E$1:E2664,1,FALSE()))),"OLD",IF(AND(E2665&lt;&gt;"",E2665&lt;&gt;"!!!"),"NEW","")))</f>
        <v> </v>
      </c>
      <c r="G2665" s="23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4" t="str">
        <f>IF(J2665&lt;&gt;1,"",IF(I2665="SBJ","CB","?"))</f>
        <v> </v>
      </c>
      <c r="I2665" s="25" t="str">
        <f>IF(OR(E2665="",E2665="!!!",F2665="NEW"),"",INDEX(B2664:B$2,-1+SUMPRODUCT(MAX(ROW(E2664:E$2)*(E2665=E2664:E$2)))))</f>
        <v> </v>
      </c>
      <c r="J2665" s="25" t="str">
        <f>IF(OR(E2665="",E2665="!!!",F2665="NEW"),"",COUNTBLANK(OFFSET(A$1,,,SUMPRODUCT(MAX(ROW(E$2:E2665)*(E2665=E$2:E2665)))))-COUNTBLANK(OFFSET(A$1,,,SUMPRODUCT(MAX(ROW(E$1:E2664)*(E2=E$1:E2664))))))</f>
        <v> </v>
      </c>
      <c r="K2665" s="25" t="str">
        <f>IF(OR(E2665="",E2665="!!!",F2665="NEW"),"",INDEX(J$1:J2664,SUMPRODUCT(MAX(ROW(E$1:E2664)*(E2665=E$1:E2664)))))</f>
        <v> </v>
      </c>
      <c r="L2665" s="26"/>
    </row>
    <row r="2666" spans="1:12">
      <c r="A2666" s="20" t="s">
        <v>473</v>
      </c>
      <c r="E2666" s="21">
        <f>IF(D2666="?OLD","!!!","")</f>
        <v/>
      </c>
      <c r="F2666" s="22" t="str">
        <f>IF(OR(E2666="",E2666="!!!"),"",IF(NOT(ISNA(VLOOKUP(E2666,E$1:E2665,1,FALSE()))),"OLD",IF(AND(E2666&lt;&gt;"",E2666&lt;&gt;"!!!"),"NEW","")))</f>
        <v> </v>
      </c>
      <c r="G2666" s="23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4" t="str">
        <f>IF(J2666&lt;&gt;1,"",IF(I2666="SBJ","CB","?"))</f>
        <v> </v>
      </c>
      <c r="I2666" s="25" t="str">
        <f>IF(OR(E2666="",E2666="!!!",F2666="NEW"),"",INDEX(B2665:B$2,-1+SUMPRODUCT(MAX(ROW(E2665:E$2)*(E2666=E2665:E$2)))))</f>
        <v> </v>
      </c>
      <c r="J2666" s="25" t="str">
        <f>IF(OR(E2666="",E2666="!!!",F2666="NEW"),"",COUNTBLANK(OFFSET(A$1,,,SUMPRODUCT(MAX(ROW(E$2:E2666)*(E2666=E$2:E2666)))))-COUNTBLANK(OFFSET(A$1,,,SUMPRODUCT(MAX(ROW(E$1:E2665)*(E2=E$1:E2665))))))</f>
        <v> </v>
      </c>
      <c r="K2666" s="25" t="str">
        <f>IF(OR(E2666="",E2666="!!!",F2666="NEW"),"",INDEX(J$1:J2665,SUMPRODUCT(MAX(ROW(E$1:E2665)*(E2666=E$1:E2665)))))</f>
        <v> </v>
      </c>
      <c r="L2666" s="26"/>
    </row>
    <row r="2667" spans="1:12">
      <c r="A2667" s="20" t="s">
        <v>901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1064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903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1744</v>
      </c>
      <c r="B2670" s="27" t="s">
        <v>727</v>
      </c>
      <c r="C2670" s="27" t="s">
        <v>728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720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/>
    </row>
    <row r="2673" spans="1:12">
      <c r="A2673" s="20" t="s">
        <v>1745</v>
      </c>
    </row>
    <row r="2674" spans="1:12">
      <c r="A2674" s="20" t="s">
        <v>1746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1747</v>
      </c>
      <c r="B2675" s="27" t="s">
        <v>768</v>
      </c>
      <c r="C2675" s="27" t="s">
        <v>799</v>
      </c>
      <c r="D2675" s="27" t="s">
        <v>716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 t="s">
        <v>1748</v>
      </c>
      <c r="B2676" s="27" t="s">
        <v>714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12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 t="s">
        <v>12</v>
      </c>
      <c r="E2678" s="21">
        <f>IF(D2678="?OLD","!!!","")</f>
        <v/>
      </c>
      <c r="F2678" s="22" t="str">
        <f>IF(OR(E2678="",E2678="!!!"),"",IF(NOT(ISNA(VLOOKUP(E2678,E$1:E2677,1,FALSE()))),"OLD",IF(AND(E2678&lt;&gt;"",E2678&lt;&gt;"!!!"),"NEW","")))</f>
        <v> </v>
      </c>
      <c r="G2678" s="23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4" t="str">
        <f>IF(J2678&lt;&gt;1,"",IF(I2678="SBJ","CB","?"))</f>
        <v> </v>
      </c>
      <c r="I2678" s="25" t="str">
        <f>IF(OR(E2678="",E2678="!!!",F2678="NEW"),"",INDEX(B2677:B$2,-1+SUMPRODUCT(MAX(ROW(E2677:E$2)*(E2678=E2677:E$2)))))</f>
        <v> </v>
      </c>
      <c r="J2678" s="25" t="str">
        <f>IF(OR(E2678="",E2678="!!!",F2678="NEW"),"",COUNTBLANK(OFFSET(A$1,,,SUMPRODUCT(MAX(ROW(E$2:E2678)*(E2678=E$2:E2678)))))-COUNTBLANK(OFFSET(A$1,,,SUMPRODUCT(MAX(ROW(E$1:E2677)*(E2=E$1:E2677))))))</f>
        <v> </v>
      </c>
      <c r="K2678" s="25" t="str">
        <f>IF(OR(E2678="",E2678="!!!",F2678="NEW"),"",INDEX(J$1:J2677,SUMPRODUCT(MAX(ROW(E$1:E2677)*(E2678=E$1:E2677)))))</f>
        <v> </v>
      </c>
      <c r="L2678" s="26"/>
    </row>
    <row r="2679" spans="1:12">
      <c r="A2679" s="20" t="s">
        <v>823</v>
      </c>
      <c r="B2679" s="27" t="s">
        <v>714</v>
      </c>
      <c r="C2679" s="27" t="s">
        <v>715</v>
      </c>
      <c r="D2679" s="27" t="s">
        <v>716</v>
      </c>
      <c r="E2679" s="21">
        <f>IF(D2679="?OLD","!!!","")</f>
        <v/>
      </c>
      <c r="F2679" s="22" t="str">
        <f>IF(OR(E2679="",E2679="!!!"),"",IF(NOT(ISNA(VLOOKUP(E2679,E$1:E2678,1,FALSE()))),"OLD",IF(AND(E2679&lt;&gt;"",E2679&lt;&gt;"!!!"),"NEW","")))</f>
        <v> </v>
      </c>
      <c r="G2679" s="23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4" t="str">
        <f>IF(J2679&lt;&gt;1,"",IF(I2679="SBJ","CB","?"))</f>
        <v> </v>
      </c>
      <c r="I2679" s="25" t="str">
        <f>IF(OR(E2679="",E2679="!!!",F2679="NEW"),"",INDEX(B2678:B$2,-1+SUMPRODUCT(MAX(ROW(E2678:E$2)*(E2679=E2678:E$2)))))</f>
        <v> </v>
      </c>
      <c r="J2679" s="25" t="str">
        <f>IF(OR(E2679="",E2679="!!!",F2679="NEW"),"",COUNTBLANK(OFFSET(A$1,,,SUMPRODUCT(MAX(ROW(E$2:E2679)*(E2679=E$2:E2679)))))-COUNTBLANK(OFFSET(A$1,,,SUMPRODUCT(MAX(ROW(E$1:E2678)*(E2=E$1:E2678))))))</f>
        <v> </v>
      </c>
      <c r="K2679" s="25" t="str">
        <f>IF(OR(E2679="",E2679="!!!",F2679="NEW"),"",INDEX(J$1:J2678,SUMPRODUCT(MAX(ROW(E$1:E2678)*(E2679=E$1:E2678)))))</f>
        <v> </v>
      </c>
      <c r="L2679" s="26"/>
    </row>
    <row r="2680" spans="1:12">
      <c r="A2680" s="20" t="s">
        <v>793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862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1749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719</v>
      </c>
      <c r="B2683" s="27" t="s">
        <v>727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 t="s">
        <v>820</v>
      </c>
      <c r="E2684" s="21">
        <f>IF(D2684="?OLD","!!!","")</f>
        <v/>
      </c>
      <c r="F2684" s="22" t="str">
        <f>IF(OR(E2684="",E2684="!!!"),"",IF(NOT(ISNA(VLOOKUP(E2684,E$1:E2683,1,FALSE()))),"OLD",IF(AND(E2684&lt;&gt;"",E2684&lt;&gt;"!!!"),"NEW","")))</f>
        <v> </v>
      </c>
      <c r="G2684" s="23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4" t="str">
        <f>IF(J2684&lt;&gt;1,"",IF(I2684="SBJ","CB","?"))</f>
        <v> </v>
      </c>
      <c r="I2684" s="25" t="str">
        <f>IF(OR(E2684="",E2684="!!!",F2684="NEW"),"",INDEX(B2683:B$2,-1+SUMPRODUCT(MAX(ROW(E2683:E$2)*(E2684=E2683:E$2)))))</f>
        <v> </v>
      </c>
      <c r="J2684" s="25" t="str">
        <f>IF(OR(E2684="",E2684="!!!",F2684="NEW"),"",COUNTBLANK(OFFSET(A$1,,,SUMPRODUCT(MAX(ROW(E$2:E2684)*(E2684=E$2:E2684)))))-COUNTBLANK(OFFSET(A$1,,,SUMPRODUCT(MAX(ROW(E$1:E2683)*(E2=E$1:E2683))))))</f>
        <v> </v>
      </c>
      <c r="K2684" s="25" t="str">
        <f>IF(OR(E2684="",E2684="!!!",F2684="NEW"),"",INDEX(J$1:J2683,SUMPRODUCT(MAX(ROW(E$1:E2683)*(E2684=E$1:E2683)))))</f>
        <v> </v>
      </c>
      <c r="L2684" s="26"/>
    </row>
    <row r="2685" spans="1:12">
      <c r="A2685" s="20" t="s">
        <v>1750</v>
      </c>
      <c r="E2685" s="21">
        <f>IF(D2685="?OLD","!!!","")</f>
        <v/>
      </c>
      <c r="F2685" s="22" t="str">
        <f>IF(OR(E2685="",E2685="!!!"),"",IF(NOT(ISNA(VLOOKUP(E2685,E$1:E2684,1,FALSE()))),"OLD",IF(AND(E2685&lt;&gt;"",E2685&lt;&gt;"!!!"),"NEW","")))</f>
        <v> </v>
      </c>
      <c r="G2685" s="23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4" t="str">
        <f>IF(J2685&lt;&gt;1,"",IF(I2685="SBJ","CB","?"))</f>
        <v> </v>
      </c>
      <c r="I2685" s="25" t="str">
        <f>IF(OR(E2685="",E2685="!!!",F2685="NEW"),"",INDEX(B2684:B$2,-1+SUMPRODUCT(MAX(ROW(E2684:E$2)*(E2685=E2684:E$2)))))</f>
        <v> </v>
      </c>
      <c r="J2685" s="25" t="str">
        <f>IF(OR(E2685="",E2685="!!!",F2685="NEW"),"",COUNTBLANK(OFFSET(A$1,,,SUMPRODUCT(MAX(ROW(E$2:E2685)*(E2685=E$2:E2685)))))-COUNTBLANK(OFFSET(A$1,,,SUMPRODUCT(MAX(ROW(E$1:E2684)*(E2=E$1:E2684))))))</f>
        <v> </v>
      </c>
      <c r="K2685" s="25" t="str">
        <f>IF(OR(E2685="",E2685="!!!",F2685="NEW"),"",INDEX(J$1:J2684,SUMPRODUCT(MAX(ROW(E$1:E2684)*(E2685=E$1:E2684)))))</f>
        <v> </v>
      </c>
      <c r="L2685" s="26"/>
    </row>
    <row r="2686" spans="1:12">
      <c r="A2686" s="20" t="s">
        <v>1634</v>
      </c>
      <c r="E2686" s="21">
        <f>IF(D2686="?OLD","!!!","")</f>
        <v/>
      </c>
      <c r="F2686" s="22" t="str">
        <f>IF(OR(E2686="",E2686="!!!"),"",IF(NOT(ISNA(VLOOKUP(E2686,E$1:E2685,1,FALSE()))),"OLD",IF(AND(E2686&lt;&gt;"",E2686&lt;&gt;"!!!"),"NEW","")))</f>
        <v> </v>
      </c>
      <c r="G2686" s="23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4" t="str">
        <f>IF(J2686&lt;&gt;1,"",IF(I2686="SBJ","CB","?"))</f>
        <v> </v>
      </c>
      <c r="I2686" s="25" t="str">
        <f>IF(OR(E2686="",E2686="!!!",F2686="NEW"),"",INDEX(B2685:B$2,-1+SUMPRODUCT(MAX(ROW(E2685:E$2)*(E2686=E2685:E$2)))))</f>
        <v> </v>
      </c>
      <c r="J2686" s="25" t="str">
        <f>IF(OR(E2686="",E2686="!!!",F2686="NEW"),"",COUNTBLANK(OFFSET(A$1,,,SUMPRODUCT(MAX(ROW(E$2:E2686)*(E2686=E$2:E2686)))))-COUNTBLANK(OFFSET(A$1,,,SUMPRODUCT(MAX(ROW(E$1:E2685)*(E2=E$1:E2685))))))</f>
        <v> </v>
      </c>
      <c r="K2686" s="25" t="str">
        <f>IF(OR(E2686="",E2686="!!!",F2686="NEW"),"",INDEX(J$1:J2685,SUMPRODUCT(MAX(ROW(E$1:E2685)*(E2686=E$1:E2685)))))</f>
        <v> </v>
      </c>
      <c r="L2686" s="26"/>
    </row>
    <row r="2687" spans="1:12">
      <c r="A2687" s="20" t="s">
        <v>720</v>
      </c>
      <c r="E2687" s="21">
        <f>IF(D2687="?OLD","!!!","")</f>
        <v/>
      </c>
      <c r="F2687" s="22" t="str">
        <f>IF(OR(E2687="",E2687="!!!"),"",IF(NOT(ISNA(VLOOKUP(E2687,E$1:E2686,1,FALSE()))),"OLD",IF(AND(E2687&lt;&gt;"",E2687&lt;&gt;"!!!"),"NEW","")))</f>
        <v> </v>
      </c>
      <c r="G2687" s="23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4" t="str">
        <f>IF(J2687&lt;&gt;1,"",IF(I2687="SBJ","CB","?"))</f>
        <v> </v>
      </c>
      <c r="I2687" s="25" t="str">
        <f>IF(OR(E2687="",E2687="!!!",F2687="NEW"),"",INDEX(B2686:B$2,-1+SUMPRODUCT(MAX(ROW(E2686:E$2)*(E2687=E2686:E$2)))))</f>
        <v> </v>
      </c>
      <c r="J2687" s="25" t="str">
        <f>IF(OR(E2687="",E2687="!!!",F2687="NEW"),"",COUNTBLANK(OFFSET(A$1,,,SUMPRODUCT(MAX(ROW(E$2:E2687)*(E2687=E$2:E2687)))))-COUNTBLANK(OFFSET(A$1,,,SUMPRODUCT(MAX(ROW(E$1:E2686)*(E2=E$1:E2686))))))</f>
        <v> </v>
      </c>
      <c r="K2687" s="25" t="str">
        <f>IF(OR(E2687="",E2687="!!!",F2687="NEW"),"",INDEX(J$1:J2686,SUMPRODUCT(MAX(ROW(E$1:E2686)*(E2687=E$1:E2686)))))</f>
        <v> </v>
      </c>
      <c r="L2687" s="26"/>
    </row>
    <row r="2688" spans="1:12">
      <c r="A2688" s="20"/>
    </row>
    <row r="2689" spans="1:12">
      <c r="A2689" s="20" t="s">
        <v>1751</v>
      </c>
    </row>
    <row r="2690" spans="1:12">
      <c r="A2690" s="20" t="s">
        <v>810</v>
      </c>
      <c r="B2690" s="27" t="s">
        <v>714</v>
      </c>
      <c r="C2690" s="27" t="s">
        <v>782</v>
      </c>
      <c r="D2690" s="27" t="s">
        <v>716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 t="s">
        <v>1752</v>
      </c>
      <c r="E2691" s="21">
        <f>IF(D2691="?OLD","!!!","")</f>
        <v/>
      </c>
      <c r="F2691" s="22" t="str">
        <f>IF(OR(E2691="",E2691="!!!"),"",IF(NOT(ISNA(VLOOKUP(E2691,E$1:E2690,1,FALSE()))),"OLD",IF(AND(E2691&lt;&gt;"",E2691&lt;&gt;"!!!"),"NEW","")))</f>
        <v> </v>
      </c>
      <c r="G2691" s="23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4" t="str">
        <f>IF(J2691&lt;&gt;1,"",IF(I2691="SBJ","CB","?"))</f>
        <v> </v>
      </c>
      <c r="I2691" s="25" t="str">
        <f>IF(OR(E2691="",E2691="!!!",F2691="NEW"),"",INDEX(B2690:B$2,-1+SUMPRODUCT(MAX(ROW(E2690:E$2)*(E2691=E2690:E$2)))))</f>
        <v> </v>
      </c>
      <c r="J2691" s="25" t="str">
        <f>IF(OR(E2691="",E2691="!!!",F2691="NEW"),"",COUNTBLANK(OFFSET(A$1,,,SUMPRODUCT(MAX(ROW(E$2:E2691)*(E2691=E$2:E2691)))))-COUNTBLANK(OFFSET(A$1,,,SUMPRODUCT(MAX(ROW(E$1:E2690)*(E2=E$1:E2690))))))</f>
        <v> </v>
      </c>
      <c r="K2691" s="25" t="str">
        <f>IF(OR(E2691="",E2691="!!!",F2691="NEW"),"",INDEX(J$1:J2690,SUMPRODUCT(MAX(ROW(E$1:E2690)*(E2691=E$1:E2690)))))</f>
        <v> </v>
      </c>
      <c r="L2691" s="26"/>
    </row>
    <row r="2692" spans="1:12">
      <c r="A2692" s="20" t="s">
        <v>1614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465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720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/>
    </row>
    <row r="2696" spans="1:12">
      <c r="A2696" s="20" t="s">
        <v>1753</v>
      </c>
    </row>
    <row r="2697" spans="1:12">
      <c r="A2697" s="20" t="s">
        <v>797</v>
      </c>
      <c r="E2697" s="21">
        <f>IF(D2697="?OLD","!!!","")</f>
        <v/>
      </c>
      <c r="F2697" s="22" t="str">
        <f>IF(OR(E2697="",E2697="!!!"),"",IF(NOT(ISNA(VLOOKUP(E2697,E$1:E2696,1,FALSE()))),"OLD",IF(AND(E2697&lt;&gt;"",E2697&lt;&gt;"!!!"),"NEW","")))</f>
        <v> </v>
      </c>
      <c r="G2697" s="23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4" t="str">
        <f>IF(J2697&lt;&gt;1,"",IF(I2697="SBJ","CB","?"))</f>
        <v> </v>
      </c>
      <c r="I2697" s="25" t="str">
        <f>IF(OR(E2697="",E2697="!!!",F2697="NEW"),"",INDEX(B2696:B$2,-1+SUMPRODUCT(MAX(ROW(E2696:E$2)*(E2697=E2696:E$2)))))</f>
        <v> </v>
      </c>
      <c r="J2697" s="25" t="str">
        <f>IF(OR(E2697="",E2697="!!!",F2697="NEW"),"",COUNTBLANK(OFFSET(A$1,,,SUMPRODUCT(MAX(ROW(E$2:E2697)*(E2697=E$2:E2697)))))-COUNTBLANK(OFFSET(A$1,,,SUMPRODUCT(MAX(ROW(E$1:E2696)*(E2=E$1:E2696))))))</f>
        <v> </v>
      </c>
      <c r="K2697" s="25" t="str">
        <f>IF(OR(E2697="",E2697="!!!",F2697="NEW"),"",INDEX(J$1:J2696,SUMPRODUCT(MAX(ROW(E$1:E2696)*(E2697=E$1:E2696)))))</f>
        <v> </v>
      </c>
      <c r="L2697" s="26"/>
    </row>
    <row r="2698" spans="1:12">
      <c r="A2698" s="20" t="s">
        <v>1229</v>
      </c>
      <c r="E2698" s="21">
        <f>IF(D2698="?OLD","!!!","")</f>
        <v/>
      </c>
      <c r="F2698" s="22" t="str">
        <f>IF(OR(E2698="",E2698="!!!"),"",IF(NOT(ISNA(VLOOKUP(E2698,E$1:E2697,1,FALSE()))),"OLD",IF(AND(E2698&lt;&gt;"",E2698&lt;&gt;"!!!"),"NEW","")))</f>
        <v> </v>
      </c>
      <c r="G2698" s="23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4" t="str">
        <f>IF(J2698&lt;&gt;1,"",IF(I2698="SBJ","CB","?"))</f>
        <v> </v>
      </c>
      <c r="I2698" s="25" t="str">
        <f>IF(OR(E2698="",E2698="!!!",F2698="NEW"),"",INDEX(B2697:B$2,-1+SUMPRODUCT(MAX(ROW(E2697:E$2)*(E2698=E2697:E$2)))))</f>
        <v> </v>
      </c>
      <c r="J2698" s="25" t="str">
        <f>IF(OR(E2698="",E2698="!!!",F2698="NEW"),"",COUNTBLANK(OFFSET(A$1,,,SUMPRODUCT(MAX(ROW(E$2:E2698)*(E2698=E$2:E2698)))))-COUNTBLANK(OFFSET(A$1,,,SUMPRODUCT(MAX(ROW(E$1:E2697)*(E2=E$1:E2697))))))</f>
        <v> </v>
      </c>
      <c r="K2698" s="25" t="str">
        <f>IF(OR(E2698="",E2698="!!!",F2698="NEW"),"",INDEX(J$1:J2697,SUMPRODUCT(MAX(ROW(E$1:E2697)*(E2698=E$1:E2697)))))</f>
        <v> </v>
      </c>
      <c r="L2698" s="26"/>
    </row>
    <row r="2699" spans="1:12">
      <c r="A2699" s="20" t="s">
        <v>737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1139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533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 t="s">
        <v>737</v>
      </c>
      <c r="E2702" s="21">
        <f>IF(D2702="?OLD","!!!","")</f>
        <v/>
      </c>
      <c r="F2702" s="22" t="str">
        <f>IF(OR(E2702="",E2702="!!!"),"",IF(NOT(ISNA(VLOOKUP(E2702,E$1:E2701,1,FALSE()))),"OLD",IF(AND(E2702&lt;&gt;"",E2702&lt;&gt;"!!!"),"NEW","")))</f>
        <v> </v>
      </c>
      <c r="G2702" s="23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4" t="str">
        <f>IF(J2702&lt;&gt;1,"",IF(I2702="SBJ","CB","?"))</f>
        <v> </v>
      </c>
      <c r="I2702" s="25" t="str">
        <f>IF(OR(E2702="",E2702="!!!",F2702="NEW"),"",INDEX(B2701:B$2,-1+SUMPRODUCT(MAX(ROW(E2701:E$2)*(E2702=E2701:E$2)))))</f>
        <v> </v>
      </c>
      <c r="J2702" s="25" t="str">
        <f>IF(OR(E2702="",E2702="!!!",F2702="NEW"),"",COUNTBLANK(OFFSET(A$1,,,SUMPRODUCT(MAX(ROW(E$2:E2702)*(E2702=E$2:E2702)))))-COUNTBLANK(OFFSET(A$1,,,SUMPRODUCT(MAX(ROW(E$1:E2701)*(E2=E$1:E2701))))))</f>
        <v> </v>
      </c>
      <c r="K2702" s="25" t="str">
        <f>IF(OR(E2702="",E2702="!!!",F2702="NEW"),"",INDEX(J$1:J2701,SUMPRODUCT(MAX(ROW(E$1:E2701)*(E2702=E$1:E2701)))))</f>
        <v> </v>
      </c>
      <c r="L2702" s="26"/>
    </row>
    <row r="2703" spans="1:12">
      <c r="A2703" s="20" t="s">
        <v>753</v>
      </c>
      <c r="E2703" s="21">
        <f>IF(D2703="?OLD","!!!","")</f>
        <v/>
      </c>
      <c r="F2703" s="22" t="str">
        <f>IF(OR(E2703="",E2703="!!!"),"",IF(NOT(ISNA(VLOOKUP(E2703,E$1:E2702,1,FALSE()))),"OLD",IF(AND(E2703&lt;&gt;"",E2703&lt;&gt;"!!!"),"NEW","")))</f>
        <v> </v>
      </c>
      <c r="G2703" s="23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4" t="str">
        <f>IF(J2703&lt;&gt;1,"",IF(I2703="SBJ","CB","?"))</f>
        <v> </v>
      </c>
      <c r="I2703" s="25" t="str">
        <f>IF(OR(E2703="",E2703="!!!",F2703="NEW"),"",INDEX(B2702:B$2,-1+SUMPRODUCT(MAX(ROW(E2702:E$2)*(E2703=E2702:E$2)))))</f>
        <v> </v>
      </c>
      <c r="J2703" s="25" t="str">
        <f>IF(OR(E2703="",E2703="!!!",F2703="NEW"),"",COUNTBLANK(OFFSET(A$1,,,SUMPRODUCT(MAX(ROW(E$2:E2703)*(E2703=E$2:E2703)))))-COUNTBLANK(OFFSET(A$1,,,SUMPRODUCT(MAX(ROW(E$1:E2702)*(E2=E$1:E2702))))))</f>
        <v> </v>
      </c>
      <c r="K2703" s="25" t="str">
        <f>IF(OR(E2703="",E2703="!!!",F2703="NEW"),"",INDEX(J$1:J2702,SUMPRODUCT(MAX(ROW(E$1:E2702)*(E2703=E$1:E2702)))))</f>
        <v> </v>
      </c>
      <c r="L2703" s="26"/>
    </row>
    <row r="2704" spans="1:12">
      <c r="A2704" s="20" t="s">
        <v>1184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1754</v>
      </c>
      <c r="B2705" s="27" t="s">
        <v>714</v>
      </c>
      <c r="C2705" s="27" t="s">
        <v>728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737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848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 t="s">
        <v>1195</v>
      </c>
      <c r="B2708" s="27" t="s">
        <v>768</v>
      </c>
      <c r="C2708" s="27" t="s">
        <v>791</v>
      </c>
      <c r="E2708" s="21">
        <f>IF(D2708="?OLD","!!!","")</f>
        <v/>
      </c>
      <c r="F2708" s="22" t="str">
        <f>IF(OR(E2708="",E2708="!!!"),"",IF(NOT(ISNA(VLOOKUP(E2708,E$1:E2707,1,FALSE()))),"OLD",IF(AND(E2708&lt;&gt;"",E2708&lt;&gt;"!!!"),"NEW","")))</f>
        <v> </v>
      </c>
      <c r="G2708" s="23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4" t="str">
        <f>IF(J2708&lt;&gt;1,"",IF(I2708="SBJ","CB","?"))</f>
        <v> </v>
      </c>
      <c r="I2708" s="25" t="str">
        <f>IF(OR(E2708="",E2708="!!!",F2708="NEW"),"",INDEX(B2707:B$2,-1+SUMPRODUCT(MAX(ROW(E2707:E$2)*(E2708=E2707:E$2)))))</f>
        <v> </v>
      </c>
      <c r="J2708" s="25" t="str">
        <f>IF(OR(E2708="",E2708="!!!",F2708="NEW"),"",COUNTBLANK(OFFSET(A$1,,,SUMPRODUCT(MAX(ROW(E$2:E2708)*(E2708=E$2:E2708)))))-COUNTBLANK(OFFSET(A$1,,,SUMPRODUCT(MAX(ROW(E$1:E2707)*(E2=E$1:E2707))))))</f>
        <v> </v>
      </c>
      <c r="K2708" s="25" t="str">
        <f>IF(OR(E2708="",E2708="!!!",F2708="NEW"),"",INDEX(J$1:J2707,SUMPRODUCT(MAX(ROW(E$1:E2707)*(E2708=E$1:E2707)))))</f>
        <v> </v>
      </c>
      <c r="L2708" s="26"/>
    </row>
    <row r="2709" spans="1:12">
      <c r="A2709" s="20" t="s">
        <v>823</v>
      </c>
      <c r="B2709" s="27" t="s">
        <v>790</v>
      </c>
      <c r="C2709" s="27" t="s">
        <v>715</v>
      </c>
      <c r="D2709" s="27" t="s">
        <v>716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 t="s">
        <v>793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 t="s">
        <v>915</v>
      </c>
      <c r="E2711" s="21">
        <f>IF(D2711="?OLD","!!!","")</f>
        <v/>
      </c>
      <c r="F2711" s="22" t="str">
        <f>IF(OR(E2711="",E2711="!!!"),"",IF(NOT(ISNA(VLOOKUP(E2711,E$1:E2710,1,FALSE()))),"OLD",IF(AND(E2711&lt;&gt;"",E2711&lt;&gt;"!!!"),"NEW","")))</f>
        <v> </v>
      </c>
      <c r="G2711" s="23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4" t="str">
        <f>IF(J2711&lt;&gt;1,"",IF(I2711="SBJ","CB","?"))</f>
        <v> </v>
      </c>
      <c r="I2711" s="25" t="str">
        <f>IF(OR(E2711="",E2711="!!!",F2711="NEW"),"",INDEX(B2710:B$2,-1+SUMPRODUCT(MAX(ROW(E2710:E$2)*(E2711=E2710:E$2)))))</f>
        <v> </v>
      </c>
      <c r="J2711" s="25" t="str">
        <f>IF(OR(E2711="",E2711="!!!",F2711="NEW"),"",COUNTBLANK(OFFSET(A$1,,,SUMPRODUCT(MAX(ROW(E$2:E2711)*(E2711=E$2:E2711)))))-COUNTBLANK(OFFSET(A$1,,,SUMPRODUCT(MAX(ROW(E$1:E2710)*(E2=E$1:E2710))))))</f>
        <v> </v>
      </c>
      <c r="K2711" s="25" t="str">
        <f>IF(OR(E2711="",E2711="!!!",F2711="NEW"),"",INDEX(J$1:J2710,SUMPRODUCT(MAX(ROW(E$1:E2710)*(E2711=E$1:E2710)))))</f>
        <v> </v>
      </c>
      <c r="L2711" s="26"/>
    </row>
    <row r="2712" spans="1:12">
      <c r="A2712" s="20" t="s">
        <v>1755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1756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719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12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12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832</v>
      </c>
      <c r="B2717" s="27" t="s">
        <v>1058</v>
      </c>
      <c r="C2717" s="27" t="s">
        <v>782</v>
      </c>
      <c r="D2717" s="27" t="s">
        <v>716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 t="s">
        <v>372</v>
      </c>
      <c r="B2718" s="27" t="s">
        <v>860</v>
      </c>
      <c r="C2718" s="27" t="s">
        <v>782</v>
      </c>
      <c r="D2718" s="27" t="s">
        <v>716</v>
      </c>
      <c r="E2718" s="21">
        <f>IF(D2718="?OLD","!!!","")</f>
        <v/>
      </c>
      <c r="F2718" s="22" t="str">
        <f>IF(OR(E2718="",E2718="!!!"),"",IF(NOT(ISNA(VLOOKUP(E2718,E$1:E2717,1,FALSE()))),"OLD",IF(AND(E2718&lt;&gt;"",E2718&lt;&gt;"!!!"),"NEW","")))</f>
        <v> </v>
      </c>
      <c r="G2718" s="23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4" t="str">
        <f>IF(J2718&lt;&gt;1,"",IF(I2718="SBJ","CB","?"))</f>
        <v> </v>
      </c>
      <c r="I2718" s="25" t="str">
        <f>IF(OR(E2718="",E2718="!!!",F2718="NEW"),"",INDEX(B2717:B$2,-1+SUMPRODUCT(MAX(ROW(E2717:E$2)*(E2718=E2717:E$2)))))</f>
        <v> </v>
      </c>
      <c r="J2718" s="25" t="str">
        <f>IF(OR(E2718="",E2718="!!!",F2718="NEW"),"",COUNTBLANK(OFFSET(A$1,,,SUMPRODUCT(MAX(ROW(E$2:E2718)*(E2718=E$2:E2718)))))-COUNTBLANK(OFFSET(A$1,,,SUMPRODUCT(MAX(ROW(E$1:E2717)*(E2=E$1:E2717))))))</f>
        <v> </v>
      </c>
      <c r="K2718" s="25" t="str">
        <f>IF(OR(E2718="",E2718="!!!",F2718="NEW"),"",INDEX(J$1:J2717,SUMPRODUCT(MAX(ROW(E$1:E2717)*(E2718=E$1:E2717)))))</f>
        <v> </v>
      </c>
      <c r="L2718" s="26"/>
    </row>
    <row r="2719" spans="1:12">
      <c r="A2719" s="20" t="s">
        <v>737</v>
      </c>
      <c r="E2719" s="21">
        <f>IF(D2719="?OLD","!!!","")</f>
        <v/>
      </c>
      <c r="F2719" s="22" t="str">
        <f>IF(OR(E2719="",E2719="!!!"),"",IF(NOT(ISNA(VLOOKUP(E2719,E$1:E2718,1,FALSE()))),"OLD",IF(AND(E2719&lt;&gt;"",E2719&lt;&gt;"!!!"),"NEW","")))</f>
        <v> </v>
      </c>
      <c r="G2719" s="23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4" t="str">
        <f>IF(J2719&lt;&gt;1,"",IF(I2719="SBJ","CB","?"))</f>
        <v> </v>
      </c>
      <c r="I2719" s="25" t="str">
        <f>IF(OR(E2719="",E2719="!!!",F2719="NEW"),"",INDEX(B2718:B$2,-1+SUMPRODUCT(MAX(ROW(E2718:E$2)*(E2719=E2718:E$2)))))</f>
        <v> </v>
      </c>
      <c r="J2719" s="25" t="str">
        <f>IF(OR(E2719="",E2719="!!!",F2719="NEW"),"",COUNTBLANK(OFFSET(A$1,,,SUMPRODUCT(MAX(ROW(E$2:E2719)*(E2719=E$2:E2719)))))-COUNTBLANK(OFFSET(A$1,,,SUMPRODUCT(MAX(ROW(E$1:E2718)*(E2=E$1:E2718))))))</f>
        <v> </v>
      </c>
      <c r="K2719" s="25" t="str">
        <f>IF(OR(E2719="",E2719="!!!",F2719="NEW"),"",INDEX(J$1:J2718,SUMPRODUCT(MAX(ROW(E$1:E2718)*(E2719=E$1:E2718)))))</f>
        <v> </v>
      </c>
      <c r="L2719" s="26"/>
    </row>
    <row r="2720" spans="1:12">
      <c r="A2720" s="20" t="s">
        <v>822</v>
      </c>
      <c r="B2720" s="27" t="s">
        <v>1731</v>
      </c>
      <c r="C2720" s="27" t="s">
        <v>791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823</v>
      </c>
      <c r="B2721" s="27" t="s">
        <v>920</v>
      </c>
      <c r="C2721" s="27" t="s">
        <v>715</v>
      </c>
      <c r="D2721" s="27" t="s">
        <v>716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1757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 t="s">
        <v>1758</v>
      </c>
      <c r="B2723" s="27" t="s">
        <v>1731</v>
      </c>
      <c r="E2723" s="21">
        <f>IF(D2723="?OLD","!!!","")</f>
        <v/>
      </c>
      <c r="F2723" s="22" t="str">
        <f>IF(OR(E2723="",E2723="!!!"),"",IF(NOT(ISNA(VLOOKUP(E2723,E$1:E2722,1,FALSE()))),"OLD",IF(AND(E2723&lt;&gt;"",E2723&lt;&gt;"!!!"),"NEW","")))</f>
        <v> </v>
      </c>
      <c r="G2723" s="23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4" t="str">
        <f>IF(J2723&lt;&gt;1,"",IF(I2723="SBJ","CB","?"))</f>
        <v> </v>
      </c>
      <c r="I2723" s="25" t="str">
        <f>IF(OR(E2723="",E2723="!!!",F2723="NEW"),"",INDEX(B2722:B$2,-1+SUMPRODUCT(MAX(ROW(E2722:E$2)*(E2723=E2722:E$2)))))</f>
        <v> </v>
      </c>
      <c r="J2723" s="25" t="str">
        <f>IF(OR(E2723="",E2723="!!!",F2723="NEW"),"",COUNTBLANK(OFFSET(A$1,,,SUMPRODUCT(MAX(ROW(E$2:E2723)*(E2723=E$2:E2723)))))-COUNTBLANK(OFFSET(A$1,,,SUMPRODUCT(MAX(ROW(E$1:E2722)*(E2=E$1:E2722))))))</f>
        <v> </v>
      </c>
      <c r="K2723" s="25" t="str">
        <f>IF(OR(E2723="",E2723="!!!",F2723="NEW"),"",INDEX(J$1:J2722,SUMPRODUCT(MAX(ROW(E$1:E2722)*(E2723=E$1:E2722)))))</f>
        <v> </v>
      </c>
      <c r="L2723" s="26"/>
    </row>
    <row r="2724" spans="1:12">
      <c r="A2724" s="20" t="s">
        <v>765</v>
      </c>
      <c r="E2724" s="21">
        <f>IF(D2724="?OLD","!!!","")</f>
        <v/>
      </c>
      <c r="F2724" s="22" t="str">
        <f>IF(OR(E2724="",E2724="!!!"),"",IF(NOT(ISNA(VLOOKUP(E2724,E$1:E2723,1,FALSE()))),"OLD",IF(AND(E2724&lt;&gt;"",E2724&lt;&gt;"!!!"),"NEW","")))</f>
        <v> </v>
      </c>
      <c r="G2724" s="23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4" t="str">
        <f>IF(J2724&lt;&gt;1,"",IF(I2724="SBJ","CB","?"))</f>
        <v> </v>
      </c>
      <c r="I2724" s="25" t="str">
        <f>IF(OR(E2724="",E2724="!!!",F2724="NEW"),"",INDEX(B2723:B$2,-1+SUMPRODUCT(MAX(ROW(E2723:E$2)*(E2724=E2723:E$2)))))</f>
        <v> </v>
      </c>
      <c r="J2724" s="25" t="str">
        <f>IF(OR(E2724="",E2724="!!!",F2724="NEW"),"",COUNTBLANK(OFFSET(A$1,,,SUMPRODUCT(MAX(ROW(E$2:E2724)*(E2724=E$2:E2724)))))-COUNTBLANK(OFFSET(A$1,,,SUMPRODUCT(MAX(ROW(E$1:E2723)*(E2=E$1:E2723))))))</f>
        <v> </v>
      </c>
      <c r="K2724" s="25" t="str">
        <f>IF(OR(E2724="",E2724="!!!",F2724="NEW"),"",INDEX(J$1:J2723,SUMPRODUCT(MAX(ROW(E$1:E2723)*(E2724=E$1:E2723)))))</f>
        <v> </v>
      </c>
      <c r="L2724" s="26"/>
    </row>
    <row r="2725" spans="1:12">
      <c r="A2725" s="20" t="s">
        <v>903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1744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737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 t="s">
        <v>1036</v>
      </c>
      <c r="E2728" s="21">
        <f>IF(D2728="?OLD","!!!","")</f>
        <v/>
      </c>
      <c r="F2728" s="22" t="str">
        <f>IF(OR(E2728="",E2728="!!!"),"",IF(NOT(ISNA(VLOOKUP(E2728,E$1:E2727,1,FALSE()))),"OLD",IF(AND(E2728&lt;&gt;"",E2728&lt;&gt;"!!!"),"NEW","")))</f>
        <v> </v>
      </c>
      <c r="G2728" s="23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4" t="str">
        <f>IF(J2728&lt;&gt;1,"",IF(I2728="SBJ","CB","?"))</f>
        <v> </v>
      </c>
      <c r="I2728" s="25" t="str">
        <f>IF(OR(E2728="",E2728="!!!",F2728="NEW"),"",INDEX(B2727:B$2,-1+SUMPRODUCT(MAX(ROW(E2727:E$2)*(E2728=E2727:E$2)))))</f>
        <v> </v>
      </c>
      <c r="J2728" s="25" t="str">
        <f>IF(OR(E2728="",E2728="!!!",F2728="NEW"),"",COUNTBLANK(OFFSET(A$1,,,SUMPRODUCT(MAX(ROW(E$2:E2728)*(E2728=E$2:E2728)))))-COUNTBLANK(OFFSET(A$1,,,SUMPRODUCT(MAX(ROW(E$1:E2727)*(E2=E$1:E2727))))))</f>
        <v> </v>
      </c>
      <c r="K2728" s="25" t="str">
        <f>IF(OR(E2728="",E2728="!!!",F2728="NEW"),"",INDEX(J$1:J2727,SUMPRODUCT(MAX(ROW(E$1:E2727)*(E2728=E$1:E2727)))))</f>
        <v> </v>
      </c>
      <c r="L2728" s="26"/>
    </row>
    <row r="2729" spans="1:12">
      <c r="A2729" s="20" t="s">
        <v>823</v>
      </c>
      <c r="B2729" s="27" t="s">
        <v>1759</v>
      </c>
      <c r="C2729" s="27" t="s">
        <v>715</v>
      </c>
      <c r="D2729" s="27" t="s">
        <v>716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1445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743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892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743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1036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823</v>
      </c>
      <c r="B2735" s="27" t="s">
        <v>1424</v>
      </c>
      <c r="C2735" s="27" t="s">
        <v>715</v>
      </c>
      <c r="D2735" s="27" t="s">
        <v>716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1355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1243</v>
      </c>
      <c r="B2737" s="27" t="s">
        <v>1760</v>
      </c>
      <c r="C2737" s="27" t="s">
        <v>715</v>
      </c>
      <c r="D2737" s="27" t="s">
        <v>716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1761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720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/>
    </row>
    <row r="2741" spans="1:12">
      <c r="A2741" s="20" t="s">
        <v>1762</v>
      </c>
    </row>
    <row r="2742" spans="1:12">
      <c r="A2742" s="20" t="s">
        <v>1666</v>
      </c>
      <c r="E2742" s="21">
        <f>IF(D2742="?OLD","!!!","")</f>
        <v/>
      </c>
      <c r="F2742" s="22" t="str">
        <f>IF(OR(E2742="",E2742="!!!"),"",IF(NOT(ISNA(VLOOKUP(E2742,E$1:E2741,1,FALSE()))),"OLD",IF(AND(E2742&lt;&gt;"",E2742&lt;&gt;"!!!"),"NEW","")))</f>
        <v> </v>
      </c>
      <c r="G2742" s="23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4" t="str">
        <f>IF(J2742&lt;&gt;1,"",IF(I2742="SBJ","CB","?"))</f>
        <v> </v>
      </c>
      <c r="I2742" s="25" t="str">
        <f>IF(OR(E2742="",E2742="!!!",F2742="NEW"),"",INDEX(B2741:B$2,-1+SUMPRODUCT(MAX(ROW(E2741:E$2)*(E2742=E2741:E$2)))))</f>
        <v> </v>
      </c>
      <c r="J2742" s="25" t="str">
        <f>IF(OR(E2742="",E2742="!!!",F2742="NEW"),"",COUNTBLANK(OFFSET(A$1,,,SUMPRODUCT(MAX(ROW(E$2:E2742)*(E2742=E$2:E2742)))))-COUNTBLANK(OFFSET(A$1,,,SUMPRODUCT(MAX(ROW(E$1:E2741)*(E2=E$1:E2741))))))</f>
        <v> </v>
      </c>
      <c r="K2742" s="25" t="str">
        <f>IF(OR(E2742="",E2742="!!!",F2742="NEW"),"",INDEX(J$1:J2741,SUMPRODUCT(MAX(ROW(E$1:E2741)*(E2742=E$1:E2741)))))</f>
        <v> </v>
      </c>
      <c r="L2742" s="26"/>
    </row>
    <row r="2743" spans="1:12">
      <c r="A2743" s="20" t="s">
        <v>822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737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 t="s">
        <v>1253</v>
      </c>
      <c r="E2745" s="21">
        <f>IF(D2745="?OLD","!!!","")</f>
        <v/>
      </c>
      <c r="F2745" s="22" t="str">
        <f>IF(OR(E2745="",E2745="!!!"),"",IF(NOT(ISNA(VLOOKUP(E2745,E$1:E2744,1,FALSE()))),"OLD",IF(AND(E2745&lt;&gt;"",E2745&lt;&gt;"!!!"),"NEW","")))</f>
        <v> </v>
      </c>
      <c r="G2745" s="23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4" t="str">
        <f>IF(J2745&lt;&gt;1,"",IF(I2745="SBJ","CB","?"))</f>
        <v> </v>
      </c>
      <c r="I2745" s="25" t="str">
        <f>IF(OR(E2745="",E2745="!!!",F2745="NEW"),"",INDEX(B2744:B$2,-1+SUMPRODUCT(MAX(ROW(E2744:E$2)*(E2745=E2744:E$2)))))</f>
        <v> </v>
      </c>
      <c r="J2745" s="25" t="str">
        <f>IF(OR(E2745="",E2745="!!!",F2745="NEW"),"",COUNTBLANK(OFFSET(A$1,,,SUMPRODUCT(MAX(ROW(E$2:E2745)*(E2745=E$2:E2745)))))-COUNTBLANK(OFFSET(A$1,,,SUMPRODUCT(MAX(ROW(E$1:E2744)*(E2=E$1:E2744))))))</f>
        <v> </v>
      </c>
      <c r="K2745" s="25" t="str">
        <f>IF(OR(E2745="",E2745="!!!",F2745="NEW"),"",INDEX(J$1:J2744,SUMPRODUCT(MAX(ROW(E$1:E2744)*(E2745=E$1:E2744)))))</f>
        <v> </v>
      </c>
      <c r="L2745" s="26"/>
    </row>
    <row r="2746" spans="1:12">
      <c r="A2746" s="20" t="s">
        <v>262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 t="s">
        <v>737</v>
      </c>
      <c r="E2747" s="21">
        <f>IF(D2747="?OLD","!!!","")</f>
        <v/>
      </c>
      <c r="F2747" s="22" t="str">
        <f>IF(OR(E2747="",E2747="!!!"),"",IF(NOT(ISNA(VLOOKUP(E2747,E$1:E2746,1,FALSE()))),"OLD",IF(AND(E2747&lt;&gt;"",E2747&lt;&gt;"!!!"),"NEW","")))</f>
        <v> </v>
      </c>
      <c r="G2747" s="23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4" t="str">
        <f>IF(J2747&lt;&gt;1,"",IF(I2747="SBJ","CB","?"))</f>
        <v> </v>
      </c>
      <c r="I2747" s="25" t="str">
        <f>IF(OR(E2747="",E2747="!!!",F2747="NEW"),"",INDEX(B2746:B$2,-1+SUMPRODUCT(MAX(ROW(E2746:E$2)*(E2747=E2746:E$2)))))</f>
        <v> </v>
      </c>
      <c r="J2747" s="25" t="str">
        <f>IF(OR(E2747="",E2747="!!!",F2747="NEW"),"",COUNTBLANK(OFFSET(A$1,,,SUMPRODUCT(MAX(ROW(E$2:E2747)*(E2747=E$2:E2747)))))-COUNTBLANK(OFFSET(A$1,,,SUMPRODUCT(MAX(ROW(E$1:E2746)*(E2=E$1:E2746))))))</f>
        <v> </v>
      </c>
      <c r="K2747" s="25" t="str">
        <f>IF(OR(E2747="",E2747="!!!",F2747="NEW"),"",INDEX(J$1:J2746,SUMPRODUCT(MAX(ROW(E$1:E2746)*(E2747=E$1:E2746)))))</f>
        <v> </v>
      </c>
      <c r="L2747" s="26"/>
    </row>
    <row r="2748" spans="1:12">
      <c r="A2748" s="20" t="s">
        <v>835</v>
      </c>
      <c r="E2748" s="21">
        <f>IF(D2748="?OLD","!!!","")</f>
        <v/>
      </c>
      <c r="F2748" s="22" t="str">
        <f>IF(OR(E2748="",E2748="!!!"),"",IF(NOT(ISNA(VLOOKUP(E2748,E$1:E2747,1,FALSE()))),"OLD",IF(AND(E2748&lt;&gt;"",E2748&lt;&gt;"!!!"),"NEW","")))</f>
        <v> </v>
      </c>
      <c r="G2748" s="23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4" t="str">
        <f>IF(J2748&lt;&gt;1,"",IF(I2748="SBJ","CB","?"))</f>
        <v> </v>
      </c>
      <c r="I2748" s="25" t="str">
        <f>IF(OR(E2748="",E2748="!!!",F2748="NEW"),"",INDEX(B2747:B$2,-1+SUMPRODUCT(MAX(ROW(E2747:E$2)*(E2748=E2747:E$2)))))</f>
        <v> </v>
      </c>
      <c r="J2748" s="25" t="str">
        <f>IF(OR(E2748="",E2748="!!!",F2748="NEW"),"",COUNTBLANK(OFFSET(A$1,,,SUMPRODUCT(MAX(ROW(E$2:E2748)*(E2748=E$2:E2748)))))-COUNTBLANK(OFFSET(A$1,,,SUMPRODUCT(MAX(ROW(E$1:E2747)*(E2=E$1:E2747))))))</f>
        <v> </v>
      </c>
      <c r="K2748" s="25" t="str">
        <f>IF(OR(E2748="",E2748="!!!",F2748="NEW"),"",INDEX(J$1:J2747,SUMPRODUCT(MAX(ROW(E$1:E2747)*(E2748=E$1:E2747)))))</f>
        <v> </v>
      </c>
      <c r="L2748" s="26"/>
    </row>
    <row r="2749" spans="1:12">
      <c r="A2749" s="20" t="s">
        <v>1715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1763</v>
      </c>
      <c r="B2750" s="27" t="s">
        <v>714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735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1764</v>
      </c>
      <c r="B2752" s="27" t="s">
        <v>781</v>
      </c>
      <c r="C2752" s="27" t="s">
        <v>1060</v>
      </c>
      <c r="D2752" s="27" t="s">
        <v>716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 t="s">
        <v>737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1765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 t="s">
        <v>1766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 t="s">
        <v>1568</v>
      </c>
      <c r="B2756" s="27" t="s">
        <v>808</v>
      </c>
      <c r="C2756" s="27" t="s">
        <v>715</v>
      </c>
      <c r="D2756" s="27" t="s">
        <v>716</v>
      </c>
      <c r="E2756" s="21">
        <f>IF(D2756="?OLD","!!!","")</f>
        <v/>
      </c>
      <c r="F2756" s="22" t="str">
        <f>IF(OR(E2756="",E2756="!!!"),"",IF(NOT(ISNA(VLOOKUP(E2756,E$1:E2755,1,FALSE()))),"OLD",IF(AND(E2756&lt;&gt;"",E2756&lt;&gt;"!!!"),"NEW","")))</f>
        <v> </v>
      </c>
      <c r="G2756" s="23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4" t="str">
        <f>IF(J2756&lt;&gt;1,"",IF(I2756="SBJ","CB","?"))</f>
        <v> </v>
      </c>
      <c r="I2756" s="25" t="str">
        <f>IF(OR(E2756="",E2756="!!!",F2756="NEW"),"",INDEX(B2755:B$2,-1+SUMPRODUCT(MAX(ROW(E2755:E$2)*(E2756=E2755:E$2)))))</f>
        <v> </v>
      </c>
      <c r="J2756" s="25" t="str">
        <f>IF(OR(E2756="",E2756="!!!",F2756="NEW"),"",COUNTBLANK(OFFSET(A$1,,,SUMPRODUCT(MAX(ROW(E$2:E2756)*(E2756=E$2:E2756)))))-COUNTBLANK(OFFSET(A$1,,,SUMPRODUCT(MAX(ROW(E$1:E2755)*(E2=E$1:E2755))))))</f>
        <v> </v>
      </c>
      <c r="K2756" s="25" t="str">
        <f>IF(OR(E2756="",E2756="!!!",F2756="NEW"),"",INDEX(J$1:J2755,SUMPRODUCT(MAX(ROW(E$1:E2755)*(E2756=E$1:E2755)))))</f>
        <v> </v>
      </c>
      <c r="L2756" s="26"/>
    </row>
    <row r="2757" spans="1:12">
      <c r="A2757" s="20" t="s">
        <v>793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1767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 t="s">
        <v>720</v>
      </c>
      <c r="E2759" s="21">
        <f>IF(D2759="?OLD","!!!","")</f>
        <v/>
      </c>
      <c r="F2759" s="22" t="str">
        <f>IF(OR(E2759="",E2759="!!!"),"",IF(NOT(ISNA(VLOOKUP(E2759,E$1:E2758,1,FALSE()))),"OLD",IF(AND(E2759&lt;&gt;"",E2759&lt;&gt;"!!!"),"NEW","")))</f>
        <v> </v>
      </c>
      <c r="G2759" s="23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4" t="str">
        <f>IF(J2759&lt;&gt;1,"",IF(I2759="SBJ","CB","?"))</f>
        <v> </v>
      </c>
      <c r="I2759" s="25" t="str">
        <f>IF(OR(E2759="",E2759="!!!",F2759="NEW"),"",INDEX(B2758:B$2,-1+SUMPRODUCT(MAX(ROW(E2758:E$2)*(E2759=E2758:E$2)))))</f>
        <v> </v>
      </c>
      <c r="J2759" s="25" t="str">
        <f>IF(OR(E2759="",E2759="!!!",F2759="NEW"),"",COUNTBLANK(OFFSET(A$1,,,SUMPRODUCT(MAX(ROW(E$2:E2759)*(E2759=E$2:E2759)))))-COUNTBLANK(OFFSET(A$1,,,SUMPRODUCT(MAX(ROW(E$1:E2758)*(E2=E$1:E2758))))))</f>
        <v> </v>
      </c>
      <c r="K2759" s="25" t="str">
        <f>IF(OR(E2759="",E2759="!!!",F2759="NEW"),"",INDEX(J$1:J2758,SUMPRODUCT(MAX(ROW(E$1:E2758)*(E2759=E$1:E2758)))))</f>
        <v> </v>
      </c>
      <c r="L2759" s="26"/>
    </row>
    <row r="2760" spans="1:12">
      <c r="A2760" s="20"/>
    </row>
    <row r="2761" spans="1:12">
      <c r="A2761" s="20" t="s">
        <v>1768</v>
      </c>
    </row>
    <row r="2762" spans="1:12">
      <c r="A2762" s="20" t="s">
        <v>1769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1034</v>
      </c>
      <c r="B2763" s="27" t="s">
        <v>745</v>
      </c>
      <c r="C2763" s="27" t="s">
        <v>715</v>
      </c>
      <c r="D2763" s="27" t="s">
        <v>716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1770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984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174</v>
      </c>
      <c r="B2766" s="27" t="s">
        <v>727</v>
      </c>
      <c r="C2766" s="27" t="s">
        <v>769</v>
      </c>
      <c r="D2766" s="27" t="s">
        <v>716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737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1034</v>
      </c>
      <c r="B2768" s="27" t="s">
        <v>714</v>
      </c>
      <c r="C2768" s="27" t="s">
        <v>715</v>
      </c>
      <c r="D2768" s="27" t="s">
        <v>716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1771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737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822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 t="s">
        <v>1772</v>
      </c>
      <c r="E2772" s="21">
        <f>IF(D2772="?OLD","!!!","")</f>
        <v/>
      </c>
      <c r="F2772" s="22" t="str">
        <f>IF(OR(E2772="",E2772="!!!"),"",IF(NOT(ISNA(VLOOKUP(E2772,E$1:E2771,1,FALSE()))),"OLD",IF(AND(E2772&lt;&gt;"",E2772&lt;&gt;"!!!"),"NEW","")))</f>
        <v> </v>
      </c>
      <c r="G2772" s="23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4" t="str">
        <f>IF(J2772&lt;&gt;1,"",IF(I2772="SBJ","CB","?"))</f>
        <v> </v>
      </c>
      <c r="I2772" s="25" t="str">
        <f>IF(OR(E2772="",E2772="!!!",F2772="NEW"),"",INDEX(B2771:B$2,-1+SUMPRODUCT(MAX(ROW(E2771:E$2)*(E2772=E2771:E$2)))))</f>
        <v> </v>
      </c>
      <c r="J2772" s="25" t="str">
        <f>IF(OR(E2772="",E2772="!!!",F2772="NEW"),"",COUNTBLANK(OFFSET(A$1,,,SUMPRODUCT(MAX(ROW(E$2:E2772)*(E2772=E$2:E2772)))))-COUNTBLANK(OFFSET(A$1,,,SUMPRODUCT(MAX(ROW(E$1:E2771)*(E2=E$1:E2771))))))</f>
        <v> </v>
      </c>
      <c r="K2772" s="25" t="str">
        <f>IF(OR(E2772="",E2772="!!!",F2772="NEW"),"",INDEX(J$1:J2771,SUMPRODUCT(MAX(ROW(E$1:E2771)*(E2772=E$1:E2771)))))</f>
        <v> </v>
      </c>
      <c r="L2772" s="26"/>
    </row>
    <row r="2773" spans="1:12">
      <c r="A2773" s="20" t="s">
        <v>1763</v>
      </c>
      <c r="B2773" s="27" t="s">
        <v>745</v>
      </c>
      <c r="E2773" s="21">
        <f>IF(D2773="?OLD","!!!","")</f>
        <v/>
      </c>
      <c r="F2773" s="22" t="str">
        <f>IF(OR(E2773="",E2773="!!!"),"",IF(NOT(ISNA(VLOOKUP(E2773,E$1:E2772,1,FALSE()))),"OLD",IF(AND(E2773&lt;&gt;"",E2773&lt;&gt;"!!!"),"NEW","")))</f>
        <v> </v>
      </c>
      <c r="G2773" s="23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4" t="str">
        <f>IF(J2773&lt;&gt;1,"",IF(I2773="SBJ","CB","?"))</f>
        <v> </v>
      </c>
      <c r="I2773" s="25" t="str">
        <f>IF(OR(E2773="",E2773="!!!",F2773="NEW"),"",INDEX(B2772:B$2,-1+SUMPRODUCT(MAX(ROW(E2772:E$2)*(E2773=E2772:E$2)))))</f>
        <v> </v>
      </c>
      <c r="J2773" s="25" t="str">
        <f>IF(OR(E2773="",E2773="!!!",F2773="NEW"),"",COUNTBLANK(OFFSET(A$1,,,SUMPRODUCT(MAX(ROW(E$2:E2773)*(E2773=E$2:E2773)))))-COUNTBLANK(OFFSET(A$1,,,SUMPRODUCT(MAX(ROW(E$1:E2772)*(E2=E$1:E2772))))))</f>
        <v> </v>
      </c>
      <c r="K2773" s="25" t="str">
        <f>IF(OR(E2773="",E2773="!!!",F2773="NEW"),"",INDEX(J$1:J2772,SUMPRODUCT(MAX(ROW(E$1:E2772)*(E2773=E$1:E2772)))))</f>
        <v> </v>
      </c>
      <c r="L2773" s="26"/>
    </row>
    <row r="2774" spans="1:12">
      <c r="A2774" s="20" t="s">
        <v>1773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115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775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737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1253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 t="s">
        <v>737</v>
      </c>
      <c r="E2779" s="21">
        <f>IF(D2779="?OLD","!!!","")</f>
        <v/>
      </c>
      <c r="F2779" s="22" t="str">
        <f>IF(OR(E2779="",E2779="!!!"),"",IF(NOT(ISNA(VLOOKUP(E2779,E$1:E2778,1,FALSE()))),"OLD",IF(AND(E2779&lt;&gt;"",E2779&lt;&gt;"!!!"),"NEW","")))</f>
        <v> </v>
      </c>
      <c r="G2779" s="23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4" t="str">
        <f>IF(J2779&lt;&gt;1,"",IF(I2779="SBJ","CB","?"))</f>
        <v> </v>
      </c>
      <c r="I2779" s="25" t="str">
        <f>IF(OR(E2779="",E2779="!!!",F2779="NEW"),"",INDEX(B2778:B$2,-1+SUMPRODUCT(MAX(ROW(E2778:E$2)*(E2779=E2778:E$2)))))</f>
        <v> </v>
      </c>
      <c r="J2779" s="25" t="str">
        <f>IF(OR(E2779="",E2779="!!!",F2779="NEW"),"",COUNTBLANK(OFFSET(A$1,,,SUMPRODUCT(MAX(ROW(E$2:E2779)*(E2779=E$2:E2779)))))-COUNTBLANK(OFFSET(A$1,,,SUMPRODUCT(MAX(ROW(E$1:E2778)*(E2=E$1:E2778))))))</f>
        <v> </v>
      </c>
      <c r="K2779" s="25" t="str">
        <f>IF(OR(E2779="",E2779="!!!",F2779="NEW"),"",INDEX(J$1:J2778,SUMPRODUCT(MAX(ROW(E$1:E2778)*(E2779=E$1:E2778)))))</f>
        <v> </v>
      </c>
      <c r="L2779" s="26"/>
    </row>
    <row r="2780" spans="1:12">
      <c r="A2780" s="20" t="s">
        <v>1774</v>
      </c>
      <c r="E2780" s="21">
        <f>IF(D2780="?OLD","!!!","")</f>
        <v/>
      </c>
      <c r="F2780" s="22" t="str">
        <f>IF(OR(E2780="",E2780="!!!"),"",IF(NOT(ISNA(VLOOKUP(E2780,E$1:E2779,1,FALSE()))),"OLD",IF(AND(E2780&lt;&gt;"",E2780&lt;&gt;"!!!"),"NEW","")))</f>
        <v> </v>
      </c>
      <c r="G2780" s="23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4" t="str">
        <f>IF(J2780&lt;&gt;1,"",IF(I2780="SBJ","CB","?"))</f>
        <v> </v>
      </c>
      <c r="I2780" s="25" t="str">
        <f>IF(OR(E2780="",E2780="!!!",F2780="NEW"),"",INDEX(B2779:B$2,-1+SUMPRODUCT(MAX(ROW(E2779:E$2)*(E2780=E2779:E$2)))))</f>
        <v> </v>
      </c>
      <c r="J2780" s="25" t="str">
        <f>IF(OR(E2780="",E2780="!!!",F2780="NEW"),"",COUNTBLANK(OFFSET(A$1,,,SUMPRODUCT(MAX(ROW(E$2:E2780)*(E2780=E$2:E2780)))))-COUNTBLANK(OFFSET(A$1,,,SUMPRODUCT(MAX(ROW(E$1:E2779)*(E2=E$1:E2779))))))</f>
        <v> </v>
      </c>
      <c r="K2780" s="25" t="str">
        <f>IF(OR(E2780="",E2780="!!!",F2780="NEW"),"",INDEX(J$1:J2779,SUMPRODUCT(MAX(ROW(E$1:E2779)*(E2780=E$1:E2779)))))</f>
        <v> </v>
      </c>
      <c r="L2780" s="26"/>
    </row>
    <row r="2781" spans="1:12">
      <c r="A2781" s="20" t="s">
        <v>737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 t="s">
        <v>1034</v>
      </c>
      <c r="B2782" s="27" t="s">
        <v>790</v>
      </c>
      <c r="C2782" s="27" t="s">
        <v>715</v>
      </c>
      <c r="D2782" s="27" t="s">
        <v>716</v>
      </c>
      <c r="E2782" s="21">
        <f>IF(D2782="?OLD","!!!","")</f>
        <v/>
      </c>
      <c r="F2782" s="22" t="str">
        <f>IF(OR(E2782="",E2782="!!!"),"",IF(NOT(ISNA(VLOOKUP(E2782,E$1:E2781,1,FALSE()))),"OLD",IF(AND(E2782&lt;&gt;"",E2782&lt;&gt;"!!!"),"NEW","")))</f>
        <v> </v>
      </c>
      <c r="G2782" s="23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4" t="str">
        <f>IF(J2782&lt;&gt;1,"",IF(I2782="SBJ","CB","?"))</f>
        <v> </v>
      </c>
      <c r="I2782" s="25" t="str">
        <f>IF(OR(E2782="",E2782="!!!",F2782="NEW"),"",INDEX(B2781:B$2,-1+SUMPRODUCT(MAX(ROW(E2781:E$2)*(E2782=E2781:E$2)))))</f>
        <v> </v>
      </c>
      <c r="J2782" s="25" t="str">
        <f>IF(OR(E2782="",E2782="!!!",F2782="NEW"),"",COUNTBLANK(OFFSET(A$1,,,SUMPRODUCT(MAX(ROW(E$2:E2782)*(E2782=E$2:E2782)))))-COUNTBLANK(OFFSET(A$1,,,SUMPRODUCT(MAX(ROW(E$1:E2781)*(E2=E$1:E2781))))))</f>
        <v> </v>
      </c>
      <c r="K2782" s="25" t="str">
        <f>IF(OR(E2782="",E2782="!!!",F2782="NEW"),"",INDEX(J$1:J2781,SUMPRODUCT(MAX(ROW(E$1:E2781)*(E2782=E$1:E2781)))))</f>
        <v> </v>
      </c>
      <c r="L2782" s="26"/>
    </row>
    <row r="2783" spans="1:12">
      <c r="A2783" s="20" t="s">
        <v>1775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735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 t="s">
        <v>1776</v>
      </c>
      <c r="E2785" s="21">
        <f>IF(D2785="?OLD","!!!","")</f>
        <v/>
      </c>
      <c r="F2785" s="22" t="str">
        <f>IF(OR(E2785="",E2785="!!!"),"",IF(NOT(ISNA(VLOOKUP(E2785,E$1:E2784,1,FALSE()))),"OLD",IF(AND(E2785&lt;&gt;"",E2785&lt;&gt;"!!!"),"NEW","")))</f>
        <v> </v>
      </c>
      <c r="G2785" s="23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4" t="str">
        <f>IF(J2785&lt;&gt;1,"",IF(I2785="SBJ","CB","?"))</f>
        <v> </v>
      </c>
      <c r="I2785" s="25" t="str">
        <f>IF(OR(E2785="",E2785="!!!",F2785="NEW"),"",INDEX(B2784:B$2,-1+SUMPRODUCT(MAX(ROW(E2784:E$2)*(E2785=E2784:E$2)))))</f>
        <v> </v>
      </c>
      <c r="J2785" s="25" t="str">
        <f>IF(OR(E2785="",E2785="!!!",F2785="NEW"),"",COUNTBLANK(OFFSET(A$1,,,SUMPRODUCT(MAX(ROW(E$2:E2785)*(E2785=E$2:E2785)))))-COUNTBLANK(OFFSET(A$1,,,SUMPRODUCT(MAX(ROW(E$1:E2784)*(E2=E$1:E2784))))))</f>
        <v> </v>
      </c>
      <c r="K2785" s="25" t="str">
        <f>IF(OR(E2785="",E2785="!!!",F2785="NEW"),"",INDEX(J$1:J2784,SUMPRODUCT(MAX(ROW(E$1:E2784)*(E2785=E$1:E2784)))))</f>
        <v> </v>
      </c>
      <c r="L2785" s="26"/>
    </row>
    <row r="2786" spans="1:12">
      <c r="A2786" s="20" t="s">
        <v>720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/>
    </row>
    <row r="2788" spans="1:12">
      <c r="A2788" s="20" t="s">
        <v>1777</v>
      </c>
    </row>
    <row r="2789" spans="1:12">
      <c r="A2789" s="20" t="s">
        <v>954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1189</v>
      </c>
      <c r="E2790" s="21">
        <f>IF(D2790="?OLD","!!!","")</f>
        <v/>
      </c>
      <c r="F2790" s="22" t="str">
        <f>IF(OR(E2790="",E2790="!!!"),"",IF(NOT(ISNA(VLOOKUP(E2790,E$1:E2789,1,FALSE()))),"OLD",IF(AND(E2790&lt;&gt;"",E2790&lt;&gt;"!!!"),"NEW","")))</f>
        <v> </v>
      </c>
      <c r="G2790" s="23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4" t="str">
        <f>IF(J2790&lt;&gt;1,"",IF(I2790="SBJ","CB","?"))</f>
        <v> </v>
      </c>
      <c r="I2790" s="25" t="str">
        <f>IF(OR(E2790="",E2790="!!!",F2790="NEW"),"",INDEX(B2789:B$2,-1+SUMPRODUCT(MAX(ROW(E2789:E$2)*(E2790=E2789:E$2)))))</f>
        <v> </v>
      </c>
      <c r="J2790" s="25" t="str">
        <f>IF(OR(E2790="",E2790="!!!",F2790="NEW"),"",COUNTBLANK(OFFSET(A$1,,,SUMPRODUCT(MAX(ROW(E$2:E2790)*(E2790=E$2:E2790)))))-COUNTBLANK(OFFSET(A$1,,,SUMPRODUCT(MAX(ROW(E$1:E2789)*(E2=E$1:E2789))))))</f>
        <v> </v>
      </c>
      <c r="K2790" s="25" t="str">
        <f>IF(OR(E2790="",E2790="!!!",F2790="NEW"),"",INDEX(J$1:J2789,SUMPRODUCT(MAX(ROW(E$1:E2789)*(E2790=E$1:E2789)))))</f>
        <v> </v>
      </c>
      <c r="L2790" s="26"/>
    </row>
    <row r="2791" spans="1:12">
      <c r="A2791" s="20" t="s">
        <v>956</v>
      </c>
      <c r="E2791" s="21">
        <f>IF(D2791="?OLD","!!!","")</f>
        <v/>
      </c>
      <c r="F2791" s="22" t="str">
        <f>IF(OR(E2791="",E2791="!!!"),"",IF(NOT(ISNA(VLOOKUP(E2791,E$1:E2790,1,FALSE()))),"OLD",IF(AND(E2791&lt;&gt;"",E2791&lt;&gt;"!!!"),"NEW","")))</f>
        <v> </v>
      </c>
      <c r="G2791" s="23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4" t="str">
        <f>IF(J2791&lt;&gt;1,"",IF(I2791="SBJ","CB","?"))</f>
        <v> </v>
      </c>
      <c r="I2791" s="25" t="str">
        <f>IF(OR(E2791="",E2791="!!!",F2791="NEW"),"",INDEX(B2790:B$2,-1+SUMPRODUCT(MAX(ROW(E2790:E$2)*(E2791=E2790:E$2)))))</f>
        <v> </v>
      </c>
      <c r="J2791" s="25" t="str">
        <f>IF(OR(E2791="",E2791="!!!",F2791="NEW"),"",COUNTBLANK(OFFSET(A$1,,,SUMPRODUCT(MAX(ROW(E$2:E2791)*(E2791=E$2:E2791)))))-COUNTBLANK(OFFSET(A$1,,,SUMPRODUCT(MAX(ROW(E$1:E2790)*(E2=E$1:E2790))))))</f>
        <v> </v>
      </c>
      <c r="K2791" s="25" t="str">
        <f>IF(OR(E2791="",E2791="!!!",F2791="NEW"),"",INDEX(J$1:J2790,SUMPRODUCT(MAX(ROW(E$1:E2790)*(E2791=E$1:E2790)))))</f>
        <v> </v>
      </c>
      <c r="L2791" s="26"/>
    </row>
    <row r="2792" spans="1:12">
      <c r="A2792" s="20" t="s">
        <v>797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 t="s">
        <v>822</v>
      </c>
      <c r="B2793" s="27" t="s">
        <v>714</v>
      </c>
      <c r="C2793" s="27" t="s">
        <v>791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 t="s">
        <v>1299</v>
      </c>
      <c r="E2794" s="21">
        <f>IF(D2794="?OLD","!!!","")</f>
        <v/>
      </c>
      <c r="F2794" s="22" t="str">
        <f>IF(OR(E2794="",E2794="!!!"),"",IF(NOT(ISNA(VLOOKUP(E2794,E$1:E2793,1,FALSE()))),"OLD",IF(AND(E2794&lt;&gt;"",E2794&lt;&gt;"!!!"),"NEW","")))</f>
        <v> </v>
      </c>
      <c r="G2794" s="23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4" t="str">
        <f>IF(J2794&lt;&gt;1,"",IF(I2794="SBJ","CB","?"))</f>
        <v> </v>
      </c>
      <c r="I2794" s="25" t="str">
        <f>IF(OR(E2794="",E2794="!!!",F2794="NEW"),"",INDEX(B2793:B$2,-1+SUMPRODUCT(MAX(ROW(E2793:E$2)*(E2794=E2793:E$2)))))</f>
        <v> </v>
      </c>
      <c r="J2794" s="25" t="str">
        <f>IF(OR(E2794="",E2794="!!!",F2794="NEW"),"",COUNTBLANK(OFFSET(A$1,,,SUMPRODUCT(MAX(ROW(E$2:E2794)*(E2794=E$2:E2794)))))-COUNTBLANK(OFFSET(A$1,,,SUMPRODUCT(MAX(ROW(E$1:E2793)*(E2=E$1:E2793))))))</f>
        <v> </v>
      </c>
      <c r="K2794" s="25" t="str">
        <f>IF(OR(E2794="",E2794="!!!",F2794="NEW"),"",INDEX(J$1:J2793,SUMPRODUCT(MAX(ROW(E$1:E2793)*(E2794=E$1:E2793)))))</f>
        <v> </v>
      </c>
      <c r="L2794" s="26"/>
    </row>
    <row r="2795" spans="1:12">
      <c r="A2795" s="20" t="s">
        <v>888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 t="s">
        <v>1036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1034</v>
      </c>
      <c r="B2797" s="27" t="s">
        <v>790</v>
      </c>
      <c r="C2797" s="27" t="s">
        <v>715</v>
      </c>
      <c r="D2797" s="27" t="s">
        <v>716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1771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718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 t="s">
        <v>892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 t="s">
        <v>735</v>
      </c>
      <c r="E2801" s="21">
        <f>IF(D2801="?OLD","!!!","")</f>
        <v/>
      </c>
      <c r="F2801" s="22" t="str">
        <f>IF(OR(E2801="",E2801="!!!"),"",IF(NOT(ISNA(VLOOKUP(E2801,E$1:E2800,1,FALSE()))),"OLD",IF(AND(E2801&lt;&gt;"",E2801&lt;&gt;"!!!"),"NEW","")))</f>
        <v> </v>
      </c>
      <c r="G2801" s="23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4" t="str">
        <f>IF(J2801&lt;&gt;1,"",IF(I2801="SBJ","CB","?"))</f>
        <v> </v>
      </c>
      <c r="I2801" s="25" t="str">
        <f>IF(OR(E2801="",E2801="!!!",F2801="NEW"),"",INDEX(B2800:B$2,-1+SUMPRODUCT(MAX(ROW(E2800:E$2)*(E2801=E2800:E$2)))))</f>
        <v> </v>
      </c>
      <c r="J2801" s="25" t="str">
        <f>IF(OR(E2801="",E2801="!!!",F2801="NEW"),"",COUNTBLANK(OFFSET(A$1,,,SUMPRODUCT(MAX(ROW(E$2:E2801)*(E2801=E$2:E2801)))))-COUNTBLANK(OFFSET(A$1,,,SUMPRODUCT(MAX(ROW(E$1:E2800)*(E2=E$1:E2800))))))</f>
        <v> </v>
      </c>
      <c r="K2801" s="25" t="str">
        <f>IF(OR(E2801="",E2801="!!!",F2801="NEW"),"",INDEX(J$1:J2800,SUMPRODUCT(MAX(ROW(E$1:E2800)*(E2801=E$1:E2800)))))</f>
        <v> </v>
      </c>
      <c r="L2801" s="26"/>
    </row>
    <row r="2802" spans="1:12">
      <c r="A2802" s="20" t="s">
        <v>1764</v>
      </c>
      <c r="B2802" s="27" t="s">
        <v>867</v>
      </c>
      <c r="C2802" s="27" t="s">
        <v>1060</v>
      </c>
      <c r="D2802" s="27" t="s">
        <v>716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737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1034</v>
      </c>
      <c r="B2804" s="27" t="s">
        <v>745</v>
      </c>
      <c r="C2804" s="27" t="s">
        <v>715</v>
      </c>
      <c r="D2804" s="27" t="s">
        <v>716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1771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718</v>
      </c>
      <c r="E2806" s="21">
        <f>IF(D2806="?OLD","!!!","")</f>
        <v/>
      </c>
      <c r="F2806" s="22" t="str">
        <f>IF(OR(E2806="",E2806="!!!"),"",IF(NOT(ISNA(VLOOKUP(E2806,E$1:E2805,1,FALSE()))),"OLD",IF(AND(E2806&lt;&gt;"",E2806&lt;&gt;"!!!"),"NEW","")))</f>
        <v> </v>
      </c>
      <c r="G2806" s="23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4" t="str">
        <f>IF(J2806&lt;&gt;1,"",IF(I2806="SBJ","CB","?"))</f>
        <v> </v>
      </c>
      <c r="I2806" s="25" t="str">
        <f>IF(OR(E2806="",E2806="!!!",F2806="NEW"),"",INDEX(B2805:B$2,-1+SUMPRODUCT(MAX(ROW(E2805:E$2)*(E2806=E2805:E$2)))))</f>
        <v> </v>
      </c>
      <c r="J2806" s="25" t="str">
        <f>IF(OR(E2806="",E2806="!!!",F2806="NEW"),"",COUNTBLANK(OFFSET(A$1,,,SUMPRODUCT(MAX(ROW(E$2:E2806)*(E2806=E$2:E2806)))))-COUNTBLANK(OFFSET(A$1,,,SUMPRODUCT(MAX(ROW(E$1:E2805)*(E2=E$1:E2805))))))</f>
        <v> </v>
      </c>
      <c r="K2806" s="25" t="str">
        <f>IF(OR(E2806="",E2806="!!!",F2806="NEW"),"",INDEX(J$1:J2805,SUMPRODUCT(MAX(ROW(E$1:E2805)*(E2806=E$1:E2805)))))</f>
        <v> </v>
      </c>
      <c r="L2806" s="26"/>
    </row>
    <row r="2807" spans="1:12">
      <c r="A2807" s="20" t="s">
        <v>1778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 t="s">
        <v>889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1495</v>
      </c>
      <c r="B2809" s="27" t="s">
        <v>768</v>
      </c>
      <c r="C2809" s="27" t="s">
        <v>715</v>
      </c>
      <c r="D2809" s="27" t="s">
        <v>716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 t="s">
        <v>743</v>
      </c>
      <c r="E2810" s="21">
        <f>IF(D2810="?OLD","!!!","")</f>
        <v/>
      </c>
      <c r="F2810" s="22" t="str">
        <f>IF(OR(E2810="",E2810="!!!"),"",IF(NOT(ISNA(VLOOKUP(E2810,E$1:E2809,1,FALSE()))),"OLD",IF(AND(E2810&lt;&gt;"",E2810&lt;&gt;"!!!"),"NEW","")))</f>
        <v> </v>
      </c>
      <c r="G2810" s="23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4" t="str">
        <f>IF(J2810&lt;&gt;1,"",IF(I2810="SBJ","CB","?"))</f>
        <v> </v>
      </c>
      <c r="I2810" s="25" t="str">
        <f>IF(OR(E2810="",E2810="!!!",F2810="NEW"),"",INDEX(B2809:B$2,-1+SUMPRODUCT(MAX(ROW(E2809:E$2)*(E2810=E2809:E$2)))))</f>
        <v> </v>
      </c>
      <c r="J2810" s="25" t="str">
        <f>IF(OR(E2810="",E2810="!!!",F2810="NEW"),"",COUNTBLANK(OFFSET(A$1,,,SUMPRODUCT(MAX(ROW(E$2:E2810)*(E2810=E$2:E2810)))))-COUNTBLANK(OFFSET(A$1,,,SUMPRODUCT(MAX(ROW(E$1:E2809)*(E2=E$1:E2809))))))</f>
        <v> </v>
      </c>
      <c r="K2810" s="25" t="str">
        <f>IF(OR(E2810="",E2810="!!!",F2810="NEW"),"",INDEX(J$1:J2809,SUMPRODUCT(MAX(ROW(E$1:E2809)*(E2810=E$1:E2809)))))</f>
        <v> </v>
      </c>
      <c r="L2810" s="26"/>
    </row>
    <row r="2811" spans="1:12">
      <c r="A2811" s="20" t="s">
        <v>1779</v>
      </c>
      <c r="E2811" s="21">
        <f>IF(D2811="?OLD","!!!","")</f>
        <v/>
      </c>
      <c r="F2811" s="22" t="str">
        <f>IF(OR(E2811="",E2811="!!!"),"",IF(NOT(ISNA(VLOOKUP(E2811,E$1:E2810,1,FALSE()))),"OLD",IF(AND(E2811&lt;&gt;"",E2811&lt;&gt;"!!!"),"NEW","")))</f>
        <v> </v>
      </c>
      <c r="G2811" s="23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4" t="str">
        <f>IF(J2811&lt;&gt;1,"",IF(I2811="SBJ","CB","?"))</f>
        <v> </v>
      </c>
      <c r="I2811" s="25" t="str">
        <f>IF(OR(E2811="",E2811="!!!",F2811="NEW"),"",INDEX(B2810:B$2,-1+SUMPRODUCT(MAX(ROW(E2810:E$2)*(E2811=E2810:E$2)))))</f>
        <v> </v>
      </c>
      <c r="J2811" s="25" t="str">
        <f>IF(OR(E2811="",E2811="!!!",F2811="NEW"),"",COUNTBLANK(OFFSET(A$1,,,SUMPRODUCT(MAX(ROW(E$2:E2811)*(E2811=E$2:E2811)))))-COUNTBLANK(OFFSET(A$1,,,SUMPRODUCT(MAX(ROW(E$1:E2810)*(E2=E$1:E2810))))))</f>
        <v> </v>
      </c>
      <c r="K2811" s="25" t="str">
        <f>IF(OR(E2811="",E2811="!!!",F2811="NEW"),"",INDEX(J$1:J2810,SUMPRODUCT(MAX(ROW(E$1:E2810)*(E2811=E$1:E2810)))))</f>
        <v> </v>
      </c>
      <c r="L2811" s="26"/>
    </row>
    <row r="2812" spans="1:12">
      <c r="A2812" s="20" t="s">
        <v>1780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737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 t="s">
        <v>743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1781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 t="s">
        <v>737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 t="s">
        <v>1782</v>
      </c>
      <c r="E2817" s="21">
        <f>IF(D2817="?OLD","!!!","")</f>
        <v/>
      </c>
      <c r="F2817" s="22" t="str">
        <f>IF(OR(E2817="",E2817="!!!"),"",IF(NOT(ISNA(VLOOKUP(E2817,E$1:E2816,1,FALSE()))),"OLD",IF(AND(E2817&lt;&gt;"",E2817&lt;&gt;"!!!"),"NEW","")))</f>
        <v> </v>
      </c>
      <c r="G2817" s="23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4" t="str">
        <f>IF(J2817&lt;&gt;1,"",IF(I2817="SBJ","CB","?"))</f>
        <v> </v>
      </c>
      <c r="I2817" s="25" t="str">
        <f>IF(OR(E2817="",E2817="!!!",F2817="NEW"),"",INDEX(B2816:B$2,-1+SUMPRODUCT(MAX(ROW(E2816:E$2)*(E2817=E2816:E$2)))))</f>
        <v> </v>
      </c>
      <c r="J2817" s="25" t="str">
        <f>IF(OR(E2817="",E2817="!!!",F2817="NEW"),"",COUNTBLANK(OFFSET(A$1,,,SUMPRODUCT(MAX(ROW(E$2:E2817)*(E2817=E$2:E2817)))))-COUNTBLANK(OFFSET(A$1,,,SUMPRODUCT(MAX(ROW(E$1:E2816)*(E2=E$1:E2816))))))</f>
        <v> </v>
      </c>
      <c r="K2817" s="25" t="str">
        <f>IF(OR(E2817="",E2817="!!!",F2817="NEW"),"",INDEX(J$1:J2816,SUMPRODUCT(MAX(ROW(E$1:E2816)*(E2817=E$1:E2816)))))</f>
        <v> </v>
      </c>
      <c r="L2817" s="26"/>
    </row>
    <row r="2818" spans="1:12">
      <c r="A2818" s="20" t="s">
        <v>737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 t="s">
        <v>735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 t="s">
        <v>1783</v>
      </c>
      <c r="E2820" s="21">
        <f>IF(D2820="?OLD","!!!","")</f>
        <v/>
      </c>
      <c r="F2820" s="22" t="str">
        <f>IF(OR(E2820="",E2820="!!!"),"",IF(NOT(ISNA(VLOOKUP(E2820,E$1:E2819,1,FALSE()))),"OLD",IF(AND(E2820&lt;&gt;"",E2820&lt;&gt;"!!!"),"NEW","")))</f>
        <v> </v>
      </c>
      <c r="G2820" s="23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4" t="str">
        <f>IF(J2820&lt;&gt;1,"",IF(I2820="SBJ","CB","?"))</f>
        <v> </v>
      </c>
      <c r="I2820" s="25" t="str">
        <f>IF(OR(E2820="",E2820="!!!",F2820="NEW"),"",INDEX(B2819:B$2,-1+SUMPRODUCT(MAX(ROW(E2819:E$2)*(E2820=E2819:E$2)))))</f>
        <v> </v>
      </c>
      <c r="J2820" s="25" t="str">
        <f>IF(OR(E2820="",E2820="!!!",F2820="NEW"),"",COUNTBLANK(OFFSET(A$1,,,SUMPRODUCT(MAX(ROW(E$2:E2820)*(E2820=E$2:E2820)))))-COUNTBLANK(OFFSET(A$1,,,SUMPRODUCT(MAX(ROW(E$1:E2819)*(E2=E$1:E2819))))))</f>
        <v> </v>
      </c>
      <c r="K2820" s="25" t="str">
        <f>IF(OR(E2820="",E2820="!!!",F2820="NEW"),"",INDEX(J$1:J2819,SUMPRODUCT(MAX(ROW(E$1:E2819)*(E2820=E$1:E2819)))))</f>
        <v> </v>
      </c>
      <c r="L2820" s="26"/>
    </row>
    <row r="2821" spans="1:12">
      <c r="A2821" s="20" t="s">
        <v>720</v>
      </c>
      <c r="E2821" s="21">
        <f>IF(D2821="?OLD","!!!","")</f>
        <v/>
      </c>
      <c r="F2821" s="22" t="str">
        <f>IF(OR(E2821="",E2821="!!!"),"",IF(NOT(ISNA(VLOOKUP(E2821,E$1:E2820,1,FALSE()))),"OLD",IF(AND(E2821&lt;&gt;"",E2821&lt;&gt;"!!!"),"NEW","")))</f>
        <v> </v>
      </c>
      <c r="G2821" s="23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4" t="str">
        <f>IF(J2821&lt;&gt;1,"",IF(I2821="SBJ","CB","?"))</f>
        <v> </v>
      </c>
      <c r="I2821" s="25" t="str">
        <f>IF(OR(E2821="",E2821="!!!",F2821="NEW"),"",INDEX(B2820:B$2,-1+SUMPRODUCT(MAX(ROW(E2820:E$2)*(E2821=E2820:E$2)))))</f>
        <v> </v>
      </c>
      <c r="J2821" s="25" t="str">
        <f>IF(OR(E2821="",E2821="!!!",F2821="NEW"),"",COUNTBLANK(OFFSET(A$1,,,SUMPRODUCT(MAX(ROW(E$2:E2821)*(E2821=E$2:E2821)))))-COUNTBLANK(OFFSET(A$1,,,SUMPRODUCT(MAX(ROW(E$1:E2820)*(E2=E$1:E2820))))))</f>
        <v> </v>
      </c>
      <c r="K2821" s="25" t="str">
        <f>IF(OR(E2821="",E2821="!!!",F2821="NEW"),"",INDEX(J$1:J2820,SUMPRODUCT(MAX(ROW(E$1:E2820)*(E2821=E$1:E2820)))))</f>
        <v> </v>
      </c>
      <c r="L2821" s="26"/>
    </row>
    <row r="2822" spans="1:12">
      <c r="A2822" s="20"/>
    </row>
    <row r="2823" spans="1:12">
      <c r="A2823" s="20" t="s">
        <v>1784</v>
      </c>
    </row>
    <row r="2824" spans="1:12">
      <c r="A2824" s="20" t="s">
        <v>777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 t="s">
        <v>821</v>
      </c>
      <c r="E2825" s="21">
        <f>IF(D2825="?OLD","!!!","")</f>
        <v/>
      </c>
      <c r="F2825" s="22" t="str">
        <f>IF(OR(E2825="",E2825="!!!"),"",IF(NOT(ISNA(VLOOKUP(E2825,E$1:E2824,1,FALSE()))),"OLD",IF(AND(E2825&lt;&gt;"",E2825&lt;&gt;"!!!"),"NEW","")))</f>
        <v> </v>
      </c>
      <c r="G2825" s="23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4" t="str">
        <f>IF(J2825&lt;&gt;1,"",IF(I2825="SBJ","CB","?"))</f>
        <v> </v>
      </c>
      <c r="I2825" s="25" t="str">
        <f>IF(OR(E2825="",E2825="!!!",F2825="NEW"),"",INDEX(B2824:B$2,-1+SUMPRODUCT(MAX(ROW(E2824:E$2)*(E2825=E2824:E$2)))))</f>
        <v> </v>
      </c>
      <c r="J2825" s="25" t="str">
        <f>IF(OR(E2825="",E2825="!!!",F2825="NEW"),"",COUNTBLANK(OFFSET(A$1,,,SUMPRODUCT(MAX(ROW(E$2:E2825)*(E2825=E$2:E2825)))))-COUNTBLANK(OFFSET(A$1,,,SUMPRODUCT(MAX(ROW(E$1:E2824)*(E2=E$1:E2824))))))</f>
        <v> </v>
      </c>
      <c r="K2825" s="25" t="str">
        <f>IF(OR(E2825="",E2825="!!!",F2825="NEW"),"",INDEX(J$1:J2824,SUMPRODUCT(MAX(ROW(E$1:E2824)*(E2825=E$1:E2824)))))</f>
        <v> </v>
      </c>
      <c r="L2825" s="26"/>
    </row>
    <row r="2826" spans="1:12">
      <c r="A2826" s="20" t="s">
        <v>737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822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1785</v>
      </c>
      <c r="B2828" s="27" t="s">
        <v>745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793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 t="s">
        <v>1186</v>
      </c>
      <c r="E2830" s="21">
        <f>IF(D2830="?OLD","!!!","")</f>
        <v/>
      </c>
      <c r="F2830" s="22" t="str">
        <f>IF(OR(E2830="",E2830="!!!"),"",IF(NOT(ISNA(VLOOKUP(E2830,E$1:E2829,1,FALSE()))),"OLD",IF(AND(E2830&lt;&gt;"",E2830&lt;&gt;"!!!"),"NEW","")))</f>
        <v> </v>
      </c>
      <c r="G2830" s="23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4" t="str">
        <f>IF(J2830&lt;&gt;1,"",IF(I2830="SBJ","CB","?"))</f>
        <v> </v>
      </c>
      <c r="I2830" s="25" t="str">
        <f>IF(OR(E2830="",E2830="!!!",F2830="NEW"),"",INDEX(B2829:B$2,-1+SUMPRODUCT(MAX(ROW(E2829:E$2)*(E2830=E2829:E$2)))))</f>
        <v> </v>
      </c>
      <c r="J2830" s="25" t="str">
        <f>IF(OR(E2830="",E2830="!!!",F2830="NEW"),"",COUNTBLANK(OFFSET(A$1,,,SUMPRODUCT(MAX(ROW(E$2:E2830)*(E2830=E$2:E2830)))))-COUNTBLANK(OFFSET(A$1,,,SUMPRODUCT(MAX(ROW(E$1:E2829)*(E2=E$1:E2829))))))</f>
        <v> </v>
      </c>
      <c r="K2830" s="25" t="str">
        <f>IF(OR(E2830="",E2830="!!!",F2830="NEW"),"",INDEX(J$1:J2829,SUMPRODUCT(MAX(ROW(E$1:E2829)*(E2830=E$1:E2829)))))</f>
        <v> </v>
      </c>
      <c r="L2830" s="26"/>
    </row>
    <row r="2831" spans="1:12">
      <c r="A2831" s="20" t="s">
        <v>1284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 t="s">
        <v>1213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 t="s">
        <v>1224</v>
      </c>
      <c r="E2833" s="21">
        <f>IF(D2833="?OLD","!!!","")</f>
        <v/>
      </c>
      <c r="F2833" s="22" t="str">
        <f>IF(OR(E2833="",E2833="!!!"),"",IF(NOT(ISNA(VLOOKUP(E2833,E$1:E2832,1,FALSE()))),"OLD",IF(AND(E2833&lt;&gt;"",E2833&lt;&gt;"!!!"),"NEW","")))</f>
        <v> </v>
      </c>
      <c r="G2833" s="23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4" t="str">
        <f>IF(J2833&lt;&gt;1,"",IF(I2833="SBJ","CB","?"))</f>
        <v> </v>
      </c>
      <c r="I2833" s="25" t="str">
        <f>IF(OR(E2833="",E2833="!!!",F2833="NEW"),"",INDEX(B2832:B$2,-1+SUMPRODUCT(MAX(ROW(E2832:E$2)*(E2833=E2832:E$2)))))</f>
        <v> </v>
      </c>
      <c r="J2833" s="25" t="str">
        <f>IF(OR(E2833="",E2833="!!!",F2833="NEW"),"",COUNTBLANK(OFFSET(A$1,,,SUMPRODUCT(MAX(ROW(E$2:E2833)*(E2833=E$2:E2833)))))-COUNTBLANK(OFFSET(A$1,,,SUMPRODUCT(MAX(ROW(E$1:E2832)*(E2=E$1:E2832))))))</f>
        <v> </v>
      </c>
      <c r="K2833" s="25" t="str">
        <f>IF(OR(E2833="",E2833="!!!",F2833="NEW"),"",INDEX(J$1:J2832,SUMPRODUCT(MAX(ROW(E$1:E2832)*(E2833=E$1:E2832)))))</f>
        <v> </v>
      </c>
      <c r="L2833" s="26"/>
    </row>
    <row r="2834" spans="1:12">
      <c r="A2834" s="20" t="s">
        <v>589</v>
      </c>
      <c r="B2834" s="27" t="s">
        <v>790</v>
      </c>
      <c r="C2834" s="27" t="s">
        <v>715</v>
      </c>
      <c r="D2834" s="27" t="s">
        <v>716</v>
      </c>
      <c r="E2834" s="21">
        <f>IF(D2834="?OLD","!!!","")</f>
        <v/>
      </c>
      <c r="F2834" s="22" t="str">
        <f>IF(OR(E2834="",E2834="!!!"),"",IF(NOT(ISNA(VLOOKUP(E2834,E$1:E2833,1,FALSE()))),"OLD",IF(AND(E2834&lt;&gt;"",E2834&lt;&gt;"!!!"),"NEW","")))</f>
        <v> </v>
      </c>
      <c r="G2834" s="23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4" t="str">
        <f>IF(J2834&lt;&gt;1,"",IF(I2834="SBJ","CB","?"))</f>
        <v> </v>
      </c>
      <c r="I2834" s="25" t="str">
        <f>IF(OR(E2834="",E2834="!!!",F2834="NEW"),"",INDEX(B2833:B$2,-1+SUMPRODUCT(MAX(ROW(E2833:E$2)*(E2834=E2833:E$2)))))</f>
        <v> </v>
      </c>
      <c r="J2834" s="25" t="str">
        <f>IF(OR(E2834="",E2834="!!!",F2834="NEW"),"",COUNTBLANK(OFFSET(A$1,,,SUMPRODUCT(MAX(ROW(E$2:E2834)*(E2834=E$2:E2834)))))-COUNTBLANK(OFFSET(A$1,,,SUMPRODUCT(MAX(ROW(E$1:E2833)*(E2=E$1:E2833))))))</f>
        <v> </v>
      </c>
      <c r="K2834" s="25" t="str">
        <f>IF(OR(E2834="",E2834="!!!",F2834="NEW"),"",INDEX(J$1:J2833,SUMPRODUCT(MAX(ROW(E$1:E2833)*(E2834=E$1:E2833)))))</f>
        <v> </v>
      </c>
      <c r="L2834" s="26"/>
    </row>
    <row r="2835" spans="1:12">
      <c r="A2835" s="20" t="s">
        <v>743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 t="s">
        <v>1444</v>
      </c>
      <c r="E2836" s="21">
        <f>IF(D2836="?OLD","!!!","")</f>
        <v/>
      </c>
      <c r="F2836" s="22" t="str">
        <f>IF(OR(E2836="",E2836="!!!"),"",IF(NOT(ISNA(VLOOKUP(E2836,E$1:E2835,1,FALSE()))),"OLD",IF(AND(E2836&lt;&gt;"",E2836&lt;&gt;"!!!"),"NEW","")))</f>
        <v> </v>
      </c>
      <c r="G2836" s="23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4" t="str">
        <f>IF(J2836&lt;&gt;1,"",IF(I2836="SBJ","CB","?"))</f>
        <v> </v>
      </c>
      <c r="I2836" s="25" t="str">
        <f>IF(OR(E2836="",E2836="!!!",F2836="NEW"),"",INDEX(B2835:B$2,-1+SUMPRODUCT(MAX(ROW(E2835:E$2)*(E2836=E2835:E$2)))))</f>
        <v> </v>
      </c>
      <c r="J2836" s="25" t="str">
        <f>IF(OR(E2836="",E2836="!!!",F2836="NEW"),"",COUNTBLANK(OFFSET(A$1,,,SUMPRODUCT(MAX(ROW(E$2:E2836)*(E2836=E$2:E2836)))))-COUNTBLANK(OFFSET(A$1,,,SUMPRODUCT(MAX(ROW(E$1:E2835)*(E2=E$1:E2835))))))</f>
        <v> </v>
      </c>
      <c r="K2836" s="25" t="str">
        <f>IF(OR(E2836="",E2836="!!!",F2836="NEW"),"",INDEX(J$1:J2835,SUMPRODUCT(MAX(ROW(E$1:E2835)*(E2836=E$1:E2835)))))</f>
        <v> </v>
      </c>
      <c r="L2836" s="26"/>
    </row>
    <row r="2837" spans="1:12">
      <c r="A2837" s="20" t="s">
        <v>793</v>
      </c>
      <c r="E2837" s="21">
        <f>IF(D2837="?OLD","!!!","")</f>
        <v/>
      </c>
      <c r="F2837" s="22" t="str">
        <f>IF(OR(E2837="",E2837="!!!"),"",IF(NOT(ISNA(VLOOKUP(E2837,E$1:E2836,1,FALSE()))),"OLD",IF(AND(E2837&lt;&gt;"",E2837&lt;&gt;"!!!"),"NEW","")))</f>
        <v> </v>
      </c>
      <c r="G2837" s="23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4" t="str">
        <f>IF(J2837&lt;&gt;1,"",IF(I2837="SBJ","CB","?"))</f>
        <v> </v>
      </c>
      <c r="I2837" s="25" t="str">
        <f>IF(OR(E2837="",E2837="!!!",F2837="NEW"),"",INDEX(B2836:B$2,-1+SUMPRODUCT(MAX(ROW(E2836:E$2)*(E2837=E2836:E$2)))))</f>
        <v> </v>
      </c>
      <c r="J2837" s="25" t="str">
        <f>IF(OR(E2837="",E2837="!!!",F2837="NEW"),"",COUNTBLANK(OFFSET(A$1,,,SUMPRODUCT(MAX(ROW(E$2:E2837)*(E2837=E$2:E2837)))))-COUNTBLANK(OFFSET(A$1,,,SUMPRODUCT(MAX(ROW(E$1:E2836)*(E2=E$1:E2836))))))</f>
        <v> </v>
      </c>
      <c r="K2837" s="25" t="str">
        <f>IF(OR(E2837="",E2837="!!!",F2837="NEW"),"",INDEX(J$1:J2836,SUMPRODUCT(MAX(ROW(E$1:E2836)*(E2837=E$1:E2836)))))</f>
        <v> </v>
      </c>
      <c r="L2837" s="26"/>
    </row>
    <row r="2838" spans="1:12">
      <c r="A2838" s="20" t="s">
        <v>1786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 t="s">
        <v>1284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 t="s">
        <v>1213</v>
      </c>
      <c r="E2840" s="21">
        <f>IF(D2840="?OLD","!!!","")</f>
        <v/>
      </c>
      <c r="F2840" s="22" t="str">
        <f>IF(OR(E2840="",E2840="!!!"),"",IF(NOT(ISNA(VLOOKUP(E2840,E$1:E2839,1,FALSE()))),"OLD",IF(AND(E2840&lt;&gt;"",E2840&lt;&gt;"!!!"),"NEW","")))</f>
        <v> </v>
      </c>
      <c r="G2840" s="23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4" t="str">
        <f>IF(J2840&lt;&gt;1,"",IF(I2840="SBJ","CB","?"))</f>
        <v> </v>
      </c>
      <c r="I2840" s="25" t="str">
        <f>IF(OR(E2840="",E2840="!!!",F2840="NEW"),"",INDEX(B2839:B$2,-1+SUMPRODUCT(MAX(ROW(E2839:E$2)*(E2840=E2839:E$2)))))</f>
        <v> </v>
      </c>
      <c r="J2840" s="25" t="str">
        <f>IF(OR(E2840="",E2840="!!!",F2840="NEW"),"",COUNTBLANK(OFFSET(A$1,,,SUMPRODUCT(MAX(ROW(E$2:E2840)*(E2840=E$2:E2840)))))-COUNTBLANK(OFFSET(A$1,,,SUMPRODUCT(MAX(ROW(E$1:E2839)*(E2=E$1:E2839))))))</f>
        <v> </v>
      </c>
      <c r="K2840" s="25" t="str">
        <f>IF(OR(E2840="",E2840="!!!",F2840="NEW"),"",INDEX(J$1:J2839,SUMPRODUCT(MAX(ROW(E$1:E2839)*(E2840=E$1:E2839)))))</f>
        <v> </v>
      </c>
      <c r="L2840" s="26"/>
    </row>
    <row r="2841" spans="1:12">
      <c r="A2841" s="20" t="s">
        <v>1787</v>
      </c>
      <c r="E2841" s="21">
        <f>IF(D2841="?OLD","!!!","")</f>
        <v/>
      </c>
      <c r="F2841" s="22" t="str">
        <f>IF(OR(E2841="",E2841="!!!"),"",IF(NOT(ISNA(VLOOKUP(E2841,E$1:E2840,1,FALSE()))),"OLD",IF(AND(E2841&lt;&gt;"",E2841&lt;&gt;"!!!"),"NEW","")))</f>
        <v> </v>
      </c>
      <c r="G2841" s="23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4" t="str">
        <f>IF(J2841&lt;&gt;1,"",IF(I2841="SBJ","CB","?"))</f>
        <v> </v>
      </c>
      <c r="I2841" s="25" t="str">
        <f>IF(OR(E2841="",E2841="!!!",F2841="NEW"),"",INDEX(B2840:B$2,-1+SUMPRODUCT(MAX(ROW(E2840:E$2)*(E2841=E2840:E$2)))))</f>
        <v> </v>
      </c>
      <c r="J2841" s="25" t="str">
        <f>IF(OR(E2841="",E2841="!!!",F2841="NEW"),"",COUNTBLANK(OFFSET(A$1,,,SUMPRODUCT(MAX(ROW(E$2:E2841)*(E2841=E$2:E2841)))))-COUNTBLANK(OFFSET(A$1,,,SUMPRODUCT(MAX(ROW(E$1:E2840)*(E2=E$1:E2840))))))</f>
        <v> </v>
      </c>
      <c r="K2841" s="25" t="str">
        <f>IF(OR(E2841="",E2841="!!!",F2841="NEW"),"",INDEX(J$1:J2840,SUMPRODUCT(MAX(ROW(E$1:E2840)*(E2841=E$1:E2840)))))</f>
        <v> </v>
      </c>
      <c r="L2841" s="26"/>
    </row>
    <row r="2842" spans="1:12">
      <c r="A2842" s="20" t="s">
        <v>589</v>
      </c>
      <c r="B2842" s="27" t="s">
        <v>768</v>
      </c>
      <c r="C2842" s="27" t="s">
        <v>715</v>
      </c>
      <c r="D2842" s="27" t="s">
        <v>716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 t="s">
        <v>737</v>
      </c>
      <c r="E2843" s="21">
        <f>IF(D2843="?OLD","!!!","")</f>
        <v/>
      </c>
      <c r="F2843" s="22" t="str">
        <f>IF(OR(E2843="",E2843="!!!"),"",IF(NOT(ISNA(VLOOKUP(E2843,E$1:E2842,1,FALSE()))),"OLD",IF(AND(E2843&lt;&gt;"",E2843&lt;&gt;"!!!"),"NEW","")))</f>
        <v> </v>
      </c>
      <c r="G2843" s="23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4" t="str">
        <f>IF(J2843&lt;&gt;1,"",IF(I2843="SBJ","CB","?"))</f>
        <v> </v>
      </c>
      <c r="I2843" s="25" t="str">
        <f>IF(OR(E2843="",E2843="!!!",F2843="NEW"),"",INDEX(B2842:B$2,-1+SUMPRODUCT(MAX(ROW(E2842:E$2)*(E2843=E2842:E$2)))))</f>
        <v> </v>
      </c>
      <c r="J2843" s="25" t="str">
        <f>IF(OR(E2843="",E2843="!!!",F2843="NEW"),"",COUNTBLANK(OFFSET(A$1,,,SUMPRODUCT(MAX(ROW(E$2:E2843)*(E2843=E$2:E2843)))))-COUNTBLANK(OFFSET(A$1,,,SUMPRODUCT(MAX(ROW(E$1:E2842)*(E2=E$1:E2842))))))</f>
        <v> </v>
      </c>
      <c r="K2843" s="25" t="str">
        <f>IF(OR(E2843="",E2843="!!!",F2843="NEW"),"",INDEX(J$1:J2842,SUMPRODUCT(MAX(ROW(E$1:E2842)*(E2843=E$1:E2842)))))</f>
        <v> </v>
      </c>
      <c r="L2843" s="26"/>
    </row>
    <row r="2844" spans="1:12">
      <c r="A2844" s="20" t="s">
        <v>919</v>
      </c>
      <c r="B2844" s="27" t="s">
        <v>866</v>
      </c>
      <c r="C2844" s="27" t="s">
        <v>791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1418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737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835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 t="s">
        <v>1620</v>
      </c>
      <c r="B2848" s="27" t="s">
        <v>1058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1788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720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/>
    </row>
    <row r="2852" spans="1:12">
      <c r="A2852" s="20" t="s">
        <v>1789</v>
      </c>
    </row>
    <row r="2853" spans="1:12">
      <c r="A2853" s="20" t="s">
        <v>777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 t="s">
        <v>1229</v>
      </c>
      <c r="E2854" s="21">
        <f>IF(D2854="?OLD","!!!","")</f>
        <v/>
      </c>
      <c r="F2854" s="22" t="str">
        <f>IF(OR(E2854="",E2854="!!!"),"",IF(NOT(ISNA(VLOOKUP(E2854,E$1:E2853,1,FALSE()))),"OLD",IF(AND(E2854&lt;&gt;"",E2854&lt;&gt;"!!!"),"NEW","")))</f>
        <v> </v>
      </c>
      <c r="G2854" s="23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4" t="str">
        <f>IF(J2854&lt;&gt;1,"",IF(I2854="SBJ","CB","?"))</f>
        <v> </v>
      </c>
      <c r="I2854" s="25" t="str">
        <f>IF(OR(E2854="",E2854="!!!",F2854="NEW"),"",INDEX(B2853:B$2,-1+SUMPRODUCT(MAX(ROW(E2853:E$2)*(E2854=E2853:E$2)))))</f>
        <v> </v>
      </c>
      <c r="J2854" s="25" t="str">
        <f>IF(OR(E2854="",E2854="!!!",F2854="NEW"),"",COUNTBLANK(OFFSET(A$1,,,SUMPRODUCT(MAX(ROW(E$2:E2854)*(E2854=E$2:E2854)))))-COUNTBLANK(OFFSET(A$1,,,SUMPRODUCT(MAX(ROW(E$1:E2853)*(E2=E$1:E2853))))))</f>
        <v> </v>
      </c>
      <c r="K2854" s="25" t="str">
        <f>IF(OR(E2854="",E2854="!!!",F2854="NEW"),"",INDEX(J$1:J2853,SUMPRODUCT(MAX(ROW(E$1:E2853)*(E2854=E$1:E2853)))))</f>
        <v> </v>
      </c>
      <c r="L2854" s="26"/>
    </row>
    <row r="2855" spans="1:12">
      <c r="A2855" s="20" t="s">
        <v>737</v>
      </c>
      <c r="E2855" s="21">
        <f>IF(D2855="?OLD","!!!","")</f>
        <v/>
      </c>
      <c r="F2855" s="22" t="str">
        <f>IF(OR(E2855="",E2855="!!!"),"",IF(NOT(ISNA(VLOOKUP(E2855,E$1:E2854,1,FALSE()))),"OLD",IF(AND(E2855&lt;&gt;"",E2855&lt;&gt;"!!!"),"NEW","")))</f>
        <v> </v>
      </c>
      <c r="G2855" s="23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4" t="str">
        <f>IF(J2855&lt;&gt;1,"",IF(I2855="SBJ","CB","?"))</f>
        <v> </v>
      </c>
      <c r="I2855" s="25" t="str">
        <f>IF(OR(E2855="",E2855="!!!",F2855="NEW"),"",INDEX(B2854:B$2,-1+SUMPRODUCT(MAX(ROW(E2854:E$2)*(E2855=E2854:E$2)))))</f>
        <v> </v>
      </c>
      <c r="J2855" s="25" t="str">
        <f>IF(OR(E2855="",E2855="!!!",F2855="NEW"),"",COUNTBLANK(OFFSET(A$1,,,SUMPRODUCT(MAX(ROW(E$2:E2855)*(E2855=E$2:E2855)))))-COUNTBLANK(OFFSET(A$1,,,SUMPRODUCT(MAX(ROW(E$1:E2854)*(E2=E$1:E2854))))))</f>
        <v> </v>
      </c>
      <c r="K2855" s="25" t="str">
        <f>IF(OR(E2855="",E2855="!!!",F2855="NEW"),"",INDEX(J$1:J2854,SUMPRODUCT(MAX(ROW(E$1:E2854)*(E2855=E$1:E2854)))))</f>
        <v> </v>
      </c>
      <c r="L2855" s="26"/>
    </row>
    <row r="2856" spans="1:12">
      <c r="A2856" s="20" t="s">
        <v>1179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 t="s">
        <v>1790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589</v>
      </c>
      <c r="B2858" s="27" t="s">
        <v>745</v>
      </c>
      <c r="C2858" s="27" t="s">
        <v>715</v>
      </c>
      <c r="D2858" s="27" t="s">
        <v>716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 t="s">
        <v>1791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 t="s">
        <v>1792</v>
      </c>
      <c r="B2860" s="27" t="s">
        <v>727</v>
      </c>
      <c r="E2860" s="21">
        <f>IF(D2860="?OLD","!!!","")</f>
        <v/>
      </c>
      <c r="F2860" s="22" t="str">
        <f>IF(OR(E2860="",E2860="!!!"),"",IF(NOT(ISNA(VLOOKUP(E2860,E$1:E2859,1,FALSE()))),"OLD",IF(AND(E2860&lt;&gt;"",E2860&lt;&gt;"!!!"),"NEW","")))</f>
        <v> </v>
      </c>
      <c r="G2860" s="23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4" t="str">
        <f>IF(J2860&lt;&gt;1,"",IF(I2860="SBJ","CB","?"))</f>
        <v> </v>
      </c>
      <c r="I2860" s="25" t="str">
        <f>IF(OR(E2860="",E2860="!!!",F2860="NEW"),"",INDEX(B2859:B$2,-1+SUMPRODUCT(MAX(ROW(E2859:E$2)*(E2860=E2859:E$2)))))</f>
        <v> </v>
      </c>
      <c r="J2860" s="25" t="str">
        <f>IF(OR(E2860="",E2860="!!!",F2860="NEW"),"",COUNTBLANK(OFFSET(A$1,,,SUMPRODUCT(MAX(ROW(E$2:E2860)*(E2860=E$2:E2860)))))-COUNTBLANK(OFFSET(A$1,,,SUMPRODUCT(MAX(ROW(E$1:E2859)*(E2=E$1:E2859))))))</f>
        <v> </v>
      </c>
      <c r="K2860" s="25" t="str">
        <f>IF(OR(E2860="",E2860="!!!",F2860="NEW"),"",INDEX(J$1:J2859,SUMPRODUCT(MAX(ROW(E$1:E2859)*(E2860=E$1:E2859)))))</f>
        <v> </v>
      </c>
      <c r="L2860" s="26"/>
    </row>
    <row r="2861" spans="1:12">
      <c r="A2861" s="20" t="s">
        <v>1793</v>
      </c>
      <c r="E2861" s="21">
        <f>IF(D2861="?OLD","!!!","")</f>
        <v/>
      </c>
      <c r="F2861" s="22" t="str">
        <f>IF(OR(E2861="",E2861="!!!"),"",IF(NOT(ISNA(VLOOKUP(E2861,E$1:E2860,1,FALSE()))),"OLD",IF(AND(E2861&lt;&gt;"",E2861&lt;&gt;"!!!"),"NEW","")))</f>
        <v> </v>
      </c>
      <c r="G2861" s="23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4" t="str">
        <f>IF(J2861&lt;&gt;1,"",IF(I2861="SBJ","CB","?"))</f>
        <v> </v>
      </c>
      <c r="I2861" s="25" t="str">
        <f>IF(OR(E2861="",E2861="!!!",F2861="NEW"),"",INDEX(B2860:B$2,-1+SUMPRODUCT(MAX(ROW(E2860:E$2)*(E2861=E2860:E$2)))))</f>
        <v> </v>
      </c>
      <c r="J2861" s="25" t="str">
        <f>IF(OR(E2861="",E2861="!!!",F2861="NEW"),"",COUNTBLANK(OFFSET(A$1,,,SUMPRODUCT(MAX(ROW(E$2:E2861)*(E2861=E$2:E2861)))))-COUNTBLANK(OFFSET(A$1,,,SUMPRODUCT(MAX(ROW(E$1:E2860)*(E2=E$1:E2860))))))</f>
        <v> </v>
      </c>
      <c r="K2861" s="25" t="str">
        <f>IF(OR(E2861="",E2861="!!!",F2861="NEW"),"",INDEX(J$1:J2860,SUMPRODUCT(MAX(ROW(E$1:E2860)*(E2861=E$1:E2860)))))</f>
        <v> </v>
      </c>
      <c r="L2861" s="26"/>
    </row>
    <row r="2862" spans="1:12">
      <c r="A2862" s="20" t="s">
        <v>735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1794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1795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737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1796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 t="s">
        <v>1024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558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 t="s">
        <v>12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 t="s">
        <v>12</v>
      </c>
      <c r="E2870" s="21">
        <f>IF(D2870="?OLD","!!!","")</f>
        <v/>
      </c>
      <c r="F2870" s="22" t="str">
        <f>IF(OR(E2870="",E2870="!!!"),"",IF(NOT(ISNA(VLOOKUP(E2870,E$1:E2869,1,FALSE()))),"OLD",IF(AND(E2870&lt;&gt;"",E2870&lt;&gt;"!!!"),"NEW","")))</f>
        <v> </v>
      </c>
      <c r="G2870" s="23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4" t="str">
        <f>IF(J2870&lt;&gt;1,"",IF(I2870="SBJ","CB","?"))</f>
        <v> </v>
      </c>
      <c r="I2870" s="25" t="str">
        <f>IF(OR(E2870="",E2870="!!!",F2870="NEW"),"",INDEX(B2869:B$2,-1+SUMPRODUCT(MAX(ROW(E2869:E$2)*(E2870=E2869:E$2)))))</f>
        <v> </v>
      </c>
      <c r="J2870" s="25" t="str">
        <f>IF(OR(E2870="",E2870="!!!",F2870="NEW"),"",COUNTBLANK(OFFSET(A$1,,,SUMPRODUCT(MAX(ROW(E$2:E2870)*(E2870=E$2:E2870)))))-COUNTBLANK(OFFSET(A$1,,,SUMPRODUCT(MAX(ROW(E$1:E2869)*(E2=E$1:E2869))))))</f>
        <v> </v>
      </c>
      <c r="K2870" s="25" t="str">
        <f>IF(OR(E2870="",E2870="!!!",F2870="NEW"),"",INDEX(J$1:J2869,SUMPRODUCT(MAX(ROW(E$1:E2869)*(E2870=E$1:E2869)))))</f>
        <v> </v>
      </c>
      <c r="L2870" s="26"/>
    </row>
    <row r="2871" spans="1:12">
      <c r="A2871" s="20" t="s">
        <v>1213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 t="s">
        <v>1797</v>
      </c>
      <c r="E2872" s="21">
        <f>IF(D2872="?OLD","!!!","")</f>
        <v/>
      </c>
      <c r="F2872" s="22" t="str">
        <f>IF(OR(E2872="",E2872="!!!"),"",IF(NOT(ISNA(VLOOKUP(E2872,E$1:E2871,1,FALSE()))),"OLD",IF(AND(E2872&lt;&gt;"",E2872&lt;&gt;"!!!"),"NEW","")))</f>
        <v> </v>
      </c>
      <c r="G2872" s="23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4" t="str">
        <f>IF(J2872&lt;&gt;1,"",IF(I2872="SBJ","CB","?"))</f>
        <v> </v>
      </c>
      <c r="I2872" s="25" t="str">
        <f>IF(OR(E2872="",E2872="!!!",F2872="NEW"),"",INDEX(B2871:B$2,-1+SUMPRODUCT(MAX(ROW(E2871:E$2)*(E2872=E2871:E$2)))))</f>
        <v> </v>
      </c>
      <c r="J2872" s="25" t="str">
        <f>IF(OR(E2872="",E2872="!!!",F2872="NEW"),"",COUNTBLANK(OFFSET(A$1,,,SUMPRODUCT(MAX(ROW(E$2:E2872)*(E2872=E$2:E2872)))))-COUNTBLANK(OFFSET(A$1,,,SUMPRODUCT(MAX(ROW(E$1:E2871)*(E2=E$1:E2871))))))</f>
        <v> </v>
      </c>
      <c r="K2872" s="25" t="str">
        <f>IF(OR(E2872="",E2872="!!!",F2872="NEW"),"",INDEX(J$1:J2871,SUMPRODUCT(MAX(ROW(E$1:E2871)*(E2872=E$1:E2871)))))</f>
        <v> </v>
      </c>
      <c r="L2872" s="26"/>
    </row>
    <row r="2873" spans="1:12">
      <c r="A2873" s="20" t="s">
        <v>774</v>
      </c>
      <c r="B2873" s="27" t="s">
        <v>768</v>
      </c>
      <c r="C2873" s="27" t="s">
        <v>788</v>
      </c>
      <c r="E2873" s="21">
        <f>IF(D2873="?OLD","!!!","")</f>
        <v/>
      </c>
      <c r="F2873" s="22" t="str">
        <f>IF(OR(E2873="",E2873="!!!"),"",IF(NOT(ISNA(VLOOKUP(E2873,E$1:E2872,1,FALSE()))),"OLD",IF(AND(E2873&lt;&gt;"",E2873&lt;&gt;"!!!"),"NEW","")))</f>
        <v> </v>
      </c>
      <c r="G2873" s="23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4" t="str">
        <f>IF(J2873&lt;&gt;1,"",IF(I2873="SBJ","CB","?"))</f>
        <v> </v>
      </c>
      <c r="I2873" s="25" t="str">
        <f>IF(OR(E2873="",E2873="!!!",F2873="NEW"),"",INDEX(B2872:B$2,-1+SUMPRODUCT(MAX(ROW(E2872:E$2)*(E2873=E2872:E$2)))))</f>
        <v> </v>
      </c>
      <c r="J2873" s="25" t="str">
        <f>IF(OR(E2873="",E2873="!!!",F2873="NEW"),"",COUNTBLANK(OFFSET(A$1,,,SUMPRODUCT(MAX(ROW(E$2:E2873)*(E2873=E$2:E2873)))))-COUNTBLANK(OFFSET(A$1,,,SUMPRODUCT(MAX(ROW(E$1:E2872)*(E2=E$1:E2872))))))</f>
        <v> </v>
      </c>
      <c r="K2873" s="25" t="str">
        <f>IF(OR(E2873="",E2873="!!!",F2873="NEW"),"",INDEX(J$1:J2872,SUMPRODUCT(MAX(ROW(E$1:E2872)*(E2873=E$1:E2872)))))</f>
        <v> </v>
      </c>
      <c r="L2873" s="26"/>
    </row>
    <row r="2874" spans="1:12">
      <c r="A2874" s="20" t="s">
        <v>12</v>
      </c>
      <c r="E2874" s="21">
        <f>IF(D2874="?OLD","!!!","")</f>
        <v/>
      </c>
      <c r="F2874" s="22" t="str">
        <f>IF(OR(E2874="",E2874="!!!"),"",IF(NOT(ISNA(VLOOKUP(E2874,E$1:E2873,1,FALSE()))),"OLD",IF(AND(E2874&lt;&gt;"",E2874&lt;&gt;"!!!"),"NEW","")))</f>
        <v> </v>
      </c>
      <c r="G2874" s="23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4" t="str">
        <f>IF(J2874&lt;&gt;1,"",IF(I2874="SBJ","CB","?"))</f>
        <v> </v>
      </c>
      <c r="I2874" s="25" t="str">
        <f>IF(OR(E2874="",E2874="!!!",F2874="NEW"),"",INDEX(B2873:B$2,-1+SUMPRODUCT(MAX(ROW(E2873:E$2)*(E2874=E2873:E$2)))))</f>
        <v> </v>
      </c>
      <c r="J2874" s="25" t="str">
        <f>IF(OR(E2874="",E2874="!!!",F2874="NEW"),"",COUNTBLANK(OFFSET(A$1,,,SUMPRODUCT(MAX(ROW(E$2:E2874)*(E2874=E$2:E2874)))))-COUNTBLANK(OFFSET(A$1,,,SUMPRODUCT(MAX(ROW(E$1:E2873)*(E2=E$1:E2873))))))</f>
        <v> </v>
      </c>
      <c r="K2874" s="25" t="str">
        <f>IF(OR(E2874="",E2874="!!!",F2874="NEW"),"",INDEX(J$1:J2873,SUMPRODUCT(MAX(ROW(E$1:E2873)*(E2874=E$1:E2873)))))</f>
        <v> </v>
      </c>
      <c r="L2874" s="26"/>
    </row>
    <row r="2875" spans="1:12">
      <c r="A2875" s="20" t="s">
        <v>12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1798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 t="s">
        <v>735</v>
      </c>
      <c r="E2877" s="21">
        <f>IF(D2877="?OLD","!!!","")</f>
        <v/>
      </c>
      <c r="F2877" s="22" t="str">
        <f>IF(OR(E2877="",E2877="!!!"),"",IF(NOT(ISNA(VLOOKUP(E2877,E$1:E2876,1,FALSE()))),"OLD",IF(AND(E2877&lt;&gt;"",E2877&lt;&gt;"!!!"),"NEW","")))</f>
        <v> </v>
      </c>
      <c r="G2877" s="23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4" t="str">
        <f>IF(J2877&lt;&gt;1,"",IF(I2877="SBJ","CB","?"))</f>
        <v> </v>
      </c>
      <c r="I2877" s="25" t="str">
        <f>IF(OR(E2877="",E2877="!!!",F2877="NEW"),"",INDEX(B2876:B$2,-1+SUMPRODUCT(MAX(ROW(E2876:E$2)*(E2877=E2876:E$2)))))</f>
        <v> </v>
      </c>
      <c r="J2877" s="25" t="str">
        <f>IF(OR(E2877="",E2877="!!!",F2877="NEW"),"",COUNTBLANK(OFFSET(A$1,,,SUMPRODUCT(MAX(ROW(E$2:E2877)*(E2877=E$2:E2877)))))-COUNTBLANK(OFFSET(A$1,,,SUMPRODUCT(MAX(ROW(E$1:E2876)*(E2=E$1:E2876))))))</f>
        <v> </v>
      </c>
      <c r="K2877" s="25" t="str">
        <f>IF(OR(E2877="",E2877="!!!",F2877="NEW"),"",INDEX(J$1:J2876,SUMPRODUCT(MAX(ROW(E$1:E2876)*(E2877=E$1:E2876)))))</f>
        <v> </v>
      </c>
      <c r="L2877" s="26"/>
    </row>
    <row r="2878" spans="1:12">
      <c r="A2878" s="20" t="s">
        <v>1799</v>
      </c>
      <c r="B2878" s="27" t="s">
        <v>768</v>
      </c>
      <c r="C2878" s="27" t="s">
        <v>1060</v>
      </c>
      <c r="D2878" s="27" t="s">
        <v>716</v>
      </c>
      <c r="E2878" s="21">
        <f>IF(D2878="?OLD","!!!","")</f>
        <v/>
      </c>
      <c r="F2878" s="22" t="str">
        <f>IF(OR(E2878="",E2878="!!!"),"",IF(NOT(ISNA(VLOOKUP(E2878,E$1:E2877,1,FALSE()))),"OLD",IF(AND(E2878&lt;&gt;"",E2878&lt;&gt;"!!!"),"NEW","")))</f>
        <v> </v>
      </c>
      <c r="G2878" s="23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4" t="str">
        <f>IF(J2878&lt;&gt;1,"",IF(I2878="SBJ","CB","?"))</f>
        <v> </v>
      </c>
      <c r="I2878" s="25" t="str">
        <f>IF(OR(E2878="",E2878="!!!",F2878="NEW"),"",INDEX(B2877:B$2,-1+SUMPRODUCT(MAX(ROW(E2877:E$2)*(E2878=E2877:E$2)))))</f>
        <v> </v>
      </c>
      <c r="J2878" s="25" t="str">
        <f>IF(OR(E2878="",E2878="!!!",F2878="NEW"),"",COUNTBLANK(OFFSET(A$1,,,SUMPRODUCT(MAX(ROW(E$2:E2878)*(E2878=E$2:E2878)))))-COUNTBLANK(OFFSET(A$1,,,SUMPRODUCT(MAX(ROW(E$1:E2877)*(E2=E$1:E2877))))))</f>
        <v> </v>
      </c>
      <c r="K2878" s="25" t="str">
        <f>IF(OR(E2878="",E2878="!!!",F2878="NEW"),"",INDEX(J$1:J2877,SUMPRODUCT(MAX(ROW(E$1:E2877)*(E2878=E$1:E2877)))))</f>
        <v> </v>
      </c>
      <c r="L2878" s="26"/>
    </row>
    <row r="2879" spans="1:12">
      <c r="A2879" s="20" t="s">
        <v>720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/>
    </row>
    <row r="2881" spans="1:12">
      <c r="A2881" s="20" t="s">
        <v>1800</v>
      </c>
    </row>
    <row r="2882" spans="1:12">
      <c r="A2882" s="20" t="s">
        <v>797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 t="s">
        <v>974</v>
      </c>
      <c r="E2883" s="21">
        <f>IF(D2883="?OLD","!!!","")</f>
        <v/>
      </c>
      <c r="F2883" s="22" t="str">
        <f>IF(OR(E2883="",E2883="!!!"),"",IF(NOT(ISNA(VLOOKUP(E2883,E$1:E2882,1,FALSE()))),"OLD",IF(AND(E2883&lt;&gt;"",E2883&lt;&gt;"!!!"),"NEW","")))</f>
        <v> </v>
      </c>
      <c r="G2883" s="23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4" t="str">
        <f>IF(J2883&lt;&gt;1,"",IF(I2883="SBJ","CB","?"))</f>
        <v> </v>
      </c>
      <c r="I2883" s="25" t="str">
        <f>IF(OR(E2883="",E2883="!!!",F2883="NEW"),"",INDEX(B2882:B$2,-1+SUMPRODUCT(MAX(ROW(E2882:E$2)*(E2883=E2882:E$2)))))</f>
        <v> </v>
      </c>
      <c r="J2883" s="25" t="str">
        <f>IF(OR(E2883="",E2883="!!!",F2883="NEW"),"",COUNTBLANK(OFFSET(A$1,,,SUMPRODUCT(MAX(ROW(E$2:E2883)*(E2883=E$2:E2883)))))-COUNTBLANK(OFFSET(A$1,,,SUMPRODUCT(MAX(ROW(E$1:E2882)*(E2=E$1:E2882))))))</f>
        <v> </v>
      </c>
      <c r="K2883" s="25" t="str">
        <f>IF(OR(E2883="",E2883="!!!",F2883="NEW"),"",INDEX(J$1:J2882,SUMPRODUCT(MAX(ROW(E$1:E2882)*(E2883=E$1:E2882)))))</f>
        <v> </v>
      </c>
      <c r="L2883" s="26"/>
    </row>
    <row r="2884" spans="1:12">
      <c r="A2884" s="20" t="s">
        <v>1801</v>
      </c>
      <c r="E2884" s="21">
        <f>IF(D2884="?OLD","!!!","")</f>
        <v/>
      </c>
      <c r="F2884" s="22" t="str">
        <f>IF(OR(E2884="",E2884="!!!"),"",IF(NOT(ISNA(VLOOKUP(E2884,E$1:E2883,1,FALSE()))),"OLD",IF(AND(E2884&lt;&gt;"",E2884&lt;&gt;"!!!"),"NEW","")))</f>
        <v> </v>
      </c>
      <c r="G2884" s="23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4" t="str">
        <f>IF(J2884&lt;&gt;1,"",IF(I2884="SBJ","CB","?"))</f>
        <v> </v>
      </c>
      <c r="I2884" s="25" t="str">
        <f>IF(OR(E2884="",E2884="!!!",F2884="NEW"),"",INDEX(B2883:B$2,-1+SUMPRODUCT(MAX(ROW(E2883:E$2)*(E2884=E2883:E$2)))))</f>
        <v> </v>
      </c>
      <c r="J2884" s="25" t="str">
        <f>IF(OR(E2884="",E2884="!!!",F2884="NEW"),"",COUNTBLANK(OFFSET(A$1,,,SUMPRODUCT(MAX(ROW(E$2:E2884)*(E2884=E$2:E2884)))))-COUNTBLANK(OFFSET(A$1,,,SUMPRODUCT(MAX(ROW(E$1:E2883)*(E2=E$1:E2883))))))</f>
        <v> </v>
      </c>
      <c r="K2884" s="25" t="str">
        <f>IF(OR(E2884="",E2884="!!!",F2884="NEW"),"",INDEX(J$1:J2883,SUMPRODUCT(MAX(ROW(E$1:E2883)*(E2884=E$1:E2883)))))</f>
        <v> </v>
      </c>
      <c r="L2884" s="26"/>
    </row>
    <row r="2885" spans="1:12">
      <c r="A2885" s="20" t="s">
        <v>1802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 t="s">
        <v>737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822</v>
      </c>
      <c r="B2887" s="27" t="s">
        <v>790</v>
      </c>
      <c r="C2887" s="27" t="s">
        <v>791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 t="s">
        <v>1299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941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 t="s">
        <v>1730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 t="s">
        <v>737</v>
      </c>
      <c r="E2891" s="21">
        <f>IF(D2891="?OLD","!!!","")</f>
        <v/>
      </c>
      <c r="F2891" s="22" t="str">
        <f>IF(OR(E2891="",E2891="!!!"),"",IF(NOT(ISNA(VLOOKUP(E2891,E$1:E2890,1,FALSE()))),"OLD",IF(AND(E2891&lt;&gt;"",E2891&lt;&gt;"!!!"),"NEW","")))</f>
        <v> </v>
      </c>
      <c r="G2891" s="23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4" t="str">
        <f>IF(J2891&lt;&gt;1,"",IF(I2891="SBJ","CB","?"))</f>
        <v> </v>
      </c>
      <c r="I2891" s="25" t="str">
        <f>IF(OR(E2891="",E2891="!!!",F2891="NEW"),"",INDEX(B2890:B$2,-1+SUMPRODUCT(MAX(ROW(E2890:E$2)*(E2891=E2890:E$2)))))</f>
        <v> </v>
      </c>
      <c r="J2891" s="25" t="str">
        <f>IF(OR(E2891="",E2891="!!!",F2891="NEW"),"",COUNTBLANK(OFFSET(A$1,,,SUMPRODUCT(MAX(ROW(E$2:E2891)*(E2891=E$2:E2891)))))-COUNTBLANK(OFFSET(A$1,,,SUMPRODUCT(MAX(ROW(E$1:E2890)*(E2=E$1:E2890))))))</f>
        <v> </v>
      </c>
      <c r="K2891" s="25" t="str">
        <f>IF(OR(E2891="",E2891="!!!",F2891="NEW"),"",INDEX(J$1:J2890,SUMPRODUCT(MAX(ROW(E$1:E2890)*(E2891=E$1:E2890)))))</f>
        <v> </v>
      </c>
      <c r="L2891" s="26"/>
    </row>
    <row r="2892" spans="1:12">
      <c r="A2892" s="20" t="s">
        <v>789</v>
      </c>
      <c r="B2892" s="27" t="s">
        <v>866</v>
      </c>
      <c r="C2892" s="27" t="s">
        <v>791</v>
      </c>
      <c r="E2892" s="21">
        <f>IF(D2892="?OLD","!!!","")</f>
        <v/>
      </c>
      <c r="F2892" s="22" t="str">
        <f>IF(OR(E2892="",E2892="!!!"),"",IF(NOT(ISNA(VLOOKUP(E2892,E$1:E2891,1,FALSE()))),"OLD",IF(AND(E2892&lt;&gt;"",E2892&lt;&gt;"!!!"),"NEW","")))</f>
        <v> </v>
      </c>
      <c r="G2892" s="23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4" t="str">
        <f>IF(J2892&lt;&gt;1,"",IF(I2892="SBJ","CB","?"))</f>
        <v> </v>
      </c>
      <c r="I2892" s="25" t="str">
        <f>IF(OR(E2892="",E2892="!!!",F2892="NEW"),"",INDEX(B2891:B$2,-1+SUMPRODUCT(MAX(ROW(E2891:E$2)*(E2892=E2891:E$2)))))</f>
        <v> </v>
      </c>
      <c r="J2892" s="25" t="str">
        <f>IF(OR(E2892="",E2892="!!!",F2892="NEW"),"",COUNTBLANK(OFFSET(A$1,,,SUMPRODUCT(MAX(ROW(E$2:E2892)*(E2892=E$2:E2892)))))-COUNTBLANK(OFFSET(A$1,,,SUMPRODUCT(MAX(ROW(E$1:E2891)*(E2=E$1:E2891))))))</f>
        <v> </v>
      </c>
      <c r="K2892" s="25" t="str">
        <f>IF(OR(E2892="",E2892="!!!",F2892="NEW"),"",INDEX(J$1:J2891,SUMPRODUCT(MAX(ROW(E$1:E2891)*(E2892=E$1:E2891)))))</f>
        <v> </v>
      </c>
      <c r="L2892" s="26"/>
    </row>
    <row r="2893" spans="1:12">
      <c r="A2893" s="20" t="s">
        <v>1803</v>
      </c>
      <c r="E2893" s="21">
        <f>IF(D2893="?OLD","!!!","")</f>
        <v/>
      </c>
      <c r="F2893" s="22" t="str">
        <f>IF(OR(E2893="",E2893="!!!"),"",IF(NOT(ISNA(VLOOKUP(E2893,E$1:E2892,1,FALSE()))),"OLD",IF(AND(E2893&lt;&gt;"",E2893&lt;&gt;"!!!"),"NEW","")))</f>
        <v> </v>
      </c>
      <c r="G2893" s="23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4" t="str">
        <f>IF(J2893&lt;&gt;1,"",IF(I2893="SBJ","CB","?"))</f>
        <v> </v>
      </c>
      <c r="I2893" s="25" t="str">
        <f>IF(OR(E2893="",E2893="!!!",F2893="NEW"),"",INDEX(B2892:B$2,-1+SUMPRODUCT(MAX(ROW(E2892:E$2)*(E2893=E2892:E$2)))))</f>
        <v> </v>
      </c>
      <c r="J2893" s="25" t="str">
        <f>IF(OR(E2893="",E2893="!!!",F2893="NEW"),"",COUNTBLANK(OFFSET(A$1,,,SUMPRODUCT(MAX(ROW(E$2:E2893)*(E2893=E$2:E2893)))))-COUNTBLANK(OFFSET(A$1,,,SUMPRODUCT(MAX(ROW(E$1:E2892)*(E2=E$1:E2892))))))</f>
        <v> </v>
      </c>
      <c r="K2893" s="25" t="str">
        <f>IF(OR(E2893="",E2893="!!!",F2893="NEW"),"",INDEX(J$1:J2892,SUMPRODUCT(MAX(ROW(E$1:E2892)*(E2893=E$1:E2892)))))</f>
        <v> </v>
      </c>
      <c r="L2893" s="26"/>
    </row>
    <row r="2894" spans="1:12">
      <c r="A2894" s="20" t="s">
        <v>1804</v>
      </c>
      <c r="E2894" s="21">
        <f>IF(D2894="?OLD","!!!","")</f>
        <v/>
      </c>
      <c r="F2894" s="22" t="str">
        <f>IF(OR(E2894="",E2894="!!!"),"",IF(NOT(ISNA(VLOOKUP(E2894,E$1:E2893,1,FALSE()))),"OLD",IF(AND(E2894&lt;&gt;"",E2894&lt;&gt;"!!!"),"NEW","")))</f>
        <v> </v>
      </c>
      <c r="G2894" s="23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4" t="str">
        <f>IF(J2894&lt;&gt;1,"",IF(I2894="SBJ","CB","?"))</f>
        <v> </v>
      </c>
      <c r="I2894" s="25" t="str">
        <f>IF(OR(E2894="",E2894="!!!",F2894="NEW"),"",INDEX(B2893:B$2,-1+SUMPRODUCT(MAX(ROW(E2893:E$2)*(E2894=E2893:E$2)))))</f>
        <v> </v>
      </c>
      <c r="J2894" s="25" t="str">
        <f>IF(OR(E2894="",E2894="!!!",F2894="NEW"),"",COUNTBLANK(OFFSET(A$1,,,SUMPRODUCT(MAX(ROW(E$2:E2894)*(E2894=E$2:E2894)))))-COUNTBLANK(OFFSET(A$1,,,SUMPRODUCT(MAX(ROW(E$1:E2893)*(E2=E$1:E2893))))))</f>
        <v> </v>
      </c>
      <c r="K2894" s="25" t="str">
        <f>IF(OR(E2894="",E2894="!!!",F2894="NEW"),"",INDEX(J$1:J2893,SUMPRODUCT(MAX(ROW(E$1:E2893)*(E2894=E$1:E2893)))))</f>
        <v> </v>
      </c>
      <c r="L2894" s="26"/>
    </row>
    <row r="2895" spans="1:12">
      <c r="A2895" s="20" t="s">
        <v>735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 t="s">
        <v>1805</v>
      </c>
      <c r="E2896" s="21">
        <f>IF(D2896="?OLD","!!!","")</f>
        <v/>
      </c>
      <c r="F2896" s="22" t="str">
        <f>IF(OR(E2896="",E2896="!!!"),"",IF(NOT(ISNA(VLOOKUP(E2896,E$1:E2895,1,FALSE()))),"OLD",IF(AND(E2896&lt;&gt;"",E2896&lt;&gt;"!!!"),"NEW","")))</f>
        <v> </v>
      </c>
      <c r="G2896" s="23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4" t="str">
        <f>IF(J2896&lt;&gt;1,"",IF(I2896="SBJ","CB","?"))</f>
        <v> </v>
      </c>
      <c r="I2896" s="25" t="str">
        <f>IF(OR(E2896="",E2896="!!!",F2896="NEW"),"",INDEX(B2895:B$2,-1+SUMPRODUCT(MAX(ROW(E2895:E$2)*(E2896=E2895:E$2)))))</f>
        <v> </v>
      </c>
      <c r="J2896" s="25" t="str">
        <f>IF(OR(E2896="",E2896="!!!",F2896="NEW"),"",COUNTBLANK(OFFSET(A$1,,,SUMPRODUCT(MAX(ROW(E$2:E2896)*(E2896=E$2:E2896)))))-COUNTBLANK(OFFSET(A$1,,,SUMPRODUCT(MAX(ROW(E$1:E2895)*(E2=E$1:E2895))))))</f>
        <v> </v>
      </c>
      <c r="K2896" s="25" t="str">
        <f>IF(OR(E2896="",E2896="!!!",F2896="NEW"),"",INDEX(J$1:J2895,SUMPRODUCT(MAX(ROW(E$1:E2895)*(E2896=E$1:E2895)))))</f>
        <v> </v>
      </c>
      <c r="L2896" s="26"/>
    </row>
    <row r="2897" spans="1:12">
      <c r="A2897" s="20" t="s">
        <v>558</v>
      </c>
      <c r="E2897" s="21">
        <f>IF(D2897="?OLD","!!!","")</f>
        <v/>
      </c>
      <c r="F2897" s="22" t="str">
        <f>IF(OR(E2897="",E2897="!!!"),"",IF(NOT(ISNA(VLOOKUP(E2897,E$1:E2896,1,FALSE()))),"OLD",IF(AND(E2897&lt;&gt;"",E2897&lt;&gt;"!!!"),"NEW","")))</f>
        <v> </v>
      </c>
      <c r="G2897" s="23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4" t="str">
        <f>IF(J2897&lt;&gt;1,"",IF(I2897="SBJ","CB","?"))</f>
        <v> </v>
      </c>
      <c r="I2897" s="25" t="str">
        <f>IF(OR(E2897="",E2897="!!!",F2897="NEW"),"",INDEX(B2896:B$2,-1+SUMPRODUCT(MAX(ROW(E2896:E$2)*(E2897=E2896:E$2)))))</f>
        <v> </v>
      </c>
      <c r="J2897" s="25" t="str">
        <f>IF(OR(E2897="",E2897="!!!",F2897="NEW"),"",COUNTBLANK(OFFSET(A$1,,,SUMPRODUCT(MAX(ROW(E$2:E2897)*(E2897=E$2:E2897)))))-COUNTBLANK(OFFSET(A$1,,,SUMPRODUCT(MAX(ROW(E$1:E2896)*(E2=E$1:E2896))))))</f>
        <v> </v>
      </c>
      <c r="K2897" s="25" t="str">
        <f>IF(OR(E2897="",E2897="!!!",F2897="NEW"),"",INDEX(J$1:J2896,SUMPRODUCT(MAX(ROW(E$1:E2896)*(E2897=E$1:E2896)))))</f>
        <v> </v>
      </c>
      <c r="L2897" s="26"/>
    </row>
    <row r="2898" spans="1:12">
      <c r="A2898" s="20" t="s">
        <v>775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 t="s">
        <v>720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/>
    </row>
    <row r="2901" spans="1:12">
      <c r="A2901" s="20" t="s">
        <v>1806</v>
      </c>
    </row>
    <row r="2902" spans="1:12">
      <c r="A2902" s="20" t="s">
        <v>1561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 t="s">
        <v>737</v>
      </c>
      <c r="E2903" s="21">
        <f>IF(D2903="?OLD","!!!","")</f>
        <v/>
      </c>
      <c r="F2903" s="22" t="str">
        <f>IF(OR(E2903="",E2903="!!!"),"",IF(NOT(ISNA(VLOOKUP(E2903,E$1:E2902,1,FALSE()))),"OLD",IF(AND(E2903&lt;&gt;"",E2903&lt;&gt;"!!!"),"NEW","")))</f>
        <v> </v>
      </c>
      <c r="G2903" s="23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4" t="str">
        <f>IF(J2903&lt;&gt;1,"",IF(I2903="SBJ","CB","?"))</f>
        <v> </v>
      </c>
      <c r="I2903" s="25" t="str">
        <f>IF(OR(E2903="",E2903="!!!",F2903="NEW"),"",INDEX(B2902:B$2,-1+SUMPRODUCT(MAX(ROW(E2902:E$2)*(E2903=E2902:E$2)))))</f>
        <v> </v>
      </c>
      <c r="J2903" s="25" t="str">
        <f>IF(OR(E2903="",E2903="!!!",F2903="NEW"),"",COUNTBLANK(OFFSET(A$1,,,SUMPRODUCT(MAX(ROW(E$2:E2903)*(E2903=E$2:E2903)))))-COUNTBLANK(OFFSET(A$1,,,SUMPRODUCT(MAX(ROW(E$1:E2902)*(E2=E$1:E2902))))))</f>
        <v> </v>
      </c>
      <c r="K2903" s="25" t="str">
        <f>IF(OR(E2903="",E2903="!!!",F2903="NEW"),"",INDEX(J$1:J2902,SUMPRODUCT(MAX(ROW(E$1:E2902)*(E2903=E$1:E2902)))))</f>
        <v> </v>
      </c>
      <c r="L2903" s="26"/>
    </row>
    <row r="2904" spans="1:12">
      <c r="A2904" s="20" t="s">
        <v>1016</v>
      </c>
      <c r="E2904" s="21">
        <f>IF(D2904="?OLD","!!!","")</f>
        <v/>
      </c>
      <c r="F2904" s="22" t="str">
        <f>IF(OR(E2904="",E2904="!!!"),"",IF(NOT(ISNA(VLOOKUP(E2904,E$1:E2903,1,FALSE()))),"OLD",IF(AND(E2904&lt;&gt;"",E2904&lt;&gt;"!!!"),"NEW","")))</f>
        <v> </v>
      </c>
      <c r="G2904" s="23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4" t="str">
        <f>IF(J2904&lt;&gt;1,"",IF(I2904="SBJ","CB","?"))</f>
        <v> </v>
      </c>
      <c r="I2904" s="25" t="str">
        <f>IF(OR(E2904="",E2904="!!!",F2904="NEW"),"",INDEX(B2903:B$2,-1+SUMPRODUCT(MAX(ROW(E2903:E$2)*(E2904=E2903:E$2)))))</f>
        <v> </v>
      </c>
      <c r="J2904" s="25" t="str">
        <f>IF(OR(E2904="",E2904="!!!",F2904="NEW"),"",COUNTBLANK(OFFSET(A$1,,,SUMPRODUCT(MAX(ROW(E$2:E2904)*(E2904=E$2:E2904)))))-COUNTBLANK(OFFSET(A$1,,,SUMPRODUCT(MAX(ROW(E$1:E2903)*(E2=E$1:E2903))))))</f>
        <v> </v>
      </c>
      <c r="K2904" s="25" t="str">
        <f>IF(OR(E2904="",E2904="!!!",F2904="NEW"),"",INDEX(J$1:J2903,SUMPRODUCT(MAX(ROW(E$1:E2903)*(E2904=E$1:E2903)))))</f>
        <v> </v>
      </c>
      <c r="L2904" s="26"/>
    </row>
    <row r="2905" spans="1:12">
      <c r="A2905" s="20" t="s">
        <v>589</v>
      </c>
      <c r="B2905" s="27" t="s">
        <v>714</v>
      </c>
      <c r="C2905" s="27" t="s">
        <v>715</v>
      </c>
      <c r="D2905" s="27" t="s">
        <v>716</v>
      </c>
      <c r="E2905" s="21">
        <f>IF(D2905="?OLD","!!!","")</f>
        <v/>
      </c>
      <c r="F2905" s="22" t="str">
        <f>IF(OR(E2905="",E2905="!!!"),"",IF(NOT(ISNA(VLOOKUP(E2905,E$1:E2904,1,FALSE()))),"OLD",IF(AND(E2905&lt;&gt;"",E2905&lt;&gt;"!!!"),"NEW","")))</f>
        <v> </v>
      </c>
      <c r="G2905" s="23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4" t="str">
        <f>IF(J2905&lt;&gt;1,"",IF(I2905="SBJ","CB","?"))</f>
        <v> </v>
      </c>
      <c r="I2905" s="25" t="str">
        <f>IF(OR(E2905="",E2905="!!!",F2905="NEW"),"",INDEX(B2904:B$2,-1+SUMPRODUCT(MAX(ROW(E2904:E$2)*(E2905=E2904:E$2)))))</f>
        <v> </v>
      </c>
      <c r="J2905" s="25" t="str">
        <f>IF(OR(E2905="",E2905="!!!",F2905="NEW"),"",COUNTBLANK(OFFSET(A$1,,,SUMPRODUCT(MAX(ROW(E$2:E2905)*(E2905=E$2:E2905)))))-COUNTBLANK(OFFSET(A$1,,,SUMPRODUCT(MAX(ROW(E$1:E2904)*(E2=E$1:E2904))))))</f>
        <v> </v>
      </c>
      <c r="K2905" s="25" t="str">
        <f>IF(OR(E2905="",E2905="!!!",F2905="NEW"),"",INDEX(J$1:J2904,SUMPRODUCT(MAX(ROW(E$1:E2904)*(E2905=E$1:E2904)))))</f>
        <v> </v>
      </c>
      <c r="L2905" s="26"/>
    </row>
    <row r="2906" spans="1:12">
      <c r="A2906" s="20" t="s">
        <v>793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1807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775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720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/>
    </row>
    <row r="2911" spans="1:12">
      <c r="A2911" s="20" t="s">
        <v>1808</v>
      </c>
    </row>
    <row r="2912" spans="1:12">
      <c r="A2912" s="20" t="s">
        <v>810</v>
      </c>
      <c r="B2912" s="27" t="s">
        <v>808</v>
      </c>
      <c r="C2912" s="27" t="s">
        <v>782</v>
      </c>
      <c r="D2912" s="27" t="s">
        <v>716</v>
      </c>
      <c r="E2912" s="21">
        <f>IF(D2912="?OLD","!!!","")</f>
        <v/>
      </c>
      <c r="F2912" s="22" t="str">
        <f>IF(OR(E2912="",E2912="!!!"),"",IF(NOT(ISNA(VLOOKUP(E2912,E$1:E2911,1,FALSE()))),"OLD",IF(AND(E2912&lt;&gt;"",E2912&lt;&gt;"!!!"),"NEW","")))</f>
        <v> </v>
      </c>
      <c r="G2912" s="23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4" t="str">
        <f>IF(J2912&lt;&gt;1,"",IF(I2912="SBJ","CB","?"))</f>
        <v> </v>
      </c>
      <c r="I2912" s="25" t="str">
        <f>IF(OR(E2912="",E2912="!!!",F2912="NEW"),"",INDEX(B2911:B$2,-1+SUMPRODUCT(MAX(ROW(E2911:E$2)*(E2912=E2911:E$2)))))</f>
        <v> </v>
      </c>
      <c r="J2912" s="25" t="str">
        <f>IF(OR(E2912="",E2912="!!!",F2912="NEW"),"",COUNTBLANK(OFFSET(A$1,,,SUMPRODUCT(MAX(ROW(E$2:E2912)*(E2912=E$2:E2912)))))-COUNTBLANK(OFFSET(A$1,,,SUMPRODUCT(MAX(ROW(E$1:E2911)*(E2=E$1:E2911))))))</f>
        <v> </v>
      </c>
      <c r="K2912" s="25" t="str">
        <f>IF(OR(E2912="",E2912="!!!",F2912="NEW"),"",INDEX(J$1:J2911,SUMPRODUCT(MAX(ROW(E$1:E2911)*(E2912=E$1:E2911)))))</f>
        <v> </v>
      </c>
      <c r="L2912" s="26"/>
    </row>
    <row r="2913" spans="1:12">
      <c r="A2913" s="20" t="s">
        <v>823</v>
      </c>
      <c r="B2913" s="27" t="s">
        <v>714</v>
      </c>
      <c r="C2913" s="27" t="s">
        <v>715</v>
      </c>
      <c r="D2913" s="27" t="s">
        <v>716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1204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1489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 t="s">
        <v>720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/>
    </row>
    <row r="2918" spans="1:12">
      <c r="A2918" s="20" t="s">
        <v>1809</v>
      </c>
    </row>
    <row r="2919" spans="1:12">
      <c r="A2919" s="20" t="s">
        <v>777</v>
      </c>
      <c r="E2919" s="21">
        <f>IF(D2919="?OLD","!!!","")</f>
        <v/>
      </c>
      <c r="F2919" s="22" t="str">
        <f>IF(OR(E2919="",E2919="!!!"),"",IF(NOT(ISNA(VLOOKUP(E2919,E$1:E2918,1,FALSE()))),"OLD",IF(AND(E2919&lt;&gt;"",E2919&lt;&gt;"!!!"),"NEW","")))</f>
        <v> </v>
      </c>
      <c r="G2919" s="23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4" t="str">
        <f>IF(J2919&lt;&gt;1,"",IF(I2919="SBJ","CB","?"))</f>
        <v> </v>
      </c>
      <c r="I2919" s="25" t="str">
        <f>IF(OR(E2919="",E2919="!!!",F2919="NEW"),"",INDEX(B2918:B$2,-1+SUMPRODUCT(MAX(ROW(E2918:E$2)*(E2919=E2918:E$2)))))</f>
        <v> </v>
      </c>
      <c r="J2919" s="25" t="str">
        <f>IF(OR(E2919="",E2919="!!!",F2919="NEW"),"",COUNTBLANK(OFFSET(A$1,,,SUMPRODUCT(MAX(ROW(E$2:E2919)*(E2919=E$2:E2919)))))-COUNTBLANK(OFFSET(A$1,,,SUMPRODUCT(MAX(ROW(E$1:E2918)*(E2=E$1:E2918))))))</f>
        <v> </v>
      </c>
      <c r="K2919" s="25" t="str">
        <f>IF(OR(E2919="",E2919="!!!",F2919="NEW"),"",INDEX(J$1:J2918,SUMPRODUCT(MAX(ROW(E$1:E2918)*(E2919=E$1:E2918)))))</f>
        <v> </v>
      </c>
      <c r="L2919" s="26"/>
    </row>
    <row r="2920" spans="1:12">
      <c r="A2920" s="20" t="s">
        <v>161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822</v>
      </c>
      <c r="B2921" s="27" t="s">
        <v>714</v>
      </c>
      <c r="C2921" s="27" t="s">
        <v>791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1810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 t="s">
        <v>720</v>
      </c>
      <c r="E2923" s="21">
        <f>IF(D2923="?OLD","!!!","")</f>
        <v/>
      </c>
      <c r="F2923" s="22" t="str">
        <f>IF(OR(E2923="",E2923="!!!"),"",IF(NOT(ISNA(VLOOKUP(E2923,E$1:E2922,1,FALSE()))),"OLD",IF(AND(E2923&lt;&gt;"",E2923&lt;&gt;"!!!"),"NEW","")))</f>
        <v> </v>
      </c>
      <c r="G2923" s="23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4" t="str">
        <f>IF(J2923&lt;&gt;1,"",IF(I2923="SBJ","CB","?"))</f>
        <v> </v>
      </c>
      <c r="I2923" s="25" t="str">
        <f>IF(OR(E2923="",E2923="!!!",F2923="NEW"),"",INDEX(B2922:B$2,-1+SUMPRODUCT(MAX(ROW(E2922:E$2)*(E2923=E2922:E$2)))))</f>
        <v> </v>
      </c>
      <c r="J2923" s="25" t="str">
        <f>IF(OR(E2923="",E2923="!!!",F2923="NEW"),"",COUNTBLANK(OFFSET(A$1,,,SUMPRODUCT(MAX(ROW(E$2:E2923)*(E2923=E$2:E2923)))))-COUNTBLANK(OFFSET(A$1,,,SUMPRODUCT(MAX(ROW(E$1:E2922)*(E2=E$1:E2922))))))</f>
        <v> </v>
      </c>
      <c r="K2923" s="25" t="str">
        <f>IF(OR(E2923="",E2923="!!!",F2923="NEW"),"",INDEX(J$1:J2922,SUMPRODUCT(MAX(ROW(E$1:E2922)*(E2923=E$1:E2922)))))</f>
        <v> </v>
      </c>
      <c r="L2923" s="26"/>
    </row>
    <row r="2924" spans="1:12">
      <c r="A2924" s="20"/>
    </row>
    <row r="2925" spans="1:12">
      <c r="A2925" s="20" t="s">
        <v>1811</v>
      </c>
    </row>
    <row r="2926" spans="1:12">
      <c r="A2926" s="20" t="s">
        <v>1305</v>
      </c>
      <c r="B2926" s="27" t="s">
        <v>714</v>
      </c>
      <c r="C2926" s="27" t="s">
        <v>715</v>
      </c>
      <c r="D2926" s="27" t="s">
        <v>716</v>
      </c>
      <c r="E2926" s="21">
        <f>IF(D2926="?OLD","!!!","")</f>
        <v/>
      </c>
      <c r="F2926" s="22" t="str">
        <f>IF(OR(E2926="",E2926="!!!"),"",IF(NOT(ISNA(VLOOKUP(E2926,E$1:E2925,1,FALSE()))),"OLD",IF(AND(E2926&lt;&gt;"",E2926&lt;&gt;"!!!"),"NEW","")))</f>
        <v> </v>
      </c>
      <c r="G2926" s="23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4" t="str">
        <f>IF(J2926&lt;&gt;1,"",IF(I2926="SBJ","CB","?"))</f>
        <v> </v>
      </c>
      <c r="I2926" s="25" t="str">
        <f>IF(OR(E2926="",E2926="!!!",F2926="NEW"),"",INDEX(B2925:B$2,-1+SUMPRODUCT(MAX(ROW(E2925:E$2)*(E2926=E2925:E$2)))))</f>
        <v> </v>
      </c>
      <c r="J2926" s="25" t="str">
        <f>IF(OR(E2926="",E2926="!!!",F2926="NEW"),"",COUNTBLANK(OFFSET(A$1,,,SUMPRODUCT(MAX(ROW(E$2:E2926)*(E2926=E$2:E2926)))))-COUNTBLANK(OFFSET(A$1,,,SUMPRODUCT(MAX(ROW(E$1:E2925)*(E2=E$1:E2925))))))</f>
        <v> </v>
      </c>
      <c r="K2926" s="25" t="str">
        <f>IF(OR(E2926="",E2926="!!!",F2926="NEW"),"",INDEX(J$1:J2925,SUMPRODUCT(MAX(ROW(E$1:E2925)*(E2926=E$1:E2925)))))</f>
        <v> </v>
      </c>
      <c r="L2926" s="26"/>
    </row>
    <row r="2927" spans="1:12">
      <c r="A2927" s="20" t="s">
        <v>1551</v>
      </c>
      <c r="E2927" s="21">
        <f>IF(D2927="?OLD","!!!","")</f>
        <v/>
      </c>
      <c r="F2927" s="22" t="str">
        <f>IF(OR(E2927="",E2927="!!!"),"",IF(NOT(ISNA(VLOOKUP(E2927,E$1:E2926,1,FALSE()))),"OLD",IF(AND(E2927&lt;&gt;"",E2927&lt;&gt;"!!!"),"NEW","")))</f>
        <v> </v>
      </c>
      <c r="G2927" s="23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4" t="str">
        <f>IF(J2927&lt;&gt;1,"",IF(I2927="SBJ","CB","?"))</f>
        <v> </v>
      </c>
      <c r="I2927" s="25" t="str">
        <f>IF(OR(E2927="",E2927="!!!",F2927="NEW"),"",INDEX(B2926:B$2,-1+SUMPRODUCT(MAX(ROW(E2926:E$2)*(E2927=E2926:E$2)))))</f>
        <v> </v>
      </c>
      <c r="J2927" s="25" t="str">
        <f>IF(OR(E2927="",E2927="!!!",F2927="NEW"),"",COUNTBLANK(OFFSET(A$1,,,SUMPRODUCT(MAX(ROW(E$2:E2927)*(E2927=E$2:E2927)))))-COUNTBLANK(OFFSET(A$1,,,SUMPRODUCT(MAX(ROW(E$1:E2926)*(E2=E$1:E2926))))))</f>
        <v> </v>
      </c>
      <c r="K2927" s="25" t="str">
        <f>IF(OR(E2927="",E2927="!!!",F2927="NEW"),"",INDEX(J$1:J2926,SUMPRODUCT(MAX(ROW(E$1:E2926)*(E2927=E$1:E2926)))))</f>
        <v> </v>
      </c>
      <c r="L2927" s="26"/>
    </row>
    <row r="2928" spans="1:12">
      <c r="A2928" s="20" t="s">
        <v>569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 t="s">
        <v>1009</v>
      </c>
      <c r="B2929" s="27" t="s">
        <v>808</v>
      </c>
      <c r="E2929" s="21">
        <f>IF(D2929="?OLD","!!!","")</f>
        <v/>
      </c>
      <c r="F2929" s="22" t="str">
        <f>IF(OR(E2929="",E2929="!!!"),"",IF(NOT(ISNA(VLOOKUP(E2929,E$1:E2928,1,FALSE()))),"OLD",IF(AND(E2929&lt;&gt;"",E2929&lt;&gt;"!!!"),"NEW","")))</f>
        <v> </v>
      </c>
      <c r="G2929" s="23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4" t="str">
        <f>IF(J2929&lt;&gt;1,"",IF(I2929="SBJ","CB","?"))</f>
        <v> </v>
      </c>
      <c r="I2929" s="25" t="str">
        <f>IF(OR(E2929="",E2929="!!!",F2929="NEW"),"",INDEX(B2928:B$2,-1+SUMPRODUCT(MAX(ROW(E2928:E$2)*(E2929=E2928:E$2)))))</f>
        <v> </v>
      </c>
      <c r="J2929" s="25" t="str">
        <f>IF(OR(E2929="",E2929="!!!",F2929="NEW"),"",COUNTBLANK(OFFSET(A$1,,,SUMPRODUCT(MAX(ROW(E$2:E2929)*(E2929=E$2:E2929)))))-COUNTBLANK(OFFSET(A$1,,,SUMPRODUCT(MAX(ROW(E$1:E2928)*(E2=E$1:E2928))))))</f>
        <v> </v>
      </c>
      <c r="K2929" s="25" t="str">
        <f>IF(OR(E2929="",E2929="!!!",F2929="NEW"),"",INDEX(J$1:J2928,SUMPRODUCT(MAX(ROW(E$1:E2928)*(E2929=E$1:E2928)))))</f>
        <v> </v>
      </c>
      <c r="L2929" s="26"/>
    </row>
    <row r="2930" spans="1:12">
      <c r="A2930" s="20" t="s">
        <v>775</v>
      </c>
      <c r="E2930" s="21">
        <f>IF(D2930="?OLD","!!!","")</f>
        <v/>
      </c>
      <c r="F2930" s="22" t="str">
        <f>IF(OR(E2930="",E2930="!!!"),"",IF(NOT(ISNA(VLOOKUP(E2930,E$1:E2929,1,FALSE()))),"OLD",IF(AND(E2930&lt;&gt;"",E2930&lt;&gt;"!!!"),"NEW","")))</f>
        <v> </v>
      </c>
      <c r="G2930" s="23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4" t="str">
        <f>IF(J2930&lt;&gt;1,"",IF(I2930="SBJ","CB","?"))</f>
        <v> </v>
      </c>
      <c r="I2930" s="25" t="str">
        <f>IF(OR(E2930="",E2930="!!!",F2930="NEW"),"",INDEX(B2929:B$2,-1+SUMPRODUCT(MAX(ROW(E2929:E$2)*(E2930=E2929:E$2)))))</f>
        <v> </v>
      </c>
      <c r="J2930" s="25" t="str">
        <f>IF(OR(E2930="",E2930="!!!",F2930="NEW"),"",COUNTBLANK(OFFSET(A$1,,,SUMPRODUCT(MAX(ROW(E$2:E2930)*(E2930=E$2:E2930)))))-COUNTBLANK(OFFSET(A$1,,,SUMPRODUCT(MAX(ROW(E$1:E2929)*(E2=E$1:E2929))))))</f>
        <v> </v>
      </c>
      <c r="K2930" s="25" t="str">
        <f>IF(OR(E2930="",E2930="!!!",F2930="NEW"),"",INDEX(J$1:J2929,SUMPRODUCT(MAX(ROW(E$1:E2929)*(E2930=E$1:E2929)))))</f>
        <v> </v>
      </c>
      <c r="L2930" s="26"/>
    </row>
    <row r="2931" spans="1:12">
      <c r="A2931" s="20" t="s">
        <v>737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844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822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 t="s">
        <v>737</v>
      </c>
      <c r="E2934" s="21">
        <f>IF(D2934="?OLD","!!!","")</f>
        <v/>
      </c>
      <c r="F2934" s="22" t="str">
        <f>IF(OR(E2934="",E2934="!!!"),"",IF(NOT(ISNA(VLOOKUP(E2934,E$1:E2933,1,FALSE()))),"OLD",IF(AND(E2934&lt;&gt;"",E2934&lt;&gt;"!!!"),"NEW","")))</f>
        <v> </v>
      </c>
      <c r="G2934" s="23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4" t="str">
        <f>IF(J2934&lt;&gt;1,"",IF(I2934="SBJ","CB","?"))</f>
        <v> </v>
      </c>
      <c r="I2934" s="25" t="str">
        <f>IF(OR(E2934="",E2934="!!!",F2934="NEW"),"",INDEX(B2933:B$2,-1+SUMPRODUCT(MAX(ROW(E2933:E$2)*(E2934=E2933:E$2)))))</f>
        <v> </v>
      </c>
      <c r="J2934" s="25" t="str">
        <f>IF(OR(E2934="",E2934="!!!",F2934="NEW"),"",COUNTBLANK(OFFSET(A$1,,,SUMPRODUCT(MAX(ROW(E$2:E2934)*(E2934=E$2:E2934)))))-COUNTBLANK(OFFSET(A$1,,,SUMPRODUCT(MAX(ROW(E$1:E2933)*(E2=E$1:E2933))))))</f>
        <v> </v>
      </c>
      <c r="K2934" s="25" t="str">
        <f>IF(OR(E2934="",E2934="!!!",F2934="NEW"),"",INDEX(J$1:J2933,SUMPRODUCT(MAX(ROW(E$1:E2933)*(E2934=E$1:E2933)))))</f>
        <v> </v>
      </c>
      <c r="L2934" s="26"/>
    </row>
    <row r="2935" spans="1:12">
      <c r="A2935" s="20" t="s">
        <v>1036</v>
      </c>
      <c r="E2935" s="21">
        <f>IF(D2935="?OLD","!!!","")</f>
        <v/>
      </c>
      <c r="F2935" s="22" t="str">
        <f>IF(OR(E2935="",E2935="!!!"),"",IF(NOT(ISNA(VLOOKUP(E2935,E$1:E2934,1,FALSE()))),"OLD",IF(AND(E2935&lt;&gt;"",E2935&lt;&gt;"!!!"),"NEW","")))</f>
        <v> </v>
      </c>
      <c r="G2935" s="23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4" t="str">
        <f>IF(J2935&lt;&gt;1,"",IF(I2935="SBJ","CB","?"))</f>
        <v> </v>
      </c>
      <c r="I2935" s="25" t="str">
        <f>IF(OR(E2935="",E2935="!!!",F2935="NEW"),"",INDEX(B2934:B$2,-1+SUMPRODUCT(MAX(ROW(E2934:E$2)*(E2935=E2934:E$2)))))</f>
        <v> </v>
      </c>
      <c r="J2935" s="25" t="str">
        <f>IF(OR(E2935="",E2935="!!!",F2935="NEW"),"",COUNTBLANK(OFFSET(A$1,,,SUMPRODUCT(MAX(ROW(E$2:E2935)*(E2935=E$2:E2935)))))-COUNTBLANK(OFFSET(A$1,,,SUMPRODUCT(MAX(ROW(E$1:E2934)*(E2=E$1:E2934))))))</f>
        <v> </v>
      </c>
      <c r="K2935" s="25" t="str">
        <f>IF(OR(E2935="",E2935="!!!",F2935="NEW"),"",INDEX(J$1:J2934,SUMPRODUCT(MAX(ROW(E$1:E2934)*(E2935=E$1:E2934)))))</f>
        <v> </v>
      </c>
      <c r="L2935" s="26"/>
    </row>
    <row r="2936" spans="1:12">
      <c r="A2936" s="20" t="s">
        <v>906</v>
      </c>
      <c r="B2936" s="27" t="s">
        <v>790</v>
      </c>
      <c r="C2936" s="27" t="s">
        <v>715</v>
      </c>
      <c r="D2936" s="27" t="s">
        <v>716</v>
      </c>
      <c r="E2936" s="21">
        <f>IF(D2936="?OLD","!!!","")</f>
        <v/>
      </c>
      <c r="F2936" s="22" t="str">
        <f>IF(OR(E2936="",E2936="!!!"),"",IF(NOT(ISNA(VLOOKUP(E2936,E$1:E2935,1,FALSE()))),"OLD",IF(AND(E2936&lt;&gt;"",E2936&lt;&gt;"!!!"),"NEW","")))</f>
        <v> </v>
      </c>
      <c r="G2936" s="23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4" t="str">
        <f>IF(J2936&lt;&gt;1,"",IF(I2936="SBJ","CB","?"))</f>
        <v> </v>
      </c>
      <c r="I2936" s="25" t="str">
        <f>IF(OR(E2936="",E2936="!!!",F2936="NEW"),"",INDEX(B2935:B$2,-1+SUMPRODUCT(MAX(ROW(E2935:E$2)*(E2936=E2935:E$2)))))</f>
        <v> </v>
      </c>
      <c r="J2936" s="25" t="str">
        <f>IF(OR(E2936="",E2936="!!!",F2936="NEW"),"",COUNTBLANK(OFFSET(A$1,,,SUMPRODUCT(MAX(ROW(E$2:E2936)*(E2936=E$2:E2936)))))-COUNTBLANK(OFFSET(A$1,,,SUMPRODUCT(MAX(ROW(E$1:E2935)*(E2=E$1:E2935))))))</f>
        <v> </v>
      </c>
      <c r="K2936" s="25" t="str">
        <f>IF(OR(E2936="",E2936="!!!",F2936="NEW"),"",INDEX(J$1:J2935,SUMPRODUCT(MAX(ROW(E$1:E2935)*(E2936=E$1:E2935)))))</f>
        <v> </v>
      </c>
      <c r="L2936" s="26"/>
    </row>
    <row r="2937" spans="1:12">
      <c r="A2937" s="20" t="s">
        <v>1551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51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 t="s">
        <v>1442</v>
      </c>
      <c r="E2939" s="21">
        <f>IF(D2939="?OLD","!!!","")</f>
        <v/>
      </c>
      <c r="F2939" s="22" t="str">
        <f>IF(OR(E2939="",E2939="!!!"),"",IF(NOT(ISNA(VLOOKUP(E2939,E$1:E2938,1,FALSE()))),"OLD",IF(AND(E2939&lt;&gt;"",E2939&lt;&gt;"!!!"),"NEW","")))</f>
        <v> </v>
      </c>
      <c r="G2939" s="23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4" t="str">
        <f>IF(J2939&lt;&gt;1,"",IF(I2939="SBJ","CB","?"))</f>
        <v> </v>
      </c>
      <c r="I2939" s="25" t="str">
        <f>IF(OR(E2939="",E2939="!!!",F2939="NEW"),"",INDEX(B2938:B$2,-1+SUMPRODUCT(MAX(ROW(E2938:E$2)*(E2939=E2938:E$2)))))</f>
        <v> </v>
      </c>
      <c r="J2939" s="25" t="str">
        <f>IF(OR(E2939="",E2939="!!!",F2939="NEW"),"",COUNTBLANK(OFFSET(A$1,,,SUMPRODUCT(MAX(ROW(E$2:E2939)*(E2939=E$2:E2939)))))-COUNTBLANK(OFFSET(A$1,,,SUMPRODUCT(MAX(ROW(E$1:E2938)*(E2=E$1:E2938))))))</f>
        <v> </v>
      </c>
      <c r="K2939" s="25" t="str">
        <f>IF(OR(E2939="",E2939="!!!",F2939="NEW"),"",INDEX(J$1:J2938,SUMPRODUCT(MAX(ROW(E$1:E2938)*(E2939=E$1:E2938)))))</f>
        <v> </v>
      </c>
      <c r="L2939" s="26"/>
    </row>
    <row r="2940" spans="1:12">
      <c r="A2940" s="20" t="s">
        <v>1396</v>
      </c>
      <c r="B2940" s="27" t="s">
        <v>768</v>
      </c>
      <c r="C2940" s="27" t="s">
        <v>782</v>
      </c>
      <c r="D2940" s="27" t="s">
        <v>716</v>
      </c>
      <c r="E2940" s="21">
        <f>IF(D2940="?OLD","!!!","")</f>
        <v/>
      </c>
      <c r="F2940" s="22" t="str">
        <f>IF(OR(E2940="",E2940="!!!"),"",IF(NOT(ISNA(VLOOKUP(E2940,E$1:E2939,1,FALSE()))),"OLD",IF(AND(E2940&lt;&gt;"",E2940&lt;&gt;"!!!"),"NEW","")))</f>
        <v> </v>
      </c>
      <c r="G2940" s="23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4" t="str">
        <f>IF(J2940&lt;&gt;1,"",IF(I2940="SBJ","CB","?"))</f>
        <v> </v>
      </c>
      <c r="I2940" s="25" t="str">
        <f>IF(OR(E2940="",E2940="!!!",F2940="NEW"),"",INDEX(B2939:B$2,-1+SUMPRODUCT(MAX(ROW(E2939:E$2)*(E2940=E2939:E$2)))))</f>
        <v> </v>
      </c>
      <c r="J2940" s="25" t="str">
        <f>IF(OR(E2940="",E2940="!!!",F2940="NEW"),"",COUNTBLANK(OFFSET(A$1,,,SUMPRODUCT(MAX(ROW(E$2:E2940)*(E2940=E$2:E2940)))))-COUNTBLANK(OFFSET(A$1,,,SUMPRODUCT(MAX(ROW(E$1:E2939)*(E2=E$1:E2939))))))</f>
        <v> </v>
      </c>
      <c r="K2940" s="25" t="str">
        <f>IF(OR(E2940="",E2940="!!!",F2940="NEW"),"",INDEX(J$1:J2939,SUMPRODUCT(MAX(ROW(E$1:E2939)*(E2940=E$1:E2939)))))</f>
        <v> </v>
      </c>
      <c r="L2940" s="26"/>
    </row>
    <row r="2941" spans="1:12">
      <c r="A2941" s="20" t="s">
        <v>737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906</v>
      </c>
      <c r="B2942" s="27" t="s">
        <v>745</v>
      </c>
      <c r="C2942" s="27" t="s">
        <v>715</v>
      </c>
      <c r="D2942" s="27" t="s">
        <v>716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1551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1812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1813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1814</v>
      </c>
      <c r="B2946" s="27" t="s">
        <v>727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 t="s">
        <v>735</v>
      </c>
      <c r="E2947" s="21">
        <f>IF(D2947="?OLD","!!!","")</f>
        <v/>
      </c>
      <c r="F2947" s="22" t="str">
        <f>IF(OR(E2947="",E2947="!!!"),"",IF(NOT(ISNA(VLOOKUP(E2947,E$1:E2946,1,FALSE()))),"OLD",IF(AND(E2947&lt;&gt;"",E2947&lt;&gt;"!!!"),"NEW","")))</f>
        <v> </v>
      </c>
      <c r="G2947" s="23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4" t="str">
        <f>IF(J2947&lt;&gt;1,"",IF(I2947="SBJ","CB","?"))</f>
        <v> </v>
      </c>
      <c r="I2947" s="25" t="str">
        <f>IF(OR(E2947="",E2947="!!!",F2947="NEW"),"",INDEX(B2946:B$2,-1+SUMPRODUCT(MAX(ROW(E2946:E$2)*(E2947=E2946:E$2)))))</f>
        <v> </v>
      </c>
      <c r="J2947" s="25" t="str">
        <f>IF(OR(E2947="",E2947="!!!",F2947="NEW"),"",COUNTBLANK(OFFSET(A$1,,,SUMPRODUCT(MAX(ROW(E$2:E2947)*(E2947=E$2:E2947)))))-COUNTBLANK(OFFSET(A$1,,,SUMPRODUCT(MAX(ROW(E$1:E2946)*(E2=E$1:E2946))))))</f>
        <v> </v>
      </c>
      <c r="K2947" s="25" t="str">
        <f>IF(OR(E2947="",E2947="!!!",F2947="NEW"),"",INDEX(J$1:J2946,SUMPRODUCT(MAX(ROW(E$1:E2946)*(E2947=E$1:E2946)))))</f>
        <v> </v>
      </c>
      <c r="L2947" s="26"/>
    </row>
    <row r="2948" spans="1:12">
      <c r="A2948" s="20" t="s">
        <v>1776</v>
      </c>
      <c r="E2948" s="21">
        <f>IF(D2948="?OLD","!!!","")</f>
        <v/>
      </c>
      <c r="F2948" s="22" t="str">
        <f>IF(OR(E2948="",E2948="!!!"),"",IF(NOT(ISNA(VLOOKUP(E2948,E$1:E2947,1,FALSE()))),"OLD",IF(AND(E2948&lt;&gt;"",E2948&lt;&gt;"!!!"),"NEW","")))</f>
        <v> </v>
      </c>
      <c r="G2948" s="23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4" t="str">
        <f>IF(J2948&lt;&gt;1,"",IF(I2948="SBJ","CB","?"))</f>
        <v> </v>
      </c>
      <c r="I2948" s="25" t="str">
        <f>IF(OR(E2948="",E2948="!!!",F2948="NEW"),"",INDEX(B2947:B$2,-1+SUMPRODUCT(MAX(ROW(E2947:E$2)*(E2948=E2947:E$2)))))</f>
        <v> </v>
      </c>
      <c r="J2948" s="25" t="str">
        <f>IF(OR(E2948="",E2948="!!!",F2948="NEW"),"",COUNTBLANK(OFFSET(A$1,,,SUMPRODUCT(MAX(ROW(E$2:E2948)*(E2948=E$2:E2948)))))-COUNTBLANK(OFFSET(A$1,,,SUMPRODUCT(MAX(ROW(E$1:E2947)*(E2=E$1:E2947))))))</f>
        <v> </v>
      </c>
      <c r="K2948" s="25" t="str">
        <f>IF(OR(E2948="",E2948="!!!",F2948="NEW"),"",INDEX(J$1:J2947,SUMPRODUCT(MAX(ROW(E$1:E2947)*(E2948=E$1:E2947)))))</f>
        <v> </v>
      </c>
      <c r="L2948" s="26"/>
    </row>
    <row r="2949" spans="1:12">
      <c r="A2949" s="20" t="s">
        <v>720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/>
    </row>
    <row r="2951" spans="1:12">
      <c r="A2951" s="20" t="s">
        <v>1815</v>
      </c>
    </row>
    <row r="2952" spans="1:12">
      <c r="A2952" s="20" t="s">
        <v>797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906</v>
      </c>
      <c r="B2953" s="27" t="s">
        <v>714</v>
      </c>
      <c r="C2953" s="27" t="s">
        <v>715</v>
      </c>
      <c r="D2953" s="27" t="s">
        <v>716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1816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737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822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1656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 t="s">
        <v>1817</v>
      </c>
      <c r="E2958" s="21">
        <f>IF(D2958="?OLD","!!!","")</f>
        <v/>
      </c>
      <c r="F2958" s="22" t="str">
        <f>IF(OR(E2958="",E2958="!!!"),"",IF(NOT(ISNA(VLOOKUP(E2958,E$1:E2957,1,FALSE()))),"OLD",IF(AND(E2958&lt;&gt;"",E2958&lt;&gt;"!!!"),"NEW","")))</f>
        <v> </v>
      </c>
      <c r="G2958" s="23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4" t="str">
        <f>IF(J2958&lt;&gt;1,"",IF(I2958="SBJ","CB","?"))</f>
        <v> </v>
      </c>
      <c r="I2958" s="25" t="str">
        <f>IF(OR(E2958="",E2958="!!!",F2958="NEW"),"",INDEX(B2957:B$2,-1+SUMPRODUCT(MAX(ROW(E2957:E$2)*(E2958=E2957:E$2)))))</f>
        <v> </v>
      </c>
      <c r="J2958" s="25" t="str">
        <f>IF(OR(E2958="",E2958="!!!",F2958="NEW"),"",COUNTBLANK(OFFSET(A$1,,,SUMPRODUCT(MAX(ROW(E$2:E2958)*(E2958=E$2:E2958)))))-COUNTBLANK(OFFSET(A$1,,,SUMPRODUCT(MAX(ROW(E$1:E2957)*(E2=E$1:E2957))))))</f>
        <v> </v>
      </c>
      <c r="K2958" s="25" t="str">
        <f>IF(OR(E2958="",E2958="!!!",F2958="NEW"),"",INDEX(J$1:J2957,SUMPRODUCT(MAX(ROW(E$1:E2957)*(E2958=E$1:E2957)))))</f>
        <v> </v>
      </c>
      <c r="L2958" s="26"/>
    </row>
    <row r="2959" spans="1:12">
      <c r="A2959" s="20" t="s">
        <v>1818</v>
      </c>
      <c r="B2959" s="27" t="s">
        <v>727</v>
      </c>
      <c r="E2959" s="21">
        <f>IF(D2959="?OLD","!!!","")</f>
        <v/>
      </c>
      <c r="F2959" s="22" t="str">
        <f>IF(OR(E2959="",E2959="!!!"),"",IF(NOT(ISNA(VLOOKUP(E2959,E$1:E2958,1,FALSE()))),"OLD",IF(AND(E2959&lt;&gt;"",E2959&lt;&gt;"!!!"),"NEW","")))</f>
        <v> </v>
      </c>
      <c r="G2959" s="23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4" t="str">
        <f>IF(J2959&lt;&gt;1,"",IF(I2959="SBJ","CB","?"))</f>
        <v> </v>
      </c>
      <c r="I2959" s="25" t="str">
        <f>IF(OR(E2959="",E2959="!!!",F2959="NEW"),"",INDEX(B2958:B$2,-1+SUMPRODUCT(MAX(ROW(E2958:E$2)*(E2959=E2958:E$2)))))</f>
        <v> </v>
      </c>
      <c r="J2959" s="25" t="str">
        <f>IF(OR(E2959="",E2959="!!!",F2959="NEW"),"",COUNTBLANK(OFFSET(A$1,,,SUMPRODUCT(MAX(ROW(E$2:E2959)*(E2959=E$2:E2959)))))-COUNTBLANK(OFFSET(A$1,,,SUMPRODUCT(MAX(ROW(E$1:E2958)*(E2=E$1:E2958))))))</f>
        <v> </v>
      </c>
      <c r="K2959" s="25" t="str">
        <f>IF(OR(E2959="",E2959="!!!",F2959="NEW"),"",INDEX(J$1:J2958,SUMPRODUCT(MAX(ROW(E$1:E2958)*(E2959=E$1:E2958)))))</f>
        <v> </v>
      </c>
      <c r="L2959" s="26"/>
    </row>
    <row r="2960" spans="1:12">
      <c r="A2960" s="20" t="s">
        <v>720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/>
    </row>
    <row r="2962" spans="1:12">
      <c r="A2962" s="20" t="s">
        <v>1819</v>
      </c>
    </row>
    <row r="2963" spans="1:12">
      <c r="A2963" s="20" t="s">
        <v>1623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 t="s">
        <v>1820</v>
      </c>
      <c r="E2964" s="21">
        <f>IF(D2964="?OLD","!!!","")</f>
        <v/>
      </c>
      <c r="F2964" s="22" t="str">
        <f>IF(OR(E2964="",E2964="!!!"),"",IF(NOT(ISNA(VLOOKUP(E2964,E$1:E2963,1,FALSE()))),"OLD",IF(AND(E2964&lt;&gt;"",E2964&lt;&gt;"!!!"),"NEW","")))</f>
        <v> </v>
      </c>
      <c r="G2964" s="23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4" t="str">
        <f>IF(J2964&lt;&gt;1,"",IF(I2964="SBJ","CB","?"))</f>
        <v> </v>
      </c>
      <c r="I2964" s="25" t="str">
        <f>IF(OR(E2964="",E2964="!!!",F2964="NEW"),"",INDEX(B2963:B$2,-1+SUMPRODUCT(MAX(ROW(E2963:E$2)*(E2964=E2963:E$2)))))</f>
        <v> </v>
      </c>
      <c r="J2964" s="25" t="str">
        <f>IF(OR(E2964="",E2964="!!!",F2964="NEW"),"",COUNTBLANK(OFFSET(A$1,,,SUMPRODUCT(MAX(ROW(E$2:E2964)*(E2964=E$2:E2964)))))-COUNTBLANK(OFFSET(A$1,,,SUMPRODUCT(MAX(ROW(E$1:E2963)*(E2=E$1:E2963))))))</f>
        <v> </v>
      </c>
      <c r="K2964" s="25" t="str">
        <f>IF(OR(E2964="",E2964="!!!",F2964="NEW"),"",INDEX(J$1:J2963,SUMPRODUCT(MAX(ROW(E$1:E2963)*(E2964=E$1:E2963)))))</f>
        <v> </v>
      </c>
      <c r="L2964" s="26"/>
    </row>
    <row r="2965" spans="1:12">
      <c r="A2965" s="20" t="s">
        <v>51</v>
      </c>
      <c r="E2965" s="21">
        <f>IF(D2965="?OLD","!!!","")</f>
        <v/>
      </c>
      <c r="F2965" s="22" t="str">
        <f>IF(OR(E2965="",E2965="!!!"),"",IF(NOT(ISNA(VLOOKUP(E2965,E$1:E2964,1,FALSE()))),"OLD",IF(AND(E2965&lt;&gt;"",E2965&lt;&gt;"!!!"),"NEW","")))</f>
        <v> </v>
      </c>
      <c r="G2965" s="23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4" t="str">
        <f>IF(J2965&lt;&gt;1,"",IF(I2965="SBJ","CB","?"))</f>
        <v> </v>
      </c>
      <c r="I2965" s="25" t="str">
        <f>IF(OR(E2965="",E2965="!!!",F2965="NEW"),"",INDEX(B2964:B$2,-1+SUMPRODUCT(MAX(ROW(E2964:E$2)*(E2965=E2964:E$2)))))</f>
        <v> </v>
      </c>
      <c r="J2965" s="25" t="str">
        <f>IF(OR(E2965="",E2965="!!!",F2965="NEW"),"",COUNTBLANK(OFFSET(A$1,,,SUMPRODUCT(MAX(ROW(E$2:E2965)*(E2965=E$2:E2965)))))-COUNTBLANK(OFFSET(A$1,,,SUMPRODUCT(MAX(ROW(E$1:E2964)*(E2=E$1:E2964))))))</f>
        <v> </v>
      </c>
      <c r="K2965" s="25" t="str">
        <f>IF(OR(E2965="",E2965="!!!",F2965="NEW"),"",INDEX(J$1:J2964,SUMPRODUCT(MAX(ROW(E$1:E2964)*(E2965=E$1:E2964)))))</f>
        <v> </v>
      </c>
      <c r="L2965" s="26"/>
    </row>
    <row r="2966" spans="1:12">
      <c r="A2966" s="20" t="s">
        <v>1821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 t="s">
        <v>718</v>
      </c>
      <c r="E2967" s="21">
        <f>IF(D2967="?OLD","!!!","")</f>
        <v/>
      </c>
      <c r="F2967" s="22" t="str">
        <f>IF(OR(E2967="",E2967="!!!"),"",IF(NOT(ISNA(VLOOKUP(E2967,E$1:E2966,1,FALSE()))),"OLD",IF(AND(E2967&lt;&gt;"",E2967&lt;&gt;"!!!"),"NEW","")))</f>
        <v> </v>
      </c>
      <c r="G2967" s="23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4" t="str">
        <f>IF(J2967&lt;&gt;1,"",IF(I2967="SBJ","CB","?"))</f>
        <v> </v>
      </c>
      <c r="I2967" s="25" t="str">
        <f>IF(OR(E2967="",E2967="!!!",F2967="NEW"),"",INDEX(B2966:B$2,-1+SUMPRODUCT(MAX(ROW(E2966:E$2)*(E2967=E2966:E$2)))))</f>
        <v> </v>
      </c>
      <c r="J2967" s="25" t="str">
        <f>IF(OR(E2967="",E2967="!!!",F2967="NEW"),"",COUNTBLANK(OFFSET(A$1,,,SUMPRODUCT(MAX(ROW(E$2:E2967)*(E2967=E$2:E2967)))))-COUNTBLANK(OFFSET(A$1,,,SUMPRODUCT(MAX(ROW(E$1:E2966)*(E2=E$1:E2966))))))</f>
        <v> </v>
      </c>
      <c r="K2967" s="25" t="str">
        <f>IF(OR(E2967="",E2967="!!!",F2967="NEW"),"",INDEX(J$1:J2966,SUMPRODUCT(MAX(ROW(E$1:E2966)*(E2967=E$1:E2966)))))</f>
        <v> </v>
      </c>
      <c r="L2967" s="26"/>
    </row>
    <row r="2968" spans="1:12">
      <c r="A2968" s="20" t="s">
        <v>1822</v>
      </c>
      <c r="E2968" s="21">
        <f>IF(D2968="?OLD","!!!","")</f>
        <v/>
      </c>
      <c r="F2968" s="22" t="str">
        <f>IF(OR(E2968="",E2968="!!!"),"",IF(NOT(ISNA(VLOOKUP(E2968,E$1:E2967,1,FALSE()))),"OLD",IF(AND(E2968&lt;&gt;"",E2968&lt;&gt;"!!!"),"NEW","")))</f>
        <v> </v>
      </c>
      <c r="G2968" s="23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4" t="str">
        <f>IF(J2968&lt;&gt;1,"",IF(I2968="SBJ","CB","?"))</f>
        <v> </v>
      </c>
      <c r="I2968" s="25" t="str">
        <f>IF(OR(E2968="",E2968="!!!",F2968="NEW"),"",INDEX(B2967:B$2,-1+SUMPRODUCT(MAX(ROW(E2967:E$2)*(E2968=E2967:E$2)))))</f>
        <v> </v>
      </c>
      <c r="J2968" s="25" t="str">
        <f>IF(OR(E2968="",E2968="!!!",F2968="NEW"),"",COUNTBLANK(OFFSET(A$1,,,SUMPRODUCT(MAX(ROW(E$2:E2968)*(E2968=E$2:E2968)))))-COUNTBLANK(OFFSET(A$1,,,SUMPRODUCT(MAX(ROW(E$1:E2967)*(E2=E$1:E2967))))))</f>
        <v> </v>
      </c>
      <c r="K2968" s="25" t="str">
        <f>IF(OR(E2968="",E2968="!!!",F2968="NEW"),"",INDEX(J$1:J2967,SUMPRODUCT(MAX(ROW(E$1:E2967)*(E2968=E$1:E2967)))))</f>
        <v> </v>
      </c>
      <c r="L2968" s="26"/>
    </row>
    <row r="2969" spans="1:12">
      <c r="A2969" s="20" t="s">
        <v>737</v>
      </c>
      <c r="E2969" s="21">
        <f>IF(D2969="?OLD","!!!","")</f>
        <v/>
      </c>
      <c r="F2969" s="22" t="str">
        <f>IF(OR(E2969="",E2969="!!!"),"",IF(NOT(ISNA(VLOOKUP(E2969,E$1:E2968,1,FALSE()))),"OLD",IF(AND(E2969&lt;&gt;"",E2969&lt;&gt;"!!!"),"NEW","")))</f>
        <v> </v>
      </c>
      <c r="G2969" s="23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4" t="str">
        <f>IF(J2969&lt;&gt;1,"",IF(I2969="SBJ","CB","?"))</f>
        <v> </v>
      </c>
      <c r="I2969" s="25" t="str">
        <f>IF(OR(E2969="",E2969="!!!",F2969="NEW"),"",INDEX(B2968:B$2,-1+SUMPRODUCT(MAX(ROW(E2968:E$2)*(E2969=E2968:E$2)))))</f>
        <v> </v>
      </c>
      <c r="J2969" s="25" t="str">
        <f>IF(OR(E2969="",E2969="!!!",F2969="NEW"),"",COUNTBLANK(OFFSET(A$1,,,SUMPRODUCT(MAX(ROW(E$2:E2969)*(E2969=E$2:E2969)))))-COUNTBLANK(OFFSET(A$1,,,SUMPRODUCT(MAX(ROW(E$1:E2968)*(E2=E$1:E2968))))))</f>
        <v> </v>
      </c>
      <c r="K2969" s="25" t="str">
        <f>IF(OR(E2969="",E2969="!!!",F2969="NEW"),"",INDEX(J$1:J2968,SUMPRODUCT(MAX(ROW(E$1:E2968)*(E2969=E$1:E2968)))))</f>
        <v> </v>
      </c>
      <c r="L2969" s="26"/>
    </row>
    <row r="2970" spans="1:12">
      <c r="A2970" s="20" t="s">
        <v>743</v>
      </c>
      <c r="E2970" s="21">
        <f>IF(D2970="?OLD","!!!","")</f>
        <v/>
      </c>
      <c r="F2970" s="22" t="str">
        <f>IF(OR(E2970="",E2970="!!!"),"",IF(NOT(ISNA(VLOOKUP(E2970,E$1:E2969,1,FALSE()))),"OLD",IF(AND(E2970&lt;&gt;"",E2970&lt;&gt;"!!!"),"NEW","")))</f>
        <v> </v>
      </c>
      <c r="G2970" s="23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4" t="str">
        <f>IF(J2970&lt;&gt;1,"",IF(I2970="SBJ","CB","?"))</f>
        <v> </v>
      </c>
      <c r="I2970" s="25" t="str">
        <f>IF(OR(E2970="",E2970="!!!",F2970="NEW"),"",INDEX(B2969:B$2,-1+SUMPRODUCT(MAX(ROW(E2969:E$2)*(E2970=E2969:E$2)))))</f>
        <v> </v>
      </c>
      <c r="J2970" s="25" t="str">
        <f>IF(OR(E2970="",E2970="!!!",F2970="NEW"),"",COUNTBLANK(OFFSET(A$1,,,SUMPRODUCT(MAX(ROW(E$2:E2970)*(E2970=E$2:E2970)))))-COUNTBLANK(OFFSET(A$1,,,SUMPRODUCT(MAX(ROW(E$1:E2969)*(E2=E$1:E2969))))))</f>
        <v> </v>
      </c>
      <c r="K2970" s="25" t="str">
        <f>IF(OR(E2970="",E2970="!!!",F2970="NEW"),"",INDEX(J$1:J2969,SUMPRODUCT(MAX(ROW(E$1:E2969)*(E2970=E$1:E2969)))))</f>
        <v> </v>
      </c>
      <c r="L2970" s="26"/>
    </row>
    <row r="2971" spans="1:12">
      <c r="A2971" s="20" t="s">
        <v>737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589</v>
      </c>
      <c r="B2972" s="27" t="s">
        <v>790</v>
      </c>
      <c r="C2972" s="27" t="s">
        <v>715</v>
      </c>
      <c r="D2972" s="27" t="s">
        <v>716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 t="s">
        <v>1823</v>
      </c>
      <c r="E2973" s="21">
        <f>IF(D2973="?OLD","!!!","")</f>
        <v/>
      </c>
      <c r="F2973" s="22" t="str">
        <f>IF(OR(E2973="",E2973="!!!"),"",IF(NOT(ISNA(VLOOKUP(E2973,E$1:E2972,1,FALSE()))),"OLD",IF(AND(E2973&lt;&gt;"",E2973&lt;&gt;"!!!"),"NEW","")))</f>
        <v> </v>
      </c>
      <c r="G2973" s="23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4" t="str">
        <f>IF(J2973&lt;&gt;1,"",IF(I2973="SBJ","CB","?"))</f>
        <v> </v>
      </c>
      <c r="I2973" s="25" t="str">
        <f>IF(OR(E2973="",E2973="!!!",F2973="NEW"),"",INDEX(B2972:B$2,-1+SUMPRODUCT(MAX(ROW(E2972:E$2)*(E2973=E2972:E$2)))))</f>
        <v> </v>
      </c>
      <c r="J2973" s="25" t="str">
        <f>IF(OR(E2973="",E2973="!!!",F2973="NEW"),"",COUNTBLANK(OFFSET(A$1,,,SUMPRODUCT(MAX(ROW(E$2:E2973)*(E2973=E$2:E2973)))))-COUNTBLANK(OFFSET(A$1,,,SUMPRODUCT(MAX(ROW(E$1:E2972)*(E2=E$1:E2972))))))</f>
        <v> </v>
      </c>
      <c r="K2973" s="25" t="str">
        <f>IF(OR(E2973="",E2973="!!!",F2973="NEW"),"",INDEX(J$1:J2972,SUMPRODUCT(MAX(ROW(E$1:E2972)*(E2973=E$1:E2972)))))</f>
        <v> </v>
      </c>
      <c r="L2973" s="26"/>
    </row>
    <row r="2974" spans="1:12">
      <c r="A2974" s="20" t="s">
        <v>737</v>
      </c>
      <c r="E2974" s="21">
        <f>IF(D2974="?OLD","!!!","")</f>
        <v/>
      </c>
      <c r="F2974" s="22" t="str">
        <f>IF(OR(E2974="",E2974="!!!"),"",IF(NOT(ISNA(VLOOKUP(E2974,E$1:E2973,1,FALSE()))),"OLD",IF(AND(E2974&lt;&gt;"",E2974&lt;&gt;"!!!"),"NEW","")))</f>
        <v> </v>
      </c>
      <c r="G2974" s="23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4" t="str">
        <f>IF(J2974&lt;&gt;1,"",IF(I2974="SBJ","CB","?"))</f>
        <v> </v>
      </c>
      <c r="I2974" s="25" t="str">
        <f>IF(OR(E2974="",E2974="!!!",F2974="NEW"),"",INDEX(B2973:B$2,-1+SUMPRODUCT(MAX(ROW(E2973:E$2)*(E2974=E2973:E$2)))))</f>
        <v> </v>
      </c>
      <c r="J2974" s="25" t="str">
        <f>IF(OR(E2974="",E2974="!!!",F2974="NEW"),"",COUNTBLANK(OFFSET(A$1,,,SUMPRODUCT(MAX(ROW(E$2:E2974)*(E2974=E$2:E2974)))))-COUNTBLANK(OFFSET(A$1,,,SUMPRODUCT(MAX(ROW(E$1:E2973)*(E2=E$1:E2973))))))</f>
        <v> </v>
      </c>
      <c r="K2974" s="25" t="str">
        <f>IF(OR(E2974="",E2974="!!!",F2974="NEW"),"",INDEX(J$1:J2973,SUMPRODUCT(MAX(ROW(E$1:E2973)*(E2974=E$1:E2973)))))</f>
        <v> </v>
      </c>
      <c r="L2974" s="26"/>
    </row>
    <row r="2975" spans="1:12">
      <c r="A2975" s="20" t="s">
        <v>822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1824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1251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1133</v>
      </c>
      <c r="B2978" s="27" t="s">
        <v>867</v>
      </c>
      <c r="C2978" s="27" t="s">
        <v>715</v>
      </c>
      <c r="D2978" s="27" t="s">
        <v>716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 t="s">
        <v>737</v>
      </c>
      <c r="E2979" s="21">
        <f>IF(D2979="?OLD","!!!","")</f>
        <v/>
      </c>
      <c r="F2979" s="22" t="str">
        <f>IF(OR(E2979="",E2979="!!!"),"",IF(NOT(ISNA(VLOOKUP(E2979,E$1:E2978,1,FALSE()))),"OLD",IF(AND(E2979&lt;&gt;"",E2979&lt;&gt;"!!!"),"NEW","")))</f>
        <v> </v>
      </c>
      <c r="G2979" s="23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4" t="str">
        <f>IF(J2979&lt;&gt;1,"",IF(I2979="SBJ","CB","?"))</f>
        <v> </v>
      </c>
      <c r="I2979" s="25" t="str">
        <f>IF(OR(E2979="",E2979="!!!",F2979="NEW"),"",INDEX(B2978:B$2,-1+SUMPRODUCT(MAX(ROW(E2978:E$2)*(E2979=E2978:E$2)))))</f>
        <v> </v>
      </c>
      <c r="J2979" s="25" t="str">
        <f>IF(OR(E2979="",E2979="!!!",F2979="NEW"),"",COUNTBLANK(OFFSET(A$1,,,SUMPRODUCT(MAX(ROW(E$2:E2979)*(E2979=E$2:E2979)))))-COUNTBLANK(OFFSET(A$1,,,SUMPRODUCT(MAX(ROW(E$1:E2978)*(E2=E$1:E2978))))))</f>
        <v> </v>
      </c>
      <c r="K2979" s="25" t="str">
        <f>IF(OR(E2979="",E2979="!!!",F2979="NEW"),"",INDEX(J$1:J2978,SUMPRODUCT(MAX(ROW(E$1:E2978)*(E2979=E$1:E2978)))))</f>
        <v> </v>
      </c>
      <c r="L2979" s="26"/>
    </row>
    <row r="2980" spans="1:12">
      <c r="A2980" s="20" t="s">
        <v>835</v>
      </c>
      <c r="E2980" s="21">
        <f>IF(D2980="?OLD","!!!","")</f>
        <v/>
      </c>
      <c r="F2980" s="22" t="str">
        <f>IF(OR(E2980="",E2980="!!!"),"",IF(NOT(ISNA(VLOOKUP(E2980,E$1:E2979,1,FALSE()))),"OLD",IF(AND(E2980&lt;&gt;"",E2980&lt;&gt;"!!!"),"NEW","")))</f>
        <v> </v>
      </c>
      <c r="G2980" s="23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4" t="str">
        <f>IF(J2980&lt;&gt;1,"",IF(I2980="SBJ","CB","?"))</f>
        <v> </v>
      </c>
      <c r="I2980" s="25" t="str">
        <f>IF(OR(E2980="",E2980="!!!",F2980="NEW"),"",INDEX(B2979:B$2,-1+SUMPRODUCT(MAX(ROW(E2979:E$2)*(E2980=E2979:E$2)))))</f>
        <v> </v>
      </c>
      <c r="J2980" s="25" t="str">
        <f>IF(OR(E2980="",E2980="!!!",F2980="NEW"),"",COUNTBLANK(OFFSET(A$1,,,SUMPRODUCT(MAX(ROW(E$2:E2980)*(E2980=E$2:E2980)))))-COUNTBLANK(OFFSET(A$1,,,SUMPRODUCT(MAX(ROW(E$1:E2979)*(E2=E$1:E2979))))))</f>
        <v> </v>
      </c>
      <c r="K2980" s="25" t="str">
        <f>IF(OR(E2980="",E2980="!!!",F2980="NEW"),"",INDEX(J$1:J2979,SUMPRODUCT(MAX(ROW(E$1:E2979)*(E2980=E$1:E2979)))))</f>
        <v> </v>
      </c>
      <c r="L2980" s="26"/>
    </row>
    <row r="2981" spans="1:12">
      <c r="A2981" s="20" t="s">
        <v>832</v>
      </c>
      <c r="B2981" s="27" t="s">
        <v>745</v>
      </c>
      <c r="C2981" s="27" t="s">
        <v>782</v>
      </c>
      <c r="D2981" s="27" t="s">
        <v>716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836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 t="s">
        <v>720</v>
      </c>
      <c r="E2983" s="21">
        <f>IF(D2983="?OLD","!!!","")</f>
        <v/>
      </c>
      <c r="F2983" s="22" t="str">
        <f>IF(OR(E2983="",E2983="!!!"),"",IF(NOT(ISNA(VLOOKUP(E2983,E$1:E2982,1,FALSE()))),"OLD",IF(AND(E2983&lt;&gt;"",E2983&lt;&gt;"!!!"),"NEW","")))</f>
        <v> </v>
      </c>
      <c r="G2983" s="23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4" t="str">
        <f>IF(J2983&lt;&gt;1,"",IF(I2983="SBJ","CB","?"))</f>
        <v> </v>
      </c>
      <c r="I2983" s="25" t="str">
        <f>IF(OR(E2983="",E2983="!!!",F2983="NEW"),"",INDEX(B2982:B$2,-1+SUMPRODUCT(MAX(ROW(E2982:E$2)*(E2983=E2982:E$2)))))</f>
        <v> </v>
      </c>
      <c r="J2983" s="25" t="str">
        <f>IF(OR(E2983="",E2983="!!!",F2983="NEW"),"",COUNTBLANK(OFFSET(A$1,,,SUMPRODUCT(MAX(ROW(E$2:E2983)*(E2983=E$2:E2983)))))-COUNTBLANK(OFFSET(A$1,,,SUMPRODUCT(MAX(ROW(E$1:E2982)*(E2=E$1:E2982))))))</f>
        <v> </v>
      </c>
      <c r="K2983" s="25" t="str">
        <f>IF(OR(E2983="",E2983="!!!",F2983="NEW"),"",INDEX(J$1:J2982,SUMPRODUCT(MAX(ROW(E$1:E2982)*(E2983=E$1:E2982)))))</f>
        <v> </v>
      </c>
      <c r="L2983" s="26"/>
    </row>
    <row r="2984" spans="1:12">
      <c r="A2984" s="20"/>
    </row>
    <row r="2985" spans="1:12">
      <c r="A2985" s="20" t="s">
        <v>1825</v>
      </c>
    </row>
    <row r="2986" spans="1:12">
      <c r="A2986" s="20" t="s">
        <v>1826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720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/>
    </row>
    <row r="2989" spans="1:12">
      <c r="A2989" s="20" t="s">
        <v>1827</v>
      </c>
    </row>
    <row r="2990" spans="1:12">
      <c r="A2990" s="20" t="s">
        <v>954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 t="s">
        <v>1828</v>
      </c>
      <c r="E2991" s="21">
        <f>IF(D2991="?OLD","!!!","")</f>
        <v/>
      </c>
      <c r="F2991" s="22" t="str">
        <f>IF(OR(E2991="",E2991="!!!"),"",IF(NOT(ISNA(VLOOKUP(E2991,E$1:E2990,1,FALSE()))),"OLD",IF(AND(E2991&lt;&gt;"",E2991&lt;&gt;"!!!"),"NEW","")))</f>
        <v> </v>
      </c>
      <c r="G2991" s="23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4" t="str">
        <f>IF(J2991&lt;&gt;1,"",IF(I2991="SBJ","CB","?"))</f>
        <v> </v>
      </c>
      <c r="I2991" s="25" t="str">
        <f>IF(OR(E2991="",E2991="!!!",F2991="NEW"),"",INDEX(B2990:B$2,-1+SUMPRODUCT(MAX(ROW(E2990:E$2)*(E2991=E2990:E$2)))))</f>
        <v> </v>
      </c>
      <c r="J2991" s="25" t="str">
        <f>IF(OR(E2991="",E2991="!!!",F2991="NEW"),"",COUNTBLANK(OFFSET(A$1,,,SUMPRODUCT(MAX(ROW(E$2:E2991)*(E2991=E$2:E2991)))))-COUNTBLANK(OFFSET(A$1,,,SUMPRODUCT(MAX(ROW(E$1:E2990)*(E2=E$1:E2990))))))</f>
        <v> </v>
      </c>
      <c r="K2991" s="25" t="str">
        <f>IF(OR(E2991="",E2991="!!!",F2991="NEW"),"",INDEX(J$1:J2990,SUMPRODUCT(MAX(ROW(E$1:E2990)*(E2991=E$1:E2990)))))</f>
        <v> </v>
      </c>
      <c r="L2991" s="26"/>
    </row>
    <row r="2992" spans="1:12">
      <c r="A2992" s="20" t="s">
        <v>956</v>
      </c>
      <c r="E2992" s="21">
        <f>IF(D2992="?OLD","!!!","")</f>
        <v/>
      </c>
      <c r="F2992" s="22" t="str">
        <f>IF(OR(E2992="",E2992="!!!"),"",IF(NOT(ISNA(VLOOKUP(E2992,E$1:E2991,1,FALSE()))),"OLD",IF(AND(E2992&lt;&gt;"",E2992&lt;&gt;"!!!"),"NEW","")))</f>
        <v> </v>
      </c>
      <c r="G2992" s="23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4" t="str">
        <f>IF(J2992&lt;&gt;1,"",IF(I2992="SBJ","CB","?"))</f>
        <v> </v>
      </c>
      <c r="I2992" s="25" t="str">
        <f>IF(OR(E2992="",E2992="!!!",F2992="NEW"),"",INDEX(B2991:B$2,-1+SUMPRODUCT(MAX(ROW(E2991:E$2)*(E2992=E2991:E$2)))))</f>
        <v> </v>
      </c>
      <c r="J2992" s="25" t="str">
        <f>IF(OR(E2992="",E2992="!!!",F2992="NEW"),"",COUNTBLANK(OFFSET(A$1,,,SUMPRODUCT(MAX(ROW(E$2:E2992)*(E2992=E$2:E2992)))))-COUNTBLANK(OFFSET(A$1,,,SUMPRODUCT(MAX(ROW(E$1:E2991)*(E2=E$1:E2991))))))</f>
        <v> </v>
      </c>
      <c r="K2992" s="25" t="str">
        <f>IF(OR(E2992="",E2992="!!!",F2992="NEW"),"",INDEX(J$1:J2991,SUMPRODUCT(MAX(ROW(E$1:E2991)*(E2992=E$1:E2991)))))</f>
        <v> </v>
      </c>
      <c r="L2992" s="26"/>
    </row>
    <row r="2993" spans="1:12">
      <c r="A2993" s="20" t="s">
        <v>1829</v>
      </c>
      <c r="B2993" s="27" t="s">
        <v>781</v>
      </c>
      <c r="C2993" s="27" t="s">
        <v>1060</v>
      </c>
      <c r="D2993" s="27" t="s">
        <v>716</v>
      </c>
      <c r="E2993" s="21">
        <f>IF(D2993="?OLD","!!!","")</f>
        <v/>
      </c>
      <c r="F2993" s="22" t="str">
        <f>IF(OR(E2993="",E2993="!!!"),"",IF(NOT(ISNA(VLOOKUP(E2993,E$1:E2992,1,FALSE()))),"OLD",IF(AND(E2993&lt;&gt;"",E2993&lt;&gt;"!!!"),"NEW","")))</f>
        <v> </v>
      </c>
      <c r="G2993" s="23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4" t="str">
        <f>IF(J2993&lt;&gt;1,"",IF(I2993="SBJ","CB","?"))</f>
        <v> </v>
      </c>
      <c r="I2993" s="25" t="str">
        <f>IF(OR(E2993="",E2993="!!!",F2993="NEW"),"",INDEX(B2992:B$2,-1+SUMPRODUCT(MAX(ROW(E2992:E$2)*(E2993=E2992:E$2)))))</f>
        <v> </v>
      </c>
      <c r="J2993" s="25" t="str">
        <f>IF(OR(E2993="",E2993="!!!",F2993="NEW"),"",COUNTBLANK(OFFSET(A$1,,,SUMPRODUCT(MAX(ROW(E$2:E2993)*(E2993=E$2:E2993)))))-COUNTBLANK(OFFSET(A$1,,,SUMPRODUCT(MAX(ROW(E$1:E2992)*(E2=E$1:E2992))))))</f>
        <v> </v>
      </c>
      <c r="K2993" s="25" t="str">
        <f>IF(OR(E2993="",E2993="!!!",F2993="NEW"),"",INDEX(J$1:J2992,SUMPRODUCT(MAX(ROW(E$1:E2992)*(E2993=E$1:E2992)))))</f>
        <v> </v>
      </c>
      <c r="L2993" s="26"/>
    </row>
    <row r="2994" spans="1:12">
      <c r="A2994" s="20" t="s">
        <v>1830</v>
      </c>
      <c r="B2994" s="27" t="s">
        <v>731</v>
      </c>
      <c r="C2994" s="27" t="s">
        <v>1060</v>
      </c>
      <c r="D2994" s="27" t="s">
        <v>716</v>
      </c>
      <c r="E2994" s="21">
        <f>IF(D2994="?OLD","!!!","")</f>
        <v/>
      </c>
      <c r="F2994" s="22" t="str">
        <f>IF(OR(E2994="",E2994="!!!"),"",IF(NOT(ISNA(VLOOKUP(E2994,E$1:E2993,1,FALSE()))),"OLD",IF(AND(E2994&lt;&gt;"",E2994&lt;&gt;"!!!"),"NEW","")))</f>
        <v> </v>
      </c>
      <c r="G2994" s="23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4" t="str">
        <f>IF(J2994&lt;&gt;1,"",IF(I2994="SBJ","CB","?"))</f>
        <v> </v>
      </c>
      <c r="I2994" s="25" t="str">
        <f>IF(OR(E2994="",E2994="!!!",F2994="NEW"),"",INDEX(B2993:B$2,-1+SUMPRODUCT(MAX(ROW(E2993:E$2)*(E2994=E2993:E$2)))))</f>
        <v> </v>
      </c>
      <c r="J2994" s="25" t="str">
        <f>IF(OR(E2994="",E2994="!!!",F2994="NEW"),"",COUNTBLANK(OFFSET(A$1,,,SUMPRODUCT(MAX(ROW(E$2:E2994)*(E2994=E$2:E2994)))))-COUNTBLANK(OFFSET(A$1,,,SUMPRODUCT(MAX(ROW(E$1:E2993)*(E2=E$1:E2993))))))</f>
        <v> </v>
      </c>
      <c r="K2994" s="25" t="str">
        <f>IF(OR(E2994="",E2994="!!!",F2994="NEW"),"",INDEX(J$1:J2993,SUMPRODUCT(MAX(ROW(E$1:E2993)*(E2994=E$1:E2993)))))</f>
        <v> </v>
      </c>
      <c r="L2994" s="26"/>
    </row>
    <row r="2995" spans="1:12">
      <c r="A2995" s="20" t="s">
        <v>888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1826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720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/>
    </row>
    <row r="2999" spans="1:12">
      <c r="A2999" s="20" t="s">
        <v>1831</v>
      </c>
    </row>
    <row r="3000" spans="1:12">
      <c r="A3000" s="20" t="s">
        <v>1295</v>
      </c>
      <c r="E3000" s="21">
        <f>IF(D3000="?OLD","!!!","")</f>
        <v/>
      </c>
      <c r="F3000" s="22" t="str">
        <f>IF(OR(E3000="",E3000="!!!"),"",IF(NOT(ISNA(VLOOKUP(E3000,E$1:E2999,1,FALSE()))),"OLD",IF(AND(E3000&lt;&gt;"",E3000&lt;&gt;"!!!"),"NEW","")))</f>
        <v> </v>
      </c>
      <c r="G3000" s="23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4" t="str">
        <f>IF(J3000&lt;&gt;1,"",IF(I3000="SBJ","CB","?"))</f>
        <v> </v>
      </c>
      <c r="I3000" s="25" t="str">
        <f>IF(OR(E3000="",E3000="!!!",F3000="NEW"),"",INDEX(B2999:B$2,-1+SUMPRODUCT(MAX(ROW(E2999:E$2)*(E3000=E2999:E$2)))))</f>
        <v> </v>
      </c>
      <c r="J3000" s="25" t="str">
        <f>IF(OR(E3000="",E3000="!!!",F3000="NEW"),"",COUNTBLANK(OFFSET(A$1,,,SUMPRODUCT(MAX(ROW(E$2:E3000)*(E3000=E$2:E3000)))))-COUNTBLANK(OFFSET(A$1,,,SUMPRODUCT(MAX(ROW(E$1:E2999)*(E2=E$1:E2999))))))</f>
        <v> </v>
      </c>
      <c r="K3000" s="25" t="str">
        <f>IF(OR(E3000="",E3000="!!!",F3000="NEW"),"",INDEX(J$1:J2999,SUMPRODUCT(MAX(ROW(E$1:E2999)*(E3000=E$1:E2999)))))</f>
        <v> </v>
      </c>
      <c r="L3000" s="26"/>
    </row>
    <row r="3001" spans="1:12">
      <c r="A3001" s="20" t="s">
        <v>1460</v>
      </c>
      <c r="B3001" s="27" t="s">
        <v>781</v>
      </c>
      <c r="C3001" s="27" t="s">
        <v>715</v>
      </c>
      <c r="D3001" s="27" t="s">
        <v>716</v>
      </c>
      <c r="E3001" s="21">
        <f>IF(D3001="?OLD","!!!","")</f>
        <v/>
      </c>
      <c r="F3001" s="22" t="str">
        <f>IF(OR(E3001="",E3001="!!!"),"",IF(NOT(ISNA(VLOOKUP(E3001,E$1:E3000,1,FALSE()))),"OLD",IF(AND(E3001&lt;&gt;"",E3001&lt;&gt;"!!!"),"NEW","")))</f>
        <v> </v>
      </c>
      <c r="G3001" s="23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4" t="str">
        <f>IF(J3001&lt;&gt;1,"",IF(I3001="SBJ","CB","?"))</f>
        <v> </v>
      </c>
      <c r="I3001" s="25" t="str">
        <f>IF(OR(E3001="",E3001="!!!",F3001="NEW"),"",INDEX(B3000:B$2,-1+SUMPRODUCT(MAX(ROW(E3000:E$2)*(E3001=E3000:E$2)))))</f>
        <v> </v>
      </c>
      <c r="J3001" s="25" t="str">
        <f>IF(OR(E3001="",E3001="!!!",F3001="NEW"),"",COUNTBLANK(OFFSET(A$1,,,SUMPRODUCT(MAX(ROW(E$2:E3001)*(E3001=E$2:E3001)))))-COUNTBLANK(OFFSET(A$1,,,SUMPRODUCT(MAX(ROW(E$1:E3000)*(E2=E$1:E3000))))))</f>
        <v> </v>
      </c>
      <c r="K3001" s="25" t="str">
        <f>IF(OR(E3001="",E3001="!!!",F3001="NEW"),"",INDEX(J$1:J3000,SUMPRODUCT(MAX(ROW(E$1:E3000)*(E3001=E$1:E3000)))))</f>
        <v> </v>
      </c>
      <c r="L3001" s="26"/>
    </row>
    <row r="3002" spans="1:12">
      <c r="A3002" s="20" t="s">
        <v>618</v>
      </c>
      <c r="E3002" s="21">
        <f>IF(D3002="?OLD","!!!","")</f>
        <v/>
      </c>
      <c r="F3002" s="22" t="str">
        <f>IF(OR(E3002="",E3002="!!!"),"",IF(NOT(ISNA(VLOOKUP(E3002,E$1:E3001,1,FALSE()))),"OLD",IF(AND(E3002&lt;&gt;"",E3002&lt;&gt;"!!!"),"NEW","")))</f>
        <v> </v>
      </c>
      <c r="G3002" s="23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4" t="str">
        <f>IF(J3002&lt;&gt;1,"",IF(I3002="SBJ","CB","?"))</f>
        <v> </v>
      </c>
      <c r="I3002" s="25" t="str">
        <f>IF(OR(E3002="",E3002="!!!",F3002="NEW"),"",INDEX(B3001:B$2,-1+SUMPRODUCT(MAX(ROW(E3001:E$2)*(E3002=E3001:E$2)))))</f>
        <v> </v>
      </c>
      <c r="J3002" s="25" t="str">
        <f>IF(OR(E3002="",E3002="!!!",F3002="NEW"),"",COUNTBLANK(OFFSET(A$1,,,SUMPRODUCT(MAX(ROW(E$2:E3002)*(E3002=E$2:E3002)))))-COUNTBLANK(OFFSET(A$1,,,SUMPRODUCT(MAX(ROW(E$1:E3001)*(E2=E$1:E3001))))))</f>
        <v> </v>
      </c>
      <c r="K3002" s="25" t="str">
        <f>IF(OR(E3002="",E3002="!!!",F3002="NEW"),"",INDEX(J$1:J3001,SUMPRODUCT(MAX(ROW(E$1:E3001)*(E3002=E$1:E3001)))))</f>
        <v> </v>
      </c>
      <c r="L3002" s="26"/>
    </row>
    <row r="3003" spans="1:12">
      <c r="A3003" s="20" t="s">
        <v>1038</v>
      </c>
      <c r="B3003" s="27" t="s">
        <v>731</v>
      </c>
      <c r="C3003" s="27" t="s">
        <v>715</v>
      </c>
      <c r="D3003" s="27" t="s">
        <v>716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174</v>
      </c>
      <c r="B3004" s="27" t="s">
        <v>714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720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/>
    </row>
    <row r="3007" spans="1:12">
      <c r="A3007" s="20" t="s">
        <v>1832</v>
      </c>
    </row>
    <row r="3008" spans="1:12">
      <c r="A3008" s="20" t="s">
        <v>1826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 t="s">
        <v>1038</v>
      </c>
      <c r="B3009" s="27" t="s">
        <v>808</v>
      </c>
      <c r="C3009" s="27" t="s">
        <v>715</v>
      </c>
      <c r="D3009" s="27" t="s">
        <v>716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 t="s">
        <v>1363</v>
      </c>
      <c r="E3010" s="21">
        <f>IF(D3010="?OLD","!!!","")</f>
        <v/>
      </c>
      <c r="F3010" s="22" t="str">
        <f>IF(OR(E3010="",E3010="!!!"),"",IF(NOT(ISNA(VLOOKUP(E3010,E$1:E3009,1,FALSE()))),"OLD",IF(AND(E3010&lt;&gt;"",E3010&lt;&gt;"!!!"),"NEW","")))</f>
        <v> </v>
      </c>
      <c r="G3010" s="23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4" t="str">
        <f>IF(J3010&lt;&gt;1,"",IF(I3010="SBJ","CB","?"))</f>
        <v> </v>
      </c>
      <c r="I3010" s="25" t="str">
        <f>IF(OR(E3010="",E3010="!!!",F3010="NEW"),"",INDEX(B3009:B$2,-1+SUMPRODUCT(MAX(ROW(E3009:E$2)*(E3010=E3009:E$2)))))</f>
        <v> </v>
      </c>
      <c r="J3010" s="25" t="str">
        <f>IF(OR(E3010="",E3010="!!!",F3010="NEW"),"",COUNTBLANK(OFFSET(A$1,,,SUMPRODUCT(MAX(ROW(E$2:E3010)*(E3010=E$2:E3010)))))-COUNTBLANK(OFFSET(A$1,,,SUMPRODUCT(MAX(ROW(E$1:E3009)*(E2=E$1:E3009))))))</f>
        <v> </v>
      </c>
      <c r="K3010" s="25" t="str">
        <f>IF(OR(E3010="",E3010="!!!",F3010="NEW"),"",INDEX(J$1:J3009,SUMPRODUCT(MAX(ROW(E$1:E3009)*(E3010=E$1:E3009)))))</f>
        <v> </v>
      </c>
      <c r="L3010" s="26"/>
    </row>
    <row r="3011" spans="1:12">
      <c r="A3011" s="20" t="s">
        <v>720</v>
      </c>
      <c r="E3011" s="21">
        <f>IF(D3011="?OLD","!!!","")</f>
        <v/>
      </c>
      <c r="F3011" s="22" t="str">
        <f>IF(OR(E3011="",E3011="!!!"),"",IF(NOT(ISNA(VLOOKUP(E3011,E$1:E3010,1,FALSE()))),"OLD",IF(AND(E3011&lt;&gt;"",E3011&lt;&gt;"!!!"),"NEW","")))</f>
        <v> </v>
      </c>
      <c r="G3011" s="23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4" t="str">
        <f>IF(J3011&lt;&gt;1,"",IF(I3011="SBJ","CB","?"))</f>
        <v> </v>
      </c>
      <c r="I3011" s="25" t="str">
        <f>IF(OR(E3011="",E3011="!!!",F3011="NEW"),"",INDEX(B3010:B$2,-1+SUMPRODUCT(MAX(ROW(E3010:E$2)*(E3011=E3010:E$2)))))</f>
        <v> </v>
      </c>
      <c r="J3011" s="25" t="str">
        <f>IF(OR(E3011="",E3011="!!!",F3011="NEW"),"",COUNTBLANK(OFFSET(A$1,,,SUMPRODUCT(MAX(ROW(E$2:E3011)*(E3011=E$2:E3011)))))-COUNTBLANK(OFFSET(A$1,,,SUMPRODUCT(MAX(ROW(E$1:E3010)*(E2=E$1:E3010))))))</f>
        <v> </v>
      </c>
      <c r="K3011" s="25" t="str">
        <f>IF(OR(E3011="",E3011="!!!",F3011="NEW"),"",INDEX(J$1:J3010,SUMPRODUCT(MAX(ROW(E$1:E3010)*(E3011=E$1:E3010)))))</f>
        <v> </v>
      </c>
      <c r="L3011" s="26"/>
    </row>
    <row r="3012" spans="1:12">
      <c r="A3012" s="20"/>
    </row>
    <row r="3013" spans="1:12">
      <c r="A3013" s="20" t="s">
        <v>1833</v>
      </c>
    </row>
    <row r="3014" spans="1:12">
      <c r="A3014" s="20" t="s">
        <v>1769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823</v>
      </c>
      <c r="B3015" s="27" t="s">
        <v>745</v>
      </c>
      <c r="C3015" s="27" t="s">
        <v>715</v>
      </c>
      <c r="D3015" s="27" t="s">
        <v>716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941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 t="s">
        <v>1834</v>
      </c>
      <c r="B3017" s="27" t="s">
        <v>731</v>
      </c>
      <c r="C3017" s="27" t="s">
        <v>715</v>
      </c>
      <c r="D3017" s="27" t="s">
        <v>716</v>
      </c>
      <c r="E3017" s="21">
        <f>IF(D3017="?OLD","!!!","")</f>
        <v/>
      </c>
      <c r="F3017" s="22" t="str">
        <f>IF(OR(E3017="",E3017="!!!"),"",IF(NOT(ISNA(VLOOKUP(E3017,E$1:E3016,1,FALSE()))),"OLD",IF(AND(E3017&lt;&gt;"",E3017&lt;&gt;"!!!"),"NEW","")))</f>
        <v> </v>
      </c>
      <c r="G3017" s="23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4" t="str">
        <f>IF(J3017&lt;&gt;1,"",IF(I3017="SBJ","CB","?"))</f>
        <v> </v>
      </c>
      <c r="I3017" s="25" t="str">
        <f>IF(OR(E3017="",E3017="!!!",F3017="NEW"),"",INDEX(B3016:B$2,-1+SUMPRODUCT(MAX(ROW(E3016:E$2)*(E3017=E3016:E$2)))))</f>
        <v> </v>
      </c>
      <c r="J3017" s="25" t="str">
        <f>IF(OR(E3017="",E3017="!!!",F3017="NEW"),"",COUNTBLANK(OFFSET(A$1,,,SUMPRODUCT(MAX(ROW(E$2:E3017)*(E3017=E$2:E3017)))))-COUNTBLANK(OFFSET(A$1,,,SUMPRODUCT(MAX(ROW(E$1:E3016)*(E2=E$1:E3016))))))</f>
        <v> </v>
      </c>
      <c r="K3017" s="25" t="str">
        <f>IF(OR(E3017="",E3017="!!!",F3017="NEW"),"",INDEX(J$1:J3016,SUMPRODUCT(MAX(ROW(E$1:E3016)*(E3017=E$1:E3016)))))</f>
        <v> </v>
      </c>
      <c r="L3017" s="26"/>
    </row>
    <row r="3018" spans="1:12">
      <c r="A3018" s="20" t="s">
        <v>1835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848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1836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 t="s">
        <v>1471</v>
      </c>
      <c r="E3021" s="21">
        <f>IF(D3021="?OLD","!!!","")</f>
        <v/>
      </c>
      <c r="F3021" s="22" t="str">
        <f>IF(OR(E3021="",E3021="!!!"),"",IF(NOT(ISNA(VLOOKUP(E3021,E$1:E3020,1,FALSE()))),"OLD",IF(AND(E3021&lt;&gt;"",E3021&lt;&gt;"!!!"),"NEW","")))</f>
        <v> </v>
      </c>
      <c r="G3021" s="23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4" t="str">
        <f>IF(J3021&lt;&gt;1,"",IF(I3021="SBJ","CB","?"))</f>
        <v> </v>
      </c>
      <c r="I3021" s="25" t="str">
        <f>IF(OR(E3021="",E3021="!!!",F3021="NEW"),"",INDEX(B3020:B$2,-1+SUMPRODUCT(MAX(ROW(E3020:E$2)*(E3021=E3020:E$2)))))</f>
        <v> </v>
      </c>
      <c r="J3021" s="25" t="str">
        <f>IF(OR(E3021="",E3021="!!!",F3021="NEW"),"",COUNTBLANK(OFFSET(A$1,,,SUMPRODUCT(MAX(ROW(E$2:E3021)*(E3021=E$2:E3021)))))-COUNTBLANK(OFFSET(A$1,,,SUMPRODUCT(MAX(ROW(E$1:E3020)*(E2=E$1:E3020))))))</f>
        <v> </v>
      </c>
      <c r="K3021" s="25" t="str">
        <f>IF(OR(E3021="",E3021="!!!",F3021="NEW"),"",INDEX(J$1:J3020,SUMPRODUCT(MAX(ROW(E$1:E3020)*(E3021=E$1:E3020)))))</f>
        <v> </v>
      </c>
      <c r="L3021" s="26"/>
    </row>
    <row r="3022" spans="1:12">
      <c r="A3022" s="20" t="s">
        <v>1837</v>
      </c>
      <c r="B3022" s="27" t="s">
        <v>731</v>
      </c>
      <c r="C3022" s="27" t="s">
        <v>728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 t="s">
        <v>1488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 t="s">
        <v>737</v>
      </c>
      <c r="E3024" s="21">
        <f>IF(D3024="?OLD","!!!","")</f>
        <v/>
      </c>
      <c r="F3024" s="22" t="str">
        <f>IF(OR(E3024="",E3024="!!!"),"",IF(NOT(ISNA(VLOOKUP(E3024,E$1:E3023,1,FALSE()))),"OLD",IF(AND(E3024&lt;&gt;"",E3024&lt;&gt;"!!!"),"NEW","")))</f>
        <v> </v>
      </c>
      <c r="G3024" s="23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4" t="str">
        <f>IF(J3024&lt;&gt;1,"",IF(I3024="SBJ","CB","?"))</f>
        <v> </v>
      </c>
      <c r="I3024" s="25" t="str">
        <f>IF(OR(E3024="",E3024="!!!",F3024="NEW"),"",INDEX(B3023:B$2,-1+SUMPRODUCT(MAX(ROW(E3023:E$2)*(E3024=E3023:E$2)))))</f>
        <v> </v>
      </c>
      <c r="J3024" s="25" t="str">
        <f>IF(OR(E3024="",E3024="!!!",F3024="NEW"),"",COUNTBLANK(OFFSET(A$1,,,SUMPRODUCT(MAX(ROW(E$2:E3024)*(E3024=E$2:E3024)))))-COUNTBLANK(OFFSET(A$1,,,SUMPRODUCT(MAX(ROW(E$1:E3023)*(E2=E$1:E3023))))))</f>
        <v> </v>
      </c>
      <c r="K3024" s="25" t="str">
        <f>IF(OR(E3024="",E3024="!!!",F3024="NEW"),"",INDEX(J$1:J3023,SUMPRODUCT(MAX(ROW(E$1:E3023)*(E3024=E$1:E3023)))))</f>
        <v> </v>
      </c>
      <c r="L3024" s="26"/>
    </row>
    <row r="3025" spans="1:12">
      <c r="A3025" s="20" t="s">
        <v>1593</v>
      </c>
      <c r="B3025" s="27" t="s">
        <v>714</v>
      </c>
      <c r="C3025" s="27" t="s">
        <v>715</v>
      </c>
      <c r="D3025" s="27" t="s">
        <v>716</v>
      </c>
      <c r="E3025" s="21">
        <f>IF(D3025="?OLD","!!!","")</f>
        <v/>
      </c>
      <c r="F3025" s="22" t="str">
        <f>IF(OR(E3025="",E3025="!!!"),"",IF(NOT(ISNA(VLOOKUP(E3025,E$1:E3024,1,FALSE()))),"OLD",IF(AND(E3025&lt;&gt;"",E3025&lt;&gt;"!!!"),"NEW","")))</f>
        <v> </v>
      </c>
      <c r="G3025" s="23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4" t="str">
        <f>IF(J3025&lt;&gt;1,"",IF(I3025="SBJ","CB","?"))</f>
        <v> </v>
      </c>
      <c r="I3025" s="25" t="str">
        <f>IF(OR(E3025="",E3025="!!!",F3025="NEW"),"",INDEX(B3024:B$2,-1+SUMPRODUCT(MAX(ROW(E3024:E$2)*(E3025=E3024:E$2)))))</f>
        <v> </v>
      </c>
      <c r="J3025" s="25" t="str">
        <f>IF(OR(E3025="",E3025="!!!",F3025="NEW"),"",COUNTBLANK(OFFSET(A$1,,,SUMPRODUCT(MAX(ROW(E$2:E3025)*(E3025=E$2:E3025)))))-COUNTBLANK(OFFSET(A$1,,,SUMPRODUCT(MAX(ROW(E$1:E3024)*(E2=E$1:E3024))))))</f>
        <v> </v>
      </c>
      <c r="K3025" s="25" t="str">
        <f>IF(OR(E3025="",E3025="!!!",F3025="NEW"),"",INDEX(J$1:J3024,SUMPRODUCT(MAX(ROW(E$1:E3024)*(E3025=E$1:E3024)))))</f>
        <v> </v>
      </c>
      <c r="L3025" s="26"/>
    </row>
    <row r="3026" spans="1:12">
      <c r="A3026" s="20" t="s">
        <v>1838</v>
      </c>
      <c r="E3026" s="21">
        <f>IF(D3026="?OLD","!!!","")</f>
        <v/>
      </c>
      <c r="F3026" s="22" t="str">
        <f>IF(OR(E3026="",E3026="!!!"),"",IF(NOT(ISNA(VLOOKUP(E3026,E$1:E3025,1,FALSE()))),"OLD",IF(AND(E3026&lt;&gt;"",E3026&lt;&gt;"!!!"),"NEW","")))</f>
        <v> </v>
      </c>
      <c r="G3026" s="23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4" t="str">
        <f>IF(J3026&lt;&gt;1,"",IF(I3026="SBJ","CB","?"))</f>
        <v> </v>
      </c>
      <c r="I3026" s="25" t="str">
        <f>IF(OR(E3026="",E3026="!!!",F3026="NEW"),"",INDEX(B3025:B$2,-1+SUMPRODUCT(MAX(ROW(E3025:E$2)*(E3026=E3025:E$2)))))</f>
        <v> </v>
      </c>
      <c r="J3026" s="25" t="str">
        <f>IF(OR(E3026="",E3026="!!!",F3026="NEW"),"",COUNTBLANK(OFFSET(A$1,,,SUMPRODUCT(MAX(ROW(E$2:E3026)*(E3026=E$2:E3026)))))-COUNTBLANK(OFFSET(A$1,,,SUMPRODUCT(MAX(ROW(E$1:E3025)*(E2=E$1:E3025))))))</f>
        <v> </v>
      </c>
      <c r="K3026" s="25" t="str">
        <f>IF(OR(E3026="",E3026="!!!",F3026="NEW"),"",INDEX(J$1:J3025,SUMPRODUCT(MAX(ROW(E$1:E3025)*(E3026=E$1:E3025)))))</f>
        <v> </v>
      </c>
      <c r="L3026" s="26"/>
    </row>
    <row r="3027" spans="1:12">
      <c r="A3027" s="20" t="s">
        <v>718</v>
      </c>
      <c r="E3027" s="21">
        <f>IF(D3027="?OLD","!!!","")</f>
        <v/>
      </c>
      <c r="F3027" s="22" t="str">
        <f>IF(OR(E3027="",E3027="!!!"),"",IF(NOT(ISNA(VLOOKUP(E3027,E$1:E3026,1,FALSE()))),"OLD",IF(AND(E3027&lt;&gt;"",E3027&lt;&gt;"!!!"),"NEW","")))</f>
        <v> </v>
      </c>
      <c r="G3027" s="23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4" t="str">
        <f>IF(J3027&lt;&gt;1,"",IF(I3027="SBJ","CB","?"))</f>
        <v> </v>
      </c>
      <c r="I3027" s="25" t="str">
        <f>IF(OR(E3027="",E3027="!!!",F3027="NEW"),"",INDEX(B3026:B$2,-1+SUMPRODUCT(MAX(ROW(E3026:E$2)*(E3027=E3026:E$2)))))</f>
        <v> </v>
      </c>
      <c r="J3027" s="25" t="str">
        <f>IF(OR(E3027="",E3027="!!!",F3027="NEW"),"",COUNTBLANK(OFFSET(A$1,,,SUMPRODUCT(MAX(ROW(E$2:E3027)*(E3027=E$2:E3027)))))-COUNTBLANK(OFFSET(A$1,,,SUMPRODUCT(MAX(ROW(E$1:E3026)*(E2=E$1:E3026))))))</f>
        <v> </v>
      </c>
      <c r="K3027" s="25" t="str">
        <f>IF(OR(E3027="",E3027="!!!",F3027="NEW"),"",INDEX(J$1:J3026,SUMPRODUCT(MAX(ROW(E$1:E3026)*(E3027=E$1:E3026)))))</f>
        <v> </v>
      </c>
      <c r="L3027" s="26"/>
    </row>
    <row r="3028" spans="1:12">
      <c r="A3028" s="20" t="s">
        <v>974</v>
      </c>
      <c r="E3028" s="21">
        <f>IF(D3028="?OLD","!!!","")</f>
        <v/>
      </c>
      <c r="F3028" s="22" t="str">
        <f>IF(OR(E3028="",E3028="!!!"),"",IF(NOT(ISNA(VLOOKUP(E3028,E$1:E3027,1,FALSE()))),"OLD",IF(AND(E3028&lt;&gt;"",E3028&lt;&gt;"!!!"),"NEW","")))</f>
        <v> </v>
      </c>
      <c r="G3028" s="23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4" t="str">
        <f>IF(J3028&lt;&gt;1,"",IF(I3028="SBJ","CB","?"))</f>
        <v> </v>
      </c>
      <c r="I3028" s="25" t="str">
        <f>IF(OR(E3028="",E3028="!!!",F3028="NEW"),"",INDEX(B3027:B$2,-1+SUMPRODUCT(MAX(ROW(E3027:E$2)*(E3028=E3027:E$2)))))</f>
        <v> </v>
      </c>
      <c r="J3028" s="25" t="str">
        <f>IF(OR(E3028="",E3028="!!!",F3028="NEW"),"",COUNTBLANK(OFFSET(A$1,,,SUMPRODUCT(MAX(ROW(E$2:E3028)*(E3028=E$2:E3028)))))-COUNTBLANK(OFFSET(A$1,,,SUMPRODUCT(MAX(ROW(E$1:E3027)*(E2=E$1:E3027))))))</f>
        <v> </v>
      </c>
      <c r="K3028" s="25" t="str">
        <f>IF(OR(E3028="",E3028="!!!",F3028="NEW"),"",INDEX(J$1:J3027,SUMPRODUCT(MAX(ROW(E$1:E3027)*(E3028=E$1:E3027)))))</f>
        <v> </v>
      </c>
      <c r="L3028" s="26"/>
    </row>
    <row r="3029" spans="1:12">
      <c r="A3029" s="20" t="s">
        <v>1839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1840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737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1841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1651</v>
      </c>
      <c r="B3033" s="27" t="s">
        <v>790</v>
      </c>
      <c r="C3033" s="27" t="s">
        <v>1060</v>
      </c>
      <c r="D3033" s="27" t="s">
        <v>716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 t="s">
        <v>720</v>
      </c>
      <c r="E3034" s="21">
        <f>IF(D3034="?OLD","!!!","")</f>
        <v/>
      </c>
      <c r="F3034" s="22" t="str">
        <f>IF(OR(E3034="",E3034="!!!"),"",IF(NOT(ISNA(VLOOKUP(E3034,E$1:E3033,1,FALSE()))),"OLD",IF(AND(E3034&lt;&gt;"",E3034&lt;&gt;"!!!"),"NEW","")))</f>
        <v> </v>
      </c>
      <c r="G3034" s="23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4" t="str">
        <f>IF(J3034&lt;&gt;1,"",IF(I3034="SBJ","CB","?"))</f>
        <v> </v>
      </c>
      <c r="I3034" s="25" t="str">
        <f>IF(OR(E3034="",E3034="!!!",F3034="NEW"),"",INDEX(B3033:B$2,-1+SUMPRODUCT(MAX(ROW(E3033:E$2)*(E3034=E3033:E$2)))))</f>
        <v> </v>
      </c>
      <c r="J3034" s="25" t="str">
        <f>IF(OR(E3034="",E3034="!!!",F3034="NEW"),"",COUNTBLANK(OFFSET(A$1,,,SUMPRODUCT(MAX(ROW(E$2:E3034)*(E3034=E$2:E3034)))))-COUNTBLANK(OFFSET(A$1,,,SUMPRODUCT(MAX(ROW(E$1:E3033)*(E2=E$1:E3033))))))</f>
        <v> </v>
      </c>
      <c r="K3034" s="25" t="str">
        <f>IF(OR(E3034="",E3034="!!!",F3034="NEW"),"",INDEX(J$1:J3033,SUMPRODUCT(MAX(ROW(E$1:E3033)*(E3034=E$1:E3033)))))</f>
        <v> </v>
      </c>
      <c r="L3034" s="26"/>
    </row>
    <row r="3035" spans="1:12">
      <c r="A3035" s="20"/>
    </row>
    <row r="3036" spans="1:12">
      <c r="A3036" s="20" t="s">
        <v>1842</v>
      </c>
    </row>
    <row r="3037" spans="1:12">
      <c r="A3037" s="20" t="s">
        <v>1843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1388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1593</v>
      </c>
      <c r="B3039" s="27" t="s">
        <v>714</v>
      </c>
      <c r="C3039" s="27" t="s">
        <v>715</v>
      </c>
      <c r="D3039" s="27" t="s">
        <v>716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1088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869</v>
      </c>
      <c r="B3041" s="27" t="s">
        <v>727</v>
      </c>
      <c r="C3041" s="27" t="s">
        <v>715</v>
      </c>
      <c r="D3041" s="27" t="s">
        <v>716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1844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 t="s">
        <v>1442</v>
      </c>
      <c r="E3043" s="21">
        <f>IF(D3043="?OLD","!!!","")</f>
        <v/>
      </c>
      <c r="F3043" s="22" t="str">
        <f>IF(OR(E3043="",E3043="!!!"),"",IF(NOT(ISNA(VLOOKUP(E3043,E$1:E3042,1,FALSE()))),"OLD",IF(AND(E3043&lt;&gt;"",E3043&lt;&gt;"!!!"),"NEW","")))</f>
        <v> </v>
      </c>
      <c r="G3043" s="23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4" t="str">
        <f>IF(J3043&lt;&gt;1,"",IF(I3043="SBJ","CB","?"))</f>
        <v> </v>
      </c>
      <c r="I3043" s="25" t="str">
        <f>IF(OR(E3043="",E3043="!!!",F3043="NEW"),"",INDEX(B3042:B$2,-1+SUMPRODUCT(MAX(ROW(E3042:E$2)*(E3043=E3042:E$2)))))</f>
        <v> </v>
      </c>
      <c r="J3043" s="25" t="str">
        <f>IF(OR(E3043="",E3043="!!!",F3043="NEW"),"",COUNTBLANK(OFFSET(A$1,,,SUMPRODUCT(MAX(ROW(E$2:E3043)*(E3043=E$2:E3043)))))-COUNTBLANK(OFFSET(A$1,,,SUMPRODUCT(MAX(ROW(E$1:E3042)*(E2=E$1:E3042))))))</f>
        <v> </v>
      </c>
      <c r="K3043" s="25" t="str">
        <f>IF(OR(E3043="",E3043="!!!",F3043="NEW"),"",INDEX(J$1:J3042,SUMPRODUCT(MAX(ROW(E$1:E3042)*(E3043=E$1:E3042)))))</f>
        <v> </v>
      </c>
      <c r="L3043" s="26"/>
    </row>
    <row r="3044" spans="1:12">
      <c r="A3044" s="20" t="s">
        <v>1396</v>
      </c>
      <c r="B3044" s="27" t="s">
        <v>768</v>
      </c>
      <c r="C3044" s="27" t="s">
        <v>782</v>
      </c>
      <c r="D3044" s="27" t="s">
        <v>716</v>
      </c>
      <c r="E3044" s="21">
        <f>IF(D3044="?OLD","!!!","")</f>
        <v/>
      </c>
      <c r="F3044" s="22" t="str">
        <f>IF(OR(E3044="",E3044="!!!"),"",IF(NOT(ISNA(VLOOKUP(E3044,E$1:E3043,1,FALSE()))),"OLD",IF(AND(E3044&lt;&gt;"",E3044&lt;&gt;"!!!"),"NEW","")))</f>
        <v> </v>
      </c>
      <c r="G3044" s="23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4" t="str">
        <f>IF(J3044&lt;&gt;1,"",IF(I3044="SBJ","CB","?"))</f>
        <v> </v>
      </c>
      <c r="I3044" s="25" t="str">
        <f>IF(OR(E3044="",E3044="!!!",F3044="NEW"),"",INDEX(B3043:B$2,-1+SUMPRODUCT(MAX(ROW(E3043:E$2)*(E3044=E3043:E$2)))))</f>
        <v> </v>
      </c>
      <c r="J3044" s="25" t="str">
        <f>IF(OR(E3044="",E3044="!!!",F3044="NEW"),"",COUNTBLANK(OFFSET(A$1,,,SUMPRODUCT(MAX(ROW(E$2:E3044)*(E3044=E$2:E3044)))))-COUNTBLANK(OFFSET(A$1,,,SUMPRODUCT(MAX(ROW(E$1:E3043)*(E2=E$1:E3043))))))</f>
        <v> </v>
      </c>
      <c r="K3044" s="25" t="str">
        <f>IF(OR(E3044="",E3044="!!!",F3044="NEW"),"",INDEX(J$1:J3043,SUMPRODUCT(MAX(ROW(E$1:E3043)*(E3044=E$1:E3043)))))</f>
        <v> </v>
      </c>
      <c r="L3044" s="26"/>
    </row>
    <row r="3045" spans="1:12">
      <c r="A3045" s="20" t="s">
        <v>737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1845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999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 t="s">
        <v>1133</v>
      </c>
      <c r="B3048" s="27" t="s">
        <v>768</v>
      </c>
      <c r="C3048" s="27" t="s">
        <v>715</v>
      </c>
      <c r="D3048" s="27" t="s">
        <v>716</v>
      </c>
      <c r="E3048" s="21">
        <f>IF(D3048="?OLD","!!!","")</f>
        <v/>
      </c>
      <c r="F3048" s="22" t="str">
        <f>IF(OR(E3048="",E3048="!!!"),"",IF(NOT(ISNA(VLOOKUP(E3048,E$1:E3047,1,FALSE()))),"OLD",IF(AND(E3048&lt;&gt;"",E3048&lt;&gt;"!!!"),"NEW","")))</f>
        <v> </v>
      </c>
      <c r="G3048" s="23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4" t="str">
        <f>IF(J3048&lt;&gt;1,"",IF(I3048="SBJ","CB","?"))</f>
        <v> </v>
      </c>
      <c r="I3048" s="25" t="str">
        <f>IF(OR(E3048="",E3048="!!!",F3048="NEW"),"",INDEX(B3047:B$2,-1+SUMPRODUCT(MAX(ROW(E3047:E$2)*(E3048=E3047:E$2)))))</f>
        <v> </v>
      </c>
      <c r="J3048" s="25" t="str">
        <f>IF(OR(E3048="",E3048="!!!",F3048="NEW"),"",COUNTBLANK(OFFSET(A$1,,,SUMPRODUCT(MAX(ROW(E$2:E3048)*(E3048=E$2:E3048)))))-COUNTBLANK(OFFSET(A$1,,,SUMPRODUCT(MAX(ROW(E$1:E3047)*(E2=E$1:E3047))))))</f>
        <v> </v>
      </c>
      <c r="K3048" s="25" t="str">
        <f>IF(OR(E3048="",E3048="!!!",F3048="NEW"),"",INDEX(J$1:J3047,SUMPRODUCT(MAX(ROW(E$1:E3047)*(E3048=E$1:E3047)))))</f>
        <v> </v>
      </c>
      <c r="L3048" s="26"/>
    </row>
    <row r="3049" spans="1:12">
      <c r="A3049" s="20" t="s">
        <v>753</v>
      </c>
      <c r="E3049" s="21">
        <f>IF(D3049="?OLD","!!!","")</f>
        <v/>
      </c>
      <c r="F3049" s="22" t="str">
        <f>IF(OR(E3049="",E3049="!!!"),"",IF(NOT(ISNA(VLOOKUP(E3049,E$1:E3048,1,FALSE()))),"OLD",IF(AND(E3049&lt;&gt;"",E3049&lt;&gt;"!!!"),"NEW","")))</f>
        <v> </v>
      </c>
      <c r="G3049" s="23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4" t="str">
        <f>IF(J3049&lt;&gt;1,"",IF(I3049="SBJ","CB","?"))</f>
        <v> </v>
      </c>
      <c r="I3049" s="25" t="str">
        <f>IF(OR(E3049="",E3049="!!!",F3049="NEW"),"",INDEX(B3048:B$2,-1+SUMPRODUCT(MAX(ROW(E3048:E$2)*(E3049=E3048:E$2)))))</f>
        <v> </v>
      </c>
      <c r="J3049" s="25" t="str">
        <f>IF(OR(E3049="",E3049="!!!",F3049="NEW"),"",COUNTBLANK(OFFSET(A$1,,,SUMPRODUCT(MAX(ROW(E$2:E3049)*(E3049=E$2:E3049)))))-COUNTBLANK(OFFSET(A$1,,,SUMPRODUCT(MAX(ROW(E$1:E3048)*(E2=E$1:E3048))))))</f>
        <v> </v>
      </c>
      <c r="K3049" s="25" t="str">
        <f>IF(OR(E3049="",E3049="!!!",F3049="NEW"),"",INDEX(J$1:J3048,SUMPRODUCT(MAX(ROW(E$1:E3048)*(E3049=E$1:E3048)))))</f>
        <v> </v>
      </c>
      <c r="L3049" s="26"/>
    </row>
    <row r="3050" spans="1:12">
      <c r="A3050" s="20" t="s">
        <v>995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1844</v>
      </c>
      <c r="B3051" s="27" t="s">
        <v>790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 t="s">
        <v>1368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1042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/>
    </row>
    <row r="3055" spans="1:12">
      <c r="A3055" s="20" t="s">
        <v>1846</v>
      </c>
    </row>
    <row r="3056" spans="1:12">
      <c r="A3056" s="20" t="s">
        <v>603</v>
      </c>
      <c r="B3056" s="27" t="s">
        <v>781</v>
      </c>
      <c r="C3056" s="27" t="s">
        <v>1060</v>
      </c>
      <c r="D3056" s="27" t="s">
        <v>716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 t="s">
        <v>1847</v>
      </c>
      <c r="B3057" s="27" t="s">
        <v>781</v>
      </c>
      <c r="C3057" s="27" t="s">
        <v>1060</v>
      </c>
      <c r="D3057" s="27" t="s">
        <v>716</v>
      </c>
      <c r="E3057" s="21">
        <f>IF(D3057="?OLD","!!!","")</f>
        <v/>
      </c>
      <c r="F3057" s="22" t="str">
        <f>IF(OR(E3057="",E3057="!!!"),"",IF(NOT(ISNA(VLOOKUP(E3057,E$1:E3056,1,FALSE()))),"OLD",IF(AND(E3057&lt;&gt;"",E3057&lt;&gt;"!!!"),"NEW","")))</f>
        <v> </v>
      </c>
      <c r="G3057" s="23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4" t="str">
        <f>IF(J3057&lt;&gt;1,"",IF(I3057="SBJ","CB","?"))</f>
        <v> </v>
      </c>
      <c r="I3057" s="25" t="str">
        <f>IF(OR(E3057="",E3057="!!!",F3057="NEW"),"",INDEX(B3056:B$2,-1+SUMPRODUCT(MAX(ROW(E3056:E$2)*(E3057=E3056:E$2)))))</f>
        <v> </v>
      </c>
      <c r="J3057" s="25" t="str">
        <f>IF(OR(E3057="",E3057="!!!",F3057="NEW"),"",COUNTBLANK(OFFSET(A$1,,,SUMPRODUCT(MAX(ROW(E$2:E3057)*(E3057=E$2:E3057)))))-COUNTBLANK(OFFSET(A$1,,,SUMPRODUCT(MAX(ROW(E$1:E3056)*(E2=E$1:E3056))))))</f>
        <v> </v>
      </c>
      <c r="K3057" s="25" t="str">
        <f>IF(OR(E3057="",E3057="!!!",F3057="NEW"),"",INDEX(J$1:J3056,SUMPRODUCT(MAX(ROW(E$1:E3056)*(E3057=E$1:E3056)))))</f>
        <v> </v>
      </c>
      <c r="L3057" s="26"/>
    </row>
    <row r="3058" spans="1:12">
      <c r="A3058" s="20" t="s">
        <v>888</v>
      </c>
      <c r="E3058" s="21">
        <f>IF(D3058="?OLD","!!!","")</f>
        <v/>
      </c>
      <c r="F3058" s="22" t="str">
        <f>IF(OR(E3058="",E3058="!!!"),"",IF(NOT(ISNA(VLOOKUP(E3058,E$1:E3057,1,FALSE()))),"OLD",IF(AND(E3058&lt;&gt;"",E3058&lt;&gt;"!!!"),"NEW","")))</f>
        <v> </v>
      </c>
      <c r="G3058" s="23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4" t="str">
        <f>IF(J3058&lt;&gt;1,"",IF(I3058="SBJ","CB","?"))</f>
        <v> </v>
      </c>
      <c r="I3058" s="25" t="str">
        <f>IF(OR(E3058="",E3058="!!!",F3058="NEW"),"",INDEX(B3057:B$2,-1+SUMPRODUCT(MAX(ROW(E3057:E$2)*(E3058=E3057:E$2)))))</f>
        <v> </v>
      </c>
      <c r="J3058" s="25" t="str">
        <f>IF(OR(E3058="",E3058="!!!",F3058="NEW"),"",COUNTBLANK(OFFSET(A$1,,,SUMPRODUCT(MAX(ROW(E$2:E3058)*(E3058=E$2:E3058)))))-COUNTBLANK(OFFSET(A$1,,,SUMPRODUCT(MAX(ROW(E$1:E3057)*(E2=E$1:E3057))))))</f>
        <v> </v>
      </c>
      <c r="K3058" s="25" t="str">
        <f>IF(OR(E3058="",E3058="!!!",F3058="NEW"),"",INDEX(J$1:J3057,SUMPRODUCT(MAX(ROW(E$1:E3057)*(E3058=E$1:E3057)))))</f>
        <v> </v>
      </c>
      <c r="L3058" s="26"/>
    </row>
    <row r="3059" spans="1:12">
      <c r="A3059" s="20" t="s">
        <v>1848</v>
      </c>
      <c r="E3059" s="21">
        <f>IF(D3059="?OLD","!!!","")</f>
        <v/>
      </c>
      <c r="F3059" s="22" t="str">
        <f>IF(OR(E3059="",E3059="!!!"),"",IF(NOT(ISNA(VLOOKUP(E3059,E$1:E3058,1,FALSE()))),"OLD",IF(AND(E3059&lt;&gt;"",E3059&lt;&gt;"!!!"),"NEW","")))</f>
        <v> </v>
      </c>
      <c r="G3059" s="23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4" t="str">
        <f>IF(J3059&lt;&gt;1,"",IF(I3059="SBJ","CB","?"))</f>
        <v> </v>
      </c>
      <c r="I3059" s="25" t="str">
        <f>IF(OR(E3059="",E3059="!!!",F3059="NEW"),"",INDEX(B3058:B$2,-1+SUMPRODUCT(MAX(ROW(E3058:E$2)*(E3059=E3058:E$2)))))</f>
        <v> </v>
      </c>
      <c r="J3059" s="25" t="str">
        <f>IF(OR(E3059="",E3059="!!!",F3059="NEW"),"",COUNTBLANK(OFFSET(A$1,,,SUMPRODUCT(MAX(ROW(E$2:E3059)*(E3059=E$2:E3059)))))-COUNTBLANK(OFFSET(A$1,,,SUMPRODUCT(MAX(ROW(E$1:E3058)*(E2=E$1:E3058))))))</f>
        <v> </v>
      </c>
      <c r="K3059" s="25" t="str">
        <f>IF(OR(E3059="",E3059="!!!",F3059="NEW"),"",INDEX(J$1:J3058,SUMPRODUCT(MAX(ROW(E$1:E3058)*(E3059=E$1:E3058)))))</f>
        <v> </v>
      </c>
      <c r="L3059" s="26"/>
    </row>
    <row r="3060" spans="1:12">
      <c r="A3060" s="20" t="s">
        <v>720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/>
    </row>
    <row r="3062" spans="1:12">
      <c r="A3062" s="20" t="s">
        <v>1849</v>
      </c>
    </row>
    <row r="3063" spans="1:12">
      <c r="A3063" s="20" t="s">
        <v>854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 t="s">
        <v>737</v>
      </c>
      <c r="E3064" s="21">
        <f>IF(D3064="?OLD","!!!","")</f>
        <v/>
      </c>
      <c r="F3064" s="22" t="str">
        <f>IF(OR(E3064="",E3064="!!!"),"",IF(NOT(ISNA(VLOOKUP(E3064,E$1:E3063,1,FALSE()))),"OLD",IF(AND(E3064&lt;&gt;"",E3064&lt;&gt;"!!!"),"NEW","")))</f>
        <v> </v>
      </c>
      <c r="G3064" s="23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4" t="str">
        <f>IF(J3064&lt;&gt;1,"",IF(I3064="SBJ","CB","?"))</f>
        <v> </v>
      </c>
      <c r="I3064" s="25" t="str">
        <f>IF(OR(E3064="",E3064="!!!",F3064="NEW"),"",INDEX(B3063:B$2,-1+SUMPRODUCT(MAX(ROW(E3063:E$2)*(E3064=E3063:E$2)))))</f>
        <v> </v>
      </c>
      <c r="J3064" s="25" t="str">
        <f>IF(OR(E3064="",E3064="!!!",F3064="NEW"),"",COUNTBLANK(OFFSET(A$1,,,SUMPRODUCT(MAX(ROW(E$2:E3064)*(E3064=E$2:E3064)))))-COUNTBLANK(OFFSET(A$1,,,SUMPRODUCT(MAX(ROW(E$1:E3063)*(E2=E$1:E3063))))))</f>
        <v> </v>
      </c>
      <c r="K3064" s="25" t="str">
        <f>IF(OR(E3064="",E3064="!!!",F3064="NEW"),"",INDEX(J$1:J3063,SUMPRODUCT(MAX(ROW(E$1:E3063)*(E3064=E$1:E3063)))))</f>
        <v> </v>
      </c>
      <c r="L3064" s="26"/>
    </row>
    <row r="3065" spans="1:12">
      <c r="A3065" s="20" t="s">
        <v>1850</v>
      </c>
      <c r="E3065" s="21">
        <f>IF(D3065="?OLD","!!!","")</f>
        <v/>
      </c>
      <c r="F3065" s="22" t="str">
        <f>IF(OR(E3065="",E3065="!!!"),"",IF(NOT(ISNA(VLOOKUP(E3065,E$1:E3064,1,FALSE()))),"OLD",IF(AND(E3065&lt;&gt;"",E3065&lt;&gt;"!!!"),"NEW","")))</f>
        <v> </v>
      </c>
      <c r="G3065" s="23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4" t="str">
        <f>IF(J3065&lt;&gt;1,"",IF(I3065="SBJ","CB","?"))</f>
        <v> </v>
      </c>
      <c r="I3065" s="25" t="str">
        <f>IF(OR(E3065="",E3065="!!!",F3065="NEW"),"",INDEX(B3064:B$2,-1+SUMPRODUCT(MAX(ROW(E3064:E$2)*(E3065=E3064:E$2)))))</f>
        <v> </v>
      </c>
      <c r="J3065" s="25" t="str">
        <f>IF(OR(E3065="",E3065="!!!",F3065="NEW"),"",COUNTBLANK(OFFSET(A$1,,,SUMPRODUCT(MAX(ROW(E$2:E3065)*(E3065=E$2:E3065)))))-COUNTBLANK(OFFSET(A$1,,,SUMPRODUCT(MAX(ROW(E$1:E3064)*(E2=E$1:E3064))))))</f>
        <v> </v>
      </c>
      <c r="K3065" s="25" t="str">
        <f>IF(OR(E3065="",E3065="!!!",F3065="NEW"),"",INDEX(J$1:J3064,SUMPRODUCT(MAX(ROW(E$1:E3064)*(E3065=E$1:E3064)))))</f>
        <v> </v>
      </c>
      <c r="L3065" s="26"/>
    </row>
    <row r="3066" spans="1:12">
      <c r="A3066" s="20" t="s">
        <v>1851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1796</v>
      </c>
      <c r="B3067" s="27" t="s">
        <v>781</v>
      </c>
      <c r="C3067" s="27" t="s">
        <v>878</v>
      </c>
      <c r="D3067" s="27" t="s">
        <v>716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1003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1852</v>
      </c>
      <c r="B3069" s="27" t="s">
        <v>731</v>
      </c>
      <c r="C3069" s="27" t="s">
        <v>769</v>
      </c>
      <c r="D3069" s="27" t="s">
        <v>716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 t="s">
        <v>752</v>
      </c>
      <c r="E3070" s="21">
        <f>IF(D3070="?OLD","!!!","")</f>
        <v/>
      </c>
      <c r="F3070" s="22" t="str">
        <f>IF(OR(E3070="",E3070="!!!"),"",IF(NOT(ISNA(VLOOKUP(E3070,E$1:E3069,1,FALSE()))),"OLD",IF(AND(E3070&lt;&gt;"",E3070&lt;&gt;"!!!"),"NEW","")))</f>
        <v> </v>
      </c>
      <c r="G3070" s="23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4" t="str">
        <f>IF(J3070&lt;&gt;1,"",IF(I3070="SBJ","CB","?"))</f>
        <v> </v>
      </c>
      <c r="I3070" s="25" t="str">
        <f>IF(OR(E3070="",E3070="!!!",F3070="NEW"),"",INDEX(B3069:B$2,-1+SUMPRODUCT(MAX(ROW(E3069:E$2)*(E3070=E3069:E$2)))))</f>
        <v> </v>
      </c>
      <c r="J3070" s="25" t="str">
        <f>IF(OR(E3070="",E3070="!!!",F3070="NEW"),"",COUNTBLANK(OFFSET(A$1,,,SUMPRODUCT(MAX(ROW(E$2:E3070)*(E3070=E$2:E3070)))))-COUNTBLANK(OFFSET(A$1,,,SUMPRODUCT(MAX(ROW(E$1:E3069)*(E2=E$1:E3069))))))</f>
        <v> </v>
      </c>
      <c r="K3070" s="25" t="str">
        <f>IF(OR(E3070="",E3070="!!!",F3070="NEW"),"",INDEX(J$1:J3069,SUMPRODUCT(MAX(ROW(E$1:E3069)*(E3070=E$1:E3069)))))</f>
        <v> </v>
      </c>
      <c r="L3070" s="26"/>
    </row>
    <row r="3071" spans="1:12">
      <c r="A3071" s="20" t="s">
        <v>1853</v>
      </c>
      <c r="B3071" s="27" t="s">
        <v>714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 t="s">
        <v>737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1854</v>
      </c>
      <c r="B3073" s="27" t="s">
        <v>745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 t="s">
        <v>823</v>
      </c>
      <c r="B3074" s="27" t="s">
        <v>745</v>
      </c>
      <c r="C3074" s="27" t="s">
        <v>715</v>
      </c>
      <c r="D3074" s="27" t="s">
        <v>716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1855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793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1856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610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 t="s">
        <v>720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/>
    </row>
    <row r="3081" spans="1:12">
      <c r="A3081" s="20" t="s">
        <v>1857</v>
      </c>
    </row>
    <row r="3082" spans="1:12">
      <c r="A3082" s="20" t="s">
        <v>1083</v>
      </c>
      <c r="B3082" s="27" t="s">
        <v>714</v>
      </c>
      <c r="C3082" s="27" t="s">
        <v>715</v>
      </c>
      <c r="D3082" s="27" t="s">
        <v>716</v>
      </c>
      <c r="E3082" s="21">
        <f>IF(D3082="?OLD","!!!","")</f>
        <v/>
      </c>
      <c r="F3082" s="22" t="str">
        <f>IF(OR(E3082="",E3082="!!!"),"",IF(NOT(ISNA(VLOOKUP(E3082,E$1:E3081,1,FALSE()))),"OLD",IF(AND(E3082&lt;&gt;"",E3082&lt;&gt;"!!!"),"NEW","")))</f>
        <v> </v>
      </c>
      <c r="G3082" s="23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4" t="str">
        <f>IF(J3082&lt;&gt;1,"",IF(I3082="SBJ","CB","?"))</f>
        <v> </v>
      </c>
      <c r="I3082" s="25" t="str">
        <f>IF(OR(E3082="",E3082="!!!",F3082="NEW"),"",INDEX(B3081:B$2,-1+SUMPRODUCT(MAX(ROW(E3081:E$2)*(E3082=E3081:E$2)))))</f>
        <v> </v>
      </c>
      <c r="J3082" s="25" t="str">
        <f>IF(OR(E3082="",E3082="!!!",F3082="NEW"),"",COUNTBLANK(OFFSET(A$1,,,SUMPRODUCT(MAX(ROW(E$2:E3082)*(E3082=E$2:E3082)))))-COUNTBLANK(OFFSET(A$1,,,SUMPRODUCT(MAX(ROW(E$1:E3081)*(E2=E$1:E3081))))))</f>
        <v> </v>
      </c>
      <c r="K3082" s="25" t="str">
        <f>IF(OR(E3082="",E3082="!!!",F3082="NEW"),"",INDEX(J$1:J3081,SUMPRODUCT(MAX(ROW(E$1:E3081)*(E3082=E$1:E3081)))))</f>
        <v> </v>
      </c>
      <c r="L3082" s="26"/>
    </row>
    <row r="3083" spans="1:12">
      <c r="A3083" s="20" t="s">
        <v>1858</v>
      </c>
      <c r="E3083" s="21">
        <f>IF(D3083="?OLD","!!!","")</f>
        <v/>
      </c>
      <c r="F3083" s="22" t="str">
        <f>IF(OR(E3083="",E3083="!!!"),"",IF(NOT(ISNA(VLOOKUP(E3083,E$1:E3082,1,FALSE()))),"OLD",IF(AND(E3083&lt;&gt;"",E3083&lt;&gt;"!!!"),"NEW","")))</f>
        <v> </v>
      </c>
      <c r="G3083" s="23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4" t="str">
        <f>IF(J3083&lt;&gt;1,"",IF(I3083="SBJ","CB","?"))</f>
        <v> </v>
      </c>
      <c r="I3083" s="25" t="str">
        <f>IF(OR(E3083="",E3083="!!!",F3083="NEW"),"",INDEX(B3082:B$2,-1+SUMPRODUCT(MAX(ROW(E3082:E$2)*(E3083=E3082:E$2)))))</f>
        <v> </v>
      </c>
      <c r="J3083" s="25" t="str">
        <f>IF(OR(E3083="",E3083="!!!",F3083="NEW"),"",COUNTBLANK(OFFSET(A$1,,,SUMPRODUCT(MAX(ROW(E$2:E3083)*(E3083=E$2:E3083)))))-COUNTBLANK(OFFSET(A$1,,,SUMPRODUCT(MAX(ROW(E$1:E3082)*(E2=E$1:E3082))))))</f>
        <v> </v>
      </c>
      <c r="K3083" s="25" t="str">
        <f>IF(OR(E3083="",E3083="!!!",F3083="NEW"),"",INDEX(J$1:J3082,SUMPRODUCT(MAX(ROW(E$1:E3082)*(E3083=E$1:E3082)))))</f>
        <v> </v>
      </c>
      <c r="L3083" s="26"/>
    </row>
    <row r="3084" spans="1:12">
      <c r="A3084" s="20" t="s">
        <v>846</v>
      </c>
      <c r="B3084" s="27" t="s">
        <v>808</v>
      </c>
      <c r="C3084" s="27" t="s">
        <v>715</v>
      </c>
      <c r="D3084" s="27" t="s">
        <v>716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735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1859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 t="s">
        <v>941</v>
      </c>
      <c r="E3087" s="21">
        <f>IF(D3087="?OLD","!!!","")</f>
        <v/>
      </c>
      <c r="F3087" s="22" t="str">
        <f>IF(OR(E3087="",E3087="!!!"),"",IF(NOT(ISNA(VLOOKUP(E3087,E$1:E3086,1,FALSE()))),"OLD",IF(AND(E3087&lt;&gt;"",E3087&lt;&gt;"!!!"),"NEW","")))</f>
        <v> </v>
      </c>
      <c r="G3087" s="23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4" t="str">
        <f>IF(J3087&lt;&gt;1,"",IF(I3087="SBJ","CB","?"))</f>
        <v> </v>
      </c>
      <c r="I3087" s="25" t="str">
        <f>IF(OR(E3087="",E3087="!!!",F3087="NEW"),"",INDEX(B3086:B$2,-1+SUMPRODUCT(MAX(ROW(E3086:E$2)*(E3087=E3086:E$2)))))</f>
        <v> </v>
      </c>
      <c r="J3087" s="25" t="str">
        <f>IF(OR(E3087="",E3087="!!!",F3087="NEW"),"",COUNTBLANK(OFFSET(A$1,,,SUMPRODUCT(MAX(ROW(E$2:E3087)*(E3087=E$2:E3087)))))-COUNTBLANK(OFFSET(A$1,,,SUMPRODUCT(MAX(ROW(E$1:E3086)*(E2=E$1:E3086))))))</f>
        <v> </v>
      </c>
      <c r="K3087" s="25" t="str">
        <f>IF(OR(E3087="",E3087="!!!",F3087="NEW"),"",INDEX(J$1:J3086,SUMPRODUCT(MAX(ROW(E$1:E3086)*(E3087=E$1:E3086)))))</f>
        <v> </v>
      </c>
      <c r="L3087" s="26"/>
    </row>
    <row r="3088" spans="1:12">
      <c r="A3088" s="20" t="s">
        <v>1640</v>
      </c>
      <c r="E3088" s="21">
        <f>IF(D3088="?OLD","!!!","")</f>
        <v/>
      </c>
      <c r="F3088" s="22" t="str">
        <f>IF(OR(E3088="",E3088="!!!"),"",IF(NOT(ISNA(VLOOKUP(E3088,E$1:E3087,1,FALSE()))),"OLD",IF(AND(E3088&lt;&gt;"",E3088&lt;&gt;"!!!"),"NEW","")))</f>
        <v> </v>
      </c>
      <c r="G3088" s="23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4" t="str">
        <f>IF(J3088&lt;&gt;1,"",IF(I3088="SBJ","CB","?"))</f>
        <v> </v>
      </c>
      <c r="I3088" s="25" t="str">
        <f>IF(OR(E3088="",E3088="!!!",F3088="NEW"),"",INDEX(B3087:B$2,-1+SUMPRODUCT(MAX(ROW(E3087:E$2)*(E3088=E3087:E$2)))))</f>
        <v> </v>
      </c>
      <c r="J3088" s="25" t="str">
        <f>IF(OR(E3088="",E3088="!!!",F3088="NEW"),"",COUNTBLANK(OFFSET(A$1,,,SUMPRODUCT(MAX(ROW(E$2:E3088)*(E3088=E$2:E3088)))))-COUNTBLANK(OFFSET(A$1,,,SUMPRODUCT(MAX(ROW(E$1:E3087)*(E2=E$1:E3087))))))</f>
        <v> </v>
      </c>
      <c r="K3088" s="25" t="str">
        <f>IF(OR(E3088="",E3088="!!!",F3088="NEW"),"",INDEX(J$1:J3087,SUMPRODUCT(MAX(ROW(E$1:E3087)*(E3088=E$1:E3087)))))</f>
        <v> </v>
      </c>
      <c r="L3088" s="26"/>
    </row>
    <row r="3089" spans="1:12">
      <c r="A3089" s="20" t="s">
        <v>1224</v>
      </c>
      <c r="E3089" s="21">
        <f>IF(D3089="?OLD","!!!","")</f>
        <v/>
      </c>
      <c r="F3089" s="22" t="str">
        <f>IF(OR(E3089="",E3089="!!!"),"",IF(NOT(ISNA(VLOOKUP(E3089,E$1:E3088,1,FALSE()))),"OLD",IF(AND(E3089&lt;&gt;"",E3089&lt;&gt;"!!!"),"NEW","")))</f>
        <v> </v>
      </c>
      <c r="G3089" s="23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4" t="str">
        <f>IF(J3089&lt;&gt;1,"",IF(I3089="SBJ","CB","?"))</f>
        <v> </v>
      </c>
      <c r="I3089" s="25" t="str">
        <f>IF(OR(E3089="",E3089="!!!",F3089="NEW"),"",INDEX(B3088:B$2,-1+SUMPRODUCT(MAX(ROW(E3088:E$2)*(E3089=E3088:E$2)))))</f>
        <v> </v>
      </c>
      <c r="J3089" s="25" t="str">
        <f>IF(OR(E3089="",E3089="!!!",F3089="NEW"),"",COUNTBLANK(OFFSET(A$1,,,SUMPRODUCT(MAX(ROW(E$2:E3089)*(E3089=E$2:E3089)))))-COUNTBLANK(OFFSET(A$1,,,SUMPRODUCT(MAX(ROW(E$1:E3088)*(E2=E$1:E3088))))))</f>
        <v> </v>
      </c>
      <c r="K3089" s="25" t="str">
        <f>IF(OR(E3089="",E3089="!!!",F3089="NEW"),"",INDEX(J$1:J3088,SUMPRODUCT(MAX(ROW(E$1:E3088)*(E3089=E$1:E3088)))))</f>
        <v> </v>
      </c>
      <c r="L3089" s="26"/>
    </row>
    <row r="3090" spans="1:12">
      <c r="A3090" s="20" t="s">
        <v>589</v>
      </c>
      <c r="B3090" s="27" t="s">
        <v>714</v>
      </c>
      <c r="C3090" s="27" t="s">
        <v>715</v>
      </c>
      <c r="D3090" s="27" t="s">
        <v>716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720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/>
    </row>
    <row r="3093" spans="1:12">
      <c r="A3093" s="20" t="s">
        <v>1860</v>
      </c>
    </row>
    <row r="3094" spans="1:12">
      <c r="A3094" s="20" t="s">
        <v>1769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823</v>
      </c>
      <c r="B3095" s="27" t="s">
        <v>745</v>
      </c>
      <c r="C3095" s="27" t="s">
        <v>715</v>
      </c>
      <c r="D3095" s="27" t="s">
        <v>716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 t="s">
        <v>1861</v>
      </c>
      <c r="E3096" s="21">
        <f>IF(D3096="?OLD","!!!","")</f>
        <v/>
      </c>
      <c r="F3096" s="22" t="str">
        <f>IF(OR(E3096="",E3096="!!!"),"",IF(NOT(ISNA(VLOOKUP(E3096,E$1:E3095,1,FALSE()))),"OLD",IF(AND(E3096&lt;&gt;"",E3096&lt;&gt;"!!!"),"NEW","")))</f>
        <v> </v>
      </c>
      <c r="G3096" s="23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4" t="str">
        <f>IF(J3096&lt;&gt;1,"",IF(I3096="SBJ","CB","?"))</f>
        <v> </v>
      </c>
      <c r="I3096" s="25" t="str">
        <f>IF(OR(E3096="",E3096="!!!",F3096="NEW"),"",INDEX(B3095:B$2,-1+SUMPRODUCT(MAX(ROW(E3095:E$2)*(E3096=E3095:E$2)))))</f>
        <v> </v>
      </c>
      <c r="J3096" s="25" t="str">
        <f>IF(OR(E3096="",E3096="!!!",F3096="NEW"),"",COUNTBLANK(OFFSET(A$1,,,SUMPRODUCT(MAX(ROW(E$2:E3096)*(E3096=E$2:E3096)))))-COUNTBLANK(OFFSET(A$1,,,SUMPRODUCT(MAX(ROW(E$1:E3095)*(E2=E$1:E3095))))))</f>
        <v> </v>
      </c>
      <c r="K3096" s="25" t="str">
        <f>IF(OR(E3096="",E3096="!!!",F3096="NEW"),"",INDEX(J$1:J3095,SUMPRODUCT(MAX(ROW(E$1:E3095)*(E3096=E$1:E3095)))))</f>
        <v> </v>
      </c>
      <c r="L3096" s="26"/>
    </row>
    <row r="3097" spans="1:12">
      <c r="A3097" s="20" t="s">
        <v>737</v>
      </c>
      <c r="E3097" s="21">
        <f>IF(D3097="?OLD","!!!","")</f>
        <v/>
      </c>
      <c r="F3097" s="22" t="str">
        <f>IF(OR(E3097="",E3097="!!!"),"",IF(NOT(ISNA(VLOOKUP(E3097,E$1:E3096,1,FALSE()))),"OLD",IF(AND(E3097&lt;&gt;"",E3097&lt;&gt;"!!!"),"NEW","")))</f>
        <v> </v>
      </c>
      <c r="G3097" s="23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4" t="str">
        <f>IF(J3097&lt;&gt;1,"",IF(I3097="SBJ","CB","?"))</f>
        <v> </v>
      </c>
      <c r="I3097" s="25" t="str">
        <f>IF(OR(E3097="",E3097="!!!",F3097="NEW"),"",INDEX(B3096:B$2,-1+SUMPRODUCT(MAX(ROW(E3096:E$2)*(E3097=E3096:E$2)))))</f>
        <v> </v>
      </c>
      <c r="J3097" s="25" t="str">
        <f>IF(OR(E3097="",E3097="!!!",F3097="NEW"),"",COUNTBLANK(OFFSET(A$1,,,SUMPRODUCT(MAX(ROW(E$2:E3097)*(E3097=E$2:E3097)))))-COUNTBLANK(OFFSET(A$1,,,SUMPRODUCT(MAX(ROW(E$1:E3096)*(E2=E$1:E3096))))))</f>
        <v> </v>
      </c>
      <c r="K3097" s="25" t="str">
        <f>IF(OR(E3097="",E3097="!!!",F3097="NEW"),"",INDEX(J$1:J3096,SUMPRODUCT(MAX(ROW(E$1:E3096)*(E3097=E$1:E3096)))))</f>
        <v> </v>
      </c>
      <c r="L3097" s="26"/>
    </row>
    <row r="3098" spans="1:12">
      <c r="A3098" s="20" t="s">
        <v>820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 t="s">
        <v>1604</v>
      </c>
      <c r="B3099" s="27" t="s">
        <v>790</v>
      </c>
      <c r="E3099" s="21">
        <f>IF(D3099="?OLD","!!!","")</f>
        <v/>
      </c>
      <c r="F3099" s="22" t="str">
        <f>IF(OR(E3099="",E3099="!!!"),"",IF(NOT(ISNA(VLOOKUP(E3099,E$1:E3098,1,FALSE()))),"OLD",IF(AND(E3099&lt;&gt;"",E3099&lt;&gt;"!!!"),"NEW","")))</f>
        <v> </v>
      </c>
      <c r="G3099" s="23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4" t="str">
        <f>IF(J3099&lt;&gt;1,"",IF(I3099="SBJ","CB","?"))</f>
        <v> </v>
      </c>
      <c r="I3099" s="25" t="str">
        <f>IF(OR(E3099="",E3099="!!!",F3099="NEW"),"",INDEX(B3098:B$2,-1+SUMPRODUCT(MAX(ROW(E3098:E$2)*(E3099=E3098:E$2)))))</f>
        <v> </v>
      </c>
      <c r="J3099" s="25" t="str">
        <f>IF(OR(E3099="",E3099="!!!",F3099="NEW"),"",COUNTBLANK(OFFSET(A$1,,,SUMPRODUCT(MAX(ROW(E$2:E3099)*(E3099=E$2:E3099)))))-COUNTBLANK(OFFSET(A$1,,,SUMPRODUCT(MAX(ROW(E$1:E3098)*(E2=E$1:E3098))))))</f>
        <v> </v>
      </c>
      <c r="K3099" s="25" t="str">
        <f>IF(OR(E3099="",E3099="!!!",F3099="NEW"),"",INDEX(J$1:J3098,SUMPRODUCT(MAX(ROW(E$1:E3098)*(E3099=E$1:E3098)))))</f>
        <v> </v>
      </c>
      <c r="L3099" s="26"/>
    </row>
    <row r="3100" spans="1:12">
      <c r="A3100" s="20" t="s">
        <v>1862</v>
      </c>
      <c r="E3100" s="21">
        <f>IF(D3100="?OLD","!!!","")</f>
        <v/>
      </c>
      <c r="F3100" s="22" t="str">
        <f>IF(OR(E3100="",E3100="!!!"),"",IF(NOT(ISNA(VLOOKUP(E3100,E$1:E3099,1,FALSE()))),"OLD",IF(AND(E3100&lt;&gt;"",E3100&lt;&gt;"!!!"),"NEW","")))</f>
        <v> </v>
      </c>
      <c r="G3100" s="23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4" t="str">
        <f>IF(J3100&lt;&gt;1,"",IF(I3100="SBJ","CB","?"))</f>
        <v> </v>
      </c>
      <c r="I3100" s="25" t="str">
        <f>IF(OR(E3100="",E3100="!!!",F3100="NEW"),"",INDEX(B3099:B$2,-1+SUMPRODUCT(MAX(ROW(E3099:E$2)*(E3100=E3099:E$2)))))</f>
        <v> </v>
      </c>
      <c r="J3100" s="25" t="str">
        <f>IF(OR(E3100="",E3100="!!!",F3100="NEW"),"",COUNTBLANK(OFFSET(A$1,,,SUMPRODUCT(MAX(ROW(E$2:E3100)*(E3100=E$2:E3100)))))-COUNTBLANK(OFFSET(A$1,,,SUMPRODUCT(MAX(ROW(E$1:E3099)*(E2=E$1:E3099))))))</f>
        <v> </v>
      </c>
      <c r="K3100" s="25" t="str">
        <f>IF(OR(E3100="",E3100="!!!",F3100="NEW"),"",INDEX(J$1:J3099,SUMPRODUCT(MAX(ROW(E$1:E3099)*(E3100=E$1:E3099)))))</f>
        <v> </v>
      </c>
      <c r="L3100" s="26"/>
    </row>
    <row r="3101" spans="1:12">
      <c r="A3101" s="20" t="s">
        <v>735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1863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 t="s">
        <v>1359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1864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 t="s">
        <v>737</v>
      </c>
      <c r="E3105" s="21">
        <f>IF(D3105="?OLD","!!!","")</f>
        <v/>
      </c>
      <c r="F3105" s="22" t="str">
        <f>IF(OR(E3105="",E3105="!!!"),"",IF(NOT(ISNA(VLOOKUP(E3105,E$1:E3104,1,FALSE()))),"OLD",IF(AND(E3105&lt;&gt;"",E3105&lt;&gt;"!!!"),"NEW","")))</f>
        <v> </v>
      </c>
      <c r="G3105" s="23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4" t="str">
        <f>IF(J3105&lt;&gt;1,"",IF(I3105="SBJ","CB","?"))</f>
        <v> </v>
      </c>
      <c r="I3105" s="25" t="str">
        <f>IF(OR(E3105="",E3105="!!!",F3105="NEW"),"",INDEX(B3104:B$2,-1+SUMPRODUCT(MAX(ROW(E3104:E$2)*(E3105=E3104:E$2)))))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IF(OR(E3105="",E3105="!!!",F3105="NEW"),"",COUNTBLANK(OFFSET(A$1,,,SUMPRODUCT(MAX(ROW(E$2:E3105)*(E3105=E$2:E3105)))))-COUNTBLANK(OFFSET(A$1,,,SUMPRODUCT(MAX(ROW(E$1:E3104)*(E2=E$1:E3104))))))</f>
        <v> </v>
      </c>
      <c r="K3105" s="25" t="str">
        <f>IF(OR(E3105="",E3105="!!!",F3105="NEW"),"",INDEX(J$1:J3104,SUMPRODUCT(MAX(ROW(E$1:E3104)*(E3105=E$1:E3104)))))</f>
        <v> </v>
      </c>
      <c r="L3105" s="26"/>
    </row>
    <row r="3106" spans="1:12">
      <c r="A3106" s="20" t="s">
        <v>1865</v>
      </c>
      <c r="E3106" s="21">
        <f>IF(D3106="?OLD","!!!","")</f>
        <v/>
      </c>
      <c r="F3106" s="22" t="str">
        <f>IF(OR(E3106="",E3106="!!!"),"",IF(NOT(ISNA(VLOOKUP(E3106,E$1:E3105,1,FALSE()))),"OLD",IF(AND(E3106&lt;&gt;"",E3106&lt;&gt;"!!!"),"NEW","")))</f>
        <v> </v>
      </c>
      <c r="G3106" s="23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4" t="str">
        <f>IF(J3106&lt;&gt;1,"",IF(I3106="SBJ","CB","?"))</f>
        <v> </v>
      </c>
      <c r="I3106" s="25" t="str">
        <f>IF(OR(E3106="",E3106="!!!",F3106="NEW"),"",INDEX(B3105:B$2,-1+SUMPRODUCT(MAX(ROW(E3105:E$2)*(E3106=E3105:E$2)))))</f>
        <v> </v>
      </c>
      <c r="J3106" s="25" t="str">
        <f>IF(OR(E3106="",E3106="!!!",F3106="NEW"),"",COUNTBLANK(OFFSET(A$1,,,SUMPRODUCT(MAX(ROW(E$2:E3106)*(E3106=E$2:E3106)))))-COUNTBLANK(OFFSET(A$1,,,SUMPRODUCT(MAX(ROW(E$1:E3105)*(E2=E$1:E3105))))))</f>
        <v> </v>
      </c>
      <c r="K3106" s="25" t="str">
        <f>IF(OR(E3106="",E3106="!!!",F3106="NEW"),"",INDEX(J$1:J3105,SUMPRODUCT(MAX(ROW(E$1:E3105)*(E3106=E$1:E3105)))))</f>
        <v> </v>
      </c>
      <c r="L3106" s="26"/>
    </row>
    <row r="3107" spans="1:12">
      <c r="A3107" s="20" t="s">
        <v>737</v>
      </c>
      <c r="E3107" s="21">
        <f>IF(D3107="?OLD","!!!","")</f>
        <v/>
      </c>
      <c r="F3107" s="22" t="str">
        <f>IF(OR(E3107="",E3107="!!!"),"",IF(NOT(ISNA(VLOOKUP(E3107,E$1:E3106,1,FALSE()))),"OLD",IF(AND(E3107&lt;&gt;"",E3107&lt;&gt;"!!!"),"NEW","")))</f>
        <v> </v>
      </c>
      <c r="G3107" s="23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4" t="str">
        <f>IF(J3107&lt;&gt;1,"",IF(I3107="SBJ","CB","?"))</f>
        <v> </v>
      </c>
      <c r="I3107" s="25" t="str">
        <f>IF(OR(E3107="",E3107="!!!",F3107="NEW"),"",INDEX(B3106:B$2,-1+SUMPRODUCT(MAX(ROW(E3106:E$2)*(E3107=E3106:E$2)))))</f>
        <v> </v>
      </c>
      <c r="J3107" s="25" t="str">
        <f>IF(OR(E3107="",E3107="!!!",F3107="NEW"),"",COUNTBLANK(OFFSET(A$1,,,SUMPRODUCT(MAX(ROW(E$2:E3107)*(E3107=E$2:E3107)))))-COUNTBLANK(OFFSET(A$1,,,SUMPRODUCT(MAX(ROW(E$1:E3106)*(E2=E$1:E3106))))))</f>
        <v> </v>
      </c>
      <c r="K3107" s="25" t="str">
        <f>IF(OR(E3107="",E3107="!!!",F3107="NEW"),"",INDEX(J$1:J3106,SUMPRODUCT(MAX(ROW(E$1:E3106)*(E3107=E$1:E3106)))))</f>
        <v> </v>
      </c>
      <c r="L3107" s="26"/>
    </row>
    <row r="3108" spans="1:12">
      <c r="A3108" s="20" t="s">
        <v>1253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1866</v>
      </c>
      <c r="B3109" s="27" t="s">
        <v>745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1867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1868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1869</v>
      </c>
      <c r="B3112" s="27" t="s">
        <v>731</v>
      </c>
      <c r="C3112" s="27" t="s">
        <v>728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735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1870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737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1213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 t="s">
        <v>1871</v>
      </c>
      <c r="E3117" s="21">
        <f>IF(D3117="?OLD","!!!","")</f>
        <v/>
      </c>
      <c r="F3117" s="22" t="str">
        <f>IF(OR(E3117="",E3117="!!!"),"",IF(NOT(ISNA(VLOOKUP(E3117,E$1:E3116,1,FALSE()))),"OLD",IF(AND(E3117&lt;&gt;"",E3117&lt;&gt;"!!!"),"NEW","")))</f>
        <v> </v>
      </c>
      <c r="G3117" s="23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4" t="str">
        <f>IF(J3117&lt;&gt;1,"",IF(I3117="SBJ","CB","?"))</f>
        <v> </v>
      </c>
      <c r="I3117" s="25" t="str">
        <f>IF(OR(E3117="",E3117="!!!",F3117="NEW"),"",INDEX(B3116:B$2,-1+SUMPRODUCT(MAX(ROW(E3116:E$2)*(E3117=E3116:E$2)))))</f>
        <v> </v>
      </c>
      <c r="J3117" s="25" t="str">
        <f>IF(OR(E3117="",E3117="!!!",F3117="NEW"),"",COUNTBLANK(OFFSET(A$1,,,SUMPRODUCT(MAX(ROW(E$2:E3117)*(E3117=E$2:E3117)))))-COUNTBLANK(OFFSET(A$1,,,SUMPRODUCT(MAX(ROW(E$1:E3116)*(E2=E$1:E3116))))))</f>
        <v> </v>
      </c>
      <c r="K3117" s="25" t="str">
        <f>IF(OR(E3117="",E3117="!!!",F3117="NEW"),"",INDEX(J$1:J3116,SUMPRODUCT(MAX(ROW(E$1:E3116)*(E3117=E$1:E3116)))))</f>
        <v> </v>
      </c>
      <c r="L3117" s="26"/>
    </row>
    <row r="3118" spans="1:12">
      <c r="A3118" s="20" t="s">
        <v>737</v>
      </c>
      <c r="E3118" s="21">
        <f>IF(D3118="?OLD","!!!","")</f>
        <v/>
      </c>
      <c r="F3118" s="22" t="str">
        <f>IF(OR(E3118="",E3118="!!!"),"",IF(NOT(ISNA(VLOOKUP(E3118,E$1:E3117,1,FALSE()))),"OLD",IF(AND(E3118&lt;&gt;"",E3118&lt;&gt;"!!!"),"NEW","")))</f>
        <v> </v>
      </c>
      <c r="G3118" s="23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4" t="str">
        <f>IF(J3118&lt;&gt;1,"",IF(I3118="SBJ","CB","?"))</f>
        <v> </v>
      </c>
      <c r="I3118" s="25" t="str">
        <f>IF(OR(E3118="",E3118="!!!",F3118="NEW"),"",INDEX(B3117:B$2,-1+SUMPRODUCT(MAX(ROW(E3117:E$2)*(E3118=E3117:E$2)))))</f>
        <v> </v>
      </c>
      <c r="J3118" s="25" t="str">
        <f>IF(OR(E3118="",E3118="!!!",F3118="NEW"),"",COUNTBLANK(OFFSET(A$1,,,SUMPRODUCT(MAX(ROW(E$2:E3118)*(E3118=E$2:E3118)))))-COUNTBLANK(OFFSET(A$1,,,SUMPRODUCT(MAX(ROW(E$1:E3117)*(E2=E$1:E3117))))))</f>
        <v> </v>
      </c>
      <c r="K3118" s="25" t="str">
        <f>IF(OR(E3118="",E3118="!!!",F3118="NEW"),"",INDEX(J$1:J3117,SUMPRODUCT(MAX(ROW(E$1:E3117)*(E3118=E$1:E3117)))))</f>
        <v> </v>
      </c>
      <c r="L3118" s="26"/>
    </row>
    <row r="3119" spans="1:12">
      <c r="A3119" s="20" t="s">
        <v>743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1872</v>
      </c>
      <c r="B3120" s="27" t="s">
        <v>790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1772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1873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1874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12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12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 t="s">
        <v>1320</v>
      </c>
      <c r="E3126" s="21">
        <f>IF(D3126="?OLD","!!!","")</f>
        <v/>
      </c>
      <c r="F3126" s="22" t="str">
        <f>IF(OR(E3126="",E3126="!!!"),"",IF(NOT(ISNA(VLOOKUP(E3126,E$1:E3125,1,FALSE()))),"OLD",IF(AND(E3126&lt;&gt;"",E3126&lt;&gt;"!!!"),"NEW","")))</f>
        <v> </v>
      </c>
      <c r="G3126" s="23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4" t="str">
        <f>IF(J3126&lt;&gt;1,"",IF(I3126="SBJ","CB","?"))</f>
        <v> </v>
      </c>
      <c r="I3126" s="25" t="str">
        <f>IF(OR(E3126="",E3126="!!!",F3126="NEW"),"",INDEX(B3125:B$2,-1+SUMPRODUCT(MAX(ROW(E3125:E$2)*(E3126=E3125:E$2)))))</f>
        <v> </v>
      </c>
      <c r="J3126" s="25" t="str">
        <f>IF(OR(E3126="",E3126="!!!",F3126="NEW"),"",COUNTBLANK(OFFSET(A$1,,,SUMPRODUCT(MAX(ROW(E$2:E3126)*(E3126=E$2:E3126)))))-COUNTBLANK(OFFSET(A$1,,,SUMPRODUCT(MAX(ROW(E$1:E3125)*(E2=E$1:E3125))))))</f>
        <v> </v>
      </c>
      <c r="K3126" s="25" t="str">
        <f>IF(OR(E3126="",E3126="!!!",F3126="NEW"),"",INDEX(J$1:J3125,SUMPRODUCT(MAX(ROW(E$1:E3125)*(E3126=E$1:E3125)))))</f>
        <v> </v>
      </c>
      <c r="L3126" s="26"/>
    </row>
    <row r="3127" spans="1:12">
      <c r="A3127" s="20" t="s">
        <v>281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 t="s">
        <v>737</v>
      </c>
      <c r="E3128" s="21">
        <f>IF(D3128="?OLD","!!!","")</f>
        <v/>
      </c>
      <c r="F3128" s="22" t="str">
        <f>IF(OR(E3128="",E3128="!!!"),"",IF(NOT(ISNA(VLOOKUP(E3128,E$1:E3127,1,FALSE()))),"OLD",IF(AND(E3128&lt;&gt;"",E3128&lt;&gt;"!!!"),"NEW","")))</f>
        <v> </v>
      </c>
      <c r="G3128" s="23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4" t="str">
        <f>IF(J3128&lt;&gt;1,"",IF(I3128="SBJ","CB","?"))</f>
        <v> </v>
      </c>
      <c r="I3128" s="25" t="str">
        <f>IF(OR(E3128="",E3128="!!!",F3128="NEW"),"",INDEX(B3127:B$2,-1+SUMPRODUCT(MAX(ROW(E3127:E$2)*(E3128=E3127:E$2)))))</f>
        <v> </v>
      </c>
      <c r="J3128" s="25" t="str">
        <f>IF(OR(E3128="",E3128="!!!",F3128="NEW"),"",COUNTBLANK(OFFSET(A$1,,,SUMPRODUCT(MAX(ROW(E$2:E3128)*(E3128=E$2:E3128)))))-COUNTBLANK(OFFSET(A$1,,,SUMPRODUCT(MAX(ROW(E$1:E3127)*(E2=E$1:E3127))))))</f>
        <v> </v>
      </c>
      <c r="K3128" s="25" t="str">
        <f>IF(OR(E3128="",E3128="!!!",F3128="NEW"),"",INDEX(J$1:J3127,SUMPRODUCT(MAX(ROW(E$1:E3127)*(E3128=E$1:E3127)))))</f>
        <v> </v>
      </c>
      <c r="L3128" s="26"/>
    </row>
    <row r="3129" spans="1:12">
      <c r="A3129" s="20" t="s">
        <v>749</v>
      </c>
      <c r="E3129" s="21">
        <f>IF(D3129="?OLD","!!!","")</f>
        <v/>
      </c>
      <c r="F3129" s="22" t="str">
        <f>IF(OR(E3129="",E3129="!!!"),"",IF(NOT(ISNA(VLOOKUP(E3129,E$1:E3128,1,FALSE()))),"OLD",IF(AND(E3129&lt;&gt;"",E3129&lt;&gt;"!!!"),"NEW","")))</f>
        <v> </v>
      </c>
      <c r="G3129" s="23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4" t="str">
        <f>IF(J3129&lt;&gt;1,"",IF(I3129="SBJ","CB","?"))</f>
        <v> </v>
      </c>
      <c r="I3129" s="25" t="str">
        <f>IF(OR(E3129="",E3129="!!!",F3129="NEW"),"",INDEX(B3128:B$2,-1+SUMPRODUCT(MAX(ROW(E3128:E$2)*(E3129=E3128:E$2)))))</f>
        <v> </v>
      </c>
      <c r="J3129" s="25" t="str">
        <f>IF(OR(E3129="",E3129="!!!",F3129="NEW"),"",COUNTBLANK(OFFSET(A$1,,,SUMPRODUCT(MAX(ROW(E$2:E3129)*(E3129=E$2:E3129)))))-COUNTBLANK(OFFSET(A$1,,,SUMPRODUCT(MAX(ROW(E$1:E3128)*(E2=E$1:E3128))))))</f>
        <v> </v>
      </c>
      <c r="K3129" s="25" t="str">
        <f>IF(OR(E3129="",E3129="!!!",F3129="NEW"),"",INDEX(J$1:J3128,SUMPRODUCT(MAX(ROW(E$1:E3128)*(E3129=E$1:E3128)))))</f>
        <v> </v>
      </c>
      <c r="L3129" s="26"/>
    </row>
    <row r="3130" spans="1:12">
      <c r="A3130" s="20" t="s">
        <v>832</v>
      </c>
      <c r="B3130" s="27" t="s">
        <v>866</v>
      </c>
      <c r="C3130" s="27" t="s">
        <v>782</v>
      </c>
      <c r="D3130" s="27" t="s">
        <v>716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1874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1872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 t="s">
        <v>1875</v>
      </c>
      <c r="E3133" s="21">
        <f>IF(D3133="?OLD","!!!","")</f>
        <v/>
      </c>
      <c r="F3133" s="22" t="str">
        <f>IF(OR(E3133="",E3133="!!!"),"",IF(NOT(ISNA(VLOOKUP(E3133,E$1:E3132,1,FALSE()))),"OLD",IF(AND(E3133&lt;&gt;"",E3133&lt;&gt;"!!!"),"NEW","")))</f>
        <v> </v>
      </c>
      <c r="G3133" s="23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4" t="str">
        <f>IF(J3133&lt;&gt;1,"",IF(I3133="SBJ","CB","?"))</f>
        <v> </v>
      </c>
      <c r="I3133" s="25" t="str">
        <f>IF(OR(E3133="",E3133="!!!",F3133="NEW"),"",INDEX(B3132:B$2,-1+SUMPRODUCT(MAX(ROW(E3132:E$2)*(E3133=E3132:E$2)))))</f>
        <v> </v>
      </c>
      <c r="J3133" s="25" t="str">
        <f>IF(OR(E3133="",E3133="!!!",F3133="NEW"),"",COUNTBLANK(OFFSET(A$1,,,SUMPRODUCT(MAX(ROW(E$2:E3133)*(E3133=E$2:E3133)))))-COUNTBLANK(OFFSET(A$1,,,SUMPRODUCT(MAX(ROW(E$1:E3132)*(E2=E$1:E3132))))))</f>
        <v> </v>
      </c>
      <c r="K3133" s="25" t="str">
        <f>IF(OR(E3133="",E3133="!!!",F3133="NEW"),"",INDEX(J$1:J3132,SUMPRODUCT(MAX(ROW(E$1:E3132)*(E3133=E$1:E3132)))))</f>
        <v> </v>
      </c>
      <c r="L3133" s="26"/>
    </row>
    <row r="3134" spans="1:12">
      <c r="A3134" s="20" t="s">
        <v>737</v>
      </c>
      <c r="E3134" s="21">
        <f>IF(D3134="?OLD","!!!","")</f>
        <v/>
      </c>
      <c r="F3134" s="22" t="str">
        <f>IF(OR(E3134="",E3134="!!!"),"",IF(NOT(ISNA(VLOOKUP(E3134,E$1:E3133,1,FALSE()))),"OLD",IF(AND(E3134&lt;&gt;"",E3134&lt;&gt;"!!!"),"NEW","")))</f>
        <v> </v>
      </c>
      <c r="G3134" s="23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4" t="str">
        <f>IF(J3134&lt;&gt;1,"",IF(I3134="SBJ","CB","?"))</f>
        <v> </v>
      </c>
      <c r="I3134" s="25" t="str">
        <f>IF(OR(E3134="",E3134="!!!",F3134="NEW"),"",INDEX(B3133:B$2,-1+SUMPRODUCT(MAX(ROW(E3133:E$2)*(E3134=E3133:E$2)))))</f>
        <v> </v>
      </c>
      <c r="J3134" s="25" t="str">
        <f>IF(OR(E3134="",E3134="!!!",F3134="NEW"),"",COUNTBLANK(OFFSET(A$1,,,SUMPRODUCT(MAX(ROW(E$2:E3134)*(E3134=E$2:E3134)))))-COUNTBLANK(OFFSET(A$1,,,SUMPRODUCT(MAX(ROW(E$1:E3133)*(E2=E$1:E3133))))))</f>
        <v> </v>
      </c>
      <c r="K3134" s="25" t="str">
        <f>IF(OR(E3134="",E3134="!!!",F3134="NEW"),"",INDEX(J$1:J3133,SUMPRODUCT(MAX(ROW(E$1:E3133)*(E3134=E$1:E3133)))))</f>
        <v> </v>
      </c>
      <c r="L3134" s="26"/>
    </row>
    <row r="3135" spans="1:12">
      <c r="A3135" s="20" t="s">
        <v>941</v>
      </c>
      <c r="E3135" s="21">
        <f>IF(D3135="?OLD","!!!","")</f>
        <v/>
      </c>
      <c r="F3135" s="22" t="str">
        <f>IF(OR(E3135="",E3135="!!!"),"",IF(NOT(ISNA(VLOOKUP(E3135,E$1:E3134,1,FALSE()))),"OLD",IF(AND(E3135&lt;&gt;"",E3135&lt;&gt;"!!!"),"NEW","")))</f>
        <v> </v>
      </c>
      <c r="G3135" s="23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4" t="str">
        <f>IF(J3135&lt;&gt;1,"",IF(I3135="SBJ","CB","?"))</f>
        <v> </v>
      </c>
      <c r="I3135" s="25" t="str">
        <f>IF(OR(E3135="",E3135="!!!",F3135="NEW"),"",INDEX(B3134:B$2,-1+SUMPRODUCT(MAX(ROW(E3134:E$2)*(E3135=E3134:E$2)))))</f>
        <v> </v>
      </c>
      <c r="J3135" s="25" t="str">
        <f>IF(OR(E3135="",E3135="!!!",F3135="NEW"),"",COUNTBLANK(OFFSET(A$1,,,SUMPRODUCT(MAX(ROW(E$2:E3135)*(E3135=E$2:E3135)))))-COUNTBLANK(OFFSET(A$1,,,SUMPRODUCT(MAX(ROW(E$1:E3134)*(E2=E$1:E3134))))))</f>
        <v> </v>
      </c>
      <c r="K3135" s="25" t="str">
        <f>IF(OR(E3135="",E3135="!!!",F3135="NEW"),"",INDEX(J$1:J3134,SUMPRODUCT(MAX(ROW(E$1:E3134)*(E3135=E$1:E3134)))))</f>
        <v> </v>
      </c>
      <c r="L3135" s="26"/>
    </row>
    <row r="3136" spans="1:12">
      <c r="A3136" s="20" t="s">
        <v>1876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1250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 t="s">
        <v>281</v>
      </c>
      <c r="E3138" s="21">
        <f>IF(D3138="?OLD","!!!","")</f>
        <v/>
      </c>
      <c r="F3138" s="22" t="str">
        <f>IF(OR(E3138="",E3138="!!!"),"",IF(NOT(ISNA(VLOOKUP(E3138,E$1:E3137,1,FALSE()))),"OLD",IF(AND(E3138&lt;&gt;"",E3138&lt;&gt;"!!!"),"NEW","")))</f>
        <v> </v>
      </c>
      <c r="G3138" s="23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4" t="str">
        <f>IF(J3138&lt;&gt;1,"",IF(I3138="SBJ","CB","?"))</f>
        <v> </v>
      </c>
      <c r="I3138" s="25" t="str">
        <f>IF(OR(E3138="",E3138="!!!",F3138="NEW"),"",INDEX(B3137:B$2,-1+SUMPRODUCT(MAX(ROW(E3137:E$2)*(E3138=E3137:E$2)))))</f>
        <v> </v>
      </c>
      <c r="J3138" s="25" t="str">
        <f>IF(OR(E3138="",E3138="!!!",F3138="NEW"),"",COUNTBLANK(OFFSET(A$1,,,SUMPRODUCT(MAX(ROW(E$2:E3138)*(E3138=E$2:E3138)))))-COUNTBLANK(OFFSET(A$1,,,SUMPRODUCT(MAX(ROW(E$1:E3137)*(E2=E$1:E3137))))))</f>
        <v> </v>
      </c>
      <c r="K3138" s="25" t="str">
        <f>IF(OR(E3138="",E3138="!!!",F3138="NEW"),"",INDEX(J$1:J3137,SUMPRODUCT(MAX(ROW(E$1:E3137)*(E3138=E$1:E3137)))))</f>
        <v> </v>
      </c>
      <c r="L3138" s="26"/>
    </row>
    <row r="3139" spans="1:12">
      <c r="A3139" s="20" t="s">
        <v>1869</v>
      </c>
      <c r="B3139" s="27" t="s">
        <v>742</v>
      </c>
      <c r="C3139" s="27" t="s">
        <v>728</v>
      </c>
      <c r="E3139" s="21">
        <f>IF(D3139="?OLD","!!!","")</f>
        <v/>
      </c>
      <c r="F3139" s="22" t="str">
        <f>IF(OR(E3139="",E3139="!!!"),"",IF(NOT(ISNA(VLOOKUP(E3139,E$1:E3138,1,FALSE()))),"OLD",IF(AND(E3139&lt;&gt;"",E3139&lt;&gt;"!!!"),"NEW","")))</f>
        <v> </v>
      </c>
      <c r="G3139" s="23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4" t="str">
        <f>IF(J3139&lt;&gt;1,"",IF(I3139="SBJ","CB","?"))</f>
        <v> </v>
      </c>
      <c r="I3139" s="25" t="str">
        <f>IF(OR(E3139="",E3139="!!!",F3139="NEW"),"",INDEX(B3138:B$2,-1+SUMPRODUCT(MAX(ROW(E3138:E$2)*(E3139=E3138:E$2)))))</f>
        <v> </v>
      </c>
      <c r="J3139" s="25" t="str">
        <f>IF(OR(E3139="",E3139="!!!",F3139="NEW"),"",COUNTBLANK(OFFSET(A$1,,,SUMPRODUCT(MAX(ROW(E$2:E3139)*(E3139=E$2:E3139)))))-COUNTBLANK(OFFSET(A$1,,,SUMPRODUCT(MAX(ROW(E$1:E3138)*(E2=E$1:E3138))))))</f>
        <v> </v>
      </c>
      <c r="K3139" s="25" t="str">
        <f>IF(OR(E3139="",E3139="!!!",F3139="NEW"),"",INDEX(J$1:J3138,SUMPRODUCT(MAX(ROW(E$1:E3138)*(E3139=E$1:E3138)))))</f>
        <v> </v>
      </c>
      <c r="L3139" s="26"/>
    </row>
    <row r="3140" spans="1:12">
      <c r="A3140" s="20" t="s">
        <v>735</v>
      </c>
      <c r="E3140" s="21">
        <f>IF(D3140="?OLD","!!!","")</f>
        <v/>
      </c>
      <c r="F3140" s="22" t="str">
        <f>IF(OR(E3140="",E3140="!!!"),"",IF(NOT(ISNA(VLOOKUP(E3140,E$1:E3139,1,FALSE()))),"OLD",IF(AND(E3140&lt;&gt;"",E3140&lt;&gt;"!!!"),"NEW","")))</f>
        <v> </v>
      </c>
      <c r="G3140" s="23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4" t="str">
        <f>IF(J3140&lt;&gt;1,"",IF(I3140="SBJ","CB","?"))</f>
        <v> </v>
      </c>
      <c r="I3140" s="25" t="str">
        <f>IF(OR(E3140="",E3140="!!!",F3140="NEW"),"",INDEX(B3139:B$2,-1+SUMPRODUCT(MAX(ROW(E3139:E$2)*(E3140=E3139:E$2)))))</f>
        <v> </v>
      </c>
      <c r="J3140" s="25" t="str">
        <f>IF(OR(E3140="",E3140="!!!",F3140="NEW"),"",COUNTBLANK(OFFSET(A$1,,,SUMPRODUCT(MAX(ROW(E$2:E3140)*(E3140=E$2:E3140)))))-COUNTBLANK(OFFSET(A$1,,,SUMPRODUCT(MAX(ROW(E$1:E3139)*(E2=E$1:E3139))))))</f>
        <v> </v>
      </c>
      <c r="K3140" s="25" t="str">
        <f>IF(OR(E3140="",E3140="!!!",F3140="NEW"),"",INDEX(J$1:J3139,SUMPRODUCT(MAX(ROW(E$1:E3139)*(E3140=E$1:E3139)))))</f>
        <v> </v>
      </c>
      <c r="L3140" s="26"/>
    </row>
    <row r="3141" spans="1:12">
      <c r="A3141" s="20" t="s">
        <v>1870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 t="s">
        <v>720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 t="s">
        <v>720</v>
      </c>
      <c r="E3143" s="21">
        <f>IF(D3143="?OLD","!!!","")</f>
        <v/>
      </c>
      <c r="F3143" s="22" t="str">
        <f>IF(OR(E3143="",E3143="!!!"),"",IF(NOT(ISNA(VLOOKUP(E3143,E$1:E3142,1,FALSE()))),"OLD",IF(AND(E3143&lt;&gt;"",E3143&lt;&gt;"!!!"),"NEW","")))</f>
        <v> </v>
      </c>
      <c r="G3143" s="23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4" t="str">
        <f>IF(J3143&lt;&gt;1,"",IF(I3143="SBJ","CB","?"))</f>
        <v> </v>
      </c>
      <c r="I3143" s="25" t="str">
        <f>IF(OR(E3143="",E3143="!!!",F3143="NEW"),"",INDEX(B3142:B$2,-1+SUMPRODUCT(MAX(ROW(E3142:E$2)*(E3143=E3142:E$2)))))</f>
        <v> </v>
      </c>
      <c r="J3143" s="25" t="str">
        <f>IF(OR(E3143="",E3143="!!!",F3143="NEW"),"",COUNTBLANK(OFFSET(A$1,,,SUMPRODUCT(MAX(ROW(E$2:E3143)*(E3143=E$2:E3143)))))-COUNTBLANK(OFFSET(A$1,,,SUMPRODUCT(MAX(ROW(E$1:E3142)*(E2=E$1:E3142))))))</f>
        <v> </v>
      </c>
      <c r="K3143" s="25" t="str">
        <f>IF(OR(E3143="",E3143="!!!",F3143="NEW"),"",INDEX(J$1:J3142,SUMPRODUCT(MAX(ROW(E$1:E3142)*(E3143=E$1:E3142)))))</f>
        <v> </v>
      </c>
      <c r="L3143" s="26"/>
    </row>
    <row r="3144" spans="1:12">
      <c r="A3144" s="20" t="s">
        <v>720</v>
      </c>
      <c r="E3144" s="21">
        <f>IF(D3144="?OLD","!!!","")</f>
        <v/>
      </c>
      <c r="F3144" s="22" t="str">
        <f>IF(OR(E3144="",E3144="!!!"),"",IF(NOT(ISNA(VLOOKUP(E3144,E$1:E3143,1,FALSE()))),"OLD",IF(AND(E3144&lt;&gt;"",E3144&lt;&gt;"!!!"),"NEW","")))</f>
        <v> </v>
      </c>
      <c r="G3144" s="23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4" t="str">
        <f>IF(J3144&lt;&gt;1,"",IF(I3144="SBJ","CB","?"))</f>
        <v> </v>
      </c>
      <c r="I3144" s="25" t="str">
        <f>IF(OR(E3144="",E3144="!!!",F3144="NEW"),"",INDEX(B3143:B$2,-1+SUMPRODUCT(MAX(ROW(E3143:E$2)*(E3144=E3143:E$2)))))</f>
        <v> </v>
      </c>
      <c r="J3144" s="25" t="str">
        <f>IF(OR(E3144="",E3144="!!!",F3144="NEW"),"",COUNTBLANK(OFFSET(A$1,,,SUMPRODUCT(MAX(ROW(E$2:E3144)*(E3144=E$2:E3144)))))-COUNTBLANK(OFFSET(A$1,,,SUMPRODUCT(MAX(ROW(E$1:E3143)*(E2=E$1:E3143))))))</f>
        <v> </v>
      </c>
      <c r="K3144" s="25" t="str">
        <f>IF(OR(E3144="",E3144="!!!",F3144="NEW"),"",INDEX(J$1:J3143,SUMPRODUCT(MAX(ROW(E$1:E3143)*(E3144=E$1:E3143)))))</f>
        <v> </v>
      </c>
      <c r="L3144" s="26"/>
    </row>
    <row r="3145" spans="1:12">
      <c r="A3145" s="20"/>
    </row>
    <row r="3146" spans="1:12">
      <c r="A3146" s="20" t="s">
        <v>1877</v>
      </c>
    </row>
    <row r="3147" spans="1:12">
      <c r="A3147" s="20" t="s">
        <v>1878</v>
      </c>
      <c r="E3147" s="21">
        <f>IF(D3147="?OLD","!!!","")</f>
        <v/>
      </c>
      <c r="F3147" s="22" t="str">
        <f>IF(OR(E3147="",E3147="!!!"),"",IF(NOT(ISNA(VLOOKUP(E3147,E$1:E3146,1,FALSE()))),"OLD",IF(AND(E3147&lt;&gt;"",E3147&lt;&gt;"!!!"),"NEW","")))</f>
        <v> </v>
      </c>
      <c r="G3147" s="23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4" t="str">
        <f>IF(J3147&lt;&gt;1,"",IF(I3147="SBJ","CB","?"))</f>
        <v> </v>
      </c>
      <c r="I3147" s="25" t="str">
        <f>IF(OR(E3147="",E3147="!!!",F3147="NEW"),"",INDEX(B3146:B$2,-1+SUMPRODUCT(MAX(ROW(E3146:E$2)*(E3147=E3146:E$2)))))</f>
        <v> </v>
      </c>
      <c r="J3147" s="25" t="str">
        <f>IF(OR(E3147="",E3147="!!!",F3147="NEW"),"",COUNTBLANK(OFFSET(A$1,,,SUMPRODUCT(MAX(ROW(E$2:E3147)*(E3147=E$2:E3147)))))-COUNTBLANK(OFFSET(A$1,,,SUMPRODUCT(MAX(ROW(E$1:E3146)*(E2=E$1:E3146))))))</f>
        <v> </v>
      </c>
      <c r="K3147" s="25" t="str">
        <f>IF(OR(E3147="",E3147="!!!",F3147="NEW"),"",INDEX(J$1:J3146,SUMPRODUCT(MAX(ROW(E$1:E3146)*(E3147=E$1:E3146)))))</f>
        <v> </v>
      </c>
      <c r="L3147" s="26"/>
    </row>
    <row r="3148" spans="1:12">
      <c r="A3148" s="20" t="s">
        <v>888</v>
      </c>
      <c r="E3148" s="21">
        <f>IF(D3148="?OLD","!!!","")</f>
        <v/>
      </c>
      <c r="F3148" s="22" t="str">
        <f>IF(OR(E3148="",E3148="!!!"),"",IF(NOT(ISNA(VLOOKUP(E3148,E$1:E3147,1,FALSE()))),"OLD",IF(AND(E3148&lt;&gt;"",E3148&lt;&gt;"!!!"),"NEW","")))</f>
        <v> </v>
      </c>
      <c r="G3148" s="23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4" t="str">
        <f>IF(J3148&lt;&gt;1,"",IF(I3148="SBJ","CB","?"))</f>
        <v> </v>
      </c>
      <c r="I3148" s="25" t="str">
        <f>IF(OR(E3148="",E3148="!!!",F3148="NEW"),"",INDEX(B3147:B$2,-1+SUMPRODUCT(MAX(ROW(E3147:E$2)*(E3148=E3147:E$2)))))</f>
        <v> </v>
      </c>
      <c r="J3148" s="25" t="str">
        <f>IF(OR(E3148="",E3148="!!!",F3148="NEW"),"",COUNTBLANK(OFFSET(A$1,,,SUMPRODUCT(MAX(ROW(E$2:E3148)*(E3148=E$2:E3148)))))-COUNTBLANK(OFFSET(A$1,,,SUMPRODUCT(MAX(ROW(E$1:E3147)*(E2=E$1:E3147))))))</f>
        <v> </v>
      </c>
      <c r="K3148" s="25" t="str">
        <f>IF(OR(E3148="",E3148="!!!",F3148="NEW"),"",INDEX(J$1:J3147,SUMPRODUCT(MAX(ROW(E$1:E3147)*(E3148=E$1:E3147)))))</f>
        <v> </v>
      </c>
      <c r="L3148" s="26"/>
    </row>
    <row r="3149" spans="1:12">
      <c r="A3149" s="20" t="s">
        <v>1868</v>
      </c>
      <c r="E3149" s="21">
        <f>IF(D3149="?OLD","!!!","")</f>
        <v/>
      </c>
      <c r="F3149" s="22" t="str">
        <f>IF(OR(E3149="",E3149="!!!"),"",IF(NOT(ISNA(VLOOKUP(E3149,E$1:E3148,1,FALSE()))),"OLD",IF(AND(E3149&lt;&gt;"",E3149&lt;&gt;"!!!"),"NEW","")))</f>
        <v> </v>
      </c>
      <c r="G3149" s="23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4" t="str">
        <f>IF(J3149&lt;&gt;1,"",IF(I3149="SBJ","CB","?"))</f>
        <v> </v>
      </c>
      <c r="I3149" s="25" t="str">
        <f>IF(OR(E3149="",E3149="!!!",F3149="NEW"),"",INDEX(B3148:B$2,-1+SUMPRODUCT(MAX(ROW(E3148:E$2)*(E3149=E3148:E$2)))))</f>
        <v> </v>
      </c>
      <c r="J3149" s="25" t="str">
        <f>IF(OR(E3149="",E3149="!!!",F3149="NEW"),"",COUNTBLANK(OFFSET(A$1,,,SUMPRODUCT(MAX(ROW(E$2:E3149)*(E3149=E$2:E3149)))))-COUNTBLANK(OFFSET(A$1,,,SUMPRODUCT(MAX(ROW(E$1:E3148)*(E2=E$1:E3148))))))</f>
        <v> </v>
      </c>
      <c r="K3149" s="25" t="str">
        <f>IF(OR(E3149="",E3149="!!!",F3149="NEW"),"",INDEX(J$1:J3148,SUMPRODUCT(MAX(ROW(E$1:E3148)*(E3149=E$1:E3148)))))</f>
        <v> </v>
      </c>
      <c r="L3149" s="26"/>
    </row>
    <row r="3150" spans="1:12">
      <c r="A3150" s="20" t="s">
        <v>720</v>
      </c>
      <c r="E3150" s="21">
        <f>IF(D3150="?OLD","!!!","")</f>
        <v/>
      </c>
      <c r="F3150" s="22" t="str">
        <f>IF(OR(E3150="",E3150="!!!"),"",IF(NOT(ISNA(VLOOKUP(E3150,E$1:E3149,1,FALSE()))),"OLD",IF(AND(E3150&lt;&gt;"",E3150&lt;&gt;"!!!"),"NEW","")))</f>
        <v> </v>
      </c>
      <c r="G3150" s="23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4" t="str">
        <f>IF(J3150&lt;&gt;1,"",IF(I3150="SBJ","CB","?"))</f>
        <v> </v>
      </c>
      <c r="I3150" s="25" t="str">
        <f>IF(OR(E3150="",E3150="!!!",F3150="NEW"),"",INDEX(B3149:B$2,-1+SUMPRODUCT(MAX(ROW(E3149:E$2)*(E3150=E3149:E$2)))))</f>
        <v> </v>
      </c>
      <c r="J3150" s="25" t="str">
        <f>IF(OR(E3150="",E3150="!!!",F3150="NEW"),"",COUNTBLANK(OFFSET(A$1,,,SUMPRODUCT(MAX(ROW(E$2:E3150)*(E3150=E$2:E3150)))))-COUNTBLANK(OFFSET(A$1,,,SUMPRODUCT(MAX(ROW(E$1:E3149)*(E2=E$1:E3149))))))</f>
        <v> </v>
      </c>
      <c r="K3150" s="25" t="str">
        <f>IF(OR(E3150="",E3150="!!!",F3150="NEW"),"",INDEX(J$1:J3149,SUMPRODUCT(MAX(ROW(E$1:E3149)*(E3150=E$1:E3149)))))</f>
        <v> </v>
      </c>
      <c r="L3150" s="26"/>
    </row>
    <row r="3151" spans="1:12">
      <c r="A3151" s="20"/>
    </row>
    <row r="3152" spans="1:12">
      <c r="A3152" s="20" t="s">
        <v>1879</v>
      </c>
    </row>
    <row r="3153" spans="1:12">
      <c r="A3153" s="20" t="s">
        <v>1880</v>
      </c>
      <c r="B3153" s="27" t="s">
        <v>781</v>
      </c>
      <c r="C3153" s="27" t="s">
        <v>1060</v>
      </c>
      <c r="D3153" s="27" t="s">
        <v>716</v>
      </c>
      <c r="E3153" s="21">
        <f>IF(D3153="?OLD","!!!","")</f>
        <v/>
      </c>
      <c r="F3153" s="22" t="str">
        <f>IF(OR(E3153="",E3153="!!!"),"",IF(NOT(ISNA(VLOOKUP(E3153,E$1:E3152,1,FALSE()))),"OLD",IF(AND(E3153&lt;&gt;"",E3153&lt;&gt;"!!!"),"NEW","")))</f>
        <v> </v>
      </c>
      <c r="G3153" s="23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4" t="str">
        <f>IF(J3153&lt;&gt;1,"",IF(I3153="SBJ","CB","?"))</f>
        <v> </v>
      </c>
      <c r="I3153" s="25" t="str">
        <f>IF(OR(E3153="",E3153="!!!",F3153="NEW"),"",INDEX(B3152:B$2,-1+SUMPRODUCT(MAX(ROW(E3152:E$2)*(E3153=E3152:E$2)))))</f>
        <v> </v>
      </c>
      <c r="J3153" s="25" t="str">
        <f>IF(OR(E3153="",E3153="!!!",F3153="NEW"),"",COUNTBLANK(OFFSET(A$1,,,SUMPRODUCT(MAX(ROW(E$2:E3153)*(E3153=E$2:E3153)))))-COUNTBLANK(OFFSET(A$1,,,SUMPRODUCT(MAX(ROW(E$1:E3152)*(E2=E$1:E3152))))))</f>
        <v> </v>
      </c>
      <c r="K3153" s="25" t="str">
        <f>IF(OR(E3153="",E3153="!!!",F3153="NEW"),"",INDEX(J$1:J3152,SUMPRODUCT(MAX(ROW(E$1:E3152)*(E3153=E$1:E3152)))))</f>
        <v> </v>
      </c>
      <c r="L3153" s="26"/>
    </row>
    <row r="3154" spans="1:12">
      <c r="A3154" s="20" t="s">
        <v>888</v>
      </c>
      <c r="E3154" s="21">
        <f>IF(D3154="?OLD","!!!","")</f>
        <v/>
      </c>
      <c r="F3154" s="22" t="str">
        <f>IF(OR(E3154="",E3154="!!!"),"",IF(NOT(ISNA(VLOOKUP(E3154,E$1:E3153,1,FALSE()))),"OLD",IF(AND(E3154&lt;&gt;"",E3154&lt;&gt;"!!!"),"NEW","")))</f>
        <v> </v>
      </c>
      <c r="G3154" s="23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4" t="str">
        <f>IF(J3154&lt;&gt;1,"",IF(I3154="SBJ","CB","?"))</f>
        <v> </v>
      </c>
      <c r="I3154" s="25" t="str">
        <f>IF(OR(E3154="",E3154="!!!",F3154="NEW"),"",INDEX(B3153:B$2,-1+SUMPRODUCT(MAX(ROW(E3153:E$2)*(E3154=E3153:E$2)))))</f>
        <v> </v>
      </c>
      <c r="J3154" s="25" t="str">
        <f>IF(OR(E3154="",E3154="!!!",F3154="NEW"),"",COUNTBLANK(OFFSET(A$1,,,SUMPRODUCT(MAX(ROW(E$2:E3154)*(E3154=E$2:E3154)))))-COUNTBLANK(OFFSET(A$1,,,SUMPRODUCT(MAX(ROW(E$1:E3153)*(E2=E$1:E3153))))))</f>
        <v> </v>
      </c>
      <c r="K3154" s="25" t="str">
        <f>IF(OR(E3154="",E3154="!!!",F3154="NEW"),"",INDEX(J$1:J3153,SUMPRODUCT(MAX(ROW(E$1:E3153)*(E3154=E$1:E3153)))))</f>
        <v> </v>
      </c>
      <c r="L3154" s="26"/>
    </row>
    <row r="3155" spans="1:12">
      <c r="A3155" s="20" t="s">
        <v>1868</v>
      </c>
      <c r="E3155" s="21">
        <f>IF(D3155="?OLD","!!!","")</f>
        <v/>
      </c>
      <c r="F3155" s="22" t="str">
        <f>IF(OR(E3155="",E3155="!!!"),"",IF(NOT(ISNA(VLOOKUP(E3155,E$1:E3154,1,FALSE()))),"OLD",IF(AND(E3155&lt;&gt;"",E3155&lt;&gt;"!!!"),"NEW","")))</f>
        <v> </v>
      </c>
      <c r="G3155" s="23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4" t="str">
        <f>IF(J3155&lt;&gt;1,"",IF(I3155="SBJ","CB","?"))</f>
        <v> </v>
      </c>
      <c r="I3155" s="25" t="str">
        <f>IF(OR(E3155="",E3155="!!!",F3155="NEW"),"",INDEX(B3154:B$2,-1+SUMPRODUCT(MAX(ROW(E3154:E$2)*(E3155=E3154:E$2)))))</f>
        <v> </v>
      </c>
      <c r="J3155" s="25" t="str">
        <f>IF(OR(E3155="",E3155="!!!",F3155="NEW"),"",COUNTBLANK(OFFSET(A$1,,,SUMPRODUCT(MAX(ROW(E$2:E3155)*(E3155=E$2:E3155)))))-COUNTBLANK(OFFSET(A$1,,,SUMPRODUCT(MAX(ROW(E$1:E3154)*(E2=E$1:E3154))))))</f>
        <v> </v>
      </c>
      <c r="K3155" s="25" t="str">
        <f>IF(OR(E3155="",E3155="!!!",F3155="NEW"),"",INDEX(J$1:J3154,SUMPRODUCT(MAX(ROW(E$1:E3154)*(E3155=E$1:E3154)))))</f>
        <v> </v>
      </c>
      <c r="L3155" s="26"/>
    </row>
    <row r="3156" spans="1:12">
      <c r="A3156" s="20" t="s">
        <v>720</v>
      </c>
      <c r="E3156" s="21">
        <f>IF(D3156="?OLD","!!!","")</f>
        <v/>
      </c>
      <c r="F3156" s="22" t="str">
        <f>IF(OR(E3156="",E3156="!!!"),"",IF(NOT(ISNA(VLOOKUP(E3156,E$1:E3155,1,FALSE()))),"OLD",IF(AND(E3156&lt;&gt;"",E3156&lt;&gt;"!!!"),"NEW","")))</f>
        <v> </v>
      </c>
      <c r="G3156" s="23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4" t="str">
        <f>IF(J3156&lt;&gt;1,"",IF(I3156="SBJ","CB","?"))</f>
        <v> </v>
      </c>
      <c r="I3156" s="25" t="str">
        <f>IF(OR(E3156="",E3156="!!!",F3156="NEW"),"",INDEX(B3155:B$2,-1+SUMPRODUCT(MAX(ROW(E3155:E$2)*(E3156=E3155:E$2)))))</f>
        <v> </v>
      </c>
      <c r="J3156" s="25" t="str">
        <f>IF(OR(E3156="",E3156="!!!",F3156="NEW"),"",COUNTBLANK(OFFSET(A$1,,,SUMPRODUCT(MAX(ROW(E$2:E3156)*(E3156=E$2:E3156)))))-COUNTBLANK(OFFSET(A$1,,,SUMPRODUCT(MAX(ROW(E$1:E3155)*(E2=E$1:E3155))))))</f>
        <v> </v>
      </c>
      <c r="K3156" s="25" t="str">
        <f>IF(OR(E3156="",E3156="!!!",F3156="NEW"),"",INDEX(J$1:J3155,SUMPRODUCT(MAX(ROW(E$1:E3155)*(E3156=E$1:E3155)))))</f>
        <v> </v>
      </c>
      <c r="L3156" s="26"/>
    </row>
    <row r="3157" spans="1:12">
      <c r="A3157" s="20"/>
    </row>
    <row r="3158" spans="1:12">
      <c r="A3158" s="20" t="s">
        <v>1881</v>
      </c>
    </row>
    <row r="3159" spans="1:12">
      <c r="A3159" s="20" t="s">
        <v>1868</v>
      </c>
      <c r="E3159" s="21">
        <f>IF(D3159="?OLD","!!!","")</f>
        <v/>
      </c>
      <c r="F3159" s="22" t="str">
        <f>IF(OR(E3159="",E3159="!!!"),"",IF(NOT(ISNA(VLOOKUP(E3159,E$1:E3158,1,FALSE()))),"OLD",IF(AND(E3159&lt;&gt;"",E3159&lt;&gt;"!!!"),"NEW","")))</f>
        <v> </v>
      </c>
      <c r="G3159" s="23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4" t="str">
        <f>IF(J3159&lt;&gt;1,"",IF(I3159="SBJ","CB","?"))</f>
        <v> </v>
      </c>
      <c r="I3159" s="25" t="str">
        <f>IF(OR(E3159="",E3159="!!!",F3159="NEW"),"",INDEX(B3158:B$2,-1+SUMPRODUCT(MAX(ROW(E3158:E$2)*(E3159=E3158:E$2)))))</f>
        <v> </v>
      </c>
      <c r="J3159" s="25" t="str">
        <f>IF(OR(E3159="",E3159="!!!",F3159="NEW"),"",COUNTBLANK(OFFSET(A$1,,,SUMPRODUCT(MAX(ROW(E$2:E3159)*(E3159=E$2:E3159)))))-COUNTBLANK(OFFSET(A$1,,,SUMPRODUCT(MAX(ROW(E$1:E3158)*(E2=E$1:E3158))))))</f>
        <v> </v>
      </c>
      <c r="K3159" s="25" t="str">
        <f>IF(OR(E3159="",E3159="!!!",F3159="NEW"),"",INDEX(J$1:J3158,SUMPRODUCT(MAX(ROW(E$1:E3158)*(E3159=E$1:E3158)))))</f>
        <v> </v>
      </c>
      <c r="L3159" s="26"/>
    </row>
    <row r="3160" spans="1:12">
      <c r="A3160" s="20" t="s">
        <v>1869</v>
      </c>
      <c r="B3160" s="27" t="s">
        <v>781</v>
      </c>
      <c r="C3160" s="27" t="s">
        <v>728</v>
      </c>
      <c r="E3160" s="21">
        <f>IF(D3160="?OLD","!!!","")</f>
        <v/>
      </c>
      <c r="F3160" s="22" t="str">
        <f>IF(OR(E3160="",E3160="!!!"),"",IF(NOT(ISNA(VLOOKUP(E3160,E$1:E3159,1,FALSE()))),"OLD",IF(AND(E3160&lt;&gt;"",E3160&lt;&gt;"!!!"),"NEW","")))</f>
        <v> </v>
      </c>
      <c r="G3160" s="23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4" t="str">
        <f>IF(J3160&lt;&gt;1,"",IF(I3160="SBJ","CB","?"))</f>
        <v> </v>
      </c>
      <c r="I3160" s="25" t="str">
        <f>IF(OR(E3160="",E3160="!!!",F3160="NEW"),"",INDEX(B3159:B$2,-1+SUMPRODUCT(MAX(ROW(E3159:E$2)*(E3160=E3159:E$2)))))</f>
        <v> </v>
      </c>
      <c r="J3160" s="25" t="str">
        <f>IF(OR(E3160="",E3160="!!!",F3160="NEW"),"",COUNTBLANK(OFFSET(A$1,,,SUMPRODUCT(MAX(ROW(E$2:E3160)*(E3160=E$2:E3160)))))-COUNTBLANK(OFFSET(A$1,,,SUMPRODUCT(MAX(ROW(E$1:E3159)*(E2=E$1:E3159))))))</f>
        <v> </v>
      </c>
      <c r="K3160" s="25" t="str">
        <f>IF(OR(E3160="",E3160="!!!",F3160="NEW"),"",INDEX(J$1:J3159,SUMPRODUCT(MAX(ROW(E$1:E3159)*(E3160=E$1:E3159)))))</f>
        <v> </v>
      </c>
      <c r="L3160" s="26"/>
    </row>
    <row r="3161" spans="1:12">
      <c r="A3161" s="20" t="s">
        <v>735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1870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737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1763</v>
      </c>
      <c r="B3164" s="27" t="s">
        <v>745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 t="s">
        <v>1882</v>
      </c>
      <c r="E3165" s="21">
        <f>IF(D3165="?OLD","!!!","")</f>
        <v/>
      </c>
      <c r="F3165" s="22" t="str">
        <f>IF(OR(E3165="",E3165="!!!"),"",IF(NOT(ISNA(VLOOKUP(E3165,E$1:E3164,1,FALSE()))),"OLD",IF(AND(E3165&lt;&gt;"",E3165&lt;&gt;"!!!"),"NEW","")))</f>
        <v> </v>
      </c>
      <c r="G3165" s="23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4" t="str">
        <f>IF(J3165&lt;&gt;1,"",IF(I3165="SBJ","CB","?"))</f>
        <v> </v>
      </c>
      <c r="I3165" s="25" t="str">
        <f>IF(OR(E3165="",E3165="!!!",F3165="NEW"),"",INDEX(B3164:B$2,-1+SUMPRODUCT(MAX(ROW(E3164:E$2)*(E3165=E3164:E$2)))))</f>
        <v> </v>
      </c>
      <c r="J3165" s="25" t="str">
        <f>IF(OR(E3165="",E3165="!!!",F3165="NEW"),"",COUNTBLANK(OFFSET(A$1,,,SUMPRODUCT(MAX(ROW(E$2:E3165)*(E3165=E$2:E3165)))))-COUNTBLANK(OFFSET(A$1,,,SUMPRODUCT(MAX(ROW(E$1:E3164)*(E2=E$1:E3164))))))</f>
        <v> </v>
      </c>
      <c r="K3165" s="25" t="str">
        <f>IF(OR(E3165="",E3165="!!!",F3165="NEW"),"",INDEX(J$1:J3164,SUMPRODUCT(MAX(ROW(E$1:E3164)*(E3165=E$1:E3164)))))</f>
        <v> </v>
      </c>
      <c r="L3165" s="26"/>
    </row>
    <row r="3166" spans="1:12">
      <c r="A3166" s="20" t="s">
        <v>737</v>
      </c>
      <c r="E3166" s="21">
        <f>IF(D3166="?OLD","!!!","")</f>
        <v/>
      </c>
      <c r="F3166" s="22" t="str">
        <f>IF(OR(E3166="",E3166="!!!"),"",IF(NOT(ISNA(VLOOKUP(E3166,E$1:E3165,1,FALSE()))),"OLD",IF(AND(E3166&lt;&gt;"",E3166&lt;&gt;"!!!"),"NEW","")))</f>
        <v> </v>
      </c>
      <c r="G3166" s="23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4" t="str">
        <f>IF(J3166&lt;&gt;1,"",IF(I3166="SBJ","CB","?"))</f>
        <v> </v>
      </c>
      <c r="I3166" s="25" t="str">
        <f>IF(OR(E3166="",E3166="!!!",F3166="NEW"),"",INDEX(B3165:B$2,-1+SUMPRODUCT(MAX(ROW(E3165:E$2)*(E3166=E3165:E$2)))))</f>
        <v> </v>
      </c>
      <c r="J3166" s="25" t="str">
        <f>IF(OR(E3166="",E3166="!!!",F3166="NEW"),"",COUNTBLANK(OFFSET(A$1,,,SUMPRODUCT(MAX(ROW(E$2:E3166)*(E3166=E$2:E3166)))))-COUNTBLANK(OFFSET(A$1,,,SUMPRODUCT(MAX(ROW(E$1:E3165)*(E2=E$1:E3165))))))</f>
        <v> </v>
      </c>
      <c r="K3166" s="25" t="str">
        <f>IF(OR(E3166="",E3166="!!!",F3166="NEW"),"",INDEX(J$1:J3165,SUMPRODUCT(MAX(ROW(E$1:E3165)*(E3166=E$1:E3165)))))</f>
        <v> </v>
      </c>
      <c r="L3166" s="26"/>
    </row>
    <row r="3167" spans="1:12">
      <c r="A3167" s="20" t="s">
        <v>743</v>
      </c>
      <c r="E3167" s="21">
        <f>IF(D3167="?OLD","!!!","")</f>
        <v/>
      </c>
      <c r="F3167" s="22" t="str">
        <f>IF(OR(E3167="",E3167="!!!"),"",IF(NOT(ISNA(VLOOKUP(E3167,E$1:E3166,1,FALSE()))),"OLD",IF(AND(E3167&lt;&gt;"",E3167&lt;&gt;"!!!"),"NEW","")))</f>
        <v> </v>
      </c>
      <c r="G3167" s="23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4" t="str">
        <f>IF(J3167&lt;&gt;1,"",IF(I3167="SBJ","CB","?"))</f>
        <v> </v>
      </c>
      <c r="I3167" s="25" t="str">
        <f>IF(OR(E3167="",E3167="!!!",F3167="NEW"),"",INDEX(B3166:B$2,-1+SUMPRODUCT(MAX(ROW(E3166:E$2)*(E3167=E3166:E$2)))))</f>
        <v> </v>
      </c>
      <c r="J3167" s="25" t="str">
        <f>IF(OR(E3167="",E3167="!!!",F3167="NEW"),"",COUNTBLANK(OFFSET(A$1,,,SUMPRODUCT(MAX(ROW(E$2:E3167)*(E3167=E$2:E3167)))))-COUNTBLANK(OFFSET(A$1,,,SUMPRODUCT(MAX(ROW(E$1:E3166)*(E2=E$1:E3166))))))</f>
        <v> </v>
      </c>
      <c r="K3167" s="25" t="str">
        <f>IF(OR(E3167="",E3167="!!!",F3167="NEW"),"",INDEX(J$1:J3166,SUMPRODUCT(MAX(ROW(E$1:E3166)*(E3167=E$1:E3166)))))</f>
        <v> </v>
      </c>
      <c r="L3167" s="26"/>
    </row>
    <row r="3168" spans="1:12">
      <c r="A3168" s="20" t="s">
        <v>868</v>
      </c>
      <c r="E3168" s="21">
        <f>IF(D3168="?OLD","!!!","")</f>
        <v/>
      </c>
      <c r="F3168" s="22" t="str">
        <f>IF(OR(E3168="",E3168="!!!"),"",IF(NOT(ISNA(VLOOKUP(E3168,E$1:E3167,1,FALSE()))),"OLD",IF(AND(E3168&lt;&gt;"",E3168&lt;&gt;"!!!"),"NEW","")))</f>
        <v> </v>
      </c>
      <c r="G3168" s="23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4" t="str">
        <f>IF(J3168&lt;&gt;1,"",IF(I3168="SBJ","CB","?"))</f>
        <v> </v>
      </c>
      <c r="I3168" s="25" t="str">
        <f>IF(OR(E3168="",E3168="!!!",F3168="NEW"),"",INDEX(B3167:B$2,-1+SUMPRODUCT(MAX(ROW(E3167:E$2)*(E3168=E3167:E$2)))))</f>
        <v> </v>
      </c>
      <c r="J3168" s="25" t="str">
        <f>IF(OR(E3168="",E3168="!!!",F3168="NEW"),"",COUNTBLANK(OFFSET(A$1,,,SUMPRODUCT(MAX(ROW(E$2:E3168)*(E3168=E$2:E3168)))))-COUNTBLANK(OFFSET(A$1,,,SUMPRODUCT(MAX(ROW(E$1:E3167)*(E2=E$1:E3167))))))</f>
        <v> </v>
      </c>
      <c r="K3168" s="25" t="str">
        <f>IF(OR(E3168="",E3168="!!!",F3168="NEW"),"",INDEX(J$1:J3167,SUMPRODUCT(MAX(ROW(E$1:E3167)*(E3168=E$1:E3167)))))</f>
        <v> </v>
      </c>
      <c r="L3168" s="26"/>
    </row>
    <row r="3169" spans="1:12">
      <c r="A3169" s="20" t="s">
        <v>1883</v>
      </c>
      <c r="E3169" s="21">
        <f>IF(D3169="?OLD","!!!","")</f>
        <v/>
      </c>
      <c r="F3169" s="22" t="str">
        <f>IF(OR(E3169="",E3169="!!!"),"",IF(NOT(ISNA(VLOOKUP(E3169,E$1:E3168,1,FALSE()))),"OLD",IF(AND(E3169&lt;&gt;"",E3169&lt;&gt;"!!!"),"NEW","")))</f>
        <v> </v>
      </c>
      <c r="G3169" s="23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4" t="str">
        <f>IF(J3169&lt;&gt;1,"",IF(I3169="SBJ","CB","?"))</f>
        <v> </v>
      </c>
      <c r="I3169" s="25" t="str">
        <f>IF(OR(E3169="",E3169="!!!",F3169="NEW"),"",INDEX(B3168:B$2,-1+SUMPRODUCT(MAX(ROW(E3168:E$2)*(E3169=E3168:E$2)))))</f>
        <v> </v>
      </c>
      <c r="J3169" s="25" t="str">
        <f>IF(OR(E3169="",E3169="!!!",F3169="NEW"),"",COUNTBLANK(OFFSET(A$1,,,SUMPRODUCT(MAX(ROW(E$2:E3169)*(E3169=E$2:E3169)))))-COUNTBLANK(OFFSET(A$1,,,SUMPRODUCT(MAX(ROW(E$1:E3168)*(E2=E$1:E3168))))))</f>
        <v> </v>
      </c>
      <c r="K3169" s="25" t="str">
        <f>IF(OR(E3169="",E3169="!!!",F3169="NEW"),"",INDEX(J$1:J3168,SUMPRODUCT(MAX(ROW(E$1:E3168)*(E3169=E$1:E3168)))))</f>
        <v> </v>
      </c>
      <c r="L3169" s="26"/>
    </row>
    <row r="3170" spans="1:12">
      <c r="A3170" s="20" t="s">
        <v>906</v>
      </c>
      <c r="B3170" s="27" t="s">
        <v>745</v>
      </c>
      <c r="C3170" s="27" t="s">
        <v>715</v>
      </c>
      <c r="D3170" s="27" t="s">
        <v>716</v>
      </c>
      <c r="E3170" s="21">
        <f>IF(D3170="?OLD","!!!","")</f>
        <v/>
      </c>
      <c r="F3170" s="22" t="str">
        <f>IF(OR(E3170="",E3170="!!!"),"",IF(NOT(ISNA(VLOOKUP(E3170,E$1:E3169,1,FALSE()))),"OLD",IF(AND(E3170&lt;&gt;"",E3170&lt;&gt;"!!!"),"NEW","")))</f>
        <v> </v>
      </c>
      <c r="G3170" s="23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4" t="str">
        <f>IF(J3170&lt;&gt;1,"",IF(I3170="SBJ","CB","?"))</f>
        <v> </v>
      </c>
      <c r="I3170" s="25" t="str">
        <f>IF(OR(E3170="",E3170="!!!",F3170="NEW"),"",INDEX(B3169:B$2,-1+SUMPRODUCT(MAX(ROW(E3169:E$2)*(E3170=E3169:E$2)))))</f>
        <v> </v>
      </c>
      <c r="J3170" s="25" t="str">
        <f>IF(OR(E3170="",E3170="!!!",F3170="NEW"),"",COUNTBLANK(OFFSET(A$1,,,SUMPRODUCT(MAX(ROW(E$2:E3170)*(E3170=E$2:E3170)))))-COUNTBLANK(OFFSET(A$1,,,SUMPRODUCT(MAX(ROW(E$1:E3169)*(E2=E$1:E3169))))))</f>
        <v> </v>
      </c>
      <c r="K3170" s="25" t="str">
        <f>IF(OR(E3170="",E3170="!!!",F3170="NEW"),"",INDEX(J$1:J3169,SUMPRODUCT(MAX(ROW(E$1:E3169)*(E3170=E$1:E3169)))))</f>
        <v> </v>
      </c>
      <c r="L3170" s="26"/>
    </row>
    <row r="3171" spans="1:12">
      <c r="A3171" s="20" t="s">
        <v>737</v>
      </c>
      <c r="E3171" s="21">
        <f>IF(D3171="?OLD","!!!","")</f>
        <v/>
      </c>
      <c r="F3171" s="22" t="str">
        <f>IF(OR(E3171="",E3171="!!!"),"",IF(NOT(ISNA(VLOOKUP(E3171,E$1:E3170,1,FALSE()))),"OLD",IF(AND(E3171&lt;&gt;"",E3171&lt;&gt;"!!!"),"NEW","")))</f>
        <v> </v>
      </c>
      <c r="G3171" s="23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4" t="str">
        <f>IF(J3171&lt;&gt;1,"",IF(I3171="SBJ","CB","?"))</f>
        <v> </v>
      </c>
      <c r="I3171" s="25" t="str">
        <f>IF(OR(E3171="",E3171="!!!",F3171="NEW"),"",INDEX(B3170:B$2,-1+SUMPRODUCT(MAX(ROW(E3170:E$2)*(E3171=E3170:E$2)))))</f>
        <v> </v>
      </c>
      <c r="J3171" s="25" t="str">
        <f>IF(OR(E3171="",E3171="!!!",F3171="NEW"),"",COUNTBLANK(OFFSET(A$1,,,SUMPRODUCT(MAX(ROW(E$2:E3171)*(E3171=E$2:E3171)))))-COUNTBLANK(OFFSET(A$1,,,SUMPRODUCT(MAX(ROW(E$1:E3170)*(E2=E$1:E3170))))))</f>
        <v> </v>
      </c>
      <c r="K3171" s="25" t="str">
        <f>IF(OR(E3171="",E3171="!!!",F3171="NEW"),"",INDEX(J$1:J3170,SUMPRODUCT(MAX(ROW(E$1:E3170)*(E3171=E$1:E3170)))))</f>
        <v> </v>
      </c>
      <c r="L3171" s="26"/>
    </row>
    <row r="3172" spans="1:12">
      <c r="A3172" s="20" t="s">
        <v>1884</v>
      </c>
      <c r="B3172" s="27" t="s">
        <v>768</v>
      </c>
      <c r="C3172" s="27" t="s">
        <v>782</v>
      </c>
      <c r="D3172" s="27" t="s">
        <v>716</v>
      </c>
      <c r="E3172" s="21">
        <f>IF(D3172="?OLD","!!!","")</f>
        <v/>
      </c>
      <c r="F3172" s="22" t="str">
        <f>IF(OR(E3172="",E3172="!!!"),"",IF(NOT(ISNA(VLOOKUP(E3172,E$1:E3171,1,FALSE()))),"OLD",IF(AND(E3172&lt;&gt;"",E3172&lt;&gt;"!!!"),"NEW","")))</f>
        <v> </v>
      </c>
      <c r="G3172" s="23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4" t="str">
        <f>IF(J3172&lt;&gt;1,"",IF(I3172="SBJ","CB","?"))</f>
        <v> </v>
      </c>
      <c r="I3172" s="25" t="str">
        <f>IF(OR(E3172="",E3172="!!!",F3172="NEW"),"",INDEX(B3171:B$2,-1+SUMPRODUCT(MAX(ROW(E3171:E$2)*(E3172=E3171:E$2)))))</f>
        <v> </v>
      </c>
      <c r="J3172" s="25" t="str">
        <f>IF(OR(E3172="",E3172="!!!",F3172="NEW"),"",COUNTBLANK(OFFSET(A$1,,,SUMPRODUCT(MAX(ROW(E$2:E3172)*(E3172=E$2:E3172)))))-COUNTBLANK(OFFSET(A$1,,,SUMPRODUCT(MAX(ROW(E$1:E3171)*(E2=E$1:E3171))))))</f>
        <v> </v>
      </c>
      <c r="K3172" s="25" t="str">
        <f>IF(OR(E3172="",E3172="!!!",F3172="NEW"),"",INDEX(J$1:J3171,SUMPRODUCT(MAX(ROW(E$1:E3171)*(E3172=E$1:E3171)))))</f>
        <v> </v>
      </c>
      <c r="L3172" s="26"/>
    </row>
    <row r="3173" spans="1:12">
      <c r="A3173" s="20" t="s">
        <v>874</v>
      </c>
      <c r="E3173" s="21">
        <f>IF(D3173="?OLD","!!!","")</f>
        <v/>
      </c>
      <c r="F3173" s="22" t="str">
        <f>IF(OR(E3173="",E3173="!!!"),"",IF(NOT(ISNA(VLOOKUP(E3173,E$1:E3172,1,FALSE()))),"OLD",IF(AND(E3173&lt;&gt;"",E3173&lt;&gt;"!!!"),"NEW","")))</f>
        <v> </v>
      </c>
      <c r="G3173" s="23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4" t="str">
        <f>IF(J3173&lt;&gt;1,"",IF(I3173="SBJ","CB","?"))</f>
        <v> </v>
      </c>
      <c r="I3173" s="25" t="str">
        <f>IF(OR(E3173="",E3173="!!!",F3173="NEW"),"",INDEX(B3172:B$2,-1+SUMPRODUCT(MAX(ROW(E3172:E$2)*(E3173=E3172:E$2)))))</f>
        <v> </v>
      </c>
      <c r="J3173" s="25" t="str">
        <f>IF(OR(E3173="",E3173="!!!",F3173="NEW"),"",COUNTBLANK(OFFSET(A$1,,,SUMPRODUCT(MAX(ROW(E$2:E3173)*(E3173=E$2:E3173)))))-COUNTBLANK(OFFSET(A$1,,,SUMPRODUCT(MAX(ROW(E$1:E3172)*(E2=E$1:E3172))))))</f>
        <v> </v>
      </c>
      <c r="K3173" s="25" t="str">
        <f>IF(OR(E3173="",E3173="!!!",F3173="NEW"),"",INDEX(J$1:J3172,SUMPRODUCT(MAX(ROW(E$1:E3172)*(E3173=E$1:E3172)))))</f>
        <v> </v>
      </c>
      <c r="L3173" s="26"/>
    </row>
    <row r="3174" spans="1:12">
      <c r="A3174" s="20" t="s">
        <v>906</v>
      </c>
      <c r="B3174" s="27" t="s">
        <v>745</v>
      </c>
      <c r="C3174" s="27" t="s">
        <v>715</v>
      </c>
      <c r="D3174" s="27" t="s">
        <v>716</v>
      </c>
      <c r="E3174" s="21">
        <f>IF(D3174="?OLD","!!!","")</f>
        <v/>
      </c>
      <c r="F3174" s="22" t="str">
        <f>IF(OR(E3174="",E3174="!!!"),"",IF(NOT(ISNA(VLOOKUP(E3174,E$1:E3173,1,FALSE()))),"OLD",IF(AND(E3174&lt;&gt;"",E3174&lt;&gt;"!!!"),"NEW","")))</f>
        <v> </v>
      </c>
      <c r="G3174" s="23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4" t="str">
        <f>IF(J3174&lt;&gt;1,"",IF(I3174="SBJ","CB","?"))</f>
        <v> </v>
      </c>
      <c r="I3174" s="25" t="str">
        <f>IF(OR(E3174="",E3174="!!!",F3174="NEW"),"",INDEX(B3173:B$2,-1+SUMPRODUCT(MAX(ROW(E3173:E$2)*(E3174=E3173:E$2)))))</f>
        <v> </v>
      </c>
      <c r="J3174" s="25" t="str">
        <f>IF(OR(E3174="",E3174="!!!",F3174="NEW"),"",COUNTBLANK(OFFSET(A$1,,,SUMPRODUCT(MAX(ROW(E$2:E3174)*(E3174=E$2:E3174)))))-COUNTBLANK(OFFSET(A$1,,,SUMPRODUCT(MAX(ROW(E$1:E3173)*(E2=E$1:E3173))))))</f>
        <v> </v>
      </c>
      <c r="K3174" s="25" t="str">
        <f>IF(OR(E3174="",E3174="!!!",F3174="NEW"),"",INDEX(J$1:J3173,SUMPRODUCT(MAX(ROW(E$1:E3173)*(E3174=E$1:E3173)))))</f>
        <v> </v>
      </c>
      <c r="L3174" s="26"/>
    </row>
    <row r="3175" spans="1:12">
      <c r="A3175" s="20" t="s">
        <v>1882</v>
      </c>
      <c r="E3175" s="21">
        <f>IF(D3175="?OLD","!!!","")</f>
        <v/>
      </c>
      <c r="F3175" s="22" t="str">
        <f>IF(OR(E3175="",E3175="!!!"),"",IF(NOT(ISNA(VLOOKUP(E3175,E$1:E3174,1,FALSE()))),"OLD",IF(AND(E3175&lt;&gt;"",E3175&lt;&gt;"!!!"),"NEW","")))</f>
        <v> </v>
      </c>
      <c r="G3175" s="23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4" t="str">
        <f>IF(J3175&lt;&gt;1,"",IF(I3175="SBJ","CB","?"))</f>
        <v> </v>
      </c>
      <c r="I3175" s="25" t="str">
        <f>IF(OR(E3175="",E3175="!!!",F3175="NEW"),"",INDEX(B3174:B$2,-1+SUMPRODUCT(MAX(ROW(E3174:E$2)*(E3175=E3174:E$2)))))</f>
        <v> </v>
      </c>
      <c r="J3175" s="25" t="str">
        <f>IF(OR(E3175="",E3175="!!!",F3175="NEW"),"",COUNTBLANK(OFFSET(A$1,,,SUMPRODUCT(MAX(ROW(E$2:E3175)*(E3175=E$2:E3175)))))-COUNTBLANK(OFFSET(A$1,,,SUMPRODUCT(MAX(ROW(E$1:E3174)*(E2=E$1:E3174))))))</f>
        <v> </v>
      </c>
      <c r="K3175" s="25" t="str">
        <f>IF(OR(E3175="",E3175="!!!",F3175="NEW"),"",INDEX(J$1:J3174,SUMPRODUCT(MAX(ROW(E$1:E3174)*(E3175=E$1:E3174)))))</f>
        <v> </v>
      </c>
      <c r="L3175" s="26"/>
    </row>
    <row r="3176" spans="1:12">
      <c r="A3176" s="20" t="s">
        <v>720</v>
      </c>
      <c r="E3176" s="21">
        <f>IF(D3176="?OLD","!!!","")</f>
        <v/>
      </c>
      <c r="F3176" s="22" t="str">
        <f>IF(OR(E3176="",E3176="!!!"),"",IF(NOT(ISNA(VLOOKUP(E3176,E$1:E3175,1,FALSE()))),"OLD",IF(AND(E3176&lt;&gt;"",E3176&lt;&gt;"!!!"),"NEW","")))</f>
        <v> </v>
      </c>
      <c r="G3176" s="23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4" t="str">
        <f>IF(J3176&lt;&gt;1,"",IF(I3176="SBJ","CB","?"))</f>
        <v> </v>
      </c>
      <c r="I3176" s="25" t="str">
        <f>IF(OR(E3176="",E3176="!!!",F3176="NEW"),"",INDEX(B3175:B$2,-1+SUMPRODUCT(MAX(ROW(E3175:E$2)*(E3176=E3175:E$2)))))</f>
        <v> </v>
      </c>
      <c r="J3176" s="25" t="str">
        <f>IF(OR(E3176="",E3176="!!!",F3176="NEW"),"",COUNTBLANK(OFFSET(A$1,,,SUMPRODUCT(MAX(ROW(E$2:E3176)*(E3176=E$2:E3176)))))-COUNTBLANK(OFFSET(A$1,,,SUMPRODUCT(MAX(ROW(E$1:E3175)*(E2=E$1:E3175))))))</f>
        <v> </v>
      </c>
      <c r="K3176" s="25" t="str">
        <f>IF(OR(E3176="",E3176="!!!",F3176="NEW"),"",INDEX(J$1:J3175,SUMPRODUCT(MAX(ROW(E$1:E3175)*(E3176=E$1:E3175)))))</f>
        <v> </v>
      </c>
      <c r="L3176" s="26"/>
    </row>
    <row r="3177" spans="1:12">
      <c r="A3177" s="20"/>
    </row>
    <row r="3178" spans="1:12">
      <c r="A3178" s="20" t="s">
        <v>1885</v>
      </c>
    </row>
    <row r="3179" spans="1:12">
      <c r="A3179" s="20" t="s">
        <v>777</v>
      </c>
      <c r="E3179" s="21">
        <f>IF(D3179="?OLD","!!!","")</f>
        <v/>
      </c>
      <c r="F3179" s="22" t="str">
        <f>IF(OR(E3179="",E3179="!!!"),"",IF(NOT(ISNA(VLOOKUP(E3179,E$1:E3178,1,FALSE()))),"OLD",IF(AND(E3179&lt;&gt;"",E3179&lt;&gt;"!!!"),"NEW","")))</f>
        <v> </v>
      </c>
      <c r="G3179" s="23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4" t="str">
        <f>IF(J3179&lt;&gt;1,"",IF(I3179="SBJ","CB","?"))</f>
        <v> </v>
      </c>
      <c r="I3179" s="25" t="str">
        <f>IF(OR(E3179="",E3179="!!!",F3179="NEW"),"",INDEX(B3178:B$2,-1+SUMPRODUCT(MAX(ROW(E3178:E$2)*(E3179=E3178:E$2)))))</f>
        <v> </v>
      </c>
      <c r="J3179" s="25" t="str">
        <f>IF(OR(E3179="",E3179="!!!",F3179="NEW"),"",COUNTBLANK(OFFSET(A$1,,,SUMPRODUCT(MAX(ROW(E$2:E3179)*(E3179=E$2:E3179)))))-COUNTBLANK(OFFSET(A$1,,,SUMPRODUCT(MAX(ROW(E$1:E3178)*(E2=E$1:E3178))))))</f>
        <v> </v>
      </c>
      <c r="K3179" s="25" t="str">
        <f>IF(OR(E3179="",E3179="!!!",F3179="NEW"),"",INDEX(J$1:J3178,SUMPRODUCT(MAX(ROW(E$1:E3178)*(E3179=E$1:E3178)))))</f>
        <v> </v>
      </c>
      <c r="L3179" s="26"/>
    </row>
    <row r="3180" spans="1:12">
      <c r="A3180" s="20" t="s">
        <v>713</v>
      </c>
      <c r="B3180" s="27" t="s">
        <v>714</v>
      </c>
      <c r="C3180" s="27" t="s">
        <v>715</v>
      </c>
      <c r="D3180" s="27" t="s">
        <v>716</v>
      </c>
      <c r="E3180" s="21">
        <f>IF(D3180="?OLD","!!!","")</f>
        <v/>
      </c>
      <c r="F3180" s="22" t="str">
        <f>IF(OR(E3180="",E3180="!!!"),"",IF(NOT(ISNA(VLOOKUP(E3180,E$1:E3179,1,FALSE()))),"OLD",IF(AND(E3180&lt;&gt;"",E3180&lt;&gt;"!!!"),"NEW","")))</f>
        <v> </v>
      </c>
      <c r="G3180" s="23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4" t="str">
        <f>IF(J3180&lt;&gt;1,"",IF(I3180="SBJ","CB","?"))</f>
        <v> </v>
      </c>
      <c r="I3180" s="25" t="str">
        <f>IF(OR(E3180="",E3180="!!!",F3180="NEW"),"",INDEX(B3179:B$2,-1+SUMPRODUCT(MAX(ROW(E3179:E$2)*(E3180=E3179:E$2)))))</f>
        <v> </v>
      </c>
      <c r="J3180" s="25" t="str">
        <f>IF(OR(E3180="",E3180="!!!",F3180="NEW"),"",COUNTBLANK(OFFSET(A$1,,,SUMPRODUCT(MAX(ROW(E$2:E3180)*(E3180=E$2:E3180)))))-COUNTBLANK(OFFSET(A$1,,,SUMPRODUCT(MAX(ROW(E$1:E3179)*(E2=E$1:E3179))))))</f>
        <v> </v>
      </c>
      <c r="K3180" s="25" t="str">
        <f>IF(OR(E3180="",E3180="!!!",F3180="NEW"),"",INDEX(J$1:J3179,SUMPRODUCT(MAX(ROW(E$1:E3179)*(E3180=E$1:E3179)))))</f>
        <v> </v>
      </c>
      <c r="L3180" s="26"/>
    </row>
    <row r="3181" spans="1:12">
      <c r="A3181" s="20" t="s">
        <v>737</v>
      </c>
      <c r="E3181" s="21">
        <f>IF(D3181="?OLD","!!!","")</f>
        <v/>
      </c>
      <c r="F3181" s="22" t="str">
        <f>IF(OR(E3181="",E3181="!!!"),"",IF(NOT(ISNA(VLOOKUP(E3181,E$1:E3180,1,FALSE()))),"OLD",IF(AND(E3181&lt;&gt;"",E3181&lt;&gt;"!!!"),"NEW","")))</f>
        <v> </v>
      </c>
      <c r="G3181" s="23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4" t="str">
        <f>IF(J3181&lt;&gt;1,"",IF(I3181="SBJ","CB","?"))</f>
        <v> </v>
      </c>
      <c r="I3181" s="25" t="str">
        <f>IF(OR(E3181="",E3181="!!!",F3181="NEW"),"",INDEX(B3180:B$2,-1+SUMPRODUCT(MAX(ROW(E3180:E$2)*(E3181=E3180:E$2)))))</f>
        <v> </v>
      </c>
      <c r="J3181" s="25" t="str">
        <f>IF(OR(E3181="",E3181="!!!",F3181="NEW"),"",COUNTBLANK(OFFSET(A$1,,,SUMPRODUCT(MAX(ROW(E$2:E3181)*(E3181=E$2:E3181)))))-COUNTBLANK(OFFSET(A$1,,,SUMPRODUCT(MAX(ROW(E$1:E3180)*(E2=E$1:E3180))))))</f>
        <v> </v>
      </c>
      <c r="K3181" s="25" t="str">
        <f>IF(OR(E3181="",E3181="!!!",F3181="NEW"),"",INDEX(J$1:J3180,SUMPRODUCT(MAX(ROW(E$1:E3180)*(E3181=E$1:E3180)))))</f>
        <v> </v>
      </c>
      <c r="L3181" s="26"/>
    </row>
    <row r="3182" spans="1:12">
      <c r="A3182" s="20" t="s">
        <v>822</v>
      </c>
      <c r="B3182" s="27" t="s">
        <v>790</v>
      </c>
      <c r="C3182" s="27" t="s">
        <v>791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1886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 t="s">
        <v>1346</v>
      </c>
      <c r="E3184" s="21">
        <f>IF(D3184="?OLD","!!!","")</f>
        <v/>
      </c>
      <c r="F3184" s="22" t="str">
        <f>IF(OR(E3184="",E3184="!!!"),"",IF(NOT(ISNA(VLOOKUP(E3184,E$1:E3183,1,FALSE()))),"OLD",IF(AND(E3184&lt;&gt;"",E3184&lt;&gt;"!!!"),"NEW","")))</f>
        <v> </v>
      </c>
      <c r="G3184" s="23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4" t="str">
        <f>IF(J3184&lt;&gt;1,"",IF(I3184="SBJ","CB","?"))</f>
        <v> </v>
      </c>
      <c r="I3184" s="25" t="str">
        <f>IF(OR(E3184="",E3184="!!!",F3184="NEW"),"",INDEX(B3183:B$2,-1+SUMPRODUCT(MAX(ROW(E3183:E$2)*(E3184=E3183:E$2)))))</f>
        <v> </v>
      </c>
      <c r="J3184" s="25" t="str">
        <f>IF(OR(E3184="",E3184="!!!",F3184="NEW"),"",COUNTBLANK(OFFSET(A$1,,,SUMPRODUCT(MAX(ROW(E$2:E3184)*(E3184=E$2:E3184)))))-COUNTBLANK(OFFSET(A$1,,,SUMPRODUCT(MAX(ROW(E$1:E3183)*(E2=E$1:E3183))))))</f>
        <v> </v>
      </c>
      <c r="K3184" s="25" t="str">
        <f>IF(OR(E3184="",E3184="!!!",F3184="NEW"),"",INDEX(J$1:J3183,SUMPRODUCT(MAX(ROW(E$1:E3183)*(E3184=E$1:E3183)))))</f>
        <v> </v>
      </c>
      <c r="L3184" s="26"/>
    </row>
    <row r="3185" spans="1:12">
      <c r="A3185" s="20" t="s">
        <v>1887</v>
      </c>
      <c r="B3185" s="27" t="s">
        <v>768</v>
      </c>
      <c r="C3185" s="27" t="s">
        <v>769</v>
      </c>
      <c r="D3185" s="27" t="s">
        <v>716</v>
      </c>
      <c r="E3185" s="21">
        <f>IF(D3185="?OLD","!!!","")</f>
        <v/>
      </c>
      <c r="F3185" s="22" t="str">
        <f>IF(OR(E3185="",E3185="!!!"),"",IF(NOT(ISNA(VLOOKUP(E3185,E$1:E3184,1,FALSE()))),"OLD",IF(AND(E3185&lt;&gt;"",E3185&lt;&gt;"!!!"),"NEW","")))</f>
        <v> </v>
      </c>
      <c r="G3185" s="23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4" t="str">
        <f>IF(J3185&lt;&gt;1,"",IF(I3185="SBJ","CB","?"))</f>
        <v> </v>
      </c>
      <c r="I3185" s="25" t="str">
        <f>IF(OR(E3185="",E3185="!!!",F3185="NEW"),"",INDEX(B3184:B$2,-1+SUMPRODUCT(MAX(ROW(E3184:E$2)*(E3185=E3184:E$2)))))</f>
        <v> </v>
      </c>
      <c r="J3185" s="25" t="str">
        <f>IF(OR(E3185="",E3185="!!!",F3185="NEW"),"",COUNTBLANK(OFFSET(A$1,,,SUMPRODUCT(MAX(ROW(E$2:E3185)*(E3185=E$2:E3185)))))-COUNTBLANK(OFFSET(A$1,,,SUMPRODUCT(MAX(ROW(E$1:E3184)*(E2=E$1:E3184))))))</f>
        <v> </v>
      </c>
      <c r="K3185" s="25" t="str">
        <f>IF(OR(E3185="",E3185="!!!",F3185="NEW"),"",INDEX(J$1:J3184,SUMPRODUCT(MAX(ROW(E$1:E3184)*(E3185=E$1:E3184)))))</f>
        <v> </v>
      </c>
      <c r="L3185" s="26"/>
    </row>
    <row r="3186" spans="1:12">
      <c r="A3186" s="20" t="s">
        <v>12</v>
      </c>
      <c r="E3186" s="21">
        <f>IF(D3186="?OLD","!!!","")</f>
        <v/>
      </c>
      <c r="F3186" s="22" t="str">
        <f>IF(OR(E3186="",E3186="!!!"),"",IF(NOT(ISNA(VLOOKUP(E3186,E$1:E3185,1,FALSE()))),"OLD",IF(AND(E3186&lt;&gt;"",E3186&lt;&gt;"!!!"),"NEW","")))</f>
        <v> </v>
      </c>
      <c r="G3186" s="23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4" t="str">
        <f>IF(J3186&lt;&gt;1,"",IF(I3186="SBJ","CB","?"))</f>
        <v> </v>
      </c>
      <c r="I3186" s="25" t="str">
        <f>IF(OR(E3186="",E3186="!!!",F3186="NEW"),"",INDEX(B3185:B$2,-1+SUMPRODUCT(MAX(ROW(E3185:E$2)*(E3186=E3185:E$2)))))</f>
        <v> </v>
      </c>
      <c r="J3186" s="25" t="str">
        <f>IF(OR(E3186="",E3186="!!!",F3186="NEW"),"",COUNTBLANK(OFFSET(A$1,,,SUMPRODUCT(MAX(ROW(E$2:E3186)*(E3186=E$2:E3186)))))-COUNTBLANK(OFFSET(A$1,,,SUMPRODUCT(MAX(ROW(E$1:E3185)*(E2=E$1:E3185))))))</f>
        <v> </v>
      </c>
      <c r="K3186" s="25" t="str">
        <f>IF(OR(E3186="",E3186="!!!",F3186="NEW"),"",INDEX(J$1:J3185,SUMPRODUCT(MAX(ROW(E$1:E3185)*(E3186=E$1:E3185)))))</f>
        <v> </v>
      </c>
      <c r="L3186" s="26"/>
    </row>
    <row r="3187" spans="1:12">
      <c r="A3187" s="20" t="s">
        <v>12</v>
      </c>
      <c r="E3187" s="21">
        <f>IF(D3187="?OLD","!!!","")</f>
        <v/>
      </c>
      <c r="F3187" s="22" t="str">
        <f>IF(OR(E3187="",E3187="!!!"),"",IF(NOT(ISNA(VLOOKUP(E3187,E$1:E3186,1,FALSE()))),"OLD",IF(AND(E3187&lt;&gt;"",E3187&lt;&gt;"!!!"),"NEW","")))</f>
        <v> </v>
      </c>
      <c r="G3187" s="23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4" t="str">
        <f>IF(J3187&lt;&gt;1,"",IF(I3187="SBJ","CB","?"))</f>
        <v> </v>
      </c>
      <c r="I3187" s="25" t="str">
        <f>IF(OR(E3187="",E3187="!!!",F3187="NEW"),"",INDEX(B3186:B$2,-1+SUMPRODUCT(MAX(ROW(E3186:E$2)*(E3187=E3186:E$2)))))</f>
        <v> </v>
      </c>
      <c r="J3187" s="25" t="str">
        <f>IF(OR(E3187="",E3187="!!!",F3187="NEW"),"",COUNTBLANK(OFFSET(A$1,,,SUMPRODUCT(MAX(ROW(E$2:E3187)*(E3187=E$2:E3187)))))-COUNTBLANK(OFFSET(A$1,,,SUMPRODUCT(MAX(ROW(E$1:E3186)*(E2=E$1:E3186))))))</f>
        <v> </v>
      </c>
      <c r="K3187" s="25" t="str">
        <f>IF(OR(E3187="",E3187="!!!",F3187="NEW"),"",INDEX(J$1:J3186,SUMPRODUCT(MAX(ROW(E$1:E3186)*(E3187=E$1:E3186)))))</f>
        <v> </v>
      </c>
      <c r="L3187" s="26"/>
    </row>
    <row r="3188" spans="1:12">
      <c r="A3188" s="20" t="s">
        <v>823</v>
      </c>
      <c r="B3188" s="27" t="s">
        <v>714</v>
      </c>
      <c r="C3188" s="27" t="s">
        <v>715</v>
      </c>
      <c r="D3188" s="27" t="s">
        <v>716</v>
      </c>
      <c r="E3188" s="21">
        <f>IF(D3188="?OLD","!!!","")</f>
        <v/>
      </c>
      <c r="F3188" s="22" t="str">
        <f>IF(OR(E3188="",E3188="!!!"),"",IF(NOT(ISNA(VLOOKUP(E3188,E$1:E3187,1,FALSE()))),"OLD",IF(AND(E3188&lt;&gt;"",E3188&lt;&gt;"!!!"),"NEW","")))</f>
        <v> </v>
      </c>
      <c r="G3188" s="23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4" t="str">
        <f>IF(J3188&lt;&gt;1,"",IF(I3188="SBJ","CB","?"))</f>
        <v> </v>
      </c>
      <c r="I3188" s="25" t="str">
        <f>IF(OR(E3188="",E3188="!!!",F3188="NEW"),"",INDEX(B3187:B$2,-1+SUMPRODUCT(MAX(ROW(E3187:E$2)*(E3188=E3187:E$2)))))</f>
        <v> </v>
      </c>
      <c r="J3188" s="25" t="str">
        <f>IF(OR(E3188="",E3188="!!!",F3188="NEW"),"",COUNTBLANK(OFFSET(A$1,,,SUMPRODUCT(MAX(ROW(E$2:E3188)*(E3188=E$2:E3188)))))-COUNTBLANK(OFFSET(A$1,,,SUMPRODUCT(MAX(ROW(E$1:E3187)*(E2=E$1:E3187))))))</f>
        <v> </v>
      </c>
      <c r="K3188" s="25" t="str">
        <f>IF(OR(E3188="",E3188="!!!",F3188="NEW"),"",INDEX(J$1:J3187,SUMPRODUCT(MAX(ROW(E$1:E3187)*(E3188=E$1:E3187)))))</f>
        <v> </v>
      </c>
      <c r="L3188" s="26"/>
    </row>
    <row r="3189" spans="1:12">
      <c r="A3189" s="20" t="s">
        <v>1888</v>
      </c>
      <c r="E3189" s="21">
        <f>IF(D3189="?OLD","!!!","")</f>
        <v/>
      </c>
      <c r="F3189" s="22" t="str">
        <f>IF(OR(E3189="",E3189="!!!"),"",IF(NOT(ISNA(VLOOKUP(E3189,E$1:E3188,1,FALSE()))),"OLD",IF(AND(E3189&lt;&gt;"",E3189&lt;&gt;"!!!"),"NEW","")))</f>
        <v> </v>
      </c>
      <c r="G3189" s="23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4" t="str">
        <f>IF(J3189&lt;&gt;1,"",IF(I3189="SBJ","CB","?"))</f>
        <v> </v>
      </c>
      <c r="I3189" s="25" t="str">
        <f>IF(OR(E3189="",E3189="!!!",F3189="NEW"),"",INDEX(B3188:B$2,-1+SUMPRODUCT(MAX(ROW(E3188:E$2)*(E3189=E3188:E$2)))))</f>
        <v> </v>
      </c>
      <c r="J3189" s="25" t="str">
        <f>IF(OR(E3189="",E3189="!!!",F3189="NEW"),"",COUNTBLANK(OFFSET(A$1,,,SUMPRODUCT(MAX(ROW(E$2:E3189)*(E3189=E$2:E3189)))))-COUNTBLANK(OFFSET(A$1,,,SUMPRODUCT(MAX(ROW(E$1:E3188)*(E2=E$1:E3188))))))</f>
        <v> </v>
      </c>
      <c r="K3189" s="25" t="str">
        <f>IF(OR(E3189="",E3189="!!!",F3189="NEW"),"",INDEX(J$1:J3188,SUMPRODUCT(MAX(ROW(E$1:E3188)*(E3189=E$1:E3188)))))</f>
        <v> </v>
      </c>
      <c r="L3189" s="26"/>
    </row>
    <row r="3190" spans="1:12">
      <c r="A3190" s="20" t="s">
        <v>902</v>
      </c>
      <c r="E3190" s="21">
        <f>IF(D3190="?OLD","!!!","")</f>
        <v/>
      </c>
      <c r="F3190" s="22" t="str">
        <f>IF(OR(E3190="",E3190="!!!"),"",IF(NOT(ISNA(VLOOKUP(E3190,E$1:E3189,1,FALSE()))),"OLD",IF(AND(E3190&lt;&gt;"",E3190&lt;&gt;"!!!"),"NEW","")))</f>
        <v> </v>
      </c>
      <c r="G3190" s="23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4" t="str">
        <f>IF(J3190&lt;&gt;1,"",IF(I3190="SBJ","CB","?"))</f>
        <v> </v>
      </c>
      <c r="I3190" s="25" t="str">
        <f>IF(OR(E3190="",E3190="!!!",F3190="NEW"),"",INDEX(B3189:B$2,-1+SUMPRODUCT(MAX(ROW(E3189:E$2)*(E3190=E3189:E$2)))))</f>
        <v> </v>
      </c>
      <c r="J3190" s="25" t="str">
        <f>IF(OR(E3190="",E3190="!!!",F3190="NEW"),"",COUNTBLANK(OFFSET(A$1,,,SUMPRODUCT(MAX(ROW(E$2:E3190)*(E3190=E$2:E3190)))))-COUNTBLANK(OFFSET(A$1,,,SUMPRODUCT(MAX(ROW(E$1:E3189)*(E2=E$1:E3189))))))</f>
        <v> </v>
      </c>
      <c r="K3190" s="25" t="str">
        <f>IF(OR(E3190="",E3190="!!!",F3190="NEW"),"",INDEX(J$1:J3189,SUMPRODUCT(MAX(ROW(E$1:E3189)*(E3190=E$1:E3189)))))</f>
        <v> </v>
      </c>
      <c r="L3190" s="26"/>
    </row>
    <row r="3191" spans="1:12">
      <c r="A3191" s="20" t="s">
        <v>1889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 t="s">
        <v>1890</v>
      </c>
      <c r="B3192" s="27" t="s">
        <v>808</v>
      </c>
      <c r="E3192" s="21">
        <f>IF(D3192="?OLD","!!!","")</f>
        <v/>
      </c>
      <c r="F3192" s="22" t="str">
        <f>IF(OR(E3192="",E3192="!!!"),"",IF(NOT(ISNA(VLOOKUP(E3192,E$1:E3191,1,FALSE()))),"OLD",IF(AND(E3192&lt;&gt;"",E3192&lt;&gt;"!!!"),"NEW","")))</f>
        <v> </v>
      </c>
      <c r="G3192" s="23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4" t="str">
        <f>IF(J3192&lt;&gt;1,"",IF(I3192="SBJ","CB","?"))</f>
        <v> </v>
      </c>
      <c r="I3192" s="25" t="str">
        <f>IF(OR(E3192="",E3192="!!!",F3192="NEW"),"",INDEX(B3191:B$2,-1+SUMPRODUCT(MAX(ROW(E3191:E$2)*(E3192=E3191:E$2)))))</f>
        <v> </v>
      </c>
      <c r="J3192" s="25" t="str">
        <f>IF(OR(E3192="",E3192="!!!",F3192="NEW"),"",COUNTBLANK(OFFSET(A$1,,,SUMPRODUCT(MAX(ROW(E$2:E3192)*(E3192=E$2:E3192)))))-COUNTBLANK(OFFSET(A$1,,,SUMPRODUCT(MAX(ROW(E$1:E3191)*(E2=E$1:E3191))))))</f>
        <v> </v>
      </c>
      <c r="K3192" s="25" t="str">
        <f>IF(OR(E3192="",E3192="!!!",F3192="NEW"),"",INDEX(J$1:J3191,SUMPRODUCT(MAX(ROW(E$1:E3191)*(E3192=E$1:E3191)))))</f>
        <v> </v>
      </c>
      <c r="L3192" s="26"/>
    </row>
    <row r="3193" spans="1:12">
      <c r="A3193" s="20" t="s">
        <v>720</v>
      </c>
      <c r="E3193" s="21">
        <f>IF(D3193="?OLD","!!!","")</f>
        <v/>
      </c>
      <c r="F3193" s="22" t="str">
        <f>IF(OR(E3193="",E3193="!!!"),"",IF(NOT(ISNA(VLOOKUP(E3193,E$1:E3192,1,FALSE()))),"OLD",IF(AND(E3193&lt;&gt;"",E3193&lt;&gt;"!!!"),"NEW","")))</f>
        <v> </v>
      </c>
      <c r="G3193" s="23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4" t="str">
        <f>IF(J3193&lt;&gt;1,"",IF(I3193="SBJ","CB","?"))</f>
        <v> </v>
      </c>
      <c r="I3193" s="25" t="str">
        <f>IF(OR(E3193="",E3193="!!!",F3193="NEW"),"",INDEX(B3192:B$2,-1+SUMPRODUCT(MAX(ROW(E3192:E$2)*(E3193=E3192:E$2)))))</f>
        <v> </v>
      </c>
      <c r="J3193" s="25" t="str">
        <f>IF(OR(E3193="",E3193="!!!",F3193="NEW"),"",COUNTBLANK(OFFSET(A$1,,,SUMPRODUCT(MAX(ROW(E$2:E3193)*(E3193=E$2:E3193)))))-COUNTBLANK(OFFSET(A$1,,,SUMPRODUCT(MAX(ROW(E$1:E3192)*(E2=E$1:E3192))))))</f>
        <v> </v>
      </c>
      <c r="K3193" s="25" t="str">
        <f>IF(OR(E3193="",E3193="!!!",F3193="NEW"),"",INDEX(J$1:J3192,SUMPRODUCT(MAX(ROW(E$1:E3192)*(E3193=E$1:E3192)))))</f>
        <v> </v>
      </c>
      <c r="L3193" s="26"/>
    </row>
    <row r="3194" spans="1:12">
      <c r="A3194" s="20"/>
    </row>
    <row r="3195" spans="1:12">
      <c r="A3195" s="20" t="s">
        <v>1891</v>
      </c>
    </row>
    <row r="3196" spans="1:12">
      <c r="A3196" s="20" t="s">
        <v>1892</v>
      </c>
      <c r="E3196" s="21">
        <f>IF(D3196="?OLD","!!!","")</f>
        <v/>
      </c>
      <c r="F3196" s="22" t="str">
        <f>IF(OR(E3196="",E3196="!!!"),"",IF(NOT(ISNA(VLOOKUP(E3196,E$1:E3195,1,FALSE()))),"OLD",IF(AND(E3196&lt;&gt;"",E3196&lt;&gt;"!!!"),"NEW","")))</f>
        <v> </v>
      </c>
      <c r="G3196" s="23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4" t="str">
        <f>IF(J3196&lt;&gt;1,"",IF(I3196="SBJ","CB","?"))</f>
        <v> </v>
      </c>
      <c r="I3196" s="25" t="str">
        <f>IF(OR(E3196="",E3196="!!!",F3196="NEW"),"",INDEX(B3195:B$2,-1+SUMPRODUCT(MAX(ROW(E3195:E$2)*(E3196=E3195:E$2)))))</f>
        <v> </v>
      </c>
      <c r="J3196" s="25" t="str">
        <f>IF(OR(E3196="",E3196="!!!",F3196="NEW"),"",COUNTBLANK(OFFSET(A$1,,,SUMPRODUCT(MAX(ROW(E$2:E3196)*(E3196=E$2:E3196)))))-COUNTBLANK(OFFSET(A$1,,,SUMPRODUCT(MAX(ROW(E$1:E3195)*(E2=E$1:E3195))))))</f>
        <v> </v>
      </c>
      <c r="K3196" s="25" t="str">
        <f>IF(OR(E3196="",E3196="!!!",F3196="NEW"),"",INDEX(J$1:J3195,SUMPRODUCT(MAX(ROW(E$1:E3195)*(E3196=E$1:E3195)))))</f>
        <v> </v>
      </c>
      <c r="L3196" s="26"/>
    </row>
    <row r="3197" spans="1:12">
      <c r="A3197" s="20" t="s">
        <v>737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589</v>
      </c>
      <c r="B3198" s="27" t="s">
        <v>714</v>
      </c>
      <c r="C3198" s="27" t="s">
        <v>715</v>
      </c>
      <c r="D3198" s="27" t="s">
        <v>716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 t="s">
        <v>1497</v>
      </c>
      <c r="E3199" s="21">
        <f>IF(D3199="?OLD","!!!","")</f>
        <v/>
      </c>
      <c r="F3199" s="22" t="str">
        <f>IF(OR(E3199="",E3199="!!!"),"",IF(NOT(ISNA(VLOOKUP(E3199,E$1:E3198,1,FALSE()))),"OLD",IF(AND(E3199&lt;&gt;"",E3199&lt;&gt;"!!!"),"NEW","")))</f>
        <v> </v>
      </c>
      <c r="G3199" s="23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4" t="str">
        <f>IF(J3199&lt;&gt;1,"",IF(I3199="SBJ","CB","?"))</f>
        <v> </v>
      </c>
      <c r="I3199" s="25" t="str">
        <f>IF(OR(E3199="",E3199="!!!",F3199="NEW"),"",INDEX(B3198:B$2,-1+SUMPRODUCT(MAX(ROW(E3198:E$2)*(E3199=E3198:E$2)))))</f>
        <v> </v>
      </c>
      <c r="J3199" s="25" t="str">
        <f>IF(OR(E3199="",E3199="!!!",F3199="NEW"),"",COUNTBLANK(OFFSET(A$1,,,SUMPRODUCT(MAX(ROW(E$2:E3199)*(E3199=E$2:E3199)))))-COUNTBLANK(OFFSET(A$1,,,SUMPRODUCT(MAX(ROW(E$1:E3198)*(E2=E$1:E3198))))))</f>
        <v> </v>
      </c>
      <c r="K3199" s="25" t="str">
        <f>IF(OR(E3199="",E3199="!!!",F3199="NEW"),"",INDEX(J$1:J3198,SUMPRODUCT(MAX(ROW(E$1:E3198)*(E3199=E$1:E3198)))))</f>
        <v> </v>
      </c>
      <c r="L3199" s="26"/>
    </row>
    <row r="3200" spans="1:12">
      <c r="A3200" s="20" t="s">
        <v>1893</v>
      </c>
      <c r="E3200" s="21">
        <f>IF(D3200="?OLD","!!!","")</f>
        <v/>
      </c>
      <c r="F3200" s="22" t="str">
        <f>IF(OR(E3200="",E3200="!!!"),"",IF(NOT(ISNA(VLOOKUP(E3200,E$1:E3199,1,FALSE()))),"OLD",IF(AND(E3200&lt;&gt;"",E3200&lt;&gt;"!!!"),"NEW","")))</f>
        <v> </v>
      </c>
      <c r="G3200" s="23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4" t="str">
        <f>IF(J3200&lt;&gt;1,"",IF(I3200="SBJ","CB","?"))</f>
        <v> </v>
      </c>
      <c r="I3200" s="25" t="str">
        <f>IF(OR(E3200="",E3200="!!!",F3200="NEW"),"",INDEX(B3199:B$2,-1+SUMPRODUCT(MAX(ROW(E3199:E$2)*(E3200=E3199:E$2)))))</f>
        <v> </v>
      </c>
      <c r="J3200" s="25" t="str">
        <f>IF(OR(E3200="",E3200="!!!",F3200="NEW"),"",COUNTBLANK(OFFSET(A$1,,,SUMPRODUCT(MAX(ROW(E$2:E3200)*(E3200=E$2:E3200)))))-COUNTBLANK(OFFSET(A$1,,,SUMPRODUCT(MAX(ROW(E$1:E3199)*(E2=E$1:E3199))))))</f>
        <v> </v>
      </c>
      <c r="K3200" s="25" t="str">
        <f>IF(OR(E3200="",E3200="!!!",F3200="NEW"),"",INDEX(J$1:J3199,SUMPRODUCT(MAX(ROW(E$1:E3199)*(E3200=E$1:E3199)))))</f>
        <v> </v>
      </c>
      <c r="L3200" s="26"/>
    </row>
    <row r="3201" spans="1:12">
      <c r="A3201" s="20" t="s">
        <v>1894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1895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1896</v>
      </c>
      <c r="B3203" s="27" t="s">
        <v>808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720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/>
    </row>
    <row r="3206" spans="1:12">
      <c r="A3206" s="20" t="s">
        <v>1897</v>
      </c>
    </row>
    <row r="3207" spans="1:12">
      <c r="A3207" s="20" t="s">
        <v>1699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 t="s">
        <v>855</v>
      </c>
      <c r="E3208" s="21">
        <f>IF(D3208="?OLD","!!!","")</f>
        <v/>
      </c>
      <c r="F3208" s="22" t="str">
        <f>IF(OR(E3208="",E3208="!!!"),"",IF(NOT(ISNA(VLOOKUP(E3208,E$1:E3207,1,FALSE()))),"OLD",IF(AND(E3208&lt;&gt;"",E3208&lt;&gt;"!!!"),"NEW","")))</f>
        <v> </v>
      </c>
      <c r="G3208" s="23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4" t="str">
        <f>IF(J3208&lt;&gt;1,"",IF(I3208="SBJ","CB","?"))</f>
        <v> </v>
      </c>
      <c r="I3208" s="25" t="str">
        <f>IF(OR(E3208="",E3208="!!!",F3208="NEW"),"",INDEX(B3207:B$2,-1+SUMPRODUCT(MAX(ROW(E3207:E$2)*(E3208=E3207:E$2)))))</f>
        <v> </v>
      </c>
      <c r="J3208" s="25" t="str">
        <f>IF(OR(E3208="",E3208="!!!",F3208="NEW"),"",COUNTBLANK(OFFSET(A$1,,,SUMPRODUCT(MAX(ROW(E$2:E3208)*(E3208=E$2:E3208)))))-COUNTBLANK(OFFSET(A$1,,,SUMPRODUCT(MAX(ROW(E$1:E3207)*(E2=E$1:E3207))))))</f>
        <v> </v>
      </c>
      <c r="K3208" s="25" t="str">
        <f>IF(OR(E3208="",E3208="!!!",F3208="NEW"),"",INDEX(J$1:J3207,SUMPRODUCT(MAX(ROW(E$1:E3207)*(E3208=E$1:E3207)))))</f>
        <v> </v>
      </c>
      <c r="L3208" s="26"/>
    </row>
    <row r="3209" spans="1:12">
      <c r="A3209" s="20" t="s">
        <v>1225</v>
      </c>
      <c r="E3209" s="21">
        <f>IF(D3209="?OLD","!!!","")</f>
        <v/>
      </c>
      <c r="F3209" s="22" t="str">
        <f>IF(OR(E3209="",E3209="!!!"),"",IF(NOT(ISNA(VLOOKUP(E3209,E$1:E3208,1,FALSE()))),"OLD",IF(AND(E3209&lt;&gt;"",E3209&lt;&gt;"!!!"),"NEW","")))</f>
        <v> </v>
      </c>
      <c r="G3209" s="23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4" t="str">
        <f>IF(J3209&lt;&gt;1,"",IF(I3209="SBJ","CB","?"))</f>
        <v> </v>
      </c>
      <c r="I3209" s="25" t="str">
        <f>IF(OR(E3209="",E3209="!!!",F3209="NEW"),"",INDEX(B3208:B$2,-1+SUMPRODUCT(MAX(ROW(E3208:E$2)*(E3209=E3208:E$2)))))</f>
        <v> </v>
      </c>
      <c r="J3209" s="25" t="str">
        <f>IF(OR(E3209="",E3209="!!!",F3209="NEW"),"",COUNTBLANK(OFFSET(A$1,,,SUMPRODUCT(MAX(ROW(E$2:E3209)*(E3209=E$2:E3209)))))-COUNTBLANK(OFFSET(A$1,,,SUMPRODUCT(MAX(ROW(E$1:E3208)*(E2=E$1:E3208))))))</f>
        <v> </v>
      </c>
      <c r="K3209" s="25" t="str">
        <f>IF(OR(E3209="",E3209="!!!",F3209="NEW"),"",INDEX(J$1:J3208,SUMPRODUCT(MAX(ROW(E$1:E3208)*(E3209=E$1:E3208)))))</f>
        <v> </v>
      </c>
      <c r="L3209" s="26"/>
    </row>
    <row r="3210" spans="1:12">
      <c r="A3210" s="20" t="s">
        <v>737</v>
      </c>
      <c r="E3210" s="21">
        <f>IF(D3210="?OLD","!!!","")</f>
        <v/>
      </c>
      <c r="F3210" s="22" t="str">
        <f>IF(OR(E3210="",E3210="!!!"),"",IF(NOT(ISNA(VLOOKUP(E3210,E$1:E3209,1,FALSE()))),"OLD",IF(AND(E3210&lt;&gt;"",E3210&lt;&gt;"!!!"),"NEW","")))</f>
        <v> </v>
      </c>
      <c r="G3210" s="23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4" t="str">
        <f>IF(J3210&lt;&gt;1,"",IF(I3210="SBJ","CB","?"))</f>
        <v> </v>
      </c>
      <c r="I3210" s="25" t="str">
        <f>IF(OR(E3210="",E3210="!!!",F3210="NEW"),"",INDEX(B3209:B$2,-1+SUMPRODUCT(MAX(ROW(E3209:E$2)*(E3210=E3209:E$2)))))</f>
        <v> </v>
      </c>
      <c r="J3210" s="25" t="str">
        <f>IF(OR(E3210="",E3210="!!!",F3210="NEW"),"",COUNTBLANK(OFFSET(A$1,,,SUMPRODUCT(MAX(ROW(E$2:E3210)*(E3210=E$2:E3210)))))-COUNTBLANK(OFFSET(A$1,,,SUMPRODUCT(MAX(ROW(E$1:E3209)*(E2=E$1:E3209))))))</f>
        <v> </v>
      </c>
      <c r="K3210" s="25" t="str">
        <f>IF(OR(E3210="",E3210="!!!",F3210="NEW"),"",INDEX(J$1:J3209,SUMPRODUCT(MAX(ROW(E$1:E3209)*(E3210=E$1:E3209)))))</f>
        <v> </v>
      </c>
      <c r="L3210" s="26"/>
    </row>
    <row r="3211" spans="1:12">
      <c r="A3211" s="20" t="s">
        <v>822</v>
      </c>
      <c r="E3211" s="21">
        <f>IF(D3211="?OLD","!!!","")</f>
        <v/>
      </c>
      <c r="F3211" s="22" t="str">
        <f>IF(OR(E3211="",E3211="!!!"),"",IF(NOT(ISNA(VLOOKUP(E3211,E$1:E3210,1,FALSE()))),"OLD",IF(AND(E3211&lt;&gt;"",E3211&lt;&gt;"!!!"),"NEW","")))</f>
        <v> </v>
      </c>
      <c r="G3211" s="23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4" t="str">
        <f>IF(J3211&lt;&gt;1,"",IF(I3211="SBJ","CB","?"))</f>
        <v> </v>
      </c>
      <c r="I3211" s="25" t="str">
        <f>IF(OR(E3211="",E3211="!!!",F3211="NEW"),"",INDEX(B3210:B$2,-1+SUMPRODUCT(MAX(ROW(E3210:E$2)*(E3211=E3210:E$2)))))</f>
        <v> </v>
      </c>
      <c r="J3211" s="25" t="str">
        <f>IF(OR(E3211="",E3211="!!!",F3211="NEW"),"",COUNTBLANK(OFFSET(A$1,,,SUMPRODUCT(MAX(ROW(E$2:E3211)*(E3211=E$2:E3211)))))-COUNTBLANK(OFFSET(A$1,,,SUMPRODUCT(MAX(ROW(E$1:E3210)*(E2=E$1:E3210))))))</f>
        <v> </v>
      </c>
      <c r="K3211" s="25" t="str">
        <f>IF(OR(E3211="",E3211="!!!",F3211="NEW"),"",INDEX(J$1:J3210,SUMPRODUCT(MAX(ROW(E$1:E3210)*(E3211=E$1:E3210)))))</f>
        <v> </v>
      </c>
      <c r="L3211" s="26"/>
    </row>
    <row r="3212" spans="1:12">
      <c r="A3212" s="20" t="s">
        <v>1726</v>
      </c>
      <c r="B3212" s="27" t="s">
        <v>745</v>
      </c>
      <c r="E3212" s="21">
        <f>IF(D3212="?OLD","!!!","")</f>
        <v/>
      </c>
      <c r="F3212" s="22" t="str">
        <f>IF(OR(E3212="",E3212="!!!"),"",IF(NOT(ISNA(VLOOKUP(E3212,E$1:E3211,1,FALSE()))),"OLD",IF(AND(E3212&lt;&gt;"",E3212&lt;&gt;"!!!"),"NEW","")))</f>
        <v> </v>
      </c>
      <c r="G3212" s="23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4" t="str">
        <f>IF(J3212&lt;&gt;1,"",IF(I3212="SBJ","CB","?"))</f>
        <v> </v>
      </c>
      <c r="I3212" s="25" t="str">
        <f>IF(OR(E3212="",E3212="!!!",F3212="NEW"),"",INDEX(B3211:B$2,-1+SUMPRODUCT(MAX(ROW(E3211:E$2)*(E3212=E3211:E$2)))))</f>
        <v> </v>
      </c>
      <c r="J3212" s="25" t="str">
        <f>IF(OR(E3212="",E3212="!!!",F3212="NEW"),"",COUNTBLANK(OFFSET(A$1,,,SUMPRODUCT(MAX(ROW(E$2:E3212)*(E3212=E$2:E3212)))))-COUNTBLANK(OFFSET(A$1,,,SUMPRODUCT(MAX(ROW(E$1:E3211)*(E2=E$1:E3211))))))</f>
        <v> </v>
      </c>
      <c r="K3212" s="25" t="str">
        <f>IF(OR(E3212="",E3212="!!!",F3212="NEW"),"",INDEX(J$1:J3211,SUMPRODUCT(MAX(ROW(E$1:E3211)*(E3212=E$1:E3211)))))</f>
        <v> </v>
      </c>
      <c r="L3212" s="26"/>
    </row>
    <row r="3213" spans="1:12">
      <c r="A3213" s="20" t="s">
        <v>793</v>
      </c>
      <c r="E3213" s="21">
        <f>IF(D3213="?OLD","!!!","")</f>
        <v/>
      </c>
      <c r="F3213" s="22" t="str">
        <f>IF(OR(E3213="",E3213="!!!"),"",IF(NOT(ISNA(VLOOKUP(E3213,E$1:E3212,1,FALSE()))),"OLD",IF(AND(E3213&lt;&gt;"",E3213&lt;&gt;"!!!"),"NEW","")))</f>
        <v> </v>
      </c>
      <c r="G3213" s="23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4" t="str">
        <f>IF(J3213&lt;&gt;1,"",IF(I3213="SBJ","CB","?"))</f>
        <v> </v>
      </c>
      <c r="I3213" s="25" t="str">
        <f>IF(OR(E3213="",E3213="!!!",F3213="NEW"),"",INDEX(B3212:B$2,-1+SUMPRODUCT(MAX(ROW(E3212:E$2)*(E3213=E3212:E$2)))))</f>
        <v> </v>
      </c>
      <c r="J3213" s="25" t="str">
        <f>IF(OR(E3213="",E3213="!!!",F3213="NEW"),"",COUNTBLANK(OFFSET(A$1,,,SUMPRODUCT(MAX(ROW(E$2:E3213)*(E3213=E$2:E3213)))))-COUNTBLANK(OFFSET(A$1,,,SUMPRODUCT(MAX(ROW(E$1:E3212)*(E2=E$1:E3212))))))</f>
        <v> </v>
      </c>
      <c r="K3213" s="25" t="str">
        <f>IF(OR(E3213="",E3213="!!!",F3213="NEW"),"",INDEX(J$1:J3212,SUMPRODUCT(MAX(ROW(E$1:E3212)*(E3213=E$1:E3212)))))</f>
        <v> </v>
      </c>
      <c r="L3213" s="26"/>
    </row>
    <row r="3214" spans="1:12">
      <c r="A3214" s="20" t="s">
        <v>1898</v>
      </c>
      <c r="E3214" s="21">
        <f>IF(D3214="?OLD","!!!","")</f>
        <v/>
      </c>
      <c r="F3214" s="22" t="str">
        <f>IF(OR(E3214="",E3214="!!!"),"",IF(NOT(ISNA(VLOOKUP(E3214,E$1:E3213,1,FALSE()))),"OLD",IF(AND(E3214&lt;&gt;"",E3214&lt;&gt;"!!!"),"NEW","")))</f>
        <v> </v>
      </c>
      <c r="G3214" s="23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4" t="str">
        <f>IF(J3214&lt;&gt;1,"",IF(I3214="SBJ","CB","?"))</f>
        <v> </v>
      </c>
      <c r="I3214" s="25" t="str">
        <f>IF(OR(E3214="",E3214="!!!",F3214="NEW"),"",INDEX(B3213:B$2,-1+SUMPRODUCT(MAX(ROW(E3213:E$2)*(E3214=E3213:E$2)))))</f>
        <v> </v>
      </c>
      <c r="J3214" s="25" t="str">
        <f>IF(OR(E3214="",E3214="!!!",F3214="NEW"),"",COUNTBLANK(OFFSET(A$1,,,SUMPRODUCT(MAX(ROW(E$2:E3214)*(E3214=E$2:E3214)))))-COUNTBLANK(OFFSET(A$1,,,SUMPRODUCT(MAX(ROW(E$1:E3213)*(E2=E$1:E3213))))))</f>
        <v> </v>
      </c>
      <c r="K3214" s="25" t="str">
        <f>IF(OR(E3214="",E3214="!!!",F3214="NEW"),"",INDEX(J$1:J3213,SUMPRODUCT(MAX(ROW(E$1:E3213)*(E3214=E$1:E3213)))))</f>
        <v> </v>
      </c>
      <c r="L3214" s="26"/>
    </row>
    <row r="3215" spans="1:12">
      <c r="A3215" s="20" t="s">
        <v>1568</v>
      </c>
      <c r="B3215" s="27" t="s">
        <v>727</v>
      </c>
      <c r="C3215" s="27" t="s">
        <v>715</v>
      </c>
      <c r="D3215" s="27" t="s">
        <v>716</v>
      </c>
      <c r="E3215" s="21">
        <f>IF(D3215="?OLD","!!!","")</f>
        <v/>
      </c>
      <c r="F3215" s="22" t="str">
        <f>IF(OR(E3215="",E3215="!!!"),"",IF(NOT(ISNA(VLOOKUP(E3215,E$1:E3214,1,FALSE()))),"OLD",IF(AND(E3215&lt;&gt;"",E3215&lt;&gt;"!!!"),"NEW","")))</f>
        <v> </v>
      </c>
      <c r="G3215" s="23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4" t="str">
        <f>IF(J3215&lt;&gt;1,"",IF(I3215="SBJ","CB","?"))</f>
        <v> </v>
      </c>
      <c r="I3215" s="25" t="str">
        <f>IF(OR(E3215="",E3215="!!!",F3215="NEW"),"",INDEX(B3214:B$2,-1+SUMPRODUCT(MAX(ROW(E3214:E$2)*(E3215=E3214:E$2)))))</f>
        <v> </v>
      </c>
      <c r="J3215" s="25" t="str">
        <f>IF(OR(E3215="",E3215="!!!",F3215="NEW"),"",COUNTBLANK(OFFSET(A$1,,,SUMPRODUCT(MAX(ROW(E$2:E3215)*(E3215=E$2:E3215)))))-COUNTBLANK(OFFSET(A$1,,,SUMPRODUCT(MAX(ROW(E$1:E3214)*(E2=E$1:E3214))))))</f>
        <v> </v>
      </c>
      <c r="K3215" s="25" t="str">
        <f>IF(OR(E3215="",E3215="!!!",F3215="NEW"),"",INDEX(J$1:J3214,SUMPRODUCT(MAX(ROW(E$1:E3214)*(E3215=E$1:E3214)))))</f>
        <v> </v>
      </c>
      <c r="L3215" s="26"/>
    </row>
    <row r="3216" spans="1:12">
      <c r="A3216" s="20" t="s">
        <v>1899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719</v>
      </c>
      <c r="B3217" s="27" t="s">
        <v>745</v>
      </c>
      <c r="E3217" s="21">
        <f>IF(D3217="?OLD","!!!","")</f>
        <v/>
      </c>
      <c r="F3217" s="22" t="str">
        <f>IF(OR(E3217="",E3217="!!!"),"",IF(NOT(ISNA(VLOOKUP(E3217,E$1:E3216,1,FALSE()))),"OLD",IF(AND(E3217&lt;&gt;"",E3217&lt;&gt;"!!!"),"NEW","")))</f>
        <v> </v>
      </c>
      <c r="G3217" s="23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4" t="str">
        <f>IF(J3217&lt;&gt;1,"",IF(I3217="SBJ","CB","?"))</f>
        <v> </v>
      </c>
      <c r="I3217" s="25" t="str">
        <f>IF(OR(E3217="",E3217="!!!",F3217="NEW"),"",INDEX(B3216:B$2,-1+SUMPRODUCT(MAX(ROW(E3216:E$2)*(E3217=E3216:E$2)))))</f>
        <v> </v>
      </c>
      <c r="J3217" s="25" t="str">
        <f>IF(OR(E3217="",E3217="!!!",F3217="NEW"),"",COUNTBLANK(OFFSET(A$1,,,SUMPRODUCT(MAX(ROW(E$2:E3217)*(E3217=E$2:E3217)))))-COUNTBLANK(OFFSET(A$1,,,SUMPRODUCT(MAX(ROW(E$1:E3216)*(E2=E$1:E3216))))))</f>
        <v> </v>
      </c>
      <c r="K3217" s="25" t="str">
        <f>IF(OR(E3217="",E3217="!!!",F3217="NEW"),"",INDEX(J$1:J3216,SUMPRODUCT(MAX(ROW(E$1:E3216)*(E3217=E$1:E3216)))))</f>
        <v> </v>
      </c>
      <c r="L3217" s="26"/>
    </row>
    <row r="3218" spans="1:12">
      <c r="A3218" s="20" t="s">
        <v>737</v>
      </c>
      <c r="E3218" s="21">
        <f>IF(D3218="?OLD","!!!","")</f>
        <v/>
      </c>
      <c r="F3218" s="22" t="str">
        <f>IF(OR(E3218="",E3218="!!!"),"",IF(NOT(ISNA(VLOOKUP(E3218,E$1:E3217,1,FALSE()))),"OLD",IF(AND(E3218&lt;&gt;"",E3218&lt;&gt;"!!!"),"NEW","")))</f>
        <v> </v>
      </c>
      <c r="G3218" s="23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4" t="str">
        <f>IF(J3218&lt;&gt;1,"",IF(I3218="SBJ","CB","?"))</f>
        <v> </v>
      </c>
      <c r="I3218" s="25" t="str">
        <f>IF(OR(E3218="",E3218="!!!",F3218="NEW"),"",INDEX(B3217:B$2,-1+SUMPRODUCT(MAX(ROW(E3217:E$2)*(E3218=E3217:E$2)))))</f>
        <v> </v>
      </c>
      <c r="J3218" s="25" t="str">
        <f>IF(OR(E3218="",E3218="!!!",F3218="NEW"),"",COUNTBLANK(OFFSET(A$1,,,SUMPRODUCT(MAX(ROW(E$2:E3218)*(E3218=E$2:E3218)))))-COUNTBLANK(OFFSET(A$1,,,SUMPRODUCT(MAX(ROW(E$1:E3217)*(E2=E$1:E3217))))))</f>
        <v> </v>
      </c>
      <c r="K3218" s="25" t="str">
        <f>IF(OR(E3218="",E3218="!!!",F3218="NEW"),"",INDEX(J$1:J3217,SUMPRODUCT(MAX(ROW(E$1:E3217)*(E3218=E$1:E3217)))))</f>
        <v> </v>
      </c>
      <c r="L3218" s="26"/>
    </row>
    <row r="3219" spans="1:12">
      <c r="A3219" s="20" t="s">
        <v>749</v>
      </c>
      <c r="E3219" s="21">
        <f>IF(D3219="?OLD","!!!","")</f>
        <v/>
      </c>
      <c r="F3219" s="22" t="str">
        <f>IF(OR(E3219="",E3219="!!!"),"",IF(NOT(ISNA(VLOOKUP(E3219,E$1:E3218,1,FALSE()))),"OLD",IF(AND(E3219&lt;&gt;"",E3219&lt;&gt;"!!!"),"NEW","")))</f>
        <v> </v>
      </c>
      <c r="G3219" s="23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4" t="str">
        <f>IF(J3219&lt;&gt;1,"",IF(I3219="SBJ","CB","?"))</f>
        <v> </v>
      </c>
      <c r="I3219" s="25" t="str">
        <f>IF(OR(E3219="",E3219="!!!",F3219="NEW"),"",INDEX(B3218:B$2,-1+SUMPRODUCT(MAX(ROW(E3218:E$2)*(E3219=E3218:E$2)))))</f>
        <v> </v>
      </c>
      <c r="J3219" s="25" t="str">
        <f>IF(OR(E3219="",E3219="!!!",F3219="NEW"),"",COUNTBLANK(OFFSET(A$1,,,SUMPRODUCT(MAX(ROW(E$2:E3219)*(E3219=E$2:E3219)))))-COUNTBLANK(OFFSET(A$1,,,SUMPRODUCT(MAX(ROW(E$1:E3218)*(E2=E$1:E3218))))))</f>
        <v> </v>
      </c>
      <c r="K3219" s="25" t="str">
        <f>IF(OR(E3219="",E3219="!!!",F3219="NEW"),"",INDEX(J$1:J3218,SUMPRODUCT(MAX(ROW(E$1:E3218)*(E3219=E$1:E3218)))))</f>
        <v> </v>
      </c>
      <c r="L3219" s="26"/>
    </row>
    <row r="3220" spans="1:12">
      <c r="A3220" s="20" t="s">
        <v>750</v>
      </c>
      <c r="B3220" s="27" t="s">
        <v>867</v>
      </c>
      <c r="C3220" s="27" t="s">
        <v>799</v>
      </c>
      <c r="D3220" s="27" t="s">
        <v>716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1900</v>
      </c>
      <c r="B3221" s="27" t="s">
        <v>790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 t="s">
        <v>1901</v>
      </c>
      <c r="E3222" s="21">
        <f>IF(D3222="?OLD","!!!","")</f>
        <v/>
      </c>
      <c r="F3222" s="22" t="str">
        <f>IF(OR(E3222="",E3222="!!!"),"",IF(NOT(ISNA(VLOOKUP(E3222,E$1:E3221,1,FALSE()))),"OLD",IF(AND(E3222&lt;&gt;"",E3222&lt;&gt;"!!!"),"NEW","")))</f>
        <v> </v>
      </c>
      <c r="G3222" s="23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4" t="str">
        <f>IF(J3222&lt;&gt;1,"",IF(I3222="SBJ","CB","?"))</f>
        <v> </v>
      </c>
      <c r="I3222" s="25" t="str">
        <f>IF(OR(E3222="",E3222="!!!",F3222="NEW"),"",INDEX(B3221:B$2,-1+SUMPRODUCT(MAX(ROW(E3221:E$2)*(E3222=E3221:E$2)))))</f>
        <v> </v>
      </c>
      <c r="J3222" s="25" t="str">
        <f>IF(OR(E3222="",E3222="!!!",F3222="NEW"),"",COUNTBLANK(OFFSET(A$1,,,SUMPRODUCT(MAX(ROW(E$2:E3222)*(E3222=E$2:E3222)))))-COUNTBLANK(OFFSET(A$1,,,SUMPRODUCT(MAX(ROW(E$1:E3221)*(E2=E$1:E3221))))))</f>
        <v> </v>
      </c>
      <c r="K3222" s="25" t="str">
        <f>IF(OR(E3222="",E3222="!!!",F3222="NEW"),"",INDEX(J$1:J3221,SUMPRODUCT(MAX(ROW(E$1:E3221)*(E3222=E$1:E3221)))))</f>
        <v> </v>
      </c>
      <c r="L3222" s="26"/>
    </row>
    <row r="3223" spans="1:12">
      <c r="A3223" s="20" t="s">
        <v>1902</v>
      </c>
      <c r="E3223" s="21">
        <f>IF(D3223="?OLD","!!!","")</f>
        <v/>
      </c>
      <c r="F3223" s="22" t="str">
        <f>IF(OR(E3223="",E3223="!!!"),"",IF(NOT(ISNA(VLOOKUP(E3223,E$1:E3222,1,FALSE()))),"OLD",IF(AND(E3223&lt;&gt;"",E3223&lt;&gt;"!!!"),"NEW","")))</f>
        <v> </v>
      </c>
      <c r="G3223" s="23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4" t="str">
        <f>IF(J3223&lt;&gt;1,"",IF(I3223="SBJ","CB","?"))</f>
        <v> </v>
      </c>
      <c r="I3223" s="25" t="str">
        <f>IF(OR(E3223="",E3223="!!!",F3223="NEW"),"",INDEX(B3222:B$2,-1+SUMPRODUCT(MAX(ROW(E3222:E$2)*(E3223=E3222:E$2)))))</f>
        <v> </v>
      </c>
      <c r="J3223" s="25" t="str">
        <f>IF(OR(E3223="",E3223="!!!",F3223="NEW"),"",COUNTBLANK(OFFSET(A$1,,,SUMPRODUCT(MAX(ROW(E$2:E3223)*(E3223=E$2:E3223)))))-COUNTBLANK(OFFSET(A$1,,,SUMPRODUCT(MAX(ROW(E$1:E3222)*(E2=E$1:E3222))))))</f>
        <v> </v>
      </c>
      <c r="K3223" s="25" t="str">
        <f>IF(OR(E3223="",E3223="!!!",F3223="NEW"),"",INDEX(J$1:J3222,SUMPRODUCT(MAX(ROW(E$1:E3222)*(E3223=E$1:E3222)))))</f>
        <v> </v>
      </c>
      <c r="L3223" s="26"/>
    </row>
    <row r="3224" spans="1:12">
      <c r="A3224" s="20" t="s">
        <v>618</v>
      </c>
      <c r="E3224" s="21">
        <f>IF(D3224="?OLD","!!!","")</f>
        <v/>
      </c>
      <c r="F3224" s="22" t="str">
        <f>IF(OR(E3224="",E3224="!!!"),"",IF(NOT(ISNA(VLOOKUP(E3224,E$1:E3223,1,FALSE()))),"OLD",IF(AND(E3224&lt;&gt;"",E3224&lt;&gt;"!!!"),"NEW","")))</f>
        <v> </v>
      </c>
      <c r="G3224" s="23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4" t="str">
        <f>IF(J3224&lt;&gt;1,"",IF(I3224="SBJ","CB","?"))</f>
        <v> </v>
      </c>
      <c r="I3224" s="25" t="str">
        <f>IF(OR(E3224="",E3224="!!!",F3224="NEW"),"",INDEX(B3223:B$2,-1+SUMPRODUCT(MAX(ROW(E3223:E$2)*(E3224=E3223:E$2)))))</f>
        <v> </v>
      </c>
      <c r="J3224" s="25" t="str">
        <f>IF(OR(E3224="",E3224="!!!",F3224="NEW"),"",COUNTBLANK(OFFSET(A$1,,,SUMPRODUCT(MAX(ROW(E$2:E3224)*(E3224=E$2:E3224)))))-COUNTBLANK(OFFSET(A$1,,,SUMPRODUCT(MAX(ROW(E$1:E3223)*(E2=E$1:E3223))))))</f>
        <v> </v>
      </c>
      <c r="K3224" s="25" t="str">
        <f>IF(OR(E3224="",E3224="!!!",F3224="NEW"),"",INDEX(J$1:J3223,SUMPRODUCT(MAX(ROW(E$1:E3223)*(E3224=E$1:E3223)))))</f>
        <v> </v>
      </c>
      <c r="L3224" s="26"/>
    </row>
    <row r="3225" spans="1:12">
      <c r="A3225" s="20" t="s">
        <v>1903</v>
      </c>
      <c r="E3225" s="21">
        <f>IF(D3225="?OLD","!!!","")</f>
        <v/>
      </c>
      <c r="F3225" s="22" t="str">
        <f>IF(OR(E3225="",E3225="!!!"),"",IF(NOT(ISNA(VLOOKUP(E3225,E$1:E3224,1,FALSE()))),"OLD",IF(AND(E3225&lt;&gt;"",E3225&lt;&gt;"!!!"),"NEW","")))</f>
        <v> </v>
      </c>
      <c r="G3225" s="23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4" t="str">
        <f>IF(J3225&lt;&gt;1,"",IF(I3225="SBJ","CB","?"))</f>
        <v> </v>
      </c>
      <c r="I3225" s="25" t="str">
        <f>IF(OR(E3225="",E3225="!!!",F3225="NEW"),"",INDEX(B3224:B$2,-1+SUMPRODUCT(MAX(ROW(E3224:E$2)*(E3225=E3224:E$2)))))</f>
        <v> </v>
      </c>
      <c r="J3225" s="25" t="str">
        <f>IF(OR(E3225="",E3225="!!!",F3225="NEW"),"",COUNTBLANK(OFFSET(A$1,,,SUMPRODUCT(MAX(ROW(E$2:E3225)*(E3225=E$2:E3225)))))-COUNTBLANK(OFFSET(A$1,,,SUMPRODUCT(MAX(ROW(E$1:E3224)*(E2=E$1:E3224))))))</f>
        <v> </v>
      </c>
      <c r="K3225" s="25" t="str">
        <f>IF(OR(E3225="",E3225="!!!",F3225="NEW"),"",INDEX(J$1:J3224,SUMPRODUCT(MAX(ROW(E$1:E3224)*(E3225=E$1:E3224)))))</f>
        <v> </v>
      </c>
      <c r="L3225" s="26"/>
    </row>
    <row r="3226" spans="1:12">
      <c r="A3226" s="20" t="s">
        <v>737</v>
      </c>
      <c r="E3226" s="21">
        <f>IF(D3226="?OLD","!!!","")</f>
        <v/>
      </c>
      <c r="F3226" s="22" t="str">
        <f>IF(OR(E3226="",E3226="!!!"),"",IF(NOT(ISNA(VLOOKUP(E3226,E$1:E3225,1,FALSE()))),"OLD",IF(AND(E3226&lt;&gt;"",E3226&lt;&gt;"!!!"),"NEW","")))</f>
        <v> </v>
      </c>
      <c r="G3226" s="23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4" t="str">
        <f>IF(J3226&lt;&gt;1,"",IF(I3226="SBJ","CB","?"))</f>
        <v> </v>
      </c>
      <c r="I3226" s="25" t="str">
        <f>IF(OR(E3226="",E3226="!!!",F3226="NEW"),"",INDEX(B3225:B$2,-1+SUMPRODUCT(MAX(ROW(E3225:E$2)*(E3226=E3225:E$2)))))</f>
        <v> </v>
      </c>
      <c r="J3226" s="25" t="str">
        <f>IF(OR(E3226="",E3226="!!!",F3226="NEW"),"",COUNTBLANK(OFFSET(A$1,,,SUMPRODUCT(MAX(ROW(E$2:E3226)*(E3226=E$2:E3226)))))-COUNTBLANK(OFFSET(A$1,,,SUMPRODUCT(MAX(ROW(E$1:E3225)*(E2=E$1:E3225))))))</f>
        <v> </v>
      </c>
      <c r="K3226" s="25" t="str">
        <f>IF(OR(E3226="",E3226="!!!",F3226="NEW"),"",INDEX(J$1:J3225,SUMPRODUCT(MAX(ROW(E$1:E3225)*(E3226=E$1:E3225)))))</f>
        <v> </v>
      </c>
      <c r="L3226" s="26"/>
    </row>
    <row r="3227" spans="1:12">
      <c r="A3227" s="20" t="s">
        <v>743</v>
      </c>
      <c r="E3227" s="21">
        <f>IF(D3227="?OLD","!!!","")</f>
        <v/>
      </c>
      <c r="F3227" s="22" t="str">
        <f>IF(OR(E3227="",E3227="!!!"),"",IF(NOT(ISNA(VLOOKUP(E3227,E$1:E3226,1,FALSE()))),"OLD",IF(AND(E3227&lt;&gt;"",E3227&lt;&gt;"!!!"),"NEW","")))</f>
        <v> </v>
      </c>
      <c r="G3227" s="23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4" t="str">
        <f>IF(J3227&lt;&gt;1,"",IF(I3227="SBJ","CB","?"))</f>
        <v> </v>
      </c>
      <c r="I3227" s="25" t="str">
        <f>IF(OR(E3227="",E3227="!!!",F3227="NEW"),"",INDEX(B3226:B$2,-1+SUMPRODUCT(MAX(ROW(E3226:E$2)*(E3227=E3226:E$2)))))</f>
        <v> </v>
      </c>
      <c r="J3227" s="25" t="str">
        <f>IF(OR(E3227="",E3227="!!!",F3227="NEW"),"",COUNTBLANK(OFFSET(A$1,,,SUMPRODUCT(MAX(ROW(E$2:E3227)*(E3227=E$2:E3227)))))-COUNTBLANK(OFFSET(A$1,,,SUMPRODUCT(MAX(ROW(E$1:E3226)*(E2=E$1:E3226))))))</f>
        <v> </v>
      </c>
      <c r="K3227" s="25" t="str">
        <f>IF(OR(E3227="",E3227="!!!",F3227="NEW"),"",INDEX(J$1:J3226,SUMPRODUCT(MAX(ROW(E$1:E3226)*(E3227=E$1:E3226)))))</f>
        <v> </v>
      </c>
      <c r="L3227" s="26"/>
    </row>
    <row r="3228" spans="1:12">
      <c r="A3228" s="20" t="s">
        <v>823</v>
      </c>
      <c r="B3228" s="27" t="s">
        <v>745</v>
      </c>
      <c r="C3228" s="27" t="s">
        <v>715</v>
      </c>
      <c r="D3228" s="27" t="s">
        <v>716</v>
      </c>
      <c r="E3228" s="21">
        <f>IF(D3228="?OLD","!!!","")</f>
        <v/>
      </c>
      <c r="F3228" s="22" t="str">
        <f>IF(OR(E3228="",E3228="!!!"),"",IF(NOT(ISNA(VLOOKUP(E3228,E$1:E3227,1,FALSE()))),"OLD",IF(AND(E3228&lt;&gt;"",E3228&lt;&gt;"!!!"),"NEW","")))</f>
        <v> </v>
      </c>
      <c r="G3228" s="23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4" t="str">
        <f>IF(J3228&lt;&gt;1,"",IF(I3228="SBJ","CB","?"))</f>
        <v> </v>
      </c>
      <c r="I3228" s="25" t="str">
        <f>IF(OR(E3228="",E3228="!!!",F3228="NEW"),"",INDEX(B3227:B$2,-1+SUMPRODUCT(MAX(ROW(E3227:E$2)*(E3228=E3227:E$2)))))</f>
        <v> </v>
      </c>
      <c r="J3228" s="25" t="str">
        <f>IF(OR(E3228="",E3228="!!!",F3228="NEW"),"",COUNTBLANK(OFFSET(A$1,,,SUMPRODUCT(MAX(ROW(E$2:E3228)*(E3228=E$2:E3228)))))-COUNTBLANK(OFFSET(A$1,,,SUMPRODUCT(MAX(ROW(E$1:E3227)*(E2=E$1:E3227))))))</f>
        <v> </v>
      </c>
      <c r="K3228" s="25" t="str">
        <f>IF(OR(E3228="",E3228="!!!",F3228="NEW"),"",INDEX(J$1:J3227,SUMPRODUCT(MAX(ROW(E$1:E3227)*(E3228=E$1:E3227)))))</f>
        <v> </v>
      </c>
      <c r="L3228" s="26"/>
    </row>
    <row r="3229" spans="1:12">
      <c r="A3229" s="20" t="s">
        <v>915</v>
      </c>
      <c r="E3229" s="21">
        <f>IF(D3229="?OLD","!!!","")</f>
        <v/>
      </c>
      <c r="F3229" s="22" t="str">
        <f>IF(OR(E3229="",E3229="!!!"),"",IF(NOT(ISNA(VLOOKUP(E3229,E$1:E3228,1,FALSE()))),"OLD",IF(AND(E3229&lt;&gt;"",E3229&lt;&gt;"!!!"),"NEW","")))</f>
        <v> </v>
      </c>
      <c r="G3229" s="23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4" t="str">
        <f>IF(J3229&lt;&gt;1,"",IF(I3229="SBJ","CB","?"))</f>
        <v> </v>
      </c>
      <c r="I3229" s="25" t="str">
        <f>IF(OR(E3229="",E3229="!!!",F3229="NEW"),"",INDEX(B3228:B$2,-1+SUMPRODUCT(MAX(ROW(E3228:E$2)*(E3229=E3228:E$2)))))</f>
        <v> </v>
      </c>
      <c r="J3229" s="25" t="str">
        <f>IF(OR(E3229="",E3229="!!!",F3229="NEW"),"",COUNTBLANK(OFFSET(A$1,,,SUMPRODUCT(MAX(ROW(E$2:E3229)*(E3229=E$2:E3229)))))-COUNTBLANK(OFFSET(A$1,,,SUMPRODUCT(MAX(ROW(E$1:E3228)*(E2=E$1:E3228))))))</f>
        <v> </v>
      </c>
      <c r="K3229" s="25" t="str">
        <f>IF(OR(E3229="",E3229="!!!",F3229="NEW"),"",INDEX(J$1:J3228,SUMPRODUCT(MAX(ROW(E$1:E3228)*(E3229=E$1:E3228)))))</f>
        <v> </v>
      </c>
      <c r="L3229" s="26"/>
    </row>
    <row r="3230" spans="1:12">
      <c r="A3230" s="20" t="s">
        <v>846</v>
      </c>
      <c r="B3230" s="27" t="s">
        <v>847</v>
      </c>
      <c r="C3230" s="27" t="s">
        <v>715</v>
      </c>
      <c r="D3230" s="27" t="s">
        <v>716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1605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 t="s">
        <v>1139</v>
      </c>
      <c r="E3232" s="21">
        <f>IF(D3232="?OLD","!!!","")</f>
        <v/>
      </c>
      <c r="F3232" s="22" t="str">
        <f>IF(OR(E3232="",E3232="!!!"),"",IF(NOT(ISNA(VLOOKUP(E3232,E$1:E3231,1,FALSE()))),"OLD",IF(AND(E3232&lt;&gt;"",E3232&lt;&gt;"!!!"),"NEW","")))</f>
        <v> </v>
      </c>
      <c r="G3232" s="23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4" t="str">
        <f>IF(J3232&lt;&gt;1,"",IF(I3232="SBJ","CB","?"))</f>
        <v> </v>
      </c>
      <c r="I3232" s="25" t="str">
        <f>IF(OR(E3232="",E3232="!!!",F3232="NEW"),"",INDEX(B3231:B$2,-1+SUMPRODUCT(MAX(ROW(E3231:E$2)*(E3232=E3231:E$2)))))</f>
        <v> </v>
      </c>
      <c r="J3232" s="25" t="str">
        <f>IF(OR(E3232="",E3232="!!!",F3232="NEW"),"",COUNTBLANK(OFFSET(A$1,,,SUMPRODUCT(MAX(ROW(E$2:E3232)*(E3232=E$2:E3232)))))-COUNTBLANK(OFFSET(A$1,,,SUMPRODUCT(MAX(ROW(E$1:E3231)*(E2=E$1:E3231))))))</f>
        <v> </v>
      </c>
      <c r="K3232" s="25" t="str">
        <f>IF(OR(E3232="",E3232="!!!",F3232="NEW"),"",INDEX(J$1:J3231,SUMPRODUCT(MAX(ROW(E$1:E3231)*(E3232=E$1:E3231)))))</f>
        <v> </v>
      </c>
      <c r="L3232" s="26"/>
    </row>
    <row r="3233" spans="1:12">
      <c r="A3233" s="20" t="s">
        <v>737</v>
      </c>
      <c r="E3233" s="21">
        <f>IF(D3233="?OLD","!!!","")</f>
        <v/>
      </c>
      <c r="F3233" s="22" t="str">
        <f>IF(OR(E3233="",E3233="!!!"),"",IF(NOT(ISNA(VLOOKUP(E3233,E$1:E3232,1,FALSE()))),"OLD",IF(AND(E3233&lt;&gt;"",E3233&lt;&gt;"!!!"),"NEW","")))</f>
        <v> </v>
      </c>
      <c r="G3233" s="23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4" t="str">
        <f>IF(J3233&lt;&gt;1,"",IF(I3233="SBJ","CB","?"))</f>
        <v> </v>
      </c>
      <c r="I3233" s="25" t="str">
        <f>IF(OR(E3233="",E3233="!!!",F3233="NEW"),"",INDEX(B3232:B$2,-1+SUMPRODUCT(MAX(ROW(E3232:E$2)*(E3233=E3232:E$2)))))</f>
        <v> </v>
      </c>
      <c r="J3233" s="25" t="str">
        <f>IF(OR(E3233="",E3233="!!!",F3233="NEW"),"",COUNTBLANK(OFFSET(A$1,,,SUMPRODUCT(MAX(ROW(E$2:E3233)*(E3233=E$2:E3233)))))-COUNTBLANK(OFFSET(A$1,,,SUMPRODUCT(MAX(ROW(E$1:E3232)*(E2=E$1:E3232))))))</f>
        <v> </v>
      </c>
      <c r="K3233" s="25" t="str">
        <f>IF(OR(E3233="",E3233="!!!",F3233="NEW"),"",INDEX(J$1:J3232,SUMPRODUCT(MAX(ROW(E$1:E3232)*(E3233=E$1:E3232)))))</f>
        <v> </v>
      </c>
      <c r="L3233" s="26"/>
    </row>
    <row r="3234" spans="1:12">
      <c r="A3234" s="20" t="s">
        <v>1139</v>
      </c>
      <c r="E3234" s="21">
        <f>IF(D3234="?OLD","!!!","")</f>
        <v/>
      </c>
      <c r="F3234" s="22" t="str">
        <f>IF(OR(E3234="",E3234="!!!"),"",IF(NOT(ISNA(VLOOKUP(E3234,E$1:E3233,1,FALSE()))),"OLD",IF(AND(E3234&lt;&gt;"",E3234&lt;&gt;"!!!"),"NEW","")))</f>
        <v> </v>
      </c>
      <c r="G3234" s="23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4" t="str">
        <f>IF(J3234&lt;&gt;1,"",IF(I3234="SBJ","CB","?"))</f>
        <v> </v>
      </c>
      <c r="I3234" s="25" t="str">
        <f>IF(OR(E3234="",E3234="!!!",F3234="NEW"),"",INDEX(B3233:B$2,-1+SUMPRODUCT(MAX(ROW(E3233:E$2)*(E3234=E3233:E$2)))))</f>
        <v> </v>
      </c>
      <c r="J3234" s="25" t="str">
        <f>IF(OR(E3234="",E3234="!!!",F3234="NEW"),"",COUNTBLANK(OFFSET(A$1,,,SUMPRODUCT(MAX(ROW(E$2:E3234)*(E3234=E$2:E3234)))))-COUNTBLANK(OFFSET(A$1,,,SUMPRODUCT(MAX(ROW(E$1:E3233)*(E2=E$1:E3233))))))</f>
        <v> </v>
      </c>
      <c r="K3234" s="25" t="str">
        <f>IF(OR(E3234="",E3234="!!!",F3234="NEW"),"",INDEX(J$1:J3233,SUMPRODUCT(MAX(ROW(E$1:E3233)*(E3234=E$1:E3233)))))</f>
        <v> </v>
      </c>
      <c r="L3234" s="26"/>
    </row>
    <row r="3235" spans="1:12">
      <c r="A3235" s="20" t="s">
        <v>1755</v>
      </c>
      <c r="E3235" s="21">
        <f>IF(D3235="?OLD","!!!","")</f>
        <v/>
      </c>
      <c r="F3235" s="22" t="str">
        <f>IF(OR(E3235="",E3235="!!!"),"",IF(NOT(ISNA(VLOOKUP(E3235,E$1:E3234,1,FALSE()))),"OLD",IF(AND(E3235&lt;&gt;"",E3235&lt;&gt;"!!!"),"NEW","")))</f>
        <v> </v>
      </c>
      <c r="G3235" s="23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4" t="str">
        <f>IF(J3235&lt;&gt;1,"",IF(I3235="SBJ","CB","?"))</f>
        <v> </v>
      </c>
      <c r="I3235" s="25" t="str">
        <f>IF(OR(E3235="",E3235="!!!",F3235="NEW"),"",INDEX(B3234:B$2,-1+SUMPRODUCT(MAX(ROW(E3234:E$2)*(E3235=E3234:E$2)))))</f>
        <v> </v>
      </c>
      <c r="J3235" s="25" t="str">
        <f>IF(OR(E3235="",E3235="!!!",F3235="NEW"),"",COUNTBLANK(OFFSET(A$1,,,SUMPRODUCT(MAX(ROW(E$2:E3235)*(E3235=E$2:E3235)))))-COUNTBLANK(OFFSET(A$1,,,SUMPRODUCT(MAX(ROW(E$1:E3234)*(E2=E$1:E3234))))))</f>
        <v> </v>
      </c>
      <c r="K3235" s="25" t="str">
        <f>IF(OR(E3235="",E3235="!!!",F3235="NEW"),"",INDEX(J$1:J3234,SUMPRODUCT(MAX(ROW(E$1:E3234)*(E3235=E$1:E3234)))))</f>
        <v> </v>
      </c>
      <c r="L3235" s="26"/>
    </row>
    <row r="3236" spans="1:12">
      <c r="A3236" s="20" t="s">
        <v>720</v>
      </c>
      <c r="E3236" s="21">
        <f>IF(D3236="?OLD","!!!","")</f>
        <v/>
      </c>
      <c r="F3236" s="22" t="str">
        <f>IF(OR(E3236="",E3236="!!!"),"",IF(NOT(ISNA(VLOOKUP(E3236,E$1:E3235,1,FALSE()))),"OLD",IF(AND(E3236&lt;&gt;"",E3236&lt;&gt;"!!!"),"NEW","")))</f>
        <v> </v>
      </c>
      <c r="G3236" s="23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4" t="str">
        <f>IF(J3236&lt;&gt;1,"",IF(I3236="SBJ","CB","?"))</f>
        <v> </v>
      </c>
      <c r="I3236" s="25" t="str">
        <f>IF(OR(E3236="",E3236="!!!",F3236="NEW"),"",INDEX(B3235:B$2,-1+SUMPRODUCT(MAX(ROW(E3235:E$2)*(E3236=E3235:E$2)))))</f>
        <v> </v>
      </c>
      <c r="J3236" s="25" t="str">
        <f>IF(OR(E3236="",E3236="!!!",F3236="NEW"),"",COUNTBLANK(OFFSET(A$1,,,SUMPRODUCT(MAX(ROW(E$2:E3236)*(E3236=E$2:E3236)))))-COUNTBLANK(OFFSET(A$1,,,SUMPRODUCT(MAX(ROW(E$1:E3235)*(E2=E$1:E3235))))))</f>
        <v> </v>
      </c>
      <c r="K3236" s="25" t="str">
        <f>IF(OR(E3236="",E3236="!!!",F3236="NEW"),"",INDEX(J$1:J3235,SUMPRODUCT(MAX(ROW(E$1:E3235)*(E3236=E$1:E3235)))))</f>
        <v> </v>
      </c>
      <c r="L3236" s="26"/>
    </row>
    <row r="3237" spans="1:12">
      <c r="A3237" s="20"/>
    </row>
    <row r="3238" spans="1:12">
      <c r="A3238" s="20" t="s">
        <v>1904</v>
      </c>
    </row>
    <row r="3239" spans="1:12">
      <c r="A3239" s="20" t="s">
        <v>1266</v>
      </c>
      <c r="B3239" s="27" t="s">
        <v>745</v>
      </c>
      <c r="C3239" s="27" t="s">
        <v>791</v>
      </c>
      <c r="E3239" s="21">
        <f>IF(D3239="?OLD","!!!","")</f>
        <v/>
      </c>
      <c r="F3239" s="22" t="str">
        <f>IF(OR(E3239="",E3239="!!!"),"",IF(NOT(ISNA(VLOOKUP(E3239,E$1:E3238,1,FALSE()))),"OLD",IF(AND(E3239&lt;&gt;"",E3239&lt;&gt;"!!!"),"NEW","")))</f>
        <v> </v>
      </c>
      <c r="G3239" s="23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4" t="str">
        <f>IF(J3239&lt;&gt;1,"",IF(I3239="SBJ","CB","?"))</f>
        <v> </v>
      </c>
      <c r="I3239" s="25" t="str">
        <f>IF(OR(E3239="",E3239="!!!",F3239="NEW"),"",INDEX(B3238:B$2,-1+SUMPRODUCT(MAX(ROW(E3238:E$2)*(E3239=E3238:E$2)))))</f>
        <v> </v>
      </c>
      <c r="J3239" s="25" t="str">
        <f>IF(OR(E3239="",E3239="!!!",F3239="NEW"),"",COUNTBLANK(OFFSET(A$1,,,SUMPRODUCT(MAX(ROW(E$2:E3239)*(E3239=E$2:E3239)))))-COUNTBLANK(OFFSET(A$1,,,SUMPRODUCT(MAX(ROW(E$1:E3238)*(E2=E$1:E3238))))))</f>
        <v> </v>
      </c>
      <c r="K3239" s="25" t="str">
        <f>IF(OR(E3239="",E3239="!!!",F3239="NEW"),"",INDEX(J$1:J3238,SUMPRODUCT(MAX(ROW(E$1:E3238)*(E3239=E$1:E3238)))))</f>
        <v> </v>
      </c>
      <c r="L3239" s="26"/>
    </row>
    <row r="3240" spans="1:12">
      <c r="A3240" s="20" t="s">
        <v>811</v>
      </c>
      <c r="E3240" s="21">
        <f>IF(D3240="?OLD","!!!","")</f>
        <v/>
      </c>
      <c r="F3240" s="22" t="str">
        <f>IF(OR(E3240="",E3240="!!!"),"",IF(NOT(ISNA(VLOOKUP(E3240,E$1:E3239,1,FALSE()))),"OLD",IF(AND(E3240&lt;&gt;"",E3240&lt;&gt;"!!!"),"NEW","")))</f>
        <v> </v>
      </c>
      <c r="G3240" s="23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4" t="str">
        <f>IF(J3240&lt;&gt;1,"",IF(I3240="SBJ","CB","?"))</f>
        <v> </v>
      </c>
      <c r="I3240" s="25" t="str">
        <f>IF(OR(E3240="",E3240="!!!",F3240="NEW"),"",INDEX(B3239:B$2,-1+SUMPRODUCT(MAX(ROW(E3239:E$2)*(E3240=E3239:E$2)))))</f>
        <v> </v>
      </c>
      <c r="J3240" s="25" t="str">
        <f>IF(OR(E3240="",E3240="!!!",F3240="NEW"),"",COUNTBLANK(OFFSET(A$1,,,SUMPRODUCT(MAX(ROW(E$2:E3240)*(E3240=E$2:E3240)))))-COUNTBLANK(OFFSET(A$1,,,SUMPRODUCT(MAX(ROW(E$1:E3239)*(E2=E$1:E3239))))))</f>
        <v> </v>
      </c>
      <c r="K3240" s="25" t="str">
        <f>IF(OR(E3240="",E3240="!!!",F3240="NEW"),"",INDEX(J$1:J3239,SUMPRODUCT(MAX(ROW(E$1:E3239)*(E3240=E$1:E3239)))))</f>
        <v> </v>
      </c>
      <c r="L3240" s="26"/>
    </row>
    <row r="3241" spans="1:12">
      <c r="A3241" s="20" t="s">
        <v>1905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589</v>
      </c>
      <c r="B3242" s="27" t="s">
        <v>714</v>
      </c>
      <c r="C3242" s="27" t="s">
        <v>715</v>
      </c>
      <c r="D3242" s="27" t="s">
        <v>716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 t="s">
        <v>737</v>
      </c>
      <c r="E3243" s="21">
        <f>IF(D3243="?OLD","!!!","")</f>
        <v/>
      </c>
      <c r="F3243" s="22" t="str">
        <f>IF(OR(E3243="",E3243="!!!"),"",IF(NOT(ISNA(VLOOKUP(E3243,E$1:E3242,1,FALSE()))),"OLD",IF(AND(E3243&lt;&gt;"",E3243&lt;&gt;"!!!"),"NEW","")))</f>
        <v> </v>
      </c>
      <c r="G3243" s="23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4" t="str">
        <f>IF(J3243&lt;&gt;1,"",IF(I3243="SBJ","CB","?"))</f>
        <v> </v>
      </c>
      <c r="I3243" s="25" t="str">
        <f>IF(OR(E3243="",E3243="!!!",F3243="NEW"),"",INDEX(B3242:B$2,-1+SUMPRODUCT(MAX(ROW(E3242:E$2)*(E3243=E3242:E$2)))))</f>
        <v> </v>
      </c>
      <c r="J3243" s="25" t="str">
        <f>IF(OR(E3243="",E3243="!!!",F3243="NEW"),"",COUNTBLANK(OFFSET(A$1,,,SUMPRODUCT(MAX(ROW(E$2:E3243)*(E3243=E$2:E3243)))))-COUNTBLANK(OFFSET(A$1,,,SUMPRODUCT(MAX(ROW(E$1:E3242)*(E2=E$1:E3242))))))</f>
        <v> </v>
      </c>
      <c r="K3243" s="25" t="str">
        <f>IF(OR(E3243="",E3243="!!!",F3243="NEW"),"",INDEX(J$1:J3242,SUMPRODUCT(MAX(ROW(E$1:E3242)*(E3243=E$1:E3242)))))</f>
        <v> </v>
      </c>
      <c r="L3243" s="26"/>
    </row>
    <row r="3244" spans="1:12">
      <c r="A3244" s="20" t="s">
        <v>1383</v>
      </c>
      <c r="E3244" s="21">
        <f>IF(D3244="?OLD","!!!","")</f>
        <v/>
      </c>
      <c r="F3244" s="22" t="str">
        <f>IF(OR(E3244="",E3244="!!!"),"",IF(NOT(ISNA(VLOOKUP(E3244,E$1:E3243,1,FALSE()))),"OLD",IF(AND(E3244&lt;&gt;"",E3244&lt;&gt;"!!!"),"NEW","")))</f>
        <v> </v>
      </c>
      <c r="G3244" s="23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4" t="str">
        <f>IF(J3244&lt;&gt;1,"",IF(I3244="SBJ","CB","?"))</f>
        <v> </v>
      </c>
      <c r="I3244" s="25" t="str">
        <f>IF(OR(E3244="",E3244="!!!",F3244="NEW"),"",INDEX(B3243:B$2,-1+SUMPRODUCT(MAX(ROW(E3243:E$2)*(E3244=E3243:E$2)))))</f>
        <v> </v>
      </c>
      <c r="J3244" s="25" t="str">
        <f>IF(OR(E3244="",E3244="!!!",F3244="NEW"),"",COUNTBLANK(OFFSET(A$1,,,SUMPRODUCT(MAX(ROW(E$2:E3244)*(E3244=E$2:E3244)))))-COUNTBLANK(OFFSET(A$1,,,SUMPRODUCT(MAX(ROW(E$1:E3243)*(E2=E$1:E3243))))))</f>
        <v> </v>
      </c>
      <c r="K3244" s="25" t="str">
        <f>IF(OR(E3244="",E3244="!!!",F3244="NEW"),"",INDEX(J$1:J3243,SUMPRODUCT(MAX(ROW(E$1:E3243)*(E3244=E$1:E3243)))))</f>
        <v> </v>
      </c>
      <c r="L3244" s="26"/>
    </row>
    <row r="3245" spans="1:12">
      <c r="A3245" s="20" t="s">
        <v>737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1713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1906</v>
      </c>
      <c r="B3247" s="27" t="s">
        <v>714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 t="s">
        <v>1907</v>
      </c>
      <c r="E3248" s="21">
        <f>IF(D3248="?OLD","!!!","")</f>
        <v/>
      </c>
      <c r="F3248" s="22" t="str">
        <f>IF(OR(E3248="",E3248="!!!"),"",IF(NOT(ISNA(VLOOKUP(E3248,E$1:E3247,1,FALSE()))),"OLD",IF(AND(E3248&lt;&gt;"",E3248&lt;&gt;"!!!"),"NEW","")))</f>
        <v> </v>
      </c>
      <c r="G3248" s="23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4" t="str">
        <f>IF(J3248&lt;&gt;1,"",IF(I3248="SBJ","CB","?"))</f>
        <v> </v>
      </c>
      <c r="I3248" s="25" t="str">
        <f>IF(OR(E3248="",E3248="!!!",F3248="NEW"),"",INDEX(B3247:B$2,-1+SUMPRODUCT(MAX(ROW(E3247:E$2)*(E3248=E3247:E$2)))))</f>
        <v> </v>
      </c>
      <c r="J3248" s="25" t="str">
        <f>IF(OR(E3248="",E3248="!!!",F3248="NEW"),"",COUNTBLANK(OFFSET(A$1,,,SUMPRODUCT(MAX(ROW(E$2:E3248)*(E3248=E$2:E3248)))))-COUNTBLANK(OFFSET(A$1,,,SUMPRODUCT(MAX(ROW(E$1:E3247)*(E2=E$1:E3247))))))</f>
        <v> </v>
      </c>
      <c r="K3248" s="25" t="str">
        <f>IF(OR(E3248="",E3248="!!!",F3248="NEW"),"",INDEX(J$1:J3247,SUMPRODUCT(MAX(ROW(E$1:E3247)*(E3248=E$1:E3247)))))</f>
        <v> </v>
      </c>
      <c r="L3248" s="26"/>
    </row>
    <row r="3249" spans="1:12">
      <c r="A3249" s="20" t="s">
        <v>720</v>
      </c>
      <c r="E3249" s="21">
        <f>IF(D3249="?OLD","!!!","")</f>
        <v/>
      </c>
      <c r="F3249" s="22" t="str">
        <f>IF(OR(E3249="",E3249="!!!"),"",IF(NOT(ISNA(VLOOKUP(E3249,E$1:E3248,1,FALSE()))),"OLD",IF(AND(E3249&lt;&gt;"",E3249&lt;&gt;"!!!"),"NEW","")))</f>
        <v> </v>
      </c>
      <c r="G3249" s="23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4" t="str">
        <f>IF(J3249&lt;&gt;1,"",IF(I3249="SBJ","CB","?"))</f>
        <v> </v>
      </c>
      <c r="I3249" s="25" t="str">
        <f>IF(OR(E3249="",E3249="!!!",F3249="NEW"),"",INDEX(B3248:B$2,-1+SUMPRODUCT(MAX(ROW(E3248:E$2)*(E3249=E3248:E$2)))))</f>
        <v> </v>
      </c>
      <c r="J3249" s="25" t="str">
        <f>IF(OR(E3249="",E3249="!!!",F3249="NEW"),"",COUNTBLANK(OFFSET(A$1,,,SUMPRODUCT(MAX(ROW(E$2:E3249)*(E3249=E$2:E3249)))))-COUNTBLANK(OFFSET(A$1,,,SUMPRODUCT(MAX(ROW(E$1:E3248)*(E2=E$1:E3248))))))</f>
        <v> </v>
      </c>
      <c r="K3249" s="25" t="str">
        <f>IF(OR(E3249="",E3249="!!!",F3249="NEW"),"",INDEX(J$1:J3248,SUMPRODUCT(MAX(ROW(E$1:E3248)*(E3249=E$1:E3248)))))</f>
        <v> </v>
      </c>
      <c r="L3249" s="26"/>
    </row>
    <row r="3250" spans="1:12">
      <c r="A3250" s="20"/>
    </row>
    <row r="3251" spans="1:12">
      <c r="A3251" s="20" t="s">
        <v>1908</v>
      </c>
    </row>
    <row r="3252" spans="1:12">
      <c r="A3252" s="20" t="s">
        <v>1909</v>
      </c>
      <c r="E3252" s="21">
        <f>IF(D3252="?OLD","!!!","")</f>
        <v/>
      </c>
      <c r="F3252" s="22" t="str">
        <f>IF(OR(E3252="",E3252="!!!"),"",IF(NOT(ISNA(VLOOKUP(E3252,E$1:E3251,1,FALSE()))),"OLD",IF(AND(E3252&lt;&gt;"",E3252&lt;&gt;"!!!"),"NEW","")))</f>
        <v> </v>
      </c>
      <c r="G3252" s="23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4" t="str">
        <f>IF(J3252&lt;&gt;1,"",IF(I3252="SBJ","CB","?"))</f>
        <v> </v>
      </c>
      <c r="I3252" s="25" t="str">
        <f>IF(OR(E3252="",E3252="!!!",F3252="NEW"),"",INDEX(B3251:B$2,-1+SUMPRODUCT(MAX(ROW(E3251:E$2)*(E3252=E3251:E$2)))))</f>
        <v> </v>
      </c>
      <c r="J3252" s="25" t="str">
        <f>IF(OR(E3252="",E3252="!!!",F3252="NEW"),"",COUNTBLANK(OFFSET(A$1,,,SUMPRODUCT(MAX(ROW(E$2:E3252)*(E3252=E$2:E3252)))))-COUNTBLANK(OFFSET(A$1,,,SUMPRODUCT(MAX(ROW(E$1:E3251)*(E2=E$1:E3251))))))</f>
        <v> </v>
      </c>
      <c r="K3252" s="25" t="str">
        <f>IF(OR(E3252="",E3252="!!!",F3252="NEW"),"",INDEX(J$1:J3251,SUMPRODUCT(MAX(ROW(E$1:E3251)*(E3252=E$1:E3251)))))</f>
        <v> </v>
      </c>
      <c r="L3252" s="26"/>
    </row>
    <row r="3253" spans="1:12">
      <c r="A3253" s="20" t="s">
        <v>1886</v>
      </c>
      <c r="E3253" s="21">
        <f>IF(D3253="?OLD","!!!","")</f>
        <v/>
      </c>
      <c r="F3253" s="22" t="str">
        <f>IF(OR(E3253="",E3253="!!!"),"",IF(NOT(ISNA(VLOOKUP(E3253,E$1:E3252,1,FALSE()))),"OLD",IF(AND(E3253&lt;&gt;"",E3253&lt;&gt;"!!!"),"NEW","")))</f>
        <v> </v>
      </c>
      <c r="G3253" s="23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4" t="str">
        <f>IF(J3253&lt;&gt;1,"",IF(I3253="SBJ","CB","?"))</f>
        <v> </v>
      </c>
      <c r="I3253" s="25" t="str">
        <f>IF(OR(E3253="",E3253="!!!",F3253="NEW"),"",INDEX(B3252:B$2,-1+SUMPRODUCT(MAX(ROW(E3252:E$2)*(E3253=E3252:E$2)))))</f>
        <v> </v>
      </c>
      <c r="J3253" s="25" t="str">
        <f>IF(OR(E3253="",E3253="!!!",F3253="NEW"),"",COUNTBLANK(OFFSET(A$1,,,SUMPRODUCT(MAX(ROW(E$2:E3253)*(E3253=E$2:E3253)))))-COUNTBLANK(OFFSET(A$1,,,SUMPRODUCT(MAX(ROW(E$1:E3252)*(E2=E$1:E3252))))))</f>
        <v> </v>
      </c>
      <c r="K3253" s="25" t="str">
        <f>IF(OR(E3253="",E3253="!!!",F3253="NEW"),"",INDEX(J$1:J3252,SUMPRODUCT(MAX(ROW(E$1:E3252)*(E3253=E$1:E3252)))))</f>
        <v> </v>
      </c>
      <c r="L3253" s="26"/>
    </row>
    <row r="3254" spans="1:12">
      <c r="A3254" s="20" t="s">
        <v>1866</v>
      </c>
      <c r="B3254" s="27" t="s">
        <v>714</v>
      </c>
      <c r="E3254" s="21">
        <f>IF(D3254="?OLD","!!!","")</f>
        <v/>
      </c>
      <c r="F3254" s="22" t="str">
        <f>IF(OR(E3254="",E3254="!!!"),"",IF(NOT(ISNA(VLOOKUP(E3254,E$1:E3253,1,FALSE()))),"OLD",IF(AND(E3254&lt;&gt;"",E3254&lt;&gt;"!!!"),"NEW","")))</f>
        <v> </v>
      </c>
      <c r="G3254" s="23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4" t="str">
        <f>IF(J3254&lt;&gt;1,"",IF(I3254="SBJ","CB","?"))</f>
        <v> </v>
      </c>
      <c r="I3254" s="25" t="str">
        <f>IF(OR(E3254="",E3254="!!!",F3254="NEW"),"",INDEX(B3253:B$2,-1+SUMPRODUCT(MAX(ROW(E3253:E$2)*(E3254=E3253:E$2)))))</f>
        <v> </v>
      </c>
      <c r="J3254" s="25" t="str">
        <f>IF(OR(E3254="",E3254="!!!",F3254="NEW"),"",COUNTBLANK(OFFSET(A$1,,,SUMPRODUCT(MAX(ROW(E$2:E3254)*(E3254=E$2:E3254)))))-COUNTBLANK(OFFSET(A$1,,,SUMPRODUCT(MAX(ROW(E$1:E3253)*(E2=E$1:E3253))))))</f>
        <v> </v>
      </c>
      <c r="K3254" s="25" t="str">
        <f>IF(OR(E3254="",E3254="!!!",F3254="NEW"),"",INDEX(J$1:J3253,SUMPRODUCT(MAX(ROW(E$1:E3253)*(E3254=E$1:E3253)))))</f>
        <v> </v>
      </c>
      <c r="L3254" s="26"/>
    </row>
    <row r="3255" spans="1:12">
      <c r="A3255" s="20" t="s">
        <v>737</v>
      </c>
      <c r="E3255" s="21">
        <f>IF(D3255="?OLD","!!!","")</f>
        <v/>
      </c>
      <c r="F3255" s="22" t="str">
        <f>IF(OR(E3255="",E3255="!!!"),"",IF(NOT(ISNA(VLOOKUP(E3255,E$1:E3254,1,FALSE()))),"OLD",IF(AND(E3255&lt;&gt;"",E3255&lt;&gt;"!!!"),"NEW","")))</f>
        <v> </v>
      </c>
      <c r="G3255" s="23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4" t="str">
        <f>IF(J3255&lt;&gt;1,"",IF(I3255="SBJ","CB","?"))</f>
        <v> </v>
      </c>
      <c r="I3255" s="25" t="str">
        <f>IF(OR(E3255="",E3255="!!!",F3255="NEW"),"",INDEX(B3254:B$2,-1+SUMPRODUCT(MAX(ROW(E3254:E$2)*(E3255=E3254:E$2)))))</f>
        <v> </v>
      </c>
      <c r="J3255" s="25" t="str">
        <f>IF(OR(E3255="",E3255="!!!",F3255="NEW"),"",COUNTBLANK(OFFSET(A$1,,,SUMPRODUCT(MAX(ROW(E$2:E3255)*(E3255=E$2:E3255)))))-COUNTBLANK(OFFSET(A$1,,,SUMPRODUCT(MAX(ROW(E$1:E3254)*(E2=E$1:E3254))))))</f>
        <v> </v>
      </c>
      <c r="K3255" s="25" t="str">
        <f>IF(OR(E3255="",E3255="!!!",F3255="NEW"),"",INDEX(J$1:J3254,SUMPRODUCT(MAX(ROW(E$1:E3254)*(E3255=E$1:E3254)))))</f>
        <v> </v>
      </c>
      <c r="L3255" s="26"/>
    </row>
    <row r="3256" spans="1:12">
      <c r="A3256" s="20" t="s">
        <v>1884</v>
      </c>
      <c r="E3256" s="21">
        <f>IF(D3256="?OLD","!!!","")</f>
        <v/>
      </c>
      <c r="F3256" s="22" t="str">
        <f>IF(OR(E3256="",E3256="!!!"),"",IF(NOT(ISNA(VLOOKUP(E3256,E$1:E3255,1,FALSE()))),"OLD",IF(AND(E3256&lt;&gt;"",E3256&lt;&gt;"!!!"),"NEW","")))</f>
        <v> </v>
      </c>
      <c r="G3256" s="23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4" t="str">
        <f>IF(J3256&lt;&gt;1,"",IF(I3256="SBJ","CB","?"))</f>
        <v> </v>
      </c>
      <c r="I3256" s="25" t="str">
        <f>IF(OR(E3256="",E3256="!!!",F3256="NEW"),"",INDEX(B3255:B$2,-1+SUMPRODUCT(MAX(ROW(E3255:E$2)*(E3256=E3255:E$2)))))</f>
        <v> </v>
      </c>
      <c r="J3256" s="25" t="str">
        <f>IF(OR(E3256="",E3256="!!!",F3256="NEW"),"",COUNTBLANK(OFFSET(A$1,,,SUMPRODUCT(MAX(ROW(E$2:E3256)*(E3256=E$2:E3256)))))-COUNTBLANK(OFFSET(A$1,,,SUMPRODUCT(MAX(ROW(E$1:E3255)*(E2=E$1:E3255))))))</f>
        <v> </v>
      </c>
      <c r="K3256" s="25" t="str">
        <f>IF(OR(E3256="",E3256="!!!",F3256="NEW"),"",INDEX(J$1:J3255,SUMPRODUCT(MAX(ROW(E$1:E3255)*(E3256=E$1:E3255)))))</f>
        <v> </v>
      </c>
      <c r="L3256" s="26"/>
    </row>
    <row r="3257" spans="1:12">
      <c r="A3257" s="20" t="s">
        <v>754</v>
      </c>
      <c r="E3257" s="21">
        <f>IF(D3257="?OLD","!!!","")</f>
        <v/>
      </c>
      <c r="F3257" s="22" t="str">
        <f>IF(OR(E3257="",E3257="!!!"),"",IF(NOT(ISNA(VLOOKUP(E3257,E$1:E3256,1,FALSE()))),"OLD",IF(AND(E3257&lt;&gt;"",E3257&lt;&gt;"!!!"),"NEW","")))</f>
        <v> </v>
      </c>
      <c r="G3257" s="23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4" t="str">
        <f>IF(J3257&lt;&gt;1,"",IF(I3257="SBJ","CB","?"))</f>
        <v> </v>
      </c>
      <c r="I3257" s="25" t="str">
        <f>IF(OR(E3257="",E3257="!!!",F3257="NEW"),"",INDEX(B3256:B$2,-1+SUMPRODUCT(MAX(ROW(E3256:E$2)*(E3257=E3256:E$2)))))</f>
        <v> </v>
      </c>
      <c r="J3257" s="25" t="str">
        <f>IF(OR(E3257="",E3257="!!!",F3257="NEW"),"",COUNTBLANK(OFFSET(A$1,,,SUMPRODUCT(MAX(ROW(E$2:E3257)*(E3257=E$2:E3257)))))-COUNTBLANK(OFFSET(A$1,,,SUMPRODUCT(MAX(ROW(E$1:E3256)*(E2=E$1:E3256))))))</f>
        <v> </v>
      </c>
      <c r="K3257" s="25" t="str">
        <f>IF(OR(E3257="",E3257="!!!",F3257="NEW"),"",INDEX(J$1:J3256,SUMPRODUCT(MAX(ROW(E$1:E3256)*(E3257=E$1:E3256)))))</f>
        <v> </v>
      </c>
      <c r="L3257" s="26"/>
    </row>
    <row r="3258" spans="1:12">
      <c r="A3258" s="20" t="s">
        <v>1910</v>
      </c>
      <c r="B3258" s="27" t="s">
        <v>745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720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/>
    </row>
    <row r="3261" spans="1:12">
      <c r="A3261" s="20" t="s">
        <v>1911</v>
      </c>
    </row>
    <row r="3262" spans="1:12">
      <c r="A3262" s="20" t="s">
        <v>810</v>
      </c>
      <c r="B3262" s="27" t="s">
        <v>714</v>
      </c>
      <c r="C3262" s="27" t="s">
        <v>782</v>
      </c>
      <c r="D3262" s="27" t="s">
        <v>716</v>
      </c>
      <c r="E3262" s="21">
        <f>IF(D3262="?OLD","!!!","")</f>
        <v/>
      </c>
      <c r="F3262" s="22" t="str">
        <f>IF(OR(E3262="",E3262="!!!"),"",IF(NOT(ISNA(VLOOKUP(E3262,E$1:E3261,1,FALSE()))),"OLD",IF(AND(E3262&lt;&gt;"",E3262&lt;&gt;"!!!"),"NEW","")))</f>
        <v> </v>
      </c>
      <c r="G3262" s="23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4" t="str">
        <f>IF(J3262&lt;&gt;1,"",IF(I3262="SBJ","CB","?"))</f>
        <v> </v>
      </c>
      <c r="I3262" s="25" t="str">
        <f>IF(OR(E3262="",E3262="!!!",F3262="NEW"),"",INDEX(B3261:B$2,-1+SUMPRODUCT(MAX(ROW(E3261:E$2)*(E3262=E3261:E$2)))))</f>
        <v> </v>
      </c>
      <c r="J3262" s="25" t="str">
        <f>IF(OR(E3262="",E3262="!!!",F3262="NEW"),"",COUNTBLANK(OFFSET(A$1,,,SUMPRODUCT(MAX(ROW(E$2:E3262)*(E3262=E$2:E3262)))))-COUNTBLANK(OFFSET(A$1,,,SUMPRODUCT(MAX(ROW(E$1:E3261)*(E2=E$1:E3261))))))</f>
        <v> </v>
      </c>
      <c r="K3262" s="25" t="str">
        <f>IF(OR(E3262="",E3262="!!!",F3262="NEW"),"",INDEX(J$1:J3261,SUMPRODUCT(MAX(ROW(E$1:E3261)*(E3262=E$1:E3261)))))</f>
        <v> </v>
      </c>
      <c r="L3262" s="26"/>
    </row>
    <row r="3263" spans="1:12">
      <c r="A3263" s="20" t="s">
        <v>793</v>
      </c>
      <c r="E3263" s="21">
        <f>IF(D3263="?OLD","!!!","")</f>
        <v/>
      </c>
      <c r="F3263" s="22" t="str">
        <f>IF(OR(E3263="",E3263="!!!"),"",IF(NOT(ISNA(VLOOKUP(E3263,E$1:E3262,1,FALSE()))),"OLD",IF(AND(E3263&lt;&gt;"",E3263&lt;&gt;"!!!"),"NEW","")))</f>
        <v> </v>
      </c>
      <c r="G3263" s="23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4" t="str">
        <f>IF(J3263&lt;&gt;1,"",IF(I3263="SBJ","CB","?"))</f>
        <v> </v>
      </c>
      <c r="I3263" s="25" t="str">
        <f>IF(OR(E3263="",E3263="!!!",F3263="NEW"),"",INDEX(B3262:B$2,-1+SUMPRODUCT(MAX(ROW(E3262:E$2)*(E3263=E3262:E$2)))))</f>
        <v> </v>
      </c>
      <c r="J3263" s="25" t="str">
        <f>IF(OR(E3263="",E3263="!!!",F3263="NEW"),"",COUNTBLANK(OFFSET(A$1,,,SUMPRODUCT(MAX(ROW(E$2:E3263)*(E3263=E$2:E3263)))))-COUNTBLANK(OFFSET(A$1,,,SUMPRODUCT(MAX(ROW(E$1:E3262)*(E2=E$1:E3262))))))</f>
        <v> </v>
      </c>
      <c r="K3263" s="25" t="str">
        <f>IF(OR(E3263="",E3263="!!!",F3263="NEW"),"",INDEX(J$1:J3262,SUMPRODUCT(MAX(ROW(E$1:E3262)*(E3263=E$1:E3262)))))</f>
        <v> </v>
      </c>
      <c r="L3263" s="26"/>
    </row>
    <row r="3264" spans="1:12">
      <c r="A3264" s="20" t="s">
        <v>811</v>
      </c>
      <c r="E3264" s="21">
        <f>IF(D3264="?OLD","!!!","")</f>
        <v/>
      </c>
      <c r="F3264" s="22" t="str">
        <f>IF(OR(E3264="",E3264="!!!"),"",IF(NOT(ISNA(VLOOKUP(E3264,E$1:E3263,1,FALSE()))),"OLD",IF(AND(E3264&lt;&gt;"",E3264&lt;&gt;"!!!"),"NEW","")))</f>
        <v> </v>
      </c>
      <c r="G3264" s="23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4" t="str">
        <f>IF(J3264&lt;&gt;1,"",IF(I3264="SBJ","CB","?"))</f>
        <v> </v>
      </c>
      <c r="I3264" s="25" t="str">
        <f>IF(OR(E3264="",E3264="!!!",F3264="NEW"),"",INDEX(B3263:B$2,-1+SUMPRODUCT(MAX(ROW(E3263:E$2)*(E3264=E3263:E$2)))))</f>
        <v> </v>
      </c>
      <c r="J3264" s="25" t="str">
        <f>IF(OR(E3264="",E3264="!!!",F3264="NEW"),"",COUNTBLANK(OFFSET(A$1,,,SUMPRODUCT(MAX(ROW(E$2:E3264)*(E3264=E$2:E3264)))))-COUNTBLANK(OFFSET(A$1,,,SUMPRODUCT(MAX(ROW(E$1:E3263)*(E2=E$1:E3263))))))</f>
        <v> </v>
      </c>
      <c r="K3264" s="25" t="str">
        <f>IF(OR(E3264="",E3264="!!!",F3264="NEW"),"",INDEX(J$1:J3263,SUMPRODUCT(MAX(ROW(E$1:E3263)*(E3264=E$1:E3263)))))</f>
        <v> </v>
      </c>
      <c r="L3264" s="26"/>
    </row>
    <row r="3265" spans="1:12">
      <c r="A3265" s="20" t="s">
        <v>1912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720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/>
    </row>
    <row r="3268" spans="1:12">
      <c r="A3268" s="20" t="s">
        <v>1913</v>
      </c>
    </row>
    <row r="3269" spans="1:12">
      <c r="A3269" s="20" t="s">
        <v>1878</v>
      </c>
      <c r="E3269" s="21">
        <f>IF(D3269="?OLD","!!!","")</f>
        <v/>
      </c>
      <c r="F3269" s="22" t="str">
        <f>IF(OR(E3269="",E3269="!!!"),"",IF(NOT(ISNA(VLOOKUP(E3269,E$1:E3268,1,FALSE()))),"OLD",IF(AND(E3269&lt;&gt;"",E3269&lt;&gt;"!!!"),"NEW","")))</f>
        <v> </v>
      </c>
      <c r="G3269" s="23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4" t="str">
        <f>IF(J3269&lt;&gt;1,"",IF(I3269="SBJ","CB","?"))</f>
        <v> </v>
      </c>
      <c r="I3269" s="25" t="str">
        <f>IF(OR(E3269="",E3269="!!!",F3269="NEW"),"",INDEX(B3268:B$2,-1+SUMPRODUCT(MAX(ROW(E3268:E$2)*(E3269=E3268:E$2)))))</f>
        <v> </v>
      </c>
      <c r="J3269" s="25" t="str">
        <f>IF(OR(E3269="",E3269="!!!",F3269="NEW"),"",COUNTBLANK(OFFSET(A$1,,,SUMPRODUCT(MAX(ROW(E$2:E3269)*(E3269=E$2:E3269)))))-COUNTBLANK(OFFSET(A$1,,,SUMPRODUCT(MAX(ROW(E$1:E3268)*(E2=E$1:E3268))))))</f>
        <v> </v>
      </c>
      <c r="K3269" s="25" t="str">
        <f>IF(OR(E3269="",E3269="!!!",F3269="NEW"),"",INDEX(J$1:J3268,SUMPRODUCT(MAX(ROW(E$1:E3268)*(E3269=E$1:E3268)))))</f>
        <v> </v>
      </c>
      <c r="L3269" s="26"/>
    </row>
    <row r="3270" spans="1:12">
      <c r="A3270" s="20" t="s">
        <v>888</v>
      </c>
      <c r="E3270" s="21">
        <f>IF(D3270="?OLD","!!!","")</f>
        <v/>
      </c>
      <c r="F3270" s="22" t="str">
        <f>IF(OR(E3270="",E3270="!!!"),"",IF(NOT(ISNA(VLOOKUP(E3270,E$1:E3269,1,FALSE()))),"OLD",IF(AND(E3270&lt;&gt;"",E3270&lt;&gt;"!!!"),"NEW","")))</f>
        <v> </v>
      </c>
      <c r="G3270" s="23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4" t="str">
        <f>IF(J3270&lt;&gt;1,"",IF(I3270="SBJ","CB","?"))</f>
        <v> </v>
      </c>
      <c r="I3270" s="25" t="str">
        <f>IF(OR(E3270="",E3270="!!!",F3270="NEW"),"",INDEX(B3269:B$2,-1+SUMPRODUCT(MAX(ROW(E3269:E$2)*(E3270=E3269:E$2)))))</f>
        <v> </v>
      </c>
      <c r="J3270" s="25" t="str">
        <f>IF(OR(E3270="",E3270="!!!",F3270="NEW"),"",COUNTBLANK(OFFSET(A$1,,,SUMPRODUCT(MAX(ROW(E$2:E3270)*(E3270=E$2:E3270)))))-COUNTBLANK(OFFSET(A$1,,,SUMPRODUCT(MAX(ROW(E$1:E3269)*(E2=E$1:E3269))))))</f>
        <v> </v>
      </c>
      <c r="K3270" s="25" t="str">
        <f>IF(OR(E3270="",E3270="!!!",F3270="NEW"),"",INDEX(J$1:J3269,SUMPRODUCT(MAX(ROW(E$1:E3269)*(E3270=E$1:E3269)))))</f>
        <v> </v>
      </c>
      <c r="L3270" s="26"/>
    </row>
    <row r="3271" spans="1:12">
      <c r="A3271" s="20" t="s">
        <v>777</v>
      </c>
      <c r="E3271" s="21">
        <f>IF(D3271="?OLD","!!!","")</f>
        <v/>
      </c>
      <c r="F3271" s="22" t="str">
        <f>IF(OR(E3271="",E3271="!!!"),"",IF(NOT(ISNA(VLOOKUP(E3271,E$1:E3270,1,FALSE()))),"OLD",IF(AND(E3271&lt;&gt;"",E3271&lt;&gt;"!!!"),"NEW","")))</f>
        <v> </v>
      </c>
      <c r="G3271" s="23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4" t="str">
        <f>IF(J3271&lt;&gt;1,"",IF(I3271="SBJ","CB","?"))</f>
        <v> </v>
      </c>
      <c r="I3271" s="25" t="str">
        <f>IF(OR(E3271="",E3271="!!!",F3271="NEW"),"",INDEX(B3270:B$2,-1+SUMPRODUCT(MAX(ROW(E3270:E$2)*(E3271=E3270:E$2)))))</f>
        <v> </v>
      </c>
      <c r="J3271" s="25" t="str">
        <f>IF(OR(E3271="",E3271="!!!",F3271="NEW"),"",COUNTBLANK(OFFSET(A$1,,,SUMPRODUCT(MAX(ROW(E$2:E3271)*(E3271=E$2:E3271)))))-COUNTBLANK(OFFSET(A$1,,,SUMPRODUCT(MAX(ROW(E$1:E3270)*(E2=E$1:E3270))))))</f>
        <v> </v>
      </c>
      <c r="K3271" s="25" t="str">
        <f>IF(OR(E3271="",E3271="!!!",F3271="NEW"),"",INDEX(J$1:J3270,SUMPRODUCT(MAX(ROW(E$1:E3270)*(E3271=E$1:E3270)))))</f>
        <v> </v>
      </c>
      <c r="L3271" s="26"/>
    </row>
    <row r="3272" spans="1:12">
      <c r="A3272" s="20" t="s">
        <v>737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 t="s">
        <v>1914</v>
      </c>
      <c r="B3273" s="27" t="s">
        <v>745</v>
      </c>
      <c r="C3273" s="27" t="s">
        <v>1060</v>
      </c>
      <c r="D3273" s="27" t="s">
        <v>716</v>
      </c>
      <c r="E3273" s="21">
        <f>IF(D3273="?OLD","!!!","")</f>
        <v/>
      </c>
      <c r="F3273" s="22" t="str">
        <f>IF(OR(E3273="",E3273="!!!"),"",IF(NOT(ISNA(VLOOKUP(E3273,E$1:E3272,1,FALSE()))),"OLD",IF(AND(E3273&lt;&gt;"",E3273&lt;&gt;"!!!"),"NEW","")))</f>
        <v> </v>
      </c>
      <c r="G3273" s="23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4" t="str">
        <f>IF(J3273&lt;&gt;1,"",IF(I3273="SBJ","CB","?"))</f>
        <v> </v>
      </c>
      <c r="I3273" s="25" t="str">
        <f>IF(OR(E3273="",E3273="!!!",F3273="NEW"),"",INDEX(B3272:B$2,-1+SUMPRODUCT(MAX(ROW(E3272:E$2)*(E3273=E3272:E$2)))))</f>
        <v> </v>
      </c>
      <c r="J3273" s="25" t="str">
        <f>IF(OR(E3273="",E3273="!!!",F3273="NEW"),"",COUNTBLANK(OFFSET(A$1,,,SUMPRODUCT(MAX(ROW(E$2:E3273)*(E3273=E$2:E3273)))))-COUNTBLANK(OFFSET(A$1,,,SUMPRODUCT(MAX(ROW(E$1:E3272)*(E2=E$1:E3272))))))</f>
        <v> </v>
      </c>
      <c r="K3273" s="25" t="str">
        <f>IF(OR(E3273="",E3273="!!!",F3273="NEW"),"",INDEX(J$1:J3272,SUMPRODUCT(MAX(ROW(E$1:E3272)*(E3273=E$1:E3272)))))</f>
        <v> </v>
      </c>
      <c r="L3273" s="26"/>
    </row>
    <row r="3274" spans="1:12">
      <c r="A3274" s="20" t="s">
        <v>737</v>
      </c>
      <c r="E3274" s="21">
        <f>IF(D3274="?OLD","!!!","")</f>
        <v/>
      </c>
      <c r="F3274" s="22" t="str">
        <f>IF(OR(E3274="",E3274="!!!"),"",IF(NOT(ISNA(VLOOKUP(E3274,E$1:E3273,1,FALSE()))),"OLD",IF(AND(E3274&lt;&gt;"",E3274&lt;&gt;"!!!"),"NEW","")))</f>
        <v> </v>
      </c>
      <c r="G3274" s="23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4" t="str">
        <f>IF(J3274&lt;&gt;1,"",IF(I3274="SBJ","CB","?"))</f>
        <v> </v>
      </c>
      <c r="I3274" s="25" t="str">
        <f>IF(OR(E3274="",E3274="!!!",F3274="NEW"),"",INDEX(B3273:B$2,-1+SUMPRODUCT(MAX(ROW(E3273:E$2)*(E3274=E3273:E$2)))))</f>
        <v> </v>
      </c>
      <c r="J3274" s="25" t="str">
        <f>IF(OR(E3274="",E3274="!!!",F3274="NEW"),"",COUNTBLANK(OFFSET(A$1,,,SUMPRODUCT(MAX(ROW(E$2:E3274)*(E3274=E$2:E3274)))))-COUNTBLANK(OFFSET(A$1,,,SUMPRODUCT(MAX(ROW(E$1:E3273)*(E2=E$1:E3273))))))</f>
        <v> </v>
      </c>
      <c r="K3274" s="25" t="str">
        <f>IF(OR(E3274="",E3274="!!!",F3274="NEW"),"",INDEX(J$1:J3273,SUMPRODUCT(MAX(ROW(E$1:E3273)*(E3274=E$1:E3273)))))</f>
        <v> </v>
      </c>
      <c r="L3274" s="26"/>
    </row>
    <row r="3275" spans="1:12">
      <c r="A3275" s="20" t="s">
        <v>713</v>
      </c>
      <c r="E3275" s="21">
        <f>IF(D3275="?OLD","!!!","")</f>
        <v/>
      </c>
      <c r="F3275" s="22" t="str">
        <f>IF(OR(E3275="",E3275="!!!"),"",IF(NOT(ISNA(VLOOKUP(E3275,E$1:E3274,1,FALSE()))),"OLD",IF(AND(E3275&lt;&gt;"",E3275&lt;&gt;"!!!"),"NEW","")))</f>
        <v> </v>
      </c>
      <c r="G3275" s="23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4" t="str">
        <f>IF(J3275&lt;&gt;1,"",IF(I3275="SBJ","CB","?"))</f>
        <v> </v>
      </c>
      <c r="I3275" s="25" t="str">
        <f>IF(OR(E3275="",E3275="!!!",F3275="NEW"),"",INDEX(B3274:B$2,-1+SUMPRODUCT(MAX(ROW(E3274:E$2)*(E3275=E3274:E$2)))))</f>
        <v> </v>
      </c>
      <c r="J3275" s="25" t="str">
        <f>IF(OR(E3275="",E3275="!!!",F3275="NEW"),"",COUNTBLANK(OFFSET(A$1,,,SUMPRODUCT(MAX(ROW(E$2:E3275)*(E3275=E$2:E3275)))))-COUNTBLANK(OFFSET(A$1,,,SUMPRODUCT(MAX(ROW(E$1:E3274)*(E2=E$1:E3274))))))</f>
        <v> </v>
      </c>
      <c r="K3275" s="25" t="str">
        <f>IF(OR(E3275="",E3275="!!!",F3275="NEW"),"",INDEX(J$1:J3274,SUMPRODUCT(MAX(ROW(E$1:E3274)*(E3275=E$1:E3274)))))</f>
        <v> </v>
      </c>
      <c r="L3275" s="26"/>
    </row>
    <row r="3276" spans="1:12">
      <c r="A3276" s="20" t="s">
        <v>1915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 t="s">
        <v>1916</v>
      </c>
      <c r="B3277" s="27" t="s">
        <v>768</v>
      </c>
      <c r="C3277" s="27" t="s">
        <v>728</v>
      </c>
      <c r="E3277" s="21">
        <f>IF(D3277="?OLD","!!!","")</f>
        <v/>
      </c>
      <c r="F3277" s="22" t="str">
        <f>IF(OR(E3277="",E3277="!!!"),"",IF(NOT(ISNA(VLOOKUP(E3277,E$1:E3276,1,FALSE()))),"OLD",IF(AND(E3277&lt;&gt;"",E3277&lt;&gt;"!!!"),"NEW","")))</f>
        <v> </v>
      </c>
      <c r="G3277" s="23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4" t="str">
        <f>IF(J3277&lt;&gt;1,"",IF(I3277="SBJ","CB","?"))</f>
        <v> </v>
      </c>
      <c r="I3277" s="25" t="str">
        <f>IF(OR(E3277="",E3277="!!!",F3277="NEW"),"",INDEX(B3276:B$2,-1+SUMPRODUCT(MAX(ROW(E3276:E$2)*(E3277=E3276:E$2)))))</f>
        <v> </v>
      </c>
      <c r="J3277" s="25" t="str">
        <f>IF(OR(E3277="",E3277="!!!",F3277="NEW"),"",COUNTBLANK(OFFSET(A$1,,,SUMPRODUCT(MAX(ROW(E$2:E3277)*(E3277=E$2:E3277)))))-COUNTBLANK(OFFSET(A$1,,,SUMPRODUCT(MAX(ROW(E$1:E3276)*(E2=E$1:E3276))))))</f>
        <v> </v>
      </c>
      <c r="K3277" s="25" t="str">
        <f>IF(OR(E3277="",E3277="!!!",F3277="NEW"),"",INDEX(J$1:J3276,SUMPRODUCT(MAX(ROW(E$1:E3276)*(E3277=E$1:E3276)))))</f>
        <v> </v>
      </c>
      <c r="L3277" s="26"/>
    </row>
    <row r="3278" spans="1:12">
      <c r="A3278" s="20" t="s">
        <v>1917</v>
      </c>
      <c r="E3278" s="21">
        <f>IF(D3278="?OLD","!!!","")</f>
        <v/>
      </c>
      <c r="F3278" s="22" t="str">
        <f>IF(OR(E3278="",E3278="!!!"),"",IF(NOT(ISNA(VLOOKUP(E3278,E$1:E3277,1,FALSE()))),"OLD",IF(AND(E3278&lt;&gt;"",E3278&lt;&gt;"!!!"),"NEW","")))</f>
        <v> </v>
      </c>
      <c r="G3278" s="23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4" t="str">
        <f>IF(J3278&lt;&gt;1,"",IF(I3278="SBJ","CB","?"))</f>
        <v> </v>
      </c>
      <c r="I3278" s="25" t="str">
        <f>IF(OR(E3278="",E3278="!!!",F3278="NEW"),"",INDEX(B3277:B$2,-1+SUMPRODUCT(MAX(ROW(E3277:E$2)*(E3278=E3277:E$2)))))</f>
        <v> </v>
      </c>
      <c r="J3278" s="25" t="str">
        <f>IF(OR(E3278="",E3278="!!!",F3278="NEW"),"",COUNTBLANK(OFFSET(A$1,,,SUMPRODUCT(MAX(ROW(E$2:E3278)*(E3278=E$2:E3278)))))-COUNTBLANK(OFFSET(A$1,,,SUMPRODUCT(MAX(ROW(E$1:E3277)*(E2=E$1:E3277))))))</f>
        <v> </v>
      </c>
      <c r="K3278" s="25" t="str">
        <f>IF(OR(E3278="",E3278="!!!",F3278="NEW"),"",INDEX(J$1:J3277,SUMPRODUCT(MAX(ROW(E$1:E3277)*(E3278=E$1:E3277)))))</f>
        <v> </v>
      </c>
      <c r="L3278" s="26"/>
    </row>
    <row r="3279" spans="1:12">
      <c r="A3279" s="20" t="s">
        <v>765</v>
      </c>
      <c r="E3279" s="21">
        <f>IF(D3279="?OLD","!!!","")</f>
        <v/>
      </c>
      <c r="F3279" s="22" t="str">
        <f>IF(OR(E3279="",E3279="!!!"),"",IF(NOT(ISNA(VLOOKUP(E3279,E$1:E3278,1,FALSE()))),"OLD",IF(AND(E3279&lt;&gt;"",E3279&lt;&gt;"!!!"),"NEW","")))</f>
        <v> </v>
      </c>
      <c r="G3279" s="23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4" t="str">
        <f>IF(J3279&lt;&gt;1,"",IF(I3279="SBJ","CB","?"))</f>
        <v> </v>
      </c>
      <c r="I3279" s="25" t="str">
        <f>IF(OR(E3279="",E3279="!!!",F3279="NEW"),"",INDEX(B3278:B$2,-1+SUMPRODUCT(MAX(ROW(E3278:E$2)*(E3279=E3278:E$2)))))</f>
        <v> </v>
      </c>
      <c r="J3279" s="25" t="str">
        <f>IF(OR(E3279="",E3279="!!!",F3279="NEW"),"",COUNTBLANK(OFFSET(A$1,,,SUMPRODUCT(MAX(ROW(E$2:E3279)*(E3279=E$2:E3279)))))-COUNTBLANK(OFFSET(A$1,,,SUMPRODUCT(MAX(ROW(E$1:E3278)*(E2=E$1:E3278))))))</f>
        <v> </v>
      </c>
      <c r="K3279" s="25" t="str">
        <f>IF(OR(E3279="",E3279="!!!",F3279="NEW"),"",INDEX(J$1:J3278,SUMPRODUCT(MAX(ROW(E$1:E3278)*(E3279=E$1:E3278)))))</f>
        <v> </v>
      </c>
      <c r="L3279" s="26"/>
    </row>
    <row r="3280" spans="1:12">
      <c r="A3280" s="20" t="s">
        <v>897</v>
      </c>
      <c r="E3280" s="21">
        <f>IF(D3280="?OLD","!!!","")</f>
        <v/>
      </c>
      <c r="F3280" s="22" t="str">
        <f>IF(OR(E3280="",E3280="!!!"),"",IF(NOT(ISNA(VLOOKUP(E3280,E$1:E3279,1,FALSE()))),"OLD",IF(AND(E3280&lt;&gt;"",E3280&lt;&gt;"!!!"),"NEW","")))</f>
        <v> </v>
      </c>
      <c r="G3280" s="23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4" t="str">
        <f>IF(J3280&lt;&gt;1,"",IF(I3280="SBJ","CB","?"))</f>
        <v> </v>
      </c>
      <c r="I3280" s="25" t="str">
        <f>IF(OR(E3280="",E3280="!!!",F3280="NEW"),"",INDEX(B3279:B$2,-1+SUMPRODUCT(MAX(ROW(E3279:E$2)*(E3280=E3279:E$2)))))</f>
        <v> </v>
      </c>
      <c r="J3280" s="25" t="str">
        <f>IF(OR(E3280="",E3280="!!!",F3280="NEW"),"",COUNTBLANK(OFFSET(A$1,,,SUMPRODUCT(MAX(ROW(E$2:E3280)*(E3280=E$2:E3280)))))-COUNTBLANK(OFFSET(A$1,,,SUMPRODUCT(MAX(ROW(E$1:E3279)*(E2=E$1:E3279))))))</f>
        <v> </v>
      </c>
      <c r="K3280" s="25" t="str">
        <f>IF(OR(E3280="",E3280="!!!",F3280="NEW"),"",INDEX(J$1:J3279,SUMPRODUCT(MAX(ROW(E$1:E3279)*(E3280=E$1:E3279)))))</f>
        <v> </v>
      </c>
      <c r="L3280" s="26"/>
    </row>
    <row r="3281" spans="1:12">
      <c r="A3281" s="20" t="s">
        <v>737</v>
      </c>
      <c r="E3281" s="21">
        <f>IF(D3281="?OLD","!!!","")</f>
        <v/>
      </c>
      <c r="F3281" s="22" t="str">
        <f>IF(OR(E3281="",E3281="!!!"),"",IF(NOT(ISNA(VLOOKUP(E3281,E$1:E3280,1,FALSE()))),"OLD",IF(AND(E3281&lt;&gt;"",E3281&lt;&gt;"!!!"),"NEW","")))</f>
        <v> </v>
      </c>
      <c r="G3281" s="23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4" t="str">
        <f>IF(J3281&lt;&gt;1,"",IF(I3281="SBJ","CB","?"))</f>
        <v> </v>
      </c>
      <c r="I3281" s="25" t="str">
        <f>IF(OR(E3281="",E3281="!!!",F3281="NEW"),"",INDEX(B3280:B$2,-1+SUMPRODUCT(MAX(ROW(E3280:E$2)*(E3281=E3280:E$2)))))</f>
        <v> </v>
      </c>
      <c r="J3281" s="25" t="str">
        <f>IF(OR(E3281="",E3281="!!!",F3281="NEW"),"",COUNTBLANK(OFFSET(A$1,,,SUMPRODUCT(MAX(ROW(E$2:E3281)*(E3281=E$2:E3281)))))-COUNTBLANK(OFFSET(A$1,,,SUMPRODUCT(MAX(ROW(E$1:E3280)*(E2=E$1:E3280))))))</f>
        <v> </v>
      </c>
      <c r="K3281" s="25" t="str">
        <f>IF(OR(E3281="",E3281="!!!",F3281="NEW"),"",INDEX(J$1:J3280,SUMPRODUCT(MAX(ROW(E$1:E3280)*(E3281=E$1:E3280)))))</f>
        <v> </v>
      </c>
      <c r="L3281" s="26"/>
    </row>
    <row r="3282" spans="1:12">
      <c r="A3282" s="20" t="s">
        <v>1918</v>
      </c>
      <c r="E3282" s="21">
        <f>IF(D3282="?OLD","!!!","")</f>
        <v/>
      </c>
      <c r="F3282" s="22" t="str">
        <f>IF(OR(E3282="",E3282="!!!"),"",IF(NOT(ISNA(VLOOKUP(E3282,E$1:E3281,1,FALSE()))),"OLD",IF(AND(E3282&lt;&gt;"",E3282&lt;&gt;"!!!"),"NEW","")))</f>
        <v> </v>
      </c>
      <c r="G3282" s="23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4" t="str">
        <f>IF(J3282&lt;&gt;1,"",IF(I3282="SBJ","CB","?"))</f>
        <v> </v>
      </c>
      <c r="I3282" s="25" t="str">
        <f>IF(OR(E3282="",E3282="!!!",F3282="NEW"),"",INDEX(B3281:B$2,-1+SUMPRODUCT(MAX(ROW(E3281:E$2)*(E3282=E3281:E$2)))))</f>
        <v> </v>
      </c>
      <c r="J3282" s="25" t="str">
        <f>IF(OR(E3282="",E3282="!!!",F3282="NEW"),"",COUNTBLANK(OFFSET(A$1,,,SUMPRODUCT(MAX(ROW(E$2:E3282)*(E3282=E$2:E3282)))))-COUNTBLANK(OFFSET(A$1,,,SUMPRODUCT(MAX(ROW(E$1:E3281)*(E2=E$1:E3281))))))</f>
        <v> </v>
      </c>
      <c r="K3282" s="25" t="str">
        <f>IF(OR(E3282="",E3282="!!!",F3282="NEW"),"",INDEX(J$1:J3281,SUMPRODUCT(MAX(ROW(E$1:E3281)*(E3282=E$1:E3281)))))</f>
        <v> </v>
      </c>
      <c r="L3282" s="26"/>
    </row>
    <row r="3283" spans="1:12">
      <c r="A3283" s="20" t="s">
        <v>737</v>
      </c>
      <c r="E3283" s="21">
        <f>IF(D3283="?OLD","!!!","")</f>
        <v/>
      </c>
      <c r="F3283" s="22" t="str">
        <f>IF(OR(E3283="",E3283="!!!"),"",IF(NOT(ISNA(VLOOKUP(E3283,E$1:E3282,1,FALSE()))),"OLD",IF(AND(E3283&lt;&gt;"",E3283&lt;&gt;"!!!"),"NEW","")))</f>
        <v> </v>
      </c>
      <c r="G3283" s="23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4" t="str">
        <f>IF(J3283&lt;&gt;1,"",IF(I3283="SBJ","CB","?"))</f>
        <v> </v>
      </c>
      <c r="I3283" s="25" t="str">
        <f>IF(OR(E3283="",E3283="!!!",F3283="NEW"),"",INDEX(B3282:B$2,-1+SUMPRODUCT(MAX(ROW(E3282:E$2)*(E3283=E3282:E$2)))))</f>
        <v> </v>
      </c>
      <c r="J3283" s="25" t="str">
        <f>IF(OR(E3283="",E3283="!!!",F3283="NEW"),"",COUNTBLANK(OFFSET(A$1,,,SUMPRODUCT(MAX(ROW(E$2:E3283)*(E3283=E$2:E3283)))))-COUNTBLANK(OFFSET(A$1,,,SUMPRODUCT(MAX(ROW(E$1:E3282)*(E2=E$1:E3282))))))</f>
        <v> </v>
      </c>
      <c r="K3283" s="25" t="str">
        <f>IF(OR(E3283="",E3283="!!!",F3283="NEW"),"",INDEX(J$1:J3282,SUMPRODUCT(MAX(ROW(E$1:E3282)*(E3283=E$1:E3282)))))</f>
        <v> </v>
      </c>
      <c r="L3283" s="26"/>
    </row>
    <row r="3284" spans="1:12">
      <c r="A3284" s="20" t="s">
        <v>1919</v>
      </c>
      <c r="E3284" s="21">
        <f>IF(D3284="?OLD","!!!","")</f>
        <v/>
      </c>
      <c r="F3284" s="22" t="str">
        <f>IF(OR(E3284="",E3284="!!!"),"",IF(NOT(ISNA(VLOOKUP(E3284,E$1:E3283,1,FALSE()))),"OLD",IF(AND(E3284&lt;&gt;"",E3284&lt;&gt;"!!!"),"NEW","")))</f>
        <v> </v>
      </c>
      <c r="G3284" s="23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4" t="str">
        <f>IF(J3284&lt;&gt;1,"",IF(I3284="SBJ","CB","?"))</f>
        <v> </v>
      </c>
      <c r="I3284" s="25" t="str">
        <f>IF(OR(E3284="",E3284="!!!",F3284="NEW"),"",INDEX(B3283:B$2,-1+SUMPRODUCT(MAX(ROW(E3283:E$2)*(E3284=E3283:E$2)))))</f>
        <v> </v>
      </c>
      <c r="J3284" s="25" t="str">
        <f>IF(OR(E3284="",E3284="!!!",F3284="NEW"),"",COUNTBLANK(OFFSET(A$1,,,SUMPRODUCT(MAX(ROW(E$2:E3284)*(E3284=E$2:E3284)))))-COUNTBLANK(OFFSET(A$1,,,SUMPRODUCT(MAX(ROW(E$1:E3283)*(E2=E$1:E3283))))))</f>
        <v> </v>
      </c>
      <c r="K3284" s="25" t="str">
        <f>IF(OR(E3284="",E3284="!!!",F3284="NEW"),"",INDEX(J$1:J3283,SUMPRODUCT(MAX(ROW(E$1:E3283)*(E3284=E$1:E3283)))))</f>
        <v> </v>
      </c>
      <c r="L3284" s="26"/>
    </row>
    <row r="3285" spans="1:12">
      <c r="A3285" s="20" t="s">
        <v>618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758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720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/>
    </row>
    <row r="3289" spans="1:12">
      <c r="A3289" s="20" t="s">
        <v>1920</v>
      </c>
    </row>
    <row r="3290" spans="1:12">
      <c r="A3290" s="20" t="s">
        <v>1612</v>
      </c>
      <c r="E3290" s="21">
        <f>IF(D3290="?OLD","!!!","")</f>
        <v/>
      </c>
      <c r="F3290" s="22" t="str">
        <f>IF(OR(E3290="",E3290="!!!"),"",IF(NOT(ISNA(VLOOKUP(E3290,E$1:E3289,1,FALSE()))),"OLD",IF(AND(E3290&lt;&gt;"",E3290&lt;&gt;"!!!"),"NEW","")))</f>
        <v> </v>
      </c>
      <c r="G3290" s="23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4" t="str">
        <f>IF(J3290&lt;&gt;1,"",IF(I3290="SBJ","CB","?"))</f>
        <v> </v>
      </c>
      <c r="I3290" s="25" t="str">
        <f>IF(OR(E3290="",E3290="!!!",F3290="NEW"),"",INDEX(B3289:B$2,-1+SUMPRODUCT(MAX(ROW(E3289:E$2)*(E3290=E3289:E$2)))))</f>
        <v> </v>
      </c>
      <c r="J3290" s="25" t="str">
        <f>IF(OR(E3290="",E3290="!!!",F3290="NEW"),"",COUNTBLANK(OFFSET(A$1,,,SUMPRODUCT(MAX(ROW(E$2:E3290)*(E3290=E$2:E3290)))))-COUNTBLANK(OFFSET(A$1,,,SUMPRODUCT(MAX(ROW(E$1:E3289)*(E2=E$1:E3289))))))</f>
        <v> </v>
      </c>
      <c r="K3290" s="25" t="str">
        <f>IF(OR(E3290="",E3290="!!!",F3290="NEW"),"",INDEX(J$1:J3289,SUMPRODUCT(MAX(ROW(E$1:E3289)*(E3290=E$1:E3289)))))</f>
        <v> </v>
      </c>
      <c r="L3290" s="26"/>
    </row>
    <row r="3291" spans="1:12">
      <c r="A3291" s="20" t="s">
        <v>832</v>
      </c>
      <c r="E3291" s="21">
        <f>IF(D3291="?OLD","!!!","")</f>
        <v/>
      </c>
      <c r="F3291" s="22" t="str">
        <f>IF(OR(E3291="",E3291="!!!"),"",IF(NOT(ISNA(VLOOKUP(E3291,E$1:E3290,1,FALSE()))),"OLD",IF(AND(E3291&lt;&gt;"",E3291&lt;&gt;"!!!"),"NEW","")))</f>
        <v> </v>
      </c>
      <c r="G3291" s="23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4" t="str">
        <f>IF(J3291&lt;&gt;1,"",IF(I3291="SBJ","CB","?"))</f>
        <v> </v>
      </c>
      <c r="I3291" s="25" t="str">
        <f>IF(OR(E3291="",E3291="!!!",F3291="NEW"),"",INDEX(B3290:B$2,-1+SUMPRODUCT(MAX(ROW(E3290:E$2)*(E3291=E3290:E$2)))))</f>
        <v> </v>
      </c>
      <c r="J3291" s="25" t="str">
        <f>IF(OR(E3291="",E3291="!!!",F3291="NEW"),"",COUNTBLANK(OFFSET(A$1,,,SUMPRODUCT(MAX(ROW(E$2:E3291)*(E3291=E$2:E3291)))))-COUNTBLANK(OFFSET(A$1,,,SUMPRODUCT(MAX(ROW(E$1:E3290)*(E2=E$1:E3290))))))</f>
        <v> </v>
      </c>
      <c r="K3291" s="25" t="str">
        <f>IF(OR(E3291="",E3291="!!!",F3291="NEW"),"",INDEX(J$1:J3290,SUMPRODUCT(MAX(ROW(E$1:E3290)*(E3291=E$1:E3290)))))</f>
        <v> </v>
      </c>
      <c r="L3291" s="26"/>
    </row>
    <row r="3292" spans="1:12">
      <c r="A3292" s="20" t="s">
        <v>1921</v>
      </c>
      <c r="B3292" s="27" t="s">
        <v>745</v>
      </c>
      <c r="C3292" s="27" t="s">
        <v>769</v>
      </c>
      <c r="D3292" s="27" t="s">
        <v>716</v>
      </c>
      <c r="E3292" s="21">
        <f>IF(D3292="?OLD","!!!","")</f>
        <v/>
      </c>
      <c r="F3292" s="22" t="str">
        <f>IF(OR(E3292="",E3292="!!!"),"",IF(NOT(ISNA(VLOOKUP(E3292,E$1:E3291,1,FALSE()))),"OLD",IF(AND(E3292&lt;&gt;"",E3292&lt;&gt;"!!!"),"NEW","")))</f>
        <v> </v>
      </c>
      <c r="G3292" s="23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4" t="str">
        <f>IF(J3292&lt;&gt;1,"",IF(I3292="SBJ","CB","?"))</f>
        <v> </v>
      </c>
      <c r="I3292" s="25" t="str">
        <f>IF(OR(E3292="",E3292="!!!",F3292="NEW"),"",INDEX(B3291:B$2,-1+SUMPRODUCT(MAX(ROW(E3291:E$2)*(E3292=E3291:E$2)))))</f>
        <v> </v>
      </c>
      <c r="J3292" s="25" t="str">
        <f>IF(OR(E3292="",E3292="!!!",F3292="NEW"),"",COUNTBLANK(OFFSET(A$1,,,SUMPRODUCT(MAX(ROW(E$2:E3292)*(E3292=E$2:E3292)))))-COUNTBLANK(OFFSET(A$1,,,SUMPRODUCT(MAX(ROW(E$1:E3291)*(E2=E$1:E3291))))))</f>
        <v> </v>
      </c>
      <c r="K3292" s="25" t="str">
        <f>IF(OR(E3292="",E3292="!!!",F3292="NEW"),"",INDEX(J$1:J3291,SUMPRODUCT(MAX(ROW(E$1:E3291)*(E3292=E$1:E3291)))))</f>
        <v> </v>
      </c>
      <c r="L3292" s="26"/>
    </row>
    <row r="3293" spans="1:12">
      <c r="A3293" s="20" t="s">
        <v>803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1922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 t="s">
        <v>1923</v>
      </c>
      <c r="E3295" s="21">
        <f>IF(D3295="?OLD","!!!","")</f>
        <v/>
      </c>
      <c r="F3295" s="22" t="str">
        <f>IF(OR(E3295="",E3295="!!!"),"",IF(NOT(ISNA(VLOOKUP(E3295,E$1:E3294,1,FALSE()))),"OLD",IF(AND(E3295&lt;&gt;"",E3295&lt;&gt;"!!!"),"NEW","")))</f>
        <v> </v>
      </c>
      <c r="G3295" s="23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4" t="str">
        <f>IF(J3295&lt;&gt;1,"",IF(I3295="SBJ","CB","?"))</f>
        <v> </v>
      </c>
      <c r="I3295" s="25" t="str">
        <f>IF(OR(E3295="",E3295="!!!",F3295="NEW"),"",INDEX(B3294:B$2,-1+SUMPRODUCT(MAX(ROW(E3294:E$2)*(E3295=E3294:E$2)))))</f>
        <v> </v>
      </c>
      <c r="J3295" s="25" t="str">
        <f>IF(OR(E3295="",E3295="!!!",F3295="NEW"),"",COUNTBLANK(OFFSET(A$1,,,SUMPRODUCT(MAX(ROW(E$2:E3295)*(E3295=E$2:E3295)))))-COUNTBLANK(OFFSET(A$1,,,SUMPRODUCT(MAX(ROW(E$1:E3294)*(E2=E$1:E3294))))))</f>
        <v> </v>
      </c>
      <c r="K3295" s="25" t="str">
        <f>IF(OR(E3295="",E3295="!!!",F3295="NEW"),"",INDEX(J$1:J3294,SUMPRODUCT(MAX(ROW(E$1:E3294)*(E3295=E$1:E3294)))))</f>
        <v> </v>
      </c>
      <c r="L3295" s="26"/>
    </row>
    <row r="3296" spans="1:12">
      <c r="A3296" s="20" t="s">
        <v>737</v>
      </c>
      <c r="E3296" s="21">
        <f>IF(D3296="?OLD","!!!","")</f>
        <v/>
      </c>
      <c r="F3296" s="22" t="str">
        <f>IF(OR(E3296="",E3296="!!!"),"",IF(NOT(ISNA(VLOOKUP(E3296,E$1:E3295,1,FALSE()))),"OLD",IF(AND(E3296&lt;&gt;"",E3296&lt;&gt;"!!!"),"NEW","")))</f>
        <v> </v>
      </c>
      <c r="G3296" s="23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4" t="str">
        <f>IF(J3296&lt;&gt;1,"",IF(I3296="SBJ","CB","?"))</f>
        <v> </v>
      </c>
      <c r="I3296" s="25" t="str">
        <f>IF(OR(E3296="",E3296="!!!",F3296="NEW"),"",INDEX(B3295:B$2,-1+SUMPRODUCT(MAX(ROW(E3295:E$2)*(E3296=E3295:E$2)))))</f>
        <v> </v>
      </c>
      <c r="J3296" s="25" t="str">
        <f>IF(OR(E3296="",E3296="!!!",F3296="NEW"),"",COUNTBLANK(OFFSET(A$1,,,SUMPRODUCT(MAX(ROW(E$2:E3296)*(E3296=E$2:E3296)))))-COUNTBLANK(OFFSET(A$1,,,SUMPRODUCT(MAX(ROW(E$1:E3295)*(E2=E$1:E3295))))))</f>
        <v> </v>
      </c>
      <c r="K3296" s="25" t="str">
        <f>IF(OR(E3296="",E3296="!!!",F3296="NEW"),"",INDEX(J$1:J3295,SUMPRODUCT(MAX(ROW(E$1:E3295)*(E3296=E$1:E3295)))))</f>
        <v> </v>
      </c>
      <c r="L3296" s="26"/>
    </row>
    <row r="3297" spans="1:12">
      <c r="A3297" s="20" t="s">
        <v>832</v>
      </c>
      <c r="B3297" s="27" t="s">
        <v>714</v>
      </c>
      <c r="C3297" s="27" t="s">
        <v>782</v>
      </c>
      <c r="D3297" s="27" t="s">
        <v>716</v>
      </c>
      <c r="E3297" s="21">
        <f>IF(D3297="?OLD","!!!","")</f>
        <v/>
      </c>
      <c r="F3297" s="22" t="str">
        <f>IF(OR(E3297="",E3297="!!!"),"",IF(NOT(ISNA(VLOOKUP(E3297,E$1:E3296,1,FALSE()))),"OLD",IF(AND(E3297&lt;&gt;"",E3297&lt;&gt;"!!!"),"NEW","")))</f>
        <v> </v>
      </c>
      <c r="G3297" s="23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4" t="str">
        <f>IF(J3297&lt;&gt;1,"",IF(I3297="SBJ","CB","?"))</f>
        <v> </v>
      </c>
      <c r="I3297" s="25" t="str">
        <f>IF(OR(E3297="",E3297="!!!",F3297="NEW"),"",INDEX(B3296:B$2,-1+SUMPRODUCT(MAX(ROW(E3296:E$2)*(E3297=E3296:E$2)))))</f>
        <v> </v>
      </c>
      <c r="J3297" s="25" t="str">
        <f>IF(OR(E3297="",E3297="!!!",F3297="NEW"),"",COUNTBLANK(OFFSET(A$1,,,SUMPRODUCT(MAX(ROW(E$2:E3297)*(E3297=E$2:E3297)))))-COUNTBLANK(OFFSET(A$1,,,SUMPRODUCT(MAX(ROW(E$1:E3296)*(E2=E$1:E3296))))))</f>
        <v> </v>
      </c>
      <c r="K3297" s="25" t="str">
        <f>IF(OR(E3297="",E3297="!!!",F3297="NEW"),"",INDEX(J$1:J3296,SUMPRODUCT(MAX(ROW(E$1:E3296)*(E3297=E$1:E3296)))))</f>
        <v> </v>
      </c>
      <c r="L3297" s="26"/>
    </row>
    <row r="3298" spans="1:12">
      <c r="A3298" s="20" t="s">
        <v>1924</v>
      </c>
      <c r="E3298" s="21">
        <f>IF(D3298="?OLD","!!!","")</f>
        <v/>
      </c>
      <c r="F3298" s="22" t="str">
        <f>IF(OR(E3298="",E3298="!!!"),"",IF(NOT(ISNA(VLOOKUP(E3298,E$1:E3297,1,FALSE()))),"OLD",IF(AND(E3298&lt;&gt;"",E3298&lt;&gt;"!!!"),"NEW","")))</f>
        <v> </v>
      </c>
      <c r="G3298" s="23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4" t="str">
        <f>IF(J3298&lt;&gt;1,"",IF(I3298="SBJ","CB","?"))</f>
        <v> </v>
      </c>
      <c r="I3298" s="25" t="str">
        <f>IF(OR(E3298="",E3298="!!!",F3298="NEW"),"",INDEX(B3297:B$2,-1+SUMPRODUCT(MAX(ROW(E3297:E$2)*(E3298=E3297:E$2)))))</f>
        <v> </v>
      </c>
      <c r="J3298" s="25" t="str">
        <f>IF(OR(E3298="",E3298="!!!",F3298="NEW"),"",COUNTBLANK(OFFSET(A$1,,,SUMPRODUCT(MAX(ROW(E$2:E3298)*(E3298=E$2:E3298)))))-COUNTBLANK(OFFSET(A$1,,,SUMPRODUCT(MAX(ROW(E$1:E3297)*(E2=E$1:E3297))))))</f>
        <v> </v>
      </c>
      <c r="K3298" s="25" t="str">
        <f>IF(OR(E3298="",E3298="!!!",F3298="NEW"),"",INDEX(J$1:J3297,SUMPRODUCT(MAX(ROW(E$1:E3297)*(E3298=E$1:E3297)))))</f>
        <v> </v>
      </c>
      <c r="L3298" s="26"/>
    </row>
    <row r="3299" spans="1:12">
      <c r="A3299" s="20" t="s">
        <v>941</v>
      </c>
      <c r="E3299" s="21">
        <f>IF(D3299="?OLD","!!!","")</f>
        <v/>
      </c>
      <c r="F3299" s="22" t="str">
        <f>IF(OR(E3299="",E3299="!!!"),"",IF(NOT(ISNA(VLOOKUP(E3299,E$1:E3298,1,FALSE()))),"OLD",IF(AND(E3299&lt;&gt;"",E3299&lt;&gt;"!!!"),"NEW","")))</f>
        <v> </v>
      </c>
      <c r="G3299" s="23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4" t="str">
        <f>IF(J3299&lt;&gt;1,"",IF(I3299="SBJ","CB","?"))</f>
        <v> </v>
      </c>
      <c r="I3299" s="25" t="str">
        <f>IF(OR(E3299="",E3299="!!!",F3299="NEW"),"",INDEX(B3298:B$2,-1+SUMPRODUCT(MAX(ROW(E3298:E$2)*(E3299=E3298:E$2)))))</f>
        <v> </v>
      </c>
      <c r="J3299" s="25" t="str">
        <f>IF(OR(E3299="",E3299="!!!",F3299="NEW"),"",COUNTBLANK(OFFSET(A$1,,,SUMPRODUCT(MAX(ROW(E$2:E3299)*(E3299=E$2:E3299)))))-COUNTBLANK(OFFSET(A$1,,,SUMPRODUCT(MAX(ROW(E$1:E3298)*(E2=E$1:E3298))))))</f>
        <v> </v>
      </c>
      <c r="K3299" s="25" t="str">
        <f>IF(OR(E3299="",E3299="!!!",F3299="NEW"),"",INDEX(J$1:J3298,SUMPRODUCT(MAX(ROW(E$1:E3298)*(E3299=E$1:E3298)))))</f>
        <v> </v>
      </c>
      <c r="L3299" s="26"/>
    </row>
    <row r="3300" spans="1:12">
      <c r="A3300" s="20" t="s">
        <v>1925</v>
      </c>
      <c r="E3300" s="21">
        <f>IF(D3300="?OLD","!!!","")</f>
        <v/>
      </c>
      <c r="F3300" s="22" t="str">
        <f>IF(OR(E3300="",E3300="!!!"),"",IF(NOT(ISNA(VLOOKUP(E3300,E$1:E3299,1,FALSE()))),"OLD",IF(AND(E3300&lt;&gt;"",E3300&lt;&gt;"!!!"),"NEW","")))</f>
        <v> </v>
      </c>
      <c r="G3300" s="23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4" t="str">
        <f>IF(J3300&lt;&gt;1,"",IF(I3300="SBJ","CB","?"))</f>
        <v> </v>
      </c>
      <c r="I3300" s="25" t="str">
        <f>IF(OR(E3300="",E3300="!!!",F3300="NEW"),"",INDEX(B3299:B$2,-1+SUMPRODUCT(MAX(ROW(E3299:E$2)*(E3300=E3299:E$2)))))</f>
        <v> </v>
      </c>
      <c r="J3300" s="25" t="str">
        <f>IF(OR(E3300="",E3300="!!!",F3300="NEW"),"",COUNTBLANK(OFFSET(A$1,,,SUMPRODUCT(MAX(ROW(E$2:E3300)*(E3300=E$2:E3300)))))-COUNTBLANK(OFFSET(A$1,,,SUMPRODUCT(MAX(ROW(E$1:E3299)*(E2=E$1:E3299))))))</f>
        <v> </v>
      </c>
      <c r="K3300" s="25" t="str">
        <f>IF(OR(E3300="",E3300="!!!",F3300="NEW"),"",INDEX(J$1:J3299,SUMPRODUCT(MAX(ROW(E$1:E3299)*(E3300=E$1:E3299)))))</f>
        <v> </v>
      </c>
      <c r="L3300" s="26"/>
    </row>
    <row r="3301" spans="1:12">
      <c r="A3301" s="20" t="s">
        <v>765</v>
      </c>
      <c r="E3301" s="21">
        <f>IF(D3301="?OLD","!!!","")</f>
        <v/>
      </c>
      <c r="F3301" s="22" t="str">
        <f>IF(OR(E3301="",E3301="!!!"),"",IF(NOT(ISNA(VLOOKUP(E3301,E$1:E3300,1,FALSE()))),"OLD",IF(AND(E3301&lt;&gt;"",E3301&lt;&gt;"!!!"),"NEW","")))</f>
        <v> </v>
      </c>
      <c r="G3301" s="23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4" t="str">
        <f>IF(J3301&lt;&gt;1,"",IF(I3301="SBJ","CB","?"))</f>
        <v> </v>
      </c>
      <c r="I3301" s="25" t="str">
        <f>IF(OR(E3301="",E3301="!!!",F3301="NEW"),"",INDEX(B3300:B$2,-1+SUMPRODUCT(MAX(ROW(E3300:E$2)*(E3301=E3300:E$2)))))</f>
        <v> </v>
      </c>
      <c r="J3301" s="25" t="str">
        <f>IF(OR(E3301="",E3301="!!!",F3301="NEW"),"",COUNTBLANK(OFFSET(A$1,,,SUMPRODUCT(MAX(ROW(E$2:E3301)*(E3301=E$2:E3301)))))-COUNTBLANK(OFFSET(A$1,,,SUMPRODUCT(MAX(ROW(E$1:E3300)*(E2=E$1:E3300))))))</f>
        <v> </v>
      </c>
      <c r="K3301" s="25" t="str">
        <f>IF(OR(E3301="",E3301="!!!",F3301="NEW"),"",INDEX(J$1:J3300,SUMPRODUCT(MAX(ROW(E$1:E3300)*(E3301=E$1:E3300)))))</f>
        <v> </v>
      </c>
      <c r="L3301" s="26"/>
    </row>
    <row r="3302" spans="1:12">
      <c r="A3302" s="20" t="s">
        <v>1926</v>
      </c>
      <c r="E3302" s="21">
        <f>IF(D3302="?OLD","!!!","")</f>
        <v/>
      </c>
      <c r="F3302" s="22" t="str">
        <f>IF(OR(E3302="",E3302="!!!"),"",IF(NOT(ISNA(VLOOKUP(E3302,E$1:E3301,1,FALSE()))),"OLD",IF(AND(E3302&lt;&gt;"",E3302&lt;&gt;"!!!"),"NEW","")))</f>
        <v> </v>
      </c>
      <c r="G3302" s="23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4" t="str">
        <f>IF(J3302&lt;&gt;1,"",IF(I3302="SBJ","CB","?"))</f>
        <v> </v>
      </c>
      <c r="I3302" s="25" t="str">
        <f>IF(OR(E3302="",E3302="!!!",F3302="NEW"),"",INDEX(B3301:B$2,-1+SUMPRODUCT(MAX(ROW(E3301:E$2)*(E3302=E3301:E$2)))))</f>
        <v> </v>
      </c>
      <c r="J3302" s="25" t="str">
        <f>IF(OR(E3302="",E3302="!!!",F3302="NEW"),"",COUNTBLANK(OFFSET(A$1,,,SUMPRODUCT(MAX(ROW(E$2:E3302)*(E3302=E$2:E3302)))))-COUNTBLANK(OFFSET(A$1,,,SUMPRODUCT(MAX(ROW(E$1:E3301)*(E2=E$1:E3301))))))</f>
        <v> </v>
      </c>
      <c r="K3302" s="25" t="str">
        <f>IF(OR(E3302="",E3302="!!!",F3302="NEW"),"",INDEX(J$1:J3301,SUMPRODUCT(MAX(ROW(E$1:E3301)*(E3302=E$1:E3301)))))</f>
        <v> </v>
      </c>
      <c r="L3302" s="26"/>
    </row>
    <row r="3303" spans="1:12">
      <c r="A3303" s="20" t="s">
        <v>713</v>
      </c>
      <c r="B3303" s="27" t="s">
        <v>808</v>
      </c>
      <c r="C3303" s="27" t="s">
        <v>715</v>
      </c>
      <c r="D3303" s="27" t="s">
        <v>716</v>
      </c>
      <c r="E3303" s="21">
        <f>IF(D3303="?OLD","!!!","")</f>
        <v/>
      </c>
      <c r="F3303" s="22" t="str">
        <f>IF(OR(E3303="",E3303="!!!"),"",IF(NOT(ISNA(VLOOKUP(E3303,E$1:E3302,1,FALSE()))),"OLD",IF(AND(E3303&lt;&gt;"",E3303&lt;&gt;"!!!"),"NEW","")))</f>
        <v> </v>
      </c>
      <c r="G3303" s="23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4" t="str">
        <f>IF(J3303&lt;&gt;1,"",IF(I3303="SBJ","CB","?"))</f>
        <v> </v>
      </c>
      <c r="I3303" s="25" t="str">
        <f>IF(OR(E3303="",E3303="!!!",F3303="NEW"),"",INDEX(B3302:B$2,-1+SUMPRODUCT(MAX(ROW(E3302:E$2)*(E3303=E3302:E$2)))))</f>
        <v> </v>
      </c>
      <c r="J3303" s="25" t="str">
        <f>IF(OR(E3303="",E3303="!!!",F3303="NEW"),"",COUNTBLANK(OFFSET(A$1,,,SUMPRODUCT(MAX(ROW(E$2:E3303)*(E3303=E$2:E3303)))))-COUNTBLANK(OFFSET(A$1,,,SUMPRODUCT(MAX(ROW(E$1:E3302)*(E2=E$1:E3302))))))</f>
        <v> </v>
      </c>
      <c r="K3303" s="25" t="str">
        <f>IF(OR(E3303="",E3303="!!!",F3303="NEW"),"",INDEX(J$1:J3302,SUMPRODUCT(MAX(ROW(E$1:E3302)*(E3303=E$1:E3302)))))</f>
        <v> </v>
      </c>
      <c r="L3303" s="26"/>
    </row>
    <row r="3304" spans="1:12">
      <c r="A3304" s="20" t="s">
        <v>737</v>
      </c>
      <c r="E3304" s="21">
        <f>IF(D3304="?OLD","!!!","")</f>
        <v/>
      </c>
      <c r="F3304" s="22" t="str">
        <f>IF(OR(E3304="",E3304="!!!"),"",IF(NOT(ISNA(VLOOKUP(E3304,E$1:E3303,1,FALSE()))),"OLD",IF(AND(E3304&lt;&gt;"",E3304&lt;&gt;"!!!"),"NEW","")))</f>
        <v> </v>
      </c>
      <c r="G3304" s="23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4" t="str">
        <f>IF(J3304&lt;&gt;1,"",IF(I3304="SBJ","CB","?"))</f>
        <v> </v>
      </c>
      <c r="I3304" s="25" t="str">
        <f>IF(OR(E3304="",E3304="!!!",F3304="NEW"),"",INDEX(B3303:B$2,-1+SUMPRODUCT(MAX(ROW(E3303:E$2)*(E3304=E3303:E$2)))))</f>
        <v> </v>
      </c>
      <c r="J3304" s="25" t="str">
        <f>IF(OR(E3304="",E3304="!!!",F3304="NEW"),"",COUNTBLANK(OFFSET(A$1,,,SUMPRODUCT(MAX(ROW(E$2:E3304)*(E3304=E$2:E3304)))))-COUNTBLANK(OFFSET(A$1,,,SUMPRODUCT(MAX(ROW(E$1:E3303)*(E2=E$1:E3303))))))</f>
        <v> </v>
      </c>
      <c r="K3304" s="25" t="str">
        <f>IF(OR(E3304="",E3304="!!!",F3304="NEW"),"",INDEX(J$1:J3303,SUMPRODUCT(MAX(ROW(E$1:E3303)*(E3304=E$1:E3303)))))</f>
        <v> </v>
      </c>
      <c r="L3304" s="26"/>
    </row>
    <row r="3305" spans="1:12">
      <c r="A3305" s="20" t="s">
        <v>1339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822</v>
      </c>
      <c r="B3306" s="27" t="s">
        <v>768</v>
      </c>
      <c r="C3306" s="27" t="s">
        <v>791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823</v>
      </c>
      <c r="B3307" s="27" t="s">
        <v>790</v>
      </c>
      <c r="C3307" s="27" t="s">
        <v>715</v>
      </c>
      <c r="D3307" s="27" t="s">
        <v>716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1927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737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 t="s">
        <v>1782</v>
      </c>
      <c r="E3310" s="21">
        <f>IF(D3310="?OLD","!!!","")</f>
        <v/>
      </c>
      <c r="F3310" s="22" t="str">
        <f>IF(OR(E3310="",E3310="!!!"),"",IF(NOT(ISNA(VLOOKUP(E3310,E$1:E3309,1,FALSE()))),"OLD",IF(AND(E3310&lt;&gt;"",E3310&lt;&gt;"!!!"),"NEW","")))</f>
        <v> </v>
      </c>
      <c r="G3310" s="23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4" t="str">
        <f>IF(J3310&lt;&gt;1,"",IF(I3310="SBJ","CB","?"))</f>
        <v> </v>
      </c>
      <c r="I3310" s="25" t="str">
        <f>IF(OR(E3310="",E3310="!!!",F3310="NEW"),"",INDEX(B3309:B$2,-1+SUMPRODUCT(MAX(ROW(E3309:E$2)*(E3310=E3309:E$2)))))</f>
        <v> </v>
      </c>
      <c r="J3310" s="25" t="str">
        <f>IF(OR(E3310="",E3310="!!!",F3310="NEW"),"",COUNTBLANK(OFFSET(A$1,,,SUMPRODUCT(MAX(ROW(E$2:E3310)*(E3310=E$2:E3310)))))-COUNTBLANK(OFFSET(A$1,,,SUMPRODUCT(MAX(ROW(E$1:E3309)*(E2=E$1:E3309))))))</f>
        <v> </v>
      </c>
      <c r="K3310" s="25" t="str">
        <f>IF(OR(E3310="",E3310="!!!",F3310="NEW"),"",INDEX(J$1:J3309,SUMPRODUCT(MAX(ROW(E$1:E3309)*(E3310=E$1:E3309)))))</f>
        <v> </v>
      </c>
      <c r="L3310" s="26"/>
    </row>
    <row r="3311" spans="1:12">
      <c r="A3311" s="20" t="s">
        <v>737</v>
      </c>
      <c r="E3311" s="21">
        <f>IF(D3311="?OLD","!!!","")</f>
        <v/>
      </c>
      <c r="F3311" s="22" t="str">
        <f>IF(OR(E3311="",E3311="!!!"),"",IF(NOT(ISNA(VLOOKUP(E3311,E$1:E3310,1,FALSE()))),"OLD",IF(AND(E3311&lt;&gt;"",E3311&lt;&gt;"!!!"),"NEW","")))</f>
        <v> </v>
      </c>
      <c r="G3311" s="23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4" t="str">
        <f>IF(J3311&lt;&gt;1,"",IF(I3311="SBJ","CB","?"))</f>
        <v> </v>
      </c>
      <c r="I3311" s="25" t="str">
        <f>IF(OR(E3311="",E3311="!!!",F3311="NEW"),"",INDEX(B3310:B$2,-1+SUMPRODUCT(MAX(ROW(E3310:E$2)*(E3311=E3310:E$2)))))</f>
        <v> </v>
      </c>
      <c r="J3311" s="25" t="str">
        <f>IF(OR(E3311="",E3311="!!!",F3311="NEW"),"",COUNTBLANK(OFFSET(A$1,,,SUMPRODUCT(MAX(ROW(E$2:E3311)*(E3311=E$2:E3311)))))-COUNTBLANK(OFFSET(A$1,,,SUMPRODUCT(MAX(ROW(E$1:E3310)*(E2=E$1:E3310))))))</f>
        <v> </v>
      </c>
      <c r="K3311" s="25" t="str">
        <f>IF(OR(E3311="",E3311="!!!",F3311="NEW"),"",INDEX(J$1:J3310,SUMPRODUCT(MAX(ROW(E$1:E3310)*(E3311=E$1:E3310)))))</f>
        <v> </v>
      </c>
      <c r="L3311" s="26"/>
    </row>
    <row r="3312" spans="1:12">
      <c r="A3312" s="20" t="s">
        <v>1928</v>
      </c>
      <c r="B3312" s="27" t="s">
        <v>847</v>
      </c>
      <c r="E3312" s="21">
        <f>IF(D3312="?OLD","!!!","")</f>
        <v/>
      </c>
      <c r="F3312" s="22" t="str">
        <f>IF(OR(E3312="",E3312="!!!"),"",IF(NOT(ISNA(VLOOKUP(E3312,E$1:E3311,1,FALSE()))),"OLD",IF(AND(E3312&lt;&gt;"",E3312&lt;&gt;"!!!"),"NEW","")))</f>
        <v> </v>
      </c>
      <c r="G3312" s="23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4" t="str">
        <f>IF(J3312&lt;&gt;1,"",IF(I3312="SBJ","CB","?"))</f>
        <v> </v>
      </c>
      <c r="I3312" s="25" t="str">
        <f>IF(OR(E3312="",E3312="!!!",F3312="NEW"),"",INDEX(B3311:B$2,-1+SUMPRODUCT(MAX(ROW(E3311:E$2)*(E3312=E3311:E$2)))))</f>
        <v> </v>
      </c>
      <c r="J3312" s="25" t="str">
        <f>IF(OR(E3312="",E3312="!!!",F3312="NEW"),"",COUNTBLANK(OFFSET(A$1,,,SUMPRODUCT(MAX(ROW(E$2:E3312)*(E3312=E$2:E3312)))))-COUNTBLANK(OFFSET(A$1,,,SUMPRODUCT(MAX(ROW(E$1:E3311)*(E2=E$1:E3311))))))</f>
        <v> </v>
      </c>
      <c r="K3312" s="25" t="str">
        <f>IF(OR(E3312="",E3312="!!!",F3312="NEW"),"",INDEX(J$1:J3311,SUMPRODUCT(MAX(ROW(E$1:E3311)*(E3312=E$1:E3311)))))</f>
        <v> </v>
      </c>
      <c r="L3312" s="26"/>
    </row>
    <row r="3313" spans="1:12">
      <c r="A3313" s="20" t="s">
        <v>1929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 t="s">
        <v>743</v>
      </c>
      <c r="E3314" s="21">
        <f>IF(D3314="?OLD","!!!","")</f>
        <v/>
      </c>
      <c r="F3314" s="22" t="str">
        <f>IF(OR(E3314="",E3314="!!!"),"",IF(NOT(ISNA(VLOOKUP(E3314,E$1:E3313,1,FALSE()))),"OLD",IF(AND(E3314&lt;&gt;"",E3314&lt;&gt;"!!!"),"NEW","")))</f>
        <v> </v>
      </c>
      <c r="G3314" s="23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4" t="str">
        <f>IF(J3314&lt;&gt;1,"",IF(I3314="SBJ","CB","?"))</f>
        <v> </v>
      </c>
      <c r="I3314" s="25" t="str">
        <f>IF(OR(E3314="",E3314="!!!",F3314="NEW"),"",INDEX(B3313:B$2,-1+SUMPRODUCT(MAX(ROW(E3313:E$2)*(E3314=E3313:E$2)))))</f>
        <v> </v>
      </c>
      <c r="J3314" s="25" t="str">
        <f>IF(OR(E3314="",E3314="!!!",F3314="NEW"),"",COUNTBLANK(OFFSET(A$1,,,SUMPRODUCT(MAX(ROW(E$2:E3314)*(E3314=E$2:E3314)))))-COUNTBLANK(OFFSET(A$1,,,SUMPRODUCT(MAX(ROW(E$1:E3313)*(E2=E$1:E3313))))))</f>
        <v> </v>
      </c>
      <c r="K3314" s="25" t="str">
        <f>IF(OR(E3314="",E3314="!!!",F3314="NEW"),"",INDEX(J$1:J3313,SUMPRODUCT(MAX(ROW(E$1:E3313)*(E3314=E$1:E3313)))))</f>
        <v> </v>
      </c>
      <c r="L3314" s="26"/>
    </row>
    <row r="3315" spans="1:12">
      <c r="A3315" s="20" t="s">
        <v>83</v>
      </c>
      <c r="E3315" s="21">
        <f>IF(D3315="?OLD","!!!","")</f>
        <v/>
      </c>
      <c r="F3315" s="22" t="str">
        <f>IF(OR(E3315="",E3315="!!!"),"",IF(NOT(ISNA(VLOOKUP(E3315,E$1:E3314,1,FALSE()))),"OLD",IF(AND(E3315&lt;&gt;"",E3315&lt;&gt;"!!!"),"NEW","")))</f>
        <v> </v>
      </c>
      <c r="G3315" s="23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4" t="str">
        <f>IF(J3315&lt;&gt;1,"",IF(I3315="SBJ","CB","?"))</f>
        <v> </v>
      </c>
      <c r="I3315" s="25" t="str">
        <f>IF(OR(E3315="",E3315="!!!",F3315="NEW"),"",INDEX(B3314:B$2,-1+SUMPRODUCT(MAX(ROW(E3314:E$2)*(E3315=E3314:E$2)))))</f>
        <v> </v>
      </c>
      <c r="J3315" s="25" t="str">
        <f>IF(OR(E3315="",E3315="!!!",F3315="NEW"),"",COUNTBLANK(OFFSET(A$1,,,SUMPRODUCT(MAX(ROW(E$2:E3315)*(E3315=E$2:E3315)))))-COUNTBLANK(OFFSET(A$1,,,SUMPRODUCT(MAX(ROW(E$1:E3314)*(E2=E$1:E3314))))))</f>
        <v> </v>
      </c>
      <c r="K3315" s="25" t="str">
        <f>IF(OR(E3315="",E3315="!!!",F3315="NEW"),"",INDEX(J$1:J3314,SUMPRODUCT(MAX(ROW(E$1:E3314)*(E3315=E$1:E3314)))))</f>
        <v> </v>
      </c>
      <c r="L3315" s="26"/>
    </row>
    <row r="3316" spans="1:12">
      <c r="A3316" s="20" t="s">
        <v>1930</v>
      </c>
      <c r="E3316" s="21">
        <f>IF(D3316="?OLD","!!!","")</f>
        <v/>
      </c>
      <c r="F3316" s="22" t="str">
        <f>IF(OR(E3316="",E3316="!!!"),"",IF(NOT(ISNA(VLOOKUP(E3316,E$1:E3315,1,FALSE()))),"OLD",IF(AND(E3316&lt;&gt;"",E3316&lt;&gt;"!!!"),"NEW","")))</f>
        <v> </v>
      </c>
      <c r="G3316" s="23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4" t="str">
        <f>IF(J3316&lt;&gt;1,"",IF(I3316="SBJ","CB","?"))</f>
        <v> </v>
      </c>
      <c r="I3316" s="25" t="str">
        <f>IF(OR(E3316="",E3316="!!!",F3316="NEW"),"",INDEX(B3315:B$2,-1+SUMPRODUCT(MAX(ROW(E3315:E$2)*(E3316=E3315:E$2)))))</f>
        <v> </v>
      </c>
      <c r="J3316" s="25" t="str">
        <f>IF(OR(E3316="",E3316="!!!",F3316="NEW"),"",COUNTBLANK(OFFSET(A$1,,,SUMPRODUCT(MAX(ROW(E$2:E3316)*(E3316=E$2:E3316)))))-COUNTBLANK(OFFSET(A$1,,,SUMPRODUCT(MAX(ROW(E$1:E3315)*(E2=E$1:E3315))))))</f>
        <v> </v>
      </c>
      <c r="K3316" s="25" t="str">
        <f>IF(OR(E3316="",E3316="!!!",F3316="NEW"),"",INDEX(J$1:J3315,SUMPRODUCT(MAX(ROW(E$1:E3315)*(E3316=E$1:E3315)))))</f>
        <v> </v>
      </c>
      <c r="L3316" s="26"/>
    </row>
    <row r="3317" spans="1:12">
      <c r="A3317" s="20" t="s">
        <v>720</v>
      </c>
      <c r="E3317" s="21">
        <f>IF(D3317="?OLD","!!!","")</f>
        <v/>
      </c>
      <c r="F3317" s="22" t="str">
        <f>IF(OR(E3317="",E3317="!!!"),"",IF(NOT(ISNA(VLOOKUP(E3317,E$1:E3316,1,FALSE()))),"OLD",IF(AND(E3317&lt;&gt;"",E3317&lt;&gt;"!!!"),"NEW","")))</f>
        <v> </v>
      </c>
      <c r="G3317" s="23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4" t="str">
        <f>IF(J3317&lt;&gt;1,"",IF(I3317="SBJ","CB","?"))</f>
        <v> </v>
      </c>
      <c r="I3317" s="25" t="str">
        <f>IF(OR(E3317="",E3317="!!!",F3317="NEW"),"",INDEX(B3316:B$2,-1+SUMPRODUCT(MAX(ROW(E3316:E$2)*(E3317=E3316:E$2)))))</f>
        <v> </v>
      </c>
      <c r="J3317" s="25" t="str">
        <f>IF(OR(E3317="",E3317="!!!",F3317="NEW"),"",COUNTBLANK(OFFSET(A$1,,,SUMPRODUCT(MAX(ROW(E$2:E3317)*(E3317=E$2:E3317)))))-COUNTBLANK(OFFSET(A$1,,,SUMPRODUCT(MAX(ROW(E$1:E3316)*(E2=E$1:E3316))))))</f>
        <v> </v>
      </c>
      <c r="K3317" s="25" t="str">
        <f>IF(OR(E3317="",E3317="!!!",F3317="NEW"),"",INDEX(J$1:J3316,SUMPRODUCT(MAX(ROW(E$1:E3316)*(E3317=E$1:E3316)))))</f>
        <v> </v>
      </c>
      <c r="L3317" s="26"/>
    </row>
    <row r="3318" spans="1:12">
      <c r="A3318" s="20"/>
    </row>
    <row r="3319" spans="1:12">
      <c r="A3319" s="20" t="s">
        <v>1931</v>
      </c>
    </row>
    <row r="3320" spans="1:12">
      <c r="A3320" s="20" t="s">
        <v>1735</v>
      </c>
      <c r="E3320" s="21">
        <f>IF(D3320="?OLD","!!!","")</f>
        <v/>
      </c>
      <c r="F3320" s="22" t="str">
        <f>IF(OR(E3320="",E3320="!!!"),"",IF(NOT(ISNA(VLOOKUP(E3320,E$1:E3319,1,FALSE()))),"OLD",IF(AND(E3320&lt;&gt;"",E3320&lt;&gt;"!!!"),"NEW","")))</f>
        <v> </v>
      </c>
      <c r="G3320" s="23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4" t="str">
        <f>IF(J3320&lt;&gt;1,"",IF(I3320="SBJ","CB","?"))</f>
        <v> </v>
      </c>
      <c r="I3320" s="25" t="str">
        <f>IF(OR(E3320="",E3320="!!!",F3320="NEW"),"",INDEX(B3319:B$2,-1+SUMPRODUCT(MAX(ROW(E3319:E$2)*(E3320=E3319:E$2)))))</f>
        <v> </v>
      </c>
      <c r="J3320" s="25" t="str">
        <f>IF(OR(E3320="",E3320="!!!",F3320="NEW"),"",COUNTBLANK(OFFSET(A$1,,,SUMPRODUCT(MAX(ROW(E$2:E3320)*(E3320=E$2:E3320)))))-COUNTBLANK(OFFSET(A$1,,,SUMPRODUCT(MAX(ROW(E$1:E3319)*(E2=E$1:E3319))))))</f>
        <v> </v>
      </c>
      <c r="K3320" s="25" t="str">
        <f>IF(OR(E3320="",E3320="!!!",F3320="NEW"),"",INDEX(J$1:J3319,SUMPRODUCT(MAX(ROW(E$1:E3319)*(E3320=E$1:E3319)))))</f>
        <v> </v>
      </c>
      <c r="L3320" s="26"/>
    </row>
    <row r="3321" spans="1:12">
      <c r="A3321" s="20" t="s">
        <v>1388</v>
      </c>
      <c r="E3321" s="21">
        <f>IF(D3321="?OLD","!!!","")</f>
        <v/>
      </c>
      <c r="F3321" s="22" t="str">
        <f>IF(OR(E3321="",E3321="!!!"),"",IF(NOT(ISNA(VLOOKUP(E3321,E$1:E3320,1,FALSE()))),"OLD",IF(AND(E3321&lt;&gt;"",E3321&lt;&gt;"!!!"),"NEW","")))</f>
        <v> </v>
      </c>
      <c r="G3321" s="23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4" t="str">
        <f>IF(J3321&lt;&gt;1,"",IF(I3321="SBJ","CB","?"))</f>
        <v> </v>
      </c>
      <c r="I3321" s="25" t="str">
        <f>IF(OR(E3321="",E3321="!!!",F3321="NEW"),"",INDEX(B3320:B$2,-1+SUMPRODUCT(MAX(ROW(E3320:E$2)*(E3321=E3320:E$2)))))</f>
        <v> </v>
      </c>
      <c r="J3321" s="25" t="str">
        <f>IF(OR(E3321="",E3321="!!!",F3321="NEW"),"",COUNTBLANK(OFFSET(A$1,,,SUMPRODUCT(MAX(ROW(E$2:E3321)*(E3321=E$2:E3321)))))-COUNTBLANK(OFFSET(A$1,,,SUMPRODUCT(MAX(ROW(E$1:E3320)*(E2=E$1:E3320))))))</f>
        <v> </v>
      </c>
      <c r="K3321" s="25" t="str">
        <f>IF(OR(E3321="",E3321="!!!",F3321="NEW"),"",INDEX(J$1:J3320,SUMPRODUCT(MAX(ROW(E$1:E3320)*(E3321=E$1:E3320)))))</f>
        <v> </v>
      </c>
      <c r="L3321" s="26"/>
    </row>
    <row r="3322" spans="1:12">
      <c r="A3322" s="20" t="s">
        <v>1932</v>
      </c>
      <c r="B3322" s="27" t="s">
        <v>714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737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 t="s">
        <v>822</v>
      </c>
      <c r="E3324" s="21">
        <f>IF(D3324="?OLD","!!!","")</f>
        <v/>
      </c>
      <c r="F3324" s="22" t="str">
        <f>IF(OR(E3324="",E3324="!!!"),"",IF(NOT(ISNA(VLOOKUP(E3324,E$1:E3323,1,FALSE()))),"OLD",IF(AND(E3324&lt;&gt;"",E3324&lt;&gt;"!!!"),"NEW","")))</f>
        <v> </v>
      </c>
      <c r="G3324" s="23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4" t="str">
        <f>IF(J3324&lt;&gt;1,"",IF(I3324="SBJ","CB","?"))</f>
        <v> </v>
      </c>
      <c r="I3324" s="25" t="str">
        <f>IF(OR(E3324="",E3324="!!!",F3324="NEW"),"",INDEX(B3323:B$2,-1+SUMPRODUCT(MAX(ROW(E3323:E$2)*(E3324=E3323:E$2)))))</f>
        <v> </v>
      </c>
      <c r="J3324" s="25" t="str">
        <f>IF(OR(E3324="",E3324="!!!",F3324="NEW"),"",COUNTBLANK(OFFSET(A$1,,,SUMPRODUCT(MAX(ROW(E$2:E3324)*(E3324=E$2:E3324)))))-COUNTBLANK(OFFSET(A$1,,,SUMPRODUCT(MAX(ROW(E$1:E3323)*(E2=E$1:E3323))))))</f>
        <v> </v>
      </c>
      <c r="K3324" s="25" t="str">
        <f>IF(OR(E3324="",E3324="!!!",F3324="NEW"),"",INDEX(J$1:J3323,SUMPRODUCT(MAX(ROW(E$1:E3323)*(E3324=E$1:E3323)))))</f>
        <v> </v>
      </c>
      <c r="L3324" s="26"/>
    </row>
    <row r="3325" spans="1:12">
      <c r="A3325" s="20" t="s">
        <v>1933</v>
      </c>
      <c r="E3325" s="21">
        <f>IF(D3325="?OLD","!!!","")</f>
        <v/>
      </c>
      <c r="F3325" s="22" t="str">
        <f>IF(OR(E3325="",E3325="!!!"),"",IF(NOT(ISNA(VLOOKUP(E3325,E$1:E3324,1,FALSE()))),"OLD",IF(AND(E3325&lt;&gt;"",E3325&lt;&gt;"!!!"),"NEW","")))</f>
        <v> </v>
      </c>
      <c r="G3325" s="23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4" t="str">
        <f>IF(J3325&lt;&gt;1,"",IF(I3325="SBJ","CB","?"))</f>
        <v> </v>
      </c>
      <c r="I3325" s="25" t="str">
        <f>IF(OR(E3325="",E3325="!!!",F3325="NEW"),"",INDEX(B3324:B$2,-1+SUMPRODUCT(MAX(ROW(E3324:E$2)*(E3325=E3324:E$2)))))</f>
        <v> </v>
      </c>
      <c r="J3325" s="25" t="str">
        <f>IF(OR(E3325="",E3325="!!!",F3325="NEW"),"",COUNTBLANK(OFFSET(A$1,,,SUMPRODUCT(MAX(ROW(E$2:E3325)*(E3325=E$2:E3325)))))-COUNTBLANK(OFFSET(A$1,,,SUMPRODUCT(MAX(ROW(E$1:E3324)*(E2=E$1:E3324))))))</f>
        <v> </v>
      </c>
      <c r="K3325" s="25" t="str">
        <f>IF(OR(E3325="",E3325="!!!",F3325="NEW"),"",INDEX(J$1:J3324,SUMPRODUCT(MAX(ROW(E$1:E3324)*(E3325=E$1:E3324)))))</f>
        <v> </v>
      </c>
      <c r="L3325" s="26"/>
    </row>
    <row r="3326" spans="1:12">
      <c r="A3326" s="20" t="s">
        <v>1934</v>
      </c>
      <c r="B3326" s="27" t="s">
        <v>790</v>
      </c>
      <c r="E3326" s="21">
        <f>IF(D3326="?OLD","!!!","")</f>
        <v/>
      </c>
      <c r="F3326" s="22" t="str">
        <f>IF(OR(E3326="",E3326="!!!"),"",IF(NOT(ISNA(VLOOKUP(E3326,E$1:E3325,1,FALSE()))),"OLD",IF(AND(E3326&lt;&gt;"",E3326&lt;&gt;"!!!"),"NEW","")))</f>
        <v> </v>
      </c>
      <c r="G3326" s="23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4" t="str">
        <f>IF(J3326&lt;&gt;1,"",IF(I3326="SBJ","CB","?"))</f>
        <v> </v>
      </c>
      <c r="I3326" s="25" t="str">
        <f>IF(OR(E3326="",E3326="!!!",F3326="NEW"),"",INDEX(B3325:B$2,-1+SUMPRODUCT(MAX(ROW(E3325:E$2)*(E3326=E3325:E$2)))))</f>
        <v> </v>
      </c>
      <c r="J3326" s="25" t="str">
        <f>IF(OR(E3326="",E3326="!!!",F3326="NEW"),"",COUNTBLANK(OFFSET(A$1,,,SUMPRODUCT(MAX(ROW(E$2:E3326)*(E3326=E$2:E3326)))))-COUNTBLANK(OFFSET(A$1,,,SUMPRODUCT(MAX(ROW(E$1:E3325)*(E2=E$1:E3325))))))</f>
        <v> </v>
      </c>
      <c r="K3326" s="25" t="str">
        <f>IF(OR(E3326="",E3326="!!!",F3326="NEW"),"",INDEX(J$1:J3325,SUMPRODUCT(MAX(ROW(E$1:E3325)*(E3326=E$1:E3325)))))</f>
        <v> </v>
      </c>
      <c r="L3326" s="26"/>
    </row>
    <row r="3327" spans="1:12">
      <c r="A3327" s="20" t="s">
        <v>737</v>
      </c>
      <c r="E3327" s="21">
        <f>IF(D3327="?OLD","!!!","")</f>
        <v/>
      </c>
      <c r="F3327" s="22" t="str">
        <f>IF(OR(E3327="",E3327="!!!"),"",IF(NOT(ISNA(VLOOKUP(E3327,E$1:E3326,1,FALSE()))),"OLD",IF(AND(E3327&lt;&gt;"",E3327&lt;&gt;"!!!"),"NEW","")))</f>
        <v> </v>
      </c>
      <c r="G3327" s="23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4" t="str">
        <f>IF(J3327&lt;&gt;1,"",IF(I3327="SBJ","CB","?"))</f>
        <v> </v>
      </c>
      <c r="I3327" s="25" t="str">
        <f>IF(OR(E3327="",E3327="!!!",F3327="NEW"),"",INDEX(B3326:B$2,-1+SUMPRODUCT(MAX(ROW(E3326:E$2)*(E3327=E3326:E$2)))))</f>
        <v> </v>
      </c>
      <c r="J3327" s="25" t="str">
        <f>IF(OR(E3327="",E3327="!!!",F3327="NEW"),"",COUNTBLANK(OFFSET(A$1,,,SUMPRODUCT(MAX(ROW(E$2:E3327)*(E3327=E$2:E3327)))))-COUNTBLANK(OFFSET(A$1,,,SUMPRODUCT(MAX(ROW(E$1:E3326)*(E2=E$1:E3326))))))</f>
        <v> </v>
      </c>
      <c r="K3327" s="25" t="str">
        <f>IF(OR(E3327="",E3327="!!!",F3327="NEW"),"",INDEX(J$1:J3326,SUMPRODUCT(MAX(ROW(E$1:E3326)*(E3327=E$1:E3326)))))</f>
        <v> </v>
      </c>
      <c r="L3327" s="26"/>
    </row>
    <row r="3328" spans="1:12">
      <c r="A3328" s="20" t="s">
        <v>1935</v>
      </c>
      <c r="E3328" s="21">
        <f>IF(D3328="?OLD","!!!","")</f>
        <v/>
      </c>
      <c r="F3328" s="22" t="str">
        <f>IF(OR(E3328="",E3328="!!!"),"",IF(NOT(ISNA(VLOOKUP(E3328,E$1:E3327,1,FALSE()))),"OLD",IF(AND(E3328&lt;&gt;"",E3328&lt;&gt;"!!!"),"NEW","")))</f>
        <v> </v>
      </c>
      <c r="G3328" s="23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4" t="str">
        <f>IF(J3328&lt;&gt;1,"",IF(I3328="SBJ","CB","?"))</f>
        <v> </v>
      </c>
      <c r="I3328" s="25" t="str">
        <f>IF(OR(E3328="",E3328="!!!",F3328="NEW"),"",INDEX(B3327:B$2,-1+SUMPRODUCT(MAX(ROW(E3327:E$2)*(E3328=E3327:E$2)))))</f>
        <v> </v>
      </c>
      <c r="J3328" s="25" t="str">
        <f>IF(OR(E3328="",E3328="!!!",F3328="NEW"),"",COUNTBLANK(OFFSET(A$1,,,SUMPRODUCT(MAX(ROW(E$2:E3328)*(E3328=E$2:E3328)))))-COUNTBLANK(OFFSET(A$1,,,SUMPRODUCT(MAX(ROW(E$1:E3327)*(E2=E$1:E3327))))))</f>
        <v> </v>
      </c>
      <c r="K3328" s="25" t="str">
        <f>IF(OR(E3328="",E3328="!!!",F3328="NEW"),"",INDEX(J$1:J3327,SUMPRODUCT(MAX(ROW(E$1:E3327)*(E3328=E$1:E3327)))))</f>
        <v> </v>
      </c>
      <c r="L3328" s="26"/>
    </row>
    <row r="3329" spans="1:12">
      <c r="A3329" s="20" t="s">
        <v>735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865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 t="s">
        <v>737</v>
      </c>
      <c r="E3331" s="21">
        <f>IF(D3331="?OLD","!!!","")</f>
        <v/>
      </c>
      <c r="F3331" s="22" t="str">
        <f>IF(OR(E3331="",E3331="!!!"),"",IF(NOT(ISNA(VLOOKUP(E3331,E$1:E3330,1,FALSE()))),"OLD",IF(AND(E3331&lt;&gt;"",E3331&lt;&gt;"!!!"),"NEW","")))</f>
        <v> </v>
      </c>
      <c r="G3331" s="23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4" t="str">
        <f>IF(J3331&lt;&gt;1,"",IF(I3331="SBJ","CB","?"))</f>
        <v> </v>
      </c>
      <c r="I3331" s="25" t="str">
        <f>IF(OR(E3331="",E3331="!!!",F3331="NEW"),"",INDEX(B3330:B$2,-1+SUMPRODUCT(MAX(ROW(E3330:E$2)*(E3331=E3330:E$2)))))</f>
        <v> </v>
      </c>
      <c r="J3331" s="25" t="str">
        <f>IF(OR(E3331="",E3331="!!!",F3331="NEW"),"",COUNTBLANK(OFFSET(A$1,,,SUMPRODUCT(MAX(ROW(E$2:E3331)*(E3331=E$2:E3331)))))-COUNTBLANK(OFFSET(A$1,,,SUMPRODUCT(MAX(ROW(E$1:E3330)*(E2=E$1:E3330))))))</f>
        <v> </v>
      </c>
      <c r="K3331" s="25" t="str">
        <f>IF(OR(E3331="",E3331="!!!",F3331="NEW"),"",INDEX(J$1:J3330,SUMPRODUCT(MAX(ROW(E$1:E3330)*(E3331=E$1:E3330)))))</f>
        <v> </v>
      </c>
      <c r="L3331" s="26"/>
    </row>
    <row r="3332" spans="1:12">
      <c r="A3332" s="20" t="s">
        <v>1936</v>
      </c>
      <c r="E3332" s="21">
        <f>IF(D3332="?OLD","!!!","")</f>
        <v/>
      </c>
      <c r="F3332" s="22" t="str">
        <f>IF(OR(E3332="",E3332="!!!"),"",IF(NOT(ISNA(VLOOKUP(E3332,E$1:E3331,1,FALSE()))),"OLD",IF(AND(E3332&lt;&gt;"",E3332&lt;&gt;"!!!"),"NEW","")))</f>
        <v> </v>
      </c>
      <c r="G3332" s="23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4" t="str">
        <f>IF(J3332&lt;&gt;1,"",IF(I3332="SBJ","CB","?"))</f>
        <v> </v>
      </c>
      <c r="I3332" s="25" t="str">
        <f>IF(OR(E3332="",E3332="!!!",F3332="NEW"),"",INDEX(B3331:B$2,-1+SUMPRODUCT(MAX(ROW(E3331:E$2)*(E3332=E3331:E$2)))))</f>
        <v> </v>
      </c>
      <c r="J3332" s="25" t="str">
        <f>IF(OR(E3332="",E3332="!!!",F3332="NEW"),"",COUNTBLANK(OFFSET(A$1,,,SUMPRODUCT(MAX(ROW(E$2:E3332)*(E3332=E$2:E3332)))))-COUNTBLANK(OFFSET(A$1,,,SUMPRODUCT(MAX(ROW(E$1:E3331)*(E2=E$1:E3331))))))</f>
        <v> </v>
      </c>
      <c r="K3332" s="25" t="str">
        <f>IF(OR(E3332="",E3332="!!!",F3332="NEW"),"",INDEX(J$1:J3331,SUMPRODUCT(MAX(ROW(E$1:E3331)*(E3332=E$1:E3331)))))</f>
        <v> </v>
      </c>
      <c r="L3332" s="26"/>
    </row>
    <row r="3333" spans="1:12">
      <c r="A3333" s="20" t="s">
        <v>1062</v>
      </c>
      <c r="E3333" s="21">
        <f>IF(D3333="?OLD","!!!","")</f>
        <v/>
      </c>
      <c r="F3333" s="22" t="str">
        <f>IF(OR(E3333="",E3333="!!!"),"",IF(NOT(ISNA(VLOOKUP(E3333,E$1:E3332,1,FALSE()))),"OLD",IF(AND(E3333&lt;&gt;"",E3333&lt;&gt;"!!!"),"NEW","")))</f>
        <v> </v>
      </c>
      <c r="G3333" s="23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4" t="str">
        <f>IF(J3333&lt;&gt;1,"",IF(I3333="SBJ","CB","?"))</f>
        <v> </v>
      </c>
      <c r="I3333" s="25" t="str">
        <f>IF(OR(E3333="",E3333="!!!",F3333="NEW"),"",INDEX(B3332:B$2,-1+SUMPRODUCT(MAX(ROW(E3332:E$2)*(E3333=E3332:E$2)))))</f>
        <v> </v>
      </c>
      <c r="J3333" s="25" t="str">
        <f>IF(OR(E3333="",E3333="!!!",F3333="NEW"),"",COUNTBLANK(OFFSET(A$1,,,SUMPRODUCT(MAX(ROW(E$2:E3333)*(E3333=E$2:E3333)))))-COUNTBLANK(OFFSET(A$1,,,SUMPRODUCT(MAX(ROW(E$1:E3332)*(E2=E$1:E3332))))))</f>
        <v> </v>
      </c>
      <c r="K3333" s="25" t="str">
        <f>IF(OR(E3333="",E3333="!!!",F3333="NEW"),"",INDEX(J$1:J3332,SUMPRODUCT(MAX(ROW(E$1:E3332)*(E3333=E$1:E3332)))))</f>
        <v> </v>
      </c>
      <c r="L3333" s="26"/>
    </row>
    <row r="3334" spans="1:12">
      <c r="A3334" s="20" t="s">
        <v>142</v>
      </c>
      <c r="B3334" s="27" t="s">
        <v>847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1923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 t="s">
        <v>743</v>
      </c>
      <c r="E3336" s="21">
        <f>IF(D3336="?OLD","!!!","")</f>
        <v/>
      </c>
      <c r="F3336" s="22" t="str">
        <f>IF(OR(E3336="",E3336="!!!"),"",IF(NOT(ISNA(VLOOKUP(E3336,E$1:E3335,1,FALSE()))),"OLD",IF(AND(E3336&lt;&gt;"",E3336&lt;&gt;"!!!"),"NEW","")))</f>
        <v> </v>
      </c>
      <c r="G3336" s="23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4" t="str">
        <f>IF(J3336&lt;&gt;1,"",IF(I3336="SBJ","CB","?"))</f>
        <v> </v>
      </c>
      <c r="I3336" s="25" t="str">
        <f>IF(OR(E3336="",E3336="!!!",F3336="NEW"),"",INDEX(B3335:B$2,-1+SUMPRODUCT(MAX(ROW(E3335:E$2)*(E3336=E3335:E$2)))))</f>
        <v> </v>
      </c>
      <c r="J3336" s="25" t="str">
        <f>IF(OR(E3336="",E3336="!!!",F3336="NEW"),"",COUNTBLANK(OFFSET(A$1,,,SUMPRODUCT(MAX(ROW(E$2:E3336)*(E3336=E$2:E3336)))))-COUNTBLANK(OFFSET(A$1,,,SUMPRODUCT(MAX(ROW(E$1:E3335)*(E2=E$1:E3335))))))</f>
        <v> </v>
      </c>
      <c r="K3336" s="25" t="str">
        <f>IF(OR(E3336="",E3336="!!!",F3336="NEW"),"",INDEX(J$1:J3335,SUMPRODUCT(MAX(ROW(E$1:E3335)*(E3336=E$1:E3335)))))</f>
        <v> </v>
      </c>
      <c r="L3336" s="26"/>
    </row>
    <row r="3337" spans="1:12">
      <c r="A3337" s="20" t="s">
        <v>1937</v>
      </c>
      <c r="E3337" s="21">
        <f>IF(D3337="?OLD","!!!","")</f>
        <v/>
      </c>
      <c r="F3337" s="22" t="str">
        <f>IF(OR(E3337="",E3337="!!!"),"",IF(NOT(ISNA(VLOOKUP(E3337,E$1:E3336,1,FALSE()))),"OLD",IF(AND(E3337&lt;&gt;"",E3337&lt;&gt;"!!!"),"NEW","")))</f>
        <v> </v>
      </c>
      <c r="G3337" s="23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4" t="str">
        <f>IF(J3337&lt;&gt;1,"",IF(I3337="SBJ","CB","?"))</f>
        <v> </v>
      </c>
      <c r="I3337" s="25" t="str">
        <f>IF(OR(E3337="",E3337="!!!",F3337="NEW"),"",INDEX(B3336:B$2,-1+SUMPRODUCT(MAX(ROW(E3336:E$2)*(E3337=E3336:E$2)))))</f>
        <v> </v>
      </c>
      <c r="J3337" s="25" t="str">
        <f>IF(OR(E3337="",E3337="!!!",F3337="NEW"),"",COUNTBLANK(OFFSET(A$1,,,SUMPRODUCT(MAX(ROW(E$2:E3337)*(E3337=E$2:E3337)))))-COUNTBLANK(OFFSET(A$1,,,SUMPRODUCT(MAX(ROW(E$1:E3336)*(E2=E$1:E3336))))))</f>
        <v> </v>
      </c>
      <c r="K3337" s="25" t="str">
        <f>IF(OR(E3337="",E3337="!!!",F3337="NEW"),"",INDEX(J$1:J3336,SUMPRODUCT(MAX(ROW(E$1:E3336)*(E3337=E$1:E3336)))))</f>
        <v> </v>
      </c>
      <c r="L3337" s="26"/>
    </row>
    <row r="3338" spans="1:12">
      <c r="A3338" s="20" t="s">
        <v>1938</v>
      </c>
      <c r="E3338" s="21">
        <f>IF(D3338="?OLD","!!!","")</f>
        <v/>
      </c>
      <c r="F3338" s="22" t="str">
        <f>IF(OR(E3338="",E3338="!!!"),"",IF(NOT(ISNA(VLOOKUP(E3338,E$1:E3337,1,FALSE()))),"OLD",IF(AND(E3338&lt;&gt;"",E3338&lt;&gt;"!!!"),"NEW","")))</f>
        <v> </v>
      </c>
      <c r="G3338" s="23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4" t="str">
        <f>IF(J3338&lt;&gt;1,"",IF(I3338="SBJ","CB","?"))</f>
        <v> </v>
      </c>
      <c r="I3338" s="25" t="str">
        <f>IF(OR(E3338="",E3338="!!!",F3338="NEW"),"",INDEX(B3337:B$2,-1+SUMPRODUCT(MAX(ROW(E3337:E$2)*(E3338=E3337:E$2)))))</f>
        <v> </v>
      </c>
      <c r="J3338" s="25" t="str">
        <f>IF(OR(E3338="",E3338="!!!",F3338="NEW"),"",COUNTBLANK(OFFSET(A$1,,,SUMPRODUCT(MAX(ROW(E$2:E3338)*(E3338=E$2:E3338)))))-COUNTBLANK(OFFSET(A$1,,,SUMPRODUCT(MAX(ROW(E$1:E3337)*(E2=E$1:E3337))))))</f>
        <v> </v>
      </c>
      <c r="K3338" s="25" t="str">
        <f>IF(OR(E3338="",E3338="!!!",F3338="NEW"),"",INDEX(J$1:J3337,SUMPRODUCT(MAX(ROW(E$1:E3337)*(E3338=E$1:E3337)))))</f>
        <v> </v>
      </c>
      <c r="L3338" s="26"/>
    </row>
    <row r="3339" spans="1:12">
      <c r="A3339" s="20" t="s">
        <v>1939</v>
      </c>
      <c r="E3339" s="21">
        <f>IF(D3339="?OLD","!!!","")</f>
        <v/>
      </c>
      <c r="F3339" s="22" t="str">
        <f>IF(OR(E3339="",E3339="!!!"),"",IF(NOT(ISNA(VLOOKUP(E3339,E$1:E3338,1,FALSE()))),"OLD",IF(AND(E3339&lt;&gt;"",E3339&lt;&gt;"!!!"),"NEW","")))</f>
        <v> </v>
      </c>
      <c r="G3339" s="23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4" t="str">
        <f>IF(J3339&lt;&gt;1,"",IF(I3339="SBJ","CB","?"))</f>
        <v> </v>
      </c>
      <c r="I3339" s="25" t="str">
        <f>IF(OR(E3339="",E3339="!!!",F3339="NEW"),"",INDEX(B3338:B$2,-1+SUMPRODUCT(MAX(ROW(E3338:E$2)*(E3339=E3338:E$2)))))</f>
        <v> </v>
      </c>
      <c r="J3339" s="25" t="str">
        <f>IF(OR(E3339="",E3339="!!!",F3339="NEW"),"",COUNTBLANK(OFFSET(A$1,,,SUMPRODUCT(MAX(ROW(E$2:E3339)*(E3339=E$2:E3339)))))-COUNTBLANK(OFFSET(A$1,,,SUMPRODUCT(MAX(ROW(E$1:E3338)*(E2=E$1:E3338))))))</f>
        <v> </v>
      </c>
      <c r="K3339" s="25" t="str">
        <f>IF(OR(E3339="",E3339="!!!",F3339="NEW"),"",INDEX(J$1:J3338,SUMPRODUCT(MAX(ROW(E$1:E3338)*(E3339=E$1:E3338)))))</f>
        <v> </v>
      </c>
      <c r="L3339" s="26"/>
    </row>
    <row r="3340" spans="1:12">
      <c r="A3340" s="20" t="s">
        <v>1940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 t="s">
        <v>737</v>
      </c>
      <c r="E3341" s="21">
        <f>IF(D3341="?OLD","!!!","")</f>
        <v/>
      </c>
      <c r="F3341" s="22" t="str">
        <f>IF(OR(E3341="",E3341="!!!"),"",IF(NOT(ISNA(VLOOKUP(E3341,E$1:E3340,1,FALSE()))),"OLD",IF(AND(E3341&lt;&gt;"",E3341&lt;&gt;"!!!"),"NEW","")))</f>
        <v> </v>
      </c>
      <c r="G3341" s="23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4" t="str">
        <f>IF(J3341&lt;&gt;1,"",IF(I3341="SBJ","CB","?"))</f>
        <v> </v>
      </c>
      <c r="I3341" s="25" t="str">
        <f>IF(OR(E3341="",E3341="!!!",F3341="NEW"),"",INDEX(B3340:B$2,-1+SUMPRODUCT(MAX(ROW(E3340:E$2)*(E3341=E3340:E$2)))))</f>
        <v> </v>
      </c>
      <c r="J3341" s="25" t="str">
        <f>IF(OR(E3341="",E3341="!!!",F3341="NEW"),"",COUNTBLANK(OFFSET(A$1,,,SUMPRODUCT(MAX(ROW(E$2:E3341)*(E3341=E$2:E3341)))))-COUNTBLANK(OFFSET(A$1,,,SUMPRODUCT(MAX(ROW(E$1:E3340)*(E2=E$1:E3340))))))</f>
        <v> </v>
      </c>
      <c r="K3341" s="25" t="str">
        <f>IF(OR(E3341="",E3341="!!!",F3341="NEW"),"",INDEX(J$1:J3340,SUMPRODUCT(MAX(ROW(E$1:E3340)*(E3341=E$1:E3340)))))</f>
        <v> </v>
      </c>
      <c r="L3341" s="26"/>
    </row>
    <row r="3342" spans="1:12">
      <c r="A3342" s="20" t="s">
        <v>1941</v>
      </c>
      <c r="E3342" s="21">
        <f>IF(D3342="?OLD","!!!","")</f>
        <v/>
      </c>
      <c r="F3342" s="22" t="str">
        <f>IF(OR(E3342="",E3342="!!!"),"",IF(NOT(ISNA(VLOOKUP(E3342,E$1:E3341,1,FALSE()))),"OLD",IF(AND(E3342&lt;&gt;"",E3342&lt;&gt;"!!!"),"NEW","")))</f>
        <v> </v>
      </c>
      <c r="G3342" s="23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4" t="str">
        <f>IF(J3342&lt;&gt;1,"",IF(I3342="SBJ","CB","?"))</f>
        <v> </v>
      </c>
      <c r="I3342" s="25" t="str">
        <f>IF(OR(E3342="",E3342="!!!",F3342="NEW"),"",INDEX(B3341:B$2,-1+SUMPRODUCT(MAX(ROW(E3341:E$2)*(E3342=E3341:E$2)))))</f>
        <v> </v>
      </c>
      <c r="J3342" s="25" t="str">
        <f>IF(OR(E3342="",E3342="!!!",F3342="NEW"),"",COUNTBLANK(OFFSET(A$1,,,SUMPRODUCT(MAX(ROW(E$2:E3342)*(E3342=E$2:E3342)))))-COUNTBLANK(OFFSET(A$1,,,SUMPRODUCT(MAX(ROW(E$1:E3341)*(E2=E$1:E3341))))))</f>
        <v> </v>
      </c>
      <c r="K3342" s="25" t="str">
        <f>IF(OR(E3342="",E3342="!!!",F3342="NEW"),"",INDEX(J$1:J3341,SUMPRODUCT(MAX(ROW(E$1:E3341)*(E3342=E$1:E3341)))))</f>
        <v> </v>
      </c>
      <c r="L3342" s="26"/>
    </row>
    <row r="3343" spans="1:12">
      <c r="A3343" s="20" t="s">
        <v>765</v>
      </c>
      <c r="E3343" s="21">
        <f>IF(D3343="?OLD","!!!","")</f>
        <v/>
      </c>
      <c r="F3343" s="22" t="str">
        <f>IF(OR(E3343="",E3343="!!!"),"",IF(NOT(ISNA(VLOOKUP(E3343,E$1:E3342,1,FALSE()))),"OLD",IF(AND(E3343&lt;&gt;"",E3343&lt;&gt;"!!!"),"NEW","")))</f>
        <v> </v>
      </c>
      <c r="G3343" s="23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4" t="str">
        <f>IF(J3343&lt;&gt;1,"",IF(I3343="SBJ","CB","?"))</f>
        <v> </v>
      </c>
      <c r="I3343" s="25" t="str">
        <f>IF(OR(E3343="",E3343="!!!",F3343="NEW"),"",INDEX(B3342:B$2,-1+SUMPRODUCT(MAX(ROW(E3342:E$2)*(E3343=E3342:E$2)))))</f>
        <v> </v>
      </c>
      <c r="J3343" s="25" t="str">
        <f>IF(OR(E3343="",E3343="!!!",F3343="NEW"),"",COUNTBLANK(OFFSET(A$1,,,SUMPRODUCT(MAX(ROW(E$2:E3343)*(E3343=E$2:E3343)))))-COUNTBLANK(OFFSET(A$1,,,SUMPRODUCT(MAX(ROW(E$1:E3342)*(E2=E$1:E3342))))))</f>
        <v> </v>
      </c>
      <c r="K3343" s="25" t="str">
        <f>IF(OR(E3343="",E3343="!!!",F3343="NEW"),"",INDEX(J$1:J3342,SUMPRODUCT(MAX(ROW(E$1:E3342)*(E3343=E$1:E3342)))))</f>
        <v> </v>
      </c>
      <c r="L3343" s="26"/>
    </row>
    <row r="3344" spans="1:12">
      <c r="A3344" s="20" t="s">
        <v>1942</v>
      </c>
      <c r="B3344" s="27" t="s">
        <v>742</v>
      </c>
      <c r="C3344" s="27" t="s">
        <v>715</v>
      </c>
      <c r="D3344" s="27" t="s">
        <v>716</v>
      </c>
      <c r="E3344" s="21">
        <f>IF(D3344="?OLD","!!!","")</f>
        <v/>
      </c>
      <c r="F3344" s="22" t="str">
        <f>IF(OR(E3344="",E3344="!!!"),"",IF(NOT(ISNA(VLOOKUP(E3344,E$1:E3343,1,FALSE()))),"OLD",IF(AND(E3344&lt;&gt;"",E3344&lt;&gt;"!!!"),"NEW","")))</f>
        <v> </v>
      </c>
      <c r="G3344" s="23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4" t="str">
        <f>IF(J3344&lt;&gt;1,"",IF(I3344="SBJ","CB","?"))</f>
        <v> </v>
      </c>
      <c r="I3344" s="25" t="str">
        <f>IF(OR(E3344="",E3344="!!!",F3344="NEW"),"",INDEX(B3343:B$2,-1+SUMPRODUCT(MAX(ROW(E3343:E$2)*(E3344=E3343:E$2)))))</f>
        <v> </v>
      </c>
      <c r="J3344" s="25" t="str">
        <f>IF(OR(E3344="",E3344="!!!",F3344="NEW"),"",COUNTBLANK(OFFSET(A$1,,,SUMPRODUCT(MAX(ROW(E$2:E3344)*(E3344=E$2:E3344)))))-COUNTBLANK(OFFSET(A$1,,,SUMPRODUCT(MAX(ROW(E$1:E3343)*(E2=E$1:E3343))))))</f>
        <v> </v>
      </c>
      <c r="K3344" s="25" t="str">
        <f>IF(OR(E3344="",E3344="!!!",F3344="NEW"),"",INDEX(J$1:J3343,SUMPRODUCT(MAX(ROW(E$1:E3343)*(E3344=E$1:E3343)))))</f>
        <v> </v>
      </c>
      <c r="L3344" s="26"/>
    </row>
    <row r="3345" spans="1:12">
      <c r="A3345" s="20" t="s">
        <v>1042</v>
      </c>
      <c r="E3345" s="21">
        <f>IF(D3345="?OLD","!!!","")</f>
        <v/>
      </c>
      <c r="F3345" s="22" t="str">
        <f>IF(OR(E3345="",E3345="!!!"),"",IF(NOT(ISNA(VLOOKUP(E3345,E$1:E3344,1,FALSE()))),"OLD",IF(AND(E3345&lt;&gt;"",E3345&lt;&gt;"!!!"),"NEW","")))</f>
        <v> </v>
      </c>
      <c r="G3345" s="23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4" t="str">
        <f>IF(J3345&lt;&gt;1,"",IF(I3345="SBJ","CB","?"))</f>
        <v> </v>
      </c>
      <c r="I3345" s="25" t="str">
        <f>IF(OR(E3345="",E3345="!!!",F3345="NEW"),"",INDEX(B3344:B$2,-1+SUMPRODUCT(MAX(ROW(E3344:E$2)*(E3345=E3344:E$2)))))</f>
        <v> </v>
      </c>
      <c r="J3345" s="25" t="str">
        <f>IF(OR(E3345="",E3345="!!!",F3345="NEW"),"",COUNTBLANK(OFFSET(A$1,,,SUMPRODUCT(MAX(ROW(E$2:E3345)*(E3345=E$2:E3345)))))-COUNTBLANK(OFFSET(A$1,,,SUMPRODUCT(MAX(ROW(E$1:E3344)*(E2=E$1:E3344))))))</f>
        <v> </v>
      </c>
      <c r="K3345" s="25" t="str">
        <f>IF(OR(E3345="",E3345="!!!",F3345="NEW"),"",INDEX(J$1:J3344,SUMPRODUCT(MAX(ROW(E$1:E3344)*(E3345=E$1:E3344)))))</f>
        <v> </v>
      </c>
      <c r="L3345" s="26"/>
    </row>
    <row r="3346" spans="1:12">
      <c r="A3346" s="20"/>
    </row>
    <row r="3347" spans="1:12">
      <c r="A3347" s="20" t="s">
        <v>1943</v>
      </c>
    </row>
    <row r="3348" spans="1:12">
      <c r="A3348" s="20" t="s">
        <v>1880</v>
      </c>
      <c r="B3348" s="27" t="s">
        <v>781</v>
      </c>
      <c r="C3348" s="27" t="s">
        <v>1060</v>
      </c>
      <c r="D3348" s="27" t="s">
        <v>716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888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1944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 t="s">
        <v>737</v>
      </c>
      <c r="E3351" s="21">
        <f>IF(D3351="?OLD","!!!","")</f>
        <v/>
      </c>
      <c r="F3351" s="22" t="str">
        <f>IF(OR(E3351="",E3351="!!!"),"",IF(NOT(ISNA(VLOOKUP(E3351,E$1:E3350,1,FALSE()))),"OLD",IF(AND(E3351&lt;&gt;"",E3351&lt;&gt;"!!!"),"NEW","")))</f>
        <v> </v>
      </c>
      <c r="G3351" s="23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4" t="str">
        <f>IF(J3351&lt;&gt;1,"",IF(I3351="SBJ","CB","?"))</f>
        <v> </v>
      </c>
      <c r="I3351" s="25" t="str">
        <f>IF(OR(E3351="",E3351="!!!",F3351="NEW"),"",INDEX(B3350:B$2,-1+SUMPRODUCT(MAX(ROW(E3350:E$2)*(E3351=E3350:E$2)))))</f>
        <v> </v>
      </c>
      <c r="J3351" s="25" t="str">
        <f>IF(OR(E3351="",E3351="!!!",F3351="NEW"),"",COUNTBLANK(OFFSET(A$1,,,SUMPRODUCT(MAX(ROW(E$2:E3351)*(E3351=E$2:E3351)))))-COUNTBLANK(OFFSET(A$1,,,SUMPRODUCT(MAX(ROW(E$1:E3350)*(E2=E$1:E3350))))))</f>
        <v> </v>
      </c>
      <c r="K3351" s="25" t="str">
        <f>IF(OR(E3351="",E3351="!!!",F3351="NEW"),"",INDEX(J$1:J3350,SUMPRODUCT(MAX(ROW(E$1:E3350)*(E3351=E$1:E3350)))))</f>
        <v> </v>
      </c>
      <c r="L3351" s="26"/>
    </row>
    <row r="3352" spans="1:12">
      <c r="A3352" s="20" t="s">
        <v>1945</v>
      </c>
      <c r="E3352" s="21">
        <f>IF(D3352="?OLD","!!!","")</f>
        <v/>
      </c>
      <c r="F3352" s="22" t="str">
        <f>IF(OR(E3352="",E3352="!!!"),"",IF(NOT(ISNA(VLOOKUP(E3352,E$1:E3351,1,FALSE()))),"OLD",IF(AND(E3352&lt;&gt;"",E3352&lt;&gt;"!!!"),"NEW","")))</f>
        <v> </v>
      </c>
      <c r="G3352" s="23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4" t="str">
        <f>IF(J3352&lt;&gt;1,"",IF(I3352="SBJ","CB","?"))</f>
        <v> </v>
      </c>
      <c r="I3352" s="25" t="str">
        <f>IF(OR(E3352="",E3352="!!!",F3352="NEW"),"",INDEX(B3351:B$2,-1+SUMPRODUCT(MAX(ROW(E3351:E$2)*(E3352=E3351:E$2)))))</f>
        <v> </v>
      </c>
      <c r="J3352" s="25" t="str">
        <f>IF(OR(E3352="",E3352="!!!",F3352="NEW"),"",COUNTBLANK(OFFSET(A$1,,,SUMPRODUCT(MAX(ROW(E$2:E3352)*(E3352=E$2:E3352)))))-COUNTBLANK(OFFSET(A$1,,,SUMPRODUCT(MAX(ROW(E$1:E3351)*(E2=E$1:E3351))))))</f>
        <v> </v>
      </c>
      <c r="K3352" s="25" t="str">
        <f>IF(OR(E3352="",E3352="!!!",F3352="NEW"),"",INDEX(J$1:J3351,SUMPRODUCT(MAX(ROW(E$1:E3351)*(E3352=E$1:E3351)))))</f>
        <v> </v>
      </c>
      <c r="L3352" s="26"/>
    </row>
    <row r="3353" spans="1:12">
      <c r="A3353" s="20" t="s">
        <v>1946</v>
      </c>
      <c r="B3353" s="27" t="s">
        <v>745</v>
      </c>
      <c r="E3353" s="21">
        <f>IF(D3353="?OLD","!!!","")</f>
        <v/>
      </c>
      <c r="F3353" s="22" t="str">
        <f>IF(OR(E3353="",E3353="!!!"),"",IF(NOT(ISNA(VLOOKUP(E3353,E$1:E3352,1,FALSE()))),"OLD",IF(AND(E3353&lt;&gt;"",E3353&lt;&gt;"!!!"),"NEW","")))</f>
        <v> </v>
      </c>
      <c r="G3353" s="23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4" t="str">
        <f>IF(J3353&lt;&gt;1,"",IF(I3353="SBJ","CB","?"))</f>
        <v> </v>
      </c>
      <c r="I3353" s="25" t="str">
        <f>IF(OR(E3353="",E3353="!!!",F3353="NEW"),"",INDEX(B3352:B$2,-1+SUMPRODUCT(MAX(ROW(E3352:E$2)*(E3353=E3352:E$2)))))</f>
        <v> </v>
      </c>
      <c r="J3353" s="25" t="str">
        <f>IF(OR(E3353="",E3353="!!!",F3353="NEW"),"",COUNTBLANK(OFFSET(A$1,,,SUMPRODUCT(MAX(ROW(E$2:E3353)*(E3353=E$2:E3353)))))-COUNTBLANK(OFFSET(A$1,,,SUMPRODUCT(MAX(ROW(E$1:E3352)*(E2=E$1:E3352))))))</f>
        <v> </v>
      </c>
      <c r="K3353" s="25" t="str">
        <f>IF(OR(E3353="",E3353="!!!",F3353="NEW"),"",INDEX(J$1:J3352,SUMPRODUCT(MAX(ROW(E$1:E3352)*(E3353=E$1:E3352)))))</f>
        <v> </v>
      </c>
      <c r="L3353" s="26"/>
    </row>
    <row r="3354" spans="1:12">
      <c r="A3354" s="20" t="s">
        <v>1234</v>
      </c>
      <c r="E3354" s="21">
        <f>IF(D3354="?OLD","!!!","")</f>
        <v/>
      </c>
      <c r="F3354" s="22" t="str">
        <f>IF(OR(E3354="",E3354="!!!"),"",IF(NOT(ISNA(VLOOKUP(E3354,E$1:E3353,1,FALSE()))),"OLD",IF(AND(E3354&lt;&gt;"",E3354&lt;&gt;"!!!"),"NEW","")))</f>
        <v> </v>
      </c>
      <c r="G3354" s="23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4" t="str">
        <f>IF(J3354&lt;&gt;1,"",IF(I3354="SBJ","CB","?"))</f>
        <v> </v>
      </c>
      <c r="I3354" s="25" t="str">
        <f>IF(OR(E3354="",E3354="!!!",F3354="NEW"),"",INDEX(B3353:B$2,-1+SUMPRODUCT(MAX(ROW(E3353:E$2)*(E3354=E3353:E$2)))))</f>
        <v> </v>
      </c>
      <c r="J3354" s="25" t="str">
        <f>IF(OR(E3354="",E3354="!!!",F3354="NEW"),"",COUNTBLANK(OFFSET(A$1,,,SUMPRODUCT(MAX(ROW(E$2:E3354)*(E3354=E$2:E3354)))))-COUNTBLANK(OFFSET(A$1,,,SUMPRODUCT(MAX(ROW(E$1:E3353)*(E2=E$1:E3353))))))</f>
        <v> </v>
      </c>
      <c r="K3354" s="25" t="str">
        <f>IF(OR(E3354="",E3354="!!!",F3354="NEW"),"",INDEX(J$1:J3353,SUMPRODUCT(MAX(ROW(E$1:E3353)*(E3354=E$1:E3353)))))</f>
        <v> </v>
      </c>
      <c r="L3354" s="26"/>
    </row>
    <row r="3355" spans="1:12">
      <c r="A3355" s="20" t="s">
        <v>1947</v>
      </c>
      <c r="E3355" s="21">
        <f>IF(D3355="?OLD","!!!","")</f>
        <v/>
      </c>
      <c r="F3355" s="22" t="str">
        <f>IF(OR(E3355="",E3355="!!!"),"",IF(NOT(ISNA(VLOOKUP(E3355,E$1:E3354,1,FALSE()))),"OLD",IF(AND(E3355&lt;&gt;"",E3355&lt;&gt;"!!!"),"NEW","")))</f>
        <v> </v>
      </c>
      <c r="G3355" s="23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4" t="str">
        <f>IF(J3355&lt;&gt;1,"",IF(I3355="SBJ","CB","?"))</f>
        <v> </v>
      </c>
      <c r="I3355" s="25" t="str">
        <f>IF(OR(E3355="",E3355="!!!",F3355="NEW"),"",INDEX(B3354:B$2,-1+SUMPRODUCT(MAX(ROW(E3354:E$2)*(E3355=E3354:E$2)))))</f>
        <v> </v>
      </c>
      <c r="J3355" s="25" t="str">
        <f>IF(OR(E3355="",E3355="!!!",F3355="NEW"),"",COUNTBLANK(OFFSET(A$1,,,SUMPRODUCT(MAX(ROW(E$2:E3355)*(E3355=E$2:E3355)))))-COUNTBLANK(OFFSET(A$1,,,SUMPRODUCT(MAX(ROW(E$1:E3354)*(E2=E$1:E3354))))))</f>
        <v> </v>
      </c>
      <c r="K3355" s="25" t="str">
        <f>IF(OR(E3355="",E3355="!!!",F3355="NEW"),"",INDEX(J$1:J3354,SUMPRODUCT(MAX(ROW(E$1:E3354)*(E3355=E$1:E3354)))))</f>
        <v> </v>
      </c>
      <c r="L3355" s="26"/>
    </row>
    <row r="3356" spans="1:12">
      <c r="A3356" s="20" t="s">
        <v>891</v>
      </c>
      <c r="E3356" s="21">
        <f>IF(D3356="?OLD","!!!","")</f>
        <v/>
      </c>
      <c r="F3356" s="22" t="str">
        <f>IF(OR(E3356="",E3356="!!!"),"",IF(NOT(ISNA(VLOOKUP(E3356,E$1:E3355,1,FALSE()))),"OLD",IF(AND(E3356&lt;&gt;"",E3356&lt;&gt;"!!!"),"NEW","")))</f>
        <v> </v>
      </c>
      <c r="G3356" s="23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4" t="str">
        <f>IF(J3356&lt;&gt;1,"",IF(I3356="SBJ","CB","?"))</f>
        <v> </v>
      </c>
      <c r="I3356" s="25" t="str">
        <f>IF(OR(E3356="",E3356="!!!",F3356="NEW"),"",INDEX(B3355:B$2,-1+SUMPRODUCT(MAX(ROW(E3355:E$2)*(E3356=E3355:E$2)))))</f>
        <v> </v>
      </c>
      <c r="J3356" s="25" t="str">
        <f>IF(OR(E3356="",E3356="!!!",F3356="NEW"),"",COUNTBLANK(OFFSET(A$1,,,SUMPRODUCT(MAX(ROW(E$2:E3356)*(E3356=E$2:E3356)))))-COUNTBLANK(OFFSET(A$1,,,SUMPRODUCT(MAX(ROW(E$1:E3355)*(E2=E$1:E3355))))))</f>
        <v> </v>
      </c>
      <c r="K3356" s="25" t="str">
        <f>IF(OR(E3356="",E3356="!!!",F3356="NEW"),"",INDEX(J$1:J3355,SUMPRODUCT(MAX(ROW(E$1:E3355)*(E3356=E$1:E3355)))))</f>
        <v> </v>
      </c>
      <c r="L3356" s="26"/>
    </row>
    <row r="3357" spans="1:12">
      <c r="A3357" s="20" t="s">
        <v>735</v>
      </c>
      <c r="E3357" s="21">
        <f>IF(D3357="?OLD","!!!","")</f>
        <v/>
      </c>
      <c r="F3357" s="22" t="str">
        <f>IF(OR(E3357="",E3357="!!!"),"",IF(NOT(ISNA(VLOOKUP(E3357,E$1:E3356,1,FALSE()))),"OLD",IF(AND(E3357&lt;&gt;"",E3357&lt;&gt;"!!!"),"NEW","")))</f>
        <v> </v>
      </c>
      <c r="G3357" s="23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4" t="str">
        <f>IF(J3357&lt;&gt;1,"",IF(I3357="SBJ","CB","?"))</f>
        <v> </v>
      </c>
      <c r="I3357" s="25" t="str">
        <f>IF(OR(E3357="",E3357="!!!",F3357="NEW"),"",INDEX(B3356:B$2,-1+SUMPRODUCT(MAX(ROW(E3356:E$2)*(E3357=E3356:E$2)))))</f>
        <v> </v>
      </c>
      <c r="J3357" s="25" t="str">
        <f>IF(OR(E3357="",E3357="!!!",F3357="NEW"),"",COUNTBLANK(OFFSET(A$1,,,SUMPRODUCT(MAX(ROW(E$2:E3357)*(E3357=E$2:E3357)))))-COUNTBLANK(OFFSET(A$1,,,SUMPRODUCT(MAX(ROW(E$1:E3356)*(E2=E$1:E3356))))))</f>
        <v> </v>
      </c>
      <c r="K3357" s="25" t="str">
        <f>IF(OR(E3357="",E3357="!!!",F3357="NEW"),"",INDEX(J$1:J3356,SUMPRODUCT(MAX(ROW(E$1:E3356)*(E3357=E$1:E3356)))))</f>
        <v> </v>
      </c>
      <c r="L3357" s="26"/>
    </row>
    <row r="3358" spans="1:12">
      <c r="A3358" s="20" t="s">
        <v>1939</v>
      </c>
      <c r="E3358" s="21">
        <f>IF(D3358="?OLD","!!!","")</f>
        <v/>
      </c>
      <c r="F3358" s="22" t="str">
        <f>IF(OR(E3358="",E3358="!!!"),"",IF(NOT(ISNA(VLOOKUP(E3358,E$1:E3357,1,FALSE()))),"OLD",IF(AND(E3358&lt;&gt;"",E3358&lt;&gt;"!!!"),"NEW","")))</f>
        <v> </v>
      </c>
      <c r="G3358" s="23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4" t="str">
        <f>IF(J3358&lt;&gt;1,"",IF(I3358="SBJ","CB","?"))</f>
        <v> </v>
      </c>
      <c r="I3358" s="25" t="str">
        <f>IF(OR(E3358="",E3358="!!!",F3358="NEW"),"",INDEX(B3357:B$2,-1+SUMPRODUCT(MAX(ROW(E3357:E$2)*(E3358=E3357:E$2)))))</f>
        <v> </v>
      </c>
      <c r="J3358" s="25" t="str">
        <f>IF(OR(E3358="",E3358="!!!",F3358="NEW"),"",COUNTBLANK(OFFSET(A$1,,,SUMPRODUCT(MAX(ROW(E$2:E3358)*(E3358=E$2:E3358)))))-COUNTBLANK(OFFSET(A$1,,,SUMPRODUCT(MAX(ROW(E$1:E3357)*(E2=E$1:E3357))))))</f>
        <v> </v>
      </c>
      <c r="K3358" s="25" t="str">
        <f>IF(OR(E3358="",E3358="!!!",F3358="NEW"),"",INDEX(J$1:J3357,SUMPRODUCT(MAX(ROW(E$1:E3357)*(E3358=E$1:E3357)))))</f>
        <v> </v>
      </c>
      <c r="L3358" s="26"/>
    </row>
    <row r="3359" spans="1:12">
      <c r="A3359" s="20" t="s">
        <v>1948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 t="s">
        <v>855</v>
      </c>
      <c r="E3360" s="21">
        <f>IF(D3360="?OLD","!!!","")</f>
        <v/>
      </c>
      <c r="F3360" s="22" t="str">
        <f>IF(OR(E3360="",E3360="!!!"),"",IF(NOT(ISNA(VLOOKUP(E3360,E$1:E3359,1,FALSE()))),"OLD",IF(AND(E3360&lt;&gt;"",E3360&lt;&gt;"!!!"),"NEW","")))</f>
        <v> </v>
      </c>
      <c r="G3360" s="23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4" t="str">
        <f>IF(J3360&lt;&gt;1,"",IF(I3360="SBJ","CB","?"))</f>
        <v> </v>
      </c>
      <c r="I3360" s="25" t="str">
        <f>IF(OR(E3360="",E3360="!!!",F3360="NEW"),"",INDEX(B3359:B$2,-1+SUMPRODUCT(MAX(ROW(E3359:E$2)*(E3360=E3359:E$2)))))</f>
        <v> </v>
      </c>
      <c r="J3360" s="25" t="str">
        <f>IF(OR(E3360="",E3360="!!!",F3360="NEW"),"",COUNTBLANK(OFFSET(A$1,,,SUMPRODUCT(MAX(ROW(E$2:E3360)*(E3360=E$2:E3360)))))-COUNTBLANK(OFFSET(A$1,,,SUMPRODUCT(MAX(ROW(E$1:E3359)*(E2=E$1:E3359))))))</f>
        <v> </v>
      </c>
      <c r="K3360" s="25" t="str">
        <f>IF(OR(E3360="",E3360="!!!",F3360="NEW"),"",INDEX(J$1:J3359,SUMPRODUCT(MAX(ROW(E$1:E3359)*(E3360=E$1:E3359)))))</f>
        <v> </v>
      </c>
      <c r="L3360" s="26"/>
    </row>
    <row r="3361" spans="1:12">
      <c r="A3361" s="20" t="s">
        <v>720</v>
      </c>
      <c r="E3361" s="21">
        <f>IF(D3361="?OLD","!!!","")</f>
        <v/>
      </c>
      <c r="F3361" s="22" t="str">
        <f>IF(OR(E3361="",E3361="!!!"),"",IF(NOT(ISNA(VLOOKUP(E3361,E$1:E3360,1,FALSE()))),"OLD",IF(AND(E3361&lt;&gt;"",E3361&lt;&gt;"!!!"),"NEW","")))</f>
        <v> </v>
      </c>
      <c r="G3361" s="23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4" t="str">
        <f>IF(J3361&lt;&gt;1,"",IF(I3361="SBJ","CB","?"))</f>
        <v> </v>
      </c>
      <c r="I3361" s="25" t="str">
        <f>IF(OR(E3361="",E3361="!!!",F3361="NEW"),"",INDEX(B3360:B$2,-1+SUMPRODUCT(MAX(ROW(E3360:E$2)*(E3361=E3360:E$2)))))</f>
        <v> </v>
      </c>
      <c r="J3361" s="25" t="str">
        <f>IF(OR(E3361="",E3361="!!!",F3361="NEW"),"",COUNTBLANK(OFFSET(A$1,,,SUMPRODUCT(MAX(ROW(E$2:E3361)*(E3361=E$2:E3361)))))-COUNTBLANK(OFFSET(A$1,,,SUMPRODUCT(MAX(ROW(E$1:E3360)*(E2=E$1:E3360))))))</f>
        <v> </v>
      </c>
      <c r="K3361" s="25" t="str">
        <f>IF(OR(E3361="",E3361="!!!",F3361="NEW"),"",INDEX(J$1:J3360,SUMPRODUCT(MAX(ROW(E$1:E3360)*(E3361=E$1:E3360)))))</f>
        <v> </v>
      </c>
      <c r="L3361" s="26"/>
    </row>
    <row r="3362" spans="1:12">
      <c r="A3362" s="20"/>
    </row>
    <row r="3363" spans="1:12">
      <c r="A3363" s="20" t="s">
        <v>1949</v>
      </c>
    </row>
    <row r="3364" spans="1:12">
      <c r="A3364" s="20" t="s">
        <v>1950</v>
      </c>
      <c r="B3364" s="27" t="s">
        <v>714</v>
      </c>
      <c r="C3364" s="27" t="s">
        <v>715</v>
      </c>
      <c r="D3364" s="27" t="s">
        <v>716</v>
      </c>
      <c r="E3364" s="21">
        <f>IF(D3364="?OLD","!!!","")</f>
        <v/>
      </c>
      <c r="F3364" s="22" t="str">
        <f>IF(OR(E3364="",E3364="!!!"),"",IF(NOT(ISNA(VLOOKUP(E3364,E$1:E3363,1,FALSE()))),"OLD",IF(AND(E3364&lt;&gt;"",E3364&lt;&gt;"!!!"),"NEW","")))</f>
        <v> </v>
      </c>
      <c r="G3364" s="23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4" t="str">
        <f>IF(J3364&lt;&gt;1,"",IF(I3364="SBJ","CB","?"))</f>
        <v> </v>
      </c>
      <c r="I3364" s="25" t="str">
        <f>IF(OR(E3364="",E3364="!!!",F3364="NEW"),"",INDEX(B3363:B$2,-1+SUMPRODUCT(MAX(ROW(E3363:E$2)*(E3364=E3363:E$2)))))</f>
        <v> </v>
      </c>
      <c r="J3364" s="25" t="str">
        <f>IF(OR(E3364="",E3364="!!!",F3364="NEW"),"",COUNTBLANK(OFFSET(A$1,,,SUMPRODUCT(MAX(ROW(E$2:E3364)*(E3364=E$2:E3364)))))-COUNTBLANK(OFFSET(A$1,,,SUMPRODUCT(MAX(ROW(E$1:E3363)*(E2=E$1:E3363))))))</f>
        <v> </v>
      </c>
      <c r="K3364" s="25" t="str">
        <f>IF(OR(E3364="",E3364="!!!",F3364="NEW"),"",INDEX(J$1:J3363,SUMPRODUCT(MAX(ROW(E$1:E3363)*(E3364=E$1:E3363)))))</f>
        <v> </v>
      </c>
      <c r="L3364" s="26"/>
    </row>
    <row r="3365" spans="1:12">
      <c r="A3365" s="20" t="s">
        <v>1951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 t="s">
        <v>1952</v>
      </c>
      <c r="E3366" s="21">
        <f>IF(D3366="?OLD","!!!","")</f>
        <v/>
      </c>
      <c r="F3366" s="22" t="str">
        <f>IF(OR(E3366="",E3366="!!!"),"",IF(NOT(ISNA(VLOOKUP(E3366,E$1:E3365,1,FALSE()))),"OLD",IF(AND(E3366&lt;&gt;"",E3366&lt;&gt;"!!!"),"NEW","")))</f>
        <v> </v>
      </c>
      <c r="G3366" s="23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4" t="str">
        <f>IF(J3366&lt;&gt;1,"",IF(I3366="SBJ","CB","?"))</f>
        <v> </v>
      </c>
      <c r="I3366" s="25" t="str">
        <f>IF(OR(E3366="",E3366="!!!",F3366="NEW"),"",INDEX(B3365:B$2,-1+SUMPRODUCT(MAX(ROW(E3365:E$2)*(E3366=E3365:E$2)))))</f>
        <v> </v>
      </c>
      <c r="J3366" s="25" t="str">
        <f>IF(OR(E3366="",E3366="!!!",F3366="NEW"),"",COUNTBLANK(OFFSET(A$1,,,SUMPRODUCT(MAX(ROW(E$2:E3366)*(E3366=E$2:E3366)))))-COUNTBLANK(OFFSET(A$1,,,SUMPRODUCT(MAX(ROW(E$1:E3365)*(E2=E$1:E3365))))))</f>
        <v> </v>
      </c>
      <c r="K3366" s="25" t="str">
        <f>IF(OR(E3366="",E3366="!!!",F3366="NEW"),"",INDEX(J$1:J3365,SUMPRODUCT(MAX(ROW(E$1:E3365)*(E3366=E$1:E3365)))))</f>
        <v> </v>
      </c>
      <c r="L3366" s="26"/>
    </row>
    <row r="3367" spans="1:12">
      <c r="A3367" s="20" t="s">
        <v>735</v>
      </c>
      <c r="E3367" s="21">
        <f>IF(D3367="?OLD","!!!","")</f>
        <v/>
      </c>
      <c r="F3367" s="22" t="str">
        <f>IF(OR(E3367="",E3367="!!!"),"",IF(NOT(ISNA(VLOOKUP(E3367,E$1:E3366,1,FALSE()))),"OLD",IF(AND(E3367&lt;&gt;"",E3367&lt;&gt;"!!!"),"NEW","")))</f>
        <v> </v>
      </c>
      <c r="G3367" s="23" t="str">
        <f>IF(OR(E3367="",E3367="!!!"),"",IF(OR(J3367=0,AND(J3367=1,K3367=1),AND(J3367=1,I3367="SBJ"),AND(J3367=1,I3367=0)),"?IN_FOCUS",IF(J3367&lt;=2,"?ACTIVATED",IF(J3367&lt;&gt;"","?FAMILIAR",IF(F3367="NEW",IF(ISNA(VLOOKUP(E3367,#REF!,1,FALSE())),"?TYPE_IDENTIFIABLE","?REFERENTIAL"),"_")))))</f>
        <v> </v>
      </c>
      <c r="H3367" s="24" t="str">
        <f>IF(J3367&lt;&gt;1,"",IF(I3367="SBJ","CB","?"))</f>
        <v> </v>
      </c>
      <c r="I3367" s="25" t="str">
        <f>IF(OR(E3367="",E3367="!!!",F3367="NEW"),"",INDEX(B3366:B$2,-1+SUMPRODUCT(MAX(ROW(E3366:E$2)*(E3367=E3366:E$2)))))</f>
        <v> </v>
      </c>
      <c r="J3367" s="25" t="str">
        <f>IF(OR(E3367="",E3367="!!!",F3367="NEW"),"",COUNTBLANK(OFFSET(A$1,,,SUMPRODUCT(MAX(ROW(E$2:E3367)*(E3367=E$2:E3367)))))-COUNTBLANK(OFFSET(A$1,,,SUMPRODUCT(MAX(ROW(E$1:E3366)*(E2=E$1:E3366))))))</f>
        <v> </v>
      </c>
      <c r="K3367" s="25" t="str">
        <f>IF(OR(E3367="",E3367="!!!",F3367="NEW"),"",INDEX(J$1:J3366,SUMPRODUCT(MAX(ROW(E$1:E3366)*(E3367=E$1:E3366)))))</f>
        <v> </v>
      </c>
      <c r="L3367" s="26"/>
    </row>
    <row r="3368" spans="1:12">
      <c r="A3368" s="20" t="s">
        <v>1953</v>
      </c>
      <c r="B3368" s="27" t="s">
        <v>781</v>
      </c>
      <c r="C3368" s="27" t="s">
        <v>1060</v>
      </c>
      <c r="D3368" s="27" t="s">
        <v>716</v>
      </c>
      <c r="E3368" s="21">
        <f>IF(D3368="?OLD","!!!","")</f>
        <v/>
      </c>
      <c r="F3368" s="22" t="str">
        <f>IF(OR(E3368="",E3368="!!!"),"",IF(NOT(ISNA(VLOOKUP(E3368,E$1:E3367,1,FALSE()))),"OLD",IF(AND(E3368&lt;&gt;"",E3368&lt;&gt;"!!!"),"NEW","")))</f>
        <v> </v>
      </c>
      <c r="G3368" s="23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4" t="str">
        <f>IF(J3368&lt;&gt;1,"",IF(I3368="SBJ","CB","?"))</f>
        <v> </v>
      </c>
      <c r="I3368" s="25" t="str">
        <f>IF(OR(E3368="",E3368="!!!",F3368="NEW"),"",INDEX(B3367:B$2,-1+SUMPRODUCT(MAX(ROW(E3367:E$2)*(E3368=E3367:E$2)))))</f>
        <v> </v>
      </c>
      <c r="J3368" s="25" t="str">
        <f>IF(OR(E3368="",E3368="!!!",F3368="NEW"),"",COUNTBLANK(OFFSET(A$1,,,SUMPRODUCT(MAX(ROW(E$2:E3368)*(E3368=E$2:E3368)))))-COUNTBLANK(OFFSET(A$1,,,SUMPRODUCT(MAX(ROW(E$1:E3367)*(E2=E$1:E3367))))))</f>
        <v> </v>
      </c>
      <c r="K3368" s="25" t="str">
        <f>IF(OR(E3368="",E3368="!!!",F3368="NEW"),"",INDEX(J$1:J3367,SUMPRODUCT(MAX(ROW(E$1:E3367)*(E3368=E$1:E3367)))))</f>
        <v> </v>
      </c>
      <c r="L3368" s="26"/>
    </row>
    <row r="3369" spans="1:12">
      <c r="A3369" s="20" t="s">
        <v>737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 t="s">
        <v>1954</v>
      </c>
      <c r="E3370" s="21">
        <f>IF(D3370="?OLD","!!!","")</f>
        <v/>
      </c>
      <c r="F3370" s="22" t="str">
        <f>IF(OR(E3370="",E3370="!!!"),"",IF(NOT(ISNA(VLOOKUP(E3370,E$1:E3369,1,FALSE()))),"OLD",IF(AND(E3370&lt;&gt;"",E3370&lt;&gt;"!!!"),"NEW","")))</f>
        <v> </v>
      </c>
      <c r="G3370" s="23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4" t="str">
        <f>IF(J3370&lt;&gt;1,"",IF(I3370="SBJ","CB","?"))</f>
        <v> </v>
      </c>
      <c r="I3370" s="25" t="str">
        <f>IF(OR(E3370="",E3370="!!!",F3370="NEW"),"",INDEX(B3369:B$2,-1+SUMPRODUCT(MAX(ROW(E3369:E$2)*(E3370=E3369:E$2)))))</f>
        <v> </v>
      </c>
      <c r="J3370" s="25" t="str">
        <f>IF(OR(E3370="",E3370="!!!",F3370="NEW"),"",COUNTBLANK(OFFSET(A$1,,,SUMPRODUCT(MAX(ROW(E$2:E3370)*(E3370=E$2:E3370)))))-COUNTBLANK(OFFSET(A$1,,,SUMPRODUCT(MAX(ROW(E$1:E3369)*(E2=E$1:E3369))))))</f>
        <v> </v>
      </c>
      <c r="K3370" s="25" t="str">
        <f>IF(OR(E3370="",E3370="!!!",F3370="NEW"),"",INDEX(J$1:J3369,SUMPRODUCT(MAX(ROW(E$1:E3369)*(E3370=E$1:E3369)))))</f>
        <v> </v>
      </c>
      <c r="L3370" s="26"/>
    </row>
    <row r="3371" spans="1:12">
      <c r="A3371" s="20" t="s">
        <v>1955</v>
      </c>
      <c r="E3371" s="21">
        <f>IF(D3371="?OLD","!!!","")</f>
        <v/>
      </c>
      <c r="F3371" s="22" t="str">
        <f>IF(OR(E3371="",E3371="!!!"),"",IF(NOT(ISNA(VLOOKUP(E3371,E$1:E3370,1,FALSE()))),"OLD",IF(AND(E3371&lt;&gt;"",E3371&lt;&gt;"!!!"),"NEW","")))</f>
        <v> </v>
      </c>
      <c r="G3371" s="23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4" t="str">
        <f>IF(J3371&lt;&gt;1,"",IF(I3371="SBJ","CB","?"))</f>
        <v> </v>
      </c>
      <c r="I3371" s="25" t="str">
        <f>IF(OR(E3371="",E3371="!!!",F3371="NEW"),"",INDEX(B3370:B$2,-1+SUMPRODUCT(MAX(ROW(E3370:E$2)*(E3371=E3370:E$2)))))</f>
        <v> </v>
      </c>
      <c r="J3371" s="25" t="str">
        <f>IF(OR(E3371="",E3371="!!!",F3371="NEW"),"",COUNTBLANK(OFFSET(A$1,,,SUMPRODUCT(MAX(ROW(E$2:E3371)*(E3371=E$2:E3371)))))-COUNTBLANK(OFFSET(A$1,,,SUMPRODUCT(MAX(ROW(E$1:E3370)*(E2=E$1:E3370))))))</f>
        <v> </v>
      </c>
      <c r="K3371" s="25" t="str">
        <f>IF(OR(E3371="",E3371="!!!",F3371="NEW"),"",INDEX(J$1:J3370,SUMPRODUCT(MAX(ROW(E$1:E3370)*(E3371=E$1:E3370)))))</f>
        <v> </v>
      </c>
      <c r="L3371" s="26"/>
    </row>
    <row r="3372" spans="1:12">
      <c r="A3372" s="20" t="s">
        <v>737</v>
      </c>
      <c r="E3372" s="21">
        <f>IF(D3372="?OLD","!!!","")</f>
        <v/>
      </c>
      <c r="F3372" s="22" t="str">
        <f>IF(OR(E3372="",E3372="!!!"),"",IF(NOT(ISNA(VLOOKUP(E3372,E$1:E3371,1,FALSE()))),"OLD",IF(AND(E3372&lt;&gt;"",E3372&lt;&gt;"!!!"),"NEW","")))</f>
        <v> </v>
      </c>
      <c r="G3372" s="23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4" t="str">
        <f>IF(J3372&lt;&gt;1,"",IF(I3372="SBJ","CB","?"))</f>
        <v> </v>
      </c>
      <c r="I3372" s="25" t="str">
        <f>IF(OR(E3372="",E3372="!!!",F3372="NEW"),"",INDEX(B3371:B$2,-1+SUMPRODUCT(MAX(ROW(E3371:E$2)*(E3372=E3371:E$2)))))</f>
        <v> </v>
      </c>
      <c r="J3372" s="25" t="str">
        <f>IF(OR(E3372="",E3372="!!!",F3372="NEW"),"",COUNTBLANK(OFFSET(A$1,,,SUMPRODUCT(MAX(ROW(E$2:E3372)*(E3372=E$2:E3372)))))-COUNTBLANK(OFFSET(A$1,,,SUMPRODUCT(MAX(ROW(E$1:E3371)*(E2=E$1:E3371))))))</f>
        <v> </v>
      </c>
      <c r="K3372" s="25" t="str">
        <f>IF(OR(E3372="",E3372="!!!",F3372="NEW"),"",INDEX(J$1:J3371,SUMPRODUCT(MAX(ROW(E$1:E3371)*(E3372=E$1:E3371)))))</f>
        <v> </v>
      </c>
      <c r="L3372" s="26"/>
    </row>
    <row r="3373" spans="1:12">
      <c r="A3373" s="20" t="s">
        <v>749</v>
      </c>
      <c r="E3373" s="21">
        <f>IF(D3373="?OLD","!!!","")</f>
        <v/>
      </c>
      <c r="F3373" s="22" t="str">
        <f>IF(OR(E3373="",E3373="!!!"),"",IF(NOT(ISNA(VLOOKUP(E3373,E$1:E3372,1,FALSE()))),"OLD",IF(AND(E3373&lt;&gt;"",E3373&lt;&gt;"!!!"),"NEW","")))</f>
        <v> </v>
      </c>
      <c r="G3373" s="23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4" t="str">
        <f>IF(J3373&lt;&gt;1,"",IF(I3373="SBJ","CB","?"))</f>
        <v> </v>
      </c>
      <c r="I3373" s="25" t="str">
        <f>IF(OR(E3373="",E3373="!!!",F3373="NEW"),"",INDEX(B3372:B$2,-1+SUMPRODUCT(MAX(ROW(E3372:E$2)*(E3373=E3372:E$2)))))</f>
        <v> </v>
      </c>
      <c r="J3373" s="25" t="str">
        <f>IF(OR(E3373="",E3373="!!!",F3373="NEW"),"",COUNTBLANK(OFFSET(A$1,,,SUMPRODUCT(MAX(ROW(E$2:E3373)*(E3373=E$2:E3373)))))-COUNTBLANK(OFFSET(A$1,,,SUMPRODUCT(MAX(ROW(E$1:E3372)*(E2=E$1:E3372))))))</f>
        <v> </v>
      </c>
      <c r="K3373" s="25" t="str">
        <f>IF(OR(E3373="",E3373="!!!",F3373="NEW"),"",INDEX(J$1:J3372,SUMPRODUCT(MAX(ROW(E$1:E3372)*(E3373=E$1:E3372)))))</f>
        <v> </v>
      </c>
      <c r="L3373" s="26"/>
    </row>
    <row r="3374" spans="1:12">
      <c r="A3374" s="20" t="s">
        <v>832</v>
      </c>
      <c r="B3374" s="27" t="s">
        <v>745</v>
      </c>
      <c r="C3374" s="27" t="s">
        <v>782</v>
      </c>
      <c r="D3374" s="27" t="s">
        <v>716</v>
      </c>
      <c r="E3374" s="21">
        <f>IF(D3374="?OLD","!!!","")</f>
        <v/>
      </c>
      <c r="F3374" s="22" t="str">
        <f>IF(OR(E3374="",E3374="!!!"),"",IF(NOT(ISNA(VLOOKUP(E3374,E$1:E3373,1,FALSE()))),"OLD",IF(AND(E3374&lt;&gt;"",E3374&lt;&gt;"!!!"),"NEW","")))</f>
        <v> </v>
      </c>
      <c r="G3374" s="23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4" t="str">
        <f>IF(J3374&lt;&gt;1,"",IF(I3374="SBJ","CB","?"))</f>
        <v> </v>
      </c>
      <c r="I3374" s="25" t="str">
        <f>IF(OR(E3374="",E3374="!!!",F3374="NEW"),"",INDEX(B3373:B$2,-1+SUMPRODUCT(MAX(ROW(E3373:E$2)*(E3374=E3373:E$2)))))</f>
        <v> </v>
      </c>
      <c r="J3374" s="25" t="str">
        <f>IF(OR(E3374="",E3374="!!!",F3374="NEW"),"",COUNTBLANK(OFFSET(A$1,,,SUMPRODUCT(MAX(ROW(E$2:E3374)*(E3374=E$2:E3374)))))-COUNTBLANK(OFFSET(A$1,,,SUMPRODUCT(MAX(ROW(E$1:E3373)*(E2=E$1:E3373))))))</f>
        <v> </v>
      </c>
      <c r="K3374" s="25" t="str">
        <f>IF(OR(E3374="",E3374="!!!",F3374="NEW"),"",INDEX(J$1:J3373,SUMPRODUCT(MAX(ROW(E$1:E3373)*(E3374=E$1:E3373)))))</f>
        <v> </v>
      </c>
      <c r="L3374" s="26"/>
    </row>
    <row r="3375" spans="1:12">
      <c r="A3375" s="20" t="s">
        <v>1299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735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1956</v>
      </c>
      <c r="B3377" s="27" t="s">
        <v>731</v>
      </c>
      <c r="C3377" s="27" t="s">
        <v>1060</v>
      </c>
      <c r="D3377" s="27" t="s">
        <v>716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 t="s">
        <v>743</v>
      </c>
      <c r="E3378" s="21">
        <f>IF(D3378="?OLD","!!!","")</f>
        <v/>
      </c>
      <c r="F3378" s="22" t="str">
        <f>IF(OR(E3378="",E3378="!!!"),"",IF(NOT(ISNA(VLOOKUP(E3378,E$1:E3377,1,FALSE()))),"OLD",IF(AND(E3378&lt;&gt;"",E3378&lt;&gt;"!!!"),"NEW","")))</f>
        <v> </v>
      </c>
      <c r="G3378" s="23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4" t="str">
        <f>IF(J3378&lt;&gt;1,"",IF(I3378="SBJ","CB","?"))</f>
        <v> </v>
      </c>
      <c r="I3378" s="25" t="str">
        <f>IF(OR(E3378="",E3378="!!!",F3378="NEW"),"",INDEX(B3377:B$2,-1+SUMPRODUCT(MAX(ROW(E3377:E$2)*(E3378=E3377:E$2)))))</f>
        <v> </v>
      </c>
      <c r="J3378" s="25" t="str">
        <f>IF(OR(E3378="",E3378="!!!",F3378="NEW"),"",COUNTBLANK(OFFSET(A$1,,,SUMPRODUCT(MAX(ROW(E$2:E3378)*(E3378=E$2:E3378)))))-COUNTBLANK(OFFSET(A$1,,,SUMPRODUCT(MAX(ROW(E$1:E3377)*(E2=E$1:E3377))))))</f>
        <v> </v>
      </c>
      <c r="K3378" s="25" t="str">
        <f>IF(OR(E3378="",E3378="!!!",F3378="NEW"),"",INDEX(J$1:J3377,SUMPRODUCT(MAX(ROW(E$1:E3377)*(E3378=E$1:E3377)))))</f>
        <v> </v>
      </c>
      <c r="L3378" s="26"/>
    </row>
    <row r="3379" spans="1:12">
      <c r="A3379" s="20" t="s">
        <v>735</v>
      </c>
      <c r="E3379" s="21">
        <f>IF(D3379="?OLD","!!!","")</f>
        <v/>
      </c>
      <c r="F3379" s="22" t="str">
        <f>IF(OR(E3379="",E3379="!!!"),"",IF(NOT(ISNA(VLOOKUP(E3379,E$1:E3378,1,FALSE()))),"OLD",IF(AND(E3379&lt;&gt;"",E3379&lt;&gt;"!!!"),"NEW","")))</f>
        <v> </v>
      </c>
      <c r="G3379" s="23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4" t="str">
        <f>IF(J3379&lt;&gt;1,"",IF(I3379="SBJ","CB","?"))</f>
        <v> </v>
      </c>
      <c r="I3379" s="25" t="str">
        <f>IF(OR(E3379="",E3379="!!!",F3379="NEW"),"",INDEX(B3378:B$2,-1+SUMPRODUCT(MAX(ROW(E3378:E$2)*(E3379=E3378:E$2)))))</f>
        <v> </v>
      </c>
      <c r="J3379" s="25" t="str">
        <f>IF(OR(E3379="",E3379="!!!",F3379="NEW"),"",COUNTBLANK(OFFSET(A$1,,,SUMPRODUCT(MAX(ROW(E$2:E3379)*(E3379=E$2:E3379)))))-COUNTBLANK(OFFSET(A$1,,,SUMPRODUCT(MAX(ROW(E$1:E3378)*(E2=E$1:E3378))))))</f>
        <v> </v>
      </c>
      <c r="K3379" s="25" t="str">
        <f>IF(OR(E3379="",E3379="!!!",F3379="NEW"),"",INDEX(J$1:J3378,SUMPRODUCT(MAX(ROW(E$1:E3378)*(E3379=E$1:E3378)))))</f>
        <v> </v>
      </c>
      <c r="L3379" s="26"/>
    </row>
    <row r="3380" spans="1:12">
      <c r="A3380" s="20" t="s">
        <v>1010</v>
      </c>
      <c r="E3380" s="21">
        <f>IF(D3380="?OLD","!!!","")</f>
        <v/>
      </c>
      <c r="F3380" s="22" t="str">
        <f>IF(OR(E3380="",E3380="!!!"),"",IF(NOT(ISNA(VLOOKUP(E3380,E$1:E3379,1,FALSE()))),"OLD",IF(AND(E3380&lt;&gt;"",E3380&lt;&gt;"!!!"),"NEW","")))</f>
        <v> </v>
      </c>
      <c r="G3380" s="23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4" t="str">
        <f>IF(J3380&lt;&gt;1,"",IF(I3380="SBJ","CB","?"))</f>
        <v> </v>
      </c>
      <c r="I3380" s="25" t="str">
        <f>IF(OR(E3380="",E3380="!!!",F3380="NEW"),"",INDEX(B3379:B$2,-1+SUMPRODUCT(MAX(ROW(E3379:E$2)*(E3380=E3379:E$2)))))</f>
        <v> </v>
      </c>
      <c r="J3380" s="25" t="str">
        <f>IF(OR(E3380="",E3380="!!!",F3380="NEW"),"",COUNTBLANK(OFFSET(A$1,,,SUMPRODUCT(MAX(ROW(E$2:E3380)*(E3380=E$2:E3380)))))-COUNTBLANK(OFFSET(A$1,,,SUMPRODUCT(MAX(ROW(E$1:E3379)*(E2=E$1:E3379))))))</f>
        <v> </v>
      </c>
      <c r="K3380" s="25" t="str">
        <f>IF(OR(E3380="",E3380="!!!",F3380="NEW"),"",INDEX(J$1:J3379,SUMPRODUCT(MAX(ROW(E$1:E3379)*(E3380=E$1:E3379)))))</f>
        <v> </v>
      </c>
      <c r="L3380" s="26"/>
    </row>
    <row r="3381" spans="1:12">
      <c r="A3381" s="20" t="s">
        <v>1957</v>
      </c>
      <c r="E3381" s="21">
        <f>IF(D3381="?OLD","!!!","")</f>
        <v/>
      </c>
      <c r="F3381" s="22" t="str">
        <f>IF(OR(E3381="",E3381="!!!"),"",IF(NOT(ISNA(VLOOKUP(E3381,E$1:E3380,1,FALSE()))),"OLD",IF(AND(E3381&lt;&gt;"",E3381&lt;&gt;"!!!"),"NEW","")))</f>
        <v> </v>
      </c>
      <c r="G3381" s="23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4" t="str">
        <f>IF(J3381&lt;&gt;1,"",IF(I3381="SBJ","CB","?"))</f>
        <v> </v>
      </c>
      <c r="I3381" s="25" t="str">
        <f>IF(OR(E3381="",E3381="!!!",F3381="NEW"),"",INDEX(B3380:B$2,-1+SUMPRODUCT(MAX(ROW(E3380:E$2)*(E3381=E3380:E$2)))))</f>
        <v> </v>
      </c>
      <c r="J3381" s="25" t="str">
        <f>IF(OR(E3381="",E3381="!!!",F3381="NEW"),"",COUNTBLANK(OFFSET(A$1,,,SUMPRODUCT(MAX(ROW(E$2:E3381)*(E3381=E$2:E3381)))))-COUNTBLANK(OFFSET(A$1,,,SUMPRODUCT(MAX(ROW(E$1:E3380)*(E2=E$1:E3380))))))</f>
        <v> </v>
      </c>
      <c r="K3381" s="25" t="str">
        <f>IF(OR(E3381="",E3381="!!!",F3381="NEW"),"",INDEX(J$1:J3380,SUMPRODUCT(MAX(ROW(E$1:E3380)*(E3381=E$1:E3380)))))</f>
        <v> </v>
      </c>
      <c r="L3381" s="26"/>
    </row>
    <row r="3382" spans="1:12">
      <c r="A3382" s="20" t="s">
        <v>720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/>
    </row>
    <row r="3384" spans="1:12">
      <c r="A3384" s="20" t="s">
        <v>1958</v>
      </c>
    </row>
    <row r="3385" spans="1:12">
      <c r="A3385" s="20" t="s">
        <v>1959</v>
      </c>
      <c r="B3385" s="27" t="s">
        <v>714</v>
      </c>
      <c r="E3385" s="21">
        <f>IF(D3385="?OLD","!!!","")</f>
        <v/>
      </c>
      <c r="F3385" s="22" t="str">
        <f>IF(OR(E3385="",E3385="!!!"),"",IF(NOT(ISNA(VLOOKUP(E3385,E$1:E3384,1,FALSE()))),"OLD",IF(AND(E3385&lt;&gt;"",E3385&lt;&gt;"!!!"),"NEW","")))</f>
        <v> </v>
      </c>
      <c r="G3385" s="23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4" t="str">
        <f>IF(J3385&lt;&gt;1,"",IF(I3385="SBJ","CB","?"))</f>
        <v> </v>
      </c>
      <c r="I3385" s="25" t="str">
        <f>IF(OR(E3385="",E3385="!!!",F3385="NEW"),"",INDEX(B3384:B$2,-1+SUMPRODUCT(MAX(ROW(E3384:E$2)*(E3385=E3384:E$2)))))</f>
        <v> </v>
      </c>
      <c r="J3385" s="25" t="str">
        <f>IF(OR(E3385="",E3385="!!!",F3385="NEW"),"",COUNTBLANK(OFFSET(A$1,,,SUMPRODUCT(MAX(ROW(E$2:E3385)*(E3385=E$2:E3385)))))-COUNTBLANK(OFFSET(A$1,,,SUMPRODUCT(MAX(ROW(E$1:E3384)*(E2=E$1:E3384))))))</f>
        <v> </v>
      </c>
      <c r="K3385" s="25" t="str">
        <f>IF(OR(E3385="",E3385="!!!",F3385="NEW"),"",INDEX(J$1:J3384,SUMPRODUCT(MAX(ROW(E$1:E3384)*(E3385=E$1:E3384)))))</f>
        <v> </v>
      </c>
      <c r="L3385" s="26"/>
    </row>
    <row r="3386" spans="1:12">
      <c r="A3386" s="20" t="s">
        <v>1960</v>
      </c>
      <c r="E3386" s="21">
        <f>IF(D3386="?OLD","!!!","")</f>
        <v/>
      </c>
      <c r="F3386" s="22" t="str">
        <f>IF(OR(E3386="",E3386="!!!"),"",IF(NOT(ISNA(VLOOKUP(E3386,E$1:E3385,1,FALSE()))),"OLD",IF(AND(E3386&lt;&gt;"",E3386&lt;&gt;"!!!"),"NEW","")))</f>
        <v> </v>
      </c>
      <c r="G3386" s="23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4" t="str">
        <f>IF(J3386&lt;&gt;1,"",IF(I3386="SBJ","CB","?"))</f>
        <v> </v>
      </c>
      <c r="I3386" s="25" t="str">
        <f>IF(OR(E3386="",E3386="!!!",F3386="NEW"),"",INDEX(B3385:B$2,-1+SUMPRODUCT(MAX(ROW(E3385:E$2)*(E3386=E3385:E$2)))))</f>
        <v> </v>
      </c>
      <c r="J3386" s="25" t="str">
        <f>IF(OR(E3386="",E3386="!!!",F3386="NEW"),"",COUNTBLANK(OFFSET(A$1,,,SUMPRODUCT(MAX(ROW(E$2:E3386)*(E3386=E$2:E3386)))))-COUNTBLANK(OFFSET(A$1,,,SUMPRODUCT(MAX(ROW(E$1:E3385)*(E2=E$1:E3385))))))</f>
        <v> </v>
      </c>
      <c r="K3386" s="25" t="str">
        <f>IF(OR(E3386="",E3386="!!!",F3386="NEW"),"",INDEX(J$1:J3385,SUMPRODUCT(MAX(ROW(E$1:E3385)*(E3386=E$1:E3385)))))</f>
        <v> </v>
      </c>
      <c r="L3386" s="26"/>
    </row>
    <row r="3387" spans="1:12">
      <c r="A3387" s="20" t="s">
        <v>737</v>
      </c>
      <c r="E3387" s="21">
        <f>IF(D3387="?OLD","!!!","")</f>
        <v/>
      </c>
      <c r="F3387" s="22" t="str">
        <f>IF(OR(E3387="",E3387="!!!"),"",IF(NOT(ISNA(VLOOKUP(E3387,E$1:E3386,1,FALSE()))),"OLD",IF(AND(E3387&lt;&gt;"",E3387&lt;&gt;"!!!"),"NEW","")))</f>
        <v> </v>
      </c>
      <c r="G3387" s="23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4" t="str">
        <f>IF(J3387&lt;&gt;1,"",IF(I3387="SBJ","CB","?"))</f>
        <v> </v>
      </c>
      <c r="I3387" s="25" t="str">
        <f>IF(OR(E3387="",E3387="!!!",F3387="NEW"),"",INDEX(B3386:B$2,-1+SUMPRODUCT(MAX(ROW(E3386:E$2)*(E3387=E3386:E$2)))))</f>
        <v> </v>
      </c>
      <c r="J3387" s="25" t="str">
        <f>IF(OR(E3387="",E3387="!!!",F3387="NEW"),"",COUNTBLANK(OFFSET(A$1,,,SUMPRODUCT(MAX(ROW(E$2:E3387)*(E3387=E$2:E3387)))))-COUNTBLANK(OFFSET(A$1,,,SUMPRODUCT(MAX(ROW(E$1:E3386)*(E2=E$1:E3386))))))</f>
        <v> </v>
      </c>
      <c r="K3387" s="25" t="str">
        <f>IF(OR(E3387="",E3387="!!!",F3387="NEW"),"",INDEX(J$1:J3386,SUMPRODUCT(MAX(ROW(E$1:E3386)*(E3387=E$1:E3386)))))</f>
        <v> </v>
      </c>
      <c r="L3387" s="26"/>
    </row>
    <row r="3388" spans="1:12">
      <c r="A3388" s="20" t="s">
        <v>822</v>
      </c>
      <c r="E3388" s="21">
        <f>IF(D3388="?OLD","!!!","")</f>
        <v/>
      </c>
      <c r="F3388" s="22" t="str">
        <f>IF(OR(E3388="",E3388="!!!"),"",IF(NOT(ISNA(VLOOKUP(E3388,E$1:E3387,1,FALSE()))),"OLD",IF(AND(E3388&lt;&gt;"",E3388&lt;&gt;"!!!"),"NEW","")))</f>
        <v> </v>
      </c>
      <c r="G3388" s="23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4" t="str">
        <f>IF(J3388&lt;&gt;1,"",IF(I3388="SBJ","CB","?"))</f>
        <v> </v>
      </c>
      <c r="I3388" s="25" t="str">
        <f>IF(OR(E3388="",E3388="!!!",F3388="NEW"),"",INDEX(B3387:B$2,-1+SUMPRODUCT(MAX(ROW(E3387:E$2)*(E3388=E3387:E$2)))))</f>
        <v> </v>
      </c>
      <c r="J3388" s="25" t="str">
        <f>IF(OR(E3388="",E3388="!!!",F3388="NEW"),"",COUNTBLANK(OFFSET(A$1,,,SUMPRODUCT(MAX(ROW(E$2:E3388)*(E3388=E$2:E3388)))))-COUNTBLANK(OFFSET(A$1,,,SUMPRODUCT(MAX(ROW(E$1:E3387)*(E2=E$1:E3387))))))</f>
        <v> </v>
      </c>
      <c r="K3388" s="25" t="str">
        <f>IF(OR(E3388="",E3388="!!!",F3388="NEW"),"",INDEX(J$1:J3387,SUMPRODUCT(MAX(ROW(E$1:E3387)*(E3388=E$1:E3387)))))</f>
        <v> </v>
      </c>
      <c r="L3388" s="26"/>
    </row>
    <row r="3389" spans="1:12">
      <c r="A3389" s="20" t="s">
        <v>906</v>
      </c>
      <c r="B3389" s="27" t="s">
        <v>745</v>
      </c>
      <c r="C3389" s="27" t="s">
        <v>715</v>
      </c>
      <c r="D3389" s="27" t="s">
        <v>716</v>
      </c>
      <c r="E3389" s="21">
        <f>IF(D3389="?OLD","!!!","")</f>
        <v/>
      </c>
      <c r="F3389" s="22" t="str">
        <f>IF(OR(E3389="",E3389="!!!"),"",IF(NOT(ISNA(VLOOKUP(E3389,E$1:E3388,1,FALSE()))),"OLD",IF(AND(E3389&lt;&gt;"",E3389&lt;&gt;"!!!"),"NEW","")))</f>
        <v> </v>
      </c>
      <c r="G3389" s="23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4" t="str">
        <f>IF(J3389&lt;&gt;1,"",IF(I3389="SBJ","CB","?"))</f>
        <v> </v>
      </c>
      <c r="I3389" s="25" t="str">
        <f>IF(OR(E3389="",E3389="!!!",F3389="NEW"),"",INDEX(B3388:B$2,-1+SUMPRODUCT(MAX(ROW(E3388:E$2)*(E3389=E3388:E$2)))))</f>
        <v> </v>
      </c>
      <c r="J3389" s="25" t="str">
        <f>IF(OR(E3389="",E3389="!!!",F3389="NEW"),"",COUNTBLANK(OFFSET(A$1,,,SUMPRODUCT(MAX(ROW(E$2:E3389)*(E3389=E$2:E3389)))))-COUNTBLANK(OFFSET(A$1,,,SUMPRODUCT(MAX(ROW(E$1:E3388)*(E2=E$1:E3388))))))</f>
        <v> </v>
      </c>
      <c r="K3389" s="25" t="str">
        <f>IF(OR(E3389="",E3389="!!!",F3389="NEW"),"",INDEX(J$1:J3388,SUMPRODUCT(MAX(ROW(E$1:E3388)*(E3389=E$1:E3388)))))</f>
        <v> </v>
      </c>
      <c r="L3389" s="26"/>
    </row>
    <row r="3390" spans="1:12">
      <c r="A3390" s="20" t="s">
        <v>862</v>
      </c>
      <c r="E3390" s="21">
        <f>IF(D3390="?OLD","!!!","")</f>
        <v/>
      </c>
      <c r="F3390" s="22" t="str">
        <f>IF(OR(E3390="",E3390="!!!"),"",IF(NOT(ISNA(VLOOKUP(E3390,E$1:E3389,1,FALSE()))),"OLD",IF(AND(E3390&lt;&gt;"",E3390&lt;&gt;"!!!"),"NEW","")))</f>
        <v> </v>
      </c>
      <c r="G3390" s="23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4" t="str">
        <f>IF(J3390&lt;&gt;1,"",IF(I3390="SBJ","CB","?"))</f>
        <v> </v>
      </c>
      <c r="I3390" s="25" t="str">
        <f>IF(OR(E3390="",E3390="!!!",F3390="NEW"),"",INDEX(B3389:B$2,-1+SUMPRODUCT(MAX(ROW(E3389:E$2)*(E3390=E3389:E$2)))))</f>
        <v> </v>
      </c>
      <c r="J3390" s="25" t="str">
        <f>IF(OR(E3390="",E3390="!!!",F3390="NEW"),"",COUNTBLANK(OFFSET(A$1,,,SUMPRODUCT(MAX(ROW(E$2:E3390)*(E3390=E$2:E3390)))))-COUNTBLANK(OFFSET(A$1,,,SUMPRODUCT(MAX(ROW(E$1:E3389)*(E2=E$1:E3389))))))</f>
        <v> </v>
      </c>
      <c r="K3390" s="25" t="str">
        <f>IF(OR(E3390="",E3390="!!!",F3390="NEW"),"",INDEX(J$1:J3389,SUMPRODUCT(MAX(ROW(E$1:E3389)*(E3390=E$1:E3389)))))</f>
        <v> </v>
      </c>
      <c r="L3390" s="26"/>
    </row>
    <row r="3391" spans="1:12">
      <c r="A3391" s="20" t="s">
        <v>341</v>
      </c>
      <c r="E3391" s="21">
        <f>IF(D3391="?OLD","!!!","")</f>
        <v/>
      </c>
      <c r="F3391" s="22" t="str">
        <f>IF(OR(E3391="",E3391="!!!"),"",IF(NOT(ISNA(VLOOKUP(E3391,E$1:E3390,1,FALSE()))),"OLD",IF(AND(E3391&lt;&gt;"",E3391&lt;&gt;"!!!"),"NEW","")))</f>
        <v> </v>
      </c>
      <c r="G3391" s="23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4" t="str">
        <f>IF(J3391&lt;&gt;1,"",IF(I3391="SBJ","CB","?"))</f>
        <v> </v>
      </c>
      <c r="I3391" s="25" t="str">
        <f>IF(OR(E3391="",E3391="!!!",F3391="NEW"),"",INDEX(B3390:B$2,-1+SUMPRODUCT(MAX(ROW(E3390:E$2)*(E3391=E3390:E$2)))))</f>
        <v> </v>
      </c>
      <c r="J3391" s="25" t="str">
        <f>IF(OR(E3391="",E3391="!!!",F3391="NEW"),"",COUNTBLANK(OFFSET(A$1,,,SUMPRODUCT(MAX(ROW(E$2:E3391)*(E3391=E$2:E3391)))))-COUNTBLANK(OFFSET(A$1,,,SUMPRODUCT(MAX(ROW(E$1:E3390)*(E2=E$1:E3390))))))</f>
        <v> </v>
      </c>
      <c r="K3391" s="25" t="str">
        <f>IF(OR(E3391="",E3391="!!!",F3391="NEW"),"",INDEX(J$1:J3390,SUMPRODUCT(MAX(ROW(E$1:E3390)*(E3391=E$1:E3390)))))</f>
        <v> </v>
      </c>
      <c r="L3391" s="26"/>
    </row>
    <row r="3392" spans="1:12">
      <c r="A3392" s="20" t="s">
        <v>719</v>
      </c>
      <c r="B3392" s="27" t="s">
        <v>847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 t="s">
        <v>1339</v>
      </c>
      <c r="E3393" s="21">
        <f>IF(D3393="?OLD","!!!","")</f>
        <v/>
      </c>
      <c r="F3393" s="22" t="str">
        <f>IF(OR(E3393="",E3393="!!!"),"",IF(NOT(ISNA(VLOOKUP(E3393,E$1:E3392,1,FALSE()))),"OLD",IF(AND(E3393&lt;&gt;"",E3393&lt;&gt;"!!!"),"NEW","")))</f>
        <v> </v>
      </c>
      <c r="G3393" s="23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4" t="str">
        <f>IF(J3393&lt;&gt;1,"",IF(I3393="SBJ","CB","?"))</f>
        <v> </v>
      </c>
      <c r="I3393" s="25" t="str">
        <f>IF(OR(E3393="",E3393="!!!",F3393="NEW"),"",INDEX(B3392:B$2,-1+SUMPRODUCT(MAX(ROW(E3392:E$2)*(E3393=E3392:E$2)))))</f>
        <v> </v>
      </c>
      <c r="J3393" s="25" t="str">
        <f>IF(OR(E3393="",E3393="!!!",F3393="NEW"),"",COUNTBLANK(OFFSET(A$1,,,SUMPRODUCT(MAX(ROW(E$2:E3393)*(E3393=E$2:E3393)))))-COUNTBLANK(OFFSET(A$1,,,SUMPRODUCT(MAX(ROW(E$1:E3392)*(E2=E$1:E3392))))))</f>
        <v> </v>
      </c>
      <c r="K3393" s="25" t="str">
        <f>IF(OR(E3393="",E3393="!!!",F3393="NEW"),"",INDEX(J$1:J3392,SUMPRODUCT(MAX(ROW(E$1:E3392)*(E3393=E$1:E3392)))))</f>
        <v> </v>
      </c>
      <c r="L3393" s="26"/>
    </row>
    <row r="3394" spans="1:12">
      <c r="A3394" s="20" t="s">
        <v>1758</v>
      </c>
      <c r="E3394" s="21">
        <f>IF(D3394="?OLD","!!!","")</f>
        <v/>
      </c>
      <c r="F3394" s="22" t="str">
        <f>IF(OR(E3394="",E3394="!!!"),"",IF(NOT(ISNA(VLOOKUP(E3394,E$1:E3393,1,FALSE()))),"OLD",IF(AND(E3394&lt;&gt;"",E3394&lt;&gt;"!!!"),"NEW","")))</f>
        <v> </v>
      </c>
      <c r="G3394" s="23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4" t="str">
        <f>IF(J3394&lt;&gt;1,"",IF(I3394="SBJ","CB","?"))</f>
        <v> </v>
      </c>
      <c r="I3394" s="25" t="str">
        <f>IF(OR(E3394="",E3394="!!!",F3394="NEW"),"",INDEX(B3393:B$2,-1+SUMPRODUCT(MAX(ROW(E3393:E$2)*(E3394=E3393:E$2)))))</f>
        <v> </v>
      </c>
      <c r="J3394" s="25" t="str">
        <f>IF(OR(E3394="",E3394="!!!",F3394="NEW"),"",COUNTBLANK(OFFSET(A$1,,,SUMPRODUCT(MAX(ROW(E$2:E3394)*(E3394=E$2:E3394)))))-COUNTBLANK(OFFSET(A$1,,,SUMPRODUCT(MAX(ROW(E$1:E3393)*(E2=E$1:E3393))))))</f>
        <v> </v>
      </c>
      <c r="K3394" s="25" t="str">
        <f>IF(OR(E3394="",E3394="!!!",F3394="NEW"),"",INDEX(J$1:J3393,SUMPRODUCT(MAX(ROW(E$1:E3393)*(E3394=E$1:E3393)))))</f>
        <v> </v>
      </c>
      <c r="L3394" s="26"/>
    </row>
    <row r="3395" spans="1:12">
      <c r="A3395" s="20" t="s">
        <v>737</v>
      </c>
      <c r="E3395" s="21">
        <f>IF(D3395="?OLD","!!!","")</f>
        <v/>
      </c>
      <c r="F3395" s="22" t="str">
        <f>IF(OR(E3395="",E3395="!!!"),"",IF(NOT(ISNA(VLOOKUP(E3395,E$1:E3394,1,FALSE()))),"OLD",IF(AND(E3395&lt;&gt;"",E3395&lt;&gt;"!!!"),"NEW","")))</f>
        <v> </v>
      </c>
      <c r="G3395" s="23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4" t="str">
        <f>IF(J3395&lt;&gt;1,"",IF(I3395="SBJ","CB","?"))</f>
        <v> </v>
      </c>
      <c r="I3395" s="25" t="str">
        <f>IF(OR(E3395="",E3395="!!!",F3395="NEW"),"",INDEX(B3394:B$2,-1+SUMPRODUCT(MAX(ROW(E3394:E$2)*(E3395=E3394:E$2)))))</f>
        <v> </v>
      </c>
      <c r="J3395" s="25" t="str">
        <f>IF(OR(E3395="",E3395="!!!",F3395="NEW"),"",COUNTBLANK(OFFSET(A$1,,,SUMPRODUCT(MAX(ROW(E$2:E3395)*(E3395=E$2:E3395)))))-COUNTBLANK(OFFSET(A$1,,,SUMPRODUCT(MAX(ROW(E$1:E3394)*(E2=E$1:E3394))))))</f>
        <v> </v>
      </c>
      <c r="K3395" s="25" t="str">
        <f>IF(OR(E3395="",E3395="!!!",F3395="NEW"),"",INDEX(J$1:J3394,SUMPRODUCT(MAX(ROW(E$1:E3394)*(E3395=E$1:E3394)))))</f>
        <v> </v>
      </c>
      <c r="L3395" s="26"/>
    </row>
    <row r="3396" spans="1:12">
      <c r="A3396" s="20" t="s">
        <v>1036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906</v>
      </c>
      <c r="B3397" s="27" t="s">
        <v>790</v>
      </c>
      <c r="C3397" s="27" t="s">
        <v>715</v>
      </c>
      <c r="D3397" s="27" t="s">
        <v>716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 t="s">
        <v>1661</v>
      </c>
      <c r="E3398" s="21">
        <f>IF(D3398="?OLD","!!!","")</f>
        <v/>
      </c>
      <c r="F3398" s="22" t="str">
        <f>IF(OR(E3398="",E3398="!!!"),"",IF(NOT(ISNA(VLOOKUP(E3398,E$1:E3397,1,FALSE()))),"OLD",IF(AND(E3398&lt;&gt;"",E3398&lt;&gt;"!!!"),"NEW","")))</f>
        <v> </v>
      </c>
      <c r="G3398" s="23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4" t="str">
        <f>IF(J3398&lt;&gt;1,"",IF(I3398="SBJ","CB","?"))</f>
        <v> </v>
      </c>
      <c r="I3398" s="25" t="str">
        <f>IF(OR(E3398="",E3398="!!!",F3398="NEW"),"",INDEX(B3397:B$2,-1+SUMPRODUCT(MAX(ROW(E3397:E$2)*(E3398=E3397:E$2)))))</f>
        <v> </v>
      </c>
      <c r="J3398" s="25" t="str">
        <f>IF(OR(E3398="",E3398="!!!",F3398="NEW"),"",COUNTBLANK(OFFSET(A$1,,,SUMPRODUCT(MAX(ROW(E$2:E3398)*(E3398=E$2:E3398)))))-COUNTBLANK(OFFSET(A$1,,,SUMPRODUCT(MAX(ROW(E$1:E3397)*(E2=E$1:E3397))))))</f>
        <v> </v>
      </c>
      <c r="K3398" s="25" t="str">
        <f>IF(OR(E3398="",E3398="!!!",F3398="NEW"),"",INDEX(J$1:J3397,SUMPRODUCT(MAX(ROW(E$1:E3397)*(E3398=E$1:E3397)))))</f>
        <v> </v>
      </c>
      <c r="L3398" s="26"/>
    </row>
    <row r="3399" spans="1:12">
      <c r="A3399" s="20" t="s">
        <v>718</v>
      </c>
      <c r="E3399" s="21">
        <f>IF(D3399="?OLD","!!!","")</f>
        <v/>
      </c>
      <c r="F3399" s="22" t="str">
        <f>IF(OR(E3399="",E3399="!!!"),"",IF(NOT(ISNA(VLOOKUP(E3399,E$1:E3398,1,FALSE()))),"OLD",IF(AND(E3399&lt;&gt;"",E3399&lt;&gt;"!!!"),"NEW","")))</f>
        <v> </v>
      </c>
      <c r="G3399" s="23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4" t="str">
        <f>IF(J3399&lt;&gt;1,"",IF(I3399="SBJ","CB","?"))</f>
        <v> </v>
      </c>
      <c r="I3399" s="25" t="str">
        <f>IF(OR(E3399="",E3399="!!!",F3399="NEW"),"",INDEX(B3398:B$2,-1+SUMPRODUCT(MAX(ROW(E3398:E$2)*(E3399=E3398:E$2)))))</f>
        <v> </v>
      </c>
      <c r="J3399" s="25" t="str">
        <f>IF(OR(E3399="",E3399="!!!",F3399="NEW"),"",COUNTBLANK(OFFSET(A$1,,,SUMPRODUCT(MAX(ROW(E$2:E3399)*(E3399=E$2:E3399)))))-COUNTBLANK(OFFSET(A$1,,,SUMPRODUCT(MAX(ROW(E$1:E3398)*(E2=E$1:E3398))))))</f>
        <v> </v>
      </c>
      <c r="K3399" s="25" t="str">
        <f>IF(OR(E3399="",E3399="!!!",F3399="NEW"),"",INDEX(J$1:J3398,SUMPRODUCT(MAX(ROW(E$1:E3398)*(E3399=E$1:E3398)))))</f>
        <v> </v>
      </c>
      <c r="L3399" s="26"/>
    </row>
    <row r="3400" spans="1:12">
      <c r="A3400" s="20" t="s">
        <v>1939</v>
      </c>
      <c r="E3400" s="21">
        <f>IF(D3400="?OLD","!!!","")</f>
        <v/>
      </c>
      <c r="F3400" s="22" t="str">
        <f>IF(OR(E3400="",E3400="!!!"),"",IF(NOT(ISNA(VLOOKUP(E3400,E$1:E3399,1,FALSE()))),"OLD",IF(AND(E3400&lt;&gt;"",E3400&lt;&gt;"!!!"),"NEW","")))</f>
        <v> </v>
      </c>
      <c r="G3400" s="23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4" t="str">
        <f>IF(J3400&lt;&gt;1,"",IF(I3400="SBJ","CB","?"))</f>
        <v> </v>
      </c>
      <c r="I3400" s="25" t="str">
        <f>IF(OR(E3400="",E3400="!!!",F3400="NEW"),"",INDEX(B3399:B$2,-1+SUMPRODUCT(MAX(ROW(E3399:E$2)*(E3400=E3399:E$2)))))</f>
        <v> </v>
      </c>
      <c r="J3400" s="25" t="str">
        <f>IF(OR(E3400="",E3400="!!!",F3400="NEW"),"",COUNTBLANK(OFFSET(A$1,,,SUMPRODUCT(MAX(ROW(E$2:E3400)*(E3400=E$2:E3400)))))-COUNTBLANK(OFFSET(A$1,,,SUMPRODUCT(MAX(ROW(E$1:E3399)*(E2=E$1:E3399))))))</f>
        <v> </v>
      </c>
      <c r="K3400" s="25" t="str">
        <f>IF(OR(E3400="",E3400="!!!",F3400="NEW"),"",INDEX(J$1:J3399,SUMPRODUCT(MAX(ROW(E$1:E3399)*(E3400=E$1:E3399)))))</f>
        <v> </v>
      </c>
      <c r="L3400" s="26"/>
    </row>
    <row r="3401" spans="1:12">
      <c r="A3401" s="20" t="s">
        <v>1948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720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/>
    </row>
    <row r="3404" spans="1:12">
      <c r="A3404" s="20" t="s">
        <v>1961</v>
      </c>
    </row>
    <row r="3405" spans="1:12">
      <c r="A3405" s="20" t="s">
        <v>810</v>
      </c>
      <c r="B3405" s="27" t="s">
        <v>714</v>
      </c>
      <c r="C3405" s="27" t="s">
        <v>782</v>
      </c>
      <c r="D3405" s="27" t="s">
        <v>716</v>
      </c>
      <c r="E3405" s="21">
        <f>IF(D3405="?OLD","!!!","")</f>
        <v/>
      </c>
      <c r="F3405" s="22" t="str">
        <f>IF(OR(E3405="",E3405="!!!"),"",IF(NOT(ISNA(VLOOKUP(E3405,E$1:E3404,1,FALSE()))),"OLD",IF(AND(E3405&lt;&gt;"",E3405&lt;&gt;"!!!"),"NEW","")))</f>
        <v> </v>
      </c>
      <c r="G3405" s="23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4" t="str">
        <f>IF(J3405&lt;&gt;1,"",IF(I3405="SBJ","CB","?"))</f>
        <v> </v>
      </c>
      <c r="I3405" s="25" t="str">
        <f>IF(OR(E3405="",E3405="!!!",F3405="NEW"),"",INDEX(B3404:B$2,-1+SUMPRODUCT(MAX(ROW(E3404:E$2)*(E3405=E3404:E$2)))))</f>
        <v> </v>
      </c>
      <c r="J3405" s="25" t="str">
        <f>IF(OR(E3405="",E3405="!!!",F3405="NEW"),"",COUNTBLANK(OFFSET(A$1,,,SUMPRODUCT(MAX(ROW(E$2:E3405)*(E3405=E$2:E3405)))))-COUNTBLANK(OFFSET(A$1,,,SUMPRODUCT(MAX(ROW(E$1:E3404)*(E2=E$1:E3404))))))</f>
        <v> </v>
      </c>
      <c r="K3405" s="25" t="str">
        <f>IF(OR(E3405="",E3405="!!!",F3405="NEW"),"",INDEX(J$1:J3404,SUMPRODUCT(MAX(ROW(E$1:E3404)*(E3405=E$1:E3404)))))</f>
        <v> </v>
      </c>
      <c r="L3405" s="26"/>
    </row>
    <row r="3406" spans="1:12">
      <c r="A3406" s="20" t="s">
        <v>1962</v>
      </c>
      <c r="E3406" s="21">
        <f>IF(D3406="?OLD","!!!","")</f>
        <v/>
      </c>
      <c r="F3406" s="22" t="str">
        <f>IF(OR(E3406="",E3406="!!!"),"",IF(NOT(ISNA(VLOOKUP(E3406,E$1:E3405,1,FALSE()))),"OLD",IF(AND(E3406&lt;&gt;"",E3406&lt;&gt;"!!!"),"NEW","")))</f>
        <v> </v>
      </c>
      <c r="G3406" s="23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4" t="str">
        <f>IF(J3406&lt;&gt;1,"",IF(I3406="SBJ","CB","?"))</f>
        <v> </v>
      </c>
      <c r="I3406" s="25" t="str">
        <f>IF(OR(E3406="",E3406="!!!",F3406="NEW"),"",INDEX(B3405:B$2,-1+SUMPRODUCT(MAX(ROW(E3405:E$2)*(E3406=E3405:E$2)))))</f>
        <v> </v>
      </c>
      <c r="J3406" s="25" t="str">
        <f>IF(OR(E3406="",E3406="!!!",F3406="NEW"),"",COUNTBLANK(OFFSET(A$1,,,SUMPRODUCT(MAX(ROW(E$2:E3406)*(E3406=E$2:E3406)))))-COUNTBLANK(OFFSET(A$1,,,SUMPRODUCT(MAX(ROW(E$1:E3405)*(E2=E$1:E3405))))))</f>
        <v> </v>
      </c>
      <c r="K3406" s="25" t="str">
        <f>IF(OR(E3406="",E3406="!!!",F3406="NEW"),"",INDEX(J$1:J3405,SUMPRODUCT(MAX(ROW(E$1:E3405)*(E3406=E$1:E3405)))))</f>
        <v> </v>
      </c>
      <c r="L3406" s="26"/>
    </row>
    <row r="3407" spans="1:12">
      <c r="A3407" s="20" t="s">
        <v>1963</v>
      </c>
      <c r="E3407" s="21">
        <f>IF(D3407="?OLD","!!!","")</f>
        <v/>
      </c>
      <c r="F3407" s="22" t="str">
        <f>IF(OR(E3407="",E3407="!!!"),"",IF(NOT(ISNA(VLOOKUP(E3407,E$1:E3406,1,FALSE()))),"OLD",IF(AND(E3407&lt;&gt;"",E3407&lt;&gt;"!!!"),"NEW","")))</f>
        <v> </v>
      </c>
      <c r="G3407" s="23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4" t="str">
        <f>IF(J3407&lt;&gt;1,"",IF(I3407="SBJ","CB","?"))</f>
        <v> </v>
      </c>
      <c r="I3407" s="25" t="str">
        <f>IF(OR(E3407="",E3407="!!!",F3407="NEW"),"",INDEX(B3406:B$2,-1+SUMPRODUCT(MAX(ROW(E3406:E$2)*(E3407=E3406:E$2)))))</f>
        <v> </v>
      </c>
      <c r="J3407" s="25" t="str">
        <f>IF(OR(E3407="",E3407="!!!",F3407="NEW"),"",COUNTBLANK(OFFSET(A$1,,,SUMPRODUCT(MAX(ROW(E$2:E3407)*(E3407=E$2:E3407)))))-COUNTBLANK(OFFSET(A$1,,,SUMPRODUCT(MAX(ROW(E$1:E3406)*(E2=E$1:E3406))))))</f>
        <v> </v>
      </c>
      <c r="K3407" s="25" t="str">
        <f>IF(OR(E3407="",E3407="!!!",F3407="NEW"),"",INDEX(J$1:J3406,SUMPRODUCT(MAX(ROW(E$1:E3406)*(E3407=E$1:E3406)))))</f>
        <v> </v>
      </c>
      <c r="L3407" s="26"/>
    </row>
    <row r="3408" spans="1:12">
      <c r="A3408" s="20" t="s">
        <v>1368</v>
      </c>
      <c r="E3408" s="21">
        <f>IF(D3408="?OLD","!!!","")</f>
        <v/>
      </c>
      <c r="F3408" s="22" t="str">
        <f>IF(OR(E3408="",E3408="!!!"),"",IF(NOT(ISNA(VLOOKUP(E3408,E$1:E3407,1,FALSE()))),"OLD",IF(AND(E3408&lt;&gt;"",E3408&lt;&gt;"!!!"),"NEW","")))</f>
        <v> </v>
      </c>
      <c r="G3408" s="23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4" t="str">
        <f>IF(J3408&lt;&gt;1,"",IF(I3408="SBJ","CB","?"))</f>
        <v> </v>
      </c>
      <c r="I3408" s="25" t="str">
        <f>IF(OR(E3408="",E3408="!!!",F3408="NEW"),"",INDEX(B3407:B$2,-1+SUMPRODUCT(MAX(ROW(E3407:E$2)*(E3408=E3407:E$2)))))</f>
        <v> </v>
      </c>
      <c r="J3408" s="25" t="str">
        <f>IF(OR(E3408="",E3408="!!!",F3408="NEW"),"",COUNTBLANK(OFFSET(A$1,,,SUMPRODUCT(MAX(ROW(E$2:E3408)*(E3408=E$2:E3408)))))-COUNTBLANK(OFFSET(A$1,,,SUMPRODUCT(MAX(ROW(E$1:E3407)*(E2=E$1:E3407))))))</f>
        <v> </v>
      </c>
      <c r="K3408" s="25" t="str">
        <f>IF(OR(E3408="",E3408="!!!",F3408="NEW"),"",INDEX(J$1:J3407,SUMPRODUCT(MAX(ROW(E$1:E3407)*(E3408=E$1:E3407)))))</f>
        <v> </v>
      </c>
      <c r="L3408" s="26"/>
    </row>
    <row r="3409" spans="1:12">
      <c r="A3409" s="20" t="s">
        <v>737</v>
      </c>
      <c r="E3409" s="21">
        <f>IF(D3409="?OLD","!!!","")</f>
        <v/>
      </c>
      <c r="F3409" s="22" t="str">
        <f>IF(OR(E3409="",E3409="!!!"),"",IF(NOT(ISNA(VLOOKUP(E3409,E$1:E3408,1,FALSE()))),"OLD",IF(AND(E3409&lt;&gt;"",E3409&lt;&gt;"!!!"),"NEW","")))</f>
        <v> </v>
      </c>
      <c r="G3409" s="23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4" t="str">
        <f>IF(J3409&lt;&gt;1,"",IF(I3409="SBJ","CB","?"))</f>
        <v> </v>
      </c>
      <c r="I3409" s="25" t="str">
        <f>IF(OR(E3409="",E3409="!!!",F3409="NEW"),"",INDEX(B3408:B$2,-1+SUMPRODUCT(MAX(ROW(E3408:E$2)*(E3409=E3408:E$2)))))</f>
        <v> </v>
      </c>
      <c r="J3409" s="25" t="str">
        <f>IF(OR(E3409="",E3409="!!!",F3409="NEW"),"",COUNTBLANK(OFFSET(A$1,,,SUMPRODUCT(MAX(ROW(E$2:E3409)*(E3409=E$2:E3409)))))-COUNTBLANK(OFFSET(A$1,,,SUMPRODUCT(MAX(ROW(E$1:E3408)*(E2=E$1:E3408))))))</f>
        <v> </v>
      </c>
      <c r="K3409" s="25" t="str">
        <f>IF(OR(E3409="",E3409="!!!",F3409="NEW"),"",INDEX(J$1:J3408,SUMPRODUCT(MAX(ROW(E$1:E3408)*(E3409=E$1:E3408)))))</f>
        <v> </v>
      </c>
      <c r="L3409" s="26"/>
    </row>
    <row r="3410" spans="1:12">
      <c r="A3410" s="20" t="s">
        <v>743</v>
      </c>
      <c r="E3410" s="21">
        <f>IF(D3410="?OLD","!!!","")</f>
        <v/>
      </c>
      <c r="F3410" s="22" t="str">
        <f>IF(OR(E3410="",E3410="!!!"),"",IF(NOT(ISNA(VLOOKUP(E3410,E$1:E3409,1,FALSE()))),"OLD",IF(AND(E3410&lt;&gt;"",E3410&lt;&gt;"!!!"),"NEW","")))</f>
        <v> </v>
      </c>
      <c r="G3410" s="23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4" t="str">
        <f>IF(J3410&lt;&gt;1,"",IF(I3410="SBJ","CB","?"))</f>
        <v> </v>
      </c>
      <c r="I3410" s="25" t="str">
        <f>IF(OR(E3410="",E3410="!!!",F3410="NEW"),"",INDEX(B3409:B$2,-1+SUMPRODUCT(MAX(ROW(E3409:E$2)*(E3410=E3409:E$2)))))</f>
        <v> </v>
      </c>
      <c r="J3410" s="25" t="str">
        <f>IF(OR(E3410="",E3410="!!!",F3410="NEW"),"",COUNTBLANK(OFFSET(A$1,,,SUMPRODUCT(MAX(ROW(E$2:E3410)*(E3410=E$2:E3410)))))-COUNTBLANK(OFFSET(A$1,,,SUMPRODUCT(MAX(ROW(E$1:E3409)*(E2=E$1:E3409))))))</f>
        <v> </v>
      </c>
      <c r="K3410" s="25" t="str">
        <f>IF(OR(E3410="",E3410="!!!",F3410="NEW"),"",INDEX(J$1:J3409,SUMPRODUCT(MAX(ROW(E$1:E3409)*(E3410=E$1:E3409)))))</f>
        <v> </v>
      </c>
      <c r="L3410" s="26"/>
    </row>
    <row r="3411" spans="1:12">
      <c r="A3411" s="20" t="s">
        <v>1763</v>
      </c>
      <c r="B3411" s="27" t="s">
        <v>745</v>
      </c>
      <c r="E3411" s="21">
        <f>IF(D3411="?OLD","!!!","")</f>
        <v/>
      </c>
      <c r="F3411" s="22" t="str">
        <f>IF(OR(E3411="",E3411="!!!"),"",IF(NOT(ISNA(VLOOKUP(E3411,E$1:E3410,1,FALSE()))),"OLD",IF(AND(E3411&lt;&gt;"",E3411&lt;&gt;"!!!"),"NEW","")))</f>
        <v> </v>
      </c>
      <c r="G3411" s="23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4" t="str">
        <f>IF(J3411&lt;&gt;1,"",IF(I3411="SBJ","CB","?"))</f>
        <v> </v>
      </c>
      <c r="I3411" s="25" t="str">
        <f>IF(OR(E3411="",E3411="!!!",F3411="NEW"),"",INDEX(B3410:B$2,-1+SUMPRODUCT(MAX(ROW(E3410:E$2)*(E3411=E3410:E$2)))))</f>
        <v> </v>
      </c>
      <c r="J3411" s="25" t="str">
        <f>IF(OR(E3411="",E3411="!!!",F3411="NEW"),"",COUNTBLANK(OFFSET(A$1,,,SUMPRODUCT(MAX(ROW(E$2:E3411)*(E3411=E$2:E3411)))))-COUNTBLANK(OFFSET(A$1,,,SUMPRODUCT(MAX(ROW(E$1:E3410)*(E2=E$1:E3410))))))</f>
        <v> </v>
      </c>
      <c r="K3411" s="25" t="str">
        <f>IF(OR(E3411="",E3411="!!!",F3411="NEW"),"",INDEX(J$1:J3410,SUMPRODUCT(MAX(ROW(E$1:E3410)*(E3411=E$1:E3410)))))</f>
        <v> </v>
      </c>
      <c r="L3411" s="26"/>
    </row>
    <row r="3412" spans="1:12">
      <c r="A3412" s="20" t="s">
        <v>1551</v>
      </c>
      <c r="E3412" s="21">
        <f>IF(D3412="?OLD","!!!","")</f>
        <v/>
      </c>
      <c r="F3412" s="22" t="str">
        <f>IF(OR(E3412="",E3412="!!!"),"",IF(NOT(ISNA(VLOOKUP(E3412,E$1:E3411,1,FALSE()))),"OLD",IF(AND(E3412&lt;&gt;"",E3412&lt;&gt;"!!!"),"NEW","")))</f>
        <v> </v>
      </c>
      <c r="G3412" s="23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4" t="str">
        <f>IF(J3412&lt;&gt;1,"",IF(I3412="SBJ","CB","?"))</f>
        <v> </v>
      </c>
      <c r="I3412" s="25" t="str">
        <f>IF(OR(E3412="",E3412="!!!",F3412="NEW"),"",INDEX(B3411:B$2,-1+SUMPRODUCT(MAX(ROW(E3411:E$2)*(E3412=E3411:E$2)))))</f>
        <v> </v>
      </c>
      <c r="J3412" s="25" t="str">
        <f>IF(OR(E3412="",E3412="!!!",F3412="NEW"),"",COUNTBLANK(OFFSET(A$1,,,SUMPRODUCT(MAX(ROW(E$2:E3412)*(E3412=E$2:E3412)))))-COUNTBLANK(OFFSET(A$1,,,SUMPRODUCT(MAX(ROW(E$1:E3411)*(E2=E$1:E3411))))))</f>
        <v> </v>
      </c>
      <c r="K3412" s="25" t="str">
        <f>IF(OR(E3412="",E3412="!!!",F3412="NEW"),"",INDEX(J$1:J3411,SUMPRODUCT(MAX(ROW(E$1:E3411)*(E3412=E$1:E3411)))))</f>
        <v> </v>
      </c>
      <c r="L3412" s="26"/>
    </row>
    <row r="3413" spans="1:12">
      <c r="A3413" s="20" t="s">
        <v>1964</v>
      </c>
      <c r="E3413" s="21">
        <f>IF(D3413="?OLD","!!!","")</f>
        <v/>
      </c>
      <c r="F3413" s="22" t="str">
        <f>IF(OR(E3413="",E3413="!!!"),"",IF(NOT(ISNA(VLOOKUP(E3413,E$1:E3412,1,FALSE()))),"OLD",IF(AND(E3413&lt;&gt;"",E3413&lt;&gt;"!!!"),"NEW","")))</f>
        <v> </v>
      </c>
      <c r="G3413" s="23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4" t="str">
        <f>IF(J3413&lt;&gt;1,"",IF(I3413="SBJ","CB","?"))</f>
        <v> </v>
      </c>
      <c r="I3413" s="25" t="str">
        <f>IF(OR(E3413="",E3413="!!!",F3413="NEW"),"",INDEX(B3412:B$2,-1+SUMPRODUCT(MAX(ROW(E3412:E$2)*(E3413=E3412:E$2)))))</f>
        <v> </v>
      </c>
      <c r="J3413" s="25" t="str">
        <f>IF(OR(E3413="",E3413="!!!",F3413="NEW"),"",COUNTBLANK(OFFSET(A$1,,,SUMPRODUCT(MAX(ROW(E$2:E3413)*(E3413=E$2:E3413)))))-COUNTBLANK(OFFSET(A$1,,,SUMPRODUCT(MAX(ROW(E$1:E3412)*(E2=E$1:E3412))))))</f>
        <v> </v>
      </c>
      <c r="K3413" s="25" t="str">
        <f>IF(OR(E3413="",E3413="!!!",F3413="NEW"),"",INDEX(J$1:J3412,SUMPRODUCT(MAX(ROW(E$1:E3412)*(E3413=E$1:E3412)))))</f>
        <v> </v>
      </c>
      <c r="L3413" s="26"/>
    </row>
    <row r="3414" spans="1:12">
      <c r="A3414" s="20" t="s">
        <v>718</v>
      </c>
      <c r="E3414" s="21">
        <f>IF(D3414="?OLD","!!!","")</f>
        <v/>
      </c>
      <c r="F3414" s="22" t="str">
        <f>IF(OR(E3414="",E3414="!!!"),"",IF(NOT(ISNA(VLOOKUP(E3414,E$1:E3413,1,FALSE()))),"OLD",IF(AND(E3414&lt;&gt;"",E3414&lt;&gt;"!!!"),"NEW","")))</f>
        <v> </v>
      </c>
      <c r="G3414" s="23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4" t="str">
        <f>IF(J3414&lt;&gt;1,"",IF(I3414="SBJ","CB","?"))</f>
        <v> </v>
      </c>
      <c r="I3414" s="25" t="str">
        <f>IF(OR(E3414="",E3414="!!!",F3414="NEW"),"",INDEX(B3413:B$2,-1+SUMPRODUCT(MAX(ROW(E3413:E$2)*(E3414=E3413:E$2)))))</f>
        <v> </v>
      </c>
      <c r="J3414" s="25" t="str">
        <f>IF(OR(E3414="",E3414="!!!",F3414="NEW"),"",COUNTBLANK(OFFSET(A$1,,,SUMPRODUCT(MAX(ROW(E$2:E3414)*(E3414=E$2:E3414)))))-COUNTBLANK(OFFSET(A$1,,,SUMPRODUCT(MAX(ROW(E$1:E3413)*(E2=E$1:E3413))))))</f>
        <v> </v>
      </c>
      <c r="K3414" s="25" t="str">
        <f>IF(OR(E3414="",E3414="!!!",F3414="NEW"),"",INDEX(J$1:J3413,SUMPRODUCT(MAX(ROW(E$1:E3413)*(E3414=E$1:E3413)))))</f>
        <v> </v>
      </c>
      <c r="L3414" s="26"/>
    </row>
    <row r="3415" spans="1:12">
      <c r="A3415" s="20" t="s">
        <v>1006</v>
      </c>
      <c r="B3415" s="27" t="s">
        <v>731</v>
      </c>
      <c r="C3415" s="27" t="s">
        <v>782</v>
      </c>
      <c r="D3415" s="27" t="s">
        <v>716</v>
      </c>
      <c r="E3415" s="21">
        <f>IF(D3415="?OLD","!!!","")</f>
        <v/>
      </c>
      <c r="F3415" s="22" t="str">
        <f>IF(OR(E3415="",E3415="!!!"),"",IF(NOT(ISNA(VLOOKUP(E3415,E$1:E3414,1,FALSE()))),"OLD",IF(AND(E3415&lt;&gt;"",E3415&lt;&gt;"!!!"),"NEW","")))</f>
        <v> </v>
      </c>
      <c r="G3415" s="23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4" t="str">
        <f>IF(J3415&lt;&gt;1,"",IF(I3415="SBJ","CB","?"))</f>
        <v> </v>
      </c>
      <c r="I3415" s="25" t="str">
        <f>IF(OR(E3415="",E3415="!!!",F3415="NEW"),"",INDEX(B3414:B$2,-1+SUMPRODUCT(MAX(ROW(E3414:E$2)*(E3415=E3414:E$2)))))</f>
        <v> </v>
      </c>
      <c r="J3415" s="25" t="str">
        <f>IF(OR(E3415="",E3415="!!!",F3415="NEW"),"",COUNTBLANK(OFFSET(A$1,,,SUMPRODUCT(MAX(ROW(E$2:E3415)*(E3415=E$2:E3415)))))-COUNTBLANK(OFFSET(A$1,,,SUMPRODUCT(MAX(ROW(E$1:E3414)*(E2=E$1:E3414))))))</f>
        <v> </v>
      </c>
      <c r="K3415" s="25" t="str">
        <f>IF(OR(E3415="",E3415="!!!",F3415="NEW"),"",INDEX(J$1:J3414,SUMPRODUCT(MAX(ROW(E$1:E3414)*(E3415=E$1:E3414)))))</f>
        <v> </v>
      </c>
      <c r="L3415" s="26"/>
    </row>
    <row r="3416" spans="1:12">
      <c r="A3416" s="20" t="s">
        <v>737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1965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 t="s">
        <v>1388</v>
      </c>
      <c r="E3418" s="21">
        <f>IF(D3418="?OLD","!!!","")</f>
        <v/>
      </c>
      <c r="F3418" s="22" t="str">
        <f>IF(OR(E3418="",E3418="!!!"),"",IF(NOT(ISNA(VLOOKUP(E3418,E$1:E3417,1,FALSE()))),"OLD",IF(AND(E3418&lt;&gt;"",E3418&lt;&gt;"!!!"),"NEW","")))</f>
        <v> </v>
      </c>
      <c r="G3418" s="23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4" t="str">
        <f>IF(J3418&lt;&gt;1,"",IF(I3418="SBJ","CB","?"))</f>
        <v> </v>
      </c>
      <c r="I3418" s="25" t="str">
        <f>IF(OR(E3418="",E3418="!!!",F3418="NEW"),"",INDEX(B3417:B$2,-1+SUMPRODUCT(MAX(ROW(E3417:E$2)*(E3418=E3417:E$2)))))</f>
        <v> </v>
      </c>
      <c r="J3418" s="25" t="str">
        <f>IF(OR(E3418="",E3418="!!!",F3418="NEW"),"",COUNTBLANK(OFFSET(A$1,,,SUMPRODUCT(MAX(ROW(E$2:E3418)*(E3418=E$2:E3418)))))-COUNTBLANK(OFFSET(A$1,,,SUMPRODUCT(MAX(ROW(E$1:E3417)*(E2=E$1:E3417))))))</f>
        <v> </v>
      </c>
      <c r="K3418" s="25" t="str">
        <f>IF(OR(E3418="",E3418="!!!",F3418="NEW"),"",INDEX(J$1:J3417,SUMPRODUCT(MAX(ROW(E$1:E3417)*(E3418=E$1:E3417)))))</f>
        <v> </v>
      </c>
      <c r="L3418" s="26"/>
    </row>
    <row r="3419" spans="1:12">
      <c r="A3419" s="20" t="s">
        <v>906</v>
      </c>
      <c r="B3419" s="27" t="s">
        <v>861</v>
      </c>
      <c r="C3419" s="27" t="s">
        <v>715</v>
      </c>
      <c r="D3419" s="27" t="s">
        <v>716</v>
      </c>
      <c r="E3419" s="21">
        <f>IF(D3419="?OLD","!!!","")</f>
        <v/>
      </c>
      <c r="F3419" s="22" t="str">
        <f>IF(OR(E3419="",E3419="!!!"),"",IF(NOT(ISNA(VLOOKUP(E3419,E$1:E3418,1,FALSE()))),"OLD",IF(AND(E3419&lt;&gt;"",E3419&lt;&gt;"!!!"),"NEW","")))</f>
        <v> </v>
      </c>
      <c r="G3419" s="23" t="str">
        <f>IF(OR(E3419="",E3419="!!!"),"",IF(OR(J3419=0,AND(J3419=1,K3419=1),AND(J3419=1,I3419="SBJ"),AND(J3419=1,I3419=0)),"?IN_FOCUS",IF(J3419&lt;=2,"?ACTIVATED",IF(J3419&lt;&gt;"","?FAMILIAR",IF(F3419="NEW",IF(ISNA(VLOOKUP(E3419,#REF!,1,FALSE())),"?TYPE_IDENTIFIABLE","?REFERENTIAL"),"_")))))</f>
        <v> </v>
      </c>
      <c r="H3419" s="24" t="str">
        <f>IF(J3419&lt;&gt;1,"",IF(I3419="SBJ","CB","?"))</f>
        <v> </v>
      </c>
      <c r="I3419" s="25" t="str">
        <f>IF(OR(E3419="",E3419="!!!",F3419="NEW"),"",INDEX(B3418:B$2,-1+SUMPRODUCT(MAX(ROW(E3418:E$2)*(E3419=E3418:E$2)))))</f>
        <v> </v>
      </c>
      <c r="J3419" s="25" t="str">
        <f>IF(OR(E3419="",E3419="!!!",F3419="NEW"),"",COUNTBLANK(OFFSET(A$1,,,SUMPRODUCT(MAX(ROW(E$2:E3419)*(E3419=E$2:E3419)))))-COUNTBLANK(OFFSET(A$1,,,SUMPRODUCT(MAX(ROW(E$1:E3418)*(E2=E$1:E3418))))))</f>
        <v> </v>
      </c>
      <c r="K3419" s="25" t="str">
        <f>IF(OR(E3419="",E3419="!!!",F3419="NEW"),"",INDEX(J$1:J3418,SUMPRODUCT(MAX(ROW(E$1:E3418)*(E3419=E$1:E3418)))))</f>
        <v> </v>
      </c>
      <c r="L3419" s="26"/>
    </row>
    <row r="3420" spans="1:12">
      <c r="A3420" s="20" t="s">
        <v>1966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 t="s">
        <v>1899</v>
      </c>
      <c r="E3421" s="21">
        <f>IF(D3421="?OLD","!!!","")</f>
        <v/>
      </c>
      <c r="F3421" s="22" t="str">
        <f>IF(OR(E3421="",E3421="!!!"),"",IF(NOT(ISNA(VLOOKUP(E3421,E$1:E3420,1,FALSE()))),"OLD",IF(AND(E3421&lt;&gt;"",E3421&lt;&gt;"!!!"),"NEW","")))</f>
        <v> </v>
      </c>
      <c r="G3421" s="23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4" t="str">
        <f>IF(J3421&lt;&gt;1,"",IF(I3421="SBJ","CB","?"))</f>
        <v> </v>
      </c>
      <c r="I3421" s="25" t="str">
        <f>IF(OR(E3421="",E3421="!!!",F3421="NEW"),"",INDEX(B3420:B$2,-1+SUMPRODUCT(MAX(ROW(E3420:E$2)*(E3421=E3420:E$2)))))</f>
        <v> </v>
      </c>
      <c r="J3421" s="25" t="str">
        <f>IF(OR(E3421="",E3421="!!!",F3421="NEW"),"",COUNTBLANK(OFFSET(A$1,,,SUMPRODUCT(MAX(ROW(E$2:E3421)*(E3421=E$2:E3421)))))-COUNTBLANK(OFFSET(A$1,,,SUMPRODUCT(MAX(ROW(E$1:E3420)*(E2=E$1:E3420))))))</f>
        <v> </v>
      </c>
      <c r="K3421" s="25" t="str">
        <f>IF(OR(E3421="",E3421="!!!",F3421="NEW"),"",INDEX(J$1:J3420,SUMPRODUCT(MAX(ROW(E$1:E3420)*(E3421=E$1:E3420)))))</f>
        <v> </v>
      </c>
      <c r="L3421" s="26"/>
    </row>
    <row r="3422" spans="1:12">
      <c r="A3422" s="20" t="s">
        <v>719</v>
      </c>
      <c r="B3422" s="27" t="s">
        <v>1051</v>
      </c>
      <c r="E3422" s="21">
        <f>IF(D3422="?OLD","!!!","")</f>
        <v/>
      </c>
      <c r="F3422" s="22" t="str">
        <f>IF(OR(E3422="",E3422="!!!"),"",IF(NOT(ISNA(VLOOKUP(E3422,E$1:E3421,1,FALSE()))),"OLD",IF(AND(E3422&lt;&gt;"",E3422&lt;&gt;"!!!"),"NEW","")))</f>
        <v> </v>
      </c>
      <c r="G3422" s="23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4" t="str">
        <f>IF(J3422&lt;&gt;1,"",IF(I3422="SBJ","CB","?"))</f>
        <v> </v>
      </c>
      <c r="I3422" s="25" t="str">
        <f>IF(OR(E3422="",E3422="!!!",F3422="NEW"),"",INDEX(B3421:B$2,-1+SUMPRODUCT(MAX(ROW(E3421:E$2)*(E3422=E3421:E$2)))))</f>
        <v> </v>
      </c>
      <c r="J3422" s="25" t="str">
        <f>IF(OR(E3422="",E3422="!!!",F3422="NEW"),"",COUNTBLANK(OFFSET(A$1,,,SUMPRODUCT(MAX(ROW(E$2:E3422)*(E3422=E$2:E3422)))))-COUNTBLANK(OFFSET(A$1,,,SUMPRODUCT(MAX(ROW(E$1:E3421)*(E2=E$1:E3421))))))</f>
        <v> </v>
      </c>
      <c r="K3422" s="25" t="str">
        <f>IF(OR(E3422="",E3422="!!!",F3422="NEW"),"",INDEX(J$1:J3421,SUMPRODUCT(MAX(ROW(E$1:E3421)*(E3422=E$1:E3421)))))</f>
        <v> </v>
      </c>
      <c r="L3422" s="26"/>
    </row>
    <row r="3423" spans="1:12">
      <c r="A3423" s="20" t="s">
        <v>896</v>
      </c>
      <c r="E3423" s="21">
        <f>IF(D3423="?OLD","!!!","")</f>
        <v/>
      </c>
      <c r="F3423" s="22" t="str">
        <f>IF(OR(E3423="",E3423="!!!"),"",IF(NOT(ISNA(VLOOKUP(E3423,E$1:E3422,1,FALSE()))),"OLD",IF(AND(E3423&lt;&gt;"",E3423&lt;&gt;"!!!"),"NEW","")))</f>
        <v> </v>
      </c>
      <c r="G3423" s="23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4" t="str">
        <f>IF(J3423&lt;&gt;1,"",IF(I3423="SBJ","CB","?"))</f>
        <v> </v>
      </c>
      <c r="I3423" s="25" t="str">
        <f>IF(OR(E3423="",E3423="!!!",F3423="NEW"),"",INDEX(B3422:B$2,-1+SUMPRODUCT(MAX(ROW(E3422:E$2)*(E3423=E3422:E$2)))))</f>
        <v> </v>
      </c>
      <c r="J3423" s="25" t="str">
        <f>IF(OR(E3423="",E3423="!!!",F3423="NEW"),"",COUNTBLANK(OFFSET(A$1,,,SUMPRODUCT(MAX(ROW(E$2:E3423)*(E3423=E$2:E3423)))))-COUNTBLANK(OFFSET(A$1,,,SUMPRODUCT(MAX(ROW(E$1:E3422)*(E2=E$1:E3422))))))</f>
        <v> </v>
      </c>
      <c r="K3423" s="25" t="str">
        <f>IF(OR(E3423="",E3423="!!!",F3423="NEW"),"",INDEX(J$1:J3422,SUMPRODUCT(MAX(ROW(E$1:E3422)*(E3423=E$1:E3422)))))</f>
        <v> </v>
      </c>
      <c r="L3423" s="26"/>
    </row>
    <row r="3424" spans="1:12">
      <c r="A3424" s="20" t="s">
        <v>1967</v>
      </c>
      <c r="E3424" s="21">
        <f>IF(D3424="?OLD","!!!","")</f>
        <v/>
      </c>
      <c r="F3424" s="22" t="str">
        <f>IF(OR(E3424="",E3424="!!!"),"",IF(NOT(ISNA(VLOOKUP(E3424,E$1:E3423,1,FALSE()))),"OLD",IF(AND(E3424&lt;&gt;"",E3424&lt;&gt;"!!!"),"NEW","")))</f>
        <v> </v>
      </c>
      <c r="G3424" s="23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4" t="str">
        <f>IF(J3424&lt;&gt;1,"",IF(I3424="SBJ","CB","?"))</f>
        <v> </v>
      </c>
      <c r="I3424" s="25" t="str">
        <f>IF(OR(E3424="",E3424="!!!",F3424="NEW"),"",INDEX(B3423:B$2,-1+SUMPRODUCT(MAX(ROW(E3423:E$2)*(E3424=E3423:E$2)))))</f>
        <v> </v>
      </c>
      <c r="J3424" s="25" t="str">
        <f>IF(OR(E3424="",E3424="!!!",F3424="NEW"),"",COUNTBLANK(OFFSET(A$1,,,SUMPRODUCT(MAX(ROW(E$2:E3424)*(E3424=E$2:E3424)))))-COUNTBLANK(OFFSET(A$1,,,SUMPRODUCT(MAX(ROW(E$1:E3423)*(E2=E$1:E3423))))))</f>
        <v> </v>
      </c>
      <c r="K3424" s="25" t="str">
        <f>IF(OR(E3424="",E3424="!!!",F3424="NEW"),"",INDEX(J$1:J3423,SUMPRODUCT(MAX(ROW(E$1:E3423)*(E3424=E$1:E3423)))))</f>
        <v> </v>
      </c>
      <c r="L3424" s="26"/>
    </row>
    <row r="3425" spans="1:12">
      <c r="A3425" s="20" t="s">
        <v>1968</v>
      </c>
      <c r="E3425" s="21">
        <f>IF(D3425="?OLD","!!!","")</f>
        <v/>
      </c>
      <c r="F3425" s="22" t="str">
        <f>IF(OR(E3425="",E3425="!!!"),"",IF(NOT(ISNA(VLOOKUP(E3425,E$1:E3424,1,FALSE()))),"OLD",IF(AND(E3425&lt;&gt;"",E3425&lt;&gt;"!!!"),"NEW","")))</f>
        <v> </v>
      </c>
      <c r="G3425" s="23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4" t="str">
        <f>IF(J3425&lt;&gt;1,"",IF(I3425="SBJ","CB","?"))</f>
        <v> </v>
      </c>
      <c r="I3425" s="25" t="str">
        <f>IF(OR(E3425="",E3425="!!!",F3425="NEW"),"",INDEX(B3424:B$2,-1+SUMPRODUCT(MAX(ROW(E3424:E$2)*(E3425=E3424:E$2)))))</f>
        <v> </v>
      </c>
      <c r="J3425" s="25" t="str">
        <f>IF(OR(E3425="",E3425="!!!",F3425="NEW"),"",COUNTBLANK(OFFSET(A$1,,,SUMPRODUCT(MAX(ROW(E$2:E3425)*(E3425=E$2:E3425)))))-COUNTBLANK(OFFSET(A$1,,,SUMPRODUCT(MAX(ROW(E$1:E3424)*(E2=E$1:E3424))))))</f>
        <v> </v>
      </c>
      <c r="K3425" s="25" t="str">
        <f>IF(OR(E3425="",E3425="!!!",F3425="NEW"),"",INDEX(J$1:J3424,SUMPRODUCT(MAX(ROW(E$1:E3424)*(E3425=E$1:E3424)))))</f>
        <v> </v>
      </c>
      <c r="L3425" s="26"/>
    </row>
    <row r="3426" spans="1:12">
      <c r="A3426" s="20" t="s">
        <v>892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 t="s">
        <v>737</v>
      </c>
      <c r="E3427" s="21">
        <f>IF(D3427="?OLD","!!!","")</f>
        <v/>
      </c>
      <c r="F3427" s="22" t="str">
        <f>IF(OR(E3427="",E3427="!!!"),"",IF(NOT(ISNA(VLOOKUP(E3427,E$1:E3426,1,FALSE()))),"OLD",IF(AND(E3427&lt;&gt;"",E3427&lt;&gt;"!!!"),"NEW","")))</f>
        <v> </v>
      </c>
      <c r="G3427" s="23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4" t="str">
        <f>IF(J3427&lt;&gt;1,"",IF(I3427="SBJ","CB","?"))</f>
        <v> </v>
      </c>
      <c r="I3427" s="25" t="str">
        <f>IF(OR(E3427="",E3427="!!!",F3427="NEW"),"",INDEX(B3426:B$2,-1+SUMPRODUCT(MAX(ROW(E3426:E$2)*(E3427=E3426:E$2)))))</f>
        <v> </v>
      </c>
      <c r="J3427" s="25" t="str">
        <f>IF(OR(E3427="",E3427="!!!",F3427="NEW"),"",COUNTBLANK(OFFSET(A$1,,,SUMPRODUCT(MAX(ROW(E$2:E3427)*(E3427=E$2:E3427)))))-COUNTBLANK(OFFSET(A$1,,,SUMPRODUCT(MAX(ROW(E$1:E3426)*(E2=E$1:E3426))))))</f>
        <v> </v>
      </c>
      <c r="K3427" s="25" t="str">
        <f>IF(OR(E3427="",E3427="!!!",F3427="NEW"),"",INDEX(J$1:J3426,SUMPRODUCT(MAX(ROW(E$1:E3426)*(E3427=E$1:E3426)))))</f>
        <v> </v>
      </c>
      <c r="L3427" s="26"/>
    </row>
    <row r="3428" spans="1:12">
      <c r="A3428" s="20" t="s">
        <v>83</v>
      </c>
      <c r="E3428" s="21">
        <f>IF(D3428="?OLD","!!!","")</f>
        <v/>
      </c>
      <c r="F3428" s="22" t="str">
        <f>IF(OR(E3428="",E3428="!!!"),"",IF(NOT(ISNA(VLOOKUP(E3428,E$1:E3427,1,FALSE()))),"OLD",IF(AND(E3428&lt;&gt;"",E3428&lt;&gt;"!!!"),"NEW","")))</f>
        <v> </v>
      </c>
      <c r="G3428" s="23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4" t="str">
        <f>IF(J3428&lt;&gt;1,"",IF(I3428="SBJ","CB","?"))</f>
        <v> </v>
      </c>
      <c r="I3428" s="25" t="str">
        <f>IF(OR(E3428="",E3428="!!!",F3428="NEW"),"",INDEX(B3427:B$2,-1+SUMPRODUCT(MAX(ROW(E3427:E$2)*(E3428=E3427:E$2)))))</f>
        <v> </v>
      </c>
      <c r="J3428" s="25" t="str">
        <f>IF(OR(E3428="",E3428="!!!",F3428="NEW"),"",COUNTBLANK(OFFSET(A$1,,,SUMPRODUCT(MAX(ROW(E$2:E3428)*(E3428=E$2:E3428)))))-COUNTBLANK(OFFSET(A$1,,,SUMPRODUCT(MAX(ROW(E$1:E3427)*(E2=E$1:E3427))))))</f>
        <v> </v>
      </c>
      <c r="K3428" s="25" t="str">
        <f>IF(OR(E3428="",E3428="!!!",F3428="NEW"),"",INDEX(J$1:J3427,SUMPRODUCT(MAX(ROW(E$1:E3427)*(E3428=E$1:E3427)))))</f>
        <v> </v>
      </c>
      <c r="L3428" s="26"/>
    </row>
    <row r="3429" spans="1:12">
      <c r="A3429" s="20" t="s">
        <v>822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 t="s">
        <v>869</v>
      </c>
      <c r="B3430" s="27" t="s">
        <v>1051</v>
      </c>
      <c r="C3430" s="27" t="s">
        <v>715</v>
      </c>
      <c r="D3430" s="27" t="s">
        <v>716</v>
      </c>
      <c r="E3430" s="21">
        <f>IF(D3430="?OLD","!!!","")</f>
        <v/>
      </c>
      <c r="F3430" s="22" t="str">
        <f>IF(OR(E3430="",E3430="!!!"),"",IF(NOT(ISNA(VLOOKUP(E3430,E$1:E3429,1,FALSE()))),"OLD",IF(AND(E3430&lt;&gt;"",E3430&lt;&gt;"!!!"),"NEW","")))</f>
        <v> </v>
      </c>
      <c r="G3430" s="23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4" t="str">
        <f>IF(J3430&lt;&gt;1,"",IF(I3430="SBJ","CB","?"))</f>
        <v> </v>
      </c>
      <c r="I3430" s="25" t="str">
        <f>IF(OR(E3430="",E3430="!!!",F3430="NEW"),"",INDEX(B3429:B$2,-1+SUMPRODUCT(MAX(ROW(E3429:E$2)*(E3430=E3429:E$2)))))</f>
        <v> </v>
      </c>
      <c r="J3430" s="25" t="str">
        <f>IF(OR(E3430="",E3430="!!!",F3430="NEW"),"",COUNTBLANK(OFFSET(A$1,,,SUMPRODUCT(MAX(ROW(E$2:E3430)*(E3430=E$2:E3430)))))-COUNTBLANK(OFFSET(A$1,,,SUMPRODUCT(MAX(ROW(E$1:E3429)*(E2=E$1:E3429))))))</f>
        <v> </v>
      </c>
      <c r="K3430" s="25" t="str">
        <f>IF(OR(E3430="",E3430="!!!",F3430="NEW"),"",INDEX(J$1:J3429,SUMPRODUCT(MAX(ROW(E$1:E3429)*(E3430=E$1:E3429)))))</f>
        <v> </v>
      </c>
      <c r="L3430" s="26"/>
    </row>
    <row r="3431" spans="1:12">
      <c r="A3431" s="20" t="s">
        <v>1569</v>
      </c>
      <c r="E3431" s="21">
        <f>IF(D3431="?OLD","!!!","")</f>
        <v/>
      </c>
      <c r="F3431" s="22" t="str">
        <f>IF(OR(E3431="",E3431="!!!"),"",IF(NOT(ISNA(VLOOKUP(E3431,E$1:E3430,1,FALSE()))),"OLD",IF(AND(E3431&lt;&gt;"",E3431&lt;&gt;"!!!"),"NEW","")))</f>
        <v> </v>
      </c>
      <c r="G3431" s="23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4" t="str">
        <f>IF(J3431&lt;&gt;1,"",IF(I3431="SBJ","CB","?"))</f>
        <v> </v>
      </c>
      <c r="I3431" s="25" t="str">
        <f>IF(OR(E3431="",E3431="!!!",F3431="NEW"),"",INDEX(B3430:B$2,-1+SUMPRODUCT(MAX(ROW(E3430:E$2)*(E3431=E3430:E$2)))))</f>
        <v> </v>
      </c>
      <c r="J3431" s="25" t="str">
        <f>IF(OR(E3431="",E3431="!!!",F3431="NEW"),"",COUNTBLANK(OFFSET(A$1,,,SUMPRODUCT(MAX(ROW(E$2:E3431)*(E3431=E$2:E3431)))))-COUNTBLANK(OFFSET(A$1,,,SUMPRODUCT(MAX(ROW(E$1:E3430)*(E2=E$1:E3430))))))</f>
        <v> </v>
      </c>
      <c r="K3431" s="25" t="str">
        <f>IF(OR(E3431="",E3431="!!!",F3431="NEW"),"",INDEX(J$1:J3430,SUMPRODUCT(MAX(ROW(E$1:E3430)*(E3431=E$1:E3430)))))</f>
        <v> </v>
      </c>
      <c r="L3431" s="26"/>
    </row>
    <row r="3432" spans="1:12">
      <c r="A3432" s="20" t="s">
        <v>803</v>
      </c>
      <c r="E3432" s="21">
        <f>IF(D3432="?OLD","!!!","")</f>
        <v/>
      </c>
      <c r="F3432" s="22" t="str">
        <f>IF(OR(E3432="",E3432="!!!"),"",IF(NOT(ISNA(VLOOKUP(E3432,E$1:E3431,1,FALSE()))),"OLD",IF(AND(E3432&lt;&gt;"",E3432&lt;&gt;"!!!"),"NEW","")))</f>
        <v> </v>
      </c>
      <c r="G3432" s="23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4" t="str">
        <f>IF(J3432&lt;&gt;1,"",IF(I3432="SBJ","CB","?"))</f>
        <v> </v>
      </c>
      <c r="I3432" s="25" t="str">
        <f>IF(OR(E3432="",E3432="!!!",F3432="NEW"),"",INDEX(B3431:B$2,-1+SUMPRODUCT(MAX(ROW(E3431:E$2)*(E3432=E3431:E$2)))))</f>
        <v> </v>
      </c>
      <c r="J3432" s="25" t="str">
        <f>IF(OR(E3432="",E3432="!!!",F3432="NEW"),"",COUNTBLANK(OFFSET(A$1,,,SUMPRODUCT(MAX(ROW(E$2:E3432)*(E3432=E$2:E3432)))))-COUNTBLANK(OFFSET(A$1,,,SUMPRODUCT(MAX(ROW(E$1:E3431)*(E2=E$1:E3431))))))</f>
        <v> </v>
      </c>
      <c r="K3432" s="25" t="str">
        <f>IF(OR(E3432="",E3432="!!!",F3432="NEW"),"",INDEX(J$1:J3431,SUMPRODUCT(MAX(ROW(E$1:E3431)*(E3432=E$1:E3431)))))</f>
        <v> </v>
      </c>
      <c r="L3432" s="26"/>
    </row>
    <row r="3433" spans="1:12">
      <c r="A3433" s="20" t="s">
        <v>1969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832</v>
      </c>
      <c r="B3434" s="27" t="s">
        <v>870</v>
      </c>
      <c r="C3434" s="27" t="s">
        <v>782</v>
      </c>
      <c r="D3434" s="27" t="s">
        <v>716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 t="s">
        <v>1496</v>
      </c>
      <c r="E3435" s="21">
        <f>IF(D3435="?OLD","!!!","")</f>
        <v/>
      </c>
      <c r="F3435" s="22" t="str">
        <f>IF(OR(E3435="",E3435="!!!"),"",IF(NOT(ISNA(VLOOKUP(E3435,E$1:E3434,1,FALSE()))),"OLD",IF(AND(E3435&lt;&gt;"",E3435&lt;&gt;"!!!"),"NEW","")))</f>
        <v> </v>
      </c>
      <c r="G3435" s="23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4" t="str">
        <f>IF(J3435&lt;&gt;1,"",IF(I3435="SBJ","CB","?"))</f>
        <v> </v>
      </c>
      <c r="I3435" s="25" t="str">
        <f>IF(OR(E3435="",E3435="!!!",F3435="NEW"),"",INDEX(B3434:B$2,-1+SUMPRODUCT(MAX(ROW(E3434:E$2)*(E3435=E3434:E$2)))))</f>
        <v> </v>
      </c>
      <c r="J3435" s="25" t="str">
        <f>IF(OR(E3435="",E3435="!!!",F3435="NEW"),"",COUNTBLANK(OFFSET(A$1,,,SUMPRODUCT(MAX(ROW(E$2:E3435)*(E3435=E$2:E3435)))))-COUNTBLANK(OFFSET(A$1,,,SUMPRODUCT(MAX(ROW(E$1:E3434)*(E2=E$1:E3434))))))</f>
        <v> </v>
      </c>
      <c r="K3435" s="25" t="str">
        <f>IF(OR(E3435="",E3435="!!!",F3435="NEW"),"",INDEX(J$1:J3434,SUMPRODUCT(MAX(ROW(E$1:E3434)*(E3435=E$1:E3434)))))</f>
        <v> </v>
      </c>
      <c r="L3435" s="26"/>
    </row>
    <row r="3436" spans="1:12">
      <c r="A3436" s="20" t="s">
        <v>1970</v>
      </c>
      <c r="E3436" s="21">
        <f>IF(D3436="?OLD","!!!","")</f>
        <v/>
      </c>
      <c r="F3436" s="22" t="str">
        <f>IF(OR(E3436="",E3436="!!!"),"",IF(NOT(ISNA(VLOOKUP(E3436,E$1:E3435,1,FALSE()))),"OLD",IF(AND(E3436&lt;&gt;"",E3436&lt;&gt;"!!!"),"NEW","")))</f>
        <v> </v>
      </c>
      <c r="G3436" s="23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4" t="str">
        <f>IF(J3436&lt;&gt;1,"",IF(I3436="SBJ","CB","?"))</f>
        <v> </v>
      </c>
      <c r="I3436" s="25" t="str">
        <f>IF(OR(E3436="",E3436="!!!",F3436="NEW"),"",INDEX(B3435:B$2,-1+SUMPRODUCT(MAX(ROW(E3435:E$2)*(E3436=E3435:E$2)))))</f>
        <v> </v>
      </c>
      <c r="J3436" s="25" t="str">
        <f>IF(OR(E3436="",E3436="!!!",F3436="NEW"),"",COUNTBLANK(OFFSET(A$1,,,SUMPRODUCT(MAX(ROW(E$2:E3436)*(E3436=E$2:E3436)))))-COUNTBLANK(OFFSET(A$1,,,SUMPRODUCT(MAX(ROW(E$1:E3435)*(E2=E$1:E3435))))))</f>
        <v> </v>
      </c>
      <c r="K3436" s="25" t="str">
        <f>IF(OR(E3436="",E3436="!!!",F3436="NEW"),"",INDEX(J$1:J3435,SUMPRODUCT(MAX(ROW(E$1:E3435)*(E3436=E$1:E3435)))))</f>
        <v> </v>
      </c>
      <c r="L3436" s="26"/>
    </row>
    <row r="3437" spans="1:12">
      <c r="A3437" s="20" t="s">
        <v>720</v>
      </c>
      <c r="E3437" s="21">
        <f>IF(D3437="?OLD","!!!","")</f>
        <v/>
      </c>
      <c r="F3437" s="22" t="str">
        <f>IF(OR(E3437="",E3437="!!!"),"",IF(NOT(ISNA(VLOOKUP(E3437,E$1:E3436,1,FALSE()))),"OLD",IF(AND(E3437&lt;&gt;"",E3437&lt;&gt;"!!!"),"NEW","")))</f>
        <v> </v>
      </c>
      <c r="G3437" s="23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4" t="str">
        <f>IF(J3437&lt;&gt;1,"",IF(I3437="SBJ","CB","?"))</f>
        <v> </v>
      </c>
      <c r="I3437" s="25" t="str">
        <f>IF(OR(E3437="",E3437="!!!",F3437="NEW"),"",INDEX(B3436:B$2,-1+SUMPRODUCT(MAX(ROW(E3436:E$2)*(E3437=E3436:E$2)))))</f>
        <v> </v>
      </c>
      <c r="J3437" s="25" t="str">
        <f>IF(OR(E3437="",E3437="!!!",F3437="NEW"),"",COUNTBLANK(OFFSET(A$1,,,SUMPRODUCT(MAX(ROW(E$2:E3437)*(E3437=E$2:E3437)))))-COUNTBLANK(OFFSET(A$1,,,SUMPRODUCT(MAX(ROW(E$1:E3436)*(E2=E$1:E3436))))))</f>
        <v> </v>
      </c>
      <c r="K3437" s="25" t="str">
        <f>IF(OR(E3437="",E3437="!!!",F3437="NEW"),"",INDEX(J$1:J3436,SUMPRODUCT(MAX(ROW(E$1:E3436)*(E3437=E$1:E3436)))))</f>
        <v> </v>
      </c>
      <c r="L3437" s="26"/>
    </row>
    <row r="3438" spans="1:12">
      <c r="A3438" s="20"/>
    </row>
    <row r="3439" spans="1:12">
      <c r="A3439" s="20" t="s">
        <v>1971</v>
      </c>
    </row>
    <row r="3440" spans="1:12">
      <c r="A3440" s="20" t="s">
        <v>1050</v>
      </c>
      <c r="E3440" s="21">
        <f>IF(D3440="?OLD","!!!","")</f>
        <v/>
      </c>
      <c r="F3440" s="22" t="str">
        <f>IF(OR(E3440="",E3440="!!!"),"",IF(NOT(ISNA(VLOOKUP(E3440,E$1:E3439,1,FALSE()))),"OLD",IF(AND(E3440&lt;&gt;"",E3440&lt;&gt;"!!!"),"NEW","")))</f>
        <v> </v>
      </c>
      <c r="G3440" s="23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4" t="str">
        <f>IF(J3440&lt;&gt;1,"",IF(I3440="SBJ","CB","?"))</f>
        <v> </v>
      </c>
      <c r="I3440" s="25" t="str">
        <f>IF(OR(E3440="",E3440="!!!",F3440="NEW"),"",INDEX(B3439:B$2,-1+SUMPRODUCT(MAX(ROW(E3439:E$2)*(E3440=E3439:E$2)))))</f>
        <v> </v>
      </c>
      <c r="J3440" s="25" t="str">
        <f>IF(OR(E3440="",E3440="!!!",F3440="NEW"),"",COUNTBLANK(OFFSET(A$1,,,SUMPRODUCT(MAX(ROW(E$2:E3440)*(E3440=E$2:E3440)))))-COUNTBLANK(OFFSET(A$1,,,SUMPRODUCT(MAX(ROW(E$1:E3439)*(E2=E$1:E3439))))))</f>
        <v> </v>
      </c>
      <c r="K3440" s="25" t="str">
        <f>IF(OR(E3440="",E3440="!!!",F3440="NEW"),"",INDEX(J$1:J3439,SUMPRODUCT(MAX(ROW(E$1:E3439)*(E3440=E$1:E3439)))))</f>
        <v> </v>
      </c>
      <c r="L3440" s="26"/>
    </row>
    <row r="3441" spans="1:12">
      <c r="A3441" s="20" t="s">
        <v>1972</v>
      </c>
      <c r="E3441" s="21">
        <f>IF(D3441="?OLD","!!!","")</f>
        <v/>
      </c>
      <c r="F3441" s="22" t="str">
        <f>IF(OR(E3441="",E3441="!!!"),"",IF(NOT(ISNA(VLOOKUP(E3441,E$1:E3440,1,FALSE()))),"OLD",IF(AND(E3441&lt;&gt;"",E3441&lt;&gt;"!!!"),"NEW","")))</f>
        <v> </v>
      </c>
      <c r="G3441" s="23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4" t="str">
        <f>IF(J3441&lt;&gt;1,"",IF(I3441="SBJ","CB","?"))</f>
        <v> </v>
      </c>
      <c r="I3441" s="25" t="str">
        <f>IF(OR(E3441="",E3441="!!!",F3441="NEW"),"",INDEX(B3440:B$2,-1+SUMPRODUCT(MAX(ROW(E3440:E$2)*(E3441=E3440:E$2)))))</f>
        <v> </v>
      </c>
      <c r="J3441" s="25" t="str">
        <f>IF(OR(E3441="",E3441="!!!",F3441="NEW"),"",COUNTBLANK(OFFSET(A$1,,,SUMPRODUCT(MAX(ROW(E$2:E3441)*(E3441=E$2:E3441)))))-COUNTBLANK(OFFSET(A$1,,,SUMPRODUCT(MAX(ROW(E$1:E3440)*(E2=E$1:E3440))))))</f>
        <v> </v>
      </c>
      <c r="K3441" s="25" t="str">
        <f>IF(OR(E3441="",E3441="!!!",F3441="NEW"),"",INDEX(J$1:J3440,SUMPRODUCT(MAX(ROW(E$1:E3440)*(E3441=E$1:E3440)))))</f>
        <v> </v>
      </c>
      <c r="L3441" s="26"/>
    </row>
    <row r="3442" spans="1:12">
      <c r="A3442" s="20" t="s">
        <v>719</v>
      </c>
      <c r="B3442" s="27" t="s">
        <v>727</v>
      </c>
      <c r="E3442" s="21">
        <f>IF(D3442="?OLD","!!!","")</f>
        <v/>
      </c>
      <c r="F3442" s="22" t="str">
        <f>IF(OR(E3442="",E3442="!!!"),"",IF(NOT(ISNA(VLOOKUP(E3442,E$1:E3441,1,FALSE()))),"OLD",IF(AND(E3442&lt;&gt;"",E3442&lt;&gt;"!!!"),"NEW","")))</f>
        <v> </v>
      </c>
      <c r="G3442" s="23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4" t="str">
        <f>IF(J3442&lt;&gt;1,"",IF(I3442="SBJ","CB","?"))</f>
        <v> </v>
      </c>
      <c r="I3442" s="25" t="str">
        <f>IF(OR(E3442="",E3442="!!!",F3442="NEW"),"",INDEX(B3441:B$2,-1+SUMPRODUCT(MAX(ROW(E3441:E$2)*(E3442=E3441:E$2)))))</f>
        <v> </v>
      </c>
      <c r="J3442" s="25" t="str">
        <f>IF(OR(E3442="",E3442="!!!",F3442="NEW"),"",COUNTBLANK(OFFSET(A$1,,,SUMPRODUCT(MAX(ROW(E$2:E3442)*(E3442=E$2:E3442)))))-COUNTBLANK(OFFSET(A$1,,,SUMPRODUCT(MAX(ROW(E$1:E3441)*(E2=E$1:E3441))))))</f>
        <v> </v>
      </c>
      <c r="K3442" s="25" t="str">
        <f>IF(OR(E3442="",E3442="!!!",F3442="NEW"),"",INDEX(J$1:J3441,SUMPRODUCT(MAX(ROW(E$1:E3441)*(E3442=E$1:E3441)))))</f>
        <v> </v>
      </c>
      <c r="L3442" s="26"/>
    </row>
    <row r="3443" spans="1:12">
      <c r="A3443" s="20" t="s">
        <v>737</v>
      </c>
      <c r="E3443" s="21">
        <f>IF(D3443="?OLD","!!!","")</f>
        <v/>
      </c>
      <c r="F3443" s="22" t="str">
        <f>IF(OR(E3443="",E3443="!!!"),"",IF(NOT(ISNA(VLOOKUP(E3443,E$1:E3442,1,FALSE()))),"OLD",IF(AND(E3443&lt;&gt;"",E3443&lt;&gt;"!!!"),"NEW","")))</f>
        <v> </v>
      </c>
      <c r="G3443" s="23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4" t="str">
        <f>IF(J3443&lt;&gt;1,"",IF(I3443="SBJ","CB","?"))</f>
        <v> </v>
      </c>
      <c r="I3443" s="25" t="str">
        <f>IF(OR(E3443="",E3443="!!!",F3443="NEW"),"",INDEX(B3442:B$2,-1+SUMPRODUCT(MAX(ROW(E3442:E$2)*(E3443=E3442:E$2)))))</f>
        <v> </v>
      </c>
      <c r="J3443" s="25" t="str">
        <f>IF(OR(E3443="",E3443="!!!",F3443="NEW"),"",COUNTBLANK(OFFSET(A$1,,,SUMPRODUCT(MAX(ROW(E$2:E3443)*(E3443=E$2:E3443)))))-COUNTBLANK(OFFSET(A$1,,,SUMPRODUCT(MAX(ROW(E$1:E3442)*(E2=E$1:E3442))))))</f>
        <v> </v>
      </c>
      <c r="K3443" s="25" t="str">
        <f>IF(OR(E3443="",E3443="!!!",F3443="NEW"),"",INDEX(J$1:J3442,SUMPRODUCT(MAX(ROW(E$1:E3442)*(E3443=E$1:E3442)))))</f>
        <v> </v>
      </c>
      <c r="L3443" s="26"/>
    </row>
    <row r="3444" spans="1:12">
      <c r="A3444" s="20" t="s">
        <v>832</v>
      </c>
      <c r="B3444" s="27" t="s">
        <v>714</v>
      </c>
      <c r="C3444" s="27" t="s">
        <v>782</v>
      </c>
      <c r="D3444" s="27" t="s">
        <v>716</v>
      </c>
      <c r="E3444" s="21">
        <f>IF(D3444="?OLD","!!!","")</f>
        <v/>
      </c>
      <c r="F3444" s="22" t="str">
        <f>IF(OR(E3444="",E3444="!!!"),"",IF(NOT(ISNA(VLOOKUP(E3444,E$1:E3443,1,FALSE()))),"OLD",IF(AND(E3444&lt;&gt;"",E3444&lt;&gt;"!!!"),"NEW","")))</f>
        <v> </v>
      </c>
      <c r="G3444" s="23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4" t="str">
        <f>IF(J3444&lt;&gt;1,"",IF(I3444="SBJ","CB","?"))</f>
        <v> </v>
      </c>
      <c r="I3444" s="25" t="str">
        <f>IF(OR(E3444="",E3444="!!!",F3444="NEW"),"",INDEX(B3443:B$2,-1+SUMPRODUCT(MAX(ROW(E3443:E$2)*(E3444=E3443:E$2)))))</f>
        <v> </v>
      </c>
      <c r="J3444" s="25" t="str">
        <f>IF(OR(E3444="",E3444="!!!",F3444="NEW"),"",COUNTBLANK(OFFSET(A$1,,,SUMPRODUCT(MAX(ROW(E$2:E3444)*(E3444=E$2:E3444)))))-COUNTBLANK(OFFSET(A$1,,,SUMPRODUCT(MAX(ROW(E$1:E3443)*(E2=E$1:E3443))))))</f>
        <v> </v>
      </c>
      <c r="K3444" s="25" t="str">
        <f>IF(OR(E3444="",E3444="!!!",F3444="NEW"),"",INDEX(J$1:J3443,SUMPRODUCT(MAX(ROW(E$1:E3443)*(E3444=E$1:E3443)))))</f>
        <v> </v>
      </c>
      <c r="L3444" s="26"/>
    </row>
    <row r="3445" spans="1:12">
      <c r="A3445" s="20" t="s">
        <v>1024</v>
      </c>
      <c r="E3445" s="21">
        <f>IF(D3445="?OLD","!!!","")</f>
        <v/>
      </c>
      <c r="F3445" s="22" t="str">
        <f>IF(OR(E3445="",E3445="!!!"),"",IF(NOT(ISNA(VLOOKUP(E3445,E$1:E3444,1,FALSE()))),"OLD",IF(AND(E3445&lt;&gt;"",E3445&lt;&gt;"!!!"),"NEW","")))</f>
        <v> </v>
      </c>
      <c r="G3445" s="23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4" t="str">
        <f>IF(J3445&lt;&gt;1,"",IF(I3445="SBJ","CB","?"))</f>
        <v> </v>
      </c>
      <c r="I3445" s="25" t="str">
        <f>IF(OR(E3445="",E3445="!!!",F3445="NEW"),"",INDEX(B3444:B$2,-1+SUMPRODUCT(MAX(ROW(E3444:E$2)*(E3445=E3444:E$2)))))</f>
        <v> </v>
      </c>
      <c r="J3445" s="25" t="str">
        <f>IF(OR(E3445="",E3445="!!!",F3445="NEW"),"",COUNTBLANK(OFFSET(A$1,,,SUMPRODUCT(MAX(ROW(E$2:E3445)*(E3445=E$2:E3445)))))-COUNTBLANK(OFFSET(A$1,,,SUMPRODUCT(MAX(ROW(E$1:E3444)*(E2=E$1:E3444))))))</f>
        <v> </v>
      </c>
      <c r="K3445" s="25" t="str">
        <f>IF(OR(E3445="",E3445="!!!",F3445="NEW"),"",INDEX(J$1:J3444,SUMPRODUCT(MAX(ROW(E$1:E3444)*(E3445=E$1:E3444)))))</f>
        <v> </v>
      </c>
      <c r="L3445" s="26"/>
    </row>
    <row r="3446" spans="1:12">
      <c r="A3446" s="20" t="s">
        <v>544</v>
      </c>
      <c r="E3446" s="21">
        <f>IF(D3446="?OLD","!!!","")</f>
        <v/>
      </c>
      <c r="F3446" s="22" t="str">
        <f>IF(OR(E3446="",E3446="!!!"),"",IF(NOT(ISNA(VLOOKUP(E3446,E$1:E3445,1,FALSE()))),"OLD",IF(AND(E3446&lt;&gt;"",E3446&lt;&gt;"!!!"),"NEW","")))</f>
        <v> </v>
      </c>
      <c r="G3446" s="23" t="str">
        <f>IF(OR(E3446="",E3446="!!!"),"",IF(OR(J3446=0,AND(J3446=1,K3446=1),AND(J3446=1,I3446="SBJ"),AND(J3446=1,I3446=0)),"?IN_FOCUS",IF(J3446&lt;=2,"?ACTIVATED",IF(J3446&lt;&gt;"","?FAMILIAR",IF(F3446="NEW",IF(ISNA(VLOOKUP(E3446,#REF!,1,FALSE())),"?TYPE_IDENTIFIABLE","?REFERENTIAL"),"_")))))</f>
        <v> </v>
      </c>
      <c r="H3446" s="24" t="str">
        <f>IF(J3446&lt;&gt;1,"",IF(I3446="SBJ","CB","?"))</f>
        <v> </v>
      </c>
      <c r="I3446" s="25" t="str">
        <f>IF(OR(E3446="",E3446="!!!",F3446="NEW"),"",INDEX(B3445:B$2,-1+SUMPRODUCT(MAX(ROW(E3445:E$2)*(E3446=E3445:E$2)))))</f>
        <v> </v>
      </c>
      <c r="J3446" s="25" t="str">
        <f>IF(OR(E3446="",E3446="!!!",F3446="NEW"),"",COUNTBLANK(OFFSET(A$1,,,SUMPRODUCT(MAX(ROW(E$2:E3446)*(E3446=E$2:E3446)))))-COUNTBLANK(OFFSET(A$1,,,SUMPRODUCT(MAX(ROW(E$1:E3445)*(E2=E$1:E3445))))))</f>
        <v> </v>
      </c>
      <c r="K3446" s="25" t="str">
        <f>IF(OR(E3446="",E3446="!!!",F3446="NEW"),"",INDEX(J$1:J3445,SUMPRODUCT(MAX(ROW(E$1:E3445)*(E3446=E$1:E3445)))))</f>
        <v> </v>
      </c>
      <c r="L3446" s="26"/>
    </row>
    <row r="3447" spans="1:12">
      <c r="A3447" s="20" t="s">
        <v>848</v>
      </c>
      <c r="E3447" s="21">
        <f>IF(D3447="?OLD","!!!","")</f>
        <v/>
      </c>
      <c r="F3447" s="22" t="str">
        <f>IF(OR(E3447="",E3447="!!!"),"",IF(NOT(ISNA(VLOOKUP(E3447,E$1:E3446,1,FALSE()))),"OLD",IF(AND(E3447&lt;&gt;"",E3447&lt;&gt;"!!!"),"NEW","")))</f>
        <v> </v>
      </c>
      <c r="G3447" s="23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4" t="str">
        <f>IF(J3447&lt;&gt;1,"",IF(I3447="SBJ","CB","?"))</f>
        <v> </v>
      </c>
      <c r="I3447" s="25" t="str">
        <f>IF(OR(E3447="",E3447="!!!",F3447="NEW"),"",INDEX(B3446:B$2,-1+SUMPRODUCT(MAX(ROW(E3446:E$2)*(E3447=E3446:E$2)))))</f>
        <v> </v>
      </c>
      <c r="J3447" s="25" t="str">
        <f>IF(OR(E3447="",E3447="!!!",F3447="NEW"),"",COUNTBLANK(OFFSET(A$1,,,SUMPRODUCT(MAX(ROW(E$2:E3447)*(E3447=E$2:E3447)))))-COUNTBLANK(OFFSET(A$1,,,SUMPRODUCT(MAX(ROW(E$1:E3446)*(E2=E$1:E3446))))))</f>
        <v> </v>
      </c>
      <c r="K3447" s="25" t="str">
        <f>IF(OR(E3447="",E3447="!!!",F3447="NEW"),"",INDEX(J$1:J3446,SUMPRODUCT(MAX(ROW(E$1:E3446)*(E3447=E$1:E3446)))))</f>
        <v> </v>
      </c>
      <c r="L3447" s="26"/>
    </row>
    <row r="3448" spans="1:12">
      <c r="A3448" s="20" t="s">
        <v>1973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735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 t="s">
        <v>1863</v>
      </c>
      <c r="E3450" s="21">
        <f>IF(D3450="?OLD","!!!","")</f>
        <v/>
      </c>
      <c r="F3450" s="22" t="str">
        <f>IF(OR(E3450="",E3450="!!!"),"",IF(NOT(ISNA(VLOOKUP(E3450,E$1:E3449,1,FALSE()))),"OLD",IF(AND(E3450&lt;&gt;"",E3450&lt;&gt;"!!!"),"NEW","")))</f>
        <v> </v>
      </c>
      <c r="G3450" s="23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4" t="str">
        <f>IF(J3450&lt;&gt;1,"",IF(I3450="SBJ","CB","?"))</f>
        <v> </v>
      </c>
      <c r="I3450" s="25" t="str">
        <f>IF(OR(E3450="",E3450="!!!",F3450="NEW"),"",INDEX(B3449:B$2,-1+SUMPRODUCT(MAX(ROW(E3449:E$2)*(E3450=E3449:E$2)))))</f>
        <v> </v>
      </c>
      <c r="J3450" s="25" t="str">
        <f>IF(OR(E3450="",E3450="!!!",F3450="NEW"),"",COUNTBLANK(OFFSET(A$1,,,SUMPRODUCT(MAX(ROW(E$2:E3450)*(E3450=E$2:E3450)))))-COUNTBLANK(OFFSET(A$1,,,SUMPRODUCT(MAX(ROW(E$1:E3449)*(E2=E$1:E3449))))))</f>
        <v> </v>
      </c>
      <c r="K3450" s="25" t="str">
        <f>IF(OR(E3450="",E3450="!!!",F3450="NEW"),"",INDEX(J$1:J3449,SUMPRODUCT(MAX(ROW(E$1:E3449)*(E3450=E$1:E3449)))))</f>
        <v> </v>
      </c>
      <c r="L3450" s="26"/>
    </row>
    <row r="3451" spans="1:12">
      <c r="A3451" s="20" t="s">
        <v>1359</v>
      </c>
      <c r="E3451" s="21">
        <f>IF(D3451="?OLD","!!!","")</f>
        <v/>
      </c>
      <c r="F3451" s="22" t="str">
        <f>IF(OR(E3451="",E3451="!!!"),"",IF(NOT(ISNA(VLOOKUP(E3451,E$1:E3450,1,FALSE()))),"OLD",IF(AND(E3451&lt;&gt;"",E3451&lt;&gt;"!!!"),"NEW","")))</f>
        <v> </v>
      </c>
      <c r="G3451" s="23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4" t="str">
        <f>IF(J3451&lt;&gt;1,"",IF(I3451="SBJ","CB","?"))</f>
        <v> </v>
      </c>
      <c r="I3451" s="25" t="str">
        <f>IF(OR(E3451="",E3451="!!!",F3451="NEW"),"",INDEX(B3450:B$2,-1+SUMPRODUCT(MAX(ROW(E3450:E$2)*(E3451=E3450:E$2)))))</f>
        <v> </v>
      </c>
      <c r="J3451" s="25" t="str">
        <f>IF(OR(E3451="",E3451="!!!",F3451="NEW"),"",COUNTBLANK(OFFSET(A$1,,,SUMPRODUCT(MAX(ROW(E$2:E3451)*(E3451=E$2:E3451)))))-COUNTBLANK(OFFSET(A$1,,,SUMPRODUCT(MAX(ROW(E$1:E3450)*(E2=E$1:E3450))))))</f>
        <v> </v>
      </c>
      <c r="K3451" s="25" t="str">
        <f>IF(OR(E3451="",E3451="!!!",F3451="NEW"),"",INDEX(J$1:J3450,SUMPRODUCT(MAX(ROW(E$1:E3450)*(E3451=E$1:E3450)))))</f>
        <v> </v>
      </c>
      <c r="L3451" s="26"/>
    </row>
    <row r="3452" spans="1:12">
      <c r="A3452" s="20" t="s">
        <v>1974</v>
      </c>
      <c r="B3452" s="27" t="s">
        <v>867</v>
      </c>
      <c r="C3452" s="27" t="s">
        <v>799</v>
      </c>
      <c r="D3452" s="27" t="s">
        <v>716</v>
      </c>
      <c r="E3452" s="21">
        <f>IF(D3452="?OLD","!!!","")</f>
        <v/>
      </c>
      <c r="F3452" s="22" t="str">
        <f>IF(OR(E3452="",E3452="!!!"),"",IF(NOT(ISNA(VLOOKUP(E3452,E$1:E3451,1,FALSE()))),"OLD",IF(AND(E3452&lt;&gt;"",E3452&lt;&gt;"!!!"),"NEW","")))</f>
        <v> </v>
      </c>
      <c r="G3452" s="23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4" t="str">
        <f>IF(J3452&lt;&gt;1,"",IF(I3452="SBJ","CB","?"))</f>
        <v> </v>
      </c>
      <c r="I3452" s="25" t="str">
        <f>IF(OR(E3452="",E3452="!!!",F3452="NEW"),"",INDEX(B3451:B$2,-1+SUMPRODUCT(MAX(ROW(E3451:E$2)*(E3452=E3451:E$2)))))</f>
        <v> </v>
      </c>
      <c r="J3452" s="25" t="str">
        <f>IF(OR(E3452="",E3452="!!!",F3452="NEW"),"",COUNTBLANK(OFFSET(A$1,,,SUMPRODUCT(MAX(ROW(E$2:E3452)*(E3452=E$2:E3452)))))-COUNTBLANK(OFFSET(A$1,,,SUMPRODUCT(MAX(ROW(E$1:E3451)*(E2=E$1:E3451))))))</f>
        <v> </v>
      </c>
      <c r="K3452" s="25" t="str">
        <f>IF(OR(E3452="",E3452="!!!",F3452="NEW"),"",INDEX(J$1:J3451,SUMPRODUCT(MAX(ROW(E$1:E3451)*(E3452=E$1:E3451)))))</f>
        <v> </v>
      </c>
      <c r="L3452" s="26"/>
    </row>
    <row r="3453" spans="1:12">
      <c r="A3453" s="20" t="s">
        <v>1975</v>
      </c>
      <c r="E3453" s="21">
        <f>IF(D3453="?OLD","!!!","")</f>
        <v/>
      </c>
      <c r="F3453" s="22" t="str">
        <f>IF(OR(E3453="",E3453="!!!"),"",IF(NOT(ISNA(VLOOKUP(E3453,E$1:E3452,1,FALSE()))),"OLD",IF(AND(E3453&lt;&gt;"",E3453&lt;&gt;"!!!"),"NEW","")))</f>
        <v> </v>
      </c>
      <c r="G3453" s="23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4" t="str">
        <f>IF(J3453&lt;&gt;1,"",IF(I3453="SBJ","CB","?"))</f>
        <v> </v>
      </c>
      <c r="I3453" s="25" t="str">
        <f>IF(OR(E3453="",E3453="!!!",F3453="NEW"),"",INDEX(B3452:B$2,-1+SUMPRODUCT(MAX(ROW(E3452:E$2)*(E3453=E3452:E$2)))))</f>
        <v> </v>
      </c>
      <c r="J3453" s="25" t="str">
        <f>IF(OR(E3453="",E3453="!!!",F3453="NEW"),"",COUNTBLANK(OFFSET(A$1,,,SUMPRODUCT(MAX(ROW(E$2:E3453)*(E3453=E$2:E3453)))))-COUNTBLANK(OFFSET(A$1,,,SUMPRODUCT(MAX(ROW(E$1:E3452)*(E2=E$1:E3452))))))</f>
        <v> </v>
      </c>
      <c r="K3453" s="25" t="str">
        <f>IF(OR(E3453="",E3453="!!!",F3453="NEW"),"",INDEX(J$1:J3452,SUMPRODUCT(MAX(ROW(E$1:E3452)*(E3453=E$1:E3452)))))</f>
        <v> </v>
      </c>
      <c r="L3453" s="26"/>
    </row>
    <row r="3454" spans="1:12">
      <c r="A3454" s="20" t="s">
        <v>1976</v>
      </c>
      <c r="E3454" s="21">
        <f>IF(D3454="?OLD","!!!","")</f>
        <v/>
      </c>
      <c r="F3454" s="22" t="str">
        <f>IF(OR(E3454="",E3454="!!!"),"",IF(NOT(ISNA(VLOOKUP(E3454,E$1:E3453,1,FALSE()))),"OLD",IF(AND(E3454&lt;&gt;"",E3454&lt;&gt;"!!!"),"NEW","")))</f>
        <v> </v>
      </c>
      <c r="G3454" s="23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4" t="str">
        <f>IF(J3454&lt;&gt;1,"",IF(I3454="SBJ","CB","?"))</f>
        <v> </v>
      </c>
      <c r="I3454" s="25" t="str">
        <f>IF(OR(E3454="",E3454="!!!",F3454="NEW"),"",INDEX(B3453:B$2,-1+SUMPRODUCT(MAX(ROW(E3453:E$2)*(E3454=E3453:E$2)))))</f>
        <v> </v>
      </c>
      <c r="J3454" s="25" t="str">
        <f>IF(OR(E3454="",E3454="!!!",F3454="NEW"),"",COUNTBLANK(OFFSET(A$1,,,SUMPRODUCT(MAX(ROW(E$2:E3454)*(E3454=E$2:E3454)))))-COUNTBLANK(OFFSET(A$1,,,SUMPRODUCT(MAX(ROW(E$1:E3453)*(E2=E$1:E3453))))))</f>
        <v> </v>
      </c>
      <c r="K3454" s="25" t="str">
        <f>IF(OR(E3454="",E3454="!!!",F3454="NEW"),"",INDEX(J$1:J3453,SUMPRODUCT(MAX(ROW(E$1:E3453)*(E3454=E$1:E3453)))))</f>
        <v> </v>
      </c>
      <c r="L3454" s="26"/>
    </row>
    <row r="3455" spans="1:12">
      <c r="A3455" s="20" t="s">
        <v>737</v>
      </c>
      <c r="E3455" s="21">
        <f>IF(D3455="?OLD","!!!","")</f>
        <v/>
      </c>
      <c r="F3455" s="22" t="str">
        <f>IF(OR(E3455="",E3455="!!!"),"",IF(NOT(ISNA(VLOOKUP(E3455,E$1:E3454,1,FALSE()))),"OLD",IF(AND(E3455&lt;&gt;"",E3455&lt;&gt;"!!!"),"NEW","")))</f>
        <v> </v>
      </c>
      <c r="G3455" s="23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4" t="str">
        <f>IF(J3455&lt;&gt;1,"",IF(I3455="SBJ","CB","?"))</f>
        <v> </v>
      </c>
      <c r="I3455" s="25" t="str">
        <f>IF(OR(E3455="",E3455="!!!",F3455="NEW"),"",INDEX(B3454:B$2,-1+SUMPRODUCT(MAX(ROW(E3454:E$2)*(E3455=E3454:E$2)))))</f>
        <v> </v>
      </c>
      <c r="J3455" s="25" t="str">
        <f>IF(OR(E3455="",E3455="!!!",F3455="NEW"),"",COUNTBLANK(OFFSET(A$1,,,SUMPRODUCT(MAX(ROW(E$2:E3455)*(E3455=E$2:E3455)))))-COUNTBLANK(OFFSET(A$1,,,SUMPRODUCT(MAX(ROW(E$1:E3454)*(E2=E$1:E3454))))))</f>
        <v> </v>
      </c>
      <c r="K3455" s="25" t="str">
        <f>IF(OR(E3455="",E3455="!!!",F3455="NEW"),"",INDEX(J$1:J3454,SUMPRODUCT(MAX(ROW(E$1:E3454)*(E3455=E$1:E3454)))))</f>
        <v> </v>
      </c>
      <c r="L3455" s="26"/>
    </row>
    <row r="3456" spans="1:12">
      <c r="A3456" s="20" t="s">
        <v>743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1359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 t="s">
        <v>1422</v>
      </c>
      <c r="B3458" s="27" t="s">
        <v>731</v>
      </c>
      <c r="C3458" s="27" t="s">
        <v>782</v>
      </c>
      <c r="D3458" s="27" t="s">
        <v>716</v>
      </c>
      <c r="E3458" s="21">
        <f>IF(D3458="?OLD","!!!","")</f>
        <v/>
      </c>
      <c r="F3458" s="22" t="str">
        <f>IF(OR(E3458="",E3458="!!!"),"",IF(NOT(ISNA(VLOOKUP(E3458,E$1:E3457,1,FALSE()))),"OLD",IF(AND(E3458&lt;&gt;"",E3458&lt;&gt;"!!!"),"NEW","")))</f>
        <v> </v>
      </c>
      <c r="G3458" s="23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4" t="str">
        <f>IF(J3458&lt;&gt;1,"",IF(I3458="SBJ","CB","?"))</f>
        <v> </v>
      </c>
      <c r="I3458" s="25" t="str">
        <f>IF(OR(E3458="",E3458="!!!",F3458="NEW"),"",INDEX(B3457:B$2,-1+SUMPRODUCT(MAX(ROW(E3457:E$2)*(E3458=E3457:E$2)))))</f>
        <v> </v>
      </c>
      <c r="J3458" s="25" t="str">
        <f>IF(OR(E3458="",E3458="!!!",F3458="NEW"),"",COUNTBLANK(OFFSET(A$1,,,SUMPRODUCT(MAX(ROW(E$2:E3458)*(E3458=E$2:E3458)))))-COUNTBLANK(OFFSET(A$1,,,SUMPRODUCT(MAX(ROW(E$1:E3457)*(E2=E$1:E3457))))))</f>
        <v> </v>
      </c>
      <c r="K3458" s="25" t="str">
        <f>IF(OR(E3458="",E3458="!!!",F3458="NEW"),"",INDEX(J$1:J3457,SUMPRODUCT(MAX(ROW(E$1:E3457)*(E3458=E$1:E3457)))))</f>
        <v> </v>
      </c>
      <c r="L3458" s="26"/>
    </row>
    <row r="3459" spans="1:12">
      <c r="A3459" s="20" t="s">
        <v>737</v>
      </c>
      <c r="E3459" s="21">
        <f>IF(D3459="?OLD","!!!","")</f>
        <v/>
      </c>
      <c r="F3459" s="22" t="str">
        <f>IF(OR(E3459="",E3459="!!!"),"",IF(NOT(ISNA(VLOOKUP(E3459,E$1:E3458,1,FALSE()))),"OLD",IF(AND(E3459&lt;&gt;"",E3459&lt;&gt;"!!!"),"NEW","")))</f>
        <v> </v>
      </c>
      <c r="G3459" s="23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4" t="str">
        <f>IF(J3459&lt;&gt;1,"",IF(I3459="SBJ","CB","?"))</f>
        <v> </v>
      </c>
      <c r="I3459" s="25" t="str">
        <f>IF(OR(E3459="",E3459="!!!",F3459="NEW"),"",INDEX(B3458:B$2,-1+SUMPRODUCT(MAX(ROW(E3458:E$2)*(E3459=E3458:E$2)))))</f>
        <v> </v>
      </c>
      <c r="J3459" s="25" t="str">
        <f>IF(OR(E3459="",E3459="!!!",F3459="NEW"),"",COUNTBLANK(OFFSET(A$1,,,SUMPRODUCT(MAX(ROW(E$2:E3459)*(E3459=E$2:E3459)))))-COUNTBLANK(OFFSET(A$1,,,SUMPRODUCT(MAX(ROW(E$1:E3458)*(E2=E$1:E3458))))))</f>
        <v> </v>
      </c>
      <c r="K3459" s="25" t="str">
        <f>IF(OR(E3459="",E3459="!!!",F3459="NEW"),"",INDEX(J$1:J3458,SUMPRODUCT(MAX(ROW(E$1:E3458)*(E3459=E$1:E3458)))))</f>
        <v> </v>
      </c>
      <c r="L3459" s="26"/>
    </row>
    <row r="3460" spans="1:12">
      <c r="A3460" s="20" t="s">
        <v>1771</v>
      </c>
      <c r="E3460" s="21">
        <f>IF(D3460="?OLD","!!!","")</f>
        <v/>
      </c>
      <c r="F3460" s="22" t="str">
        <f>IF(OR(E3460="",E3460="!!!"),"",IF(NOT(ISNA(VLOOKUP(E3460,E$1:E3459,1,FALSE()))),"OLD",IF(AND(E3460&lt;&gt;"",E3460&lt;&gt;"!!!"),"NEW","")))</f>
        <v> </v>
      </c>
      <c r="G3460" s="23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4" t="str">
        <f>IF(J3460&lt;&gt;1,"",IF(I3460="SBJ","CB","?"))</f>
        <v> </v>
      </c>
      <c r="I3460" s="25" t="str">
        <f>IF(OR(E3460="",E3460="!!!",F3460="NEW"),"",INDEX(B3459:B$2,-1+SUMPRODUCT(MAX(ROW(E3459:E$2)*(E3460=E3459:E$2)))))</f>
        <v> </v>
      </c>
      <c r="J3460" s="25" t="str">
        <f>IF(OR(E3460="",E3460="!!!",F3460="NEW"),"",COUNTBLANK(OFFSET(A$1,,,SUMPRODUCT(MAX(ROW(E$2:E3460)*(E3460=E$2:E3460)))))-COUNTBLANK(OFFSET(A$1,,,SUMPRODUCT(MAX(ROW(E$1:E3459)*(E2=E$1:E3459))))))</f>
        <v> </v>
      </c>
      <c r="K3460" s="25" t="str">
        <f>IF(OR(E3460="",E3460="!!!",F3460="NEW"),"",INDEX(J$1:J3459,SUMPRODUCT(MAX(ROW(E$1:E3459)*(E3460=E$1:E3459)))))</f>
        <v> </v>
      </c>
      <c r="L3460" s="26"/>
    </row>
    <row r="3461" spans="1:12">
      <c r="A3461" s="20" t="s">
        <v>1388</v>
      </c>
      <c r="E3461" s="21">
        <f>IF(D3461="?OLD","!!!","")</f>
        <v/>
      </c>
      <c r="F3461" s="22" t="str">
        <f>IF(OR(E3461="",E3461="!!!"),"",IF(NOT(ISNA(VLOOKUP(E3461,E$1:E3460,1,FALSE()))),"OLD",IF(AND(E3461&lt;&gt;"",E3461&lt;&gt;"!!!"),"NEW","")))</f>
        <v> </v>
      </c>
      <c r="G3461" s="23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4" t="str">
        <f>IF(J3461&lt;&gt;1,"",IF(I3461="SBJ","CB","?"))</f>
        <v> </v>
      </c>
      <c r="I3461" s="25" t="str">
        <f>IF(OR(E3461="",E3461="!!!",F3461="NEW"),"",INDEX(B3460:B$2,-1+SUMPRODUCT(MAX(ROW(E3460:E$2)*(E3461=E3460:E$2)))))</f>
        <v> </v>
      </c>
      <c r="J3461" s="25" t="str">
        <f>IF(OR(E3461="",E3461="!!!",F3461="NEW"),"",COUNTBLANK(OFFSET(A$1,,,SUMPRODUCT(MAX(ROW(E$2:E3461)*(E3461=E$2:E3461)))))-COUNTBLANK(OFFSET(A$1,,,SUMPRODUCT(MAX(ROW(E$1:E3460)*(E2=E$1:E3460))))))</f>
        <v> </v>
      </c>
      <c r="K3461" s="25" t="str">
        <f>IF(OR(E3461="",E3461="!!!",F3461="NEW"),"",INDEX(J$1:J3460,SUMPRODUCT(MAX(ROW(E$1:E3460)*(E3461=E$1:E3460)))))</f>
        <v> </v>
      </c>
      <c r="L3461" s="26"/>
    </row>
    <row r="3462" spans="1:12">
      <c r="A3462" s="20" t="s">
        <v>1034</v>
      </c>
      <c r="B3462" s="27" t="s">
        <v>745</v>
      </c>
      <c r="C3462" s="27" t="s">
        <v>715</v>
      </c>
      <c r="D3462" s="27" t="s">
        <v>716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718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 t="s">
        <v>1977</v>
      </c>
      <c r="E3464" s="21">
        <f>IF(D3464="?OLD","!!!","")</f>
        <v/>
      </c>
      <c r="F3464" s="22" t="str">
        <f>IF(OR(E3464="",E3464="!!!"),"",IF(NOT(ISNA(VLOOKUP(E3464,E$1:E3463,1,FALSE()))),"OLD",IF(AND(E3464&lt;&gt;"",E3464&lt;&gt;"!!!"),"NEW","")))</f>
        <v> </v>
      </c>
      <c r="G3464" s="23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4" t="str">
        <f>IF(J3464&lt;&gt;1,"",IF(I3464="SBJ","CB","?"))</f>
        <v> </v>
      </c>
      <c r="I3464" s="25" t="str">
        <f>IF(OR(E3464="",E3464="!!!",F3464="NEW"),"",INDEX(B3463:B$2,-1+SUMPRODUCT(MAX(ROW(E3463:E$2)*(E3464=E3463:E$2)))))</f>
        <v> </v>
      </c>
      <c r="J3464" s="25" t="str">
        <f>IF(OR(E3464="",E3464="!!!",F3464="NEW"),"",COUNTBLANK(OFFSET(A$1,,,SUMPRODUCT(MAX(ROW(E$2:E3464)*(E3464=E$2:E3464)))))-COUNTBLANK(OFFSET(A$1,,,SUMPRODUCT(MAX(ROW(E$1:E3463)*(E2=E$1:E3463))))))</f>
        <v> </v>
      </c>
      <c r="K3464" s="25" t="str">
        <f>IF(OR(E3464="",E3464="!!!",F3464="NEW"),"",INDEX(J$1:J3463,SUMPRODUCT(MAX(ROW(E$1:E3463)*(E3464=E$1:E3463)))))</f>
        <v> </v>
      </c>
      <c r="L3464" s="26"/>
    </row>
    <row r="3465" spans="1:12">
      <c r="A3465" s="20" t="s">
        <v>589</v>
      </c>
      <c r="B3465" s="27" t="s">
        <v>731</v>
      </c>
      <c r="C3465" s="27" t="s">
        <v>715</v>
      </c>
      <c r="D3465" s="27" t="s">
        <v>716</v>
      </c>
      <c r="E3465" s="21">
        <f>IF(D3465="?OLD","!!!","")</f>
        <v/>
      </c>
      <c r="F3465" s="22" t="str">
        <f>IF(OR(E3465="",E3465="!!!"),"",IF(NOT(ISNA(VLOOKUP(E3465,E$1:E3464,1,FALSE()))),"OLD",IF(AND(E3465&lt;&gt;"",E3465&lt;&gt;"!!!"),"NEW","")))</f>
        <v> </v>
      </c>
      <c r="G3465" s="23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4" t="str">
        <f>IF(J3465&lt;&gt;1,"",IF(I3465="SBJ","CB","?"))</f>
        <v> </v>
      </c>
      <c r="I3465" s="25" t="str">
        <f>IF(OR(E3465="",E3465="!!!",F3465="NEW"),"",INDEX(B3464:B$2,-1+SUMPRODUCT(MAX(ROW(E3464:E$2)*(E3465=E3464:E$2)))))</f>
        <v> </v>
      </c>
      <c r="J3465" s="25" t="str">
        <f>IF(OR(E3465="",E3465="!!!",F3465="NEW"),"",COUNTBLANK(OFFSET(A$1,,,SUMPRODUCT(MAX(ROW(E$2:E3465)*(E3465=E$2:E3465)))))-COUNTBLANK(OFFSET(A$1,,,SUMPRODUCT(MAX(ROW(E$1:E3464)*(E2=E$1:E3464))))))</f>
        <v> </v>
      </c>
      <c r="K3465" s="25" t="str">
        <f>IF(OR(E3465="",E3465="!!!",F3465="NEW"),"",INDEX(J$1:J3464,SUMPRODUCT(MAX(ROW(E$1:E3464)*(E3465=E$1:E3464)))))</f>
        <v> </v>
      </c>
      <c r="L3465" s="26"/>
    </row>
    <row r="3466" spans="1:12">
      <c r="A3466" s="20" t="s">
        <v>896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 t="s">
        <v>1978</v>
      </c>
      <c r="E3467" s="21">
        <f>IF(D3467="?OLD","!!!","")</f>
        <v/>
      </c>
      <c r="F3467" s="22" t="str">
        <f>IF(OR(E3467="",E3467="!!!"),"",IF(NOT(ISNA(VLOOKUP(E3467,E$1:E3466,1,FALSE()))),"OLD",IF(AND(E3467&lt;&gt;"",E3467&lt;&gt;"!!!"),"NEW","")))</f>
        <v> </v>
      </c>
      <c r="G3467" s="23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4" t="str">
        <f>IF(J3467&lt;&gt;1,"",IF(I3467="SBJ","CB","?"))</f>
        <v> </v>
      </c>
      <c r="I3467" s="25" t="str">
        <f>IF(OR(E3467="",E3467="!!!",F3467="NEW"),"",INDEX(B3466:B$2,-1+SUMPRODUCT(MAX(ROW(E3466:E$2)*(E3467=E3466:E$2)))))</f>
        <v> </v>
      </c>
      <c r="J3467" s="25" t="str">
        <f>IF(OR(E3467="",E3467="!!!",F3467="NEW"),"",COUNTBLANK(OFFSET(A$1,,,SUMPRODUCT(MAX(ROW(E$2:E3467)*(E3467=E$2:E3467)))))-COUNTBLANK(OFFSET(A$1,,,SUMPRODUCT(MAX(ROW(E$1:E3466)*(E2=E$1:E3466))))))</f>
        <v> </v>
      </c>
      <c r="K3467" s="25" t="str">
        <f>IF(OR(E3467="",E3467="!!!",F3467="NEW"),"",INDEX(J$1:J3466,SUMPRODUCT(MAX(ROW(E$1:E3466)*(E3467=E$1:E3466)))))</f>
        <v> </v>
      </c>
      <c r="L3467" s="26"/>
    </row>
    <row r="3468" spans="1:12">
      <c r="A3468" s="20" t="s">
        <v>589</v>
      </c>
      <c r="B3468" s="27" t="s">
        <v>768</v>
      </c>
      <c r="C3468" s="27" t="s">
        <v>715</v>
      </c>
      <c r="D3468" s="27" t="s">
        <v>716</v>
      </c>
      <c r="E3468" s="21">
        <f>IF(D3468="?OLD","!!!","")</f>
        <v/>
      </c>
      <c r="F3468" s="22" t="str">
        <f>IF(OR(E3468="",E3468="!!!"),"",IF(NOT(ISNA(VLOOKUP(E3468,E$1:E3467,1,FALSE()))),"OLD",IF(AND(E3468&lt;&gt;"",E3468&lt;&gt;"!!!"),"NEW","")))</f>
        <v> </v>
      </c>
      <c r="G3468" s="23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4" t="str">
        <f>IF(J3468&lt;&gt;1,"",IF(I3468="SBJ","CB","?"))</f>
        <v> </v>
      </c>
      <c r="I3468" s="25" t="str">
        <f>IF(OR(E3468="",E3468="!!!",F3468="NEW"),"",INDEX(B3467:B$2,-1+SUMPRODUCT(MAX(ROW(E3467:E$2)*(E3468=E3467:E$2)))))</f>
        <v> </v>
      </c>
      <c r="J3468" s="25" t="str">
        <f>IF(OR(E3468="",E3468="!!!",F3468="NEW"),"",COUNTBLANK(OFFSET(A$1,,,SUMPRODUCT(MAX(ROW(E$2:E3468)*(E3468=E$2:E3468)))))-COUNTBLANK(OFFSET(A$1,,,SUMPRODUCT(MAX(ROW(E$1:E3467)*(E2=E$1:E3467))))))</f>
        <v> </v>
      </c>
      <c r="K3468" s="25" t="str">
        <f>IF(OR(E3468="",E3468="!!!",F3468="NEW"),"",INDEX(J$1:J3467,SUMPRODUCT(MAX(ROW(E$1:E3467)*(E3468=E$1:E3467)))))</f>
        <v> </v>
      </c>
      <c r="L3468" s="26"/>
    </row>
    <row r="3469" spans="1:12">
      <c r="A3469" s="20" t="s">
        <v>720</v>
      </c>
      <c r="E3469" s="21">
        <f>IF(D3469="?OLD","!!!","")</f>
        <v/>
      </c>
      <c r="F3469" s="22" t="str">
        <f>IF(OR(E3469="",E3469="!!!"),"",IF(NOT(ISNA(VLOOKUP(E3469,E$1:E3468,1,FALSE()))),"OLD",IF(AND(E3469&lt;&gt;"",E3469&lt;&gt;"!!!"),"NEW","")))</f>
        <v> </v>
      </c>
      <c r="G3469" s="23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4" t="str">
        <f>IF(J3469&lt;&gt;1,"",IF(I3469="SBJ","CB","?"))</f>
        <v> </v>
      </c>
      <c r="I3469" s="25" t="str">
        <f>IF(OR(E3469="",E3469="!!!",F3469="NEW"),"",INDEX(B3468:B$2,-1+SUMPRODUCT(MAX(ROW(E3468:E$2)*(E3469=E3468:E$2)))))</f>
        <v> </v>
      </c>
      <c r="J3469" s="25" t="str">
        <f>IF(OR(E3469="",E3469="!!!",F3469="NEW"),"",COUNTBLANK(OFFSET(A$1,,,SUMPRODUCT(MAX(ROW(E$2:E3469)*(E3469=E$2:E3469)))))-COUNTBLANK(OFFSET(A$1,,,SUMPRODUCT(MAX(ROW(E$1:E3468)*(E2=E$1:E3468))))))</f>
        <v> </v>
      </c>
      <c r="K3469" s="25" t="str">
        <f>IF(OR(E3469="",E3469="!!!",F3469="NEW"),"",INDEX(J$1:J3468,SUMPRODUCT(MAX(ROW(E$1:E3468)*(E3469=E$1:E3468)))))</f>
        <v> </v>
      </c>
      <c r="L3469" s="26"/>
    </row>
    <row r="3470" spans="1:12">
      <c r="A3470" s="20"/>
    </row>
    <row r="3471" spans="1:12">
      <c r="A3471" s="20" t="s">
        <v>1979</v>
      </c>
    </row>
    <row r="3472" spans="1:12">
      <c r="A3472" s="20" t="s">
        <v>810</v>
      </c>
      <c r="B3472" s="27" t="s">
        <v>714</v>
      </c>
      <c r="C3472" s="27" t="s">
        <v>782</v>
      </c>
      <c r="D3472" s="27" t="s">
        <v>716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 t="s">
        <v>803</v>
      </c>
      <c r="E3473" s="21">
        <f>IF(D3473="?OLD","!!!","")</f>
        <v/>
      </c>
      <c r="F3473" s="22" t="str">
        <f>IF(OR(E3473="",E3473="!!!"),"",IF(NOT(ISNA(VLOOKUP(E3473,E$1:E3472,1,FALSE()))),"OLD",IF(AND(E3473&lt;&gt;"",E3473&lt;&gt;"!!!"),"NEW","")))</f>
        <v> </v>
      </c>
      <c r="G3473" s="23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4" t="str">
        <f>IF(J3473&lt;&gt;1,"",IF(I3473="SBJ","CB","?"))</f>
        <v> </v>
      </c>
      <c r="I3473" s="25" t="str">
        <f>IF(OR(E3473="",E3473="!!!",F3473="NEW"),"",INDEX(B3472:B$2,-1+SUMPRODUCT(MAX(ROW(E3472:E$2)*(E3473=E3472:E$2)))))</f>
        <v> </v>
      </c>
      <c r="J3473" s="25" t="str">
        <f>IF(OR(E3473="",E3473="!!!",F3473="NEW"),"",COUNTBLANK(OFFSET(A$1,,,SUMPRODUCT(MAX(ROW(E$2:E3473)*(E3473=E$2:E3473)))))-COUNTBLANK(OFFSET(A$1,,,SUMPRODUCT(MAX(ROW(E$1:E3472)*(E2=E$1:E3472))))))</f>
        <v> </v>
      </c>
      <c r="K3473" s="25" t="str">
        <f>IF(OR(E3473="",E3473="!!!",F3473="NEW"),"",INDEX(J$1:J3472,SUMPRODUCT(MAX(ROW(E$1:E3472)*(E3473=E$1:E3472)))))</f>
        <v> </v>
      </c>
      <c r="L3473" s="26"/>
    </row>
    <row r="3474" spans="1:12">
      <c r="A3474" s="20" t="s">
        <v>99</v>
      </c>
      <c r="E3474" s="21">
        <f>IF(D3474="?OLD","!!!","")</f>
        <v/>
      </c>
      <c r="F3474" s="22" t="str">
        <f>IF(OR(E3474="",E3474="!!!"),"",IF(NOT(ISNA(VLOOKUP(E3474,E$1:E3473,1,FALSE()))),"OLD",IF(AND(E3474&lt;&gt;"",E3474&lt;&gt;"!!!"),"NEW","")))</f>
        <v> </v>
      </c>
      <c r="G3474" s="23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4" t="str">
        <f>IF(J3474&lt;&gt;1,"",IF(I3474="SBJ","CB","?"))</f>
        <v> </v>
      </c>
      <c r="I3474" s="25" t="str">
        <f>IF(OR(E3474="",E3474="!!!",F3474="NEW"),"",INDEX(B3473:B$2,-1+SUMPRODUCT(MAX(ROW(E3473:E$2)*(E3474=E3473:E$2)))))</f>
        <v> </v>
      </c>
      <c r="J3474" s="25" t="str">
        <f>IF(OR(E3474="",E3474="!!!",F3474="NEW"),"",COUNTBLANK(OFFSET(A$1,,,SUMPRODUCT(MAX(ROW(E$2:E3474)*(E3474=E$2:E3474)))))-COUNTBLANK(OFFSET(A$1,,,SUMPRODUCT(MAX(ROW(E$1:E3473)*(E2=E$1:E3473))))))</f>
        <v> </v>
      </c>
      <c r="K3474" s="25" t="str">
        <f>IF(OR(E3474="",E3474="!!!",F3474="NEW"),"",INDEX(J$1:J3473,SUMPRODUCT(MAX(ROW(E$1:E3473)*(E3474=E$1:E3473)))))</f>
        <v> </v>
      </c>
      <c r="L3474" s="26"/>
    </row>
    <row r="3475" spans="1:12">
      <c r="A3475" s="20" t="s">
        <v>1980</v>
      </c>
      <c r="B3475" s="27" t="s">
        <v>808</v>
      </c>
      <c r="E3475" s="21">
        <f>IF(D3475="?OLD","!!!","")</f>
        <v/>
      </c>
      <c r="F3475" s="22" t="str">
        <f>IF(OR(E3475="",E3475="!!!"),"",IF(NOT(ISNA(VLOOKUP(E3475,E$1:E3474,1,FALSE()))),"OLD",IF(AND(E3475&lt;&gt;"",E3475&lt;&gt;"!!!"),"NEW","")))</f>
        <v> </v>
      </c>
      <c r="G3475" s="23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4" t="str">
        <f>IF(J3475&lt;&gt;1,"",IF(I3475="SBJ","CB","?"))</f>
        <v> </v>
      </c>
      <c r="I3475" s="25" t="str">
        <f>IF(OR(E3475="",E3475="!!!",F3475="NEW"),"",INDEX(B3474:B$2,-1+SUMPRODUCT(MAX(ROW(E3474:E$2)*(E3475=E3474:E$2)))))</f>
        <v> </v>
      </c>
      <c r="J3475" s="25" t="str">
        <f>IF(OR(E3475="",E3475="!!!",F3475="NEW"),"",COUNTBLANK(OFFSET(A$1,,,SUMPRODUCT(MAX(ROW(E$2:E3475)*(E3475=E$2:E3475)))))-COUNTBLANK(OFFSET(A$1,,,SUMPRODUCT(MAX(ROW(E$1:E3474)*(E2=E$1:E3474))))))</f>
        <v> </v>
      </c>
      <c r="K3475" s="25" t="str">
        <f>IF(OR(E3475="",E3475="!!!",F3475="NEW"),"",INDEX(J$1:J3474,SUMPRODUCT(MAX(ROW(E$1:E3474)*(E3475=E$1:E3474)))))</f>
        <v> </v>
      </c>
      <c r="L3475" s="26"/>
    </row>
    <row r="3476" spans="1:12">
      <c r="A3476" s="20" t="s">
        <v>765</v>
      </c>
      <c r="E3476" s="21">
        <f>IF(D3476="?OLD","!!!","")</f>
        <v/>
      </c>
      <c r="F3476" s="22" t="str">
        <f>IF(OR(E3476="",E3476="!!!"),"",IF(NOT(ISNA(VLOOKUP(E3476,E$1:E3475,1,FALSE()))),"OLD",IF(AND(E3476&lt;&gt;"",E3476&lt;&gt;"!!!"),"NEW","")))</f>
        <v> </v>
      </c>
      <c r="G3476" s="23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4" t="str">
        <f>IF(J3476&lt;&gt;1,"",IF(I3476="SBJ","CB","?"))</f>
        <v> </v>
      </c>
      <c r="I3476" s="25" t="str">
        <f>IF(OR(E3476="",E3476="!!!",F3476="NEW"),"",INDEX(B3475:B$2,-1+SUMPRODUCT(MAX(ROW(E3475:E$2)*(E3476=E3475:E$2)))))</f>
        <v> </v>
      </c>
      <c r="J3476" s="25" t="str">
        <f>IF(OR(E3476="",E3476="!!!",F3476="NEW"),"",COUNTBLANK(OFFSET(A$1,,,SUMPRODUCT(MAX(ROW(E$2:E3476)*(E3476=E$2:E3476)))))-COUNTBLANK(OFFSET(A$1,,,SUMPRODUCT(MAX(ROW(E$1:E3475)*(E2=E$1:E3475))))))</f>
        <v> </v>
      </c>
      <c r="K3476" s="25" t="str">
        <f>IF(OR(E3476="",E3476="!!!",F3476="NEW"),"",INDEX(J$1:J3475,SUMPRODUCT(MAX(ROW(E$1:E3475)*(E3476=E$1:E3475)))))</f>
        <v> </v>
      </c>
      <c r="L3476" s="26"/>
    </row>
    <row r="3477" spans="1:12">
      <c r="A3477" s="20" t="s">
        <v>1981</v>
      </c>
      <c r="E3477" s="21">
        <f>IF(D3477="?OLD","!!!","")</f>
        <v/>
      </c>
      <c r="F3477" s="22" t="str">
        <f>IF(OR(E3477="",E3477="!!!"),"",IF(NOT(ISNA(VLOOKUP(E3477,E$1:E3476,1,FALSE()))),"OLD",IF(AND(E3477&lt;&gt;"",E3477&lt;&gt;"!!!"),"NEW","")))</f>
        <v> </v>
      </c>
      <c r="G3477" s="23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4" t="str">
        <f>IF(J3477&lt;&gt;1,"",IF(I3477="SBJ","CB","?"))</f>
        <v> </v>
      </c>
      <c r="I3477" s="25" t="str">
        <f>IF(OR(E3477="",E3477="!!!",F3477="NEW"),"",INDEX(B3476:B$2,-1+SUMPRODUCT(MAX(ROW(E3476:E$2)*(E3477=E3476:E$2)))))</f>
        <v> </v>
      </c>
      <c r="J3477" s="25" t="str">
        <f>IF(OR(E3477="",E3477="!!!",F3477="NEW"),"",COUNTBLANK(OFFSET(A$1,,,SUMPRODUCT(MAX(ROW(E$2:E3477)*(E3477=E$2:E3477)))))-COUNTBLANK(OFFSET(A$1,,,SUMPRODUCT(MAX(ROW(E$1:E3476)*(E2=E$1:E3476))))))</f>
        <v> </v>
      </c>
      <c r="K3477" s="25" t="str">
        <f>IF(OR(E3477="",E3477="!!!",F3477="NEW"),"",INDEX(J$1:J3476,SUMPRODUCT(MAX(ROW(E$1:E3476)*(E3477=E$1:E3476)))))</f>
        <v> </v>
      </c>
      <c r="L3477" s="26"/>
    </row>
    <row r="3478" spans="1:12">
      <c r="A3478" s="20" t="s">
        <v>720</v>
      </c>
      <c r="E3478" s="21">
        <f>IF(D3478="?OLD","!!!","")</f>
        <v/>
      </c>
      <c r="F3478" s="22" t="str">
        <f>IF(OR(E3478="",E3478="!!!"),"",IF(NOT(ISNA(VLOOKUP(E3478,E$1:E3477,1,FALSE()))),"OLD",IF(AND(E3478&lt;&gt;"",E3478&lt;&gt;"!!!"),"NEW","")))</f>
        <v> </v>
      </c>
      <c r="G3478" s="23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4" t="str">
        <f>IF(J3478&lt;&gt;1,"",IF(I3478="SBJ","CB","?"))</f>
        <v> </v>
      </c>
      <c r="I3478" s="25" t="str">
        <f>IF(OR(E3478="",E3478="!!!",F3478="NEW"),"",INDEX(B3477:B$2,-1+SUMPRODUCT(MAX(ROW(E3477:E$2)*(E3478=E3477:E$2)))))</f>
        <v> </v>
      </c>
      <c r="J3478" s="25" t="str">
        <f>IF(OR(E3478="",E3478="!!!",F3478="NEW"),"",COUNTBLANK(OFFSET(A$1,,,SUMPRODUCT(MAX(ROW(E$2:E3478)*(E3478=E$2:E3478)))))-COUNTBLANK(OFFSET(A$1,,,SUMPRODUCT(MAX(ROW(E$1:E3477)*(E2=E$1:E3477))))))</f>
        <v> </v>
      </c>
      <c r="K3478" s="25" t="str">
        <f>IF(OR(E3478="",E3478="!!!",F3478="NEW"),"",INDEX(J$1:J3477,SUMPRODUCT(MAX(ROW(E$1:E3477)*(E3478=E$1:E3477)))))</f>
        <v> </v>
      </c>
      <c r="L3478" s="26"/>
    </row>
    <row r="3479" spans="1:12">
      <c r="A3479" s="20"/>
    </row>
    <row r="3480" spans="1:12">
      <c r="A3480" s="20" t="s">
        <v>1982</v>
      </c>
    </row>
    <row r="3481" spans="1:12">
      <c r="A3481" s="20" t="s">
        <v>1114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1983</v>
      </c>
      <c r="E3482" s="21">
        <f>IF(D3482="?OLD","!!!","")</f>
        <v/>
      </c>
      <c r="F3482" s="22" t="str">
        <f>IF(OR(E3482="",E3482="!!!"),"",IF(NOT(ISNA(VLOOKUP(E3482,E$1:E3481,1,FALSE()))),"OLD",IF(AND(E3482&lt;&gt;"",E3482&lt;&gt;"!!!"),"NEW","")))</f>
        <v> </v>
      </c>
      <c r="G3482" s="23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4" t="str">
        <f>IF(J3482&lt;&gt;1,"",IF(I3482="SBJ","CB","?"))</f>
        <v> </v>
      </c>
      <c r="I3482" s="25" t="str">
        <f>IF(OR(E3482="",E3482="!!!",F3482="NEW"),"",INDEX(B3481:B$2,-1+SUMPRODUCT(MAX(ROW(E3481:E$2)*(E3482=E3481:E$2)))))</f>
        <v> </v>
      </c>
      <c r="J3482" s="25" t="str">
        <f>IF(OR(E3482="",E3482="!!!",F3482="NEW"),"",COUNTBLANK(OFFSET(A$1,,,SUMPRODUCT(MAX(ROW(E$2:E3482)*(E3482=E$2:E3482)))))-COUNTBLANK(OFFSET(A$1,,,SUMPRODUCT(MAX(ROW(E$1:E3481)*(E2=E$1:E3481))))))</f>
        <v> </v>
      </c>
      <c r="K3482" s="25" t="str">
        <f>IF(OR(E3482="",E3482="!!!",F3482="NEW"),"",INDEX(J$1:J3481,SUMPRODUCT(MAX(ROW(E$1:E3481)*(E3482=E$1:E3481)))))</f>
        <v> </v>
      </c>
      <c r="L3482" s="26"/>
    </row>
    <row r="3483" spans="1:12">
      <c r="A3483" s="20" t="s">
        <v>1984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737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 t="s">
        <v>589</v>
      </c>
      <c r="B3485" s="27" t="s">
        <v>714</v>
      </c>
      <c r="C3485" s="27" t="s">
        <v>715</v>
      </c>
      <c r="D3485" s="27" t="s">
        <v>716</v>
      </c>
      <c r="E3485" s="21">
        <f>IF(D3485="?OLD","!!!","")</f>
        <v/>
      </c>
      <c r="F3485" s="22" t="str">
        <f>IF(OR(E3485="",E3485="!!!"),"",IF(NOT(ISNA(VLOOKUP(E3485,E$1:E3484,1,FALSE()))),"OLD",IF(AND(E3485&lt;&gt;"",E3485&lt;&gt;"!!!"),"NEW","")))</f>
        <v> </v>
      </c>
      <c r="G3485" s="23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4" t="str">
        <f>IF(J3485&lt;&gt;1,"",IF(I3485="SBJ","CB","?"))</f>
        <v> </v>
      </c>
      <c r="I3485" s="25" t="str">
        <f>IF(OR(E3485="",E3485="!!!",F3485="NEW"),"",INDEX(B3484:B$2,-1+SUMPRODUCT(MAX(ROW(E3484:E$2)*(E3485=E3484:E$2)))))</f>
        <v> </v>
      </c>
      <c r="J3485" s="25" t="str">
        <f>IF(OR(E3485="",E3485="!!!",F3485="NEW"),"",COUNTBLANK(OFFSET(A$1,,,SUMPRODUCT(MAX(ROW(E$2:E3485)*(E3485=E$2:E3485)))))-COUNTBLANK(OFFSET(A$1,,,SUMPRODUCT(MAX(ROW(E$1:E3484)*(E2=E$1:E3484))))))</f>
        <v> </v>
      </c>
      <c r="K3485" s="25" t="str">
        <f>IF(OR(E3485="",E3485="!!!",F3485="NEW"),"",INDEX(J$1:J3484,SUMPRODUCT(MAX(ROW(E$1:E3484)*(E3485=E$1:E3484)))))</f>
        <v> </v>
      </c>
      <c r="L3485" s="26"/>
    </row>
    <row r="3486" spans="1:12">
      <c r="A3486" s="20" t="s">
        <v>1475</v>
      </c>
      <c r="E3486" s="21">
        <f>IF(D3486="?OLD","!!!","")</f>
        <v/>
      </c>
      <c r="F3486" s="22" t="str">
        <f>IF(OR(E3486="",E3486="!!!"),"",IF(NOT(ISNA(VLOOKUP(E3486,E$1:E3485,1,FALSE()))),"OLD",IF(AND(E3486&lt;&gt;"",E3486&lt;&gt;"!!!"),"NEW","")))</f>
        <v> </v>
      </c>
      <c r="G3486" s="23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4" t="str">
        <f>IF(J3486&lt;&gt;1,"",IF(I3486="SBJ","CB","?"))</f>
        <v> </v>
      </c>
      <c r="I3486" s="25" t="str">
        <f>IF(OR(E3486="",E3486="!!!",F3486="NEW"),"",INDEX(B3485:B$2,-1+SUMPRODUCT(MAX(ROW(E3485:E$2)*(E3486=E3485:E$2)))))</f>
        <v> </v>
      </c>
      <c r="J3486" s="25" t="str">
        <f>IF(OR(E3486="",E3486="!!!",F3486="NEW"),"",COUNTBLANK(OFFSET(A$1,,,SUMPRODUCT(MAX(ROW(E$2:E3486)*(E3486=E$2:E3486)))))-COUNTBLANK(OFFSET(A$1,,,SUMPRODUCT(MAX(ROW(E$1:E3485)*(E2=E$1:E3485))))))</f>
        <v> </v>
      </c>
      <c r="K3486" s="25" t="str">
        <f>IF(OR(E3486="",E3486="!!!",F3486="NEW"),"",INDEX(J$1:J3485,SUMPRODUCT(MAX(ROW(E$1:E3485)*(E3486=E$1:E3485)))))</f>
        <v> </v>
      </c>
      <c r="L3486" s="26"/>
    </row>
    <row r="3487" spans="1:12">
      <c r="A3487" s="20" t="s">
        <v>720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/>
    </row>
    <row r="3489" spans="1:12">
      <c r="A3489" s="20" t="s">
        <v>1985</v>
      </c>
    </row>
    <row r="3490" spans="1:12">
      <c r="A3490" s="20" t="s">
        <v>1114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1953</v>
      </c>
      <c r="B3491" s="27" t="s">
        <v>781</v>
      </c>
      <c r="C3491" s="27" t="s">
        <v>1060</v>
      </c>
      <c r="D3491" s="27" t="s">
        <v>716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1645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1646</v>
      </c>
      <c r="B3493" s="27" t="s">
        <v>714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1605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 t="s">
        <v>1721</v>
      </c>
      <c r="B3495" s="27" t="s">
        <v>847</v>
      </c>
      <c r="E3495" s="21">
        <f>IF(D3495="?OLD","!!!","")</f>
        <v/>
      </c>
      <c r="F3495" s="22" t="str">
        <f>IF(OR(E3495="",E3495="!!!"),"",IF(NOT(ISNA(VLOOKUP(E3495,E$1:E3494,1,FALSE()))),"OLD",IF(AND(E3495&lt;&gt;"",E3495&lt;&gt;"!!!"),"NEW","")))</f>
        <v> </v>
      </c>
      <c r="G3495" s="23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4" t="str">
        <f>IF(J3495&lt;&gt;1,"",IF(I3495="SBJ","CB","?"))</f>
        <v> </v>
      </c>
      <c r="I3495" s="25" t="str">
        <f>IF(OR(E3495="",E3495="!!!",F3495="NEW"),"",INDEX(B3494:B$2,-1+SUMPRODUCT(MAX(ROW(E3494:E$2)*(E3495=E3494:E$2)))))</f>
        <v> </v>
      </c>
      <c r="J3495" s="25" t="str">
        <f>IF(OR(E3495="",E3495="!!!",F3495="NEW"),"",COUNTBLANK(OFFSET(A$1,,,SUMPRODUCT(MAX(ROW(E$2:E3495)*(E3495=E$2:E3495)))))-COUNTBLANK(OFFSET(A$1,,,SUMPRODUCT(MAX(ROW(E$1:E3494)*(E2=E$1:E3494))))))</f>
        <v> </v>
      </c>
      <c r="K3495" s="25" t="str">
        <f>IF(OR(E3495="",E3495="!!!",F3495="NEW"),"",INDEX(J$1:J3494,SUMPRODUCT(MAX(ROW(E$1:E3494)*(E3495=E$1:E3494)))))</f>
        <v> </v>
      </c>
      <c r="L3495" s="26"/>
    </row>
    <row r="3496" spans="1:12">
      <c r="A3496" s="20" t="s">
        <v>1986</v>
      </c>
      <c r="E3496" s="21">
        <f>IF(D3496="?OLD","!!!","")</f>
        <v/>
      </c>
      <c r="F3496" s="22" t="str">
        <f>IF(OR(E3496="",E3496="!!!"),"",IF(NOT(ISNA(VLOOKUP(E3496,E$1:E3495,1,FALSE()))),"OLD",IF(AND(E3496&lt;&gt;"",E3496&lt;&gt;"!!!"),"NEW","")))</f>
        <v> </v>
      </c>
      <c r="G3496" s="23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4" t="str">
        <f>IF(J3496&lt;&gt;1,"",IF(I3496="SBJ","CB","?"))</f>
        <v> </v>
      </c>
      <c r="I3496" s="25" t="str">
        <f>IF(OR(E3496="",E3496="!!!",F3496="NEW"),"",INDEX(B3495:B$2,-1+SUMPRODUCT(MAX(ROW(E3495:E$2)*(E3496=E3495:E$2)))))</f>
        <v> </v>
      </c>
      <c r="J3496" s="25" t="str">
        <f>IF(OR(E3496="",E3496="!!!",F3496="NEW"),"",COUNTBLANK(OFFSET(A$1,,,SUMPRODUCT(MAX(ROW(E$2:E3496)*(E3496=E$2:E3496)))))-COUNTBLANK(OFFSET(A$1,,,SUMPRODUCT(MAX(ROW(E$1:E3495)*(E2=E$1:E3495))))))</f>
        <v> </v>
      </c>
      <c r="K3496" s="25" t="str">
        <f>IF(OR(E3496="",E3496="!!!",F3496="NEW"),"",INDEX(J$1:J3495,SUMPRODUCT(MAX(ROW(E$1:E3495)*(E3496=E$1:E3495)))))</f>
        <v> </v>
      </c>
      <c r="L3496" s="26"/>
    </row>
    <row r="3497" spans="1:12">
      <c r="A3497" s="20" t="s">
        <v>891</v>
      </c>
      <c r="E3497" s="21">
        <f>IF(D3497="?OLD","!!!","")</f>
        <v/>
      </c>
      <c r="F3497" s="22" t="str">
        <f>IF(OR(E3497="",E3497="!!!"),"",IF(NOT(ISNA(VLOOKUP(E3497,E$1:E3496,1,FALSE()))),"OLD",IF(AND(E3497&lt;&gt;"",E3497&lt;&gt;"!!!"),"NEW","")))</f>
        <v> </v>
      </c>
      <c r="G3497" s="23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4" t="str">
        <f>IF(J3497&lt;&gt;1,"",IF(I3497="SBJ","CB","?"))</f>
        <v> </v>
      </c>
      <c r="I3497" s="25" t="str">
        <f>IF(OR(E3497="",E3497="!!!",F3497="NEW"),"",INDEX(B3496:B$2,-1+SUMPRODUCT(MAX(ROW(E3496:E$2)*(E3497=E3496:E$2)))))</f>
        <v> </v>
      </c>
      <c r="J3497" s="25" t="str">
        <f>IF(OR(E3497="",E3497="!!!",F3497="NEW"),"",COUNTBLANK(OFFSET(A$1,,,SUMPRODUCT(MAX(ROW(E$2:E3497)*(E3497=E$2:E3497)))))-COUNTBLANK(OFFSET(A$1,,,SUMPRODUCT(MAX(ROW(E$1:E3496)*(E2=E$1:E3496))))))</f>
        <v> </v>
      </c>
      <c r="K3497" s="25" t="str">
        <f>IF(OR(E3497="",E3497="!!!",F3497="NEW"),"",INDEX(J$1:J3496,SUMPRODUCT(MAX(ROW(E$1:E3496)*(E3497=E$1:E3496)))))</f>
        <v> </v>
      </c>
      <c r="L3497" s="26"/>
    </row>
    <row r="3498" spans="1:12">
      <c r="A3498" s="20" t="s">
        <v>1987</v>
      </c>
      <c r="E3498" s="21">
        <f>IF(D3498="?OLD","!!!","")</f>
        <v/>
      </c>
      <c r="F3498" s="22" t="str">
        <f>IF(OR(E3498="",E3498="!!!"),"",IF(NOT(ISNA(VLOOKUP(E3498,E$1:E3497,1,FALSE()))),"OLD",IF(AND(E3498&lt;&gt;"",E3498&lt;&gt;"!!!"),"NEW","")))</f>
        <v> </v>
      </c>
      <c r="G3498" s="23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4" t="str">
        <f>IF(J3498&lt;&gt;1,"",IF(I3498="SBJ","CB","?"))</f>
        <v> </v>
      </c>
      <c r="I3498" s="25" t="str">
        <f>IF(OR(E3498="",E3498="!!!",F3498="NEW"),"",INDEX(B3497:B$2,-1+SUMPRODUCT(MAX(ROW(E3497:E$2)*(E3498=E3497:E$2)))))</f>
        <v> </v>
      </c>
      <c r="J3498" s="25" t="str">
        <f>IF(OR(E3498="",E3498="!!!",F3498="NEW"),"",COUNTBLANK(OFFSET(A$1,,,SUMPRODUCT(MAX(ROW(E$2:E3498)*(E3498=E$2:E3498)))))-COUNTBLANK(OFFSET(A$1,,,SUMPRODUCT(MAX(ROW(E$1:E3497)*(E2=E$1:E3497))))))</f>
        <v> </v>
      </c>
      <c r="K3498" s="25" t="str">
        <f>IF(OR(E3498="",E3498="!!!",F3498="NEW"),"",INDEX(J$1:J3497,SUMPRODUCT(MAX(ROW(E$1:E3497)*(E3498=E$1:E3497)))))</f>
        <v> </v>
      </c>
      <c r="L3498" s="26"/>
    </row>
    <row r="3499" spans="1:12">
      <c r="A3499" s="20" t="s">
        <v>720</v>
      </c>
      <c r="E3499" s="21">
        <f>IF(D3499="?OLD","!!!","")</f>
        <v/>
      </c>
      <c r="F3499" s="22" t="str">
        <f>IF(OR(E3499="",E3499="!!!"),"",IF(NOT(ISNA(VLOOKUP(E3499,E$1:E3498,1,FALSE()))),"OLD",IF(AND(E3499&lt;&gt;"",E3499&lt;&gt;"!!!"),"NEW","")))</f>
        <v> </v>
      </c>
      <c r="G3499" s="23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4" t="str">
        <f>IF(J3499&lt;&gt;1,"",IF(I3499="SBJ","CB","?"))</f>
        <v> </v>
      </c>
      <c r="I3499" s="25" t="str">
        <f>IF(OR(E3499="",E3499="!!!",F3499="NEW"),"",INDEX(B3498:B$2,-1+SUMPRODUCT(MAX(ROW(E3498:E$2)*(E3499=E3498:E$2)))))</f>
        <v> </v>
      </c>
      <c r="J3499" s="25" t="str">
        <f>IF(OR(E3499="",E3499="!!!",F3499="NEW"),"",COUNTBLANK(OFFSET(A$1,,,SUMPRODUCT(MAX(ROW(E$2:E3499)*(E3499=E$2:E3499)))))-COUNTBLANK(OFFSET(A$1,,,SUMPRODUCT(MAX(ROW(E$1:E3498)*(E2=E$1:E3498))))))</f>
        <v> </v>
      </c>
      <c r="K3499" s="25" t="str">
        <f>IF(OR(E3499="",E3499="!!!",F3499="NEW"),"",INDEX(J$1:J3498,SUMPRODUCT(MAX(ROW(E$1:E3498)*(E3499=E$1:E3498)))))</f>
        <v> </v>
      </c>
      <c r="L3499" s="26"/>
    </row>
    <row r="3500" spans="1:12">
      <c r="A3500" s="20"/>
    </row>
    <row r="3501" spans="1:12">
      <c r="A3501" s="20" t="s">
        <v>1988</v>
      </c>
    </row>
    <row r="3502" spans="1:12">
      <c r="A3502" s="20" t="s">
        <v>854</v>
      </c>
      <c r="E3502" s="21">
        <f>IF(D3502="?OLD","!!!","")</f>
        <v/>
      </c>
      <c r="F3502" s="22" t="str">
        <f>IF(OR(E3502="",E3502="!!!"),"",IF(NOT(ISNA(VLOOKUP(E3502,E$1:E3501,1,FALSE()))),"OLD",IF(AND(E3502&lt;&gt;"",E3502&lt;&gt;"!!!"),"NEW","")))</f>
        <v> </v>
      </c>
      <c r="G3502" s="23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4" t="str">
        <f>IF(J3502&lt;&gt;1,"",IF(I3502="SBJ","CB","?"))</f>
        <v> </v>
      </c>
      <c r="I3502" s="25" t="str">
        <f>IF(OR(E3502="",E3502="!!!",F3502="NEW"),"",INDEX(B3501:B$2,-1+SUMPRODUCT(MAX(ROW(E3501:E$2)*(E3502=E3501:E$2)))))</f>
        <v> </v>
      </c>
      <c r="J3502" s="25" t="str">
        <f>IF(OR(E3502="",E3502="!!!",F3502="NEW"),"",COUNTBLANK(OFFSET(A$1,,,SUMPRODUCT(MAX(ROW(E$2:E3502)*(E3502=E$2:E3502)))))-COUNTBLANK(OFFSET(A$1,,,SUMPRODUCT(MAX(ROW(E$1:E3501)*(E2=E$1:E3501))))))</f>
        <v> </v>
      </c>
      <c r="K3502" s="25" t="str">
        <f>IF(OR(E3502="",E3502="!!!",F3502="NEW"),"",INDEX(J$1:J3501,SUMPRODUCT(MAX(ROW(E$1:E3501)*(E3502=E$1:E3501)))))</f>
        <v> </v>
      </c>
      <c r="L3502" s="26"/>
    </row>
    <row r="3503" spans="1:12">
      <c r="A3503" s="20" t="s">
        <v>737</v>
      </c>
      <c r="E3503" s="21">
        <f>IF(D3503="?OLD","!!!","")</f>
        <v/>
      </c>
      <c r="F3503" s="22" t="str">
        <f>IF(OR(E3503="",E3503="!!!"),"",IF(NOT(ISNA(VLOOKUP(E3503,E$1:E3502,1,FALSE()))),"OLD",IF(AND(E3503&lt;&gt;"",E3503&lt;&gt;"!!!"),"NEW","")))</f>
        <v> </v>
      </c>
      <c r="G3503" s="23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4" t="str">
        <f>IF(J3503&lt;&gt;1,"",IF(I3503="SBJ","CB","?"))</f>
        <v> </v>
      </c>
      <c r="I3503" s="25" t="str">
        <f>IF(OR(E3503="",E3503="!!!",F3503="NEW"),"",INDEX(B3502:B$2,-1+SUMPRODUCT(MAX(ROW(E3502:E$2)*(E3503=E3502:E$2)))))</f>
        <v> </v>
      </c>
      <c r="J3503" s="25" t="str">
        <f>IF(OR(E3503="",E3503="!!!",F3503="NEW"),"",COUNTBLANK(OFFSET(A$1,,,SUMPRODUCT(MAX(ROW(E$2:E3503)*(E3503=E$2:E3503)))))-COUNTBLANK(OFFSET(A$1,,,SUMPRODUCT(MAX(ROW(E$1:E3502)*(E2=E$1:E3502))))))</f>
        <v> </v>
      </c>
      <c r="K3503" s="25" t="str">
        <f>IF(OR(E3503="",E3503="!!!",F3503="NEW"),"",INDEX(J$1:J3502,SUMPRODUCT(MAX(ROW(E$1:E3502)*(E3503=E$1:E3502)))))</f>
        <v> </v>
      </c>
      <c r="L3503" s="26"/>
    </row>
    <row r="3504" spans="1:12">
      <c r="A3504" s="20" t="s">
        <v>735</v>
      </c>
      <c r="E3504" s="21">
        <f>IF(D3504="?OLD","!!!","")</f>
        <v/>
      </c>
      <c r="F3504" s="22" t="str">
        <f>IF(OR(E3504="",E3504="!!!"),"",IF(NOT(ISNA(VLOOKUP(E3504,E$1:E3503,1,FALSE()))),"OLD",IF(AND(E3504&lt;&gt;"",E3504&lt;&gt;"!!!"),"NEW","")))</f>
        <v> </v>
      </c>
      <c r="G3504" s="23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4" t="str">
        <f>IF(J3504&lt;&gt;1,"",IF(I3504="SBJ","CB","?"))</f>
        <v> </v>
      </c>
      <c r="I3504" s="25" t="str">
        <f>IF(OR(E3504="",E3504="!!!",F3504="NEW"),"",INDEX(B3503:B$2,-1+SUMPRODUCT(MAX(ROW(E3503:E$2)*(E3504=E3503:E$2)))))</f>
        <v> </v>
      </c>
      <c r="J3504" s="25" t="str">
        <f>IF(OR(E3504="",E3504="!!!",F3504="NEW"),"",COUNTBLANK(OFFSET(A$1,,,SUMPRODUCT(MAX(ROW(E$2:E3504)*(E3504=E$2:E3504)))))-COUNTBLANK(OFFSET(A$1,,,SUMPRODUCT(MAX(ROW(E$1:E3503)*(E2=E$1:E3503))))))</f>
        <v> </v>
      </c>
      <c r="K3504" s="25" t="str">
        <f>IF(OR(E3504="",E3504="!!!",F3504="NEW"),"",INDEX(J$1:J3503,SUMPRODUCT(MAX(ROW(E$1:E3503)*(E3504=E$1:E3503)))))</f>
        <v> </v>
      </c>
      <c r="L3504" s="26"/>
    </row>
    <row r="3505" spans="1:12">
      <c r="A3505" s="20" t="s">
        <v>1254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1989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1990</v>
      </c>
      <c r="B3507" s="27" t="s">
        <v>781</v>
      </c>
      <c r="C3507" s="27" t="s">
        <v>728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896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 t="s">
        <v>1013</v>
      </c>
      <c r="E3509" s="21">
        <f>IF(D3509="?OLD","!!!","")</f>
        <v/>
      </c>
      <c r="F3509" s="22" t="str">
        <f>IF(OR(E3509="",E3509="!!!"),"",IF(NOT(ISNA(VLOOKUP(E3509,E$1:E3508,1,FALSE()))),"OLD",IF(AND(E3509&lt;&gt;"",E3509&lt;&gt;"!!!"),"NEW","")))</f>
        <v> </v>
      </c>
      <c r="G3509" s="23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4" t="str">
        <f>IF(J3509&lt;&gt;1,"",IF(I3509="SBJ","CB","?"))</f>
        <v> </v>
      </c>
      <c r="I3509" s="25" t="str">
        <f>IF(OR(E3509="",E3509="!!!",F3509="NEW"),"",INDEX(B3508:B$2,-1+SUMPRODUCT(MAX(ROW(E3508:E$2)*(E3509=E3508:E$2)))))</f>
        <v> </v>
      </c>
      <c r="J3509" s="25" t="str">
        <f>IF(OR(E3509="",E3509="!!!",F3509="NEW"),"",COUNTBLANK(OFFSET(A$1,,,SUMPRODUCT(MAX(ROW(E$2:E3509)*(E3509=E$2:E3509)))))-COUNTBLANK(OFFSET(A$1,,,SUMPRODUCT(MAX(ROW(E$1:E3508)*(E2=E$1:E3508))))))</f>
        <v> </v>
      </c>
      <c r="K3509" s="25" t="str">
        <f>IF(OR(E3509="",E3509="!!!",F3509="NEW"),"",INDEX(J$1:J3508,SUMPRODUCT(MAX(ROW(E$1:E3508)*(E3509=E$1:E3508)))))</f>
        <v> </v>
      </c>
      <c r="L3509" s="26"/>
    </row>
    <row r="3510" spans="1:12">
      <c r="A3510" s="20" t="s">
        <v>832</v>
      </c>
      <c r="B3510" s="27" t="s">
        <v>714</v>
      </c>
      <c r="C3510" s="27" t="s">
        <v>782</v>
      </c>
      <c r="D3510" s="27" t="s">
        <v>716</v>
      </c>
      <c r="E3510" s="21">
        <f>IF(D3510="?OLD","!!!","")</f>
        <v/>
      </c>
      <c r="F3510" s="22" t="str">
        <f>IF(OR(E3510="",E3510="!!!"),"",IF(NOT(ISNA(VLOOKUP(E3510,E$1:E3509,1,FALSE()))),"OLD",IF(AND(E3510&lt;&gt;"",E3510&lt;&gt;"!!!"),"NEW","")))</f>
        <v> </v>
      </c>
      <c r="G3510" s="23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4" t="str">
        <f>IF(J3510&lt;&gt;1,"",IF(I3510="SBJ","CB","?"))</f>
        <v> </v>
      </c>
      <c r="I3510" s="25" t="str">
        <f>IF(OR(E3510="",E3510="!!!",F3510="NEW"),"",INDEX(B3509:B$2,-1+SUMPRODUCT(MAX(ROW(E3509:E$2)*(E3510=E3509:E$2)))))</f>
        <v> </v>
      </c>
      <c r="J3510" s="25" t="str">
        <f>IF(OR(E3510="",E3510="!!!",F3510="NEW"),"",COUNTBLANK(OFFSET(A$1,,,SUMPRODUCT(MAX(ROW(E$2:E3510)*(E3510=E$2:E3510)))))-COUNTBLANK(OFFSET(A$1,,,SUMPRODUCT(MAX(ROW(E$1:E3509)*(E2=E$1:E3509))))))</f>
        <v> </v>
      </c>
      <c r="K3510" s="25" t="str">
        <f>IF(OR(E3510="",E3510="!!!",F3510="NEW"),"",INDEX(J$1:J3509,SUMPRODUCT(MAX(ROW(E$1:E3509)*(E3510=E$1:E3509)))))</f>
        <v> </v>
      </c>
      <c r="L3510" s="26"/>
    </row>
    <row r="3511" spans="1:12">
      <c r="A3511" s="20" t="s">
        <v>1807</v>
      </c>
      <c r="E3511" s="21">
        <f>IF(D3511="?OLD","!!!","")</f>
        <v/>
      </c>
      <c r="F3511" s="22" t="str">
        <f>IF(OR(E3511="",E3511="!!!"),"",IF(NOT(ISNA(VLOOKUP(E3511,E$1:E3510,1,FALSE()))),"OLD",IF(AND(E3511&lt;&gt;"",E3511&lt;&gt;"!!!"),"NEW","")))</f>
        <v> </v>
      </c>
      <c r="G3511" s="23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4" t="str">
        <f>IF(J3511&lt;&gt;1,"",IF(I3511="SBJ","CB","?"))</f>
        <v> </v>
      </c>
      <c r="I3511" s="25" t="str">
        <f>IF(OR(E3511="",E3511="!!!",F3511="NEW"),"",INDEX(B3510:B$2,-1+SUMPRODUCT(MAX(ROW(E3510:E$2)*(E3511=E3510:E$2)))))</f>
        <v> </v>
      </c>
      <c r="J3511" s="25" t="str">
        <f>IF(OR(E3511="",E3511="!!!",F3511="NEW"),"",COUNTBLANK(OFFSET(A$1,,,SUMPRODUCT(MAX(ROW(E$2:E3511)*(E3511=E$2:E3511)))))-COUNTBLANK(OFFSET(A$1,,,SUMPRODUCT(MAX(ROW(E$1:E3510)*(E2=E$1:E3510))))))</f>
        <v> </v>
      </c>
      <c r="K3511" s="25" t="str">
        <f>IF(OR(E3511="",E3511="!!!",F3511="NEW"),"",INDEX(J$1:J3510,SUMPRODUCT(MAX(ROW(E$1:E3510)*(E3511=E$1:E3510)))))</f>
        <v> </v>
      </c>
      <c r="L3511" s="26"/>
    </row>
    <row r="3512" spans="1:12">
      <c r="A3512" s="20" t="s">
        <v>1991</v>
      </c>
      <c r="E3512" s="21">
        <f>IF(D3512="?OLD","!!!","")</f>
        <v/>
      </c>
      <c r="F3512" s="22" t="str">
        <f>IF(OR(E3512="",E3512="!!!"),"",IF(NOT(ISNA(VLOOKUP(E3512,E$1:E3511,1,FALSE()))),"OLD",IF(AND(E3512&lt;&gt;"",E3512&lt;&gt;"!!!"),"NEW","")))</f>
        <v> </v>
      </c>
      <c r="G3512" s="23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4" t="str">
        <f>IF(J3512&lt;&gt;1,"",IF(I3512="SBJ","CB","?"))</f>
        <v> </v>
      </c>
      <c r="I3512" s="25" t="str">
        <f>IF(OR(E3512="",E3512="!!!",F3512="NEW"),"",INDEX(B3511:B$2,-1+SUMPRODUCT(MAX(ROW(E3511:E$2)*(E3512=E3511:E$2)))))</f>
        <v> </v>
      </c>
      <c r="J3512" s="25" t="str">
        <f>IF(OR(E3512="",E3512="!!!",F3512="NEW"),"",COUNTBLANK(OFFSET(A$1,,,SUMPRODUCT(MAX(ROW(E$2:E3512)*(E3512=E$2:E3512)))))-COUNTBLANK(OFFSET(A$1,,,SUMPRODUCT(MAX(ROW(E$1:E3511)*(E2=E$1:E3511))))))</f>
        <v> </v>
      </c>
      <c r="K3512" s="25" t="str">
        <f>IF(OR(E3512="",E3512="!!!",F3512="NEW"),"",INDEX(J$1:J3511,SUMPRODUCT(MAX(ROW(E$1:E3511)*(E3512=E$1:E3511)))))</f>
        <v> </v>
      </c>
      <c r="L3512" s="26"/>
    </row>
    <row r="3513" spans="1:12">
      <c r="A3513" s="20" t="s">
        <v>1992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1993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720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/>
    </row>
    <row r="3517" spans="1:12">
      <c r="A3517" s="20" t="s">
        <v>1994</v>
      </c>
    </row>
    <row r="3518" spans="1:12">
      <c r="A3518" s="20" t="s">
        <v>1878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 t="s">
        <v>888</v>
      </c>
      <c r="E3519" s="21">
        <f>IF(D3519="?OLD","!!!","")</f>
        <v/>
      </c>
      <c r="F3519" s="22" t="str">
        <f>IF(OR(E3519="",E3519="!!!"),"",IF(NOT(ISNA(VLOOKUP(E3519,E$1:E3518,1,FALSE()))),"OLD",IF(AND(E3519&lt;&gt;"",E3519&lt;&gt;"!!!"),"NEW","")))</f>
        <v> </v>
      </c>
      <c r="G3519" s="23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4" t="str">
        <f>IF(J3519&lt;&gt;1,"",IF(I3519="SBJ","CB","?"))</f>
        <v> </v>
      </c>
      <c r="I3519" s="25" t="str">
        <f>IF(OR(E3519="",E3519="!!!",F3519="NEW"),"",INDEX(B3518:B$2,-1+SUMPRODUCT(MAX(ROW(E3518:E$2)*(E3519=E3518:E$2)))))</f>
        <v> </v>
      </c>
      <c r="J3519" s="25" t="str">
        <f>IF(OR(E3519="",E3519="!!!",F3519="NEW"),"",COUNTBLANK(OFFSET(A$1,,,SUMPRODUCT(MAX(ROW(E$2:E3519)*(E3519=E$2:E3519)))))-COUNTBLANK(OFFSET(A$1,,,SUMPRODUCT(MAX(ROW(E$1:E3518)*(E2=E$1:E3518))))))</f>
        <v> </v>
      </c>
      <c r="K3519" s="25" t="str">
        <f>IF(OR(E3519="",E3519="!!!",F3519="NEW"),"",INDEX(J$1:J3518,SUMPRODUCT(MAX(ROW(E$1:E3518)*(E3519=E$1:E3518)))))</f>
        <v> </v>
      </c>
      <c r="L3519" s="26"/>
    </row>
    <row r="3520" spans="1:12">
      <c r="A3520" s="20" t="s">
        <v>1561</v>
      </c>
      <c r="E3520" s="21">
        <f>IF(D3520="?OLD","!!!","")</f>
        <v/>
      </c>
      <c r="F3520" s="22" t="str">
        <f>IF(OR(E3520="",E3520="!!!"),"",IF(NOT(ISNA(VLOOKUP(E3520,E$1:E3519,1,FALSE()))),"OLD",IF(AND(E3520&lt;&gt;"",E3520&lt;&gt;"!!!"),"NEW","")))</f>
        <v> </v>
      </c>
      <c r="G3520" s="23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4" t="str">
        <f>IF(J3520&lt;&gt;1,"",IF(I3520="SBJ","CB","?"))</f>
        <v> </v>
      </c>
      <c r="I3520" s="25" t="str">
        <f>IF(OR(E3520="",E3520="!!!",F3520="NEW"),"",INDEX(B3519:B$2,-1+SUMPRODUCT(MAX(ROW(E3519:E$2)*(E3520=E3519:E$2)))))</f>
        <v> </v>
      </c>
      <c r="J3520" s="25" t="str">
        <f>IF(OR(E3520="",E3520="!!!",F3520="NEW"),"",COUNTBLANK(OFFSET(A$1,,,SUMPRODUCT(MAX(ROW(E$2:E3520)*(E3520=E$2:E3520)))))-COUNTBLANK(OFFSET(A$1,,,SUMPRODUCT(MAX(ROW(E$1:E3519)*(E2=E$1:E3519))))))</f>
        <v> </v>
      </c>
      <c r="K3520" s="25" t="str">
        <f>IF(OR(E3520="",E3520="!!!",F3520="NEW"),"",INDEX(J$1:J3519,SUMPRODUCT(MAX(ROW(E$1:E3519)*(E3520=E$1:E3519)))))</f>
        <v> </v>
      </c>
      <c r="L3520" s="26"/>
    </row>
    <row r="3521" spans="1:12">
      <c r="A3521" s="20" t="s">
        <v>737</v>
      </c>
      <c r="E3521" s="21">
        <f>IF(D3521="?OLD","!!!","")</f>
        <v/>
      </c>
      <c r="F3521" s="22" t="str">
        <f>IF(OR(E3521="",E3521="!!!"),"",IF(NOT(ISNA(VLOOKUP(E3521,E$1:E3520,1,FALSE()))),"OLD",IF(AND(E3521&lt;&gt;"",E3521&lt;&gt;"!!!"),"NEW","")))</f>
        <v> </v>
      </c>
      <c r="G3521" s="23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4" t="str">
        <f>IF(J3521&lt;&gt;1,"",IF(I3521="SBJ","CB","?"))</f>
        <v> </v>
      </c>
      <c r="I3521" s="25" t="str">
        <f>IF(OR(E3521="",E3521="!!!",F3521="NEW"),"",INDEX(B3520:B$2,-1+SUMPRODUCT(MAX(ROW(E3520:E$2)*(E3521=E3520:E$2)))))</f>
        <v> </v>
      </c>
      <c r="J3521" s="25" t="str">
        <f>IF(OR(E3521="",E3521="!!!",F3521="NEW"),"",COUNTBLANK(OFFSET(A$1,,,SUMPRODUCT(MAX(ROW(E$2:E3521)*(E3521=E$2:E3521)))))-COUNTBLANK(OFFSET(A$1,,,SUMPRODUCT(MAX(ROW(E$1:E3520)*(E2=E$1:E3520))))))</f>
        <v> </v>
      </c>
      <c r="K3521" s="25" t="str">
        <f>IF(OR(E3521="",E3521="!!!",F3521="NEW"),"",INDEX(J$1:J3520,SUMPRODUCT(MAX(ROW(E$1:E3520)*(E3521=E$1:E3520)))))</f>
        <v> </v>
      </c>
      <c r="L3521" s="26"/>
    </row>
    <row r="3522" spans="1:12">
      <c r="A3522" s="20" t="s">
        <v>1098</v>
      </c>
      <c r="B3522" s="27" t="s">
        <v>847</v>
      </c>
      <c r="C3522" s="27" t="s">
        <v>715</v>
      </c>
      <c r="D3522" s="27" t="s">
        <v>716</v>
      </c>
      <c r="E3522" s="21">
        <f>IF(D3522="?OLD","!!!","")</f>
        <v/>
      </c>
      <c r="F3522" s="22" t="str">
        <f>IF(OR(E3522="",E3522="!!!"),"",IF(NOT(ISNA(VLOOKUP(E3522,E$1:E3521,1,FALSE()))),"OLD",IF(AND(E3522&lt;&gt;"",E3522&lt;&gt;"!!!"),"NEW","")))</f>
        <v> </v>
      </c>
      <c r="G3522" s="23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4" t="str">
        <f>IF(J3522&lt;&gt;1,"",IF(I3522="SBJ","CB","?"))</f>
        <v> </v>
      </c>
      <c r="I3522" s="25" t="str">
        <f>IF(OR(E3522="",E3522="!!!",F3522="NEW"),"",INDEX(B3521:B$2,-1+SUMPRODUCT(MAX(ROW(E3521:E$2)*(E3522=E3521:E$2)))))</f>
        <v> </v>
      </c>
      <c r="J3522" s="25" t="str">
        <f>IF(OR(E3522="",E3522="!!!",F3522="NEW"),"",COUNTBLANK(OFFSET(A$1,,,SUMPRODUCT(MAX(ROW(E$2:E3522)*(E3522=E$2:E3522)))))-COUNTBLANK(OFFSET(A$1,,,SUMPRODUCT(MAX(ROW(E$1:E3521)*(E2=E$1:E3521))))))</f>
        <v> </v>
      </c>
      <c r="K3522" s="25" t="str">
        <f>IF(OR(E3522="",E3522="!!!",F3522="NEW"),"",INDEX(J$1:J3521,SUMPRODUCT(MAX(ROW(E$1:E3521)*(E3522=E$1:E3521)))))</f>
        <v> </v>
      </c>
      <c r="L3522" s="26"/>
    </row>
    <row r="3523" spans="1:12">
      <c r="A3523" s="20" t="s">
        <v>1350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737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 t="s">
        <v>1995</v>
      </c>
      <c r="E3525" s="21">
        <f>IF(D3525="?OLD","!!!","")</f>
        <v/>
      </c>
      <c r="F3525" s="22" t="str">
        <f>IF(OR(E3525="",E3525="!!!"),"",IF(NOT(ISNA(VLOOKUP(E3525,E$1:E3524,1,FALSE()))),"OLD",IF(AND(E3525&lt;&gt;"",E3525&lt;&gt;"!!!"),"NEW","")))</f>
        <v> </v>
      </c>
      <c r="G3525" s="23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4" t="str">
        <f>IF(J3525&lt;&gt;1,"",IF(I3525="SBJ","CB","?"))</f>
        <v> </v>
      </c>
      <c r="I3525" s="25" t="str">
        <f>IF(OR(E3525="",E3525="!!!",F3525="NEW"),"",INDEX(B3524:B$2,-1+SUMPRODUCT(MAX(ROW(E3524:E$2)*(E3525=E3524:E$2)))))</f>
        <v> </v>
      </c>
      <c r="J3525" s="25" t="str">
        <f>IF(OR(E3525="",E3525="!!!",F3525="NEW"),"",COUNTBLANK(OFFSET(A$1,,,SUMPRODUCT(MAX(ROW(E$2:E3525)*(E3525=E$2:E3525)))))-COUNTBLANK(OFFSET(A$1,,,SUMPRODUCT(MAX(ROW(E$1:E3524)*(E2=E$1:E3524))))))</f>
        <v> </v>
      </c>
      <c r="K3525" s="25" t="str">
        <f>IF(OR(E3525="",E3525="!!!",F3525="NEW"),"",INDEX(J$1:J3524,SUMPRODUCT(MAX(ROW(E$1:E3524)*(E3525=E$1:E3524)))))</f>
        <v> </v>
      </c>
      <c r="L3525" s="26"/>
    </row>
    <row r="3526" spans="1:12">
      <c r="A3526" s="20" t="s">
        <v>1578</v>
      </c>
      <c r="B3526" s="27" t="s">
        <v>745</v>
      </c>
      <c r="C3526" s="27" t="s">
        <v>769</v>
      </c>
      <c r="D3526" s="27" t="s">
        <v>716</v>
      </c>
      <c r="E3526" s="21">
        <f>IF(D3526="?OLD","!!!","")</f>
        <v/>
      </c>
      <c r="F3526" s="22" t="str">
        <f>IF(OR(E3526="",E3526="!!!"),"",IF(NOT(ISNA(VLOOKUP(E3526,E$1:E3525,1,FALSE()))),"OLD",IF(AND(E3526&lt;&gt;"",E3526&lt;&gt;"!!!"),"NEW","")))</f>
        <v> </v>
      </c>
      <c r="G3526" s="23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4" t="str">
        <f>IF(J3526&lt;&gt;1,"",IF(I3526="SBJ","CB","?"))</f>
        <v> </v>
      </c>
      <c r="I3526" s="25" t="str">
        <f>IF(OR(E3526="",E3526="!!!",F3526="NEW"),"",INDEX(B3525:B$2,-1+SUMPRODUCT(MAX(ROW(E3525:E$2)*(E3526=E3525:E$2)))))</f>
        <v> </v>
      </c>
      <c r="J3526" s="25" t="str">
        <f>IF(OR(E3526="",E3526="!!!",F3526="NEW"),"",COUNTBLANK(OFFSET(A$1,,,SUMPRODUCT(MAX(ROW(E$2:E3526)*(E3526=E$2:E3526)))))-COUNTBLANK(OFFSET(A$1,,,SUMPRODUCT(MAX(ROW(E$1:E3525)*(E2=E$1:E3525))))))</f>
        <v> </v>
      </c>
      <c r="K3526" s="25" t="str">
        <f>IF(OR(E3526="",E3526="!!!",F3526="NEW"),"",INDEX(J$1:J3525,SUMPRODUCT(MAX(ROW(E$1:E3525)*(E3526=E$1:E3525)))))</f>
        <v> </v>
      </c>
      <c r="L3526" s="26"/>
    </row>
    <row r="3527" spans="1:12">
      <c r="A3527" s="20" t="s">
        <v>803</v>
      </c>
      <c r="E3527" s="21">
        <f>IF(D3527="?OLD","!!!","")</f>
        <v/>
      </c>
      <c r="F3527" s="22" t="str">
        <f>IF(OR(E3527="",E3527="!!!"),"",IF(NOT(ISNA(VLOOKUP(E3527,E$1:E3526,1,FALSE()))),"OLD",IF(AND(E3527&lt;&gt;"",E3527&lt;&gt;"!!!"),"NEW","")))</f>
        <v> </v>
      </c>
      <c r="G3527" s="23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4" t="str">
        <f>IF(J3527&lt;&gt;1,"",IF(I3527="SBJ","CB","?"))</f>
        <v> </v>
      </c>
      <c r="I3527" s="25" t="str">
        <f>IF(OR(E3527="",E3527="!!!",F3527="NEW"),"",INDEX(B3526:B$2,-1+SUMPRODUCT(MAX(ROW(E3526:E$2)*(E3527=E3526:E$2)))))</f>
        <v> </v>
      </c>
      <c r="J3527" s="25" t="str">
        <f>IF(OR(E3527="",E3527="!!!",F3527="NEW"),"",COUNTBLANK(OFFSET(A$1,,,SUMPRODUCT(MAX(ROW(E$2:E3527)*(E3527=E$2:E3527)))))-COUNTBLANK(OFFSET(A$1,,,SUMPRODUCT(MAX(ROW(E$1:E3526)*(E2=E$1:E3526))))))</f>
        <v> </v>
      </c>
      <c r="K3527" s="25" t="str">
        <f>IF(OR(E3527="",E3527="!!!",F3527="NEW"),"",INDEX(J$1:J3526,SUMPRODUCT(MAX(ROW(E$1:E3526)*(E3527=E$1:E3526)))))</f>
        <v> </v>
      </c>
      <c r="L3527" s="26"/>
    </row>
    <row r="3528" spans="1:12">
      <c r="A3528" s="20" t="s">
        <v>737</v>
      </c>
      <c r="E3528" s="21">
        <f>IF(D3528="?OLD","!!!","")</f>
        <v/>
      </c>
      <c r="F3528" s="22" t="str">
        <f>IF(OR(E3528="",E3528="!!!"),"",IF(NOT(ISNA(VLOOKUP(E3528,E$1:E3527,1,FALSE()))),"OLD",IF(AND(E3528&lt;&gt;"",E3528&lt;&gt;"!!!"),"NEW","")))</f>
        <v> </v>
      </c>
      <c r="G3528" s="23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4" t="str">
        <f>IF(J3528&lt;&gt;1,"",IF(I3528="SBJ","CB","?"))</f>
        <v> </v>
      </c>
      <c r="I3528" s="25" t="str">
        <f>IF(OR(E3528="",E3528="!!!",F3528="NEW"),"",INDEX(B3527:B$2,-1+SUMPRODUCT(MAX(ROW(E3527:E$2)*(E3528=E3527:E$2)))))</f>
        <v> </v>
      </c>
      <c r="J3528" s="25" t="str">
        <f>IF(OR(E3528="",E3528="!!!",F3528="NEW"),"",COUNTBLANK(OFFSET(A$1,,,SUMPRODUCT(MAX(ROW(E$2:E3528)*(E3528=E$2:E3528)))))-COUNTBLANK(OFFSET(A$1,,,SUMPRODUCT(MAX(ROW(E$1:E3527)*(E2=E$1:E3527))))))</f>
        <v> </v>
      </c>
      <c r="K3528" s="25" t="str">
        <f>IF(OR(E3528="",E3528="!!!",F3528="NEW"),"",INDEX(J$1:J3527,SUMPRODUCT(MAX(ROW(E$1:E3527)*(E3528=E$1:E3527)))))</f>
        <v> </v>
      </c>
      <c r="L3528" s="26"/>
    </row>
    <row r="3529" spans="1:12">
      <c r="A3529" s="20" t="s">
        <v>896</v>
      </c>
      <c r="E3529" s="21">
        <f>IF(D3529="?OLD","!!!","")</f>
        <v/>
      </c>
      <c r="F3529" s="22" t="str">
        <f>IF(OR(E3529="",E3529="!!!"),"",IF(NOT(ISNA(VLOOKUP(E3529,E$1:E3528,1,FALSE()))),"OLD",IF(AND(E3529&lt;&gt;"",E3529&lt;&gt;"!!!"),"NEW","")))</f>
        <v> </v>
      </c>
      <c r="G3529" s="23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4" t="str">
        <f>IF(J3529&lt;&gt;1,"",IF(I3529="SBJ","CB","?"))</f>
        <v> </v>
      </c>
      <c r="I3529" s="25" t="str">
        <f>IF(OR(E3529="",E3529="!!!",F3529="NEW"),"",INDEX(B3528:B$2,-1+SUMPRODUCT(MAX(ROW(E3528:E$2)*(E3529=E3528:E$2)))))</f>
        <v> </v>
      </c>
      <c r="J3529" s="25" t="str">
        <f>IF(OR(E3529="",E3529="!!!",F3529="NEW"),"",COUNTBLANK(OFFSET(A$1,,,SUMPRODUCT(MAX(ROW(E$2:E3529)*(E3529=E$2:E3529)))))-COUNTBLANK(OFFSET(A$1,,,SUMPRODUCT(MAX(ROW(E$1:E3528)*(E2=E$1:E3528))))))</f>
        <v> </v>
      </c>
      <c r="K3529" s="25" t="str">
        <f>IF(OR(E3529="",E3529="!!!",F3529="NEW"),"",INDEX(J$1:J3528,SUMPRODUCT(MAX(ROW(E$1:E3528)*(E3529=E$1:E3528)))))</f>
        <v> </v>
      </c>
      <c r="L3529" s="26"/>
    </row>
    <row r="3530" spans="1:12">
      <c r="A3530" s="20" t="s">
        <v>848</v>
      </c>
      <c r="E3530" s="21">
        <f>IF(D3530="?OLD","!!!","")</f>
        <v/>
      </c>
      <c r="F3530" s="22" t="str">
        <f>IF(OR(E3530="",E3530="!!!"),"",IF(NOT(ISNA(VLOOKUP(E3530,E$1:E3529,1,FALSE()))),"OLD",IF(AND(E3530&lt;&gt;"",E3530&lt;&gt;"!!!"),"NEW","")))</f>
        <v> </v>
      </c>
      <c r="G3530" s="23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4" t="str">
        <f>IF(J3530&lt;&gt;1,"",IF(I3530="SBJ","CB","?"))</f>
        <v> </v>
      </c>
      <c r="I3530" s="25" t="str">
        <f>IF(OR(E3530="",E3530="!!!",F3530="NEW"),"",INDEX(B3529:B$2,-1+SUMPRODUCT(MAX(ROW(E3529:E$2)*(E3530=E3529:E$2)))))</f>
        <v> </v>
      </c>
      <c r="J3530" s="25" t="str">
        <f>IF(OR(E3530="",E3530="!!!",F3530="NEW"),"",COUNTBLANK(OFFSET(A$1,,,SUMPRODUCT(MAX(ROW(E$2:E3530)*(E3530=E$2:E3530)))))-COUNTBLANK(OFFSET(A$1,,,SUMPRODUCT(MAX(ROW(E$1:E3529)*(E2=E$1:E3529))))))</f>
        <v> </v>
      </c>
      <c r="K3530" s="25" t="str">
        <f>IF(OR(E3530="",E3530="!!!",F3530="NEW"),"",INDEX(J$1:J3529,SUMPRODUCT(MAX(ROW(E$1:E3529)*(E3530=E$1:E3529)))))</f>
        <v> </v>
      </c>
      <c r="L3530" s="26"/>
    </row>
    <row r="3531" spans="1:12">
      <c r="A3531" s="20" t="s">
        <v>1996</v>
      </c>
      <c r="E3531" s="21">
        <f>IF(D3531="?OLD","!!!","")</f>
        <v/>
      </c>
      <c r="F3531" s="22" t="str">
        <f>IF(OR(E3531="",E3531="!!!"),"",IF(NOT(ISNA(VLOOKUP(E3531,E$1:E3530,1,FALSE()))),"OLD",IF(AND(E3531&lt;&gt;"",E3531&lt;&gt;"!!!"),"NEW","")))</f>
        <v> </v>
      </c>
      <c r="G3531" s="23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4" t="str">
        <f>IF(J3531&lt;&gt;1,"",IF(I3531="SBJ","CB","?"))</f>
        <v> </v>
      </c>
      <c r="I3531" s="25" t="str">
        <f>IF(OR(E3531="",E3531="!!!",F3531="NEW"),"",INDEX(B3530:B$2,-1+SUMPRODUCT(MAX(ROW(E3530:E$2)*(E3531=E3530:E$2)))))</f>
        <v> </v>
      </c>
      <c r="J3531" s="25" t="str">
        <f>IF(OR(E3531="",E3531="!!!",F3531="NEW"),"",COUNTBLANK(OFFSET(A$1,,,SUMPRODUCT(MAX(ROW(E$2:E3531)*(E3531=E$2:E3531)))))-COUNTBLANK(OFFSET(A$1,,,SUMPRODUCT(MAX(ROW(E$1:E3530)*(E2=E$1:E3530))))))</f>
        <v> </v>
      </c>
      <c r="K3531" s="25" t="str">
        <f>IF(OR(E3531="",E3531="!!!",F3531="NEW"),"",INDEX(J$1:J3530,SUMPRODUCT(MAX(ROW(E$1:E3530)*(E3531=E$1:E3530)))))</f>
        <v> </v>
      </c>
      <c r="L3531" s="26"/>
    </row>
    <row r="3532" spans="1:12">
      <c r="A3532" s="20" t="s">
        <v>817</v>
      </c>
      <c r="E3532" s="21">
        <f>IF(D3532="?OLD","!!!","")</f>
        <v/>
      </c>
      <c r="F3532" s="22" t="str">
        <f>IF(OR(E3532="",E3532="!!!"),"",IF(NOT(ISNA(VLOOKUP(E3532,E$1:E3531,1,FALSE()))),"OLD",IF(AND(E3532&lt;&gt;"",E3532&lt;&gt;"!!!"),"NEW","")))</f>
        <v> </v>
      </c>
      <c r="G3532" s="23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4" t="str">
        <f>IF(J3532&lt;&gt;1,"",IF(I3532="SBJ","CB","?"))</f>
        <v> </v>
      </c>
      <c r="I3532" s="25" t="str">
        <f>IF(OR(E3532="",E3532="!!!",F3532="NEW"),"",INDEX(B3531:B$2,-1+SUMPRODUCT(MAX(ROW(E3531:E$2)*(E3532=E3531:E$2)))))</f>
        <v> </v>
      </c>
      <c r="J3532" s="25" t="str">
        <f>IF(OR(E3532="",E3532="!!!",F3532="NEW"),"",COUNTBLANK(OFFSET(A$1,,,SUMPRODUCT(MAX(ROW(E$2:E3532)*(E3532=E$2:E3532)))))-COUNTBLANK(OFFSET(A$1,,,SUMPRODUCT(MAX(ROW(E$1:E3531)*(E2=E$1:E3531))))))</f>
        <v> </v>
      </c>
      <c r="K3532" s="25" t="str">
        <f>IF(OR(E3532="",E3532="!!!",F3532="NEW"),"",INDEX(J$1:J3531,SUMPRODUCT(MAX(ROW(E$1:E3531)*(E3532=E$1:E3531)))))</f>
        <v> </v>
      </c>
      <c r="L3532" s="26"/>
    </row>
    <row r="3533" spans="1:12">
      <c r="A3533" s="20" t="s">
        <v>1378</v>
      </c>
      <c r="E3533" s="21">
        <f>IF(D3533="?OLD","!!!","")</f>
        <v/>
      </c>
      <c r="F3533" s="22" t="str">
        <f>IF(OR(E3533="",E3533="!!!"),"",IF(NOT(ISNA(VLOOKUP(E3533,E$1:E3532,1,FALSE()))),"OLD",IF(AND(E3533&lt;&gt;"",E3533&lt;&gt;"!!!"),"NEW","")))</f>
        <v> </v>
      </c>
      <c r="G3533" s="23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4" t="str">
        <f>IF(J3533&lt;&gt;1,"",IF(I3533="SBJ","CB","?"))</f>
        <v> </v>
      </c>
      <c r="I3533" s="25" t="str">
        <f>IF(OR(E3533="",E3533="!!!",F3533="NEW"),"",INDEX(B3532:B$2,-1+SUMPRODUCT(MAX(ROW(E3532:E$2)*(E3533=E3532:E$2)))))</f>
        <v> </v>
      </c>
      <c r="J3533" s="25" t="str">
        <f>IF(OR(E3533="",E3533="!!!",F3533="NEW"),"",COUNTBLANK(OFFSET(A$1,,,SUMPRODUCT(MAX(ROW(E$2:E3533)*(E3533=E$2:E3533)))))-COUNTBLANK(OFFSET(A$1,,,SUMPRODUCT(MAX(ROW(E$1:E3532)*(E2=E$1:E3532))))))</f>
        <v> </v>
      </c>
      <c r="K3533" s="25" t="str">
        <f>IF(OR(E3533="",E3533="!!!",F3533="NEW"),"",INDEX(J$1:J3532,SUMPRODUCT(MAX(ROW(E$1:E3532)*(E3533=E$1:E3532)))))</f>
        <v> </v>
      </c>
      <c r="L3533" s="26"/>
    </row>
    <row r="3534" spans="1:12">
      <c r="A3534" s="20" t="s">
        <v>558</v>
      </c>
      <c r="E3534" s="21">
        <f>IF(D3534="?OLD","!!!","")</f>
        <v/>
      </c>
      <c r="F3534" s="22" t="str">
        <f>IF(OR(E3534="",E3534="!!!"),"",IF(NOT(ISNA(VLOOKUP(E3534,E$1:E3533,1,FALSE()))),"OLD",IF(AND(E3534&lt;&gt;"",E3534&lt;&gt;"!!!"),"NEW","")))</f>
        <v> </v>
      </c>
      <c r="G3534" s="23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4" t="str">
        <f>IF(J3534&lt;&gt;1,"",IF(I3534="SBJ","CB","?"))</f>
        <v> </v>
      </c>
      <c r="I3534" s="25" t="str">
        <f>IF(OR(E3534="",E3534="!!!",F3534="NEW"),"",INDEX(B3533:B$2,-1+SUMPRODUCT(MAX(ROW(E3533:E$2)*(E3534=E3533:E$2)))))</f>
        <v> </v>
      </c>
      <c r="J3534" s="25" t="str">
        <f>IF(OR(E3534="",E3534="!!!",F3534="NEW"),"",COUNTBLANK(OFFSET(A$1,,,SUMPRODUCT(MAX(ROW(E$2:E3534)*(E3534=E$2:E3534)))))-COUNTBLANK(OFFSET(A$1,,,SUMPRODUCT(MAX(ROW(E$1:E3533)*(E2=E$1:E3533))))))</f>
        <v> </v>
      </c>
      <c r="K3534" s="25" t="str">
        <f>IF(OR(E3534="",E3534="!!!",F3534="NEW"),"",INDEX(J$1:J3533,SUMPRODUCT(MAX(ROW(E$1:E3533)*(E3534=E$1:E3533)))))</f>
        <v> </v>
      </c>
      <c r="L3534" s="26"/>
    </row>
    <row r="3535" spans="1:12">
      <c r="A3535" s="20" t="s">
        <v>1997</v>
      </c>
      <c r="E3535" s="21">
        <f>IF(D3535="?OLD","!!!","")</f>
        <v/>
      </c>
      <c r="F3535" s="22" t="str">
        <f>IF(OR(E3535="",E3535="!!!"),"",IF(NOT(ISNA(VLOOKUP(E3535,E$1:E3534,1,FALSE()))),"OLD",IF(AND(E3535&lt;&gt;"",E3535&lt;&gt;"!!!"),"NEW","")))</f>
        <v> </v>
      </c>
      <c r="G3535" s="23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4" t="str">
        <f>IF(J3535&lt;&gt;1,"",IF(I3535="SBJ","CB","?"))</f>
        <v> </v>
      </c>
      <c r="I3535" s="25" t="str">
        <f>IF(OR(E3535="",E3535="!!!",F3535="NEW"),"",INDEX(B3534:B$2,-1+SUMPRODUCT(MAX(ROW(E3534:E$2)*(E3535=E3534:E$2)))))</f>
        <v> </v>
      </c>
      <c r="J3535" s="25" t="str">
        <f>IF(OR(E3535="",E3535="!!!",F3535="NEW"),"",COUNTBLANK(OFFSET(A$1,,,SUMPRODUCT(MAX(ROW(E$2:E3535)*(E3535=E$2:E3535)))))-COUNTBLANK(OFFSET(A$1,,,SUMPRODUCT(MAX(ROW(E$1:E3534)*(E2=E$1:E3534))))))</f>
        <v> </v>
      </c>
      <c r="K3535" s="25" t="str">
        <f>IF(OR(E3535="",E3535="!!!",F3535="NEW"),"",INDEX(J$1:J3534,SUMPRODUCT(MAX(ROW(E$1:E3534)*(E3535=E$1:E3534)))))</f>
        <v> </v>
      </c>
      <c r="L3535" s="26"/>
    </row>
    <row r="3536" spans="1:12">
      <c r="A3536" s="20" t="s">
        <v>1491</v>
      </c>
      <c r="E3536" s="21">
        <f>IF(D3536="?OLD","!!!","")</f>
        <v/>
      </c>
      <c r="F3536" s="22" t="str">
        <f>IF(OR(E3536="",E3536="!!!"),"",IF(NOT(ISNA(VLOOKUP(E3536,E$1:E3535,1,FALSE()))),"OLD",IF(AND(E3536&lt;&gt;"",E3536&lt;&gt;"!!!"),"NEW","")))</f>
        <v> </v>
      </c>
      <c r="G3536" s="23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4" t="str">
        <f>IF(J3536&lt;&gt;1,"",IF(I3536="SBJ","CB","?"))</f>
        <v> </v>
      </c>
      <c r="I3536" s="25" t="str">
        <f>IF(OR(E3536="",E3536="!!!",F3536="NEW"),"",INDEX(B3535:B$2,-1+SUMPRODUCT(MAX(ROW(E3535:E$2)*(E3536=E3535:E$2)))))</f>
        <v> </v>
      </c>
      <c r="J3536" s="25" t="str">
        <f>IF(OR(E3536="",E3536="!!!",F3536="NEW"),"",COUNTBLANK(OFFSET(A$1,,,SUMPRODUCT(MAX(ROW(E$2:E3536)*(E3536=E$2:E3536)))))-COUNTBLANK(OFFSET(A$1,,,SUMPRODUCT(MAX(ROW(E$1:E3535)*(E2=E$1:E3535))))))</f>
        <v> </v>
      </c>
      <c r="K3536" s="25" t="str">
        <f>IF(OR(E3536="",E3536="!!!",F3536="NEW"),"",INDEX(J$1:J3535,SUMPRODUCT(MAX(ROW(E$1:E3535)*(E3536=E$1:E3535)))))</f>
        <v> </v>
      </c>
      <c r="L3536" s="26"/>
    </row>
    <row r="3537" spans="1:12">
      <c r="A3537" s="20" t="s">
        <v>1998</v>
      </c>
      <c r="E3537" s="21">
        <f>IF(D3537="?OLD","!!!","")</f>
        <v/>
      </c>
      <c r="F3537" s="22" t="str">
        <f>IF(OR(E3537="",E3537="!!!"),"",IF(NOT(ISNA(VLOOKUP(E3537,E$1:E3536,1,FALSE()))),"OLD",IF(AND(E3537&lt;&gt;"",E3537&lt;&gt;"!!!"),"NEW","")))</f>
        <v> </v>
      </c>
      <c r="G3537" s="23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4" t="str">
        <f>IF(J3537&lt;&gt;1,"",IF(I3537="SBJ","CB","?"))</f>
        <v> </v>
      </c>
      <c r="I3537" s="25" t="str">
        <f>IF(OR(E3537="",E3537="!!!",F3537="NEW"),"",INDEX(B3536:B$2,-1+SUMPRODUCT(MAX(ROW(E3536:E$2)*(E3537=E3536:E$2)))))</f>
        <v> </v>
      </c>
      <c r="J3537" s="25" t="str">
        <f>IF(OR(E3537="",E3537="!!!",F3537="NEW"),"",COUNTBLANK(OFFSET(A$1,,,SUMPRODUCT(MAX(ROW(E$2:E3537)*(E3537=E$2:E3537)))))-COUNTBLANK(OFFSET(A$1,,,SUMPRODUCT(MAX(ROW(E$1:E3536)*(E2=E$1:E3536))))))</f>
        <v> </v>
      </c>
      <c r="K3537" s="25" t="str">
        <f>IF(OR(E3537="",E3537="!!!",F3537="NEW"),"",INDEX(J$1:J3536,SUMPRODUCT(MAX(ROW(E$1:E3536)*(E3537=E$1:E3536)))))</f>
        <v> </v>
      </c>
      <c r="L3537" s="26"/>
    </row>
    <row r="3538" spans="1:12">
      <c r="A3538" s="20" t="s">
        <v>1999</v>
      </c>
      <c r="E3538" s="21">
        <f>IF(D3538="?OLD","!!!","")</f>
        <v/>
      </c>
      <c r="F3538" s="22" t="str">
        <f>IF(OR(E3538="",E3538="!!!"),"",IF(NOT(ISNA(VLOOKUP(E3538,E$1:E3537,1,FALSE()))),"OLD",IF(AND(E3538&lt;&gt;"",E3538&lt;&gt;"!!!"),"NEW","")))</f>
        <v> </v>
      </c>
      <c r="G3538" s="23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4" t="str">
        <f>IF(J3538&lt;&gt;1,"",IF(I3538="SBJ","CB","?"))</f>
        <v> </v>
      </c>
      <c r="I3538" s="25" t="str">
        <f>IF(OR(E3538="",E3538="!!!",F3538="NEW"),"",INDEX(B3537:B$2,-1+SUMPRODUCT(MAX(ROW(E3537:E$2)*(E3538=E3537:E$2)))))</f>
        <v> </v>
      </c>
      <c r="J3538" s="25" t="str">
        <f>IF(OR(E3538="",E3538="!!!",F3538="NEW"),"",COUNTBLANK(OFFSET(A$1,,,SUMPRODUCT(MAX(ROW(E$2:E3538)*(E3538=E$2:E3538)))))-COUNTBLANK(OFFSET(A$1,,,SUMPRODUCT(MAX(ROW(E$1:E3537)*(E2=E$1:E3537))))))</f>
        <v> </v>
      </c>
      <c r="K3538" s="25" t="str">
        <f>IF(OR(E3538="",E3538="!!!",F3538="NEW"),"",INDEX(J$1:J3537,SUMPRODUCT(MAX(ROW(E$1:E3537)*(E3538=E$1:E3537)))))</f>
        <v> </v>
      </c>
      <c r="L3538" s="26"/>
    </row>
    <row r="3539" spans="1:12">
      <c r="A3539" s="20" t="s">
        <v>2000</v>
      </c>
      <c r="E3539" s="21">
        <f>IF(D3539="?OLD","!!!","")</f>
        <v/>
      </c>
      <c r="F3539" s="22" t="str">
        <f>IF(OR(E3539="",E3539="!!!"),"",IF(NOT(ISNA(VLOOKUP(E3539,E$1:E3538,1,FALSE()))),"OLD",IF(AND(E3539&lt;&gt;"",E3539&lt;&gt;"!!!"),"NEW","")))</f>
        <v> </v>
      </c>
      <c r="G3539" s="23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4" t="str">
        <f>IF(J3539&lt;&gt;1,"",IF(I3539="SBJ","CB","?"))</f>
        <v> </v>
      </c>
      <c r="I3539" s="25" t="str">
        <f>IF(OR(E3539="",E3539="!!!",F3539="NEW"),"",INDEX(B3538:B$2,-1+SUMPRODUCT(MAX(ROW(E3538:E$2)*(E3539=E3538:E$2)))))</f>
        <v> </v>
      </c>
      <c r="J3539" s="25" t="str">
        <f>IF(OR(E3539="",E3539="!!!",F3539="NEW"),"",COUNTBLANK(OFFSET(A$1,,,SUMPRODUCT(MAX(ROW(E$2:E3539)*(E3539=E$2:E3539)))))-COUNTBLANK(OFFSET(A$1,,,SUMPRODUCT(MAX(ROW(E$1:E3538)*(E2=E$1:E3538))))))</f>
        <v> </v>
      </c>
      <c r="K3539" s="25" t="str">
        <f>IF(OR(E3539="",E3539="!!!",F3539="NEW"),"",INDEX(J$1:J3538,SUMPRODUCT(MAX(ROW(E$1:E3538)*(E3539=E$1:E3538)))))</f>
        <v> </v>
      </c>
      <c r="L3539" s="26"/>
    </row>
    <row r="3540" spans="1:12">
      <c r="A3540" s="20" t="s">
        <v>735</v>
      </c>
      <c r="E3540" s="21">
        <f>IF(D3540="?OLD","!!!","")</f>
        <v/>
      </c>
      <c r="F3540" s="22" t="str">
        <f>IF(OR(E3540="",E3540="!!!"),"",IF(NOT(ISNA(VLOOKUP(E3540,E$1:E3539,1,FALSE()))),"OLD",IF(AND(E3540&lt;&gt;"",E3540&lt;&gt;"!!!"),"NEW","")))</f>
        <v> </v>
      </c>
      <c r="G3540" s="23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4" t="str">
        <f>IF(J3540&lt;&gt;1,"",IF(I3540="SBJ","CB","?"))</f>
        <v> </v>
      </c>
      <c r="I3540" s="25" t="str">
        <f>IF(OR(E3540="",E3540="!!!",F3540="NEW"),"",INDEX(B3539:B$2,-1+SUMPRODUCT(MAX(ROW(E3539:E$2)*(E3540=E3539:E$2)))))</f>
        <v> </v>
      </c>
      <c r="J3540" s="25" t="str">
        <f>IF(OR(E3540="",E3540="!!!",F3540="NEW"),"",COUNTBLANK(OFFSET(A$1,,,SUMPRODUCT(MAX(ROW(E$2:E3540)*(E3540=E$2:E3540)))))-COUNTBLANK(OFFSET(A$1,,,SUMPRODUCT(MAX(ROW(E$1:E3539)*(E2=E$1:E3539))))))</f>
        <v> </v>
      </c>
      <c r="K3540" s="25" t="str">
        <f>IF(OR(E3540="",E3540="!!!",F3540="NEW"),"",INDEX(J$1:J3539,SUMPRODUCT(MAX(ROW(E$1:E3539)*(E3540=E$1:E3539)))))</f>
        <v> </v>
      </c>
      <c r="L3540" s="26"/>
    </row>
    <row r="3541" spans="1:12">
      <c r="A3541" s="20" t="s">
        <v>1983</v>
      </c>
      <c r="E3541" s="21">
        <f>IF(D3541="?OLD","!!!","")</f>
        <v/>
      </c>
      <c r="F3541" s="22" t="str">
        <f>IF(OR(E3541="",E3541="!!!"),"",IF(NOT(ISNA(VLOOKUP(E3541,E$1:E3540,1,FALSE()))),"OLD",IF(AND(E3541&lt;&gt;"",E3541&lt;&gt;"!!!"),"NEW","")))</f>
        <v> </v>
      </c>
      <c r="G3541" s="23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4" t="str">
        <f>IF(J3541&lt;&gt;1,"",IF(I3541="SBJ","CB","?"))</f>
        <v> </v>
      </c>
      <c r="I3541" s="25" t="str">
        <f>IF(OR(E3541="",E3541="!!!",F3541="NEW"),"",INDEX(B3540:B$2,-1+SUMPRODUCT(MAX(ROW(E3540:E$2)*(E3541=E3540:E$2)))))</f>
        <v> </v>
      </c>
      <c r="J3541" s="25" t="str">
        <f>IF(OR(E3541="",E3541="!!!",F3541="NEW"),"",COUNTBLANK(OFFSET(A$1,,,SUMPRODUCT(MAX(ROW(E$2:E3541)*(E3541=E$2:E3541)))))-COUNTBLANK(OFFSET(A$1,,,SUMPRODUCT(MAX(ROW(E$1:E3540)*(E2=E$1:E3540))))))</f>
        <v> </v>
      </c>
      <c r="K3541" s="25" t="str">
        <f>IF(OR(E3541="",E3541="!!!",F3541="NEW"),"",INDEX(J$1:J3540,SUMPRODUCT(MAX(ROW(E$1:E3540)*(E3541=E$1:E3540)))))</f>
        <v> </v>
      </c>
      <c r="L3541" s="26"/>
    </row>
    <row r="3542" spans="1:12">
      <c r="A3542" s="20" t="s">
        <v>1471</v>
      </c>
      <c r="E3542" s="21">
        <f>IF(D3542="?OLD","!!!","")</f>
        <v/>
      </c>
      <c r="F3542" s="22" t="str">
        <f>IF(OR(E3542="",E3542="!!!"),"",IF(NOT(ISNA(VLOOKUP(E3542,E$1:E3541,1,FALSE()))),"OLD",IF(AND(E3542&lt;&gt;"",E3542&lt;&gt;"!!!"),"NEW","")))</f>
        <v> </v>
      </c>
      <c r="G3542" s="23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4" t="str">
        <f>IF(J3542&lt;&gt;1,"",IF(I3542="SBJ","CB","?"))</f>
        <v> </v>
      </c>
      <c r="I3542" s="25" t="str">
        <f>IF(OR(E3542="",E3542="!!!",F3542="NEW"),"",INDEX(B3541:B$2,-1+SUMPRODUCT(MAX(ROW(E3541:E$2)*(E3542=E3541:E$2)))))</f>
        <v> </v>
      </c>
      <c r="J3542" s="25" t="str">
        <f>IF(OR(E3542="",E3542="!!!",F3542="NEW"),"",COUNTBLANK(OFFSET(A$1,,,SUMPRODUCT(MAX(ROW(E$2:E3542)*(E3542=E$2:E3542)))))-COUNTBLANK(OFFSET(A$1,,,SUMPRODUCT(MAX(ROW(E$1:E3541)*(E2=E$1:E3541))))))</f>
        <v> </v>
      </c>
      <c r="K3542" s="25" t="str">
        <f>IF(OR(E3542="",E3542="!!!",F3542="NEW"),"",INDEX(J$1:J3541,SUMPRODUCT(MAX(ROW(E$1:E3541)*(E3542=E$1:E3541)))))</f>
        <v> </v>
      </c>
      <c r="L3542" s="26"/>
    </row>
    <row r="3543" spans="1:12">
      <c r="A3543" s="20" t="s">
        <v>741</v>
      </c>
      <c r="B3543" s="27" t="s">
        <v>867</v>
      </c>
      <c r="C3543" s="27" t="s">
        <v>728</v>
      </c>
      <c r="E3543" s="21">
        <f>IF(D3543="?OLD","!!!","")</f>
        <v/>
      </c>
      <c r="F3543" s="22" t="str">
        <f>IF(OR(E3543="",E3543="!!!"),"",IF(NOT(ISNA(VLOOKUP(E3543,E$1:E3542,1,FALSE()))),"OLD",IF(AND(E3543&lt;&gt;"",E3543&lt;&gt;"!!!"),"NEW","")))</f>
        <v> </v>
      </c>
      <c r="G3543" s="23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4" t="str">
        <f>IF(J3543&lt;&gt;1,"",IF(I3543="SBJ","CB","?"))</f>
        <v> </v>
      </c>
      <c r="I3543" s="25" t="str">
        <f>IF(OR(E3543="",E3543="!!!",F3543="NEW"),"",INDEX(B3542:B$2,-1+SUMPRODUCT(MAX(ROW(E3542:E$2)*(E3543=E3542:E$2)))))</f>
        <v> </v>
      </c>
      <c r="J3543" s="25" t="str">
        <f>IF(OR(E3543="",E3543="!!!",F3543="NEW"),"",COUNTBLANK(OFFSET(A$1,,,SUMPRODUCT(MAX(ROW(E$2:E3543)*(E3543=E$2:E3543)))))-COUNTBLANK(OFFSET(A$1,,,SUMPRODUCT(MAX(ROW(E$1:E3542)*(E2=E$1:E3542))))))</f>
        <v> </v>
      </c>
      <c r="K3543" s="25" t="str">
        <f>IF(OR(E3543="",E3543="!!!",F3543="NEW"),"",INDEX(J$1:J3542,SUMPRODUCT(MAX(ROW(E$1:E3542)*(E3543=E$1:E3542)))))</f>
        <v> </v>
      </c>
      <c r="L3543" s="26"/>
    </row>
    <row r="3544" spans="1:12">
      <c r="A3544" s="20" t="s">
        <v>720</v>
      </c>
      <c r="E3544" s="21">
        <f>IF(D3544="?OLD","!!!","")</f>
        <v/>
      </c>
      <c r="F3544" s="22" t="str">
        <f>IF(OR(E3544="",E3544="!!!"),"",IF(NOT(ISNA(VLOOKUP(E3544,E$1:E3543,1,FALSE()))),"OLD",IF(AND(E3544&lt;&gt;"",E3544&lt;&gt;"!!!"),"NEW","")))</f>
        <v> </v>
      </c>
      <c r="G3544" s="23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4" t="str">
        <f>IF(J3544&lt;&gt;1,"",IF(I3544="SBJ","CB","?"))</f>
        <v> </v>
      </c>
      <c r="I3544" s="25" t="str">
        <f>IF(OR(E3544="",E3544="!!!",F3544="NEW"),"",INDEX(B3543:B$2,-1+SUMPRODUCT(MAX(ROW(E3543:E$2)*(E3544=E3543:E$2)))))</f>
        <v> </v>
      </c>
      <c r="J3544" s="25" t="str">
        <f>IF(OR(E3544="",E3544="!!!",F3544="NEW"),"",COUNTBLANK(OFFSET(A$1,,,SUMPRODUCT(MAX(ROW(E$2:E3544)*(E3544=E$2:E3544)))))-COUNTBLANK(OFFSET(A$1,,,SUMPRODUCT(MAX(ROW(E$1:E3543)*(E2=E$1:E3543))))))</f>
        <v> </v>
      </c>
      <c r="K3544" s="25" t="str">
        <f>IF(OR(E3544="",E3544="!!!",F3544="NEW"),"",INDEX(J$1:J3543,SUMPRODUCT(MAX(ROW(E$1:E3543)*(E3544=E$1:E3543)))))</f>
        <v> </v>
      </c>
      <c r="L3544" s="26"/>
    </row>
    <row r="3545" spans="1:12">
      <c r="A3545" s="20"/>
    </row>
    <row r="3546" spans="1:12">
      <c r="A3546" s="20" t="s">
        <v>2001</v>
      </c>
    </row>
    <row r="3547" spans="1:12">
      <c r="A3547" s="20" t="s">
        <v>2002</v>
      </c>
      <c r="E3547" s="21">
        <f>IF(D3547="?OLD","!!!","")</f>
        <v/>
      </c>
      <c r="F3547" s="22" t="str">
        <f>IF(OR(E3547="",E3547="!!!"),"",IF(NOT(ISNA(VLOOKUP(E3547,E$1:E3546,1,FALSE()))),"OLD",IF(AND(E3547&lt;&gt;"",E3547&lt;&gt;"!!!"),"NEW","")))</f>
        <v> </v>
      </c>
      <c r="G3547" s="23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4" t="str">
        <f>IF(J3547&lt;&gt;1,"",IF(I3547="SBJ","CB","?"))</f>
        <v> </v>
      </c>
      <c r="I3547" s="25" t="str">
        <f>IF(OR(E3547="",E3547="!!!",F3547="NEW"),"",INDEX(B3546:B$2,-1+SUMPRODUCT(MAX(ROW(E3546:E$2)*(E3547=E3546:E$2)))))</f>
        <v> </v>
      </c>
      <c r="J3547" s="25" t="str">
        <f>IF(OR(E3547="",E3547="!!!",F3547="NEW"),"",COUNTBLANK(OFFSET(A$1,,,SUMPRODUCT(MAX(ROW(E$2:E3547)*(E3547=E$2:E3547)))))-COUNTBLANK(OFFSET(A$1,,,SUMPRODUCT(MAX(ROW(E$1:E3546)*(E2=E$1:E3546))))))</f>
        <v> </v>
      </c>
      <c r="K3547" s="25" t="str">
        <f>IF(OR(E3547="",E3547="!!!",F3547="NEW"),"",INDEX(J$1:J3546,SUMPRODUCT(MAX(ROW(E$1:E3546)*(E3547=E$1:E3546)))))</f>
        <v> </v>
      </c>
      <c r="L3547" s="26"/>
    </row>
    <row r="3548" spans="1:12">
      <c r="A3548" s="20" t="s">
        <v>1568</v>
      </c>
      <c r="B3548" s="27" t="s">
        <v>727</v>
      </c>
      <c r="C3548" s="27" t="s">
        <v>715</v>
      </c>
      <c r="D3548" s="27" t="s">
        <v>716</v>
      </c>
      <c r="E3548" s="21">
        <f>IF(D3548="?OLD","!!!","")</f>
        <v/>
      </c>
      <c r="F3548" s="22" t="str">
        <f>IF(OR(E3548="",E3548="!!!"),"",IF(NOT(ISNA(VLOOKUP(E3548,E$1:E3547,1,FALSE()))),"OLD",IF(AND(E3548&lt;&gt;"",E3548&lt;&gt;"!!!"),"NEW","")))</f>
        <v> </v>
      </c>
      <c r="G3548" s="23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4" t="str">
        <f>IF(J3548&lt;&gt;1,"",IF(I3548="SBJ","CB","?"))</f>
        <v> </v>
      </c>
      <c r="I3548" s="25" t="str">
        <f>IF(OR(E3548="",E3548="!!!",F3548="NEW"),"",INDEX(B3547:B$2,-1+SUMPRODUCT(MAX(ROW(E3547:E$2)*(E3548=E3547:E$2)))))</f>
        <v> </v>
      </c>
      <c r="J3548" s="25" t="str">
        <f>IF(OR(E3548="",E3548="!!!",F3548="NEW"),"",COUNTBLANK(OFFSET(A$1,,,SUMPRODUCT(MAX(ROW(E$2:E3548)*(E3548=E$2:E3548)))))-COUNTBLANK(OFFSET(A$1,,,SUMPRODUCT(MAX(ROW(E$1:E3547)*(E2=E$1:E3547))))))</f>
        <v> </v>
      </c>
      <c r="K3548" s="25" t="str">
        <f>IF(OR(E3548="",E3548="!!!",F3548="NEW"),"",INDEX(J$1:J3547,SUMPRODUCT(MAX(ROW(E$1:E3547)*(E3548=E$1:E3547)))))</f>
        <v> </v>
      </c>
      <c r="L3548" s="26"/>
    </row>
    <row r="3549" spans="1:12">
      <c r="A3549" s="20" t="s">
        <v>581</v>
      </c>
      <c r="E3549" s="21">
        <f>IF(D3549="?OLD","!!!","")</f>
        <v/>
      </c>
      <c r="F3549" s="22" t="str">
        <f>IF(OR(E3549="",E3549="!!!"),"",IF(NOT(ISNA(VLOOKUP(E3549,E$1:E3548,1,FALSE()))),"OLD",IF(AND(E3549&lt;&gt;"",E3549&lt;&gt;"!!!"),"NEW","")))</f>
        <v> </v>
      </c>
      <c r="G3549" s="23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4" t="str">
        <f>IF(J3549&lt;&gt;1,"",IF(I3549="SBJ","CB","?"))</f>
        <v> </v>
      </c>
      <c r="I3549" s="25" t="str">
        <f>IF(OR(E3549="",E3549="!!!",F3549="NEW"),"",INDEX(B3548:B$2,-1+SUMPRODUCT(MAX(ROW(E3548:E$2)*(E3549=E3548:E$2)))))</f>
        <v> </v>
      </c>
      <c r="J3549" s="25" t="str">
        <f>IF(OR(E3549="",E3549="!!!",F3549="NEW"),"",COUNTBLANK(OFFSET(A$1,,,SUMPRODUCT(MAX(ROW(E$2:E3549)*(E3549=E$2:E3549)))))-COUNTBLANK(OFFSET(A$1,,,SUMPRODUCT(MAX(ROW(E$1:E3548)*(E2=E$1:E3548))))))</f>
        <v> </v>
      </c>
      <c r="K3549" s="25" t="str">
        <f>IF(OR(E3549="",E3549="!!!",F3549="NEW"),"",INDEX(J$1:J3548,SUMPRODUCT(MAX(ROW(E$1:E3548)*(E3549=E$1:E3548)))))</f>
        <v> </v>
      </c>
      <c r="L3549" s="26"/>
    </row>
    <row r="3550" spans="1:12">
      <c r="A3550" s="20" t="s">
        <v>739</v>
      </c>
      <c r="E3550" s="21">
        <f>IF(D3550="?OLD","!!!","")</f>
        <v/>
      </c>
      <c r="F3550" s="22" t="str">
        <f>IF(OR(E3550="",E3550="!!!"),"",IF(NOT(ISNA(VLOOKUP(E3550,E$1:E3549,1,FALSE()))),"OLD",IF(AND(E3550&lt;&gt;"",E3550&lt;&gt;"!!!"),"NEW","")))</f>
        <v> </v>
      </c>
      <c r="G3550" s="23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4" t="str">
        <f>IF(J3550&lt;&gt;1,"",IF(I3550="SBJ","CB","?"))</f>
        <v> </v>
      </c>
      <c r="I3550" s="25" t="str">
        <f>IF(OR(E3550="",E3550="!!!",F3550="NEW"),"",INDEX(B3549:B$2,-1+SUMPRODUCT(MAX(ROW(E3549:E$2)*(E3550=E3549:E$2)))))</f>
        <v> </v>
      </c>
      <c r="J3550" s="25" t="str">
        <f>IF(OR(E3550="",E3550="!!!",F3550="NEW"),"",COUNTBLANK(OFFSET(A$1,,,SUMPRODUCT(MAX(ROW(E$2:E3550)*(E3550=E$2:E3550)))))-COUNTBLANK(OFFSET(A$1,,,SUMPRODUCT(MAX(ROW(E$1:E3549)*(E2=E$1:E3549))))))</f>
        <v> </v>
      </c>
      <c r="K3550" s="25" t="str">
        <f>IF(OR(E3550="",E3550="!!!",F3550="NEW"),"",INDEX(J$1:J3549,SUMPRODUCT(MAX(ROW(E$1:E3549)*(E3550=E$1:E3549)))))</f>
        <v> </v>
      </c>
      <c r="L3550" s="26"/>
    </row>
    <row r="3551" spans="1:12">
      <c r="A3551" s="20" t="s">
        <v>1921</v>
      </c>
      <c r="E3551" s="21">
        <f>IF(D3551="?OLD","!!!","")</f>
        <v/>
      </c>
      <c r="F3551" s="22" t="str">
        <f>IF(OR(E3551="",E3551="!!!"),"",IF(NOT(ISNA(VLOOKUP(E3551,E$1:E3550,1,FALSE()))),"OLD",IF(AND(E3551&lt;&gt;"",E3551&lt;&gt;"!!!"),"NEW","")))</f>
        <v> </v>
      </c>
      <c r="G3551" s="23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4" t="str">
        <f>IF(J3551&lt;&gt;1,"",IF(I3551="SBJ","CB","?"))</f>
        <v> </v>
      </c>
      <c r="I3551" s="25" t="str">
        <f>IF(OR(E3551="",E3551="!!!",F3551="NEW"),"",INDEX(B3550:B$2,-1+SUMPRODUCT(MAX(ROW(E3550:E$2)*(E3551=E3550:E$2)))))</f>
        <v> </v>
      </c>
      <c r="J3551" s="25" t="str">
        <f>IF(OR(E3551="",E3551="!!!",F3551="NEW"),"",COUNTBLANK(OFFSET(A$1,,,SUMPRODUCT(MAX(ROW(E$2:E3551)*(E3551=E$2:E3551)))))-COUNTBLANK(OFFSET(A$1,,,SUMPRODUCT(MAX(ROW(E$1:E3550)*(E2=E$1:E3550))))))</f>
        <v> </v>
      </c>
      <c r="K3551" s="25" t="str">
        <f>IF(OR(E3551="",E3551="!!!",F3551="NEW"),"",INDEX(J$1:J3550,SUMPRODUCT(MAX(ROW(E$1:E3550)*(E3551=E$1:E3550)))))</f>
        <v> </v>
      </c>
      <c r="L3551" s="26"/>
    </row>
    <row r="3552" spans="1:12">
      <c r="A3552" s="20" t="s">
        <v>2003</v>
      </c>
      <c r="E3552" s="21">
        <f>IF(D3552="?OLD","!!!","")</f>
        <v/>
      </c>
      <c r="F3552" s="22" t="str">
        <f>IF(OR(E3552="",E3552="!!!"),"",IF(NOT(ISNA(VLOOKUP(E3552,E$1:E3551,1,FALSE()))),"OLD",IF(AND(E3552&lt;&gt;"",E3552&lt;&gt;"!!!"),"NEW","")))</f>
        <v> </v>
      </c>
      <c r="G3552" s="23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4" t="str">
        <f>IF(J3552&lt;&gt;1,"",IF(I3552="SBJ","CB","?"))</f>
        <v> </v>
      </c>
      <c r="I3552" s="25" t="str">
        <f>IF(OR(E3552="",E3552="!!!",F3552="NEW"),"",INDEX(B3551:B$2,-1+SUMPRODUCT(MAX(ROW(E3551:E$2)*(E3552=E3551:E$2)))))</f>
        <v> </v>
      </c>
      <c r="J3552" s="25" t="str">
        <f>IF(OR(E3552="",E3552="!!!",F3552="NEW"),"",COUNTBLANK(OFFSET(A$1,,,SUMPRODUCT(MAX(ROW(E$2:E3552)*(E3552=E$2:E3552)))))-COUNTBLANK(OFFSET(A$1,,,SUMPRODUCT(MAX(ROW(E$1:E3551)*(E2=E$1:E3551))))))</f>
        <v> </v>
      </c>
      <c r="K3552" s="25" t="str">
        <f>IF(OR(E3552="",E3552="!!!",F3552="NEW"),"",INDEX(J$1:J3551,SUMPRODUCT(MAX(ROW(E$1:E3551)*(E3552=E$1:E3551)))))</f>
        <v> </v>
      </c>
      <c r="L3552" s="26"/>
    </row>
    <row r="3553" spans="1:12">
      <c r="A3553" s="20" t="s">
        <v>2004</v>
      </c>
      <c r="E3553" s="21">
        <f>IF(D3553="?OLD","!!!","")</f>
        <v/>
      </c>
      <c r="F3553" s="22" t="str">
        <f>IF(OR(E3553="",E3553="!!!"),"",IF(NOT(ISNA(VLOOKUP(E3553,E$1:E3552,1,FALSE()))),"OLD",IF(AND(E3553&lt;&gt;"",E3553&lt;&gt;"!!!"),"NEW","")))</f>
        <v> </v>
      </c>
      <c r="G3553" s="23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4" t="str">
        <f>IF(J3553&lt;&gt;1,"",IF(I3553="SBJ","CB","?"))</f>
        <v> </v>
      </c>
      <c r="I3553" s="25" t="str">
        <f>IF(OR(E3553="",E3553="!!!",F3553="NEW"),"",INDEX(B3552:B$2,-1+SUMPRODUCT(MAX(ROW(E3552:E$2)*(E3553=E3552:E$2)))))</f>
        <v> </v>
      </c>
      <c r="J3553" s="25" t="str">
        <f>IF(OR(E3553="",E3553="!!!",F3553="NEW"),"",COUNTBLANK(OFFSET(A$1,,,SUMPRODUCT(MAX(ROW(E$2:E3553)*(E3553=E$2:E3553)))))-COUNTBLANK(OFFSET(A$1,,,SUMPRODUCT(MAX(ROW(E$1:E3552)*(E2=E$1:E3552))))))</f>
        <v> </v>
      </c>
      <c r="K3553" s="25" t="str">
        <f>IF(OR(E3553="",E3553="!!!",F3553="NEW"),"",INDEX(J$1:J3552,SUMPRODUCT(MAX(ROW(E$1:E3552)*(E3553=E$1:E3552)))))</f>
        <v> </v>
      </c>
      <c r="L3553" s="26"/>
    </row>
    <row r="3554" spans="1:12">
      <c r="A3554" s="20" t="s">
        <v>720</v>
      </c>
      <c r="E3554" s="21">
        <f>IF(D3554="?OLD","!!!","")</f>
        <v/>
      </c>
      <c r="F3554" s="22" t="str">
        <f>IF(OR(E3554="",E3554="!!!"),"",IF(NOT(ISNA(VLOOKUP(E3554,E$1:E3553,1,FALSE()))),"OLD",IF(AND(E3554&lt;&gt;"",E3554&lt;&gt;"!!!"),"NEW","")))</f>
        <v> </v>
      </c>
      <c r="G3554" s="23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4" t="str">
        <f>IF(J3554&lt;&gt;1,"",IF(I3554="SBJ","CB","?"))</f>
        <v> </v>
      </c>
      <c r="I3554" s="25" t="str">
        <f>IF(OR(E3554="",E3554="!!!",F3554="NEW"),"",INDEX(B3553:B$2,-1+SUMPRODUCT(MAX(ROW(E3553:E$2)*(E3554=E3553:E$2)))))</f>
        <v> </v>
      </c>
      <c r="J3554" s="25" t="str">
        <f>IF(OR(E3554="",E3554="!!!",F3554="NEW"),"",COUNTBLANK(OFFSET(A$1,,,SUMPRODUCT(MAX(ROW(E$2:E3554)*(E3554=E$2:E3554)))))-COUNTBLANK(OFFSET(A$1,,,SUMPRODUCT(MAX(ROW(E$1:E3553)*(E2=E$1:E3553))))))</f>
        <v> </v>
      </c>
      <c r="K3554" s="25" t="str">
        <f>IF(OR(E3554="",E3554="!!!",F3554="NEW"),"",INDEX(J$1:J3553,SUMPRODUCT(MAX(ROW(E$1:E3553)*(E3554=E$1:E3553)))))</f>
        <v> </v>
      </c>
      <c r="L3554" s="26"/>
    </row>
    <row r="3555" spans="1:12">
      <c r="A3555" s="20"/>
    </row>
    <row r="3556" spans="1:12">
      <c r="A3556" s="20" t="s">
        <v>2005</v>
      </c>
    </row>
    <row r="3557" spans="1:12">
      <c r="A3557" s="20" t="s">
        <v>1826</v>
      </c>
      <c r="E3557" s="21">
        <f>IF(D3557="?OLD","!!!","")</f>
        <v/>
      </c>
      <c r="F3557" s="22" t="str">
        <f>IF(OR(E3557="",E3557="!!!"),"",IF(NOT(ISNA(VLOOKUP(E3557,E$1:E3556,1,FALSE()))),"OLD",IF(AND(E3557&lt;&gt;"",E3557&lt;&gt;"!!!"),"NEW","")))</f>
        <v> </v>
      </c>
      <c r="G3557" s="23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4" t="str">
        <f>IF(J3557&lt;&gt;1,"",IF(I3557="SBJ","CB","?"))</f>
        <v> </v>
      </c>
      <c r="I3557" s="25" t="str">
        <f>IF(OR(E3557="",E3557="!!!",F3557="NEW"),"",INDEX(B3556:B$2,-1+SUMPRODUCT(MAX(ROW(E3556:E$2)*(E3557=E3556:E$2)))))</f>
        <v> </v>
      </c>
      <c r="J3557" s="25" t="str">
        <f>IF(OR(E3557="",E3557="!!!",F3557="NEW"),"",COUNTBLANK(OFFSET(A$1,,,SUMPRODUCT(MAX(ROW(E$2:E3557)*(E3557=E$2:E3557)))))-COUNTBLANK(OFFSET(A$1,,,SUMPRODUCT(MAX(ROW(E$1:E3556)*(E2=E$1:E3556))))))</f>
        <v> </v>
      </c>
      <c r="K3557" s="25" t="str">
        <f>IF(OR(E3557="",E3557="!!!",F3557="NEW"),"",INDEX(J$1:J3556,SUMPRODUCT(MAX(ROW(E$1:E3556)*(E3557=E$1:E3556)))))</f>
        <v> </v>
      </c>
      <c r="L3557" s="26"/>
    </row>
    <row r="3558" spans="1:12">
      <c r="A3558" s="20" t="s">
        <v>737</v>
      </c>
      <c r="E3558" s="21">
        <f>IF(D3558="?OLD","!!!","")</f>
        <v/>
      </c>
      <c r="F3558" s="22" t="str">
        <f>IF(OR(E3558="",E3558="!!!"),"",IF(NOT(ISNA(VLOOKUP(E3558,E$1:E3557,1,FALSE()))),"OLD",IF(AND(E3558&lt;&gt;"",E3558&lt;&gt;"!!!"),"NEW","")))</f>
        <v> </v>
      </c>
      <c r="G3558" s="23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4" t="str">
        <f>IF(J3558&lt;&gt;1,"",IF(I3558="SBJ","CB","?"))</f>
        <v> </v>
      </c>
      <c r="I3558" s="25" t="str">
        <f>IF(OR(E3558="",E3558="!!!",F3558="NEW"),"",INDEX(B3557:B$2,-1+SUMPRODUCT(MAX(ROW(E3557:E$2)*(E3558=E3557:E$2)))))</f>
        <v> </v>
      </c>
      <c r="J3558" s="25" t="str">
        <f>IF(OR(E3558="",E3558="!!!",F3558="NEW"),"",COUNTBLANK(OFFSET(A$1,,,SUMPRODUCT(MAX(ROW(E$2:E3558)*(E3558=E$2:E3558)))))-COUNTBLANK(OFFSET(A$1,,,SUMPRODUCT(MAX(ROW(E$1:E3557)*(E2=E$1:E3557))))))</f>
        <v> </v>
      </c>
      <c r="K3558" s="25" t="str">
        <f>IF(OR(E3558="",E3558="!!!",F3558="NEW"),"",INDEX(J$1:J3557,SUMPRODUCT(MAX(ROW(E$1:E3557)*(E3558=E$1:E3557)))))</f>
        <v> </v>
      </c>
      <c r="L3558" s="26"/>
    </row>
    <row r="3559" spans="1:12">
      <c r="A3559" s="20" t="s">
        <v>1914</v>
      </c>
      <c r="B3559" s="27" t="s">
        <v>781</v>
      </c>
      <c r="C3559" s="27" t="s">
        <v>1060</v>
      </c>
      <c r="D3559" s="27" t="s">
        <v>716</v>
      </c>
      <c r="E3559" s="21">
        <f>IF(D3559="?OLD","!!!","")</f>
        <v/>
      </c>
      <c r="F3559" s="22" t="str">
        <f>IF(OR(E3559="",E3559="!!!"),"",IF(NOT(ISNA(VLOOKUP(E3559,E$1:E3558,1,FALSE()))),"OLD",IF(AND(E3559&lt;&gt;"",E3559&lt;&gt;"!!!"),"NEW","")))</f>
        <v> </v>
      </c>
      <c r="G3559" s="23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4" t="str">
        <f>IF(J3559&lt;&gt;1,"",IF(I3559="SBJ","CB","?"))</f>
        <v> </v>
      </c>
      <c r="I3559" s="25" t="str">
        <f>IF(OR(E3559="",E3559="!!!",F3559="NEW"),"",INDEX(B3558:B$2,-1+SUMPRODUCT(MAX(ROW(E3558:E$2)*(E3559=E3558:E$2)))))</f>
        <v> </v>
      </c>
      <c r="J3559" s="25" t="str">
        <f>IF(OR(E3559="",E3559="!!!",F3559="NEW"),"",COUNTBLANK(OFFSET(A$1,,,SUMPRODUCT(MAX(ROW(E$2:E3559)*(E3559=E$2:E3559)))))-COUNTBLANK(OFFSET(A$1,,,SUMPRODUCT(MAX(ROW(E$1:E3558)*(E2=E$1:E3558))))))</f>
        <v> </v>
      </c>
      <c r="K3559" s="25" t="str">
        <f>IF(OR(E3559="",E3559="!!!",F3559="NEW"),"",INDEX(J$1:J3558,SUMPRODUCT(MAX(ROW(E$1:E3558)*(E3559=E$1:E3558)))))</f>
        <v> </v>
      </c>
      <c r="L3559" s="26"/>
    </row>
    <row r="3560" spans="1:12">
      <c r="A3560" s="20" t="s">
        <v>1847</v>
      </c>
      <c r="B3560" s="27" t="s">
        <v>731</v>
      </c>
      <c r="C3560" s="27" t="s">
        <v>1060</v>
      </c>
      <c r="D3560" s="27" t="s">
        <v>716</v>
      </c>
      <c r="E3560" s="21">
        <f>IF(D3560="?OLD","!!!","")</f>
        <v/>
      </c>
      <c r="F3560" s="22" t="str">
        <f>IF(OR(E3560="",E3560="!!!"),"",IF(NOT(ISNA(VLOOKUP(E3560,E$1:E3559,1,FALSE()))),"OLD",IF(AND(E3560&lt;&gt;"",E3560&lt;&gt;"!!!"),"NEW","")))</f>
        <v> </v>
      </c>
      <c r="G3560" s="23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4" t="str">
        <f>IF(J3560&lt;&gt;1,"",IF(I3560="SBJ","CB","?"))</f>
        <v> </v>
      </c>
      <c r="I3560" s="25" t="str">
        <f>IF(OR(E3560="",E3560="!!!",F3560="NEW"),"",INDEX(B3559:B$2,-1+SUMPRODUCT(MAX(ROW(E3559:E$2)*(E3560=E3559:E$2)))))</f>
        <v> </v>
      </c>
      <c r="J3560" s="25" t="str">
        <f>IF(OR(E3560="",E3560="!!!",F3560="NEW"),"",COUNTBLANK(OFFSET(A$1,,,SUMPRODUCT(MAX(ROW(E$2:E3560)*(E3560=E$2:E3560)))))-COUNTBLANK(OFFSET(A$1,,,SUMPRODUCT(MAX(ROW(E$1:E3559)*(E2=E$1:E3559))))))</f>
        <v> </v>
      </c>
      <c r="K3560" s="25" t="str">
        <f>IF(OR(E3560="",E3560="!!!",F3560="NEW"),"",INDEX(J$1:J3559,SUMPRODUCT(MAX(ROW(E$1:E3559)*(E3560=E$1:E3559)))))</f>
        <v> </v>
      </c>
      <c r="L3560" s="26"/>
    </row>
    <row r="3561" spans="1:12">
      <c r="A3561" s="20" t="s">
        <v>720</v>
      </c>
      <c r="E3561" s="21">
        <f>IF(D3561="?OLD","!!!","")</f>
        <v/>
      </c>
      <c r="F3561" s="22" t="str">
        <f>IF(OR(E3561="",E3561="!!!"),"",IF(NOT(ISNA(VLOOKUP(E3561,E$1:E3560,1,FALSE()))),"OLD",IF(AND(E3561&lt;&gt;"",E3561&lt;&gt;"!!!"),"NEW","")))</f>
        <v> </v>
      </c>
      <c r="G3561" s="23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4" t="str">
        <f>IF(J3561&lt;&gt;1,"",IF(I3561="SBJ","CB","?"))</f>
        <v> </v>
      </c>
      <c r="I3561" s="25" t="str">
        <f>IF(OR(E3561="",E3561="!!!",F3561="NEW"),"",INDEX(B3560:B$2,-1+SUMPRODUCT(MAX(ROW(E3560:E$2)*(E3561=E3560:E$2)))))</f>
        <v> </v>
      </c>
      <c r="J3561" s="25" t="str">
        <f>IF(OR(E3561="",E3561="!!!",F3561="NEW"),"",COUNTBLANK(OFFSET(A$1,,,SUMPRODUCT(MAX(ROW(E$2:E3561)*(E3561=E$2:E3561)))))-COUNTBLANK(OFFSET(A$1,,,SUMPRODUCT(MAX(ROW(E$1:E3560)*(E2=E$1:E3560))))))</f>
        <v> </v>
      </c>
      <c r="K3561" s="25" t="str">
        <f>IF(OR(E3561="",E3561="!!!",F3561="NEW"),"",INDEX(J$1:J3560,SUMPRODUCT(MAX(ROW(E$1:E3560)*(E3561=E$1:E3560)))))</f>
        <v> </v>
      </c>
      <c r="L3561" s="26"/>
    </row>
    <row r="3562" spans="1:12">
      <c r="A356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2024-12-05T18:03:15Z</dcterms:created>
  <dcterms:modified xsi:type="dcterms:W3CDTF">2024-12-05T18:03:15Z</dcterms:modified>
</cp:coreProperties>
</file>