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<sst xmlns="http://schemas.openxmlformats.org/spreadsheetml/2006/main" count="8915" uniqueCount="3034">
  <si>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</si>
  <si>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</si>
  <si>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</si>
  <si>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</si>
  <si>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</si>
  <si>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</si>
  <si>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</si>
  <si>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</si>
  <si>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</si>
  <si>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</si>
  <si>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</si>
  <si>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</si>
  <si>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</si>
  <si>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говорить</t>
  </si>
  <si>
    <t>Сегодня я буду говорить об энергии и климате .</t>
  </si>
  <si>
    <t>file://conllu/ru/teddy-918.conllu#s1_0</t>
  </si>
  <si>
    <t>2</t>
  </si>
  <si>
    <t>3</t>
  </si>
  <si>
    <t>мочь</t>
  </si>
  <si>
    <t>И это может показаться несколько удивительно , потому что вся моя работа в фонде посвящена , по большей части , вакцинам и семенам , тому , что надо изобрести и внедрить , чтобы улучшить жизнь беднейших двух миллиардов населения Земли .</t>
  </si>
  <si>
    <t>file://conllu/ru/teddy-918.conllu#s2_0</t>
  </si>
  <si>
    <t>то</t>
  </si>
  <si>
    <t>Но дело в том , что энергия и климат для этого слоя исключительно важны .</t>
  </si>
  <si>
    <t>file://conllu/ru/teddy-918.conllu#s3_0</t>
  </si>
  <si>
    <t>7</t>
  </si>
  <si>
    <t>важный</t>
  </si>
  <si>
    <t>Более того , для них это важнее , чем для всех остальных на планете .</t>
  </si>
  <si>
    <t>file://conllu/ru/teddy-918.conllu#s4_0</t>
  </si>
  <si>
    <t>5</t>
  </si>
  <si>
    <t>6</t>
  </si>
  <si>
    <t>означать</t>
  </si>
  <si>
    <t>Ведь ухудшение климата для них означает , что урожая не будет несколько лет .</t>
  </si>
  <si>
    <t>file://conllu/ru/teddy-918.conllu#s5_0</t>
  </si>
  <si>
    <t>быть (быть много)</t>
  </si>
  <si>
    <t>Дождя будет либо слишком много , либо слишком мало , и их хрупкая среда окажется просто не в состоянии справиться с изменениями .</t>
  </si>
  <si>
    <t>file://conllu/ru/teddy-918.conllu#s6_0</t>
  </si>
  <si>
    <t>привести</t>
  </si>
  <si>
    <t>Это приведёт к голоду , к неуверенности , к беспорядкам .</t>
  </si>
  <si>
    <t>file://conllu/ru/teddy-918.conllu#s7_0</t>
  </si>
  <si>
    <t>8</t>
  </si>
  <si>
    <t>ужасно</t>
  </si>
  <si>
    <t>Значит , изменения климата для этих людей ужасно .</t>
  </si>
  <si>
    <t>file://conllu/ru/teddy-918.conllu#s8_0</t>
  </si>
  <si>
    <t>9</t>
  </si>
  <si>
    <t>иметь</t>
  </si>
  <si>
    <t>Кроме этого , большое значение для них имеют цены на энергию .</t>
  </si>
  <si>
    <t>file://conllu/ru/teddy-918.conllu#s9_0</t>
  </si>
  <si>
    <t>10</t>
  </si>
  <si>
    <t>способный</t>
  </si>
  <si>
    <t>Вообще , если спросить снижение цены на что способно сократить бедность , то ответ , без всякого сомнения , это – цена на энергию .</t>
  </si>
  <si>
    <t>file://conllu/ru/teddy-918.conllu#s10_0</t>
  </si>
  <si>
    <t>11</t>
  </si>
  <si>
    <t>падать</t>
  </si>
  <si>
    <t>В течение длительного времени цена на энергию падала .</t>
  </si>
  <si>
    <t>file://conllu/ru/teddy-918.conllu#s11_0</t>
  </si>
  <si>
    <t>12</t>
  </si>
  <si>
    <t>базироваться</t>
  </si>
  <si>
    <t>Более того , развитие самой цивилизации базируется на развитии форм энергетики .</t>
  </si>
  <si>
    <t>file://conllu/ru/teddy-918.conllu#s12_0</t>
  </si>
  <si>
    <t>13</t>
  </si>
  <si>
    <t>быть (быть основа)</t>
  </si>
  <si>
    <t>Революция в угледобыче была основой промышленной революции .</t>
  </si>
  <si>
    <t>file://conllu/ru/teddy-918.conllu#s13_0</t>
  </si>
  <si>
    <t>14</t>
  </si>
  <si>
    <t>наблюдать</t>
  </si>
  <si>
    <t>Уже в 1900-х годах наблюдалось резкое падение цен на электричество , благодаря чему появились холодильники , кондиционеры , современные материалы и многое другое .</t>
  </si>
  <si>
    <t>file://conllu/ru/teddy-918.conllu#s14_0</t>
  </si>
  <si>
    <t>15</t>
  </si>
  <si>
    <t>замечательный</t>
  </si>
  <si>
    <t>Таким образом , в мире достатка ситуация с электричеством замечательна .</t>
  </si>
  <si>
    <t>file://conllu/ru/teddy-918.conllu#s15_0</t>
  </si>
  <si>
    <t>16</t>
  </si>
  <si>
    <t>сказать (сказать хотеть)</t>
  </si>
  <si>
    <t>Но по мере её удешевления , – скажем , мы хотим снижения цены наполовину – мы сталкиваемся с новыми ограничениями , связанными с СО2 : углекислый газ вызывает глобальное потепление .</t>
  </si>
  <si>
    <t>file://conllu/ru/teddy-918.conllu#s16_0</t>
  </si>
  <si>
    <t>17</t>
  </si>
  <si>
    <t>уравнение</t>
  </si>
  <si>
    <t>Уравнение для СО2 очень недвусмысленно : сумма выбрасываемого объёма СО2 ведёт к увеличению температуры , что , в свою очередь , имеет очень негативные последствия : потепление влияет на погоду .</t>
  </si>
  <si>
    <t>file://conllu/ru/teddy-918.conllu#s17_0</t>
  </si>
  <si>
    <t>18</t>
  </si>
  <si>
    <t>плохой</t>
  </si>
  <si>
    <t>Но возможно , даже хуже – это косвенно влияет на природные экосистемы , неспособные приспособиться к быстрым изменениям , что приводит к разрушению экосистем .</t>
  </si>
  <si>
    <t>file://conllu/ru/teddy-918.conllu#s18_0</t>
  </si>
  <si>
    <t>19</t>
  </si>
  <si>
    <t>Наскать</t>
  </si>
  <si>
    <t>Насчёт того , насколько именно увеличение объёма СО2 приведёт к какой именно температуре и где именно будет обратная связь , такой расчёт содержит неопределённости , но их немного .</t>
  </si>
  <si>
    <t>file://conllu/ru/teddy-918.conllu#s19_0</t>
  </si>
  <si>
    <t>20</t>
  </si>
  <si>
    <t>быть</t>
  </si>
  <si>
    <t>И есть , конечно же , неопределённость насчёт того , насколько плохие будут последствия , но ясно , что они будут исключительно плохие .</t>
  </si>
  <si>
    <t>file://conllu/ru/teddy-918.conllu#s20_0</t>
  </si>
  <si>
    <t>21</t>
  </si>
  <si>
    <t>спрашивать</t>
  </si>
  <si>
    <t>Я несколько раз спрашивал самых лучших ученых , действительно ли нужно снизить объём выбросов до почти нуля ?</t>
  </si>
  <si>
    <t>file://conllu/ru/teddy-918.conllu#s21_0</t>
  </si>
  <si>
    <t>22</t>
  </si>
  <si>
    <t>нельзя</t>
  </si>
  <si>
    <t>Нельзя ли сократить наполовину или до четверти ?</t>
  </si>
  <si>
    <t>file://conllu/ru/teddy-918.conllu#s22_0</t>
  </si>
  <si>
    <t>23</t>
  </si>
  <si>
    <t>Ответ в том , что пока мы не дойдём до уровня , близкого к нулю , температура будет продолжать расти .</t>
  </si>
  <si>
    <t>file://conllu/ru/teddy-918.conllu#s23_0</t>
  </si>
  <si>
    <t>24</t>
  </si>
  <si>
    <t>проблема</t>
  </si>
  <si>
    <t>Значит , это большая проблема .</t>
  </si>
  <si>
    <t>file://conllu/ru/teddy-918.conllu#s24_0</t>
  </si>
  <si>
    <t>25</t>
  </si>
  <si>
    <t>хотеть</t>
  </si>
  <si>
    <t>Это совсем не то , чтобы нагруженный до высоты 3,5 метров грузовик хочет проскочить , пытаясь аккуратно прижаться , под мостом высотой в 3 метра .</t>
  </si>
  <si>
    <t>file://conllu/ru/teddy-918.conllu#s25_0</t>
  </si>
  <si>
    <t>26</t>
  </si>
  <si>
    <t>Тут задача в том , чтобы достичь именно нуля .</t>
  </si>
  <si>
    <t>file://conllu/ru/teddy-918.conllu#s26_0</t>
  </si>
  <si>
    <t>27</t>
  </si>
  <si>
    <t>выбрасывать</t>
  </si>
  <si>
    <t>Каждый год выбрасывается огромный объём углекислого газа , более 26 миллиардов тонн .</t>
  </si>
  <si>
    <t>file://conllu/ru/teddy-918.conllu#s27_0</t>
  </si>
  <si>
    <t>28</t>
  </si>
  <si>
    <t>приходиться</t>
  </si>
  <si>
    <t>На каждого американца приходится 20 тонн .</t>
  </si>
  <si>
    <t>file://conllu/ru/teddy-918.conllu#s28_0</t>
  </si>
  <si>
    <t>29</t>
  </si>
  <si>
    <t>житель</t>
  </si>
  <si>
    <t>На жителей бедных стран – менее 1 тонны .</t>
  </si>
  <si>
    <t>file://conllu/ru/teddy-918.conllu#s29_0</t>
  </si>
  <si>
    <t>30</t>
  </si>
  <si>
    <t>тонна</t>
  </si>
  <si>
    <t>В среднем на жителя планеты – по 5 тонн .</t>
  </si>
  <si>
    <t>file://conllu/ru/teddy-918.conllu#s30_0</t>
  </si>
  <si>
    <t>31</t>
  </si>
  <si>
    <t>нужный</t>
  </si>
  <si>
    <t>Какими-то изменениями нужно добиться того , чтобы эта цифра свелась к нулю .</t>
  </si>
  <si>
    <t>file://conllu/ru/teddy-918.conllu#s31_0</t>
  </si>
  <si>
    <t>32</t>
  </si>
  <si>
    <t>двигаться</t>
  </si>
  <si>
    <t>Но она всегда неуклонно движется вверх .</t>
  </si>
  <si>
    <t>file://conllu/ru/teddy-918.conllu#s32_0</t>
  </si>
  <si>
    <t>33</t>
  </si>
  <si>
    <t>Лишь определённые изменения в экономике могли приостановить рост , да и то ненадолго .</t>
  </si>
  <si>
    <t>file://conllu/ru/teddy-918.conllu#s33_0</t>
  </si>
  <si>
    <t>34</t>
  </si>
  <si>
    <t>необходимый</t>
  </si>
  <si>
    <t>Значит , необходимо перейти от быстрорастущей кривой к падающей , причем падающей до нуля В этом уравнении четыре множителя .</t>
  </si>
  <si>
    <t>file://conllu/ru/teddy-918.conllu#s34_0</t>
  </si>
  <si>
    <t>35</t>
  </si>
  <si>
    <t>вспомянуть</t>
  </si>
  <si>
    <t>Вспомним операцию умножения .</t>
  </si>
  <si>
    <t>file://conllu/ru/teddy-918.conllu#s35_0</t>
  </si>
  <si>
    <t>36</t>
  </si>
  <si>
    <t>Итак?</t>
  </si>
  <si>
    <t>слева</t>
  </si>
  <si>
    <t>Итак , слева – объём выбросов СО2 , и надо добиться , чтобы он был равен нулю .</t>
  </si>
  <si>
    <t>file://conllu/ru/teddy-918.conllu#s36_0</t>
  </si>
  <si>
    <t>37</t>
  </si>
  <si>
    <t>зависеть</t>
  </si>
  <si>
    <t>Объём зависит от числа людей на планете , среднего объёма услуг , которыми пользуется каждый из них , среднего энергопотребления на услугу , и среднего объёма выброса СО2 на единицу произведённой энергии .</t>
  </si>
  <si>
    <t>file://conllu/ru/teddy-918.conllu#s37_0</t>
  </si>
  <si>
    <t>38</t>
  </si>
  <si>
    <t>смотреть (смотреть давать)</t>
  </si>
  <si>
    <t>Давайте по одному рассмотрим каждый множитель и посмотрим , как свести CO2 к нулю .</t>
  </si>
  <si>
    <t>file://conllu/ru/teddy-918.conllu#s38_0</t>
  </si>
  <si>
    <t>39</t>
  </si>
  <si>
    <t>быть (быть должен)</t>
  </si>
  <si>
    <t>Скорее всего , должен будет стать близким к нулю один из сомножителей – так нам говорит школьный курс математики .</t>
  </si>
  <si>
    <t>file://conllu/ru/teddy-918.conllu#s39_0</t>
  </si>
  <si>
    <t>40</t>
  </si>
  <si>
    <t>давать</t>
  </si>
  <si>
    <t>Давайте взглянем .</t>
  </si>
  <si>
    <t>file://conllu/ru/teddy-918.conllu#s40_0</t>
  </si>
  <si>
    <t>41</t>
  </si>
  <si>
    <t>сомножитель</t>
  </si>
  <si>
    <t>Первый сомножитель – население .</t>
  </si>
  <si>
    <t>file://conllu/ru/teddy-918.conllu#s41_0</t>
  </si>
  <si>
    <t>42</t>
  </si>
  <si>
    <t>сегодня</t>
  </si>
  <si>
    <t>Сегодня в мире – 6,8 миллиардов людей , и эта цифра вырастет примерно до 9 миллиардов .</t>
  </si>
  <si>
    <t>file://conllu/ru/teddy-918.conllu#s42_0</t>
  </si>
  <si>
    <t>43</t>
  </si>
  <si>
    <t>условие</t>
  </si>
  <si>
    <t>При условии крупных успехов в создании новых вакцин , в здравоохранении , в сфере охраны репродуктивного здоровья , рост может снизиться на 10 15 % , но это всё равно прирост на примерно 1,3 миллиарда .</t>
  </si>
  <si>
    <t>file://conllu/ru/teddy-918.conllu#s43_0</t>
  </si>
  <si>
    <t>44</t>
  </si>
  <si>
    <t>Второй сомножитель – объём потребляемых услуг .</t>
  </si>
  <si>
    <t>file://conllu/ru/teddy-918.conllu#s44_0</t>
  </si>
  <si>
    <t>45</t>
  </si>
  <si>
    <t>охватывать</t>
  </si>
  <si>
    <t>Он охватывает всё : пищу , одежду , телевидение , отопление .</t>
  </si>
  <si>
    <t>file://conllu/ru/teddy-918.conllu#s45_0</t>
  </si>
  <si>
    <t>46</t>
  </si>
  <si>
    <t>вещь</t>
  </si>
  <si>
    <t>Это всё – хорошие вещи , а избавление от бедности означает как раз предоставление именно этих услуг почти всем на планете .</t>
  </si>
  <si>
    <t>file://conllu/ru/teddy-918.conllu#s46_0</t>
  </si>
  <si>
    <t>47</t>
  </si>
  <si>
    <t>прекрасный</t>
  </si>
  <si>
    <t>И если эта цифра растёт – так это же прекрасно !</t>
  </si>
  <si>
    <t>file://conllu/ru/teddy-918.conllu#s47_0</t>
  </si>
  <si>
    <t>48</t>
  </si>
  <si>
    <t>можно</t>
  </si>
  <si>
    <t>Для обеспеченной части населения , скажем , для верхнего 1 миллиарда , вероятно , можно немного сократить потребление , но каждый год усреднённая цифра будет расти и , в целом , услуги на одного жителя планеты более , чем удвоятся .</t>
  </si>
  <si>
    <t>file://conllu/ru/teddy-918.conllu#s48_0</t>
  </si>
  <si>
    <t>49</t>
  </si>
  <si>
    <t>что</t>
  </si>
  <si>
    <t>Вот в чём смысл базовых услуг : есть ли дома свет , чтобы сделать домашнее задание .</t>
  </si>
  <si>
    <t>file://conllu/ru/teddy-918.conllu#s49_0</t>
  </si>
  <si>
    <t>50</t>
  </si>
  <si>
    <t>нет</t>
  </si>
  <si>
    <t>У ребят этого нет , вот они и сидят под фонарями , читая школьные задания .</t>
  </si>
  <si>
    <t>file://conllu/ru/teddy-918.conllu#s50_0</t>
  </si>
  <si>
    <t>51</t>
  </si>
  <si>
    <t>далее</t>
  </si>
  <si>
    <t>Дальше , множитель Е , энергопотребление на единицу услуг .</t>
  </si>
  <si>
    <t>file://conllu/ru/teddy-918.conllu#s51_0</t>
  </si>
  <si>
    <t>52</t>
  </si>
  <si>
    <t>легкий</t>
  </si>
  <si>
    <t>C ним , наконец , несколько легче : этот параметр не растёт .</t>
  </si>
  <si>
    <t>file://conllu/ru/teddy-918.conllu#s52_0</t>
  </si>
  <si>
    <t>53</t>
  </si>
  <si>
    <t>способ</t>
  </si>
  <si>
    <t>Открытия и изобретения , как например , новые способы освещения , разные типы автомобилей , разные спосбы строительства зданий , привели к значительному снижению энергопотребления для большого спектра услуг .</t>
  </si>
  <si>
    <t>file://conllu/ru/teddy-918.conllu#s53_0</t>
  </si>
  <si>
    <t>54</t>
  </si>
  <si>
    <t>составить</t>
  </si>
  <si>
    <t>В некоторых случаях снижение составило даже 90 % .</t>
  </si>
  <si>
    <t>file://conllu/ru/teddy-918.conllu#s54_0</t>
  </si>
  <si>
    <t>55</t>
  </si>
  <si>
    <t>мало</t>
  </si>
  <si>
    <t>В других областях , скажем , при производстве удобрений или в воздушном транспорте , возможностей дальнейшего сокращения энергопотребления существенно меньше .</t>
  </si>
  <si>
    <t>file://conllu/ru/teddy-918.conllu#s55_0</t>
  </si>
  <si>
    <t>56</t>
  </si>
  <si>
    <t>Значит , по самым оптимистичным ожиданиям , данный параметр может сократиться раза в три , может , в шесть .</t>
  </si>
  <si>
    <t>file://conllu/ru/teddy-918.conllu#s56_0</t>
  </si>
  <si>
    <t>57</t>
  </si>
  <si>
    <t>Вместе?</t>
  </si>
  <si>
    <t>Но по первым трём множителям вместе это будет означать снижение с 26 миллиардов до 13 миллиардов в лучшем случае , а это не то , что нам надо .</t>
  </si>
  <si>
    <t>file://conllu/ru/teddy-918.conllu#s57_0</t>
  </si>
  <si>
    <t>58</t>
  </si>
  <si>
    <t>Давайте теперь рассмотрим 4-й множитель – и он окажется ключевым – объём выбросов СО2 на единицу произведённой энергии .</t>
  </si>
  <si>
    <t>file://conllu/ru/teddy-918.conllu#s58_0</t>
  </si>
  <si>
    <t>59</t>
  </si>
  <si>
    <t>Вопрос в том , можно ли его свести к нулю ?</t>
  </si>
  <si>
    <t>file://conllu/ru/teddy-918.conllu#s59_0</t>
  </si>
  <si>
    <t>60</t>
  </si>
  <si>
    <t>Если использовать уголь – нет .</t>
  </si>
  <si>
    <t>file://conllu/ru/teddy-918.conllu#s60_0</t>
  </si>
  <si>
    <t>61</t>
  </si>
  <si>
    <t>Если использовать газ – нет .</t>
  </si>
  <si>
    <t>file://conllu/ru/teddy-918.conllu#s61_0</t>
  </si>
  <si>
    <t>62</t>
  </si>
  <si>
    <t>Практически все сегодняшние способы производства электричества , за исключением недавно появившихся возобновляемых и ядерных источников , дают выбросы СО2 .</t>
  </si>
  <si>
    <t>file://conllu/ru/teddy-918.conllu#s62_0</t>
  </si>
  <si>
    <t>63</t>
  </si>
  <si>
    <t>оставаться</t>
  </si>
  <si>
    <t>Поэтому нам не остается ничего , другого , кроме как создавать новую систему в глобальном масштабе .</t>
  </si>
  <si>
    <t>file://conllu/ru/teddy-918.conllu#s63_0</t>
  </si>
  <si>
    <t>64</t>
  </si>
  <si>
    <t>Нам нужно энергетическое чудо .</t>
  </si>
  <si>
    <t>file://conllu/ru/teddy-918.conllu#s64_0</t>
  </si>
  <si>
    <t>65</t>
  </si>
  <si>
    <t>Под словом «чудо» я не имею в виду нечто невозможное .</t>
  </si>
  <si>
    <t>file://conllu/ru/teddy-918.conllu#s65_0</t>
  </si>
  <si>
    <t>66</t>
  </si>
  <si>
    <t>микропроцессор</t>
  </si>
  <si>
    <t>Микропроцессор – это чудо .</t>
  </si>
  <si>
    <t>file://conllu/ru/teddy-918.conllu#s66_0</t>
  </si>
  <si>
    <t>67</t>
  </si>
  <si>
    <t>компьютер</t>
  </si>
  <si>
    <t>Персональный компьютер – чудо .</t>
  </si>
  <si>
    <t>file://conllu/ru/teddy-918.conllu#s67_0</t>
  </si>
  <si>
    <t>68</t>
  </si>
  <si>
    <t>услуга</t>
  </si>
  <si>
    <t>Интернет и интернет услуги – чудо .</t>
  </si>
  <si>
    <t>file://conllu/ru/teddy-918.conllu#s68_0</t>
  </si>
  <si>
    <t>69</t>
  </si>
  <si>
    <t>участвовать</t>
  </si>
  <si>
    <t>Присутствующие в зале участвовали в создании многих чудес .</t>
  </si>
  <si>
    <t>file://conllu/ru/teddy-918.conllu#s69_0</t>
  </si>
  <si>
    <t>70</t>
  </si>
  <si>
    <t>Обычно в этом случае нет крайнего срока , нет даты , к которой необходимо сотворить чудо .</t>
  </si>
  <si>
    <t>file://conllu/ru/teddy-918.conllu#s70_0</t>
  </si>
  <si>
    <t>71</t>
  </si>
  <si>
    <t>приносить</t>
  </si>
  <si>
    <t>Обычно жизнь приносит нам чудо или не приносит , а не мы за ним гонимся .</t>
  </si>
  <si>
    <t>file://conllu/ru/teddy-918.conllu#s71_0</t>
  </si>
  <si>
    <t>72</t>
  </si>
  <si>
    <t>надо</t>
  </si>
  <si>
    <t>Но этот как раз тот случай , когда гнаться надо , да ещё во всю мощь и получить чудо в очень сжатые сроки Я думал , как можно увлечь вас этим .</t>
  </si>
  <si>
    <t>file://conllu/ru/teddy-918.conllu#s72_0</t>
  </si>
  <si>
    <t>73</t>
  </si>
  <si>
    <t>Есть ли какие-то естественные , наглядные примеры , способные вызвать живое воображение ?</t>
  </si>
  <si>
    <t>file://conllu/ru/teddy-918.conllu#s73_0</t>
  </si>
  <si>
    <t>74</t>
  </si>
  <si>
    <t>Я вспомнил , как год назад я привёз [ на TED2009 ] комаров , и людям это почему-то понравилось .</t>
  </si>
  <si>
    <t>file://conllu/ru/teddy-918.conllu#s74_0</t>
  </si>
  <si>
    <t>75</t>
  </si>
  <si>
    <t>чувствовать</t>
  </si>
  <si>
    <t>( Смех ) Они живо прочувствовали , каково тем , кто всё время живёт с комарами .</t>
  </si>
  <si>
    <t>file://conllu/ru/teddy-918.conllu#s75_0</t>
  </si>
  <si>
    <t>76</t>
  </si>
  <si>
    <t>Насчёт энергетики , всё , что мне пришло в голову – выпустить светлячков .</t>
  </si>
  <si>
    <t>file://conllu/ru/teddy-918.conllu#s76_0</t>
  </si>
  <si>
    <t>77</t>
  </si>
  <si>
    <t>быть (быть вклад)</t>
  </si>
  <si>
    <t>Пусть это будет моим вкладом в охрану окружающей среды в этом году .</t>
  </si>
  <si>
    <t>file://conllu/ru/teddy-918.conllu#s77_0</t>
  </si>
  <si>
    <t>78</t>
  </si>
  <si>
    <t>вот</t>
  </si>
  <si>
    <t>Вот несколько светлячков .</t>
  </si>
  <si>
    <t>file://conllu/ru/teddy-918.conllu#s78_0</t>
  </si>
  <si>
    <t>79</t>
  </si>
  <si>
    <t>сказать</t>
  </si>
  <si>
    <t>Мне сказали , что они не кусают .</t>
  </si>
  <si>
    <t>file://conllu/ru/teddy-918.conllu#s79_0</t>
  </si>
  <si>
    <t>80</t>
  </si>
  <si>
    <t>Вообще то , они даже из банки могут не вылететь Так вот , надуманных трюков типа этого имеется масса , но от них нет никакой пользы .</t>
  </si>
  <si>
    <t>file://conllu/ru/teddy-918.conllu#s80_0</t>
  </si>
  <si>
    <t>81</t>
  </si>
  <si>
    <t>Нам необходимы решения , одно или несколько , невероятного масштаба и невероятной надежности .</t>
  </si>
  <si>
    <t>file://conllu/ru/teddy-918.conllu#s81_0</t>
  </si>
  <si>
    <t>82</t>
  </si>
  <si>
    <t>видеть</t>
  </si>
  <si>
    <t>Хотя исследования ведутся во многих областях , я вижу лишь пять направлений с перспективами крупномасштабного эффекта .</t>
  </si>
  <si>
    <t>file://conllu/ru/teddy-918.conllu#s82_0</t>
  </si>
  <si>
    <t>83</t>
  </si>
  <si>
    <t>Я не буду говорить о приливных станциях , геотермической энергии , ядерном синтезе и био-топливе .</t>
  </si>
  <si>
    <t>file://conllu/ru/teddy-918.conllu#s83_0</t>
  </si>
  <si>
    <t>84</t>
  </si>
  <si>
    <t>Каждое из них способно сделать свой вклад , и если он окажется выше моих ожиданий , то тем лучше .</t>
  </si>
  <si>
    <t>file://conllu/ru/teddy-918.conllu#s84_0</t>
  </si>
  <si>
    <t>85</t>
  </si>
  <si>
    <t>Но главное в том , что по каждому из этих пяти направлений надо работать и не сдаваться лишь из-за того , что задача кажется непосильной , потому что каждая из этих задач очень серьезная .</t>
  </si>
  <si>
    <t>file://conllu/ru/teddy-918.conllu#s85_0</t>
  </si>
  <si>
    <t>86</t>
  </si>
  <si>
    <t>Давайте сначала посмотрим на сгорание ископаемого топлива , либо угля , либо газа .</t>
  </si>
  <si>
    <t>file://conllu/ru/teddy-918.conllu#s86_0</t>
  </si>
  <si>
    <t>87</t>
  </si>
  <si>
    <t>простой</t>
  </si>
  <si>
    <t>Казалось бы , здесь всё просто , но это не так .</t>
  </si>
  <si>
    <t>file://conllu/ru/teddy-918.conllu#s87_0</t>
  </si>
  <si>
    <t>88</t>
  </si>
  <si>
    <t>Идея в том , чтобы собирать весь выходящий из трубы углекислый газ , спрессовать его до жидкого состояния , куда-нибудь поместить и надеяться , что он никуда не денется .</t>
  </si>
  <si>
    <t>file://conllu/ru/teddy-918.conllu#s88_0</t>
  </si>
  <si>
    <t>89</t>
  </si>
  <si>
    <t>Есть несколько пилотных проектов , улавливающих до 60 80 процентов СО2 , но подняться до уровня 100 % и при этом найти место хранения таких объёмов СО2 будет очень трудно .</t>
  </si>
  <si>
    <t>file://conllu/ru/teddy-918.conllu#s89_0</t>
  </si>
  <si>
    <t>90</t>
  </si>
  <si>
    <t>вопрос</t>
  </si>
  <si>
    <t>Но самое сложное – вопросы долгосрочности хранения .</t>
  </si>
  <si>
    <t>file://conllu/ru/teddy-918.conllu#s90_0</t>
  </si>
  <si>
    <t>91</t>
  </si>
  <si>
    <t>Как можно быть уверенным в нём ?</t>
  </si>
  <si>
    <t>file://conllu/ru/teddy-918.conllu#s91_0</t>
  </si>
  <si>
    <t>92</t>
  </si>
  <si>
    <t>Кто?</t>
  </si>
  <si>
    <t>Кто может дать гарантию на объёмы , в миллиарды раз большие , чем любой тип отходов , ядерных и прочих ?</t>
  </si>
  <si>
    <t>file://conllu/ru/teddy-918.conllu#s92_0</t>
  </si>
  <si>
    <t>93</t>
  </si>
  <si>
    <t>объь</t>
  </si>
  <si>
    <t>Это действительно большой объём .</t>
  </si>
  <si>
    <t>file://conllu/ru/teddy-918.conllu#s93_0</t>
  </si>
  <si>
    <t>94</t>
  </si>
  <si>
    <t>задача</t>
  </si>
  <si>
    <t>Итак , это сложная задача .</t>
  </si>
  <si>
    <t>file://conllu/ru/teddy-918.conllu#s94_0</t>
  </si>
  <si>
    <t>95</t>
  </si>
  <si>
    <t>энергетика</t>
  </si>
  <si>
    <t>Следующее – ядерная энергетика .</t>
  </si>
  <si>
    <t>file://conllu/ru/teddy-918.conllu#s95_0</t>
  </si>
  <si>
    <t>96</t>
  </si>
  <si>
    <t>иметься</t>
  </si>
  <si>
    <t>Здесь тоже имеются три большие проблемы .</t>
  </si>
  <si>
    <t>file://conllu/ru/teddy-918.conllu#s96_0</t>
  </si>
  <si>
    <t>97</t>
  </si>
  <si>
    <t>большой</t>
  </si>
  <si>
    <t>Во-первых , велика себестоимость , особенно в странах со строгим регулированием этой деятельности .</t>
  </si>
  <si>
    <t>file://conllu/ru/teddy-918.conllu#s97_0</t>
  </si>
  <si>
    <t>98</t>
  </si>
  <si>
    <t>чувство</t>
  </si>
  <si>
    <t>Во-вторых , вопрос безопасности , чувство уверенности , что ничего не случится , что даже при наличии человеческого фактора в эксплуатации станции , топливо не пойдёт на создание оружия .</t>
  </si>
  <si>
    <t>file://conllu/ru/teddy-918.conllu#s98_0</t>
  </si>
  <si>
    <t>99</t>
  </si>
  <si>
    <t>делать</t>
  </si>
  <si>
    <t>И , наконец , что делать с отходами ?</t>
  </si>
  <si>
    <t>file://conllu/ru/teddy-918.conllu#s99_0</t>
  </si>
  <si>
    <t>100</t>
  </si>
  <si>
    <t>вызывать</t>
  </si>
  <si>
    <t>Хоть их и не так много , эта проблема вызывает немалую озабоченность .</t>
  </si>
  <si>
    <t>file://conllu/ru/teddy-918.conllu#s100_0</t>
  </si>
  <si>
    <t>101</t>
  </si>
  <si>
    <t>должен</t>
  </si>
  <si>
    <t>Население должно чувствовать себя комфортно .</t>
  </si>
  <si>
    <t>file://conllu/ru/teddy-918.conllu#s101_0</t>
  </si>
  <si>
    <t>102</t>
  </si>
  <si>
    <t>Потому?</t>
  </si>
  <si>
    <t>Вот три очень трудные проблемы , которые в принципе решить можно , а потому , следует работать над ними .</t>
  </si>
  <si>
    <t>file://conllu/ru/teddy-918.conllu#s102_0</t>
  </si>
  <si>
    <t>103</t>
  </si>
  <si>
    <t>сгруппировать</t>
  </si>
  <si>
    <t>Последние три из пяти направлений я сгруппировал .</t>
  </si>
  <si>
    <t>file://conllu/ru/teddy-918.conllu#s103_0</t>
  </si>
  <si>
    <t>104</t>
  </si>
  <si>
    <t>источники»</t>
  </si>
  <si>
    <t>Это так называемые «возобновляемые источники» .</t>
  </si>
  <si>
    <t>file://conllu/ru/teddy-918.conllu#s104_0</t>
  </si>
  <si>
    <t>105</t>
  </si>
  <si>
    <t>Конечно , замечательно , что для них не требуется топлива , но и они обладают недостатками .</t>
  </si>
  <si>
    <t>file://conllu/ru/teddy-918.conllu#s105_0</t>
  </si>
  <si>
    <t>106</t>
  </si>
  <si>
    <t>низкий</t>
  </si>
  <si>
    <t>Первый – плотность энергии , аккумулируемой посредством этих технологий , существенно ниже , чем в электростанции .</t>
  </si>
  <si>
    <t>file://conllu/ru/teddy-918.conllu#s106_0</t>
  </si>
  <si>
    <t>107</t>
  </si>
  <si>
    <t>угодье</t>
  </si>
  <si>
    <t>Это – энергетические угодья , речь идёт о площадях на много квадратных километров , в тысячи раз больше , чем занимает обычная электростанция .</t>
  </si>
  <si>
    <t>file://conllu/ru/teddy-918.conllu#s107_0</t>
  </si>
  <si>
    <t>108</t>
  </si>
  <si>
    <t>неустойчивый</t>
  </si>
  <si>
    <t>Кроме того , источник энергии неустойчив .</t>
  </si>
  <si>
    <t>file://conllu/ru/teddy-918.conllu#s108_0</t>
  </si>
  <si>
    <t>109</t>
  </si>
  <si>
    <t>светить</t>
  </si>
  <si>
    <t>Солнце светит не целый день , да и не каждый день , равно как и ветер непостоянен .</t>
  </si>
  <si>
    <t>file://conllu/ru/teddy-918.conllu#s109_0</t>
  </si>
  <si>
    <t>110</t>
  </si>
  <si>
    <t>А потому , если мы зависим от этих источников , то надо придумать способ получения энергии за время отсутствия её на источнике .</t>
  </si>
  <si>
    <t>file://conllu/ru/teddy-918.conllu#s110_0</t>
  </si>
  <si>
    <t>111</t>
  </si>
  <si>
    <t>здесь</t>
  </si>
  <si>
    <t>Здесь огромные проблемы с себестоимостью .</t>
  </si>
  <si>
    <t>file://conllu/ru/teddy-918.conllu#s111_0</t>
  </si>
  <si>
    <t>112</t>
  </si>
  <si>
    <t>Проблемы с передачей на расстояние .</t>
  </si>
  <si>
    <t>file://conllu/ru/teddy-918.conllu#s112_0</t>
  </si>
  <si>
    <t>113</t>
  </si>
  <si>
    <t>Например , если источник энергии находится за пределами вашей страны , то вам нужна не только технология , но и защита от риска поступления энергии извне .</t>
  </si>
  <si>
    <t>file://conllu/ru/teddy-918.conllu#s113_0</t>
  </si>
  <si>
    <t>114</t>
  </si>
  <si>
    <t>И , наконец , проблема хранения .</t>
  </si>
  <si>
    <t>file://conllu/ru/teddy-918.conllu#s114_0</t>
  </si>
  <si>
    <t>115</t>
  </si>
  <si>
    <t>считать</t>
  </si>
  <si>
    <t>Чтобы представить масштабы этой проблемы , я посчитал суммарную ёмкость всех типов производимых сегодня батарей – для автомобилей , компьютеров , телефонов , фонариков , для всего – и сравнил это с мировым объёмом используемой электроэнергии .</t>
  </si>
  <si>
    <t>file://conllu/ru/teddy-918.conllu#s115_0</t>
  </si>
  <si>
    <t>116</t>
  </si>
  <si>
    <t>выясниться</t>
  </si>
  <si>
    <t>Выяснилось , что всех производимых сейчас батарей хватит лишь на 10 минут мирового энергопотребления .</t>
  </si>
  <si>
    <t>file://conllu/ru/teddy-918.conllu#s116_0</t>
  </si>
  <si>
    <t>117</t>
  </si>
  <si>
    <t>Значит , здесь нужен революционный прорыв , нечто в сотни раз лучше , чем то , что позволяют нынешние подходы .</t>
  </si>
  <si>
    <t>file://conllu/ru/teddy-918.conllu#s117_0</t>
  </si>
  <si>
    <t>118</t>
  </si>
  <si>
    <t>небезнадёжный</t>
  </si>
  <si>
    <t>Это небезнадёжно , но и не так легко .</t>
  </si>
  <si>
    <t>file://conllu/ru/teddy-918.conllu#s118_0</t>
  </si>
  <si>
    <t>119</t>
  </si>
  <si>
    <t>возникать</t>
  </si>
  <si>
    <t>Такая проблема возникает , если мы хотим производить от нестабильного источника на 20 30 % больше энергии , чем требуется для текущего потребления .</t>
  </si>
  <si>
    <t>file://conllu/ru/teddy-918.conllu#s119_0</t>
  </si>
  <si>
    <t>120</t>
  </si>
  <si>
    <t>требоваться</t>
  </si>
  <si>
    <t>Если мы полностью зависим от источника , то для этого потребуется невероятная чудо батарея .</t>
  </si>
  <si>
    <t>file://conllu/ru/teddy-918.conllu#s120_0</t>
  </si>
  <si>
    <t>121</t>
  </si>
  <si>
    <t>Что же делать ?</t>
  </si>
  <si>
    <t>file://conllu/ru/teddy-918.conllu#s121_0</t>
  </si>
  <si>
    <t>122</t>
  </si>
  <si>
    <t>подступиться</t>
  </si>
  <si>
    <t>Как подступиться к этой проблеме ?</t>
  </si>
  <si>
    <t>file://conllu/ru/teddy-918.conllu#s122_0</t>
  </si>
  <si>
    <t>123</t>
  </si>
  <si>
    <t>проект</t>
  </si>
  <si>
    <t>Новый проект Манхеттен [ для атомной бомбы ] ?</t>
  </si>
  <si>
    <t>file://conllu/ru/teddy-918.conllu#s123_0</t>
  </si>
  <si>
    <t>124</t>
  </si>
  <si>
    <t>добиться</t>
  </si>
  <si>
    <t>Как добиться цели ?</t>
  </si>
  <si>
    <t>file://conllu/ru/teddy-918.conllu#s124_0</t>
  </si>
  <si>
    <t>125</t>
  </si>
  <si>
    <t>Необходимо привлечь к этому много фирм : сотни .</t>
  </si>
  <si>
    <t>file://conllu/ru/teddy-918.conllu#s125_0</t>
  </si>
  <si>
    <t>126</t>
  </si>
  <si>
    <t>По каждому из этих пяти направлений нужно как минимум сто человек .</t>
  </si>
  <si>
    <t>file://conllu/ru/teddy-918.conllu#s126_0</t>
  </si>
  <si>
    <t>127</t>
  </si>
  <si>
    <t>быть (быть можно)</t>
  </si>
  <si>
    <t>Про многих из них можно будет подумать , что они сумасшедшие .</t>
  </si>
  <si>
    <t>file://conllu/ru/teddy-918.conllu#s127_0</t>
  </si>
  <si>
    <t>128</t>
  </si>
  <si>
    <t>хороший</t>
  </si>
  <si>
    <t>И это – хорошо .</t>
  </si>
  <si>
    <t>file://conllu/ru/teddy-918.conllu#s128_0</t>
  </si>
  <si>
    <t>129</t>
  </si>
  <si>
    <t>думать</t>
  </si>
  <si>
    <t>Я думаю , что среди людей здесь , на TED , многие уже этим занимаются .</t>
  </si>
  <si>
    <t>file://conllu/ru/teddy-918.conllu#s129_0</t>
  </si>
  <si>
    <t>130</t>
  </si>
  <si>
    <t>Билл Гросс имеет несколько компаний .</t>
  </si>
  <si>
    <t>file://conllu/ru/teddy-918.conllu#s130_0</t>
  </si>
  <si>
    <t>131</t>
  </si>
  <si>
    <t>называться</t>
  </si>
  <si>
    <t>Одна из них называется eSolar .</t>
  </si>
  <si>
    <t>file://conllu/ru/teddy-918.conllu#s131_0</t>
  </si>
  <si>
    <t>132</t>
  </si>
  <si>
    <t>разработать</t>
  </si>
  <si>
    <t>Она разработала прекрасную технологию по солнечной тепловой энергии .</t>
  </si>
  <si>
    <t>file://conllu/ru/teddy-918.conllu#s132_0</t>
  </si>
  <si>
    <t>133</t>
  </si>
  <si>
    <t>инвестировать</t>
  </si>
  <si>
    <t>Винод Хосла инвестировал в десятки фирм .</t>
  </si>
  <si>
    <t>file://conllu/ru/teddy-918.conllu#s133_0</t>
  </si>
  <si>
    <t>134</t>
  </si>
  <si>
    <t>они</t>
  </si>
  <si>
    <t>У них прекрасные результаты и интереснейшие перспективы , и я стараюсь им помочь .</t>
  </si>
  <si>
    <t>file://conllu/ru/teddy-918.conllu#s134_0</t>
  </si>
  <si>
    <t>135</t>
  </si>
  <si>
    <t>оказывать</t>
  </si>
  <si>
    <t>Мы с Натаном Мирвольдом оказываем поддержку одной фирме , которая , как бы это ни показалось странным , работает в направлении ядерной энергетики .</t>
  </si>
  <si>
    <t>file://conllu/ru/teddy-918.conllu#s135_0</t>
  </si>
  <si>
    <t>136</t>
  </si>
  <si>
    <t>В ядерной энергетике несколько инноваций , например , модулярная и жидкая .</t>
  </si>
  <si>
    <t>file://conllu/ru/teddy-918.conllu#s136_0</t>
  </si>
  <si>
    <t>137</t>
  </si>
  <si>
    <t>прекратиться</t>
  </si>
  <si>
    <t>Обновления в этом секторе прекратились достаточно давно , а потому неудивительно , что тут много хороших и неиспользуемых идей .</t>
  </si>
  <si>
    <t>file://conllu/ru/teddy-918.conllu#s137_0</t>
  </si>
  <si>
    <t>138</t>
  </si>
  <si>
    <t>идея</t>
  </si>
  <si>
    <t>Идея работы Terrapower в том , чтобы вместо сгорания части урана , того самого 1 % , который составляет уран 235 , добиться сгорания 99 % , что есть урана 238 .</t>
  </si>
  <si>
    <t>file://conllu/ru/teddy-918.conllu#s138_0</t>
  </si>
  <si>
    <t>139</t>
  </si>
  <si>
    <t>казаться</t>
  </si>
  <si>
    <t>Эта идея кажется сумасшедшей , но на самом деле она давно уже бродит в умах , но для её проверки не было возможности создать полноценную симуляцию .</t>
  </si>
  <si>
    <t>file://conllu/ru/teddy-918.conllu#s139_0</t>
  </si>
  <si>
    <t>140</t>
  </si>
  <si>
    <t>удаться</t>
  </si>
  <si>
    <t>И только теперь , благодаря современным суперкомпьютерам , удалось построить симуляцию и убедиться , что да , при нужном подходе к материалам , направление может оказаться эффективным .</t>
  </si>
  <si>
    <t>file://conllu/ru/teddy-918.conllu#s140_0</t>
  </si>
  <si>
    <t>141</t>
  </si>
  <si>
    <t>сокращаться</t>
  </si>
  <si>
    <t>А поскольку сгорает уже все 99 % , то себестоимость намного сокращается .</t>
  </si>
  <si>
    <t>file://conllu/ru/teddy-918.conllu#s141_0</t>
  </si>
  <si>
    <t>142</t>
  </si>
  <si>
    <t>сжигать</t>
  </si>
  <si>
    <t>Фактически сжигаются отходы , и , более того , можно использовать в качестве топлива все отходы сегодняшних реакторов .</t>
  </si>
  <si>
    <t>file://conllu/ru/teddy-918.conllu#s142_0</t>
  </si>
  <si>
    <t>143</t>
  </si>
  <si>
    <t>Так что , не волноваться за их судьбу надо , а просто перерабатывать их .</t>
  </si>
  <si>
    <t>file://conllu/ru/teddy-918.conllu#s143_0</t>
  </si>
  <si>
    <t>144</t>
  </si>
  <si>
    <t>потрясающий</t>
  </si>
  <si>
    <t>Это потрясающе .</t>
  </si>
  <si>
    <t>file://conllu/ru/teddy-918.conllu#s144_0</t>
  </si>
  <si>
    <t>145</t>
  </si>
  <si>
    <t>Пока?</t>
  </si>
  <si>
    <t>дышать</t>
  </si>
  <si>
    <t>Эта штука дышит ураном , пока горит .</t>
  </si>
  <si>
    <t>file://conllu/ru/teddy-918.conllu#s145_0</t>
  </si>
  <si>
    <t>146</t>
  </si>
  <si>
    <t>свеча</t>
  </si>
  <si>
    <t>Это как свеча .</t>
  </si>
  <si>
    <t>file://conllu/ru/teddy-918.conllu#s146_0</t>
  </si>
  <si>
    <t>147</t>
  </si>
  <si>
    <t>Вы видите запись процесса , который часто называется реактором двигающейся волны .</t>
  </si>
  <si>
    <t>file://conllu/ru/teddy-918.conllu#s147_0</t>
  </si>
  <si>
    <t>148</t>
  </si>
  <si>
    <t>решить</t>
  </si>
  <si>
    <t>Проблема реально решена по части топлива .</t>
  </si>
  <si>
    <t>file://conllu/ru/teddy-918.conllu#s148_0</t>
  </si>
  <si>
    <t>149</t>
  </si>
  <si>
    <t>Вот фотография одного участка в штате Кентукки .</t>
  </si>
  <si>
    <t>file://conllu/ru/teddy-918.conllu#s149_0</t>
  </si>
  <si>
    <t>150</t>
  </si>
  <si>
    <t>отходы</t>
  </si>
  <si>
    <t>Это – те самые отходы , 99 % , из которых изъята сгораемая при нынешней технологии часть , поэтому они называются обеднённым ураном .</t>
  </si>
  <si>
    <t>file://conllu/ru/teddy-918.conllu#s150_0</t>
  </si>
  <si>
    <t>151</t>
  </si>
  <si>
    <t>достаточный</t>
  </si>
  <si>
    <t>Его достаточно для обеспечения США энергией на сотни лет .</t>
  </si>
  <si>
    <t>file://conllu/ru/teddy-918.conllu#s151_0</t>
  </si>
  <si>
    <t>152</t>
  </si>
  <si>
    <t>А путём простой фильтрации морской воды недорогим процессом , можно получить достаточно топлива на весь период жизни планеты Земля .</t>
  </si>
  <si>
    <t>file://conllu/ru/teddy-918.conllu#s152_0</t>
  </si>
  <si>
    <t>153</t>
  </si>
  <si>
    <t>Вы видите , что впереди много трудных задач , но я вам привёл один пример из сотен и сотен идей , необходимых для продвижения вперёд .</t>
  </si>
  <si>
    <t>file://conllu/ru/teddy-918.conllu#s153_0</t>
  </si>
  <si>
    <t>154</t>
  </si>
  <si>
    <t>подумать</t>
  </si>
  <si>
    <t>Теперь подумаем , как следует измерять успешность наших действий .</t>
  </si>
  <si>
    <t>file://conllu/ru/teddy-918.conllu#s154_0</t>
  </si>
  <si>
    <t>155</t>
  </si>
  <si>
    <t>Как должна выглядеть наша зачётная ведомость ?</t>
  </si>
  <si>
    <t>file://conllu/ru/teddy-918.conllu#s155_0</t>
  </si>
  <si>
    <t>156</t>
  </si>
  <si>
    <t>Что ж , давайте перенесёмся туда , где мы хотим оказаться , и оттуда посмотрим на промежуточные этапы .</t>
  </si>
  <si>
    <t>file://conllu/ru/teddy-918.conllu#s156_0</t>
  </si>
  <si>
    <t>157</t>
  </si>
  <si>
    <t>Сейчас много говорят о 80%-ном сокращении выбросов к 2050-му году .</t>
  </si>
  <si>
    <t>file://conllu/ru/teddy-918.conllu#s157_0</t>
  </si>
  <si>
    <t>158</t>
  </si>
  <si>
    <t>Достичь этой цели очень важно . [ надпись : Снижение выбросов СО2 на 80 % .</t>
  </si>
  <si>
    <t>file://conllu/ru/teddy-918.conllu#s158_0</t>
  </si>
  <si>
    <t>159</t>
  </si>
  <si>
    <t>производить</t>
  </si>
  <si>
    <t>В развитых странах – 0 % эмиссии ] Оставшиеся 20 % будут производиться в бедных странах , в сельском хозяйстве .</t>
  </si>
  <si>
    <t>file://conllu/ru/teddy-918.conllu#s159_0</t>
  </si>
  <si>
    <t>160</t>
  </si>
  <si>
    <t>Надо надеяться , мы сможем очистить лесную и цементную промышленность .</t>
  </si>
  <si>
    <t>file://conllu/ru/teddy-918.conllu#s160_0</t>
  </si>
  <si>
    <t>161</t>
  </si>
  <si>
    <t>переключиться</t>
  </si>
  <si>
    <t>Итак , для достижения этих 80% -ов развитые страны , вместе с Китаем и другими , должны будут целиком переключиться на новые способы производства электричества .</t>
  </si>
  <si>
    <t>file://conllu/ru/teddy-918.conllu#s161_0</t>
  </si>
  <si>
    <t>162</t>
  </si>
  <si>
    <t>Значит , одна оценка у нас будет за то , используем ли мы технологию 0% -ой эмиссии .</t>
  </si>
  <si>
    <t>file://conllu/ru/teddy-918.conllu#s162_0</t>
  </si>
  <si>
    <t>163</t>
  </si>
  <si>
    <t>применять</t>
  </si>
  <si>
    <t>Применили ли её все развитые страны ?</t>
  </si>
  <si>
    <t>file://conllu/ru/teddy-918.conllu#s163_0</t>
  </si>
  <si>
    <t>164</t>
  </si>
  <si>
    <t>начаться</t>
  </si>
  <si>
    <t>Начался ли процесс передачи её дальше ?</t>
  </si>
  <si>
    <t>file://conllu/ru/teddy-918.conllu#s164_0</t>
  </si>
  <si>
    <t>165</t>
  </si>
  <si>
    <t>Это исключительно важно .</t>
  </si>
  <si>
    <t>file://conllu/ru/teddy-918.conllu#s165_0</t>
  </si>
  <si>
    <t>166</t>
  </si>
  <si>
    <t>Вот – главная составляющая зачётной ведомости в 2050 году .</t>
  </si>
  <si>
    <t>file://conllu/ru/teddy-918.conllu#s166_0</t>
  </si>
  <si>
    <t>167</t>
  </si>
  <si>
    <t>Ну а теперь можно спросить , какая должна быть зачётка в 2020 году .</t>
  </si>
  <si>
    <t>file://conllu/ru/teddy-918.conllu#s167_0</t>
  </si>
  <si>
    <t>168</t>
  </si>
  <si>
    <t>быть (быть часть)</t>
  </si>
  <si>
    <t>В ней , опять-таки , будут две составные части .</t>
  </si>
  <si>
    <t>file://conllu/ru/teddy-918.conllu#s168_0</t>
  </si>
  <si>
    <t>169</t>
  </si>
  <si>
    <t>Для сокращения эмиссии надо провести все мероприятия по эффективности .</t>
  </si>
  <si>
    <t>file://conllu/ru/teddy-918.conllu#s169_0</t>
  </si>
  <si>
    <t>170</t>
  </si>
  <si>
    <t>Чем меньше эмиссии , тем меньше суммарный объём СО2 и , следовательно , тем меньше температура .</t>
  </si>
  <si>
    <t>file://conllu/ru/teddy-918.conllu#s170_0</t>
  </si>
  <si>
    <t>171</t>
  </si>
  <si>
    <t>Но в каком-то смысле такая оценка за действия , не приводящие к крупному сокращению выбросов , важна настолько же , а скорее даже меньше , чем оценка за количество инноваций на основе прорывов , выдающихся разработок .</t>
  </si>
  <si>
    <t>file://conllu/ru/teddy-918.conllu#s171_0</t>
  </si>
  <si>
    <t>172</t>
  </si>
  <si>
    <t>С прорывами необходимо спешить , всеми силами стимулировать их .</t>
  </si>
  <si>
    <t>file://conllu/ru/teddy-918.conllu#s172_0</t>
  </si>
  <si>
    <t>173</t>
  </si>
  <si>
    <t>Тут можно измерять числом фирм , пилотных проектов , проведённых изменений в нормативной базе .</t>
  </si>
  <si>
    <t>file://conllu/ru/teddy-918.conllu#s173_0</t>
  </si>
  <si>
    <t>174</t>
  </si>
  <si>
    <t>писать</t>
  </si>
  <si>
    <t>Об этом написано немало отличных книг .</t>
  </si>
  <si>
    <t>file://conllu/ru/teddy-918.conllu#s174_0</t>
  </si>
  <si>
    <t>175</t>
  </si>
  <si>
    <t>освещать</t>
  </si>
  <si>
    <t>Книга Эл Гора «Наш Выбор» , книга Дэвида МакКая «Устойчивая энергия без пустой болтовни» – в них подробно освещается и создаётся круг идей , которые можно широко обсуждать – ведь нам необходима широкая поддержка .</t>
  </si>
  <si>
    <t>file://conllu/ru/teddy-918.conllu#s175_0</t>
  </si>
  <si>
    <t>176</t>
  </si>
  <si>
    <t>Много факторов должно слиться воедино , и вот моё пожелание .</t>
  </si>
  <si>
    <t>file://conllu/ru/teddy-918.conllu#s176_0</t>
  </si>
  <si>
    <t>177</t>
  </si>
  <si>
    <t>конкретно</t>
  </si>
  <si>
    <t>Оно очень конкретно : изобрести эту технологию .</t>
  </si>
  <si>
    <t>file://conllu/ru/teddy-918.conllu#s177_0</t>
  </si>
  <si>
    <t>178</t>
  </si>
  <si>
    <t>Если бы я мог загадать лишь одно желание на следующие 50 лет , мог бы загадать , кто будет президентом , загадать открытие новой вакцины , а эту тему я люблю , или загадать изобретение такой штуки , которая даёт энергию за полцены и без СО2 , то я бы выбрал последнее .</t>
  </si>
  <si>
    <t>file://conllu/ru/teddy-918.conllu#s178_0</t>
  </si>
  <si>
    <t>179</t>
  </si>
  <si>
    <t>Оно имеет самые мощные последствия .</t>
  </si>
  <si>
    <t>file://conllu/ru/teddy-918.conllu#s179_0</t>
  </si>
  <si>
    <t>180</t>
  </si>
  <si>
    <t>Если это желание не осуществится , будет ужасный раскол между мыслящими краткосрочно и долгосрочно , между США и Китаем , между бедными и богатыми странами , а самое главное , для беднейших 2 миллиардов населения жизнь станет намного хуже .</t>
  </si>
  <si>
    <t>file://conllu/ru/teddy-918.conllu#s180_0</t>
  </si>
  <si>
    <t>181</t>
  </si>
  <si>
    <t>обязанный</t>
  </si>
  <si>
    <t>Что же мы обязаны предпринять ?</t>
  </si>
  <si>
    <t>file://conllu/ru/teddy-918.conllu#s181_0</t>
  </si>
  <si>
    <t>182</t>
  </si>
  <si>
    <t>выступать (выступать призывать)</t>
  </si>
  <si>
    <t>За какую цель я призываю вас выступать и бороться ?</t>
  </si>
  <si>
    <t>file://conllu/ru/teddy-918.conllu#s182_0</t>
  </si>
  <si>
    <t>183</t>
  </si>
  <si>
    <t>Необходимо выделять больше субсидий на научные исследования .</t>
  </si>
  <si>
    <t>file://conllu/ru/teddy-918.conllu#s183_0</t>
  </si>
  <si>
    <t>184</t>
  </si>
  <si>
    <t>На международных встречах в Копенгагене или в других местах должны обсуждаться не только вопросы СО2 , в повестке дня должны стоять инновации и обновления .</t>
  </si>
  <si>
    <t>file://conllu/ru/teddy-918.conllu#s184_0</t>
  </si>
  <si>
    <t>185</t>
  </si>
  <si>
    <t>поразить</t>
  </si>
  <si>
    <t>Вы будете поражены смехотворно низким уровнем расходов на новаторские подходы .</t>
  </si>
  <si>
    <t>file://conllu/ru/teddy-918.conllu#s185_0</t>
  </si>
  <si>
    <t>186</t>
  </si>
  <si>
    <t>Остро необходимо рыночное стимулирование , налог на СО2 , торговля эмиссионными квотами , всё , что дает ценовой стимул к действию .</t>
  </si>
  <si>
    <t>file://conllu/ru/teddy-918.conllu#s186_0</t>
  </si>
  <si>
    <t>187</t>
  </si>
  <si>
    <t>Необходимо широкое понимание проблемы .</t>
  </si>
  <si>
    <t>file://conllu/ru/teddy-918.conllu#s187_0</t>
  </si>
  <si>
    <t>188</t>
  </si>
  <si>
    <t>Необходимо , чтобы диалог на эту тему был более разумный , более понятный , включая меры , предпринимаемые правительством .</t>
  </si>
  <si>
    <t>file://conllu/ru/teddy-918.conllu#s188_0</t>
  </si>
  <si>
    <t>189</t>
  </si>
  <si>
    <t>пожелание</t>
  </si>
  <si>
    <t>Это важное пожелание , и я думаю , что мы сможем его осуществить .</t>
  </si>
  <si>
    <t>file://conllu/ru/teddy-918.conllu#s189_0</t>
  </si>
  <si>
    <t>190</t>
  </si>
  <si>
    <t>спасибо</t>
  </si>
  <si>
    <t>Спасибо .</t>
  </si>
  <si>
    <t>file://conllu/ru/teddy-918.conllu#s190_0</t>
  </si>
  <si>
    <t>191</t>
  </si>
  <si>
    <t>аплодисменты</t>
  </si>
  <si>
    <t>( Аплодисменты ) Крис Андерсон : Спасибо .</t>
  </si>
  <si>
    <t>file://conllu/ru/teddy-918.conllu#s191_0</t>
  </si>
  <si>
    <t>192</t>
  </si>
  <si>
    <t>file://conllu/ru/teddy-918.conllu#s192_0</t>
  </si>
  <si>
    <t>193</t>
  </si>
  <si>
    <t>file://conllu/ru/teddy-918.conllu#s193_0</t>
  </si>
  <si>
    <t>194</t>
  </si>
  <si>
    <t>Я просто хотел кое-что прояснить себе насчёт Terrapower …</t>
  </si>
  <si>
    <t>file://conllu/ru/teddy-918.conllu#s194_0</t>
  </si>
  <si>
    <t>195</t>
  </si>
  <si>
    <t>Прежде всего , не могли бы Вы дать нам представление о размере инвестиций здесь ?</t>
  </si>
  <si>
    <t>file://conllu/ru/teddy-918.conllu#s195_0</t>
  </si>
  <si>
    <t>196</t>
  </si>
  <si>
    <t>Билл</t>
  </si>
  <si>
    <t>Билл Гейтс :</t>
  </si>
  <si>
    <t>file://conllu/ru/teddy-918.conllu#s196_0</t>
  </si>
  <si>
    <t>197</t>
  </si>
  <si>
    <t>Написать программы , прогнать их на суперкомпьютере и нанять всех учёных , что мы и сделали , – это лишь десятки миллионов .</t>
  </si>
  <si>
    <t>file://conllu/ru/teddy-918.conllu#s197_0</t>
  </si>
  <si>
    <t>198</t>
  </si>
  <si>
    <t>пойти</t>
  </si>
  <si>
    <t>Даже после того , как мы протестируем материалы на российском реакторе , чтобы быть уверенными , что материалы функционируют как надо , речь пойдет лишь о сотнях миллионов .</t>
  </si>
  <si>
    <t>file://conllu/ru/teddy-918.conllu#s198_0</t>
  </si>
  <si>
    <t>199</t>
  </si>
  <si>
    <t>быть (быть трудный)</t>
  </si>
  <si>
    <t>Вот что будет трудно , так это – построить пилотный реактор , найти несколько миллиардов , найти местность с юридической средой , благоприятной для строительства первого реактора .</t>
  </si>
  <si>
    <t>file://conllu/ru/teddy-918.conllu#s199_0</t>
  </si>
  <si>
    <t>200</t>
  </si>
  <si>
    <t>заработать</t>
  </si>
  <si>
    <t>Как только первый реактор будет построен и при этом заработает как обещано , то всё остальное ясно , как день , потому что экономичность и плотность энергии радикально отличаются от обычной ядерной энергетики .</t>
  </si>
  <si>
    <t>file://conllu/ru/teddy-918.conllu#s200_0</t>
  </si>
  <si>
    <t>201</t>
  </si>
  <si>
    <t>Это означает?</t>
  </si>
  <si>
    <t>К.</t>
  </si>
  <si>
    <t>К. А. : Если я правильно всё понимаю , это означает строительство глубоко в земле как бы вертикальной колонны из ядерного топлива , из того самого отработанного урана , после чего процесс начинается на макушке и продолжается вниз .</t>
  </si>
  <si>
    <t>file://conllu/ru/teddy-918.conllu#s201_0</t>
  </si>
  <si>
    <t>202</t>
  </si>
  <si>
    <t>правильный</t>
  </si>
  <si>
    <t>Правильно ?</t>
  </si>
  <si>
    <t>file://conllu/ru/teddy-918.conllu#s202_0</t>
  </si>
  <si>
    <t>203</t>
  </si>
  <si>
    <t>Б.</t>
  </si>
  <si>
    <t>Б. Г. : Да , это так .</t>
  </si>
  <si>
    <t>file://conllu/ru/teddy-918.conllu#s203_0</t>
  </si>
  <si>
    <t>204</t>
  </si>
  <si>
    <t>загружать</t>
  </si>
  <si>
    <t>Сегодня реакторы постоянно загружаются топливом , а потому нужно много людей и много звеньев управления , а ведь любой элемент системы может дать сбой , потому что надо эту штуку открывать , что-то помещать внутрь , что-то вынимать .</t>
  </si>
  <si>
    <t>file://conllu/ru/teddy-918.conllu#s204_0</t>
  </si>
  <si>
    <t>205</t>
  </si>
  <si>
    <t>добро</t>
  </si>
  <si>
    <t>Это не к добру .</t>
  </si>
  <si>
    <t>file://conllu/ru/teddy-918.conllu#s205_0</t>
  </si>
  <si>
    <t>206</t>
  </si>
  <si>
    <t>Так вот , если есть дешёвое топливо , то можно загрузить его на 60 лет вперёд – считайте , это как [ горящее ] бревно – закопать вглубь и избавиться от сложностей , и оно горит там себе 60 лет , пока не сгорит , и на этом всё .</t>
  </si>
  <si>
    <t>file://conllu/ru/teddy-918.conllu#s206_0</t>
  </si>
  <si>
    <t>207</t>
  </si>
  <si>
    <t>К. А. : Это – ядерная электростанция , которая сама решает свою проблему отходов .</t>
  </si>
  <si>
    <t>file://conllu/ru/teddy-918.conllu#s207_0</t>
  </si>
  <si>
    <t>208</t>
  </si>
  <si>
    <t>Б. Г. : Ну да .</t>
  </si>
  <si>
    <t>file://conllu/ru/teddy-918.conllu#s208_0</t>
  </si>
  <si>
    <t>209</t>
  </si>
  <si>
    <t>наскать</t>
  </si>
  <si>
    <t>А насчёт отходов – они просто остаются там , и образуется их при этом способе гораздо меньше .</t>
  </si>
  <si>
    <t>file://conllu/ru/teddy-918.conllu#s209_0</t>
  </si>
  <si>
    <t>210</t>
  </si>
  <si>
    <t>Затем можно их собрать перенести в другую установку и сжечь .</t>
  </si>
  <si>
    <t>file://conllu/ru/teddy-918.conllu#s210_0</t>
  </si>
  <si>
    <t>211</t>
  </si>
  <si>
    <t>начинать</t>
  </si>
  <si>
    <t>Фактически мы начинаем с существующих сейчас отходов , которые размещены в охлаждающих резервуарах или в сухотарных бочках .</t>
  </si>
  <si>
    <t>file://conllu/ru/teddy-918.conllu#s211_0</t>
  </si>
  <si>
    <t>212</t>
  </si>
  <si>
    <t>С этого топлива мы и начинаем .</t>
  </si>
  <si>
    <t>file://conllu/ru/teddy-918.conllu#s212_0</t>
  </si>
  <si>
    <t>213</t>
  </si>
  <si>
    <t>становиться</t>
  </si>
  <si>
    <t>Значит , то , что для других реакторов было проблемой , для нас становится питанием , и объём отходов значительно сокращается по мере продвижения этого процесса .</t>
  </si>
  <si>
    <t>file://conllu/ru/teddy-918.conllu#s213_0</t>
  </si>
  <si>
    <t>214</t>
  </si>
  <si>
    <t>К. А. : В ваших беседах с разными людьми по всему миру о возможностях в этом направлении , где была проявлена наибольшая заинтересованность ?</t>
  </si>
  <si>
    <t>file://conllu/ru/teddy-918.conllu#s214_0</t>
  </si>
  <si>
    <t>215</t>
  </si>
  <si>
    <t>Б. Г. : Конкретного места мы не выбрали .</t>
  </si>
  <si>
    <t>file://conllu/ru/teddy-918.conllu#s215_0</t>
  </si>
  <si>
    <t>216</t>
  </si>
  <si>
    <t>Помимо прочего , имеется масса разных правил неразглашения обо всём , что называется «ядерным» .</t>
  </si>
  <si>
    <t>file://conllu/ru/teddy-918.conllu#s216_0</t>
  </si>
  <si>
    <t>217</t>
  </si>
  <si>
    <t>Наши работы вызывают интерес , представители нашей фирмы были в России , Индии , Китае .</t>
  </si>
  <si>
    <t>file://conllu/ru/teddy-918.conllu#s217_0</t>
  </si>
  <si>
    <t>218</t>
  </si>
  <si>
    <t>беседовать</t>
  </si>
  <si>
    <t>Сам я беседовал с министром энергетики нашей страны о том , как наши работы вписываются в его задачи .</t>
  </si>
  <si>
    <t>file://conllu/ru/teddy-918.conllu#s218_0</t>
  </si>
  <si>
    <t>219</t>
  </si>
  <si>
    <t>смотреть</t>
  </si>
  <si>
    <t>Я с оптимизмом смотрю на это .</t>
  </si>
  <si>
    <t>file://conllu/ru/teddy-918.conllu#s219_0</t>
  </si>
  <si>
    <t>220</t>
  </si>
  <si>
    <t>проделать</t>
  </si>
  <si>
    <t>Определённую работу проделали французы и японцы .</t>
  </si>
  <si>
    <t>file://conllu/ru/teddy-918.conllu#s220_0</t>
  </si>
  <si>
    <t>221</t>
  </si>
  <si>
    <t>Вот вариант того , что уже сделано .</t>
  </si>
  <si>
    <t>file://conllu/ru/teddy-918.conllu#s221_0</t>
  </si>
  <si>
    <t>222</t>
  </si>
  <si>
    <t>строить</t>
  </si>
  <si>
    <t>Это важное продвижение , но это как быстрый реактор , и много стран построили их .</t>
  </si>
  <si>
    <t>file://conllu/ru/teddy-918.conllu#s222_0</t>
  </si>
  <si>
    <t>223</t>
  </si>
  <si>
    <t>место</t>
  </si>
  <si>
    <t>Так что , любое место , где строился быстрый реактор – кандидат на первое установку нового реактора .</t>
  </si>
  <si>
    <t>file://conllu/ru/teddy-918.conllu#s223_0</t>
  </si>
  <si>
    <t>224</t>
  </si>
  <si>
    <t>К. А. : Ваша оценка времени и вероятности превратить это в реальность ?</t>
  </si>
  <si>
    <t>file://conllu/ru/teddy-918.conllu#s224_0</t>
  </si>
  <si>
    <t>225</t>
  </si>
  <si>
    <t>Б. Г. : Касательно крупномасштабного изменения в производстве электричества , причем очень дешёвого , у нас впереди запас в 20 лет на изобретение и 20 лет на внедрение .</t>
  </si>
  <si>
    <t>file://conllu/ru/teddy-918.conllu#s225_0</t>
  </si>
  <si>
    <t>226</t>
  </si>
  <si>
    <t>срок</t>
  </si>
  <si>
    <t>Это – крайние сроки , которые нам диктуют разработанные модели изменения окружающей среды Про Terrapower скажу , что в случае , если всё пойдёт хорошо – что само по себе не так просто – то фирма с лёгкостью уложится в сроки .</t>
  </si>
  <si>
    <t>file://conllu/ru/teddy-918.conllu#s226_0</t>
  </si>
  <si>
    <t>227</t>
  </si>
  <si>
    <t>К счастью , уже есть десятки фирм – а нам нужны сотни – которые , если они добьются успеха в научных разработках и финансировании пилотных станций , смогут вполне конкурировать в этом деле .</t>
  </si>
  <si>
    <t>file://conllu/ru/teddy-918.conllu#s227_0</t>
  </si>
  <si>
    <t>228</t>
  </si>
  <si>
    <t>Лучше , если будет несколько успехов – тогда можно использовать их комбинацию .</t>
  </si>
  <si>
    <t>file://conllu/ru/teddy-918.conllu#s228_0</t>
  </si>
  <si>
    <t>229</t>
  </si>
  <si>
    <t>Но один крупный успех нам определённо нужен .</t>
  </si>
  <si>
    <t>file://conllu/ru/teddy-918.conllu#s229_0</t>
  </si>
  <si>
    <t>230</t>
  </si>
  <si>
    <t>К. А. : Если говорить о крупномасштабных изменениях в жизни людей , это – самое крупное из всего известного Вам ?</t>
  </si>
  <si>
    <t>file://conllu/ru/teddy-918.conllu#s230_0</t>
  </si>
  <si>
    <t>231</t>
  </si>
  <si>
    <t>Б. Г. : Достижение прорыва в энергетике – важнейшее дело .</t>
  </si>
  <si>
    <t>file://conllu/ru/teddy-918.conllu#s231_0</t>
  </si>
  <si>
    <t>232</t>
  </si>
  <si>
    <t>Оно было бы таковым в любом случае , но при наличии экологических ограничений , становится еще важнее .</t>
  </si>
  <si>
    <t>file://conllu/ru/teddy-918.conllu#s232_0</t>
  </si>
  <si>
    <t>233</t>
  </si>
  <si>
    <t>В ядерной области есть другие новаторы .</t>
  </si>
  <si>
    <t>file://conllu/ru/teddy-918.conllu#s233_0</t>
  </si>
  <si>
    <t>234</t>
  </si>
  <si>
    <t>знать</t>
  </si>
  <si>
    <t>Мы не знаем их работы настолько же хорошо , как эту , но кое-кто работает в модульном направлении , это другой подход .</t>
  </si>
  <si>
    <t>file://conllu/ru/teddy-918.conllu#s234_0</t>
  </si>
  <si>
    <t>235</t>
  </si>
  <si>
    <t>Есть реакторы жидкого типа , которые , по-видимому , тяжелее реализовать – хотя , может быть , их разработчики говорят то же про нас .</t>
  </si>
  <si>
    <t>file://conllu/ru/teddy-918.conllu#s235_0</t>
  </si>
  <si>
    <t>236</t>
  </si>
  <si>
    <t>Так что , есть разные варианты , но вся красота в том , что молекула урана содержит в миллионы раз больше энергии , чем скажем , молекула углерода .</t>
  </si>
  <si>
    <t>file://conllu/ru/teddy-918.conllu#s236_0</t>
  </si>
  <si>
    <t>237</t>
  </si>
  <si>
    <t>радиация</t>
  </si>
  <si>
    <t>А потому , если удастся справиться с негативными сторонами , в основном , с радиацией , остатки и себестоимость , то [ позитивный ] потенциал в смысле воздействия на землю и прочие вещи , настолько велик , что он просто ни с чем не сравним .</t>
  </si>
  <si>
    <t>file://conllu/ru/teddy-918.conllu#s237_0</t>
  </si>
  <si>
    <t>238</t>
  </si>
  <si>
    <t>К. А. : Если не получится , то – что ?</t>
  </si>
  <si>
    <t>file://conllu/ru/teddy-918.conllu#s238_0</t>
  </si>
  <si>
    <t>239</t>
  </si>
  <si>
    <t>быть (быть надо)</t>
  </si>
  <si>
    <t>Надо будет принимать чрезвычайные меры для удержания температуры земли на стабильном уровне ?</t>
  </si>
  <si>
    <t>file://conllu/ru/teddy-918.conllu#s239_0</t>
  </si>
  <si>
    <t>240</t>
  </si>
  <si>
    <t>Б. Г. : Такая ситуация похожа то , как если постоянно переедать , а потом оказаться на пороге сердечного приступа .</t>
  </si>
  <si>
    <t>file://conllu/ru/teddy-918.conllu#s240_0</t>
  </si>
  <si>
    <t>241</t>
  </si>
  <si>
    <t>обратиться</t>
  </si>
  <si>
    <t>Куда обратиться ?</t>
  </si>
  <si>
    <t>file://conllu/ru/teddy-918.conllu#s241_0</t>
  </si>
  <si>
    <t>242</t>
  </si>
  <si>
    <t>Нужна операция на сердце или нечто подобное .</t>
  </si>
  <si>
    <t>file://conllu/ru/teddy-918.conllu#s242_0</t>
  </si>
  <si>
    <t>243</t>
  </si>
  <si>
    <t>Это направление исследований называется геоинженерия , она охватывает разнообразные методы задержки потепления атмосферы лет на 20 30 с тем , чтобы мы успели начать нужные действия .</t>
  </si>
  <si>
    <t>file://conllu/ru/teddy-918.conllu#s243_0</t>
  </si>
  <si>
    <t>244</t>
  </si>
  <si>
    <t>покупать</t>
  </si>
  <si>
    <t>Так вот , этим мы просто покупаем страховой полис .</t>
  </si>
  <si>
    <t>file://conllu/ru/teddy-918.conllu#s244_0</t>
  </si>
  <si>
    <t>245</t>
  </si>
  <si>
    <t>Надо надеяться , что этого не придётся делать .</t>
  </si>
  <si>
    <t>file://conllu/ru/teddy-918.conllu#s245_0</t>
  </si>
  <si>
    <t>246</t>
  </si>
  <si>
    <t>Некоторые считают , что о страховом полисе и думать не следует , потому что это разлагает и ведёт к лени .</t>
  </si>
  <si>
    <t>file://conllu/ru/teddy-918.conllu#s246_0</t>
  </si>
  <si>
    <t>247</t>
  </si>
  <si>
    <t>продолжать</t>
  </si>
  <si>
    <t>Человек будет продолжать переедать , зная , что операция на сердце его всегда спасёт .</t>
  </si>
  <si>
    <t>file://conllu/ru/teddy-918.conllu#s247_0</t>
  </si>
  <si>
    <t>248</t>
  </si>
  <si>
    <t>уверенный</t>
  </si>
  <si>
    <t>Не уверен , что это здравый подход к проблеме , с учётом её серьёзности .</t>
  </si>
  <si>
    <t>file://conllu/ru/teddy-918.conllu#s248_0</t>
  </si>
  <si>
    <t>249</t>
  </si>
  <si>
    <t>идти</t>
  </si>
  <si>
    <t>Сейчас вокруг геоинженерии идут дискуссии о том , надо ли это держать это про запас , если изменения ускорятся , или инновации и обновления окажутся намного медленнее ожидаемого .</t>
  </si>
  <si>
    <t>file://conllu/ru/teddy-918.conllu#s249_0</t>
  </si>
  <si>
    <t>250</t>
  </si>
  <si>
    <t>К. А. : Есть скептики по поводу проблематики изменения климата .</t>
  </si>
  <si>
    <t>file://conllu/ru/teddy-918.conllu#s250_0</t>
  </si>
  <si>
    <t>251</t>
  </si>
  <si>
    <t>Смогли бы Вы в двух словах убедить их , что они неправы ?</t>
  </si>
  <si>
    <t>file://conllu/ru/teddy-918.conllu#s251_0</t>
  </si>
  <si>
    <t>252</t>
  </si>
  <si>
    <t>Б. Г. : К сожалению , позиции скептиков очень сильно разнятся .</t>
  </si>
  <si>
    <t>file://conllu/ru/teddy-918.conllu#s252_0</t>
  </si>
  <si>
    <t>253</t>
  </si>
  <si>
    <t>выдвигать</t>
  </si>
  <si>
    <t>Научные аргументы выдвигает очень мало кто .</t>
  </si>
  <si>
    <t>file://conllu/ru/teddy-918.conllu#s253_0</t>
  </si>
  <si>
    <t>254</t>
  </si>
  <si>
    <t>вести</t>
  </si>
  <si>
    <t>Ведутся разговоры о негативных обратных связях , типа того , что облака имеют обратный эффект .</t>
  </si>
  <si>
    <t>file://conllu/ru/teddy-918.conllu#s254_0</t>
  </si>
  <si>
    <t>255</t>
  </si>
  <si>
    <t>шанс</t>
  </si>
  <si>
    <t>По этому поводу скептикам вообще почти нечего сказать , ну , один шанс из миллиона , что они правы .</t>
  </si>
  <si>
    <t>file://conllu/ru/teddy-918.conllu#s255_0</t>
  </si>
  <si>
    <t>256</t>
  </si>
  <si>
    <t>похожий</t>
  </si>
  <si>
    <t>Тут проблема похожа на ситуацию со СПИДом .</t>
  </si>
  <si>
    <t>file://conllu/ru/teddy-918.conllu#s256_0</t>
  </si>
  <si>
    <t>257</t>
  </si>
  <si>
    <t>Это когда за сегодняшнюю ошибку надо расплачиваться намного позже .</t>
  </si>
  <si>
    <t>file://conllu/ru/teddy-918.conllu#s257_0</t>
  </si>
  <si>
    <t>258</t>
  </si>
  <si>
    <t>мысль</t>
  </si>
  <si>
    <t>Если вокруг сплошные проблемы , требующие срочного решения , то мысль о том , что чем-то надо сейчас поступиться , чтобы потом было лучше … да и чем поступиться не совсем ясно …</t>
  </si>
  <si>
    <t>file://conllu/ru/teddy-918.conllu#s258_0</t>
  </si>
  <si>
    <t>259</t>
  </si>
  <si>
    <t>читать</t>
  </si>
  <si>
    <t>В обеспеченных странах кто-то читает доклады IPCC [ Межправительственная группа экспертов по изменению климата ] , где описывается совсем не худший вариант , и считает , что проблема не ахти какая .</t>
  </si>
  <si>
    <t>file://conllu/ru/teddy-918.conllu#s259_0</t>
  </si>
  <si>
    <t>260</t>
  </si>
  <si>
    <t>Но ведь именно неопределённость должна толкать нас на действия .</t>
  </si>
  <si>
    <t>file://conllu/ru/teddy-918.conllu#s260_0</t>
  </si>
  <si>
    <t>261</t>
  </si>
  <si>
    <t>я</t>
  </si>
  <si>
    <t>У меня вот какая мечта : если удастся создать нечто , что будет оправданно экономически и удовлетворять отграничениям на выброс СО2 , то тогда скептики скажут : «Ну ладно , мне всё равно СО2 выбрасывается или нет , я может даже и хочу выбросов СО2 , но я перехожу на новую технологию , потому что она дешевле старой» .</t>
  </si>
  <si>
    <t>file://conllu/ru/teddy-918.conllu#s261_0</t>
  </si>
  <si>
    <t>262</t>
  </si>
  <si>
    <t>К. А. : Значит это будет Ваш ответ на аргументы Бьёрн Ломборга о том , что такие затраты на решение проблемы с СО2 отвлекают ресурсы от прочих целей , связанных с сокращением бедности , малярии и прочее , о том , что глупо растрачивать ресурсы планеты на такие цели , когда их можно направить на более полезные дела .</t>
  </si>
  <si>
    <t>file://conllu/ru/teddy-918.conllu#s262_0</t>
  </si>
  <si>
    <t>263</t>
  </si>
  <si>
    <t>Б. Г. : Фактические расходы на НИОКР [ научные исследования ] … скажем , в США , надо будет тратить на 10 миллиардов в год больше , чем сейчас – это совсем не критическая сумма , она не должна будет отвлечь от прочих дел .</t>
  </si>
  <si>
    <t>file://conllu/ru/teddy-918.conllu#s263_0</t>
  </si>
  <si>
    <t>264</t>
  </si>
  <si>
    <t>начинаться</t>
  </si>
  <si>
    <t>Большие суммы начинаются тогда , когда – допускаю , что разумные люди могут не согласиться , – когда начинается субсидирование чего-то неэкономичного .</t>
  </si>
  <si>
    <t>file://conllu/ru/teddy-918.conllu#s264_0</t>
  </si>
  <si>
    <t>265</t>
  </si>
  <si>
    <t>часть</t>
  </si>
  <si>
    <t>Для меня это – по большей части , пустая растрата .</t>
  </si>
  <si>
    <t>file://conllu/ru/teddy-918.conllu#s265_0</t>
  </si>
  <si>
    <t>266</t>
  </si>
  <si>
    <t>являться</t>
  </si>
  <si>
    <t>Исключением является ситуация , когда открытие близко , затраты идут на приобретение опыта , а открытие даст очень дешёвую [ энергию ] .</t>
  </si>
  <si>
    <t>file://conllu/ru/teddy-918.conllu#s266_0</t>
  </si>
  <si>
    <t>267</t>
  </si>
  <si>
    <t>Я уверен , что надо испробовать побольше разных вариантов , где есть потенциал выдать намного более дешёвую энергию .</t>
  </si>
  <si>
    <t>file://conllu/ru/teddy-918.conllu#s267_0</t>
  </si>
  <si>
    <t>268</t>
  </si>
  <si>
    <t>Если альтернативой является сверхдорогая энергия , то богатые смогут себе это позволить .</t>
  </si>
  <si>
    <t>file://conllu/ru/teddy-918.conllu#s268_0</t>
  </si>
  <si>
    <t>269</t>
  </si>
  <si>
    <t>Скажу , что каждый в этом зале может платить за энергию в 5 раз больше без ущерба для своего образа жизни .</t>
  </si>
  <si>
    <t>file://conllu/ru/teddy-918.conllu#s269_0</t>
  </si>
  <si>
    <t>270</t>
  </si>
  <si>
    <t>быть (быть катастрофа)</t>
  </si>
  <si>
    <t>Но для тех самых 2 миллиардов это будет катастрофа .</t>
  </si>
  <si>
    <t>file://conllu/ru/teddy-918.conllu#s270_0</t>
  </si>
  <si>
    <t>271</t>
  </si>
  <si>
    <t>измениться</t>
  </si>
  <si>
    <t>Ведь даже Ломборг изменился .</t>
  </si>
  <si>
    <t>file://conllu/ru/teddy-918.conllu#s271_0</t>
  </si>
  <si>
    <t>272</t>
  </si>
  <si>
    <t>восклицать (восклицать обсуждать)</t>
  </si>
  <si>
    <t>Его очередной номер теперь – восклицать «Почему НИОКР так мало обсуждается ? » Ввиду прошлых публикаций , его всё ещё относят к лагерю скептиков , но он понял , что в этом лагере довольно одиноко , и вот он выдвигает заботу о НИОКР .</t>
  </si>
  <si>
    <t>file://conllu/ru/teddy-918.conllu#s272_0</t>
  </si>
  <si>
    <t>273</t>
  </si>
  <si>
    <t>уместный</t>
  </si>
  <si>
    <t>Аргумент в пользу НИОКР , я считаю , совершенно уместен .</t>
  </si>
  <si>
    <t>file://conllu/ru/teddy-918.conllu#s273_0</t>
  </si>
  <si>
    <t>274</t>
  </si>
  <si>
    <t>трудный</t>
  </si>
  <si>
    <t>Трудно даже представить , как мало выделяется на НИОКР.</t>
  </si>
  <si>
    <t>file://conllu/ru/teddy-918.conllu#s274_0</t>
  </si>
  <si>
    <t>275</t>
  </si>
  <si>
    <t>К. А. : Что ж , думаю , что выражу мнение большинства , если искренне пожелаю исполнения Вашего желания .</t>
  </si>
  <si>
    <t>file://conllu/ru/teddy-918.conllu#s275_0</t>
  </si>
  <si>
    <t>276</t>
  </si>
  <si>
    <t>Огромное спасибо .</t>
  </si>
  <si>
    <t>file://conllu/ru/teddy-918.conllu#s276_0</t>
  </si>
  <si>
    <t>277</t>
  </si>
  <si>
    <t>Б. Г. : Благодарю .</t>
  </si>
  <si>
    <t>file://conllu/ru/teddy-918.conllu#s277_0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</si>
  <si>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</si>
  <si>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</si>
  <si>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</si>
  <si>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</si>
  <si>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</si>
  <si>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</si>
  <si>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</si>
  <si>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</si>
  <si>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</si>
  <si>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</si>
  <si>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</si>
  <si>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Сегодня я буду говорить об энергии и климате.</t>
  </si>
  <si>
    <t>Сегодня</t>
  </si>
  <si>
    <t>SBJ</t>
  </si>
  <si>
    <t>pron</t>
  </si>
  <si>
    <t>?OLD</t>
  </si>
  <si>
    <t>буду</t>
  </si>
  <si>
    <t>об</t>
  </si>
  <si>
    <t>энергии</t>
  </si>
  <si>
    <t>и</t>
  </si>
  <si>
    <t>климате</t>
  </si>
  <si>
    <t>.</t>
  </si>
  <si>
    <t># text = И это может показаться несколько удивительно, потому что вся моя работа в фонде посвящена, по большей части, вакцинам и семенам, тому, что надо изобрести и внедрить, чтобы улучшить жизнь беднейших двух миллиардов населения Земли.</t>
  </si>
  <si>
    <t>И</t>
  </si>
  <si>
    <t>это</t>
  </si>
  <si>
    <t>pron.pds</t>
  </si>
  <si>
    <t>может</t>
  </si>
  <si>
    <t>показаться</t>
  </si>
  <si>
    <t>несколько</t>
  </si>
  <si>
    <t>удивительно</t>
  </si>
  <si>
    <t>,</t>
  </si>
  <si>
    <t>потому</t>
  </si>
  <si>
    <t>вся</t>
  </si>
  <si>
    <t>моя</t>
  </si>
  <si>
    <t>other_4</t>
  </si>
  <si>
    <t>pron.ppos</t>
  </si>
  <si>
    <t>работа</t>
  </si>
  <si>
    <t>SBJ_3</t>
  </si>
  <si>
    <t>indef-np.quant</t>
  </si>
  <si>
    <t>в</t>
  </si>
  <si>
    <t>фонде</t>
  </si>
  <si>
    <t>посвящена</t>
  </si>
  <si>
    <t>по</t>
  </si>
  <si>
    <t>большей</t>
  </si>
  <si>
    <t>части</t>
  </si>
  <si>
    <t>вакцинам</t>
  </si>
  <si>
    <t>семенам</t>
  </si>
  <si>
    <t>тому</t>
  </si>
  <si>
    <t>OBJ_3</t>
  </si>
  <si>
    <t>изобрести</t>
  </si>
  <si>
    <t>внедрить</t>
  </si>
  <si>
    <t>чтобы</t>
  </si>
  <si>
    <t>улучшить</t>
  </si>
  <si>
    <t>жизнь</t>
  </si>
  <si>
    <t>OBJ_8</t>
  </si>
  <si>
    <t>беднейших</t>
  </si>
  <si>
    <t>двух</t>
  </si>
  <si>
    <t>миллиардов</t>
  </si>
  <si>
    <t>other_8</t>
  </si>
  <si>
    <t>населения</t>
  </si>
  <si>
    <t>other_9</t>
  </si>
  <si>
    <t>def-np.poss</t>
  </si>
  <si>
    <t>Земли</t>
  </si>
  <si>
    <t>other_10</t>
  </si>
  <si>
    <t>ne</t>
  </si>
  <si>
    <t># text = Но дело в том, что энергия и климат для этого слоя исключительно важны.</t>
  </si>
  <si>
    <t>Но</t>
  </si>
  <si>
    <t>дело</t>
  </si>
  <si>
    <t>том</t>
  </si>
  <si>
    <t>other</t>
  </si>
  <si>
    <t>энергия</t>
  </si>
  <si>
    <t>SBJ_2</t>
  </si>
  <si>
    <t>климат</t>
  </si>
  <si>
    <t>other_3</t>
  </si>
  <si>
    <t>для</t>
  </si>
  <si>
    <t>этого</t>
  </si>
  <si>
    <t>слоя</t>
  </si>
  <si>
    <t>def-np.dem</t>
  </si>
  <si>
    <t>исключительно</t>
  </si>
  <si>
    <t>важны</t>
  </si>
  <si>
    <t># text = Более того, для них это важнее, чем для всех остальных на планете.</t>
  </si>
  <si>
    <t>Более</t>
  </si>
  <si>
    <t>того</t>
  </si>
  <si>
    <t>них</t>
  </si>
  <si>
    <t>важнее</t>
  </si>
  <si>
    <t>чем</t>
  </si>
  <si>
    <t>всех</t>
  </si>
  <si>
    <t>остальных</t>
  </si>
  <si>
    <t>на</t>
  </si>
  <si>
    <t>планете</t>
  </si>
  <si>
    <t># text = Ведь ухудшение климата для них означает, что урожая не будет несколько лет.</t>
  </si>
  <si>
    <t>Ведь</t>
  </si>
  <si>
    <t>ухудшение</t>
  </si>
  <si>
    <t>климата</t>
  </si>
  <si>
    <t>означает</t>
  </si>
  <si>
    <t>урожая</t>
  </si>
  <si>
    <t>не</t>
  </si>
  <si>
    <t>будет</t>
  </si>
  <si>
    <t>лет</t>
  </si>
  <si>
    <t># text = Дождя будет либо слишком много, либо слишком мало, и их хрупкая среда окажется просто не в состоянии справиться с изменениями.</t>
  </si>
  <si>
    <t>Дождя</t>
  </si>
  <si>
    <t>либо</t>
  </si>
  <si>
    <t>слишком</t>
  </si>
  <si>
    <t>много</t>
  </si>
  <si>
    <t>их</t>
  </si>
  <si>
    <t>хрупкая</t>
  </si>
  <si>
    <t>среда</t>
  </si>
  <si>
    <t>окажется</t>
  </si>
  <si>
    <t>просто</t>
  </si>
  <si>
    <t>состоянии</t>
  </si>
  <si>
    <t>справиться</t>
  </si>
  <si>
    <t>с</t>
  </si>
  <si>
    <t>изменениями</t>
  </si>
  <si>
    <t># text = Это приведёт к голоду, к неуверенности, к беспорядкам.</t>
  </si>
  <si>
    <t>Это</t>
  </si>
  <si>
    <t>приведёт</t>
  </si>
  <si>
    <t>к</t>
  </si>
  <si>
    <t>голоду</t>
  </si>
  <si>
    <t>неуверенности</t>
  </si>
  <si>
    <t>беспорядкам</t>
  </si>
  <si>
    <t># text = Значит, изменения климата для этих людей ужасно.</t>
  </si>
  <si>
    <t>Значит</t>
  </si>
  <si>
    <t>изменения</t>
  </si>
  <si>
    <t>этих</t>
  </si>
  <si>
    <t>людей</t>
  </si>
  <si>
    <t>other_2</t>
  </si>
  <si>
    <t># text = Кроме этого, большое значение для них имеют цены на энергию.</t>
  </si>
  <si>
    <t>Кроме</t>
  </si>
  <si>
    <t>большое</t>
  </si>
  <si>
    <t>значение</t>
  </si>
  <si>
    <t>имеют</t>
  </si>
  <si>
    <t>цены</t>
  </si>
  <si>
    <t>OBJ</t>
  </si>
  <si>
    <t>энергию</t>
  </si>
  <si>
    <t># text = Вообще, если спросить снижение цены на что способно сократить бедность, то ответ, без всякого сомнения, это – цена на энергию.</t>
  </si>
  <si>
    <t>Вообще</t>
  </si>
  <si>
    <t>если</t>
  </si>
  <si>
    <t>спросить</t>
  </si>
  <si>
    <t>снижение</t>
  </si>
  <si>
    <t>OBJ_2</t>
  </si>
  <si>
    <t>pron.pint</t>
  </si>
  <si>
    <t>способно</t>
  </si>
  <si>
    <t>сократить</t>
  </si>
  <si>
    <t>бедность</t>
  </si>
  <si>
    <t>ответ</t>
  </si>
  <si>
    <t>без</t>
  </si>
  <si>
    <t>всякого</t>
  </si>
  <si>
    <t>сомнения</t>
  </si>
  <si>
    <t>–</t>
  </si>
  <si>
    <t>цена</t>
  </si>
  <si>
    <t># text = В течение длительного времени цена на энергию падала.</t>
  </si>
  <si>
    <t>В</t>
  </si>
  <si>
    <t>течение</t>
  </si>
  <si>
    <t>длительного</t>
  </si>
  <si>
    <t>времени</t>
  </si>
  <si>
    <t>падала</t>
  </si>
  <si>
    <t># text = Более того, развитие самой цивилизации базируется на развитии форм энергетики.</t>
  </si>
  <si>
    <t>развитие</t>
  </si>
  <si>
    <t>самой</t>
  </si>
  <si>
    <t>цивилизации</t>
  </si>
  <si>
    <t>базируется</t>
  </si>
  <si>
    <t>развитии</t>
  </si>
  <si>
    <t>форм</t>
  </si>
  <si>
    <t>энергетики</t>
  </si>
  <si>
    <t># text = Революция в угледобыче была основой промышленной революции.</t>
  </si>
  <si>
    <t>Революция</t>
  </si>
  <si>
    <t>угледобыче</t>
  </si>
  <si>
    <t>была</t>
  </si>
  <si>
    <t>основой</t>
  </si>
  <si>
    <t>промышленной</t>
  </si>
  <si>
    <t>революции</t>
  </si>
  <si>
    <t># text = Уже в 1900-х годах наблюдалось резкое падение цен на электричество, благодаря чему появились холодильники, кондиционеры, современные материалы и многое другое.</t>
  </si>
  <si>
    <t>Уже</t>
  </si>
  <si>
    <t>1900-х</t>
  </si>
  <si>
    <t>годах</t>
  </si>
  <si>
    <t>наблюдалось</t>
  </si>
  <si>
    <t>резкое</t>
  </si>
  <si>
    <t>падение</t>
  </si>
  <si>
    <t>цен</t>
  </si>
  <si>
    <t>электричество</t>
  </si>
  <si>
    <t>благодаря</t>
  </si>
  <si>
    <t>чему</t>
  </si>
  <si>
    <t>появились</t>
  </si>
  <si>
    <t>холодильники</t>
  </si>
  <si>
    <t>кондиционеры</t>
  </si>
  <si>
    <t>современные</t>
  </si>
  <si>
    <t>материалы</t>
  </si>
  <si>
    <t>многое</t>
  </si>
  <si>
    <t>другое</t>
  </si>
  <si>
    <t># text = Таким образом, в мире достатка ситуация с электричеством замечательна.</t>
  </si>
  <si>
    <t>Таким</t>
  </si>
  <si>
    <t>образом</t>
  </si>
  <si>
    <t>мире</t>
  </si>
  <si>
    <t>достатка</t>
  </si>
  <si>
    <t>ситуация</t>
  </si>
  <si>
    <t>электричеством</t>
  </si>
  <si>
    <t>замечательна</t>
  </si>
  <si>
    <t># text = Но по мере её удешевления, – скажем, мы хотим снижения цены наполовину – мы сталкиваемся с новыми ограничениями, связанными с СО2: углекислый газ вызывает глобальное потепление.</t>
  </si>
  <si>
    <t>мере</t>
  </si>
  <si>
    <t>её</t>
  </si>
  <si>
    <t>удешевления</t>
  </si>
  <si>
    <t>скажем</t>
  </si>
  <si>
    <t>мы</t>
  </si>
  <si>
    <t>хотим</t>
  </si>
  <si>
    <t>снижения</t>
  </si>
  <si>
    <t>наполовину</t>
  </si>
  <si>
    <t>сталкиваемся</t>
  </si>
  <si>
    <t>новыми</t>
  </si>
  <si>
    <t>ограничениями</t>
  </si>
  <si>
    <t>связанными</t>
  </si>
  <si>
    <t>СО2</t>
  </si>
  <si>
    <t>:</t>
  </si>
  <si>
    <t>углекислый</t>
  </si>
  <si>
    <t>газ</t>
  </si>
  <si>
    <t>SBJ_5</t>
  </si>
  <si>
    <t>вызывает</t>
  </si>
  <si>
    <t>глобальное</t>
  </si>
  <si>
    <t>потепление</t>
  </si>
  <si>
    <t>OBJ_5</t>
  </si>
  <si>
    <t># text = Уравнение для СО2 очень недвусмысленно: сумма выбрасываемого объёма СО2 ведёт к увеличению температуры, что, в свою очередь, имеет очень негативные последствия: потепление влияет на погоду.</t>
  </si>
  <si>
    <t>Уравнение</t>
  </si>
  <si>
    <t>очень</t>
  </si>
  <si>
    <t>недвусмысленно</t>
  </si>
  <si>
    <t>сумма</t>
  </si>
  <si>
    <t>SBJ_4</t>
  </si>
  <si>
    <t>выбрасываемого</t>
  </si>
  <si>
    <t>объёма</t>
  </si>
  <si>
    <t>other_5</t>
  </si>
  <si>
    <t>ведёт</t>
  </si>
  <si>
    <t>увеличению</t>
  </si>
  <si>
    <t>температуры</t>
  </si>
  <si>
    <t>свою</t>
  </si>
  <si>
    <t>очередь</t>
  </si>
  <si>
    <t>имеет</t>
  </si>
  <si>
    <t>негативные</t>
  </si>
  <si>
    <t>последствия</t>
  </si>
  <si>
    <t>SBJ_7</t>
  </si>
  <si>
    <t>влияет</t>
  </si>
  <si>
    <t>погоду</t>
  </si>
  <si>
    <t># text = Но возможно, даже хуже – это косвенно влияет на природные экосистемы, неспособные приспособиться к быстрым изменениям, что приводит к разрушению экосистем.</t>
  </si>
  <si>
    <t>возможно</t>
  </si>
  <si>
    <t>даже</t>
  </si>
  <si>
    <t>хуже</t>
  </si>
  <si>
    <t>косвенно</t>
  </si>
  <si>
    <t>природные</t>
  </si>
  <si>
    <t>экосистемы</t>
  </si>
  <si>
    <t>неспособные</t>
  </si>
  <si>
    <t>приспособиться</t>
  </si>
  <si>
    <t>быстрым</t>
  </si>
  <si>
    <t>изменениям</t>
  </si>
  <si>
    <t>приводит</t>
  </si>
  <si>
    <t>разрушению</t>
  </si>
  <si>
    <t>экосистем</t>
  </si>
  <si>
    <t># text = Насчёт того, насколько именно увеличение объёма СО2 приведёт к какой именно температуре и где именно будет обратная связь, такой расчёт содержит неопределённости, но их немного.</t>
  </si>
  <si>
    <t>Насчёт</t>
  </si>
  <si>
    <t>насколько</t>
  </si>
  <si>
    <t>именно</t>
  </si>
  <si>
    <t>увеличение</t>
  </si>
  <si>
    <t>какой</t>
  </si>
  <si>
    <t>температуре</t>
  </si>
  <si>
    <t>indef-np</t>
  </si>
  <si>
    <t>где</t>
  </si>
  <si>
    <t>обратная</t>
  </si>
  <si>
    <t>связь</t>
  </si>
  <si>
    <t>такой</t>
  </si>
  <si>
    <t>расчёт</t>
  </si>
  <si>
    <t>содержит</t>
  </si>
  <si>
    <t>неопределённости</t>
  </si>
  <si>
    <t>но</t>
  </si>
  <si>
    <t>немного</t>
  </si>
  <si>
    <t># text = И есть, конечно же, неопределённость насчёт того, насколько плохие будут последствия, но ясно, что они будут исключительно плохие.</t>
  </si>
  <si>
    <t>есть</t>
  </si>
  <si>
    <t>конечно</t>
  </si>
  <si>
    <t>же</t>
  </si>
  <si>
    <t>неопределённость</t>
  </si>
  <si>
    <t>насчёт</t>
  </si>
  <si>
    <t>плохие</t>
  </si>
  <si>
    <t>будут</t>
  </si>
  <si>
    <t>ясно</t>
  </si>
  <si>
    <t>SBJ_6</t>
  </si>
  <si>
    <t># text = Я несколько раз спрашивал самых лучших ученых, действительно ли нужно снизить объём выбросов до почти нуля?</t>
  </si>
  <si>
    <t>Я</t>
  </si>
  <si>
    <t>раз</t>
  </si>
  <si>
    <t>спрашивал</t>
  </si>
  <si>
    <t>самых</t>
  </si>
  <si>
    <t>лучших</t>
  </si>
  <si>
    <t>ученых</t>
  </si>
  <si>
    <t>действительно</t>
  </si>
  <si>
    <t>ли</t>
  </si>
  <si>
    <t>нужно</t>
  </si>
  <si>
    <t>снизить</t>
  </si>
  <si>
    <t>объём</t>
  </si>
  <si>
    <t>выбросов</t>
  </si>
  <si>
    <t>до</t>
  </si>
  <si>
    <t>почти</t>
  </si>
  <si>
    <t>нуля</t>
  </si>
  <si>
    <t>?</t>
  </si>
  <si>
    <t># text = Нельзя ли сократить наполовину или до четверти?</t>
  </si>
  <si>
    <t>Нельзя</t>
  </si>
  <si>
    <t>или</t>
  </si>
  <si>
    <t>четверти</t>
  </si>
  <si>
    <t># text = Ответ в том, что пока мы не дойдём до уровня, близкого к нулю, температура будет продолжать расти.</t>
  </si>
  <si>
    <t>Ответ</t>
  </si>
  <si>
    <t>пока</t>
  </si>
  <si>
    <t>дойдём</t>
  </si>
  <si>
    <t>уровня</t>
  </si>
  <si>
    <t>близкого</t>
  </si>
  <si>
    <t>нулю</t>
  </si>
  <si>
    <t>температура</t>
  </si>
  <si>
    <t>расти</t>
  </si>
  <si>
    <t># text = Значит, это большая проблема.</t>
  </si>
  <si>
    <t>большая</t>
  </si>
  <si>
    <t># text = Это совсем не то, чтобы нагруженный до высоты 3,5 метров грузовик хочет проскочить, пытаясь аккуратно прижаться, под мостом высотой в 3 метра.</t>
  </si>
  <si>
    <t>совсем</t>
  </si>
  <si>
    <t>нагруженный</t>
  </si>
  <si>
    <t>высоты</t>
  </si>
  <si>
    <t>3,5</t>
  </si>
  <si>
    <t>метров</t>
  </si>
  <si>
    <t>грузовик</t>
  </si>
  <si>
    <t>хочет</t>
  </si>
  <si>
    <t>проскочить</t>
  </si>
  <si>
    <t>пытаясь</t>
  </si>
  <si>
    <t>аккуратно</t>
  </si>
  <si>
    <t>прижаться</t>
  </si>
  <si>
    <t>под</t>
  </si>
  <si>
    <t>мостом</t>
  </si>
  <si>
    <t>высотой</t>
  </si>
  <si>
    <t>метра</t>
  </si>
  <si>
    <t>other_6</t>
  </si>
  <si>
    <t># text = Тут задача в том, чтобы достичь именно нуля.</t>
  </si>
  <si>
    <t>Тут</t>
  </si>
  <si>
    <t>достичь</t>
  </si>
  <si>
    <t># text = Каждый год выбрасывается огромный объём углекислого газа, более 26 миллиардов тонн.</t>
  </si>
  <si>
    <t>Каждый</t>
  </si>
  <si>
    <t>год</t>
  </si>
  <si>
    <t>выбрасывается</t>
  </si>
  <si>
    <t>огромный</t>
  </si>
  <si>
    <t>углекислого</t>
  </si>
  <si>
    <t>газа</t>
  </si>
  <si>
    <t>более</t>
  </si>
  <si>
    <t>тонн</t>
  </si>
  <si>
    <t># text = На каждого американца приходится 20 тонн.</t>
  </si>
  <si>
    <t>На</t>
  </si>
  <si>
    <t>каждого</t>
  </si>
  <si>
    <t>американца</t>
  </si>
  <si>
    <t>приходится</t>
  </si>
  <si>
    <t># text = На жителей бедных стран – менее 1 тонны.</t>
  </si>
  <si>
    <t>жителей</t>
  </si>
  <si>
    <t>бедных</t>
  </si>
  <si>
    <t>стран</t>
  </si>
  <si>
    <t>менее</t>
  </si>
  <si>
    <t>тонны</t>
  </si>
  <si>
    <t># text = В среднем на жителя планеты – по 5 тонн.</t>
  </si>
  <si>
    <t>среднем</t>
  </si>
  <si>
    <t>жителя</t>
  </si>
  <si>
    <t>планеты</t>
  </si>
  <si>
    <t># text = Какими-то изменениями нужно добиться того, чтобы эта цифра свелась к нулю.</t>
  </si>
  <si>
    <t>Какими-то</t>
  </si>
  <si>
    <t>эта</t>
  </si>
  <si>
    <t>цифра</t>
  </si>
  <si>
    <t>свелась</t>
  </si>
  <si>
    <t># text = Но она всегда неуклонно движется вверх.</t>
  </si>
  <si>
    <t>она</t>
  </si>
  <si>
    <t>всегда</t>
  </si>
  <si>
    <t>неуклонно</t>
  </si>
  <si>
    <t>движется</t>
  </si>
  <si>
    <t>вверх</t>
  </si>
  <si>
    <t># text = Лишь определённые изменения в экономике могли приостановить рост, да и то ненадолго.</t>
  </si>
  <si>
    <t>Лишь</t>
  </si>
  <si>
    <t>определённые</t>
  </si>
  <si>
    <t>экономике</t>
  </si>
  <si>
    <t>могли</t>
  </si>
  <si>
    <t>приостановить</t>
  </si>
  <si>
    <t>рост</t>
  </si>
  <si>
    <t>да</t>
  </si>
  <si>
    <t>ненадолго</t>
  </si>
  <si>
    <t># text = Значит, необходимо перейти от быстрорастущей кривой к падающей, причем падающей до нуля В этом уравнении четыре множителя.</t>
  </si>
  <si>
    <t>необходимо</t>
  </si>
  <si>
    <t>перейти</t>
  </si>
  <si>
    <t>от</t>
  </si>
  <si>
    <t>быстрорастущей</t>
  </si>
  <si>
    <t>кривой</t>
  </si>
  <si>
    <t>падающей</t>
  </si>
  <si>
    <t>причем</t>
  </si>
  <si>
    <t>этом</t>
  </si>
  <si>
    <t>уравнении</t>
  </si>
  <si>
    <t>other_7</t>
  </si>
  <si>
    <t>четыре</t>
  </si>
  <si>
    <t>множителя</t>
  </si>
  <si>
    <t># text = Вспомним операцию умножения.</t>
  </si>
  <si>
    <t>Вспомним</t>
  </si>
  <si>
    <t>операцию</t>
  </si>
  <si>
    <t>умножения</t>
  </si>
  <si>
    <t># text = Итак, слева – объём выбросов СО2, и надо добиться, чтобы он был равен нулю.</t>
  </si>
  <si>
    <t>Итак</t>
  </si>
  <si>
    <t>он</t>
  </si>
  <si>
    <t>был</t>
  </si>
  <si>
    <t>равен</t>
  </si>
  <si>
    <t>OBJ_4</t>
  </si>
  <si>
    <t># text = Объём зависит от числа людей на планете, среднего объёма услуг, которыми пользуется каждый из них, среднего энергопотребления на услугу, и среднего объёма выброса СО2 на единицу произведённой энергии.</t>
  </si>
  <si>
    <t>Объём</t>
  </si>
  <si>
    <t>зависит</t>
  </si>
  <si>
    <t>числа</t>
  </si>
  <si>
    <t>среднего</t>
  </si>
  <si>
    <t>услуг</t>
  </si>
  <si>
    <t>которыми</t>
  </si>
  <si>
    <t>пользуется</t>
  </si>
  <si>
    <t>каждый</t>
  </si>
  <si>
    <t>из</t>
  </si>
  <si>
    <t>энергопотребления</t>
  </si>
  <si>
    <t>услугу</t>
  </si>
  <si>
    <t>выброса</t>
  </si>
  <si>
    <t>единицу</t>
  </si>
  <si>
    <t>произведённой</t>
  </si>
  <si>
    <t># text = Давайте по одному рассмотрим каждый множитель и посмотрим, как свести CO2 к нулю.</t>
  </si>
  <si>
    <t>Давайте</t>
  </si>
  <si>
    <t>одному</t>
  </si>
  <si>
    <t>рассмотрим</t>
  </si>
  <si>
    <t>множитель</t>
  </si>
  <si>
    <t>посмотрим</t>
  </si>
  <si>
    <t>как</t>
  </si>
  <si>
    <t>свести</t>
  </si>
  <si>
    <t>CO2</t>
  </si>
  <si>
    <t># text = Скорее всего, должен будет стать близким к нулю один из сомножителей – так нам говорит школьный курс математики.</t>
  </si>
  <si>
    <t>Скорее</t>
  </si>
  <si>
    <t>всего</t>
  </si>
  <si>
    <t>стать</t>
  </si>
  <si>
    <t>близким</t>
  </si>
  <si>
    <t>один</t>
  </si>
  <si>
    <t>сомножителей</t>
  </si>
  <si>
    <t>так</t>
  </si>
  <si>
    <t>нам</t>
  </si>
  <si>
    <t>говорит</t>
  </si>
  <si>
    <t>школьный</t>
  </si>
  <si>
    <t>курс</t>
  </si>
  <si>
    <t>математики</t>
  </si>
  <si>
    <t># text = Давайте взглянем.</t>
  </si>
  <si>
    <t>взглянем</t>
  </si>
  <si>
    <t># text = Первый сомножитель – население.</t>
  </si>
  <si>
    <t>Первый</t>
  </si>
  <si>
    <t>население</t>
  </si>
  <si>
    <t># text = Сегодня в мире – 6,8 миллиардов людей, и эта цифра вырастет примерно до 9 миллиардов.</t>
  </si>
  <si>
    <t>6,8</t>
  </si>
  <si>
    <t>вырастет</t>
  </si>
  <si>
    <t>примерно</t>
  </si>
  <si>
    <t># text = При условии крупных успехов в создании новых вакцин, в здравоохранении, в сфере охраны репродуктивного здоровья, рост может снизиться на 10-15%, но это всё равно прирост на примерно 1,3 миллиарда.</t>
  </si>
  <si>
    <t>При</t>
  </si>
  <si>
    <t>условии</t>
  </si>
  <si>
    <t>крупных</t>
  </si>
  <si>
    <t>успехов</t>
  </si>
  <si>
    <t>создании</t>
  </si>
  <si>
    <t>новых</t>
  </si>
  <si>
    <t>вакцин</t>
  </si>
  <si>
    <t>здравоохранении</t>
  </si>
  <si>
    <t>сфере</t>
  </si>
  <si>
    <t>охраны</t>
  </si>
  <si>
    <t>репродуктивного</t>
  </si>
  <si>
    <t>здоровья</t>
  </si>
  <si>
    <t>снизиться</t>
  </si>
  <si>
    <t>%</t>
  </si>
  <si>
    <t>всё</t>
  </si>
  <si>
    <t>равно</t>
  </si>
  <si>
    <t>прирост</t>
  </si>
  <si>
    <t>1,3</t>
  </si>
  <si>
    <t>миллиарда</t>
  </si>
  <si>
    <t># text = Второй сомножитель – объём потребляемых услуг.</t>
  </si>
  <si>
    <t>Второй</t>
  </si>
  <si>
    <t>потребляемых</t>
  </si>
  <si>
    <t># text = Он охватывает всё: пищу, одежду, телевидение, отопление.</t>
  </si>
  <si>
    <t>Он</t>
  </si>
  <si>
    <t>охватывает</t>
  </si>
  <si>
    <t>пищу</t>
  </si>
  <si>
    <t>одежду</t>
  </si>
  <si>
    <t>телевидение</t>
  </si>
  <si>
    <t>отопление</t>
  </si>
  <si>
    <t># text = Это всё – хорошие вещи, а избавление от бедности означает как раз предоставление именно этих услуг почти всем на планете.</t>
  </si>
  <si>
    <t>хорошие</t>
  </si>
  <si>
    <t>вещи</t>
  </si>
  <si>
    <t>а</t>
  </si>
  <si>
    <t>избавление</t>
  </si>
  <si>
    <t>бедности</t>
  </si>
  <si>
    <t>предоставление</t>
  </si>
  <si>
    <t>всем</t>
  </si>
  <si>
    <t># text = И если эта цифра растёт – так это же прекрасно!</t>
  </si>
  <si>
    <t>растёт</t>
  </si>
  <si>
    <t>прекрасно</t>
  </si>
  <si>
    <t>!</t>
  </si>
  <si>
    <t># text = Для обеспеченной части населения, скажем, для верхнего 1 миллиарда, вероятно, можно немного сократить потребление, но каждый год усреднённая цифра будет расти и, в целом, услуги на одного жителя планеты более, чем удвоятся.</t>
  </si>
  <si>
    <t>Для</t>
  </si>
  <si>
    <t>обеспеченной</t>
  </si>
  <si>
    <t>верхнего</t>
  </si>
  <si>
    <t>вероятно</t>
  </si>
  <si>
    <t>потребление</t>
  </si>
  <si>
    <t>усреднённая</t>
  </si>
  <si>
    <t>целом</t>
  </si>
  <si>
    <t>услуги</t>
  </si>
  <si>
    <t>одного</t>
  </si>
  <si>
    <t>удвоятся</t>
  </si>
  <si>
    <t># text = Вот в чём смысл базовых услуг: есть ли дома свет, чтобы сделать домашнее задание.</t>
  </si>
  <si>
    <t>Вот</t>
  </si>
  <si>
    <t>чём</t>
  </si>
  <si>
    <t>смысл</t>
  </si>
  <si>
    <t>базовых</t>
  </si>
  <si>
    <t>дома</t>
  </si>
  <si>
    <t>свет</t>
  </si>
  <si>
    <t>сделать</t>
  </si>
  <si>
    <t>домашнее</t>
  </si>
  <si>
    <t>задание</t>
  </si>
  <si>
    <t># text = У ребят этого нет, вот они и сидят под фонарями, читая школьные задания.</t>
  </si>
  <si>
    <t>У</t>
  </si>
  <si>
    <t>ребят</t>
  </si>
  <si>
    <t>сидят</t>
  </si>
  <si>
    <t>фонарями</t>
  </si>
  <si>
    <t>читая</t>
  </si>
  <si>
    <t>школьные</t>
  </si>
  <si>
    <t>задания</t>
  </si>
  <si>
    <t># text = Дальше, множитель Е, энергопотребление на единицу услуг.</t>
  </si>
  <si>
    <t>Дальше</t>
  </si>
  <si>
    <t>Е</t>
  </si>
  <si>
    <t>энергопотребление</t>
  </si>
  <si>
    <t># text = C ним, наконец, несколько легче: этот параметр не растёт.</t>
  </si>
  <si>
    <t>C</t>
  </si>
  <si>
    <t>ним</t>
  </si>
  <si>
    <t>наконец</t>
  </si>
  <si>
    <t>легче</t>
  </si>
  <si>
    <t>этот</t>
  </si>
  <si>
    <t>параметр</t>
  </si>
  <si>
    <t># text = Открытия и изобретения, как например, новые способы освещения, разные типы автомобилей, разные спосбы строительства зданий, привели к значительному снижению энергопотребления для большого спектра услуг.</t>
  </si>
  <si>
    <t>Открытия</t>
  </si>
  <si>
    <t>изобретения</t>
  </si>
  <si>
    <t>например</t>
  </si>
  <si>
    <t>новые</t>
  </si>
  <si>
    <t>способы</t>
  </si>
  <si>
    <t>освещения</t>
  </si>
  <si>
    <t>разные</t>
  </si>
  <si>
    <t>типы</t>
  </si>
  <si>
    <t>автомобилей</t>
  </si>
  <si>
    <t>спосбы</t>
  </si>
  <si>
    <t>строительства</t>
  </si>
  <si>
    <t>зданий</t>
  </si>
  <si>
    <t>привели</t>
  </si>
  <si>
    <t>значительному</t>
  </si>
  <si>
    <t>снижению</t>
  </si>
  <si>
    <t>большого</t>
  </si>
  <si>
    <t>спектра</t>
  </si>
  <si>
    <t># text = В некоторых случаях снижение составило даже 90%.</t>
  </si>
  <si>
    <t>некоторых</t>
  </si>
  <si>
    <t>случаях</t>
  </si>
  <si>
    <t>составило</t>
  </si>
  <si>
    <t># text = В других областях, скажем, при производстве удобрений или в воздушном транспорте, возможностей дальнейшего сокращения энергопотребления существенно меньше.</t>
  </si>
  <si>
    <t>других</t>
  </si>
  <si>
    <t>областях</t>
  </si>
  <si>
    <t>при</t>
  </si>
  <si>
    <t>производстве</t>
  </si>
  <si>
    <t>удобрений</t>
  </si>
  <si>
    <t>воздушном</t>
  </si>
  <si>
    <t>транспорте</t>
  </si>
  <si>
    <t>возможностей</t>
  </si>
  <si>
    <t>дальнейшего</t>
  </si>
  <si>
    <t>сокращения</t>
  </si>
  <si>
    <t>существенно</t>
  </si>
  <si>
    <t>меньше</t>
  </si>
  <si>
    <t># text = Значит, по самым оптимистичным ожиданиям, данный параметр может сократиться раза в три, может, в шесть.</t>
  </si>
  <si>
    <t>самым</t>
  </si>
  <si>
    <t>оптимистичным</t>
  </si>
  <si>
    <t>ожиданиям</t>
  </si>
  <si>
    <t>данный</t>
  </si>
  <si>
    <t>сократиться</t>
  </si>
  <si>
    <t>раза</t>
  </si>
  <si>
    <t>три</t>
  </si>
  <si>
    <t>шесть</t>
  </si>
  <si>
    <t># text = Но по первым трём множителям вместе это будет означать снижение с 26 миллиардов до 13 миллиардов в лучшем случае, а это не то, что нам надо.</t>
  </si>
  <si>
    <t>первым</t>
  </si>
  <si>
    <t>трём</t>
  </si>
  <si>
    <t>множителям</t>
  </si>
  <si>
    <t>вместе</t>
  </si>
  <si>
    <t>лучшем</t>
  </si>
  <si>
    <t>случае</t>
  </si>
  <si>
    <t># text = Давайте теперь рассмотрим 4-й множитель – и он окажется ключевым – объём выбросов СО2 на единицу произведённой энергии.</t>
  </si>
  <si>
    <t>теперь</t>
  </si>
  <si>
    <t>4-й</t>
  </si>
  <si>
    <t>ключевым</t>
  </si>
  <si>
    <t># text = Вопрос в том, можно ли его свести к нулю?</t>
  </si>
  <si>
    <t>Вопрос</t>
  </si>
  <si>
    <t>его</t>
  </si>
  <si>
    <t># text = Если использовать уголь – нет.</t>
  </si>
  <si>
    <t>Если</t>
  </si>
  <si>
    <t>использовать</t>
  </si>
  <si>
    <t>уголь</t>
  </si>
  <si>
    <t># text = Если использовать газ – нет.</t>
  </si>
  <si>
    <t># text = Практически все сегодняшние способы производства электричества, за исключением недавно появившихся возобновляемых и ядерных источников, дают выбросы СО2.</t>
  </si>
  <si>
    <t>Практически</t>
  </si>
  <si>
    <t>все</t>
  </si>
  <si>
    <t>сегодняшние</t>
  </si>
  <si>
    <t>производства</t>
  </si>
  <si>
    <t>электричества</t>
  </si>
  <si>
    <t>за</t>
  </si>
  <si>
    <t>исключением</t>
  </si>
  <si>
    <t>недавно</t>
  </si>
  <si>
    <t>появившихся</t>
  </si>
  <si>
    <t>возобновляемых</t>
  </si>
  <si>
    <t>ядерных</t>
  </si>
  <si>
    <t>источников</t>
  </si>
  <si>
    <t>дают</t>
  </si>
  <si>
    <t>выбросы</t>
  </si>
  <si>
    <t># text = Поэтому нам не остается ничего, другого, кроме как создавать новую систему в глобальном масштабе.</t>
  </si>
  <si>
    <t>Поэтому</t>
  </si>
  <si>
    <t>остается</t>
  </si>
  <si>
    <t>ничего</t>
  </si>
  <si>
    <t>pron.pind</t>
  </si>
  <si>
    <t>другого</t>
  </si>
  <si>
    <t>кроме</t>
  </si>
  <si>
    <t>создавать</t>
  </si>
  <si>
    <t>новую</t>
  </si>
  <si>
    <t>систему</t>
  </si>
  <si>
    <t>глобальном</t>
  </si>
  <si>
    <t>масштабе</t>
  </si>
  <si>
    <t># text = Нам нужно энергетическое чудо.</t>
  </si>
  <si>
    <t>Нам</t>
  </si>
  <si>
    <t>энергетическое</t>
  </si>
  <si>
    <t>чудо</t>
  </si>
  <si>
    <t># text = Под словом «чудо» я не имею в виду нечто невозможное.</t>
  </si>
  <si>
    <t>Под</t>
  </si>
  <si>
    <t>словом</t>
  </si>
  <si>
    <t>«чудо»</t>
  </si>
  <si>
    <t>имею</t>
  </si>
  <si>
    <t>виду</t>
  </si>
  <si>
    <t>нечто</t>
  </si>
  <si>
    <t>невозможное</t>
  </si>
  <si>
    <t># text = Микропроцессор – это чудо.</t>
  </si>
  <si>
    <t>Микропроцессор</t>
  </si>
  <si>
    <t># text = Персональный компьютер – чудо.</t>
  </si>
  <si>
    <t>Персональный</t>
  </si>
  <si>
    <t># text = Интернет и интернет-услуги – чудо.</t>
  </si>
  <si>
    <t>Интернет</t>
  </si>
  <si>
    <t>интернет</t>
  </si>
  <si>
    <t># text = Присутствующие в зале участвовали в создании многих чудес.</t>
  </si>
  <si>
    <t>Присутствующие</t>
  </si>
  <si>
    <t>зале</t>
  </si>
  <si>
    <t>участвовали</t>
  </si>
  <si>
    <t>многих</t>
  </si>
  <si>
    <t>чудес</t>
  </si>
  <si>
    <t># text = Обычно в этом случае нет крайнего срока, нет даты, к которой необходимо сотворить чудо.</t>
  </si>
  <si>
    <t>Обычно</t>
  </si>
  <si>
    <t>крайнего</t>
  </si>
  <si>
    <t>срока</t>
  </si>
  <si>
    <t>даты</t>
  </si>
  <si>
    <t>которой</t>
  </si>
  <si>
    <t>сотворить</t>
  </si>
  <si>
    <t># text = Обычно жизнь приносит нам чудо или не приносит, а не мы за ним гонимся.</t>
  </si>
  <si>
    <t>приносит</t>
  </si>
  <si>
    <t>гонимся</t>
  </si>
  <si>
    <t># text = Но этот как раз тот случай, когда гнаться надо, да ещё во всю мощь и получить чудо в очень сжатые сроки Я думал, как можно увлечь вас этим.</t>
  </si>
  <si>
    <t>тот</t>
  </si>
  <si>
    <t>случай</t>
  </si>
  <si>
    <t>когда</t>
  </si>
  <si>
    <t>гнаться</t>
  </si>
  <si>
    <t>ещё</t>
  </si>
  <si>
    <t>во</t>
  </si>
  <si>
    <t>всю</t>
  </si>
  <si>
    <t>мощь</t>
  </si>
  <si>
    <t>получить</t>
  </si>
  <si>
    <t>сжатые</t>
  </si>
  <si>
    <t>сроки</t>
  </si>
  <si>
    <t>думал</t>
  </si>
  <si>
    <t>увлечь</t>
  </si>
  <si>
    <t>вас</t>
  </si>
  <si>
    <t>этим</t>
  </si>
  <si>
    <t># text = Есть ли какие-то естественные, наглядные примеры, способные вызвать живое воображение?</t>
  </si>
  <si>
    <t>Есть</t>
  </si>
  <si>
    <t>какие-то</t>
  </si>
  <si>
    <t>естественные</t>
  </si>
  <si>
    <t>наглядные</t>
  </si>
  <si>
    <t>примеры</t>
  </si>
  <si>
    <t>способные</t>
  </si>
  <si>
    <t>вызвать</t>
  </si>
  <si>
    <t>живое</t>
  </si>
  <si>
    <t>воображение</t>
  </si>
  <si>
    <t># text = Я вспомнил, как год назад я привёз [на TED2009] комаров, и людям это почему-то понравилось.</t>
  </si>
  <si>
    <t>вспомнил</t>
  </si>
  <si>
    <t>назад</t>
  </si>
  <si>
    <t>привёз</t>
  </si>
  <si>
    <t>[</t>
  </si>
  <si>
    <t>TED2009</t>
  </si>
  <si>
    <t>]</t>
  </si>
  <si>
    <t>комаров</t>
  </si>
  <si>
    <t>людям</t>
  </si>
  <si>
    <t>почему-то</t>
  </si>
  <si>
    <t>понравилось</t>
  </si>
  <si>
    <t># text = (Смех) Они живо прочувствовали, каково тем, кто всё время живёт с комарами.</t>
  </si>
  <si>
    <t>(</t>
  </si>
  <si>
    <t>Смех</t>
  </si>
  <si>
    <t>)</t>
  </si>
  <si>
    <t>Они</t>
  </si>
  <si>
    <t>живо</t>
  </si>
  <si>
    <t>прочувствовали</t>
  </si>
  <si>
    <t>каково</t>
  </si>
  <si>
    <t>тем</t>
  </si>
  <si>
    <t>кто</t>
  </si>
  <si>
    <t>время</t>
  </si>
  <si>
    <t>живёт</t>
  </si>
  <si>
    <t>комарами</t>
  </si>
  <si>
    <t># text = Насчёт энергетики, всё, что мне пришло в голову – выпустить светлячков.</t>
  </si>
  <si>
    <t>мне</t>
  </si>
  <si>
    <t>пришло</t>
  </si>
  <si>
    <t>голову</t>
  </si>
  <si>
    <t>выпустить</t>
  </si>
  <si>
    <t>светлячков</t>
  </si>
  <si>
    <t># text = Пусть это будет моим вкладом в охрану окружающей среды в этом году.</t>
  </si>
  <si>
    <t>Пусть</t>
  </si>
  <si>
    <t>моим</t>
  </si>
  <si>
    <t>вкладом</t>
  </si>
  <si>
    <t>охрану</t>
  </si>
  <si>
    <t>окружающей</t>
  </si>
  <si>
    <t>среды</t>
  </si>
  <si>
    <t>году</t>
  </si>
  <si>
    <t># text = Вот несколько светлячков.</t>
  </si>
  <si>
    <t># text = Мне сказали, что они не кусают.</t>
  </si>
  <si>
    <t>Мне</t>
  </si>
  <si>
    <t>сказали</t>
  </si>
  <si>
    <t>кусают</t>
  </si>
  <si>
    <t># text = Вообще-то, они даже из банки могут не вылететь Так вот, надуманных трюков типа этого имеется масса, но от них нет никакой пользы.</t>
  </si>
  <si>
    <t>банки</t>
  </si>
  <si>
    <t>могут</t>
  </si>
  <si>
    <t>вылететь</t>
  </si>
  <si>
    <t>Так</t>
  </si>
  <si>
    <t>надуманных</t>
  </si>
  <si>
    <t>трюков</t>
  </si>
  <si>
    <t>типа</t>
  </si>
  <si>
    <t>имеется</t>
  </si>
  <si>
    <t>масса</t>
  </si>
  <si>
    <t>никакой</t>
  </si>
  <si>
    <t>пользы</t>
  </si>
  <si>
    <t># text = Нам необходимы решения, одно или несколько, невероятного масштаба и невероятной надежности.</t>
  </si>
  <si>
    <t>необходимы</t>
  </si>
  <si>
    <t>решения</t>
  </si>
  <si>
    <t>одно</t>
  </si>
  <si>
    <t>невероятного</t>
  </si>
  <si>
    <t>масштаба</t>
  </si>
  <si>
    <t>невероятной</t>
  </si>
  <si>
    <t>надежности</t>
  </si>
  <si>
    <t># text = Хотя исследования ведутся во многих областях, я вижу лишь пять направлений с перспективами крупномасштабного эффекта.</t>
  </si>
  <si>
    <t>Хотя</t>
  </si>
  <si>
    <t>исследования</t>
  </si>
  <si>
    <t>ведутся</t>
  </si>
  <si>
    <t>вижу</t>
  </si>
  <si>
    <t>лишь</t>
  </si>
  <si>
    <t>пять</t>
  </si>
  <si>
    <t>направлений</t>
  </si>
  <si>
    <t>перспективами</t>
  </si>
  <si>
    <t>крупномасштабного</t>
  </si>
  <si>
    <t>эффекта</t>
  </si>
  <si>
    <t># text = Я не буду говорить о приливных станциях, геотермической энергии, ядерном синтезе и био-топливе.</t>
  </si>
  <si>
    <t>о</t>
  </si>
  <si>
    <t>приливных</t>
  </si>
  <si>
    <t>станциях</t>
  </si>
  <si>
    <t>геотермической</t>
  </si>
  <si>
    <t>ядерном</t>
  </si>
  <si>
    <t>синтезе</t>
  </si>
  <si>
    <t>био-топливе</t>
  </si>
  <si>
    <t># text = Каждое из них способно сделать свой вклад, и если он окажется выше моих ожиданий, то тем лучше.</t>
  </si>
  <si>
    <t>Каждое</t>
  </si>
  <si>
    <t>свой</t>
  </si>
  <si>
    <t>вклад</t>
  </si>
  <si>
    <t>выше</t>
  </si>
  <si>
    <t>моих</t>
  </si>
  <si>
    <t>ожиданий</t>
  </si>
  <si>
    <t>лучше</t>
  </si>
  <si>
    <t># text = Но главное в том, что по каждому из этих пяти направлений надо работать и не сдаваться лишь из-за того, что задача кажется непосильной, потому что каждая из этих задач очень серьезная.</t>
  </si>
  <si>
    <t>главное</t>
  </si>
  <si>
    <t>каждому</t>
  </si>
  <si>
    <t>пяти</t>
  </si>
  <si>
    <t>работать</t>
  </si>
  <si>
    <t>сдаваться</t>
  </si>
  <si>
    <t>из-за</t>
  </si>
  <si>
    <t>кажется</t>
  </si>
  <si>
    <t>непосильной</t>
  </si>
  <si>
    <t>каждая</t>
  </si>
  <si>
    <t>задач</t>
  </si>
  <si>
    <t>серьезная</t>
  </si>
  <si>
    <t># text = Давайте сначала посмотрим на сгорание ископаемого топлива, либо угля, либо газа.</t>
  </si>
  <si>
    <t>сначала</t>
  </si>
  <si>
    <t>сгорание</t>
  </si>
  <si>
    <t>ископаемого</t>
  </si>
  <si>
    <t>топлива</t>
  </si>
  <si>
    <t>угля</t>
  </si>
  <si>
    <t># text = Казалось бы, здесь всё просто, но это не так.</t>
  </si>
  <si>
    <t>Казалось</t>
  </si>
  <si>
    <t>бы</t>
  </si>
  <si>
    <t># text = Идея в том, чтобы собирать весь выходящий из трубы углекислый газ, спрессовать его до жидкого состояния, куда-нибудь поместить и надеяться, что он никуда не денется.</t>
  </si>
  <si>
    <t>Идея</t>
  </si>
  <si>
    <t>собирать</t>
  </si>
  <si>
    <t>весь</t>
  </si>
  <si>
    <t>выходящий</t>
  </si>
  <si>
    <t>трубы</t>
  </si>
  <si>
    <t>спрессовать</t>
  </si>
  <si>
    <t>жидкого</t>
  </si>
  <si>
    <t>состояния</t>
  </si>
  <si>
    <t>куда-нибудь</t>
  </si>
  <si>
    <t>поместить</t>
  </si>
  <si>
    <t>надеяться</t>
  </si>
  <si>
    <t>никуда</t>
  </si>
  <si>
    <t>денется</t>
  </si>
  <si>
    <t># text = Есть несколько пилотных проектов, улавливающих до 60-80 процентов СО2, но подняться до уровня 100% и при этом найти место хранения таких объёмов СО2 будет очень трудно.</t>
  </si>
  <si>
    <t>пилотных</t>
  </si>
  <si>
    <t>проектов</t>
  </si>
  <si>
    <t>улавливающих</t>
  </si>
  <si>
    <t>процентов</t>
  </si>
  <si>
    <t>подняться</t>
  </si>
  <si>
    <t>найти</t>
  </si>
  <si>
    <t>хранения</t>
  </si>
  <si>
    <t>таких</t>
  </si>
  <si>
    <t>объёмов</t>
  </si>
  <si>
    <t>трудно</t>
  </si>
  <si>
    <t># text = Но самое сложное – вопросы долгосрочности хранения.</t>
  </si>
  <si>
    <t>самое</t>
  </si>
  <si>
    <t>сложное</t>
  </si>
  <si>
    <t>вопросы</t>
  </si>
  <si>
    <t>долгосрочности</t>
  </si>
  <si>
    <t># text = Как можно быть уверенным в нём?</t>
  </si>
  <si>
    <t>Как</t>
  </si>
  <si>
    <t>уверенным</t>
  </si>
  <si>
    <t>нём</t>
  </si>
  <si>
    <t># text = Кто может дать гарантию на объёмы, в миллиарды раз большие, чем любой тип отходов, ядерных и прочих?</t>
  </si>
  <si>
    <t>Кто</t>
  </si>
  <si>
    <t>дать</t>
  </si>
  <si>
    <t>гарантию</t>
  </si>
  <si>
    <t>объёмы</t>
  </si>
  <si>
    <t>миллиарды</t>
  </si>
  <si>
    <t>большие</t>
  </si>
  <si>
    <t>любой</t>
  </si>
  <si>
    <t>тип</t>
  </si>
  <si>
    <t>отходов</t>
  </si>
  <si>
    <t>прочих</t>
  </si>
  <si>
    <t># text = Это действительно большой объём.</t>
  </si>
  <si>
    <t># text = Итак, это сложная задача.</t>
  </si>
  <si>
    <t>сложная</t>
  </si>
  <si>
    <t># text = Следующее – ядерная энергетика.</t>
  </si>
  <si>
    <t>Следующее</t>
  </si>
  <si>
    <t>ядерная</t>
  </si>
  <si>
    <t># text = Здесь тоже имеются три большие проблемы.</t>
  </si>
  <si>
    <t>Здесь</t>
  </si>
  <si>
    <t>тоже</t>
  </si>
  <si>
    <t>имеются</t>
  </si>
  <si>
    <t>проблемы</t>
  </si>
  <si>
    <t># text = Во-первых, велика себестоимость, особенно в странах со строгим регулированием этой деятельности.</t>
  </si>
  <si>
    <t>Во-первых</t>
  </si>
  <si>
    <t>велика</t>
  </si>
  <si>
    <t>себестоимость</t>
  </si>
  <si>
    <t>особенно</t>
  </si>
  <si>
    <t>странах</t>
  </si>
  <si>
    <t>со</t>
  </si>
  <si>
    <t>строгим</t>
  </si>
  <si>
    <t>регулированием</t>
  </si>
  <si>
    <t>этой</t>
  </si>
  <si>
    <t>деятельности</t>
  </si>
  <si>
    <t># text = Во-вторых, вопрос безопасности, чувство уверенности, что ничего не случится, что даже при наличии человеческого фактора в эксплуатации станции, топливо не пойдёт на создание оружия.</t>
  </si>
  <si>
    <t>Во-вторых</t>
  </si>
  <si>
    <t>безопасности</t>
  </si>
  <si>
    <t>уверенности</t>
  </si>
  <si>
    <t>случится</t>
  </si>
  <si>
    <t>наличии</t>
  </si>
  <si>
    <t>человеческого</t>
  </si>
  <si>
    <t>фактора</t>
  </si>
  <si>
    <t>эксплуатации</t>
  </si>
  <si>
    <t>станции</t>
  </si>
  <si>
    <t>топливо</t>
  </si>
  <si>
    <t>пойдёт</t>
  </si>
  <si>
    <t>создание</t>
  </si>
  <si>
    <t>оружия</t>
  </si>
  <si>
    <t># text = И, наконец, что делать с отходами?</t>
  </si>
  <si>
    <t>отходами</t>
  </si>
  <si>
    <t># text = Хоть их и не так много, эта проблема вызывает немалую озабоченность.</t>
  </si>
  <si>
    <t>Хоть</t>
  </si>
  <si>
    <t>немалую</t>
  </si>
  <si>
    <t>озабоченность</t>
  </si>
  <si>
    <t># text = Население должно чувствовать себя комфортно.</t>
  </si>
  <si>
    <t>Население</t>
  </si>
  <si>
    <t>должно</t>
  </si>
  <si>
    <t>себя</t>
  </si>
  <si>
    <t>комфортно</t>
  </si>
  <si>
    <t># text = Вот три очень трудные проблемы, которые в принципе решить можно, а потому, следует работать над ними.</t>
  </si>
  <si>
    <t>трудные</t>
  </si>
  <si>
    <t>которые</t>
  </si>
  <si>
    <t>принципе</t>
  </si>
  <si>
    <t>следует</t>
  </si>
  <si>
    <t>над</t>
  </si>
  <si>
    <t>ними</t>
  </si>
  <si>
    <t># text = Последние три из пяти направлений я сгруппировал.</t>
  </si>
  <si>
    <t>Последние</t>
  </si>
  <si>
    <t>сгруппировал</t>
  </si>
  <si>
    <t># text = Это так называемые «возобновляемые источники».</t>
  </si>
  <si>
    <t>называемые</t>
  </si>
  <si>
    <t>«возобновляемые</t>
  </si>
  <si>
    <t># text = Конечно, замечательно, что для них не требуется топлива, но и они обладают недостатками.</t>
  </si>
  <si>
    <t>Конечно</t>
  </si>
  <si>
    <t>замечательно</t>
  </si>
  <si>
    <t>требуется</t>
  </si>
  <si>
    <t>обладают</t>
  </si>
  <si>
    <t>недостатками</t>
  </si>
  <si>
    <t># text = Первый – плотность энергии, аккумулируемой посредством этих технологий, существенно ниже, чем в электростанции.</t>
  </si>
  <si>
    <t>плотность</t>
  </si>
  <si>
    <t>аккумулируемой</t>
  </si>
  <si>
    <t>посредством</t>
  </si>
  <si>
    <t>технологий</t>
  </si>
  <si>
    <t>ниже</t>
  </si>
  <si>
    <t>электростанции</t>
  </si>
  <si>
    <t># text = Это – энергетические угодья, речь идёт о площадях на много квадратных километров, в тысячи раз больше, чем занимает обычная электростанция.</t>
  </si>
  <si>
    <t>энергетические</t>
  </si>
  <si>
    <t>угодья</t>
  </si>
  <si>
    <t>речь</t>
  </si>
  <si>
    <t>идёт</t>
  </si>
  <si>
    <t>площадях</t>
  </si>
  <si>
    <t>квадратных</t>
  </si>
  <si>
    <t>километров</t>
  </si>
  <si>
    <t>тысячи</t>
  </si>
  <si>
    <t>больше</t>
  </si>
  <si>
    <t>занимает</t>
  </si>
  <si>
    <t>обычная</t>
  </si>
  <si>
    <t>электростанция</t>
  </si>
  <si>
    <t># text = Кроме того, источник энергии неустойчив.</t>
  </si>
  <si>
    <t>источник</t>
  </si>
  <si>
    <t>неустойчив</t>
  </si>
  <si>
    <t># text = Солнце светит не целый день, да и не каждый день, равно как и ветер непостоянен.</t>
  </si>
  <si>
    <t>Солнце</t>
  </si>
  <si>
    <t>светит</t>
  </si>
  <si>
    <t>целый</t>
  </si>
  <si>
    <t>день</t>
  </si>
  <si>
    <t>ветер</t>
  </si>
  <si>
    <t>непостоянен</t>
  </si>
  <si>
    <t># text = А потому, если мы зависим от этих источников, то надо придумать способ получения энергии за время отсутствия её на источнике.</t>
  </si>
  <si>
    <t>А</t>
  </si>
  <si>
    <t>зависим</t>
  </si>
  <si>
    <t>придумать</t>
  </si>
  <si>
    <t>получения</t>
  </si>
  <si>
    <t>отсутствия</t>
  </si>
  <si>
    <t>источнике</t>
  </si>
  <si>
    <t># text = Здесь огромные проблемы с себестоимостью.</t>
  </si>
  <si>
    <t>огромные</t>
  </si>
  <si>
    <t>себестоимостью</t>
  </si>
  <si>
    <t># text = Проблемы с передачей на расстояние.</t>
  </si>
  <si>
    <t>Проблемы</t>
  </si>
  <si>
    <t>передачей</t>
  </si>
  <si>
    <t>расстояние</t>
  </si>
  <si>
    <t># text = Например, если источник энергии находится за пределами вашей страны, то вам нужна не только технология, но и защита от риска поступления энергии извне.</t>
  </si>
  <si>
    <t>Например</t>
  </si>
  <si>
    <t>находится</t>
  </si>
  <si>
    <t>пределами</t>
  </si>
  <si>
    <t>вашей</t>
  </si>
  <si>
    <t>страны</t>
  </si>
  <si>
    <t>вам</t>
  </si>
  <si>
    <t>нужна</t>
  </si>
  <si>
    <t>только</t>
  </si>
  <si>
    <t>технология</t>
  </si>
  <si>
    <t>защита</t>
  </si>
  <si>
    <t>риска</t>
  </si>
  <si>
    <t>поступления</t>
  </si>
  <si>
    <t>извне</t>
  </si>
  <si>
    <t># text = И, наконец, проблема хранения.</t>
  </si>
  <si>
    <t># text = Чтобы представить масштабы этой проблемы, я посчитал суммарную ёмкость всех типов производимых сегодня батарей – для автомобилей, компьютеров, телефонов, фонариков, для всего – и сравнил это с мировым объёмом используемой электроэнергии.</t>
  </si>
  <si>
    <t>Чтобы</t>
  </si>
  <si>
    <t>представить</t>
  </si>
  <si>
    <t>масштабы</t>
  </si>
  <si>
    <t>посчитал</t>
  </si>
  <si>
    <t>суммарную</t>
  </si>
  <si>
    <t>ёмкость</t>
  </si>
  <si>
    <t>типов</t>
  </si>
  <si>
    <t>производимых</t>
  </si>
  <si>
    <t>батарей</t>
  </si>
  <si>
    <t>компьютеров</t>
  </si>
  <si>
    <t>телефонов</t>
  </si>
  <si>
    <t>фонариков</t>
  </si>
  <si>
    <t>сравнил</t>
  </si>
  <si>
    <t>мировым</t>
  </si>
  <si>
    <t>объёмом</t>
  </si>
  <si>
    <t>используемой</t>
  </si>
  <si>
    <t>электроэнергии</t>
  </si>
  <si>
    <t># text = Выяснилось, что всех производимых сейчас батарей хватит лишь на 10 минут мирового энергопотребления.</t>
  </si>
  <si>
    <t>Выяснилось</t>
  </si>
  <si>
    <t>сейчас</t>
  </si>
  <si>
    <t>хватит</t>
  </si>
  <si>
    <t>минут</t>
  </si>
  <si>
    <t>мирового</t>
  </si>
  <si>
    <t># text = Значит, здесь нужен революционный прорыв, нечто в сотни раз лучше, чем то, что позволяют нынешние подходы.</t>
  </si>
  <si>
    <t>нужен</t>
  </si>
  <si>
    <t>революционный</t>
  </si>
  <si>
    <t>прорыв</t>
  </si>
  <si>
    <t>сотни</t>
  </si>
  <si>
    <t>позволяют</t>
  </si>
  <si>
    <t>нынешние</t>
  </si>
  <si>
    <t>подходы</t>
  </si>
  <si>
    <t># text = Это небезнадёжно, но и не так легко.</t>
  </si>
  <si>
    <t>небезнадёжно</t>
  </si>
  <si>
    <t>легко</t>
  </si>
  <si>
    <t># text = Такая проблема возникает, если мы хотим производить от нестабильного источника на 20-30% больше энергии, чем требуется для текущего потребления.</t>
  </si>
  <si>
    <t>Такая</t>
  </si>
  <si>
    <t>возникает</t>
  </si>
  <si>
    <t>нестабильного</t>
  </si>
  <si>
    <t>источника</t>
  </si>
  <si>
    <t>текущего</t>
  </si>
  <si>
    <t>потребления</t>
  </si>
  <si>
    <t># text = Если мы полностью зависим от источника, то для этого потребуется невероятная чудо-батарея.</t>
  </si>
  <si>
    <t>полностью</t>
  </si>
  <si>
    <t>потребуется</t>
  </si>
  <si>
    <t>невероятная</t>
  </si>
  <si>
    <t>батарея</t>
  </si>
  <si>
    <t># text = Что же делать?</t>
  </si>
  <si>
    <t>Что</t>
  </si>
  <si>
    <t># text = Как подступиться к этой проблеме?</t>
  </si>
  <si>
    <t>проблеме</t>
  </si>
  <si>
    <t># text = Новый проект Манхеттен [для атомной бомбы]?</t>
  </si>
  <si>
    <t>Новый</t>
  </si>
  <si>
    <t>Манхеттен</t>
  </si>
  <si>
    <t>атомной</t>
  </si>
  <si>
    <t>бомбы</t>
  </si>
  <si>
    <t># text = Как добиться цели?</t>
  </si>
  <si>
    <t>цели</t>
  </si>
  <si>
    <t># text = Необходимо привлечь к этому много фирм: сотни.</t>
  </si>
  <si>
    <t>Необходимо</t>
  </si>
  <si>
    <t>привлечь</t>
  </si>
  <si>
    <t>этому</t>
  </si>
  <si>
    <t>фирм</t>
  </si>
  <si>
    <t># text = По каждому из этих пяти направлений нужно как минимум сто человек.</t>
  </si>
  <si>
    <t>По</t>
  </si>
  <si>
    <t>минимум</t>
  </si>
  <si>
    <t>сто</t>
  </si>
  <si>
    <t>человек</t>
  </si>
  <si>
    <t># text = Про многих из них можно будет подумать, что они сумасшедшие.</t>
  </si>
  <si>
    <t>Про</t>
  </si>
  <si>
    <t>сумасшедшие</t>
  </si>
  <si>
    <t># text = И это – хорошо.</t>
  </si>
  <si>
    <t>хорошо</t>
  </si>
  <si>
    <t># text = Я думаю, что среди людей здесь, на TED, многие уже этим занимаются.</t>
  </si>
  <si>
    <t>думаю</t>
  </si>
  <si>
    <t>среди</t>
  </si>
  <si>
    <t>TED</t>
  </si>
  <si>
    <t>многие</t>
  </si>
  <si>
    <t>уже</t>
  </si>
  <si>
    <t>занимаются</t>
  </si>
  <si>
    <t># text = Билл Гросс имеет несколько компаний.</t>
  </si>
  <si>
    <t>Гросс</t>
  </si>
  <si>
    <t>компаний</t>
  </si>
  <si>
    <t># text = Одна из них называется eSolar.</t>
  </si>
  <si>
    <t>Одна</t>
  </si>
  <si>
    <t>называется</t>
  </si>
  <si>
    <t>eSolar</t>
  </si>
  <si>
    <t># text = Она разработала прекрасную технологию по солнечной тепловой энергии.</t>
  </si>
  <si>
    <t>Она</t>
  </si>
  <si>
    <t>разработала</t>
  </si>
  <si>
    <t>прекрасную</t>
  </si>
  <si>
    <t>технологию</t>
  </si>
  <si>
    <t>солнечной</t>
  </si>
  <si>
    <t>тепловой</t>
  </si>
  <si>
    <t># text = Винод Хосла инвестировал в десятки фирм.</t>
  </si>
  <si>
    <t>Винод</t>
  </si>
  <si>
    <t>Хосла</t>
  </si>
  <si>
    <t>инвестировал</t>
  </si>
  <si>
    <t>десятки</t>
  </si>
  <si>
    <t># text = У них прекрасные результаты и интереснейшие перспективы, и я стараюсь им помочь.</t>
  </si>
  <si>
    <t>прекрасные</t>
  </si>
  <si>
    <t>результаты</t>
  </si>
  <si>
    <t>интереснейшие</t>
  </si>
  <si>
    <t>перспективы</t>
  </si>
  <si>
    <t>стараюсь</t>
  </si>
  <si>
    <t>им</t>
  </si>
  <si>
    <t>помочь</t>
  </si>
  <si>
    <t># text = Мы с Натаном Мирвольдом оказываем поддержку одной фирме, которая, как бы это ни показалось странным, работает в направлении ядерной энергетики.</t>
  </si>
  <si>
    <t>Мы</t>
  </si>
  <si>
    <t>Натаном</t>
  </si>
  <si>
    <t>Мирвольдом</t>
  </si>
  <si>
    <t>оказываем</t>
  </si>
  <si>
    <t>поддержку</t>
  </si>
  <si>
    <t>одной</t>
  </si>
  <si>
    <t>фирме</t>
  </si>
  <si>
    <t>которая</t>
  </si>
  <si>
    <t>ни</t>
  </si>
  <si>
    <t>показалось</t>
  </si>
  <si>
    <t>странным</t>
  </si>
  <si>
    <t>работает</t>
  </si>
  <si>
    <t>направлении</t>
  </si>
  <si>
    <t>ядерной</t>
  </si>
  <si>
    <t># text = В ядерной энергетике несколько инноваций, например, модулярная и жидкая.</t>
  </si>
  <si>
    <t>энергетике</t>
  </si>
  <si>
    <t>инноваций</t>
  </si>
  <si>
    <t>модулярная</t>
  </si>
  <si>
    <t>жидкая</t>
  </si>
  <si>
    <t># text = Обновления в этом секторе прекратились достаточно давно, а потому неудивительно, что тут много хороших и неиспользуемых идей.</t>
  </si>
  <si>
    <t>Обновления</t>
  </si>
  <si>
    <t>секторе</t>
  </si>
  <si>
    <t>прекратились</t>
  </si>
  <si>
    <t>достаточно</t>
  </si>
  <si>
    <t>давно</t>
  </si>
  <si>
    <t>неудивительно</t>
  </si>
  <si>
    <t>тут</t>
  </si>
  <si>
    <t>хороших</t>
  </si>
  <si>
    <t>неиспользуемых</t>
  </si>
  <si>
    <t>идей</t>
  </si>
  <si>
    <t># text = Идея работы Terrapower в том, чтобы вместо сгорания части урана, того самого 1%, который составляет уран-235, добиться сгорания 99%, что есть урана-238.</t>
  </si>
  <si>
    <t>работы</t>
  </si>
  <si>
    <t>Terrapower</t>
  </si>
  <si>
    <t>вместо</t>
  </si>
  <si>
    <t>сгорания</t>
  </si>
  <si>
    <t>урана</t>
  </si>
  <si>
    <t>самого</t>
  </si>
  <si>
    <t>который</t>
  </si>
  <si>
    <t>составляет</t>
  </si>
  <si>
    <t>уран</t>
  </si>
  <si>
    <t># text = Эта идея кажется сумасшедшей, но на самом деле она давно уже бродит в умах, но для её проверки не было возможности создать полноценную симуляцию.</t>
  </si>
  <si>
    <t>Эта</t>
  </si>
  <si>
    <t>сумасшедшей</t>
  </si>
  <si>
    <t>самом</t>
  </si>
  <si>
    <t>деле</t>
  </si>
  <si>
    <t>бродит</t>
  </si>
  <si>
    <t>умах</t>
  </si>
  <si>
    <t>проверки</t>
  </si>
  <si>
    <t>было</t>
  </si>
  <si>
    <t>возможности</t>
  </si>
  <si>
    <t>создать</t>
  </si>
  <si>
    <t>полноценную</t>
  </si>
  <si>
    <t>симуляцию</t>
  </si>
  <si>
    <t># text = И только теперь, благодаря современным суперкомпьютерам, удалось построить симуляцию и убедиться, что да, при нужном подходе к материалам, направление может оказаться эффективным.</t>
  </si>
  <si>
    <t>современным</t>
  </si>
  <si>
    <t>суперкомпьютерам</t>
  </si>
  <si>
    <t>удалось</t>
  </si>
  <si>
    <t>построить</t>
  </si>
  <si>
    <t>убедиться</t>
  </si>
  <si>
    <t>нужном</t>
  </si>
  <si>
    <t>подходе</t>
  </si>
  <si>
    <t>материалам</t>
  </si>
  <si>
    <t>направление</t>
  </si>
  <si>
    <t>оказаться</t>
  </si>
  <si>
    <t>эффективным</t>
  </si>
  <si>
    <t># text = А поскольку сгорает уже все 99%, то себестоимость намного сокращается.</t>
  </si>
  <si>
    <t>поскольку</t>
  </si>
  <si>
    <t>сгорает</t>
  </si>
  <si>
    <t>намного</t>
  </si>
  <si>
    <t>сокращается</t>
  </si>
  <si>
    <t># text = Фактически сжигаются отходы, и, более того, можно использовать в качестве топлива все отходы сегодняшних реакторов.</t>
  </si>
  <si>
    <t>Фактически</t>
  </si>
  <si>
    <t>сжигаются</t>
  </si>
  <si>
    <t>качестве</t>
  </si>
  <si>
    <t>сегодняшних</t>
  </si>
  <si>
    <t>реакторов</t>
  </si>
  <si>
    <t># text = Так что, не волноваться за их судьбу надо, а просто перерабатывать их.</t>
  </si>
  <si>
    <t>волноваться</t>
  </si>
  <si>
    <t>судьбу</t>
  </si>
  <si>
    <t>перерабатывать</t>
  </si>
  <si>
    <t># text = Это потрясающе.</t>
  </si>
  <si>
    <t>потрясающе</t>
  </si>
  <si>
    <t># text = Эта штука дышит ураном, пока горит.</t>
  </si>
  <si>
    <t>штука</t>
  </si>
  <si>
    <t>дышит</t>
  </si>
  <si>
    <t>ураном</t>
  </si>
  <si>
    <t>горит</t>
  </si>
  <si>
    <t># text = Это как свеча.</t>
  </si>
  <si>
    <t># text = Вы видите запись процесса, который часто называется реактором двигающейся волны.</t>
  </si>
  <si>
    <t>Вы</t>
  </si>
  <si>
    <t>видите</t>
  </si>
  <si>
    <t>запись</t>
  </si>
  <si>
    <t>процесса</t>
  </si>
  <si>
    <t>часто</t>
  </si>
  <si>
    <t>реактором</t>
  </si>
  <si>
    <t>двигающейся</t>
  </si>
  <si>
    <t>волны</t>
  </si>
  <si>
    <t># text = Проблема реально решена по части топлива.</t>
  </si>
  <si>
    <t>Проблема</t>
  </si>
  <si>
    <t>реально</t>
  </si>
  <si>
    <t>решена</t>
  </si>
  <si>
    <t># text = Вот фотография одного участка в штате Кентукки.</t>
  </si>
  <si>
    <t>фотография</t>
  </si>
  <si>
    <t>участка</t>
  </si>
  <si>
    <t>штате</t>
  </si>
  <si>
    <t>Кентукки</t>
  </si>
  <si>
    <t># text = Это – те самые отходы, 99%, из которых изъята сгораемая при нынешней технологии часть, поэтому они называются обеднённым ураном.</t>
  </si>
  <si>
    <t>те</t>
  </si>
  <si>
    <t>самые</t>
  </si>
  <si>
    <t>которых</t>
  </si>
  <si>
    <t>изъята</t>
  </si>
  <si>
    <t>сгораемая</t>
  </si>
  <si>
    <t>нынешней</t>
  </si>
  <si>
    <t>технологии</t>
  </si>
  <si>
    <t>поэтому</t>
  </si>
  <si>
    <t>называются</t>
  </si>
  <si>
    <t>обеднённым</t>
  </si>
  <si>
    <t># text = Его достаточно для обеспечения США энергией на сотни лет.</t>
  </si>
  <si>
    <t>Его</t>
  </si>
  <si>
    <t>обеспечения</t>
  </si>
  <si>
    <t>США</t>
  </si>
  <si>
    <t>энергией</t>
  </si>
  <si>
    <t># text = А путём простой фильтрации морской воды недорогим процессом, можно получить достаточно топлива на весь период жизни планеты Земля.</t>
  </si>
  <si>
    <t>путём</t>
  </si>
  <si>
    <t>фильтрации</t>
  </si>
  <si>
    <t>морской</t>
  </si>
  <si>
    <t>воды</t>
  </si>
  <si>
    <t>недорогим</t>
  </si>
  <si>
    <t>процессом</t>
  </si>
  <si>
    <t>период</t>
  </si>
  <si>
    <t>жизни</t>
  </si>
  <si>
    <t>Земля</t>
  </si>
  <si>
    <t># text = Вы видите, что впереди много трудных задач, но я вам привёл один пример из сотен и сотен идей, необходимых для продвижения вперёд.</t>
  </si>
  <si>
    <t>впереди</t>
  </si>
  <si>
    <t>трудных</t>
  </si>
  <si>
    <t>привёл</t>
  </si>
  <si>
    <t>пример</t>
  </si>
  <si>
    <t>сотен</t>
  </si>
  <si>
    <t>необходимых</t>
  </si>
  <si>
    <t>продвижения</t>
  </si>
  <si>
    <t>вперёд</t>
  </si>
  <si>
    <t># text = Теперь подумаем, как следует измерять успешность наших действий.</t>
  </si>
  <si>
    <t>Теперь</t>
  </si>
  <si>
    <t>подумаем</t>
  </si>
  <si>
    <t>измерять</t>
  </si>
  <si>
    <t>успешность</t>
  </si>
  <si>
    <t>наших</t>
  </si>
  <si>
    <t>действий</t>
  </si>
  <si>
    <t># text = Как должна выглядеть наша зачётная ведомость?</t>
  </si>
  <si>
    <t>должна</t>
  </si>
  <si>
    <t>выглядеть</t>
  </si>
  <si>
    <t>наша</t>
  </si>
  <si>
    <t>зачётная</t>
  </si>
  <si>
    <t>ведомость</t>
  </si>
  <si>
    <t># text = Что ж, давайте перенесёмся туда, где мы хотим оказаться, и оттуда посмотрим на промежуточные этапы.</t>
  </si>
  <si>
    <t>ж</t>
  </si>
  <si>
    <t>давайте</t>
  </si>
  <si>
    <t>перенесёмся</t>
  </si>
  <si>
    <t>туда</t>
  </si>
  <si>
    <t>оттуда</t>
  </si>
  <si>
    <t>промежуточные</t>
  </si>
  <si>
    <t>этапы</t>
  </si>
  <si>
    <t># text = Сейчас много говорят о 80%-ном сокращении выбросов к 2050-му году.</t>
  </si>
  <si>
    <t>Сейчас</t>
  </si>
  <si>
    <t>говорят</t>
  </si>
  <si>
    <t>80%-ном</t>
  </si>
  <si>
    <t>сокращении</t>
  </si>
  <si>
    <t>2050-му</t>
  </si>
  <si>
    <t># text = Достичь этой цели очень важно. [надпись: Снижение выбросов СО2 на 80%.</t>
  </si>
  <si>
    <t>Достичь</t>
  </si>
  <si>
    <t>важно</t>
  </si>
  <si>
    <t>надпись</t>
  </si>
  <si>
    <t>Снижение</t>
  </si>
  <si>
    <t># text = В развитых странах – 0% эмиссии] Оставшиеся 20% будут производиться в бедных странах, в сельском хозяйстве.</t>
  </si>
  <si>
    <t>развитых</t>
  </si>
  <si>
    <t>0</t>
  </si>
  <si>
    <t>эмиссии</t>
  </si>
  <si>
    <t>Оставшиеся</t>
  </si>
  <si>
    <t>производиться</t>
  </si>
  <si>
    <t>сельском</t>
  </si>
  <si>
    <t>хозяйстве</t>
  </si>
  <si>
    <t># text = Надо надеяться, мы сможем очистить лесную и цементную промышленность.</t>
  </si>
  <si>
    <t>Надо</t>
  </si>
  <si>
    <t>сможем</t>
  </si>
  <si>
    <t>очистить</t>
  </si>
  <si>
    <t>лесную</t>
  </si>
  <si>
    <t>цементную</t>
  </si>
  <si>
    <t>промышленность</t>
  </si>
  <si>
    <t># text = Итак, для достижения этих 80%-ов развитые страны, вместе с Китаем и другими, должны будут целиком переключиться на новые способы производства электричества.</t>
  </si>
  <si>
    <t>достижения</t>
  </si>
  <si>
    <t>80%</t>
  </si>
  <si>
    <t>-ов</t>
  </si>
  <si>
    <t>развитые</t>
  </si>
  <si>
    <t>Китаем</t>
  </si>
  <si>
    <t>другими</t>
  </si>
  <si>
    <t>должны</t>
  </si>
  <si>
    <t>целиком</t>
  </si>
  <si>
    <t># text = Значит, одна оценка у нас будет за то, используем ли мы технологию 0%-ой эмиссии.</t>
  </si>
  <si>
    <t>одна</t>
  </si>
  <si>
    <t>оценка</t>
  </si>
  <si>
    <t>у</t>
  </si>
  <si>
    <t>нас</t>
  </si>
  <si>
    <t>используем</t>
  </si>
  <si>
    <t>0%</t>
  </si>
  <si>
    <t>-ой</t>
  </si>
  <si>
    <t># text = Применили ли её все развитые страны?</t>
  </si>
  <si>
    <t>Применили</t>
  </si>
  <si>
    <t># text = Начался ли процесс передачи её дальше?</t>
  </si>
  <si>
    <t>Начался</t>
  </si>
  <si>
    <t>процесс</t>
  </si>
  <si>
    <t>передачи</t>
  </si>
  <si>
    <t>дальше</t>
  </si>
  <si>
    <t># text = Это исключительно важно.</t>
  </si>
  <si>
    <t># text = Вот – главная составляющая зачётной ведомости в 2050 году.</t>
  </si>
  <si>
    <t>главная</t>
  </si>
  <si>
    <t>составляющая</t>
  </si>
  <si>
    <t>зачётной</t>
  </si>
  <si>
    <t>ведомости</t>
  </si>
  <si>
    <t>2050</t>
  </si>
  <si>
    <t># text = Ну а теперь можно спросить, какая должна быть зачётка в 2020 году.</t>
  </si>
  <si>
    <t>Ну</t>
  </si>
  <si>
    <t>какая</t>
  </si>
  <si>
    <t>зачётка</t>
  </si>
  <si>
    <t>2020</t>
  </si>
  <si>
    <t># text = В ней, опять-таки, будут две составные части.</t>
  </si>
  <si>
    <t>ней</t>
  </si>
  <si>
    <t>опять-таки</t>
  </si>
  <si>
    <t>две</t>
  </si>
  <si>
    <t>составные</t>
  </si>
  <si>
    <t># text = Для сокращения эмиссии надо провести все мероприятия по эффективности.</t>
  </si>
  <si>
    <t>провести</t>
  </si>
  <si>
    <t>мероприятия</t>
  </si>
  <si>
    <t>эффективности</t>
  </si>
  <si>
    <t># text = Чем меньше эмиссии, тем меньше суммарный объём СО2 и, следовательно, тем меньше температура.</t>
  </si>
  <si>
    <t>Чем</t>
  </si>
  <si>
    <t>суммарный</t>
  </si>
  <si>
    <t>следовательно</t>
  </si>
  <si>
    <t># text = Но в каком-то смысле такая оценка за действия, не приводящие к крупному сокращению выбросов, важна настолько же, а скорее даже меньше, чем оценка за количество инноваций на основе прорывов, выдающихся разработок.</t>
  </si>
  <si>
    <t>каком-то</t>
  </si>
  <si>
    <t>смысле</t>
  </si>
  <si>
    <t>такая</t>
  </si>
  <si>
    <t>действия</t>
  </si>
  <si>
    <t>приводящие</t>
  </si>
  <si>
    <t>крупному</t>
  </si>
  <si>
    <t>сокращению</t>
  </si>
  <si>
    <t>важна</t>
  </si>
  <si>
    <t>настолько</t>
  </si>
  <si>
    <t>скорее</t>
  </si>
  <si>
    <t>количество</t>
  </si>
  <si>
    <t>основе</t>
  </si>
  <si>
    <t>прорывов</t>
  </si>
  <si>
    <t>выдающихся</t>
  </si>
  <si>
    <t>разработок</t>
  </si>
  <si>
    <t># text = С прорывами необходимо спешить, всеми силами стимулировать их.</t>
  </si>
  <si>
    <t>С</t>
  </si>
  <si>
    <t>прорывами</t>
  </si>
  <si>
    <t>спешить</t>
  </si>
  <si>
    <t>всеми</t>
  </si>
  <si>
    <t>силами</t>
  </si>
  <si>
    <t>стимулировать</t>
  </si>
  <si>
    <t># text = Тут можно измерять числом фирм, пилотных проектов, проведённых изменений в нормативной базе.</t>
  </si>
  <si>
    <t>числом</t>
  </si>
  <si>
    <t>проведённых</t>
  </si>
  <si>
    <t>изменений</t>
  </si>
  <si>
    <t>нормативной</t>
  </si>
  <si>
    <t>базе</t>
  </si>
  <si>
    <t># text = Об этом написано немало отличных книг.</t>
  </si>
  <si>
    <t>Об</t>
  </si>
  <si>
    <t>написано</t>
  </si>
  <si>
    <t>немало</t>
  </si>
  <si>
    <t>отличных</t>
  </si>
  <si>
    <t>книг</t>
  </si>
  <si>
    <t># text = Книга Эл Гора «Наш Выбор», книга Дэвида МакКая «Устойчивая энергия без пустой болтовни» – в них подробно освещается и создаётся круг идей, которые можно широко обсуждать – ведь нам необходима широкая поддержка.</t>
  </si>
  <si>
    <t>Книга</t>
  </si>
  <si>
    <t>Эл</t>
  </si>
  <si>
    <t>Гора</t>
  </si>
  <si>
    <t>«Наш</t>
  </si>
  <si>
    <t>Выбор»</t>
  </si>
  <si>
    <t>книга</t>
  </si>
  <si>
    <t>Дэвида</t>
  </si>
  <si>
    <t>МакКая</t>
  </si>
  <si>
    <t>«Устойчивая</t>
  </si>
  <si>
    <t>пустой</t>
  </si>
  <si>
    <t>болтовни»</t>
  </si>
  <si>
    <t>подробно</t>
  </si>
  <si>
    <t>освещается</t>
  </si>
  <si>
    <t>создаётся</t>
  </si>
  <si>
    <t>круг</t>
  </si>
  <si>
    <t>OBJ_6</t>
  </si>
  <si>
    <t>широко</t>
  </si>
  <si>
    <t>обсуждать</t>
  </si>
  <si>
    <t>ведь</t>
  </si>
  <si>
    <t>необходима</t>
  </si>
  <si>
    <t>широкая</t>
  </si>
  <si>
    <t>поддержка</t>
  </si>
  <si>
    <t># text = Много факторов должно слиться воедино, и вот моё пожелание.</t>
  </si>
  <si>
    <t>Много</t>
  </si>
  <si>
    <t>факторов</t>
  </si>
  <si>
    <t>слиться</t>
  </si>
  <si>
    <t>воедино</t>
  </si>
  <si>
    <t>моё</t>
  </si>
  <si>
    <t># text = Оно очень конкретно: изобрести эту технологию.</t>
  </si>
  <si>
    <t>Оно</t>
  </si>
  <si>
    <t>эту</t>
  </si>
  <si>
    <t># text = Если бы я мог загадать лишь одно желание на следующие 50 лет, мог бы загадать, кто будет президентом, загадать открытие новой вакцины, а эту тему я люблю, или загадать изобретение такой штуки, которая даёт энергию за полцены и без СО2, то я бы выбрал последнее.</t>
  </si>
  <si>
    <t>мог</t>
  </si>
  <si>
    <t>загадать</t>
  </si>
  <si>
    <t>желание</t>
  </si>
  <si>
    <t>следующие</t>
  </si>
  <si>
    <t>президентом</t>
  </si>
  <si>
    <t>открытие</t>
  </si>
  <si>
    <t>новой</t>
  </si>
  <si>
    <t>вакцины</t>
  </si>
  <si>
    <t>тему</t>
  </si>
  <si>
    <t>люблю</t>
  </si>
  <si>
    <t>изобретение</t>
  </si>
  <si>
    <t>штуки</t>
  </si>
  <si>
    <t>даёт</t>
  </si>
  <si>
    <t>полцены</t>
  </si>
  <si>
    <t>выбрал</t>
  </si>
  <si>
    <t>последнее</t>
  </si>
  <si>
    <t># text = Оно имеет самые мощные последствия.</t>
  </si>
  <si>
    <t>мощные</t>
  </si>
  <si>
    <t># text = Если это желание не осуществится, будет ужасный раскол между мыслящими краткосрочно и долгосрочно, между США и Китаем, между бедными и богатыми странами, а самое главное, для беднейших 2 миллиардов населения жизнь станет намного хуже.</t>
  </si>
  <si>
    <t>осуществится</t>
  </si>
  <si>
    <t>ужасный</t>
  </si>
  <si>
    <t>раскол</t>
  </si>
  <si>
    <t>между</t>
  </si>
  <si>
    <t>мыслящими</t>
  </si>
  <si>
    <t>краткосрочно</t>
  </si>
  <si>
    <t>долгосрочно</t>
  </si>
  <si>
    <t>бедными</t>
  </si>
  <si>
    <t>богатыми</t>
  </si>
  <si>
    <t>странами</t>
  </si>
  <si>
    <t>станет</t>
  </si>
  <si>
    <t># text = Что же мы обязаны предпринять?</t>
  </si>
  <si>
    <t>обязаны</t>
  </si>
  <si>
    <t>предпринять</t>
  </si>
  <si>
    <t># text = За какую цель я призываю вас выступать и бороться?</t>
  </si>
  <si>
    <t>За</t>
  </si>
  <si>
    <t>какую</t>
  </si>
  <si>
    <t>цель</t>
  </si>
  <si>
    <t>призываю</t>
  </si>
  <si>
    <t>выступать</t>
  </si>
  <si>
    <t>бороться</t>
  </si>
  <si>
    <t># text = Необходимо выделять больше субсидий на научные исследования.</t>
  </si>
  <si>
    <t>выделять</t>
  </si>
  <si>
    <t>субсидий</t>
  </si>
  <si>
    <t>научные</t>
  </si>
  <si>
    <t># text = На международных встречах в Копенгагене или в других местах должны обсуждаться не только вопросы СО2, в повестке дня должны стоять инновации и обновления.</t>
  </si>
  <si>
    <t>международных</t>
  </si>
  <si>
    <t>встречах</t>
  </si>
  <si>
    <t>Копенгагене</t>
  </si>
  <si>
    <t>местах</t>
  </si>
  <si>
    <t>обсуждаться</t>
  </si>
  <si>
    <t>повестке</t>
  </si>
  <si>
    <t>дня</t>
  </si>
  <si>
    <t>стоять</t>
  </si>
  <si>
    <t>инновации</t>
  </si>
  <si>
    <t>обновления</t>
  </si>
  <si>
    <t># text = Вы будете поражены смехотворно низким уровнем расходов на новаторские подходы.</t>
  </si>
  <si>
    <t>будете</t>
  </si>
  <si>
    <t>поражены</t>
  </si>
  <si>
    <t>смехотворно</t>
  </si>
  <si>
    <t>низким</t>
  </si>
  <si>
    <t>уровнем</t>
  </si>
  <si>
    <t>расходов</t>
  </si>
  <si>
    <t>новаторские</t>
  </si>
  <si>
    <t># text = Остро необходимо рыночное стимулирование, налог на СО2, торговля эмиссионными квотами, всё, что дает ценовой стимул к действию.</t>
  </si>
  <si>
    <t>Остро</t>
  </si>
  <si>
    <t>рыночное</t>
  </si>
  <si>
    <t>стимулирование</t>
  </si>
  <si>
    <t>налог</t>
  </si>
  <si>
    <t>торговля</t>
  </si>
  <si>
    <t>эмиссионными</t>
  </si>
  <si>
    <t>квотами</t>
  </si>
  <si>
    <t>дает</t>
  </si>
  <si>
    <t>ценовой</t>
  </si>
  <si>
    <t>стимул</t>
  </si>
  <si>
    <t>действию</t>
  </si>
  <si>
    <t># text = Необходимо широкое понимание проблемы.</t>
  </si>
  <si>
    <t>широкое</t>
  </si>
  <si>
    <t>понимание</t>
  </si>
  <si>
    <t># text = Необходимо, чтобы диалог на эту тему был более разумный, более понятный, включая меры, предпринимаемые правительством.</t>
  </si>
  <si>
    <t>диалог</t>
  </si>
  <si>
    <t>разумный</t>
  </si>
  <si>
    <t>понятный</t>
  </si>
  <si>
    <t>включая</t>
  </si>
  <si>
    <t>меры</t>
  </si>
  <si>
    <t>предпринимаемые</t>
  </si>
  <si>
    <t>правительством</t>
  </si>
  <si>
    <t># text = Это важное пожелание, и я думаю, что мы сможем его осуществить.</t>
  </si>
  <si>
    <t>важное</t>
  </si>
  <si>
    <t>осуществить</t>
  </si>
  <si>
    <t># text = Спасибо.</t>
  </si>
  <si>
    <t>Спасибо</t>
  </si>
  <si>
    <t># text = (Аплодисменты) Крис Андерсон: Спасибо.</t>
  </si>
  <si>
    <t>Аплодисменты</t>
  </si>
  <si>
    <t>Крис</t>
  </si>
  <si>
    <t>Андерсон</t>
  </si>
  <si>
    <t># text = Я просто хотел кое-что прояснить себе насчёт Terrapower…</t>
  </si>
  <si>
    <t>хотел</t>
  </si>
  <si>
    <t>кое-что</t>
  </si>
  <si>
    <t>прояснить</t>
  </si>
  <si>
    <t>себе</t>
  </si>
  <si>
    <t>…</t>
  </si>
  <si>
    <t># text = Прежде всего, не могли бы Вы дать нам представление о размере инвестиций здесь?</t>
  </si>
  <si>
    <t>Прежде</t>
  </si>
  <si>
    <t>представление</t>
  </si>
  <si>
    <t>размере</t>
  </si>
  <si>
    <t>инвестиций</t>
  </si>
  <si>
    <t># text = Билл Гейтс:</t>
  </si>
  <si>
    <t>Гейтс</t>
  </si>
  <si>
    <t># text = Написать программы, прогнать их на суперкомпьютере и нанять всех учёных, что мы и сделали, – это лишь десятки миллионов.</t>
  </si>
  <si>
    <t>Написать</t>
  </si>
  <si>
    <t>программы</t>
  </si>
  <si>
    <t>прогнать</t>
  </si>
  <si>
    <t>суперкомпьютере</t>
  </si>
  <si>
    <t>нанять</t>
  </si>
  <si>
    <t>учёных</t>
  </si>
  <si>
    <t>сделали</t>
  </si>
  <si>
    <t>миллионов</t>
  </si>
  <si>
    <t># text = Даже после того, как мы протестируем материалы на российском реакторе, чтобы быть уверенными, что материалы функционируют как надо, речь пойдет лишь о сотнях миллионов.</t>
  </si>
  <si>
    <t>Даже</t>
  </si>
  <si>
    <t>после</t>
  </si>
  <si>
    <t>протестируем</t>
  </si>
  <si>
    <t>российском</t>
  </si>
  <si>
    <t>реакторе</t>
  </si>
  <si>
    <t>уверенными</t>
  </si>
  <si>
    <t>функционируют</t>
  </si>
  <si>
    <t>пойдет</t>
  </si>
  <si>
    <t>сотнях</t>
  </si>
  <si>
    <t># text = Вот что будет трудно, так это – построить пилотный реактор, найти несколько миллиардов, найти местность с юридической средой, благоприятной для строительства первого реактора.</t>
  </si>
  <si>
    <t>пилотный</t>
  </si>
  <si>
    <t>реактор</t>
  </si>
  <si>
    <t>местность</t>
  </si>
  <si>
    <t>юридической</t>
  </si>
  <si>
    <t>средой</t>
  </si>
  <si>
    <t>благоприятной</t>
  </si>
  <si>
    <t>первого</t>
  </si>
  <si>
    <t>реактора</t>
  </si>
  <si>
    <t># text = Как только первый реактор будет построен и при этом заработает как обещано, то всё остальное ясно, как день, потому что экономичность и плотность энергии радикально отличаются от обычной ядерной энергетики.</t>
  </si>
  <si>
    <t>первый</t>
  </si>
  <si>
    <t>построен</t>
  </si>
  <si>
    <t>заработает</t>
  </si>
  <si>
    <t>обещано</t>
  </si>
  <si>
    <t>остальное</t>
  </si>
  <si>
    <t>экономичность</t>
  </si>
  <si>
    <t>радикально</t>
  </si>
  <si>
    <t>отличаются</t>
  </si>
  <si>
    <t>обычной</t>
  </si>
  <si>
    <t># text = К.А.: Если я правильно всё понимаю, это означает строительство глубоко в земле как бы вертикальной колонны из ядерного топлива, из того самого отработанного урана, после чего процесс начинается на макушке и продолжается вниз.</t>
  </si>
  <si>
    <t>А.</t>
  </si>
  <si>
    <t>правильно</t>
  </si>
  <si>
    <t>понимаю</t>
  </si>
  <si>
    <t>строительство</t>
  </si>
  <si>
    <t>глубоко</t>
  </si>
  <si>
    <t>земле</t>
  </si>
  <si>
    <t>вертикальной</t>
  </si>
  <si>
    <t>колонны</t>
  </si>
  <si>
    <t>ядерного</t>
  </si>
  <si>
    <t>отработанного</t>
  </si>
  <si>
    <t>чего</t>
  </si>
  <si>
    <t>начинается</t>
  </si>
  <si>
    <t>макушке</t>
  </si>
  <si>
    <t>продолжается</t>
  </si>
  <si>
    <t>вниз</t>
  </si>
  <si>
    <t># text = Правильно?</t>
  </si>
  <si>
    <t>Правильно</t>
  </si>
  <si>
    <t># text = Б.Г.: Да, это так.</t>
  </si>
  <si>
    <t>Г.</t>
  </si>
  <si>
    <t>Да</t>
  </si>
  <si>
    <t># text = Сегодня реакторы постоянно загружаются топливом, а потому нужно много людей и много звеньев управления, а ведь любой элемент системы может дать сбой, потому что надо эту штуку открывать, что-то помещать внутрь, что-то вынимать.</t>
  </si>
  <si>
    <t>реакторы</t>
  </si>
  <si>
    <t>постоянно</t>
  </si>
  <si>
    <t>загружаются</t>
  </si>
  <si>
    <t>топливом</t>
  </si>
  <si>
    <t>звеньев</t>
  </si>
  <si>
    <t>управления</t>
  </si>
  <si>
    <t>элемент</t>
  </si>
  <si>
    <t>системы</t>
  </si>
  <si>
    <t>сбой</t>
  </si>
  <si>
    <t>штуку</t>
  </si>
  <si>
    <t>открывать</t>
  </si>
  <si>
    <t>что-то</t>
  </si>
  <si>
    <t>помещать</t>
  </si>
  <si>
    <t>внутрь</t>
  </si>
  <si>
    <t>вынимать</t>
  </si>
  <si>
    <t># text = Это не к добру.</t>
  </si>
  <si>
    <t>добру</t>
  </si>
  <si>
    <t># text = Так вот, если есть дешёвое топливо, то можно загрузить его на 60 лет вперёд – считайте, это как [горящее] бревно – закопать вглубь и избавиться от сложностей, и оно горит там себе 60 лет, пока не сгорит, и на этом всё.</t>
  </si>
  <si>
    <t>дешёвое</t>
  </si>
  <si>
    <t>загрузить</t>
  </si>
  <si>
    <t>считайте</t>
  </si>
  <si>
    <t>горящее</t>
  </si>
  <si>
    <t>бревно</t>
  </si>
  <si>
    <t>закопать</t>
  </si>
  <si>
    <t>вглубь</t>
  </si>
  <si>
    <t>избавиться</t>
  </si>
  <si>
    <t>сложностей</t>
  </si>
  <si>
    <t>оно</t>
  </si>
  <si>
    <t>там</t>
  </si>
  <si>
    <t>OBJ_7</t>
  </si>
  <si>
    <t>сгорит</t>
  </si>
  <si>
    <t>SBJ_8</t>
  </si>
  <si>
    <t># text = К.А.: Это – ядерная электростанция, которая сама решает свою проблему отходов.</t>
  </si>
  <si>
    <t>сама</t>
  </si>
  <si>
    <t>решает</t>
  </si>
  <si>
    <t>проблему</t>
  </si>
  <si>
    <t># text = Б.Г.: Ну да.</t>
  </si>
  <si>
    <t># text = А насчёт отходов – они просто остаются там, и образуется их при этом способе гораздо меньше.</t>
  </si>
  <si>
    <t>остаются</t>
  </si>
  <si>
    <t>образуется</t>
  </si>
  <si>
    <t>способе</t>
  </si>
  <si>
    <t>гораздо</t>
  </si>
  <si>
    <t># text = Затем можно их собрать перенести в другую установку и сжечь.</t>
  </si>
  <si>
    <t>Затем</t>
  </si>
  <si>
    <t>собрать</t>
  </si>
  <si>
    <t>перенести</t>
  </si>
  <si>
    <t>другую</t>
  </si>
  <si>
    <t>установку</t>
  </si>
  <si>
    <t>сжечь</t>
  </si>
  <si>
    <t># text = Фактически мы начинаем с существующих сейчас отходов, которые размещены в охлаждающих резервуарах или в сухотарных бочках.</t>
  </si>
  <si>
    <t>начинаем</t>
  </si>
  <si>
    <t>существующих</t>
  </si>
  <si>
    <t>размещены</t>
  </si>
  <si>
    <t>охлаждающих</t>
  </si>
  <si>
    <t>резервуарах</t>
  </si>
  <si>
    <t>сухотарных</t>
  </si>
  <si>
    <t>бочках</t>
  </si>
  <si>
    <t># text = С этого топлива мы и начинаем.</t>
  </si>
  <si>
    <t># text = Значит, то, что для других реакторов было проблемой, для нас становится питанием, и объём отходов значительно сокращается по мере продвижения этого процесса.</t>
  </si>
  <si>
    <t>проблемой</t>
  </si>
  <si>
    <t>становится</t>
  </si>
  <si>
    <t>питанием</t>
  </si>
  <si>
    <t>значительно</t>
  </si>
  <si>
    <t># text = К.А.: В ваших беседах с разными людьми по всему миру о возможностях в этом направлении, где была проявлена наибольшая заинтересованность?</t>
  </si>
  <si>
    <t>ваших</t>
  </si>
  <si>
    <t>беседах</t>
  </si>
  <si>
    <t>разными</t>
  </si>
  <si>
    <t>людьми</t>
  </si>
  <si>
    <t>всему</t>
  </si>
  <si>
    <t>миру</t>
  </si>
  <si>
    <t>возможностях</t>
  </si>
  <si>
    <t>проявлена</t>
  </si>
  <si>
    <t>наибольшая</t>
  </si>
  <si>
    <t>заинтересованность</t>
  </si>
  <si>
    <t># text = Б.Г.: Конкретного места мы не выбрали.</t>
  </si>
  <si>
    <t>Конкретного</t>
  </si>
  <si>
    <t>места</t>
  </si>
  <si>
    <t>выбрали</t>
  </si>
  <si>
    <t># text = Помимо прочего, имеется масса разных правил неразглашения обо всём, что называется «ядерным».</t>
  </si>
  <si>
    <t>Помимо</t>
  </si>
  <si>
    <t>прочего</t>
  </si>
  <si>
    <t>разных</t>
  </si>
  <si>
    <t>правил</t>
  </si>
  <si>
    <t>неразглашения</t>
  </si>
  <si>
    <t>обо</t>
  </si>
  <si>
    <t>всём</t>
  </si>
  <si>
    <t>«ядерным»</t>
  </si>
  <si>
    <t># text = Наши работы вызывают интерес, представители нашей фирмы были в России, Индии, Китае.</t>
  </si>
  <si>
    <t>Наши</t>
  </si>
  <si>
    <t>вызывают</t>
  </si>
  <si>
    <t>интерес</t>
  </si>
  <si>
    <t>представители</t>
  </si>
  <si>
    <t>нашей</t>
  </si>
  <si>
    <t>фирмы</t>
  </si>
  <si>
    <t>были</t>
  </si>
  <si>
    <t>России</t>
  </si>
  <si>
    <t>Индии</t>
  </si>
  <si>
    <t>Китае</t>
  </si>
  <si>
    <t># text = Сам я беседовал с министром энергетики нашей страны о том, как наши работы вписываются в его задачи.</t>
  </si>
  <si>
    <t>Сам</t>
  </si>
  <si>
    <t>беседовал</t>
  </si>
  <si>
    <t>министром</t>
  </si>
  <si>
    <t>наши</t>
  </si>
  <si>
    <t>вписываются</t>
  </si>
  <si>
    <t>задачи</t>
  </si>
  <si>
    <t># text = Я с оптимизмом смотрю на это.</t>
  </si>
  <si>
    <t>оптимизмом</t>
  </si>
  <si>
    <t>смотрю</t>
  </si>
  <si>
    <t># text = Определённую работу проделали французы и японцы.</t>
  </si>
  <si>
    <t>Определённую</t>
  </si>
  <si>
    <t>работу</t>
  </si>
  <si>
    <t>проделали</t>
  </si>
  <si>
    <t>французы</t>
  </si>
  <si>
    <t>японцы</t>
  </si>
  <si>
    <t># text = Вот вариант того, что уже сделано.</t>
  </si>
  <si>
    <t>вариант</t>
  </si>
  <si>
    <t>сделано</t>
  </si>
  <si>
    <t># text = Это важное продвижение, но это как быстрый реактор, и много стран построили их.</t>
  </si>
  <si>
    <t>продвижение</t>
  </si>
  <si>
    <t>быстрый</t>
  </si>
  <si>
    <t>построили</t>
  </si>
  <si>
    <t># text = Так что, любое место, где строился быстрый реактор – кандидат на первое установку нового реактора.</t>
  </si>
  <si>
    <t>любое</t>
  </si>
  <si>
    <t>строился</t>
  </si>
  <si>
    <t>кандидат</t>
  </si>
  <si>
    <t>первое</t>
  </si>
  <si>
    <t>нового</t>
  </si>
  <si>
    <t># text = К.А.: Ваша оценка времени и вероятности превратить это в реальность?</t>
  </si>
  <si>
    <t>Ваша</t>
  </si>
  <si>
    <t>вероятности</t>
  </si>
  <si>
    <t>превратить</t>
  </si>
  <si>
    <t>реальность</t>
  </si>
  <si>
    <t># text = Б.Г.: Касательно крупномасштабного изменения в производстве электричества, причем очень дешёвого, у нас впереди запас в 20 лет на изобретение и 20 лет на внедрение.</t>
  </si>
  <si>
    <t>Касательно</t>
  </si>
  <si>
    <t>дешёвого</t>
  </si>
  <si>
    <t>запас</t>
  </si>
  <si>
    <t>внедрение</t>
  </si>
  <si>
    <t># text = Это – крайние сроки, которые нам диктуют разработанные модели изменения окружающей среды Про Terrapower скажу, что в случае, если всё пойдёт хорошо – что само по себе не так просто – то фирма с лёгкостью уложится в сроки.</t>
  </si>
  <si>
    <t>крайние</t>
  </si>
  <si>
    <t>диктуют</t>
  </si>
  <si>
    <t>разработанные</t>
  </si>
  <si>
    <t>модели</t>
  </si>
  <si>
    <t>скажу</t>
  </si>
  <si>
    <t>само</t>
  </si>
  <si>
    <t>фирма</t>
  </si>
  <si>
    <t>лёгкостью</t>
  </si>
  <si>
    <t>уложится</t>
  </si>
  <si>
    <t># text = К счастью, уже есть десятки фирм – а нам нужны сотни – которые, если они добьются успеха в научных разработках и финансировании пилотных станций, смогут вполне конкурировать в этом деле.</t>
  </si>
  <si>
    <t>К</t>
  </si>
  <si>
    <t>счастью</t>
  </si>
  <si>
    <t>нужны</t>
  </si>
  <si>
    <t>добьются</t>
  </si>
  <si>
    <t>успеха</t>
  </si>
  <si>
    <t>научных</t>
  </si>
  <si>
    <t>разработках</t>
  </si>
  <si>
    <t>финансировании</t>
  </si>
  <si>
    <t>станций</t>
  </si>
  <si>
    <t>смогут</t>
  </si>
  <si>
    <t>вполне</t>
  </si>
  <si>
    <t>конкурировать</t>
  </si>
  <si>
    <t># text = Лучше, если будет несколько успехов – тогда можно использовать их комбинацию.</t>
  </si>
  <si>
    <t>Лучше</t>
  </si>
  <si>
    <t>тогда</t>
  </si>
  <si>
    <t>комбинацию</t>
  </si>
  <si>
    <t># text = Но один крупный успех нам определённо нужен.</t>
  </si>
  <si>
    <t>крупный</t>
  </si>
  <si>
    <t>успех</t>
  </si>
  <si>
    <t>определённо</t>
  </si>
  <si>
    <t># text = К.А.: Если говорить о крупномасштабных изменениях в жизни людей, это – самое крупное из всего известного Вам?</t>
  </si>
  <si>
    <t>крупномасштабных</t>
  </si>
  <si>
    <t>изменениях</t>
  </si>
  <si>
    <t>крупное</t>
  </si>
  <si>
    <t>известного</t>
  </si>
  <si>
    <t>Вам</t>
  </si>
  <si>
    <t># text = Б.Г.: Достижение прорыва в энергетике – важнейшее дело.</t>
  </si>
  <si>
    <t>Достижение</t>
  </si>
  <si>
    <t>прорыва</t>
  </si>
  <si>
    <t>важнейшее</t>
  </si>
  <si>
    <t># text = Оно было бы таковым в любом случае, но при наличии экологических ограничений, становится еще важнее.</t>
  </si>
  <si>
    <t>таковым</t>
  </si>
  <si>
    <t>любом</t>
  </si>
  <si>
    <t>экологических</t>
  </si>
  <si>
    <t>ограничений</t>
  </si>
  <si>
    <t>еще</t>
  </si>
  <si>
    <t># text = В ядерной области есть другие новаторы.</t>
  </si>
  <si>
    <t>области</t>
  </si>
  <si>
    <t>другие</t>
  </si>
  <si>
    <t>новаторы</t>
  </si>
  <si>
    <t># text = Мы не знаем их работы настолько же хорошо, как эту, но кое-кто работает в модульном направлении, это другой подход.</t>
  </si>
  <si>
    <t>знаем</t>
  </si>
  <si>
    <t>кое-кто</t>
  </si>
  <si>
    <t>модульном</t>
  </si>
  <si>
    <t>другой</t>
  </si>
  <si>
    <t>подход</t>
  </si>
  <si>
    <t># text = Есть реакторы жидкого типа, которые, по-видимому, тяжелее реализовать – хотя, может быть, их разработчики говорят то же про нас.</t>
  </si>
  <si>
    <t>по-видимому</t>
  </si>
  <si>
    <t>тяжелее</t>
  </si>
  <si>
    <t>реализовать</t>
  </si>
  <si>
    <t>хотя</t>
  </si>
  <si>
    <t>разработчики</t>
  </si>
  <si>
    <t>про</t>
  </si>
  <si>
    <t># text = Так что, есть разные варианты, но вся красота в том, что молекула урана содержит в миллионы раз больше энергии, чем скажем, молекула углерода.</t>
  </si>
  <si>
    <t>варианты</t>
  </si>
  <si>
    <t>красота</t>
  </si>
  <si>
    <t>молекула</t>
  </si>
  <si>
    <t>миллионы</t>
  </si>
  <si>
    <t>углерода</t>
  </si>
  <si>
    <t># text = А потому, если удастся справиться с негативными сторонами, в основном, с радиацией, остатки и себестоимость, то [позитивный ] потенциал в смысле воздействия на землю и прочие вещи, настолько велик, что он просто ни с чем не сравним.</t>
  </si>
  <si>
    <t>удастся</t>
  </si>
  <si>
    <t>негативными</t>
  </si>
  <si>
    <t>сторонами</t>
  </si>
  <si>
    <t>основном</t>
  </si>
  <si>
    <t>радиацией</t>
  </si>
  <si>
    <t>остатки</t>
  </si>
  <si>
    <t>позитивный</t>
  </si>
  <si>
    <t>потенциал</t>
  </si>
  <si>
    <t>воздействия</t>
  </si>
  <si>
    <t>землю</t>
  </si>
  <si>
    <t>прочие</t>
  </si>
  <si>
    <t>велик</t>
  </si>
  <si>
    <t>сравним</t>
  </si>
  <si>
    <t># text = К.А.: Если не получится, то – что?</t>
  </si>
  <si>
    <t>получится</t>
  </si>
  <si>
    <t># text = Надо будет принимать чрезвычайные меры для удержания температуры земли на стабильном уровне?</t>
  </si>
  <si>
    <t>принимать</t>
  </si>
  <si>
    <t>чрезвычайные</t>
  </si>
  <si>
    <t>удержания</t>
  </si>
  <si>
    <t>земли</t>
  </si>
  <si>
    <t>стабильном</t>
  </si>
  <si>
    <t>уровне</t>
  </si>
  <si>
    <t># text = Б.Г.: Такая ситуация похожа то, как если постоянно переедать, а потом оказаться на пороге сердечного приступа.</t>
  </si>
  <si>
    <t>похожа</t>
  </si>
  <si>
    <t>переедать</t>
  </si>
  <si>
    <t>потом</t>
  </si>
  <si>
    <t>пороге</t>
  </si>
  <si>
    <t>сердечного</t>
  </si>
  <si>
    <t>приступа</t>
  </si>
  <si>
    <t># text = Куда обратиться?</t>
  </si>
  <si>
    <t>Куда</t>
  </si>
  <si>
    <t># text = Нужна операция на сердце или нечто подобное.</t>
  </si>
  <si>
    <t>Нужна</t>
  </si>
  <si>
    <t>операция</t>
  </si>
  <si>
    <t>сердце</t>
  </si>
  <si>
    <t>подобное</t>
  </si>
  <si>
    <t># text = Это направление исследований называется геоинженерия, она охватывает разнообразные методы задержки потепления атмосферы лет на 20-30 с тем, чтобы мы успели начать нужные действия.</t>
  </si>
  <si>
    <t>исследований</t>
  </si>
  <si>
    <t>геоинженерия</t>
  </si>
  <si>
    <t>разнообразные</t>
  </si>
  <si>
    <t>методы</t>
  </si>
  <si>
    <t>задержки</t>
  </si>
  <si>
    <t>потепления</t>
  </si>
  <si>
    <t>атмосферы</t>
  </si>
  <si>
    <t>успели</t>
  </si>
  <si>
    <t>начать</t>
  </si>
  <si>
    <t>нужные</t>
  </si>
  <si>
    <t># text = Так вот, этим мы просто покупаем страховой полис.</t>
  </si>
  <si>
    <t>покупаем</t>
  </si>
  <si>
    <t>страховой</t>
  </si>
  <si>
    <t>полис</t>
  </si>
  <si>
    <t># text = Надо надеяться, что этого не придётся делать.</t>
  </si>
  <si>
    <t>придётся</t>
  </si>
  <si>
    <t># text = Некоторые считают, что о страховом полисе и думать не следует, потому что это разлагает и ведёт к лени.</t>
  </si>
  <si>
    <t>Некоторые</t>
  </si>
  <si>
    <t>считают</t>
  </si>
  <si>
    <t>страховом</t>
  </si>
  <si>
    <t>полисе</t>
  </si>
  <si>
    <t>разлагает</t>
  </si>
  <si>
    <t>лени</t>
  </si>
  <si>
    <t># text = Человек будет продолжать переедать, зная, что операция на сердце его всегда спасёт.</t>
  </si>
  <si>
    <t>Человек</t>
  </si>
  <si>
    <t>зная</t>
  </si>
  <si>
    <t>спасёт</t>
  </si>
  <si>
    <t># text = Не уверен, что это здравый подход к проблеме, с учётом её серьёзности.</t>
  </si>
  <si>
    <t>Не</t>
  </si>
  <si>
    <t>уверен</t>
  </si>
  <si>
    <t>здравый</t>
  </si>
  <si>
    <t>учётом</t>
  </si>
  <si>
    <t>серьёзности</t>
  </si>
  <si>
    <t># text = Сейчас вокруг геоинженерии идут дискуссии о том, надо ли это держать это про запас, если изменения ускорятся, или инновации и обновления окажутся намного медленнее ожидаемого.</t>
  </si>
  <si>
    <t>вокруг</t>
  </si>
  <si>
    <t>геоинженерии</t>
  </si>
  <si>
    <t>идут</t>
  </si>
  <si>
    <t>дискуссии</t>
  </si>
  <si>
    <t>держать</t>
  </si>
  <si>
    <t>ускорятся</t>
  </si>
  <si>
    <t>окажутся</t>
  </si>
  <si>
    <t>медленнее</t>
  </si>
  <si>
    <t>ожидаемого</t>
  </si>
  <si>
    <t># text = К.А.: Есть скептики по поводу проблематики изменения климата.</t>
  </si>
  <si>
    <t>скептики</t>
  </si>
  <si>
    <t>поводу</t>
  </si>
  <si>
    <t>проблематики</t>
  </si>
  <si>
    <t># text = Смогли бы Вы в двух словах убедить их, что они неправы?</t>
  </si>
  <si>
    <t>Смогли</t>
  </si>
  <si>
    <t>словах</t>
  </si>
  <si>
    <t>убедить</t>
  </si>
  <si>
    <t>неправы</t>
  </si>
  <si>
    <t># text = Б.Г.: К сожалению, позиции скептиков очень сильно разнятся.</t>
  </si>
  <si>
    <t>сожалению</t>
  </si>
  <si>
    <t>позиции</t>
  </si>
  <si>
    <t>скептиков</t>
  </si>
  <si>
    <t>сильно</t>
  </si>
  <si>
    <t>разнятся</t>
  </si>
  <si>
    <t># text = Научные аргументы выдвигает очень мало кто.</t>
  </si>
  <si>
    <t>Научные</t>
  </si>
  <si>
    <t>аргументы</t>
  </si>
  <si>
    <t>выдвигает</t>
  </si>
  <si>
    <t># text = Ведутся разговоры о негативных обратных связях, типа того, что облака имеют обратный эффект.</t>
  </si>
  <si>
    <t>Ведутся</t>
  </si>
  <si>
    <t>разговоры</t>
  </si>
  <si>
    <t>негативных</t>
  </si>
  <si>
    <t>обратных</t>
  </si>
  <si>
    <t>связях</t>
  </si>
  <si>
    <t>облака</t>
  </si>
  <si>
    <t>обратный</t>
  </si>
  <si>
    <t>эффект</t>
  </si>
  <si>
    <t># text = По этому поводу скептикам вообще почти нечего сказать, ну, один шанс из миллиона, что они правы.</t>
  </si>
  <si>
    <t>скептикам</t>
  </si>
  <si>
    <t>вообще</t>
  </si>
  <si>
    <t>нечего</t>
  </si>
  <si>
    <t>ну</t>
  </si>
  <si>
    <t>миллиона</t>
  </si>
  <si>
    <t>правы</t>
  </si>
  <si>
    <t># text = Тут проблема похожа на ситуацию со СПИДом.</t>
  </si>
  <si>
    <t>ситуацию</t>
  </si>
  <si>
    <t>СПИДом</t>
  </si>
  <si>
    <t># text = Это когда за сегодняшнюю ошибку надо расплачиваться намного позже.</t>
  </si>
  <si>
    <t>сегодняшнюю</t>
  </si>
  <si>
    <t>ошибку</t>
  </si>
  <si>
    <t>расплачиваться</t>
  </si>
  <si>
    <t>позже</t>
  </si>
  <si>
    <t># text = Если вокруг сплошные проблемы, требующие срочного решения, то мысль о том, что чем-то надо сейчас поступиться, чтобы потом было лучше… да и чем поступиться не совсем ясно…</t>
  </si>
  <si>
    <t>сплошные</t>
  </si>
  <si>
    <t>требующие</t>
  </si>
  <si>
    <t>срочного</t>
  </si>
  <si>
    <t>чем-то</t>
  </si>
  <si>
    <t>поступиться</t>
  </si>
  <si>
    <t># text = В обеспеченных странах кто-то читает доклады IPCC [Межправительственная группа экспертов по изменению климата], где описывается совсем не худший вариант, и считает, что проблема не ахти какая.</t>
  </si>
  <si>
    <t>обеспеченных</t>
  </si>
  <si>
    <t>кто-то</t>
  </si>
  <si>
    <t>читает</t>
  </si>
  <si>
    <t>доклады</t>
  </si>
  <si>
    <t>IPCC</t>
  </si>
  <si>
    <t>Межправительственная</t>
  </si>
  <si>
    <t>группа</t>
  </si>
  <si>
    <t>экспертов</t>
  </si>
  <si>
    <t>изменению</t>
  </si>
  <si>
    <t>описывается</t>
  </si>
  <si>
    <t>худший</t>
  </si>
  <si>
    <t>считает</t>
  </si>
  <si>
    <t>ахти</t>
  </si>
  <si>
    <t># text = Но ведь именно неопределённость должна толкать нас на действия.</t>
  </si>
  <si>
    <t>толкать</t>
  </si>
  <si>
    <t># text = У меня вот какая мечта: если удастся создать нечто, что будет оправданно экономически и удовлетворять отграничениям на выброс СО2, то тогда скептики скажут: «Ну ладно, мне всё равно СО2 выбрасывается или нет, я может даже и хочу выбросов СО2, но я перехожу на новую технологию, потому что она дешевле старой».</t>
  </si>
  <si>
    <t>меня</t>
  </si>
  <si>
    <t>мечта</t>
  </si>
  <si>
    <t>оправданно</t>
  </si>
  <si>
    <t>экономически</t>
  </si>
  <si>
    <t>удовлетворять</t>
  </si>
  <si>
    <t>отграничениям</t>
  </si>
  <si>
    <t>выброс</t>
  </si>
  <si>
    <t>скажут</t>
  </si>
  <si>
    <t>«Ну</t>
  </si>
  <si>
    <t>ладно</t>
  </si>
  <si>
    <t>хочу</t>
  </si>
  <si>
    <t>перехожу</t>
  </si>
  <si>
    <t>дешевле</t>
  </si>
  <si>
    <t>старой»</t>
  </si>
  <si>
    <t># text = К.А.: Значит это будет Ваш ответ на аргументы Бьёрн Ломборга о том, что такие затраты на решение проблемы с СО2 отвлекают ресурсы от прочих целей, связанных с сокращением бедности, малярии и прочее, о том, что глупо растрачивать ресурсы планеты на такие цели, когда их можно направить на более полезные дела.</t>
  </si>
  <si>
    <t>Ваш</t>
  </si>
  <si>
    <t>Бьёрн</t>
  </si>
  <si>
    <t>Ломборга</t>
  </si>
  <si>
    <t>такие</t>
  </si>
  <si>
    <t>затраты</t>
  </si>
  <si>
    <t>решение</t>
  </si>
  <si>
    <t>отвлекают</t>
  </si>
  <si>
    <t>ресурсы</t>
  </si>
  <si>
    <t>целей</t>
  </si>
  <si>
    <t>связанных</t>
  </si>
  <si>
    <t>сокращением</t>
  </si>
  <si>
    <t>малярии</t>
  </si>
  <si>
    <t>прочее</t>
  </si>
  <si>
    <t>глупо</t>
  </si>
  <si>
    <t>растрачивать</t>
  </si>
  <si>
    <t>OBJ_12</t>
  </si>
  <si>
    <t>other_12</t>
  </si>
  <si>
    <t>OBJ_13</t>
  </si>
  <si>
    <t>направить</t>
  </si>
  <si>
    <t>полезные</t>
  </si>
  <si>
    <t>дела</t>
  </si>
  <si>
    <t># text = Б.Г.: Фактические расходы на НИОКР [научные исследования]… скажем, в США, надо будет тратить на 10 миллиардов в год больше, чем сейчас – это совсем не критическая сумма, она не должна будет отвлечь от прочих дел.</t>
  </si>
  <si>
    <t>Фактические</t>
  </si>
  <si>
    <t>расходы</t>
  </si>
  <si>
    <t>НИОКР</t>
  </si>
  <si>
    <t>тратить</t>
  </si>
  <si>
    <t>критическая</t>
  </si>
  <si>
    <t>SBJ_9</t>
  </si>
  <si>
    <t>отвлечь</t>
  </si>
  <si>
    <t>дел</t>
  </si>
  <si>
    <t># text = Большие суммы начинаются тогда, когда – допускаю, что разумные люди могут не согласиться, – когда начинается субсидирование чего-то неэкономичного.</t>
  </si>
  <si>
    <t>Большие</t>
  </si>
  <si>
    <t>суммы</t>
  </si>
  <si>
    <t>начинаются</t>
  </si>
  <si>
    <t>допускаю</t>
  </si>
  <si>
    <t>разумные</t>
  </si>
  <si>
    <t>люди</t>
  </si>
  <si>
    <t>согласиться</t>
  </si>
  <si>
    <t>субсидирование</t>
  </si>
  <si>
    <t>чего-то</t>
  </si>
  <si>
    <t>неэкономичного</t>
  </si>
  <si>
    <t># text = Для меня это – по большей части, пустая растрата.</t>
  </si>
  <si>
    <t>пустая</t>
  </si>
  <si>
    <t>растрата</t>
  </si>
  <si>
    <t># text = Исключением является ситуация, когда открытие близко, затраты идут на приобретение опыта, а открытие даст очень дешёвую [энергию].</t>
  </si>
  <si>
    <t>Исключением</t>
  </si>
  <si>
    <t>является</t>
  </si>
  <si>
    <t>близко</t>
  </si>
  <si>
    <t>приобретение</t>
  </si>
  <si>
    <t>опыта</t>
  </si>
  <si>
    <t>даст</t>
  </si>
  <si>
    <t>дешёвую</t>
  </si>
  <si>
    <t># text = Я уверен, что надо испробовать побольше разных вариантов, где есть потенциал выдать намного более дешёвую энергию.</t>
  </si>
  <si>
    <t>испробовать</t>
  </si>
  <si>
    <t>побольше</t>
  </si>
  <si>
    <t>вариантов</t>
  </si>
  <si>
    <t>выдать</t>
  </si>
  <si>
    <t># text = Если альтернативой является сверхдорогая энергия, то богатые смогут себе это позволить.</t>
  </si>
  <si>
    <t>альтернативой</t>
  </si>
  <si>
    <t>сверхдорогая</t>
  </si>
  <si>
    <t>богатые</t>
  </si>
  <si>
    <t>позволить</t>
  </si>
  <si>
    <t># text = Скажу, что каждый в этом зале может платить за энергию в 5 раз больше без ущерба для своего образа жизни.</t>
  </si>
  <si>
    <t>Скажу</t>
  </si>
  <si>
    <t>платить</t>
  </si>
  <si>
    <t>ущерба</t>
  </si>
  <si>
    <t>своего</t>
  </si>
  <si>
    <t>образа</t>
  </si>
  <si>
    <t># text = Но для тех самых 2 миллиардов это будет катастрофа.</t>
  </si>
  <si>
    <t>тех</t>
  </si>
  <si>
    <t>катастрофа</t>
  </si>
  <si>
    <t># text = Ведь даже Ломборг изменился.</t>
  </si>
  <si>
    <t>Ломборг</t>
  </si>
  <si>
    <t>изменился</t>
  </si>
  <si>
    <t># text = Его очередной номер теперь – восклицать «Почему НИОКР так мало обсуждается?» Ввиду прошлых публикаций, его всё ещё относят к лагерю скептиков, но он понял, что в этом лагере довольно одиноко, и вот он выдвигает заботу о НИОКР.</t>
  </si>
  <si>
    <t>очередной</t>
  </si>
  <si>
    <t>номер</t>
  </si>
  <si>
    <t>восклицать</t>
  </si>
  <si>
    <t>«Почему</t>
  </si>
  <si>
    <t>обсуждается</t>
  </si>
  <si>
    <t>»</t>
  </si>
  <si>
    <t>Ввиду</t>
  </si>
  <si>
    <t>прошлых</t>
  </si>
  <si>
    <t>публикаций</t>
  </si>
  <si>
    <t>относят</t>
  </si>
  <si>
    <t>лагерю</t>
  </si>
  <si>
    <t>понял</t>
  </si>
  <si>
    <t>лагере</t>
  </si>
  <si>
    <t>довольно</t>
  </si>
  <si>
    <t>одиноко</t>
  </si>
  <si>
    <t>заботу</t>
  </si>
  <si>
    <t># text = Аргумент в пользу НИОКР, я считаю, совершенно уместен.</t>
  </si>
  <si>
    <t>Аргумент</t>
  </si>
  <si>
    <t>пользу</t>
  </si>
  <si>
    <t>считаю</t>
  </si>
  <si>
    <t>совершенно</t>
  </si>
  <si>
    <t>уместен</t>
  </si>
  <si>
    <t># text = Трудно даже представить, как мало выделяется на НИОКР.</t>
  </si>
  <si>
    <t>Трудно</t>
  </si>
  <si>
    <t>выделяется</t>
  </si>
  <si>
    <t>НИОКР.</t>
  </si>
  <si>
    <t># text = К.А.: Что ж, думаю, что выражу мнение большинства, если искренне пожелаю исполнения Вашего желания.</t>
  </si>
  <si>
    <t>выражу</t>
  </si>
  <si>
    <t>мнение</t>
  </si>
  <si>
    <t>большинства</t>
  </si>
  <si>
    <t>искренне</t>
  </si>
  <si>
    <t>пожелаю</t>
  </si>
  <si>
    <t>исполнения</t>
  </si>
  <si>
    <t>Вашего</t>
  </si>
  <si>
    <t>желания</t>
  </si>
  <si>
    <t># text = Огромное спасибо.</t>
  </si>
  <si>
    <t>Огромное</t>
  </si>
  <si>
    <t># text = Б.Г.: Благодарю.</t>
  </si>
  <si>
    <t>Благодарю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</si>
</sst>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7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17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24</v>
      </c>
      <c r="B8" s="6" t="s">
        <v>16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39</v>
      </c>
      <c r="C9" s="6" t="s">
        <v>12</v>
      </c>
      <c r="D9" s="7" t="s">
        <v>40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39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43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39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24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11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28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47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39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10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28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10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16</v>
      </c>
      <c r="C21" s="6" t="s">
        <v>12</v>
      </c>
      <c r="D21" s="7" t="s">
        <v>88</v>
      </c>
      <c r="E21" s="8" t="s">
        <v>89</v>
      </c>
      <c r="F21" s="6" t="s">
        <v>90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91</v>
      </c>
      <c r="B22" s="6" t="s">
        <v>11</v>
      </c>
      <c r="C22" s="6" t="s">
        <v>12</v>
      </c>
      <c r="D22" s="7" t="s">
        <v>92</v>
      </c>
      <c r="E22" s="8" t="s">
        <v>93</v>
      </c>
      <c r="F22" s="6" t="s">
        <v>94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95</v>
      </c>
      <c r="B23" s="6" t="s">
        <v>10</v>
      </c>
      <c r="C23" s="6" t="s">
        <v>12</v>
      </c>
      <c r="D23" s="7" t="s">
        <v>96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17</v>
      </c>
      <c r="C24" s="6" t="s">
        <v>12</v>
      </c>
      <c r="D24" s="7" t="s">
        <v>21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28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59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11</v>
      </c>
      <c r="C27" s="6" t="s">
        <v>12</v>
      </c>
      <c r="D27" s="7" t="s">
        <v>21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17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11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16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43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17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28</v>
      </c>
      <c r="C33" s="6" t="s">
        <v>12</v>
      </c>
      <c r="D33" s="7" t="s">
        <v>134</v>
      </c>
      <c r="E33" s="8" t="s">
        <v>135</v>
      </c>
      <c r="F33" s="6" t="s">
        <v>136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137</v>
      </c>
      <c r="B34" s="6" t="s">
        <v>29</v>
      </c>
      <c r="C34" s="6" t="s">
        <v>12</v>
      </c>
      <c r="D34" s="7" t="s">
        <v>18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17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10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17</v>
      </c>
      <c r="C37" s="6" t="s">
        <v>149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16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39</v>
      </c>
      <c r="C39" s="6" t="s">
        <v>12</v>
      </c>
      <c r="D39" s="7" t="s">
        <v>158</v>
      </c>
      <c r="E39" s="8" t="s">
        <v>159</v>
      </c>
      <c r="F39" s="6" t="s">
        <v>160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161</v>
      </c>
      <c r="B40" s="6" t="s">
        <v>28</v>
      </c>
      <c r="C40" s="6" t="s">
        <v>12</v>
      </c>
      <c r="D40" s="7" t="s">
        <v>162</v>
      </c>
      <c r="E40" s="8" t="s">
        <v>163</v>
      </c>
      <c r="F40" s="6" t="s">
        <v>164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165</v>
      </c>
      <c r="B41" s="6" t="s">
        <v>10</v>
      </c>
      <c r="C41" s="6" t="s">
        <v>12</v>
      </c>
      <c r="D41" s="7" t="s">
        <v>166</v>
      </c>
      <c r="E41" s="8" t="s">
        <v>167</v>
      </c>
      <c r="F41" s="6" t="s">
        <v>168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169</v>
      </c>
      <c r="B42" s="6" t="s">
        <v>16</v>
      </c>
      <c r="C42" s="6" t="s">
        <v>12</v>
      </c>
      <c r="D42" s="7" t="s">
        <v>170</v>
      </c>
      <c r="E42" s="8" t="s">
        <v>171</v>
      </c>
      <c r="F42" s="6" t="s">
        <v>172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173</v>
      </c>
      <c r="B43" s="6" t="s">
        <v>10</v>
      </c>
      <c r="C43" s="6" t="s">
        <v>12</v>
      </c>
      <c r="D43" s="7" t="s">
        <v>174</v>
      </c>
      <c r="E43" s="8" t="s">
        <v>175</v>
      </c>
      <c r="F43" s="6" t="s">
        <v>176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177</v>
      </c>
      <c r="B44" s="6" t="s">
        <v>16</v>
      </c>
      <c r="C44" s="6" t="s">
        <v>12</v>
      </c>
      <c r="D44" s="7" t="s">
        <v>178</v>
      </c>
      <c r="E44" s="8" t="s">
        <v>179</v>
      </c>
      <c r="F44" s="6" t="s">
        <v>180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181</v>
      </c>
      <c r="B45" s="6" t="s">
        <v>16</v>
      </c>
      <c r="C45" s="6" t="s">
        <v>12</v>
      </c>
      <c r="D45" s="7" t="s">
        <v>170</v>
      </c>
      <c r="E45" s="8" t="s">
        <v>182</v>
      </c>
      <c r="F45" s="6" t="s">
        <v>183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184</v>
      </c>
      <c r="B46" s="6" t="s">
        <v>16</v>
      </c>
      <c r="C46" s="6" t="s">
        <v>12</v>
      </c>
      <c r="D46" s="7" t="s">
        <v>185</v>
      </c>
      <c r="E46" s="8" t="s">
        <v>186</v>
      </c>
      <c r="F46" s="6" t="s">
        <v>187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188</v>
      </c>
      <c r="B47" s="6" t="s">
        <v>28</v>
      </c>
      <c r="C47" s="6" t="s">
        <v>12</v>
      </c>
      <c r="D47" s="7" t="s">
        <v>189</v>
      </c>
      <c r="E47" s="8" t="s">
        <v>190</v>
      </c>
      <c r="F47" s="6" t="s">
        <v>191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192</v>
      </c>
      <c r="B48" s="6" t="s">
        <v>47</v>
      </c>
      <c r="C48" s="6" t="s">
        <v>12</v>
      </c>
      <c r="D48" s="7" t="s">
        <v>193</v>
      </c>
      <c r="E48" s="8" t="s">
        <v>194</v>
      </c>
      <c r="F48" s="6" t="s">
        <v>195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196</v>
      </c>
      <c r="B49" s="6" t="s">
        <v>67</v>
      </c>
      <c r="C49" s="6" t="s">
        <v>12</v>
      </c>
      <c r="D49" s="7" t="s">
        <v>197</v>
      </c>
      <c r="E49" s="8" t="s">
        <v>198</v>
      </c>
      <c r="F49" s="6" t="s">
        <v>199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200</v>
      </c>
      <c r="B50" s="6" t="s">
        <v>17</v>
      </c>
      <c r="C50" s="6" t="s">
        <v>12</v>
      </c>
      <c r="D50" s="7" t="s">
        <v>201</v>
      </c>
      <c r="E50" s="8" t="s">
        <v>202</v>
      </c>
      <c r="F50" s="6" t="s">
        <v>203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204</v>
      </c>
      <c r="B51" s="6" t="s">
        <v>11</v>
      </c>
      <c r="C51" s="6" t="s">
        <v>12</v>
      </c>
      <c r="D51" s="7" t="s">
        <v>205</v>
      </c>
      <c r="E51" s="8" t="s">
        <v>206</v>
      </c>
      <c r="F51" s="6" t="s">
        <v>207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208</v>
      </c>
      <c r="B52" s="6" t="s">
        <v>10</v>
      </c>
      <c r="C52" s="6" t="s">
        <v>12</v>
      </c>
      <c r="D52" s="7" t="s">
        <v>209</v>
      </c>
      <c r="E52" s="8" t="s">
        <v>210</v>
      </c>
      <c r="F52" s="6" t="s">
        <v>211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212</v>
      </c>
      <c r="B53" s="6" t="s">
        <v>24</v>
      </c>
      <c r="C53" s="6" t="s">
        <v>12</v>
      </c>
      <c r="D53" s="7" t="s">
        <v>213</v>
      </c>
      <c r="E53" s="8" t="s">
        <v>214</v>
      </c>
      <c r="F53" s="6" t="s">
        <v>215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216</v>
      </c>
      <c r="B54" s="6" t="s">
        <v>43</v>
      </c>
      <c r="C54" s="6" t="s">
        <v>12</v>
      </c>
      <c r="D54" s="7" t="s">
        <v>217</v>
      </c>
      <c r="E54" s="8" t="s">
        <v>218</v>
      </c>
      <c r="F54" s="6" t="s">
        <v>219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220</v>
      </c>
      <c r="B55" s="6" t="s">
        <v>28</v>
      </c>
      <c r="C55" s="6" t="s">
        <v>12</v>
      </c>
      <c r="D55" s="7" t="s">
        <v>221</v>
      </c>
      <c r="E55" s="8" t="s">
        <v>222</v>
      </c>
      <c r="F55" s="6" t="s">
        <v>223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224</v>
      </c>
      <c r="B56" s="6" t="s">
        <v>87</v>
      </c>
      <c r="C56" s="6" t="s">
        <v>12</v>
      </c>
      <c r="D56" s="7" t="s">
        <v>225</v>
      </c>
      <c r="E56" s="8" t="s">
        <v>226</v>
      </c>
      <c r="F56" s="6" t="s">
        <v>227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228</v>
      </c>
      <c r="B57" s="6" t="s">
        <v>47</v>
      </c>
      <c r="C57" s="6" t="s">
        <v>12</v>
      </c>
      <c r="D57" s="7" t="s">
        <v>18</v>
      </c>
      <c r="E57" s="8" t="s">
        <v>229</v>
      </c>
      <c r="F57" s="6" t="s">
        <v>230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231</v>
      </c>
      <c r="B58" s="6" t="s">
        <v>43</v>
      </c>
      <c r="C58" s="6" t="s">
        <v>232</v>
      </c>
      <c r="D58" s="7" t="s">
        <v>30</v>
      </c>
      <c r="E58" s="8" t="s">
        <v>233</v>
      </c>
      <c r="F58" s="6" t="s">
        <v>234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235</v>
      </c>
      <c r="B59" s="6" t="s">
        <v>10</v>
      </c>
      <c r="C59" s="6" t="s">
        <v>12</v>
      </c>
      <c r="D59" s="7" t="s">
        <v>166</v>
      </c>
      <c r="E59" s="8" t="s">
        <v>236</v>
      </c>
      <c r="F59" s="6" t="s">
        <v>237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238</v>
      </c>
      <c r="B60" s="6" t="s">
        <v>17</v>
      </c>
      <c r="C60" s="6" t="s">
        <v>12</v>
      </c>
      <c r="D60" s="7" t="s">
        <v>21</v>
      </c>
      <c r="E60" s="8" t="s">
        <v>239</v>
      </c>
      <c r="F60" s="6" t="s">
        <v>240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241</v>
      </c>
      <c r="B61" s="6" t="s">
        <v>28</v>
      </c>
      <c r="C61" s="6" t="s">
        <v>12</v>
      </c>
      <c r="D61" s="7" t="s">
        <v>205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28</v>
      </c>
      <c r="C62" s="6" t="s">
        <v>12</v>
      </c>
      <c r="D62" s="7" t="s">
        <v>205</v>
      </c>
      <c r="E62" s="8" t="s">
        <v>245</v>
      </c>
      <c r="F62" s="6" t="s">
        <v>246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247</v>
      </c>
      <c r="B63" s="6" t="s">
        <v>75</v>
      </c>
      <c r="C63" s="6" t="s">
        <v>12</v>
      </c>
      <c r="D63" s="7" t="s">
        <v>166</v>
      </c>
      <c r="E63" s="8" t="s">
        <v>248</v>
      </c>
      <c r="F63" s="6" t="s">
        <v>249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250</v>
      </c>
      <c r="B64" s="6" t="s">
        <v>11</v>
      </c>
      <c r="C64" s="6" t="s">
        <v>12</v>
      </c>
      <c r="D64" s="7" t="s">
        <v>251</v>
      </c>
      <c r="E64" s="8" t="s">
        <v>252</v>
      </c>
      <c r="F64" s="6" t="s">
        <v>253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254</v>
      </c>
      <c r="B65" s="6" t="s">
        <v>16</v>
      </c>
      <c r="C65" s="6" t="s">
        <v>12</v>
      </c>
      <c r="D65" s="7" t="s">
        <v>130</v>
      </c>
      <c r="E65" s="8" t="s">
        <v>255</v>
      </c>
      <c r="F65" s="6" t="s">
        <v>256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257</v>
      </c>
      <c r="B66" s="6" t="s">
        <v>29</v>
      </c>
      <c r="C66" s="6" t="s">
        <v>12</v>
      </c>
      <c r="D66" s="7" t="s">
        <v>44</v>
      </c>
      <c r="E66" s="8" t="s">
        <v>258</v>
      </c>
      <c r="F66" s="6" t="s">
        <v>259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260</v>
      </c>
      <c r="B67" s="6" t="s">
        <v>10</v>
      </c>
      <c r="C67" s="6" t="s">
        <v>12</v>
      </c>
      <c r="D67" s="7" t="s">
        <v>261</v>
      </c>
      <c r="E67" s="8" t="s">
        <v>262</v>
      </c>
      <c r="F67" s="6" t="s">
        <v>263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264</v>
      </c>
      <c r="B68" s="6" t="s">
        <v>16</v>
      </c>
      <c r="C68" s="6" t="s">
        <v>12</v>
      </c>
      <c r="D68" s="7" t="s">
        <v>265</v>
      </c>
      <c r="E68" s="8" t="s">
        <v>266</v>
      </c>
      <c r="F68" s="6" t="s">
        <v>267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268</v>
      </c>
      <c r="B69" s="6" t="s">
        <v>28</v>
      </c>
      <c r="C69" s="6" t="s">
        <v>12</v>
      </c>
      <c r="D69" s="7" t="s">
        <v>269</v>
      </c>
      <c r="E69" s="8" t="s">
        <v>270</v>
      </c>
      <c r="F69" s="6" t="s">
        <v>271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272</v>
      </c>
      <c r="B70" s="6" t="s">
        <v>11</v>
      </c>
      <c r="C70" s="6" t="s">
        <v>12</v>
      </c>
      <c r="D70" s="7" t="s">
        <v>273</v>
      </c>
      <c r="E70" s="8" t="s">
        <v>274</v>
      </c>
      <c r="F70" s="6" t="s">
        <v>275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276</v>
      </c>
      <c r="B71" s="6" t="s">
        <v>28</v>
      </c>
      <c r="C71" s="6" t="s">
        <v>12</v>
      </c>
      <c r="D71" s="7" t="s">
        <v>205</v>
      </c>
      <c r="E71" s="8" t="s">
        <v>277</v>
      </c>
      <c r="F71" s="6" t="s">
        <v>278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279</v>
      </c>
      <c r="B72" s="6" t="s">
        <v>17</v>
      </c>
      <c r="C72" s="6" t="s">
        <v>12</v>
      </c>
      <c r="D72" s="7" t="s">
        <v>280</v>
      </c>
      <c r="E72" s="8" t="s">
        <v>281</v>
      </c>
      <c r="F72" s="6" t="s">
        <v>282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283</v>
      </c>
      <c r="B73" s="6" t="s">
        <v>47</v>
      </c>
      <c r="C73" s="6" t="s">
        <v>12</v>
      </c>
      <c r="D73" s="7" t="s">
        <v>284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10</v>
      </c>
      <c r="C74" s="6" t="s">
        <v>12</v>
      </c>
      <c r="D74" s="7" t="s">
        <v>88</v>
      </c>
      <c r="E74" s="8" t="s">
        <v>288</v>
      </c>
      <c r="F74" s="6" t="s">
        <v>289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290</v>
      </c>
      <c r="B75" s="6" t="s">
        <v>16</v>
      </c>
      <c r="C75" s="6" t="s">
        <v>12</v>
      </c>
      <c r="D75" s="7" t="s">
        <v>145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29</v>
      </c>
      <c r="C76" s="6" t="s">
        <v>12</v>
      </c>
      <c r="D76" s="7" t="s">
        <v>294</v>
      </c>
      <c r="E76" s="8" t="s">
        <v>295</v>
      </c>
      <c r="F76" s="6" t="s">
        <v>296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297</v>
      </c>
      <c r="B77" s="6" t="s">
        <v>10</v>
      </c>
      <c r="C77" s="6" t="s">
        <v>12</v>
      </c>
      <c r="D77" s="7" t="s">
        <v>84</v>
      </c>
      <c r="E77" s="8" t="s">
        <v>298</v>
      </c>
      <c r="F77" s="6" t="s">
        <v>299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300</v>
      </c>
      <c r="B78" s="6" t="s">
        <v>17</v>
      </c>
      <c r="C78" s="6" t="s">
        <v>12</v>
      </c>
      <c r="D78" s="7" t="s">
        <v>301</v>
      </c>
      <c r="E78" s="8" t="s">
        <v>302</v>
      </c>
      <c r="F78" s="6" t="s">
        <v>303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304</v>
      </c>
      <c r="B79" s="6" t="s">
        <v>10</v>
      </c>
      <c r="C79" s="6" t="s">
        <v>12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308</v>
      </c>
      <c r="B80" s="6" t="s">
        <v>16</v>
      </c>
      <c r="C80" s="6" t="s">
        <v>12</v>
      </c>
      <c r="D80" s="7" t="s">
        <v>309</v>
      </c>
      <c r="E80" s="8" t="s">
        <v>310</v>
      </c>
      <c r="F80" s="6" t="s">
        <v>311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312</v>
      </c>
      <c r="B81" s="6" t="s">
        <v>43</v>
      </c>
      <c r="C81" s="6" t="s">
        <v>12</v>
      </c>
      <c r="D81" s="7" t="s">
        <v>18</v>
      </c>
      <c r="E81" s="8" t="s">
        <v>313</v>
      </c>
      <c r="F81" s="6" t="s">
        <v>314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315</v>
      </c>
      <c r="B82" s="6" t="s">
        <v>16</v>
      </c>
      <c r="C82" s="6" t="s">
        <v>12</v>
      </c>
      <c r="D82" s="7" t="s">
        <v>141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43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11</v>
      </c>
      <c r="C84" s="6" t="s">
        <v>12</v>
      </c>
      <c r="D84" s="7" t="s">
        <v>13</v>
      </c>
      <c r="E84" s="8" t="s">
        <v>323</v>
      </c>
      <c r="F84" s="6" t="s">
        <v>324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325</v>
      </c>
      <c r="B85" s="6" t="s">
        <v>11</v>
      </c>
      <c r="C85" s="6" t="s">
        <v>12</v>
      </c>
      <c r="D85" s="7" t="s">
        <v>48</v>
      </c>
      <c r="E85" s="8" t="s">
        <v>326</v>
      </c>
      <c r="F85" s="6" t="s">
        <v>327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328</v>
      </c>
      <c r="B86" s="6" t="s">
        <v>11</v>
      </c>
      <c r="C86" s="6" t="s">
        <v>12</v>
      </c>
      <c r="D86" s="7" t="s">
        <v>21</v>
      </c>
      <c r="E86" s="8" t="s">
        <v>329</v>
      </c>
      <c r="F86" s="6" t="s">
        <v>330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331</v>
      </c>
      <c r="B87" s="6" t="s">
        <v>17</v>
      </c>
      <c r="C87" s="6" t="s">
        <v>12</v>
      </c>
      <c r="D87" s="7" t="s">
        <v>158</v>
      </c>
      <c r="E87" s="8" t="s">
        <v>332</v>
      </c>
      <c r="F87" s="6" t="s">
        <v>333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334</v>
      </c>
      <c r="B88" s="6" t="s">
        <v>29</v>
      </c>
      <c r="C88" s="6" t="s">
        <v>12</v>
      </c>
      <c r="D88" s="7" t="s">
        <v>335</v>
      </c>
      <c r="E88" s="8" t="s">
        <v>336</v>
      </c>
      <c r="F88" s="6" t="s">
        <v>337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338</v>
      </c>
      <c r="B89" s="6" t="s">
        <v>17</v>
      </c>
      <c r="C89" s="6" t="s">
        <v>12</v>
      </c>
      <c r="D89" s="7" t="s">
        <v>21</v>
      </c>
      <c r="E89" s="8" t="s">
        <v>339</v>
      </c>
      <c r="F89" s="6" t="s">
        <v>340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341</v>
      </c>
      <c r="B90" s="6" t="s">
        <v>10</v>
      </c>
      <c r="C90" s="6" t="s">
        <v>12</v>
      </c>
      <c r="D90" s="7" t="s">
        <v>88</v>
      </c>
      <c r="E90" s="8" t="s">
        <v>342</v>
      </c>
      <c r="F90" s="6" t="s">
        <v>343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344</v>
      </c>
      <c r="B91" s="6" t="s">
        <v>28</v>
      </c>
      <c r="C91" s="6" t="s">
        <v>12</v>
      </c>
      <c r="D91" s="7" t="s">
        <v>345</v>
      </c>
      <c r="E91" s="8" t="s">
        <v>346</v>
      </c>
      <c r="F91" s="6" t="s">
        <v>347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348</v>
      </c>
      <c r="B92" s="6" t="s">
        <v>16</v>
      </c>
      <c r="C92" s="6" t="s">
        <v>12</v>
      </c>
      <c r="D92" s="7" t="s">
        <v>197</v>
      </c>
      <c r="E92" s="8" t="s">
        <v>349</v>
      </c>
      <c r="F92" s="6" t="s">
        <v>350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351</v>
      </c>
      <c r="B93" s="6" t="s">
        <v>16</v>
      </c>
      <c r="C93" s="6" t="s">
        <v>352</v>
      </c>
      <c r="D93" s="7" t="s">
        <v>18</v>
      </c>
      <c r="E93" s="8" t="s">
        <v>353</v>
      </c>
      <c r="F93" s="6" t="s">
        <v>354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355</v>
      </c>
      <c r="B94" s="6" t="s">
        <v>11</v>
      </c>
      <c r="C94" s="6" t="s">
        <v>12</v>
      </c>
      <c r="D94" s="7" t="s">
        <v>356</v>
      </c>
      <c r="E94" s="8" t="s">
        <v>357</v>
      </c>
      <c r="F94" s="6" t="s">
        <v>358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359</v>
      </c>
      <c r="B95" s="6" t="s">
        <v>28</v>
      </c>
      <c r="C95" s="6" t="s">
        <v>149</v>
      </c>
      <c r="D95" s="7" t="s">
        <v>360</v>
      </c>
      <c r="E95" s="8" t="s">
        <v>361</v>
      </c>
      <c r="F95" s="6" t="s">
        <v>362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363</v>
      </c>
      <c r="B96" s="6" t="s">
        <v>11</v>
      </c>
      <c r="C96" s="6" t="s">
        <v>12</v>
      </c>
      <c r="D96" s="7" t="s">
        <v>364</v>
      </c>
      <c r="E96" s="8" t="s">
        <v>365</v>
      </c>
      <c r="F96" s="6" t="s">
        <v>366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367</v>
      </c>
      <c r="B97" s="6" t="s">
        <v>17</v>
      </c>
      <c r="C97" s="6" t="s">
        <v>12</v>
      </c>
      <c r="D97" s="7" t="s">
        <v>368</v>
      </c>
      <c r="E97" s="8" t="s">
        <v>369</v>
      </c>
      <c r="F97" s="6" t="s">
        <v>370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371</v>
      </c>
      <c r="B98" s="6" t="s">
        <v>17</v>
      </c>
      <c r="C98" s="6" t="s">
        <v>12</v>
      </c>
      <c r="D98" s="7" t="s">
        <v>372</v>
      </c>
      <c r="E98" s="8" t="s">
        <v>373</v>
      </c>
      <c r="F98" s="6" t="s">
        <v>374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375</v>
      </c>
      <c r="B99" s="6" t="s">
        <v>29</v>
      </c>
      <c r="C99" s="6" t="s">
        <v>12</v>
      </c>
      <c r="D99" s="7" t="s">
        <v>376</v>
      </c>
      <c r="E99" s="8" t="s">
        <v>377</v>
      </c>
      <c r="F99" s="6" t="s">
        <v>378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379</v>
      </c>
      <c r="B100" s="6" t="s">
        <v>29</v>
      </c>
      <c r="C100" s="6" t="s">
        <v>12</v>
      </c>
      <c r="D100" s="7" t="s">
        <v>380</v>
      </c>
      <c r="E100" s="8" t="s">
        <v>381</v>
      </c>
      <c r="F100" s="6" t="s">
        <v>382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383</v>
      </c>
      <c r="B101" s="6" t="s">
        <v>47</v>
      </c>
      <c r="C101" s="6" t="s">
        <v>12</v>
      </c>
      <c r="D101" s="7" t="s">
        <v>384</v>
      </c>
      <c r="E101" s="8" t="s">
        <v>385</v>
      </c>
      <c r="F101" s="6" t="s">
        <v>386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387</v>
      </c>
      <c r="B102" s="6" t="s">
        <v>16</v>
      </c>
      <c r="C102" s="6" t="s">
        <v>12</v>
      </c>
      <c r="D102" s="7" t="s">
        <v>388</v>
      </c>
      <c r="E102" s="8" t="s">
        <v>389</v>
      </c>
      <c r="F102" s="6" t="s">
        <v>390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391</v>
      </c>
      <c r="B103" s="6" t="s">
        <v>28</v>
      </c>
      <c r="C103" s="6" t="s">
        <v>392</v>
      </c>
      <c r="D103" s="7" t="s">
        <v>103</v>
      </c>
      <c r="E103" s="8" t="s">
        <v>393</v>
      </c>
      <c r="F103" s="6" t="s">
        <v>394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395</v>
      </c>
      <c r="B104" s="6" t="s">
        <v>24</v>
      </c>
      <c r="C104" s="6" t="s">
        <v>12</v>
      </c>
      <c r="D104" s="7" t="s">
        <v>396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399</v>
      </c>
      <c r="B105" s="6" t="s">
        <v>28</v>
      </c>
      <c r="C105" s="6" t="s">
        <v>12</v>
      </c>
      <c r="D105" s="7" t="s">
        <v>400</v>
      </c>
      <c r="E105" s="8" t="s">
        <v>401</v>
      </c>
      <c r="F105" s="6" t="s">
        <v>402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403</v>
      </c>
      <c r="B106" s="6" t="s">
        <v>17</v>
      </c>
      <c r="C106" s="6" t="s">
        <v>12</v>
      </c>
      <c r="D106" s="7" t="s">
        <v>68</v>
      </c>
      <c r="E106" s="8" t="s">
        <v>404</v>
      </c>
      <c r="F106" s="6" t="s">
        <v>405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406</v>
      </c>
      <c r="B107" s="6" t="s">
        <v>55</v>
      </c>
      <c r="C107" s="6" t="s">
        <v>12</v>
      </c>
      <c r="D107" s="7" t="s">
        <v>407</v>
      </c>
      <c r="E107" s="8" t="s">
        <v>408</v>
      </c>
      <c r="F107" s="6" t="s">
        <v>409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410</v>
      </c>
      <c r="B108" s="6" t="s">
        <v>11</v>
      </c>
      <c r="C108" s="6" t="s">
        <v>12</v>
      </c>
      <c r="D108" s="7" t="s">
        <v>411</v>
      </c>
      <c r="E108" s="8" t="s">
        <v>412</v>
      </c>
      <c r="F108" s="6" t="s">
        <v>413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414</v>
      </c>
      <c r="B109" s="6" t="s">
        <v>29</v>
      </c>
      <c r="C109" s="6" t="s">
        <v>12</v>
      </c>
      <c r="D109" s="7" t="s">
        <v>415</v>
      </c>
      <c r="E109" s="8" t="s">
        <v>416</v>
      </c>
      <c r="F109" s="6" t="s">
        <v>417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418</v>
      </c>
      <c r="B110" s="6" t="s">
        <v>16</v>
      </c>
      <c r="C110" s="6" t="s">
        <v>12</v>
      </c>
      <c r="D110" s="7" t="s">
        <v>419</v>
      </c>
      <c r="E110" s="8" t="s">
        <v>420</v>
      </c>
      <c r="F110" s="6" t="s">
        <v>421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422</v>
      </c>
      <c r="B111" s="6" t="s">
        <v>55</v>
      </c>
      <c r="C111" s="6" t="s">
        <v>392</v>
      </c>
      <c r="D111" s="7" t="s">
        <v>284</v>
      </c>
      <c r="E111" s="8" t="s">
        <v>423</v>
      </c>
      <c r="F111" s="6" t="s">
        <v>424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425</v>
      </c>
      <c r="B112" s="6" t="s">
        <v>10</v>
      </c>
      <c r="C112" s="6" t="s">
        <v>12</v>
      </c>
      <c r="D112" s="7" t="s">
        <v>426</v>
      </c>
      <c r="E112" s="8" t="s">
        <v>427</v>
      </c>
      <c r="F112" s="6" t="s">
        <v>428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429</v>
      </c>
      <c r="B113" s="6" t="s">
        <v>10</v>
      </c>
      <c r="C113" s="6" t="s">
        <v>12</v>
      </c>
      <c r="D113" s="7" t="s">
        <v>103</v>
      </c>
      <c r="E113" s="8" t="s">
        <v>430</v>
      </c>
      <c r="F113" s="6" t="s">
        <v>431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432</v>
      </c>
      <c r="B114" s="6" t="s">
        <v>63</v>
      </c>
      <c r="C114" s="6" t="s">
        <v>12</v>
      </c>
      <c r="D114" s="7" t="s">
        <v>130</v>
      </c>
      <c r="E114" s="8" t="s">
        <v>433</v>
      </c>
      <c r="F114" s="6" t="s">
        <v>434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435</v>
      </c>
      <c r="B115" s="6" t="s">
        <v>28</v>
      </c>
      <c r="C115" s="6" t="s">
        <v>12</v>
      </c>
      <c r="D115" s="7" t="s">
        <v>103</v>
      </c>
      <c r="E115" s="8" t="s">
        <v>436</v>
      </c>
      <c r="F115" s="6" t="s">
        <v>437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438</v>
      </c>
      <c r="B116" s="6" t="s">
        <v>39</v>
      </c>
      <c r="C116" s="6" t="s">
        <v>12</v>
      </c>
      <c r="D116" s="7" t="s">
        <v>439</v>
      </c>
      <c r="E116" s="8" t="s">
        <v>440</v>
      </c>
      <c r="F116" s="6" t="s">
        <v>441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442</v>
      </c>
      <c r="B117" s="6" t="s">
        <v>10</v>
      </c>
      <c r="C117" s="6" t="s">
        <v>12</v>
      </c>
      <c r="D117" s="7" t="s">
        <v>443</v>
      </c>
      <c r="E117" s="8" t="s">
        <v>444</v>
      </c>
      <c r="F117" s="6" t="s">
        <v>445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446</v>
      </c>
      <c r="B118" s="6" t="s">
        <v>11</v>
      </c>
      <c r="C118" s="6" t="s">
        <v>12</v>
      </c>
      <c r="D118" s="7" t="s">
        <v>130</v>
      </c>
      <c r="E118" s="8" t="s">
        <v>447</v>
      </c>
      <c r="F118" s="6" t="s">
        <v>448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449</v>
      </c>
      <c r="B119" s="6" t="s">
        <v>16</v>
      </c>
      <c r="C119" s="6" t="s">
        <v>12</v>
      </c>
      <c r="D119" s="7" t="s">
        <v>450</v>
      </c>
      <c r="E119" s="8" t="s">
        <v>451</v>
      </c>
      <c r="F119" s="6" t="s">
        <v>452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453</v>
      </c>
      <c r="B120" s="6" t="s">
        <v>17</v>
      </c>
      <c r="C120" s="6" t="s">
        <v>12</v>
      </c>
      <c r="D120" s="7" t="s">
        <v>454</v>
      </c>
      <c r="E120" s="8" t="s">
        <v>455</v>
      </c>
      <c r="F120" s="6" t="s">
        <v>456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457</v>
      </c>
      <c r="B121" s="6" t="s">
        <v>51</v>
      </c>
      <c r="C121" s="6" t="s">
        <v>12</v>
      </c>
      <c r="D121" s="7" t="s">
        <v>458</v>
      </c>
      <c r="E121" s="8" t="s">
        <v>459</v>
      </c>
      <c r="F121" s="6" t="s">
        <v>460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461</v>
      </c>
      <c r="B122" s="6" t="s">
        <v>17</v>
      </c>
      <c r="C122" s="6" t="s">
        <v>12</v>
      </c>
      <c r="D122" s="7" t="s">
        <v>380</v>
      </c>
      <c r="E122" s="8" t="s">
        <v>462</v>
      </c>
      <c r="F122" s="6" t="s">
        <v>463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464</v>
      </c>
      <c r="B123" s="6" t="s">
        <v>16</v>
      </c>
      <c r="C123" s="6" t="s">
        <v>12</v>
      </c>
      <c r="D123" s="7" t="s">
        <v>465</v>
      </c>
      <c r="E123" s="8" t="s">
        <v>466</v>
      </c>
      <c r="F123" s="6" t="s">
        <v>467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468</v>
      </c>
      <c r="B124" s="6" t="s">
        <v>16</v>
      </c>
      <c r="C124" s="6" t="s">
        <v>12</v>
      </c>
      <c r="D124" s="7" t="s">
        <v>469</v>
      </c>
      <c r="E124" s="8" t="s">
        <v>470</v>
      </c>
      <c r="F124" s="6" t="s">
        <v>471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472</v>
      </c>
      <c r="B125" s="6" t="s">
        <v>16</v>
      </c>
      <c r="C125" s="6" t="s">
        <v>12</v>
      </c>
      <c r="D125" s="7" t="s">
        <v>473</v>
      </c>
      <c r="E125" s="8" t="s">
        <v>474</v>
      </c>
      <c r="F125" s="6" t="s">
        <v>475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476</v>
      </c>
      <c r="B126" s="6" t="s">
        <v>10</v>
      </c>
      <c r="C126" s="6" t="s">
        <v>12</v>
      </c>
      <c r="D126" s="7" t="s">
        <v>141</v>
      </c>
      <c r="E126" s="8" t="s">
        <v>477</v>
      </c>
      <c r="F126" s="6" t="s">
        <v>478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479</v>
      </c>
      <c r="B127" s="6" t="s">
        <v>24</v>
      </c>
      <c r="C127" s="6" t="s">
        <v>12</v>
      </c>
      <c r="D127" s="7" t="s">
        <v>130</v>
      </c>
      <c r="E127" s="8" t="s">
        <v>480</v>
      </c>
      <c r="F127" s="6" t="s">
        <v>481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482</v>
      </c>
      <c r="B128" s="6" t="s">
        <v>29</v>
      </c>
      <c r="C128" s="6" t="s">
        <v>12</v>
      </c>
      <c r="D128" s="7" t="s">
        <v>483</v>
      </c>
      <c r="E128" s="8" t="s">
        <v>484</v>
      </c>
      <c r="F128" s="6" t="s">
        <v>485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486</v>
      </c>
      <c r="B129" s="6" t="s">
        <v>11</v>
      </c>
      <c r="C129" s="6" t="s">
        <v>12</v>
      </c>
      <c r="D129" s="7" t="s">
        <v>487</v>
      </c>
      <c r="E129" s="8" t="s">
        <v>488</v>
      </c>
      <c r="F129" s="6" t="s">
        <v>489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490</v>
      </c>
      <c r="B130" s="6" t="s">
        <v>16</v>
      </c>
      <c r="C130" s="6" t="s">
        <v>12</v>
      </c>
      <c r="D130" s="7" t="s">
        <v>491</v>
      </c>
      <c r="E130" s="8" t="s">
        <v>492</v>
      </c>
      <c r="F130" s="6" t="s">
        <v>493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494</v>
      </c>
      <c r="B131" s="6" t="s">
        <v>17</v>
      </c>
      <c r="C131" s="6" t="s">
        <v>12</v>
      </c>
      <c r="D131" s="7" t="s">
        <v>44</v>
      </c>
      <c r="E131" s="8" t="s">
        <v>495</v>
      </c>
      <c r="F131" s="6" t="s">
        <v>496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497</v>
      </c>
      <c r="B132" s="6" t="s">
        <v>11</v>
      </c>
      <c r="C132" s="6" t="s">
        <v>12</v>
      </c>
      <c r="D132" s="7" t="s">
        <v>498</v>
      </c>
      <c r="E132" s="8" t="s">
        <v>499</v>
      </c>
      <c r="F132" s="6" t="s">
        <v>500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501</v>
      </c>
      <c r="B133" s="6" t="s">
        <v>16</v>
      </c>
      <c r="C133" s="6" t="s">
        <v>12</v>
      </c>
      <c r="D133" s="7" t="s">
        <v>502</v>
      </c>
      <c r="E133" s="8" t="s">
        <v>503</v>
      </c>
      <c r="F133" s="6" t="s">
        <v>504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505</v>
      </c>
      <c r="B134" s="6" t="s">
        <v>17</v>
      </c>
      <c r="C134" s="6" t="s">
        <v>12</v>
      </c>
      <c r="D134" s="7" t="s">
        <v>506</v>
      </c>
      <c r="E134" s="8" t="s">
        <v>507</v>
      </c>
      <c r="F134" s="6" t="s">
        <v>508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509</v>
      </c>
      <c r="B135" s="6" t="s">
        <v>16</v>
      </c>
      <c r="C135" s="6" t="s">
        <v>12</v>
      </c>
      <c r="D135" s="7" t="s">
        <v>510</v>
      </c>
      <c r="E135" s="8" t="s">
        <v>511</v>
      </c>
      <c r="F135" s="6" t="s">
        <v>512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513</v>
      </c>
      <c r="B136" s="6" t="s">
        <v>28</v>
      </c>
      <c r="C136" s="6" t="s">
        <v>12</v>
      </c>
      <c r="D136" s="7" t="s">
        <v>514</v>
      </c>
      <c r="E136" s="8" t="s">
        <v>515</v>
      </c>
      <c r="F136" s="6" t="s">
        <v>516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517</v>
      </c>
      <c r="B137" s="6" t="s">
        <v>17</v>
      </c>
      <c r="C137" s="6" t="s">
        <v>12</v>
      </c>
      <c r="D137" s="7" t="s">
        <v>364</v>
      </c>
      <c r="E137" s="8" t="s">
        <v>518</v>
      </c>
      <c r="F137" s="6" t="s">
        <v>519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520</v>
      </c>
      <c r="B138" s="6" t="s">
        <v>28</v>
      </c>
      <c r="C138" s="6" t="s">
        <v>392</v>
      </c>
      <c r="D138" s="7" t="s">
        <v>521</v>
      </c>
      <c r="E138" s="8" t="s">
        <v>522</v>
      </c>
      <c r="F138" s="6" t="s">
        <v>523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524</v>
      </c>
      <c r="B139" s="6" t="s">
        <v>10</v>
      </c>
      <c r="C139" s="6" t="s">
        <v>12</v>
      </c>
      <c r="D139" s="7" t="s">
        <v>525</v>
      </c>
      <c r="E139" s="8" t="s">
        <v>526</v>
      </c>
      <c r="F139" s="6" t="s">
        <v>527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528</v>
      </c>
      <c r="B140" s="6" t="s">
        <v>17</v>
      </c>
      <c r="C140" s="6" t="s">
        <v>12</v>
      </c>
      <c r="D140" s="7" t="s">
        <v>529</v>
      </c>
      <c r="E140" s="8" t="s">
        <v>530</v>
      </c>
      <c r="F140" s="6" t="s">
        <v>531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532</v>
      </c>
      <c r="B141" s="6" t="s">
        <v>43</v>
      </c>
      <c r="C141" s="6" t="s">
        <v>12</v>
      </c>
      <c r="D141" s="7" t="s">
        <v>533</v>
      </c>
      <c r="E141" s="8" t="s">
        <v>534</v>
      </c>
      <c r="F141" s="6" t="s">
        <v>535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536</v>
      </c>
      <c r="B142" s="6" t="s">
        <v>55</v>
      </c>
      <c r="C142" s="6" t="s">
        <v>12</v>
      </c>
      <c r="D142" s="7" t="s">
        <v>537</v>
      </c>
      <c r="E142" s="8" t="s">
        <v>538</v>
      </c>
      <c r="F142" s="6" t="s">
        <v>539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540</v>
      </c>
      <c r="B143" s="6" t="s">
        <v>16</v>
      </c>
      <c r="C143" s="6" t="s">
        <v>12</v>
      </c>
      <c r="D143" s="7" t="s">
        <v>541</v>
      </c>
      <c r="E143" s="8" t="s">
        <v>542</v>
      </c>
      <c r="F143" s="6" t="s">
        <v>543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544</v>
      </c>
      <c r="B144" s="6" t="s">
        <v>43</v>
      </c>
      <c r="C144" s="6" t="s">
        <v>12</v>
      </c>
      <c r="D144" s="7" t="s">
        <v>284</v>
      </c>
      <c r="E144" s="8" t="s">
        <v>545</v>
      </c>
      <c r="F144" s="6" t="s">
        <v>546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547</v>
      </c>
      <c r="B145" s="6" t="s">
        <v>16</v>
      </c>
      <c r="C145" s="6" t="s">
        <v>12</v>
      </c>
      <c r="D145" s="7" t="s">
        <v>548</v>
      </c>
      <c r="E145" s="8" t="s">
        <v>549</v>
      </c>
      <c r="F145" s="6" t="s">
        <v>550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551</v>
      </c>
      <c r="B146" s="6" t="s">
        <v>17</v>
      </c>
      <c r="C146" s="6" t="s">
        <v>552</v>
      </c>
      <c r="D146" s="7" t="s">
        <v>553</v>
      </c>
      <c r="E146" s="8" t="s">
        <v>554</v>
      </c>
      <c r="F146" s="6" t="s">
        <v>555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556</v>
      </c>
      <c r="B147" s="6" t="s">
        <v>17</v>
      </c>
      <c r="C147" s="6" t="s">
        <v>12</v>
      </c>
      <c r="D147" s="7" t="s">
        <v>557</v>
      </c>
      <c r="E147" s="8" t="s">
        <v>558</v>
      </c>
      <c r="F147" s="6" t="s">
        <v>559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560</v>
      </c>
      <c r="B148" s="6" t="s">
        <v>16</v>
      </c>
      <c r="C148" s="6" t="s">
        <v>12</v>
      </c>
      <c r="D148" s="7" t="s">
        <v>319</v>
      </c>
      <c r="E148" s="8" t="s">
        <v>561</v>
      </c>
      <c r="F148" s="6" t="s">
        <v>562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563</v>
      </c>
      <c r="B149" s="6" t="s">
        <v>17</v>
      </c>
      <c r="C149" s="6" t="s">
        <v>12</v>
      </c>
      <c r="D149" s="7" t="s">
        <v>564</v>
      </c>
      <c r="E149" s="8" t="s">
        <v>565</v>
      </c>
      <c r="F149" s="6" t="s">
        <v>566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567</v>
      </c>
      <c r="B150" s="6" t="s">
        <v>10</v>
      </c>
      <c r="C150" s="6" t="s">
        <v>12</v>
      </c>
      <c r="D150" s="7" t="s">
        <v>305</v>
      </c>
      <c r="E150" s="8" t="s">
        <v>568</v>
      </c>
      <c r="F150" s="6" t="s">
        <v>569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570</v>
      </c>
      <c r="B151" s="6" t="s">
        <v>28</v>
      </c>
      <c r="C151" s="6" t="s">
        <v>12</v>
      </c>
      <c r="D151" s="7" t="s">
        <v>571</v>
      </c>
      <c r="E151" s="8" t="s">
        <v>572</v>
      </c>
      <c r="F151" s="6" t="s">
        <v>573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574</v>
      </c>
      <c r="B152" s="6" t="s">
        <v>16</v>
      </c>
      <c r="C152" s="6" t="s">
        <v>12</v>
      </c>
      <c r="D152" s="7" t="s">
        <v>575</v>
      </c>
      <c r="E152" s="8" t="s">
        <v>576</v>
      </c>
      <c r="F152" s="6" t="s">
        <v>577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578</v>
      </c>
      <c r="B153" s="6" t="s">
        <v>47</v>
      </c>
      <c r="C153" s="6" t="s">
        <v>12</v>
      </c>
      <c r="D153" s="7" t="s">
        <v>197</v>
      </c>
      <c r="E153" s="8" t="s">
        <v>579</v>
      </c>
      <c r="F153" s="6" t="s">
        <v>580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581</v>
      </c>
      <c r="B154" s="6" t="s">
        <v>16</v>
      </c>
      <c r="C154" s="6" t="s">
        <v>12</v>
      </c>
      <c r="D154" s="7" t="s">
        <v>319</v>
      </c>
      <c r="E154" s="8" t="s">
        <v>582</v>
      </c>
      <c r="F154" s="6" t="s">
        <v>583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584</v>
      </c>
      <c r="B155" s="6" t="s">
        <v>16</v>
      </c>
      <c r="C155" s="6" t="s">
        <v>12</v>
      </c>
      <c r="D155" s="7" t="s">
        <v>585</v>
      </c>
      <c r="E155" s="8" t="s">
        <v>586</v>
      </c>
      <c r="F155" s="6" t="s">
        <v>587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588</v>
      </c>
      <c r="B156" s="6" t="s">
        <v>16</v>
      </c>
      <c r="C156" s="6" t="s">
        <v>12</v>
      </c>
      <c r="D156" s="7" t="s">
        <v>388</v>
      </c>
      <c r="E156" s="8" t="s">
        <v>589</v>
      </c>
      <c r="F156" s="6" t="s">
        <v>590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591</v>
      </c>
      <c r="B157" s="6" t="s">
        <v>11</v>
      </c>
      <c r="C157" s="6" t="s">
        <v>12</v>
      </c>
      <c r="D157" s="7" t="s">
        <v>166</v>
      </c>
      <c r="E157" s="8" t="s">
        <v>592</v>
      </c>
      <c r="F157" s="6" t="s">
        <v>593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594</v>
      </c>
      <c r="B158" s="6" t="s">
        <v>17</v>
      </c>
      <c r="C158" s="6" t="s">
        <v>12</v>
      </c>
      <c r="D158" s="7" t="s">
        <v>13</v>
      </c>
      <c r="E158" s="8" t="s">
        <v>595</v>
      </c>
      <c r="F158" s="6" t="s">
        <v>596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597</v>
      </c>
      <c r="B159" s="6" t="s">
        <v>28</v>
      </c>
      <c r="C159" s="6" t="s">
        <v>12</v>
      </c>
      <c r="D159" s="7" t="s">
        <v>25</v>
      </c>
      <c r="E159" s="8" t="s">
        <v>598</v>
      </c>
      <c r="F159" s="6" t="s">
        <v>599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600</v>
      </c>
      <c r="B160" s="6" t="s">
        <v>59</v>
      </c>
      <c r="C160" s="6" t="s">
        <v>12</v>
      </c>
      <c r="D160" s="7" t="s">
        <v>601</v>
      </c>
      <c r="E160" s="8" t="s">
        <v>602</v>
      </c>
      <c r="F160" s="6" t="s">
        <v>603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604</v>
      </c>
      <c r="B161" s="6" t="s">
        <v>10</v>
      </c>
      <c r="C161" s="6" t="s">
        <v>12</v>
      </c>
      <c r="D161" s="7" t="s">
        <v>284</v>
      </c>
      <c r="E161" s="8" t="s">
        <v>605</v>
      </c>
      <c r="F161" s="6" t="s">
        <v>606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607</v>
      </c>
      <c r="B162" s="6" t="s">
        <v>87</v>
      </c>
      <c r="C162" s="6" t="s">
        <v>149</v>
      </c>
      <c r="D162" s="7" t="s">
        <v>608</v>
      </c>
      <c r="E162" s="8" t="s">
        <v>609</v>
      </c>
      <c r="F162" s="6" t="s">
        <v>610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611</v>
      </c>
      <c r="B163" s="6" t="s">
        <v>24</v>
      </c>
      <c r="C163" s="6" t="s">
        <v>12</v>
      </c>
      <c r="D163" s="7" t="s">
        <v>88</v>
      </c>
      <c r="E163" s="8" t="s">
        <v>612</v>
      </c>
      <c r="F163" s="6" t="s">
        <v>613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614</v>
      </c>
      <c r="B164" s="6" t="s">
        <v>10</v>
      </c>
      <c r="C164" s="6" t="s">
        <v>12</v>
      </c>
      <c r="D164" s="7" t="s">
        <v>615</v>
      </c>
      <c r="E164" s="8" t="s">
        <v>616</v>
      </c>
      <c r="F164" s="6" t="s">
        <v>617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618</v>
      </c>
      <c r="B165" s="6" t="s">
        <v>10</v>
      </c>
      <c r="C165" s="6" t="s">
        <v>12</v>
      </c>
      <c r="D165" s="7" t="s">
        <v>619</v>
      </c>
      <c r="E165" s="8" t="s">
        <v>620</v>
      </c>
      <c r="F165" s="6" t="s">
        <v>621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622</v>
      </c>
      <c r="B166" s="6" t="s">
        <v>17</v>
      </c>
      <c r="C166" s="6" t="s">
        <v>12</v>
      </c>
      <c r="D166" s="7" t="s">
        <v>25</v>
      </c>
      <c r="E166" s="8" t="s">
        <v>623</v>
      </c>
      <c r="F166" s="6" t="s">
        <v>624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625</v>
      </c>
      <c r="B167" s="6" t="s">
        <v>10</v>
      </c>
      <c r="C167" s="6" t="s">
        <v>12</v>
      </c>
      <c r="D167" s="7" t="s">
        <v>305</v>
      </c>
      <c r="E167" s="8" t="s">
        <v>626</v>
      </c>
      <c r="F167" s="6" t="s">
        <v>627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628</v>
      </c>
      <c r="B168" s="6" t="s">
        <v>11</v>
      </c>
      <c r="C168" s="6" t="s">
        <v>12</v>
      </c>
      <c r="D168" s="7" t="s">
        <v>197</v>
      </c>
      <c r="E168" s="8" t="s">
        <v>629</v>
      </c>
      <c r="F168" s="6" t="s">
        <v>630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631</v>
      </c>
      <c r="B169" s="6" t="s">
        <v>29</v>
      </c>
      <c r="C169" s="6" t="s">
        <v>12</v>
      </c>
      <c r="D169" s="7" t="s">
        <v>632</v>
      </c>
      <c r="E169" s="8" t="s">
        <v>633</v>
      </c>
      <c r="F169" s="6" t="s">
        <v>634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635</v>
      </c>
      <c r="B170" s="6" t="s">
        <v>11</v>
      </c>
      <c r="C170" s="6" t="s">
        <v>12</v>
      </c>
      <c r="D170" s="7" t="s">
        <v>284</v>
      </c>
      <c r="E170" s="8" t="s">
        <v>636</v>
      </c>
      <c r="F170" s="6" t="s">
        <v>637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638</v>
      </c>
      <c r="B171" s="6" t="s">
        <v>16</v>
      </c>
      <c r="C171" s="6" t="s">
        <v>12</v>
      </c>
      <c r="D171" s="7" t="s">
        <v>225</v>
      </c>
      <c r="E171" s="8" t="s">
        <v>639</v>
      </c>
      <c r="F171" s="6" t="s">
        <v>640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641</v>
      </c>
      <c r="B172" s="6" t="s">
        <v>75</v>
      </c>
      <c r="C172" s="6" t="s">
        <v>12</v>
      </c>
      <c r="D172" s="7" t="s">
        <v>25</v>
      </c>
      <c r="E172" s="8" t="s">
        <v>642</v>
      </c>
      <c r="F172" s="6" t="s">
        <v>643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644</v>
      </c>
      <c r="B173" s="6" t="s">
        <v>17</v>
      </c>
      <c r="C173" s="6" t="s">
        <v>12</v>
      </c>
      <c r="D173" s="7" t="s">
        <v>141</v>
      </c>
      <c r="E173" s="8" t="s">
        <v>645</v>
      </c>
      <c r="F173" s="6" t="s">
        <v>646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647</v>
      </c>
      <c r="B174" s="6" t="s">
        <v>16</v>
      </c>
      <c r="C174" s="6" t="s">
        <v>12</v>
      </c>
      <c r="D174" s="7" t="s">
        <v>197</v>
      </c>
      <c r="E174" s="8" t="s">
        <v>648</v>
      </c>
      <c r="F174" s="6" t="s">
        <v>649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650</v>
      </c>
      <c r="B175" s="6" t="s">
        <v>17</v>
      </c>
      <c r="C175" s="6" t="s">
        <v>12</v>
      </c>
      <c r="D175" s="7" t="s">
        <v>651</v>
      </c>
      <c r="E175" s="8" t="s">
        <v>652</v>
      </c>
      <c r="F175" s="6" t="s">
        <v>653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654</v>
      </c>
      <c r="B176" s="6" t="s">
        <v>83</v>
      </c>
      <c r="C176" s="6" t="s">
        <v>12</v>
      </c>
      <c r="D176" s="7" t="s">
        <v>655</v>
      </c>
      <c r="E176" s="8" t="s">
        <v>656</v>
      </c>
      <c r="F176" s="6" t="s">
        <v>657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658</v>
      </c>
      <c r="B177" s="6" t="s">
        <v>17</v>
      </c>
      <c r="C177" s="6" t="s">
        <v>12</v>
      </c>
      <c r="D177" s="7" t="s">
        <v>388</v>
      </c>
      <c r="E177" s="8" t="s">
        <v>659</v>
      </c>
      <c r="F177" s="6" t="s">
        <v>660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661</v>
      </c>
      <c r="B178" s="6" t="s">
        <v>17</v>
      </c>
      <c r="C178" s="6" t="s">
        <v>12</v>
      </c>
      <c r="D178" s="7" t="s">
        <v>662</v>
      </c>
      <c r="E178" s="8" t="s">
        <v>663</v>
      </c>
      <c r="F178" s="6" t="s">
        <v>664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665</v>
      </c>
      <c r="B179" s="6" t="s">
        <v>63</v>
      </c>
      <c r="C179" s="6" t="s">
        <v>12</v>
      </c>
      <c r="D179" s="7" t="s">
        <v>18</v>
      </c>
      <c r="E179" s="8" t="s">
        <v>666</v>
      </c>
      <c r="F179" s="6" t="s">
        <v>667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668</v>
      </c>
      <c r="B180" s="6" t="s">
        <v>16</v>
      </c>
      <c r="C180" s="6" t="s">
        <v>12</v>
      </c>
      <c r="D180" s="7" t="s">
        <v>44</v>
      </c>
      <c r="E180" s="8" t="s">
        <v>669</v>
      </c>
      <c r="F180" s="6" t="s">
        <v>670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671</v>
      </c>
      <c r="B181" s="6" t="s">
        <v>24</v>
      </c>
      <c r="C181" s="6" t="s">
        <v>12</v>
      </c>
      <c r="D181" s="7" t="s">
        <v>88</v>
      </c>
      <c r="E181" s="8" t="s">
        <v>672</v>
      </c>
      <c r="F181" s="6" t="s">
        <v>673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674</v>
      </c>
      <c r="B182" s="6" t="s">
        <v>11</v>
      </c>
      <c r="C182" s="6" t="s">
        <v>12</v>
      </c>
      <c r="D182" s="7" t="s">
        <v>675</v>
      </c>
      <c r="E182" s="8" t="s">
        <v>676</v>
      </c>
      <c r="F182" s="6" t="s">
        <v>677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678</v>
      </c>
      <c r="B183" s="6" t="s">
        <v>24</v>
      </c>
      <c r="C183" s="6" t="s">
        <v>12</v>
      </c>
      <c r="D183" s="7" t="s">
        <v>679</v>
      </c>
      <c r="E183" s="8" t="s">
        <v>680</v>
      </c>
      <c r="F183" s="6" t="s">
        <v>681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682</v>
      </c>
      <c r="B184" s="6" t="s">
        <v>10</v>
      </c>
      <c r="C184" s="6" t="s">
        <v>12</v>
      </c>
      <c r="D184" s="7" t="s">
        <v>141</v>
      </c>
      <c r="E184" s="8" t="s">
        <v>683</v>
      </c>
      <c r="F184" s="6" t="s">
        <v>684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685</v>
      </c>
      <c r="B185" s="6" t="s">
        <v>47</v>
      </c>
      <c r="C185" s="6" t="s">
        <v>12</v>
      </c>
      <c r="D185" s="7" t="s">
        <v>388</v>
      </c>
      <c r="E185" s="8" t="s">
        <v>686</v>
      </c>
      <c r="F185" s="6" t="s">
        <v>687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688</v>
      </c>
      <c r="B186" s="6" t="s">
        <v>17</v>
      </c>
      <c r="C186" s="6" t="s">
        <v>12</v>
      </c>
      <c r="D186" s="7" t="s">
        <v>689</v>
      </c>
      <c r="E186" s="8" t="s">
        <v>690</v>
      </c>
      <c r="F186" s="6" t="s">
        <v>691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692</v>
      </c>
      <c r="B187" s="6" t="s">
        <v>16</v>
      </c>
      <c r="C187" s="6" t="s">
        <v>12</v>
      </c>
      <c r="D187" s="7" t="s">
        <v>141</v>
      </c>
      <c r="E187" s="8" t="s">
        <v>693</v>
      </c>
      <c r="F187" s="6" t="s">
        <v>694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695</v>
      </c>
      <c r="B188" s="6" t="s">
        <v>10</v>
      </c>
      <c r="C188" s="6" t="s">
        <v>12</v>
      </c>
      <c r="D188" s="7" t="s">
        <v>141</v>
      </c>
      <c r="E188" s="8" t="s">
        <v>696</v>
      </c>
      <c r="F188" s="6" t="s">
        <v>697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698</v>
      </c>
      <c r="B189" s="6" t="s">
        <v>10</v>
      </c>
      <c r="C189" s="6" t="s">
        <v>12</v>
      </c>
      <c r="D189" s="7" t="s">
        <v>141</v>
      </c>
      <c r="E189" s="8" t="s">
        <v>699</v>
      </c>
      <c r="F189" s="6" t="s">
        <v>700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701</v>
      </c>
      <c r="B190" s="6" t="s">
        <v>17</v>
      </c>
      <c r="C190" s="6" t="s">
        <v>12</v>
      </c>
      <c r="D190" s="7" t="s">
        <v>702</v>
      </c>
      <c r="E190" s="8" t="s">
        <v>703</v>
      </c>
      <c r="F190" s="6" t="s">
        <v>704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705</v>
      </c>
      <c r="B191" s="6" t="s">
        <v>10</v>
      </c>
      <c r="C191" s="6" t="s">
        <v>12</v>
      </c>
      <c r="D191" s="7" t="s">
        <v>706</v>
      </c>
      <c r="E191" s="8" t="s">
        <v>707</v>
      </c>
      <c r="F191" s="6" t="s">
        <v>708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709</v>
      </c>
      <c r="B192" s="6" t="s">
        <v>16</v>
      </c>
      <c r="C192" s="6" t="s">
        <v>12</v>
      </c>
      <c r="D192" s="7" t="s">
        <v>710</v>
      </c>
      <c r="E192" s="8" t="s">
        <v>711</v>
      </c>
      <c r="F192" s="6" t="s">
        <v>712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713</v>
      </c>
      <c r="B193" s="6" t="s">
        <v>10</v>
      </c>
      <c r="C193" s="6" t="s">
        <v>12</v>
      </c>
      <c r="D193" s="7" t="s">
        <v>706</v>
      </c>
      <c r="E193" s="8" t="s">
        <v>707</v>
      </c>
      <c r="F193" s="6" t="s">
        <v>714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715</v>
      </c>
      <c r="B194" s="6" t="s">
        <v>10</v>
      </c>
      <c r="C194" s="6" t="s">
        <v>12</v>
      </c>
      <c r="D194" s="7" t="s">
        <v>706</v>
      </c>
      <c r="E194" s="8" t="s">
        <v>707</v>
      </c>
      <c r="F194" s="6" t="s">
        <v>716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717</v>
      </c>
      <c r="B195" s="6" t="s">
        <v>17</v>
      </c>
      <c r="C195" s="6" t="s">
        <v>12</v>
      </c>
      <c r="D195" s="7" t="s">
        <v>107</v>
      </c>
      <c r="E195" s="8" t="s">
        <v>718</v>
      </c>
      <c r="F195" s="6" t="s">
        <v>719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720</v>
      </c>
      <c r="B196" s="6" t="s">
        <v>28</v>
      </c>
      <c r="C196" s="6" t="s">
        <v>12</v>
      </c>
      <c r="D196" s="7" t="s">
        <v>18</v>
      </c>
      <c r="E196" s="8" t="s">
        <v>721</v>
      </c>
      <c r="F196" s="6" t="s">
        <v>722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723</v>
      </c>
      <c r="B197" s="6" t="s">
        <v>10</v>
      </c>
      <c r="C197" s="6" t="s">
        <v>12</v>
      </c>
      <c r="D197" s="7" t="s">
        <v>724</v>
      </c>
      <c r="E197" s="8" t="s">
        <v>725</v>
      </c>
      <c r="F197" s="6" t="s">
        <v>726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727</v>
      </c>
      <c r="B198" s="6" t="s">
        <v>10</v>
      </c>
      <c r="C198" s="6" t="s">
        <v>12</v>
      </c>
      <c r="D198" s="7" t="s">
        <v>651</v>
      </c>
      <c r="E198" s="8" t="s">
        <v>728</v>
      </c>
      <c r="F198" s="6" t="s">
        <v>729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730</v>
      </c>
      <c r="B199" s="6" t="s">
        <v>102</v>
      </c>
      <c r="C199" s="6" t="s">
        <v>12</v>
      </c>
      <c r="D199" s="7" t="s">
        <v>731</v>
      </c>
      <c r="E199" s="8" t="s">
        <v>732</v>
      </c>
      <c r="F199" s="6" t="s">
        <v>733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734</v>
      </c>
      <c r="B200" s="6" t="s">
        <v>17</v>
      </c>
      <c r="C200" s="6" t="s">
        <v>12</v>
      </c>
      <c r="D200" s="7" t="s">
        <v>735</v>
      </c>
      <c r="E200" s="8" t="s">
        <v>736</v>
      </c>
      <c r="F200" s="6" t="s">
        <v>737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738</v>
      </c>
      <c r="B201" s="6" t="s">
        <v>47</v>
      </c>
      <c r="C201" s="6" t="s">
        <v>12</v>
      </c>
      <c r="D201" s="7" t="s">
        <v>739</v>
      </c>
      <c r="E201" s="8" t="s">
        <v>740</v>
      </c>
      <c r="F201" s="6" t="s">
        <v>741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742</v>
      </c>
      <c r="B202" s="6" t="s">
        <v>10</v>
      </c>
      <c r="C202" s="6" t="s">
        <v>743</v>
      </c>
      <c r="D202" s="7" t="s">
        <v>744</v>
      </c>
      <c r="E202" s="8" t="s">
        <v>745</v>
      </c>
      <c r="F202" s="6" t="s">
        <v>746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747</v>
      </c>
      <c r="B203" s="6" t="s">
        <v>10</v>
      </c>
      <c r="C203" s="6" t="s">
        <v>12</v>
      </c>
      <c r="D203" s="7" t="s">
        <v>748</v>
      </c>
      <c r="E203" s="8" t="s">
        <v>749</v>
      </c>
      <c r="F203" s="6" t="s">
        <v>750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751</v>
      </c>
      <c r="B204" s="6" t="s">
        <v>10</v>
      </c>
      <c r="C204" s="6" t="s">
        <v>12</v>
      </c>
      <c r="D204" s="7" t="s">
        <v>752</v>
      </c>
      <c r="E204" s="8" t="s">
        <v>753</v>
      </c>
      <c r="F204" s="6" t="s">
        <v>754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755</v>
      </c>
      <c r="B205" s="6" t="s">
        <v>11</v>
      </c>
      <c r="C205" s="6" t="s">
        <v>392</v>
      </c>
      <c r="D205" s="7" t="s">
        <v>756</v>
      </c>
      <c r="E205" s="8" t="s">
        <v>757</v>
      </c>
      <c r="F205" s="6" t="s">
        <v>758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759</v>
      </c>
      <c r="B206" s="6" t="s">
        <v>11</v>
      </c>
      <c r="C206" s="6" t="s">
        <v>12</v>
      </c>
      <c r="D206" s="7" t="s">
        <v>760</v>
      </c>
      <c r="E206" s="8" t="s">
        <v>761</v>
      </c>
      <c r="F206" s="6" t="s">
        <v>762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763</v>
      </c>
      <c r="B207" s="6" t="s">
        <v>47</v>
      </c>
      <c r="C207" s="6" t="s">
        <v>12</v>
      </c>
      <c r="D207" s="7" t="s">
        <v>197</v>
      </c>
      <c r="E207" s="8" t="s">
        <v>764</v>
      </c>
      <c r="F207" s="6" t="s">
        <v>765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766</v>
      </c>
      <c r="B208" s="6" t="s">
        <v>10</v>
      </c>
      <c r="C208" s="6" t="s">
        <v>12</v>
      </c>
      <c r="D208" s="7" t="s">
        <v>744</v>
      </c>
      <c r="E208" s="8" t="s">
        <v>767</v>
      </c>
      <c r="F208" s="6" t="s">
        <v>768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769</v>
      </c>
      <c r="B209" s="6" t="s">
        <v>10</v>
      </c>
      <c r="C209" s="6" t="s">
        <v>12</v>
      </c>
      <c r="D209" s="7" t="s">
        <v>752</v>
      </c>
      <c r="E209" s="8" t="s">
        <v>770</v>
      </c>
      <c r="F209" s="6" t="s">
        <v>771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772</v>
      </c>
      <c r="B210" s="6" t="s">
        <v>16</v>
      </c>
      <c r="C210" s="6" t="s">
        <v>12</v>
      </c>
      <c r="D210" s="7" t="s">
        <v>773</v>
      </c>
      <c r="E210" s="8" t="s">
        <v>774</v>
      </c>
      <c r="F210" s="6" t="s">
        <v>775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776</v>
      </c>
      <c r="B211" s="6" t="s">
        <v>16</v>
      </c>
      <c r="C211" s="6" t="s">
        <v>12</v>
      </c>
      <c r="D211" s="7" t="s">
        <v>197</v>
      </c>
      <c r="E211" s="8" t="s">
        <v>777</v>
      </c>
      <c r="F211" s="6" t="s">
        <v>778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779</v>
      </c>
      <c r="B212" s="6" t="s">
        <v>17</v>
      </c>
      <c r="C212" s="6" t="s">
        <v>12</v>
      </c>
      <c r="D212" s="7" t="s">
        <v>780</v>
      </c>
      <c r="E212" s="8" t="s">
        <v>781</v>
      </c>
      <c r="F212" s="6" t="s">
        <v>782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783</v>
      </c>
      <c r="B213" s="6" t="s">
        <v>29</v>
      </c>
      <c r="C213" s="6" t="s">
        <v>12</v>
      </c>
      <c r="D213" s="7" t="s">
        <v>780</v>
      </c>
      <c r="E213" s="8" t="s">
        <v>784</v>
      </c>
      <c r="F213" s="6" t="s">
        <v>785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786</v>
      </c>
      <c r="B214" s="6" t="s">
        <v>63</v>
      </c>
      <c r="C214" s="6" t="s">
        <v>12</v>
      </c>
      <c r="D214" s="7" t="s">
        <v>787</v>
      </c>
      <c r="E214" s="8" t="s">
        <v>788</v>
      </c>
      <c r="F214" s="6" t="s">
        <v>789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790</v>
      </c>
      <c r="B215" s="6" t="s">
        <v>10</v>
      </c>
      <c r="C215" s="6" t="s">
        <v>12</v>
      </c>
      <c r="D215" s="7" t="s">
        <v>744</v>
      </c>
      <c r="E215" s="8" t="s">
        <v>791</v>
      </c>
      <c r="F215" s="6" t="s">
        <v>792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793</v>
      </c>
      <c r="B216" s="6" t="s">
        <v>10</v>
      </c>
      <c r="C216" s="6" t="s">
        <v>12</v>
      </c>
      <c r="D216" s="7" t="s">
        <v>752</v>
      </c>
      <c r="E216" s="8" t="s">
        <v>794</v>
      </c>
      <c r="F216" s="6" t="s">
        <v>795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796</v>
      </c>
      <c r="B217" s="6" t="s">
        <v>11</v>
      </c>
      <c r="C217" s="6" t="s">
        <v>12</v>
      </c>
      <c r="D217" s="7" t="s">
        <v>368</v>
      </c>
      <c r="E217" s="8" t="s">
        <v>797</v>
      </c>
      <c r="F217" s="6" t="s">
        <v>798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799</v>
      </c>
      <c r="B218" s="6" t="s">
        <v>17</v>
      </c>
      <c r="C218" s="6" t="s">
        <v>12</v>
      </c>
      <c r="D218" s="7" t="s">
        <v>384</v>
      </c>
      <c r="E218" s="8" t="s">
        <v>800</v>
      </c>
      <c r="F218" s="6" t="s">
        <v>801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802</v>
      </c>
      <c r="B219" s="6" t="s">
        <v>17</v>
      </c>
      <c r="C219" s="6" t="s">
        <v>12</v>
      </c>
      <c r="D219" s="7" t="s">
        <v>803</v>
      </c>
      <c r="E219" s="8" t="s">
        <v>804</v>
      </c>
      <c r="F219" s="6" t="s">
        <v>805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  <row r="220" spans="1:10" ht="60" customHeight="1">
      <c r="A220" s="6" t="s">
        <v>806</v>
      </c>
      <c r="B220" s="6" t="s">
        <v>11</v>
      </c>
      <c r="C220" s="6" t="s">
        <v>12</v>
      </c>
      <c r="D220" s="7" t="s">
        <v>807</v>
      </c>
      <c r="E220" s="8" t="s">
        <v>808</v>
      </c>
      <c r="F220" s="6" t="s">
        <v>809</v>
      </c>
      <c r="G220" s="9">
        <f>IF(A220=1,"_",IF(C220="_","???",C220))</f>
        <v/>
      </c>
      <c r="H220" s="10" t="s">
        <v>12</v>
      </c>
      <c r="I220" s="11" t="s">
        <v>12</v>
      </c>
      <c r="J220" s="12"/>
    </row>
    <row r="221" spans="1:10" ht="60" customHeight="1">
      <c r="A221" s="6" t="s">
        <v>810</v>
      </c>
      <c r="B221" s="6" t="s">
        <v>17</v>
      </c>
      <c r="C221" s="6" t="s">
        <v>12</v>
      </c>
      <c r="D221" s="7" t="s">
        <v>811</v>
      </c>
      <c r="E221" s="8" t="s">
        <v>812</v>
      </c>
      <c r="F221" s="6" t="s">
        <v>813</v>
      </c>
      <c r="G221" s="9">
        <f>IF(A221=1,"_",IF(C221="_","???",C221))</f>
        <v/>
      </c>
      <c r="H221" s="10" t="s">
        <v>12</v>
      </c>
      <c r="I221" s="11" t="s">
        <v>12</v>
      </c>
      <c r="J221" s="12"/>
    </row>
    <row r="222" spans="1:10" ht="60" customHeight="1">
      <c r="A222" s="6" t="s">
        <v>814</v>
      </c>
      <c r="B222" s="6" t="s">
        <v>10</v>
      </c>
      <c r="C222" s="6" t="s">
        <v>12</v>
      </c>
      <c r="D222" s="7" t="s">
        <v>305</v>
      </c>
      <c r="E222" s="8" t="s">
        <v>815</v>
      </c>
      <c r="F222" s="6" t="s">
        <v>816</v>
      </c>
      <c r="G222" s="9">
        <f>IF(A222=1,"_",IF(C222="_","???",C222))</f>
        <v/>
      </c>
      <c r="H222" s="10" t="s">
        <v>12</v>
      </c>
      <c r="I222" s="11" t="s">
        <v>12</v>
      </c>
      <c r="J222" s="12"/>
    </row>
    <row r="223" spans="1:10" ht="60" customHeight="1">
      <c r="A223" s="6" t="s">
        <v>817</v>
      </c>
      <c r="B223" s="6" t="s">
        <v>63</v>
      </c>
      <c r="C223" s="6" t="s">
        <v>12</v>
      </c>
      <c r="D223" s="7" t="s">
        <v>818</v>
      </c>
      <c r="E223" s="8" t="s">
        <v>819</v>
      </c>
      <c r="F223" s="6" t="s">
        <v>820</v>
      </c>
      <c r="G223" s="9">
        <f>IF(A223=1,"_",IF(C223="_","???",C223))</f>
        <v/>
      </c>
      <c r="H223" s="10" t="s">
        <v>12</v>
      </c>
      <c r="I223" s="11" t="s">
        <v>12</v>
      </c>
      <c r="J223" s="12"/>
    </row>
    <row r="224" spans="1:10" ht="60" customHeight="1">
      <c r="A224" s="6" t="s">
        <v>821</v>
      </c>
      <c r="B224" s="6" t="s">
        <v>28</v>
      </c>
      <c r="C224" s="6" t="s">
        <v>12</v>
      </c>
      <c r="D224" s="7" t="s">
        <v>822</v>
      </c>
      <c r="E224" s="8" t="s">
        <v>823</v>
      </c>
      <c r="F224" s="6" t="s">
        <v>824</v>
      </c>
      <c r="G224" s="9">
        <f>IF(A224=1,"_",IF(C224="_","???",C224))</f>
        <v/>
      </c>
      <c r="H224" s="10" t="s">
        <v>12</v>
      </c>
      <c r="I224" s="11" t="s">
        <v>12</v>
      </c>
      <c r="J224" s="12"/>
    </row>
    <row r="225" spans="1:10" ht="60" customHeight="1">
      <c r="A225" s="6" t="s">
        <v>825</v>
      </c>
      <c r="B225" s="6" t="s">
        <v>10</v>
      </c>
      <c r="C225" s="6" t="s">
        <v>12</v>
      </c>
      <c r="D225" s="7" t="s">
        <v>744</v>
      </c>
      <c r="E225" s="8" t="s">
        <v>826</v>
      </c>
      <c r="F225" s="6" t="s">
        <v>827</v>
      </c>
      <c r="G225" s="9">
        <f>IF(A225=1,"_",IF(C225="_","???",C225))</f>
        <v/>
      </c>
      <c r="H225" s="10" t="s">
        <v>12</v>
      </c>
      <c r="I225" s="11" t="s">
        <v>12</v>
      </c>
      <c r="J225" s="12"/>
    </row>
    <row r="226" spans="1:10" ht="60" customHeight="1">
      <c r="A226" s="6" t="s">
        <v>828</v>
      </c>
      <c r="B226" s="6" t="s">
        <v>10</v>
      </c>
      <c r="C226" s="6" t="s">
        <v>12</v>
      </c>
      <c r="D226" s="7" t="s">
        <v>752</v>
      </c>
      <c r="E226" s="8" t="s">
        <v>829</v>
      </c>
      <c r="F226" s="6" t="s">
        <v>830</v>
      </c>
      <c r="G226" s="9">
        <f>IF(A226=1,"_",IF(C226="_","???",C226))</f>
        <v/>
      </c>
      <c r="H226" s="10" t="s">
        <v>12</v>
      </c>
      <c r="I226" s="11" t="s">
        <v>12</v>
      </c>
      <c r="J226" s="12"/>
    </row>
    <row r="227" spans="1:10" ht="60" customHeight="1">
      <c r="A227" s="6" t="s">
        <v>831</v>
      </c>
      <c r="B227" s="6" t="s">
        <v>11</v>
      </c>
      <c r="C227" s="6" t="s">
        <v>12</v>
      </c>
      <c r="D227" s="7" t="s">
        <v>832</v>
      </c>
      <c r="E227" s="8" t="s">
        <v>833</v>
      </c>
      <c r="F227" s="6" t="s">
        <v>834</v>
      </c>
      <c r="G227" s="9">
        <f>IF(A227=1,"_",IF(C227="_","???",C227))</f>
        <v/>
      </c>
      <c r="H227" s="10" t="s">
        <v>12</v>
      </c>
      <c r="I227" s="11" t="s">
        <v>12</v>
      </c>
      <c r="J227" s="12"/>
    </row>
    <row r="228" spans="1:10" ht="60" customHeight="1">
      <c r="A228" s="6" t="s">
        <v>835</v>
      </c>
      <c r="B228" s="6" t="s">
        <v>28</v>
      </c>
      <c r="C228" s="6" t="s">
        <v>12</v>
      </c>
      <c r="D228" s="7" t="s">
        <v>88</v>
      </c>
      <c r="E228" s="8" t="s">
        <v>836</v>
      </c>
      <c r="F228" s="6" t="s">
        <v>837</v>
      </c>
      <c r="G228" s="9">
        <f>IF(A228=1,"_",IF(C228="_","???",C228))</f>
        <v/>
      </c>
      <c r="H228" s="10" t="s">
        <v>12</v>
      </c>
      <c r="I228" s="11" t="s">
        <v>12</v>
      </c>
      <c r="J228" s="12"/>
    </row>
    <row r="229" spans="1:10" ht="60" customHeight="1">
      <c r="A229" s="6" t="s">
        <v>838</v>
      </c>
      <c r="B229" s="6" t="s">
        <v>10</v>
      </c>
      <c r="C229" s="6" t="s">
        <v>12</v>
      </c>
      <c r="D229" s="7" t="s">
        <v>487</v>
      </c>
      <c r="E229" s="8" t="s">
        <v>839</v>
      </c>
      <c r="F229" s="6" t="s">
        <v>840</v>
      </c>
      <c r="G229" s="9">
        <f>IF(A229=1,"_",IF(C229="_","???",C229))</f>
        <v/>
      </c>
      <c r="H229" s="10" t="s">
        <v>12</v>
      </c>
      <c r="I229" s="11" t="s">
        <v>12</v>
      </c>
      <c r="J229" s="12"/>
    </row>
    <row r="230" spans="1:10" ht="60" customHeight="1">
      <c r="A230" s="6" t="s">
        <v>841</v>
      </c>
      <c r="B230" s="6" t="s">
        <v>24</v>
      </c>
      <c r="C230" s="6" t="s">
        <v>12</v>
      </c>
      <c r="D230" s="7" t="s">
        <v>130</v>
      </c>
      <c r="E230" s="8" t="s">
        <v>842</v>
      </c>
      <c r="F230" s="6" t="s">
        <v>843</v>
      </c>
      <c r="G230" s="9">
        <f>IF(A230=1,"_",IF(C230="_","???",C230))</f>
        <v/>
      </c>
      <c r="H230" s="10" t="s">
        <v>12</v>
      </c>
      <c r="I230" s="11" t="s">
        <v>12</v>
      </c>
      <c r="J230" s="12"/>
    </row>
    <row r="231" spans="1:10" ht="60" customHeight="1">
      <c r="A231" s="6" t="s">
        <v>844</v>
      </c>
      <c r="B231" s="6" t="s">
        <v>10</v>
      </c>
      <c r="C231" s="6" t="s">
        <v>12</v>
      </c>
      <c r="D231" s="7" t="s">
        <v>744</v>
      </c>
      <c r="E231" s="8" t="s">
        <v>845</v>
      </c>
      <c r="F231" s="6" t="s">
        <v>846</v>
      </c>
      <c r="G231" s="9">
        <f>IF(A231=1,"_",IF(C231="_","???",C231))</f>
        <v/>
      </c>
      <c r="H231" s="10" t="s">
        <v>12</v>
      </c>
      <c r="I231" s="11" t="s">
        <v>12</v>
      </c>
      <c r="J231" s="12"/>
    </row>
    <row r="232" spans="1:10" ht="60" customHeight="1">
      <c r="A232" s="6" t="s">
        <v>847</v>
      </c>
      <c r="B232" s="6" t="s">
        <v>10</v>
      </c>
      <c r="C232" s="6" t="s">
        <v>12</v>
      </c>
      <c r="D232" s="7" t="s">
        <v>752</v>
      </c>
      <c r="E232" s="8" t="s">
        <v>848</v>
      </c>
      <c r="F232" s="6" t="s">
        <v>849</v>
      </c>
      <c r="G232" s="9">
        <f>IF(A232=1,"_",IF(C232="_","???",C232))</f>
        <v/>
      </c>
      <c r="H232" s="10" t="s">
        <v>12</v>
      </c>
      <c r="I232" s="11" t="s">
        <v>12</v>
      </c>
      <c r="J232" s="12"/>
    </row>
    <row r="233" spans="1:10" ht="60" customHeight="1">
      <c r="A233" s="6" t="s">
        <v>850</v>
      </c>
      <c r="B233" s="6" t="s">
        <v>67</v>
      </c>
      <c r="C233" s="6" t="s">
        <v>12</v>
      </c>
      <c r="D233" s="7" t="s">
        <v>787</v>
      </c>
      <c r="E233" s="8" t="s">
        <v>851</v>
      </c>
      <c r="F233" s="6" t="s">
        <v>852</v>
      </c>
      <c r="G233" s="9">
        <f>IF(A233=1,"_",IF(C233="_","???",C233))</f>
        <v/>
      </c>
      <c r="H233" s="10" t="s">
        <v>12</v>
      </c>
      <c r="I233" s="11" t="s">
        <v>12</v>
      </c>
      <c r="J233" s="12"/>
    </row>
    <row r="234" spans="1:10" ht="60" customHeight="1">
      <c r="A234" s="6" t="s">
        <v>853</v>
      </c>
      <c r="B234" s="6" t="s">
        <v>11</v>
      </c>
      <c r="C234" s="6" t="s">
        <v>12</v>
      </c>
      <c r="D234" s="7" t="s">
        <v>88</v>
      </c>
      <c r="E234" s="8" t="s">
        <v>854</v>
      </c>
      <c r="F234" s="6" t="s">
        <v>855</v>
      </c>
      <c r="G234" s="9">
        <f>IF(A234=1,"_",IF(C234="_","???",C234))</f>
        <v/>
      </c>
      <c r="H234" s="10" t="s">
        <v>12</v>
      </c>
      <c r="I234" s="11" t="s">
        <v>12</v>
      </c>
      <c r="J234" s="12"/>
    </row>
    <row r="235" spans="1:10" ht="60" customHeight="1">
      <c r="A235" s="6" t="s">
        <v>856</v>
      </c>
      <c r="B235" s="6" t="s">
        <v>17</v>
      </c>
      <c r="C235" s="6" t="s">
        <v>12</v>
      </c>
      <c r="D235" s="7" t="s">
        <v>857</v>
      </c>
      <c r="E235" s="8" t="s">
        <v>858</v>
      </c>
      <c r="F235" s="6" t="s">
        <v>859</v>
      </c>
      <c r="G235" s="9">
        <f>IF(A235=1,"_",IF(C235="_","???",C235))</f>
        <v/>
      </c>
      <c r="H235" s="10" t="s">
        <v>12</v>
      </c>
      <c r="I235" s="11" t="s">
        <v>12</v>
      </c>
      <c r="J235" s="12"/>
    </row>
    <row r="236" spans="1:10" ht="60" customHeight="1">
      <c r="A236" s="6" t="s">
        <v>860</v>
      </c>
      <c r="B236" s="6" t="s">
        <v>10</v>
      </c>
      <c r="C236" s="6" t="s">
        <v>12</v>
      </c>
      <c r="D236" s="7" t="s">
        <v>88</v>
      </c>
      <c r="E236" s="8" t="s">
        <v>861</v>
      </c>
      <c r="F236" s="6" t="s">
        <v>862</v>
      </c>
      <c r="G236" s="9">
        <f>IF(A236=1,"_",IF(C236="_","???",C236))</f>
        <v/>
      </c>
      <c r="H236" s="10" t="s">
        <v>12</v>
      </c>
      <c r="I236" s="11" t="s">
        <v>12</v>
      </c>
      <c r="J236" s="12"/>
    </row>
    <row r="237" spans="1:10" ht="60" customHeight="1">
      <c r="A237" s="6" t="s">
        <v>863</v>
      </c>
      <c r="B237" s="6" t="s">
        <v>11</v>
      </c>
      <c r="C237" s="6" t="s">
        <v>12</v>
      </c>
      <c r="D237" s="7" t="s">
        <v>88</v>
      </c>
      <c r="E237" s="8" t="s">
        <v>864</v>
      </c>
      <c r="F237" s="6" t="s">
        <v>865</v>
      </c>
      <c r="G237" s="9">
        <f>IF(A237=1,"_",IF(C237="_","???",C237))</f>
        <v/>
      </c>
      <c r="H237" s="10" t="s">
        <v>12</v>
      </c>
      <c r="I237" s="11" t="s">
        <v>12</v>
      </c>
      <c r="J237" s="12"/>
    </row>
    <row r="238" spans="1:10" ht="60" customHeight="1">
      <c r="A238" s="6" t="s">
        <v>866</v>
      </c>
      <c r="B238" s="6" t="s">
        <v>67</v>
      </c>
      <c r="C238" s="6" t="s">
        <v>392</v>
      </c>
      <c r="D238" s="7" t="s">
        <v>867</v>
      </c>
      <c r="E238" s="8" t="s">
        <v>868</v>
      </c>
      <c r="F238" s="6" t="s">
        <v>869</v>
      </c>
      <c r="G238" s="9">
        <f>IF(A238=1,"_",IF(C238="_","???",C238))</f>
        <v/>
      </c>
      <c r="H238" s="10" t="s">
        <v>12</v>
      </c>
      <c r="I238" s="11" t="s">
        <v>12</v>
      </c>
      <c r="J238" s="12"/>
    </row>
    <row r="239" spans="1:10" ht="60" customHeight="1">
      <c r="A239" s="6" t="s">
        <v>870</v>
      </c>
      <c r="B239" s="6" t="s">
        <v>10</v>
      </c>
      <c r="C239" s="6" t="s">
        <v>12</v>
      </c>
      <c r="D239" s="7" t="s">
        <v>744</v>
      </c>
      <c r="E239" s="8" t="s">
        <v>871</v>
      </c>
      <c r="F239" s="6" t="s">
        <v>872</v>
      </c>
      <c r="G239" s="9">
        <f>IF(A239=1,"_",IF(C239="_","???",C239))</f>
        <v/>
      </c>
      <c r="H239" s="10" t="s">
        <v>12</v>
      </c>
      <c r="I239" s="11" t="s">
        <v>12</v>
      </c>
      <c r="J239" s="12"/>
    </row>
    <row r="240" spans="1:10" ht="60" customHeight="1">
      <c r="A240" s="6" t="s">
        <v>873</v>
      </c>
      <c r="B240" s="6" t="s">
        <v>16</v>
      </c>
      <c r="C240" s="6" t="s">
        <v>12</v>
      </c>
      <c r="D240" s="7" t="s">
        <v>874</v>
      </c>
      <c r="E240" s="8" t="s">
        <v>875</v>
      </c>
      <c r="F240" s="6" t="s">
        <v>876</v>
      </c>
      <c r="G240" s="9">
        <f>IF(A240=1,"_",IF(C240="_","???",C240))</f>
        <v/>
      </c>
      <c r="H240" s="10" t="s">
        <v>12</v>
      </c>
      <c r="I240" s="11" t="s">
        <v>12</v>
      </c>
      <c r="J240" s="12"/>
    </row>
    <row r="241" spans="1:10" ht="60" customHeight="1">
      <c r="A241" s="6" t="s">
        <v>877</v>
      </c>
      <c r="B241" s="6" t="s">
        <v>10</v>
      </c>
      <c r="C241" s="6" t="s">
        <v>12</v>
      </c>
      <c r="D241" s="7" t="s">
        <v>752</v>
      </c>
      <c r="E241" s="8" t="s">
        <v>878</v>
      </c>
      <c r="F241" s="6" t="s">
        <v>879</v>
      </c>
      <c r="G241" s="9">
        <f>IF(A241=1,"_",IF(C241="_","???",C241))</f>
        <v/>
      </c>
      <c r="H241" s="10" t="s">
        <v>12</v>
      </c>
      <c r="I241" s="11" t="s">
        <v>12</v>
      </c>
      <c r="J241" s="12"/>
    </row>
    <row r="242" spans="1:10" ht="60" customHeight="1">
      <c r="A242" s="6" t="s">
        <v>880</v>
      </c>
      <c r="B242" s="6" t="s">
        <v>16</v>
      </c>
      <c r="C242" s="6" t="s">
        <v>12</v>
      </c>
      <c r="D242" s="7" t="s">
        <v>881</v>
      </c>
      <c r="E242" s="8" t="s">
        <v>882</v>
      </c>
      <c r="F242" s="6" t="s">
        <v>883</v>
      </c>
      <c r="G242" s="9">
        <f>IF(A242=1,"_",IF(C242="_","???",C242))</f>
        <v/>
      </c>
      <c r="H242" s="10" t="s">
        <v>12</v>
      </c>
      <c r="I242" s="11" t="s">
        <v>12</v>
      </c>
      <c r="J242" s="12"/>
    </row>
    <row r="243" spans="1:10" ht="60" customHeight="1">
      <c r="A243" s="6" t="s">
        <v>884</v>
      </c>
      <c r="B243" s="6" t="s">
        <v>10</v>
      </c>
      <c r="C243" s="6" t="s">
        <v>12</v>
      </c>
      <c r="D243" s="7" t="s">
        <v>130</v>
      </c>
      <c r="E243" s="8" t="s">
        <v>885</v>
      </c>
      <c r="F243" s="6" t="s">
        <v>886</v>
      </c>
      <c r="G243" s="9">
        <f>IF(A243=1,"_",IF(C243="_","???",C243))</f>
        <v/>
      </c>
      <c r="H243" s="10" t="s">
        <v>12</v>
      </c>
      <c r="I243" s="11" t="s">
        <v>12</v>
      </c>
      <c r="J243" s="12"/>
    </row>
    <row r="244" spans="1:10" ht="60" customHeight="1">
      <c r="A244" s="6" t="s">
        <v>887</v>
      </c>
      <c r="B244" s="6" t="s">
        <v>11</v>
      </c>
      <c r="C244" s="6" t="s">
        <v>12</v>
      </c>
      <c r="D244" s="7" t="s">
        <v>498</v>
      </c>
      <c r="E244" s="8" t="s">
        <v>888</v>
      </c>
      <c r="F244" s="6" t="s">
        <v>889</v>
      </c>
      <c r="G244" s="9">
        <f>IF(A244=1,"_",IF(C244="_","???",C244))</f>
        <v/>
      </c>
      <c r="H244" s="10" t="s">
        <v>12</v>
      </c>
      <c r="I244" s="11" t="s">
        <v>12</v>
      </c>
      <c r="J244" s="12"/>
    </row>
    <row r="245" spans="1:10" ht="60" customHeight="1">
      <c r="A245" s="6" t="s">
        <v>890</v>
      </c>
      <c r="B245" s="6" t="s">
        <v>24</v>
      </c>
      <c r="C245" s="6" t="s">
        <v>12</v>
      </c>
      <c r="D245" s="7" t="s">
        <v>891</v>
      </c>
      <c r="E245" s="8" t="s">
        <v>892</v>
      </c>
      <c r="F245" s="6" t="s">
        <v>893</v>
      </c>
      <c r="G245" s="9">
        <f>IF(A245=1,"_",IF(C245="_","???",C245))</f>
        <v/>
      </c>
      <c r="H245" s="10" t="s">
        <v>12</v>
      </c>
      <c r="I245" s="11" t="s">
        <v>12</v>
      </c>
      <c r="J245" s="12"/>
    </row>
    <row r="246" spans="1:10" ht="60" customHeight="1">
      <c r="A246" s="6" t="s">
        <v>894</v>
      </c>
      <c r="B246" s="6" t="s">
        <v>10</v>
      </c>
      <c r="C246" s="6" t="s">
        <v>12</v>
      </c>
      <c r="D246" s="7" t="s">
        <v>284</v>
      </c>
      <c r="E246" s="8" t="s">
        <v>895</v>
      </c>
      <c r="F246" s="6" t="s">
        <v>896</v>
      </c>
      <c r="G246" s="9">
        <f>IF(A246=1,"_",IF(C246="_","???",C246))</f>
        <v/>
      </c>
      <c r="H246" s="10" t="s">
        <v>12</v>
      </c>
      <c r="I246" s="11" t="s">
        <v>12</v>
      </c>
      <c r="J246" s="12"/>
    </row>
    <row r="247" spans="1:10" ht="60" customHeight="1">
      <c r="A247" s="6" t="s">
        <v>897</v>
      </c>
      <c r="B247" s="6" t="s">
        <v>16</v>
      </c>
      <c r="C247" s="6" t="s">
        <v>12</v>
      </c>
      <c r="D247" s="7" t="s">
        <v>439</v>
      </c>
      <c r="E247" s="8" t="s">
        <v>898</v>
      </c>
      <c r="F247" s="6" t="s">
        <v>899</v>
      </c>
      <c r="G247" s="9">
        <f>IF(A247=1,"_",IF(C247="_","???",C247))</f>
        <v/>
      </c>
      <c r="H247" s="10" t="s">
        <v>12</v>
      </c>
      <c r="I247" s="11" t="s">
        <v>12</v>
      </c>
      <c r="J247" s="12"/>
    </row>
    <row r="248" spans="1:10" ht="60" customHeight="1">
      <c r="A248" s="6" t="s">
        <v>900</v>
      </c>
      <c r="B248" s="6" t="s">
        <v>17</v>
      </c>
      <c r="C248" s="6" t="s">
        <v>12</v>
      </c>
      <c r="D248" s="7" t="s">
        <v>901</v>
      </c>
      <c r="E248" s="8" t="s">
        <v>902</v>
      </c>
      <c r="F248" s="6" t="s">
        <v>903</v>
      </c>
      <c r="G248" s="9">
        <f>IF(A248=1,"_",IF(C248="_","???",C248))</f>
        <v/>
      </c>
      <c r="H248" s="10" t="s">
        <v>12</v>
      </c>
      <c r="I248" s="11" t="s">
        <v>12</v>
      </c>
      <c r="J248" s="12"/>
    </row>
    <row r="249" spans="1:10" ht="60" customHeight="1">
      <c r="A249" s="6" t="s">
        <v>904</v>
      </c>
      <c r="B249" s="6" t="s">
        <v>16</v>
      </c>
      <c r="C249" s="6" t="s">
        <v>12</v>
      </c>
      <c r="D249" s="7" t="s">
        <v>905</v>
      </c>
      <c r="E249" s="8" t="s">
        <v>906</v>
      </c>
      <c r="F249" s="6" t="s">
        <v>907</v>
      </c>
      <c r="G249" s="9">
        <f>IF(A249=1,"_",IF(C249="_","???",C249))</f>
        <v/>
      </c>
      <c r="H249" s="10" t="s">
        <v>12</v>
      </c>
      <c r="I249" s="11" t="s">
        <v>12</v>
      </c>
      <c r="J249" s="12"/>
    </row>
    <row r="250" spans="1:10" ht="60" customHeight="1">
      <c r="A250" s="6" t="s">
        <v>908</v>
      </c>
      <c r="B250" s="6" t="s">
        <v>11</v>
      </c>
      <c r="C250" s="6" t="s">
        <v>12</v>
      </c>
      <c r="D250" s="7" t="s">
        <v>909</v>
      </c>
      <c r="E250" s="8" t="s">
        <v>910</v>
      </c>
      <c r="F250" s="6" t="s">
        <v>911</v>
      </c>
      <c r="G250" s="9">
        <f>IF(A250=1,"_",IF(C250="_","???",C250))</f>
        <v/>
      </c>
      <c r="H250" s="10" t="s">
        <v>12</v>
      </c>
      <c r="I250" s="11" t="s">
        <v>12</v>
      </c>
      <c r="J250" s="12"/>
    </row>
    <row r="251" spans="1:10" ht="60" customHeight="1">
      <c r="A251" s="6" t="s">
        <v>912</v>
      </c>
      <c r="B251" s="6" t="s">
        <v>10</v>
      </c>
      <c r="C251" s="6" t="s">
        <v>12</v>
      </c>
      <c r="D251" s="7" t="s">
        <v>744</v>
      </c>
      <c r="E251" s="8" t="s">
        <v>913</v>
      </c>
      <c r="F251" s="6" t="s">
        <v>914</v>
      </c>
      <c r="G251" s="9">
        <f>IF(A251=1,"_",IF(C251="_","???",C251))</f>
        <v/>
      </c>
      <c r="H251" s="10" t="s">
        <v>12</v>
      </c>
      <c r="I251" s="11" t="s">
        <v>12</v>
      </c>
      <c r="J251" s="12"/>
    </row>
    <row r="252" spans="1:10" ht="60" customHeight="1">
      <c r="A252" s="6" t="s">
        <v>915</v>
      </c>
      <c r="B252" s="6" t="s">
        <v>10</v>
      </c>
      <c r="C252" s="6" t="s">
        <v>12</v>
      </c>
      <c r="D252" s="7" t="s">
        <v>18</v>
      </c>
      <c r="E252" s="8" t="s">
        <v>916</v>
      </c>
      <c r="F252" s="6" t="s">
        <v>917</v>
      </c>
      <c r="G252" s="9">
        <f>IF(A252=1,"_",IF(C252="_","???",C252))</f>
        <v/>
      </c>
      <c r="H252" s="10" t="s">
        <v>12</v>
      </c>
      <c r="I252" s="11" t="s">
        <v>12</v>
      </c>
      <c r="J252" s="12"/>
    </row>
    <row r="253" spans="1:10" ht="60" customHeight="1">
      <c r="A253" s="6" t="s">
        <v>918</v>
      </c>
      <c r="B253" s="6" t="s">
        <v>10</v>
      </c>
      <c r="C253" s="6" t="s">
        <v>12</v>
      </c>
      <c r="D253" s="7" t="s">
        <v>752</v>
      </c>
      <c r="E253" s="8" t="s">
        <v>919</v>
      </c>
      <c r="F253" s="6" t="s">
        <v>920</v>
      </c>
      <c r="G253" s="9">
        <f>IF(A253=1,"_",IF(C253="_","???",C253))</f>
        <v/>
      </c>
      <c r="H253" s="10" t="s">
        <v>12</v>
      </c>
      <c r="I253" s="11" t="s">
        <v>12</v>
      </c>
      <c r="J253" s="12"/>
    </row>
    <row r="254" spans="1:10" ht="60" customHeight="1">
      <c r="A254" s="6" t="s">
        <v>921</v>
      </c>
      <c r="B254" s="6" t="s">
        <v>17</v>
      </c>
      <c r="C254" s="6" t="s">
        <v>352</v>
      </c>
      <c r="D254" s="7" t="s">
        <v>922</v>
      </c>
      <c r="E254" s="8" t="s">
        <v>923</v>
      </c>
      <c r="F254" s="6" t="s">
        <v>924</v>
      </c>
      <c r="G254" s="9">
        <f>IF(A254=1,"_",IF(C254="_","???",C254))</f>
        <v/>
      </c>
      <c r="H254" s="10" t="s">
        <v>12</v>
      </c>
      <c r="I254" s="11" t="s">
        <v>12</v>
      </c>
      <c r="J254" s="12"/>
    </row>
    <row r="255" spans="1:10" ht="60" customHeight="1">
      <c r="A255" s="6" t="s">
        <v>925</v>
      </c>
      <c r="B255" s="6" t="s">
        <v>10</v>
      </c>
      <c r="C255" s="6" t="s">
        <v>12</v>
      </c>
      <c r="D255" s="7" t="s">
        <v>926</v>
      </c>
      <c r="E255" s="8" t="s">
        <v>927</v>
      </c>
      <c r="F255" s="6" t="s">
        <v>928</v>
      </c>
      <c r="G255" s="9">
        <f>IF(A255=1,"_",IF(C255="_","???",C255))</f>
        <v/>
      </c>
      <c r="H255" s="10" t="s">
        <v>12</v>
      </c>
      <c r="I255" s="11" t="s">
        <v>12</v>
      </c>
      <c r="J255" s="12"/>
    </row>
    <row r="256" spans="1:10" ht="60" customHeight="1">
      <c r="A256" s="6" t="s">
        <v>929</v>
      </c>
      <c r="B256" s="6" t="s">
        <v>59</v>
      </c>
      <c r="C256" s="6" t="s">
        <v>12</v>
      </c>
      <c r="D256" s="7" t="s">
        <v>930</v>
      </c>
      <c r="E256" s="8" t="s">
        <v>931</v>
      </c>
      <c r="F256" s="6" t="s">
        <v>932</v>
      </c>
      <c r="G256" s="9">
        <f>IF(A256=1,"_",IF(C256="_","???",C256))</f>
        <v/>
      </c>
      <c r="H256" s="10" t="s">
        <v>12</v>
      </c>
      <c r="I256" s="11" t="s">
        <v>12</v>
      </c>
      <c r="J256" s="12"/>
    </row>
    <row r="257" spans="1:10" ht="60" customHeight="1">
      <c r="A257" s="6" t="s">
        <v>933</v>
      </c>
      <c r="B257" s="6" t="s">
        <v>17</v>
      </c>
      <c r="C257" s="6" t="s">
        <v>12</v>
      </c>
      <c r="D257" s="7" t="s">
        <v>934</v>
      </c>
      <c r="E257" s="8" t="s">
        <v>935</v>
      </c>
      <c r="F257" s="6" t="s">
        <v>936</v>
      </c>
      <c r="G257" s="9">
        <f>IF(A257=1,"_",IF(C257="_","???",C257))</f>
        <v/>
      </c>
      <c r="H257" s="10" t="s">
        <v>12</v>
      </c>
      <c r="I257" s="11" t="s">
        <v>12</v>
      </c>
      <c r="J257" s="12"/>
    </row>
    <row r="258" spans="1:10" ht="60" customHeight="1">
      <c r="A258" s="6" t="s">
        <v>937</v>
      </c>
      <c r="B258" s="6" t="s">
        <v>29</v>
      </c>
      <c r="C258" s="6" t="s">
        <v>12</v>
      </c>
      <c r="D258" s="7" t="s">
        <v>284</v>
      </c>
      <c r="E258" s="8" t="s">
        <v>938</v>
      </c>
      <c r="F258" s="6" t="s">
        <v>939</v>
      </c>
      <c r="G258" s="9">
        <f>IF(A258=1,"_",IF(C258="_","???",C258))</f>
        <v/>
      </c>
      <c r="H258" s="10" t="s">
        <v>12</v>
      </c>
      <c r="I258" s="11" t="s">
        <v>12</v>
      </c>
      <c r="J258" s="12"/>
    </row>
    <row r="259" spans="1:10" ht="60" customHeight="1">
      <c r="A259" s="6" t="s">
        <v>940</v>
      </c>
      <c r="B259" s="6" t="s">
        <v>51</v>
      </c>
      <c r="C259" s="6" t="s">
        <v>12</v>
      </c>
      <c r="D259" s="7" t="s">
        <v>941</v>
      </c>
      <c r="E259" s="8" t="s">
        <v>942</v>
      </c>
      <c r="F259" s="6" t="s">
        <v>943</v>
      </c>
      <c r="G259" s="9">
        <f>IF(A259=1,"_",IF(C259="_","???",C259))</f>
        <v/>
      </c>
      <c r="H259" s="10" t="s">
        <v>12</v>
      </c>
      <c r="I259" s="11" t="s">
        <v>12</v>
      </c>
      <c r="J259" s="12"/>
    </row>
    <row r="260" spans="1:10" ht="60" customHeight="1">
      <c r="A260" s="6" t="s">
        <v>944</v>
      </c>
      <c r="B260" s="6" t="s">
        <v>28</v>
      </c>
      <c r="C260" s="6" t="s">
        <v>12</v>
      </c>
      <c r="D260" s="7" t="s">
        <v>945</v>
      </c>
      <c r="E260" s="8" t="s">
        <v>946</v>
      </c>
      <c r="F260" s="6" t="s">
        <v>947</v>
      </c>
      <c r="G260" s="9">
        <f>IF(A260=1,"_",IF(C260="_","???",C260))</f>
        <v/>
      </c>
      <c r="H260" s="10" t="s">
        <v>12</v>
      </c>
      <c r="I260" s="11" t="s">
        <v>12</v>
      </c>
      <c r="J260" s="12"/>
    </row>
    <row r="261" spans="1:10" ht="60" customHeight="1">
      <c r="A261" s="6" t="s">
        <v>948</v>
      </c>
      <c r="B261" s="6" t="s">
        <v>28</v>
      </c>
      <c r="C261" s="6" t="s">
        <v>12</v>
      </c>
      <c r="D261" s="7" t="s">
        <v>388</v>
      </c>
      <c r="E261" s="8" t="s">
        <v>949</v>
      </c>
      <c r="F261" s="6" t="s">
        <v>950</v>
      </c>
      <c r="G261" s="9">
        <f>IF(A261=1,"_",IF(C261="_","???",C261))</f>
        <v/>
      </c>
      <c r="H261" s="10" t="s">
        <v>12</v>
      </c>
      <c r="I261" s="11" t="s">
        <v>12</v>
      </c>
      <c r="J261" s="12"/>
    </row>
    <row r="262" spans="1:10" ht="60" customHeight="1">
      <c r="A262" s="6" t="s">
        <v>951</v>
      </c>
      <c r="B262" s="6" t="s">
        <v>16</v>
      </c>
      <c r="C262" s="6" t="s">
        <v>12</v>
      </c>
      <c r="D262" s="7" t="s">
        <v>952</v>
      </c>
      <c r="E262" s="8" t="s">
        <v>953</v>
      </c>
      <c r="F262" s="6" t="s">
        <v>954</v>
      </c>
      <c r="G262" s="9">
        <f>IF(A262=1,"_",IF(C262="_","???",C262))</f>
        <v/>
      </c>
      <c r="H262" s="10" t="s">
        <v>12</v>
      </c>
      <c r="I262" s="11" t="s">
        <v>12</v>
      </c>
      <c r="J262" s="12"/>
    </row>
    <row r="263" spans="1:10" ht="60" customHeight="1">
      <c r="A263" s="6" t="s">
        <v>955</v>
      </c>
      <c r="B263" s="6" t="s">
        <v>10</v>
      </c>
      <c r="C263" s="6" t="s">
        <v>12</v>
      </c>
      <c r="D263" s="7" t="s">
        <v>744</v>
      </c>
      <c r="E263" s="8" t="s">
        <v>956</v>
      </c>
      <c r="F263" s="6" t="s">
        <v>957</v>
      </c>
      <c r="G263" s="9">
        <f>IF(A263=1,"_",IF(C263="_","???",C263))</f>
        <v/>
      </c>
      <c r="H263" s="10" t="s">
        <v>12</v>
      </c>
      <c r="I263" s="11" t="s">
        <v>12</v>
      </c>
      <c r="J263" s="12"/>
    </row>
    <row r="264" spans="1:10" ht="60" customHeight="1">
      <c r="A264" s="6" t="s">
        <v>958</v>
      </c>
      <c r="B264" s="6" t="s">
        <v>10</v>
      </c>
      <c r="C264" s="6" t="s">
        <v>12</v>
      </c>
      <c r="D264" s="7" t="s">
        <v>752</v>
      </c>
      <c r="E264" s="8" t="s">
        <v>959</v>
      </c>
      <c r="F264" s="6" t="s">
        <v>960</v>
      </c>
      <c r="G264" s="9">
        <f>IF(A264=1,"_",IF(C264="_","???",C264))</f>
        <v/>
      </c>
      <c r="H264" s="10" t="s">
        <v>12</v>
      </c>
      <c r="I264" s="11" t="s">
        <v>12</v>
      </c>
      <c r="J264" s="12"/>
    </row>
    <row r="265" spans="1:10" ht="60" customHeight="1">
      <c r="A265" s="6" t="s">
        <v>961</v>
      </c>
      <c r="B265" s="6" t="s">
        <v>17</v>
      </c>
      <c r="C265" s="6" t="s">
        <v>12</v>
      </c>
      <c r="D265" s="7" t="s">
        <v>962</v>
      </c>
      <c r="E265" s="8" t="s">
        <v>963</v>
      </c>
      <c r="F265" s="6" t="s">
        <v>964</v>
      </c>
      <c r="G265" s="9">
        <f>IF(A265=1,"_",IF(C265="_","???",C265))</f>
        <v/>
      </c>
      <c r="H265" s="10" t="s">
        <v>12</v>
      </c>
      <c r="I265" s="11" t="s">
        <v>12</v>
      </c>
      <c r="J265" s="12"/>
    </row>
    <row r="266" spans="1:10" ht="60" customHeight="1">
      <c r="A266" s="6" t="s">
        <v>965</v>
      </c>
      <c r="B266" s="6" t="s">
        <v>24</v>
      </c>
      <c r="C266" s="6" t="s">
        <v>12</v>
      </c>
      <c r="D266" s="7" t="s">
        <v>966</v>
      </c>
      <c r="E266" s="8" t="s">
        <v>967</v>
      </c>
      <c r="F266" s="6" t="s">
        <v>968</v>
      </c>
      <c r="G266" s="9">
        <f>IF(A266=1,"_",IF(C266="_","???",C266))</f>
        <v/>
      </c>
      <c r="H266" s="10" t="s">
        <v>12</v>
      </c>
      <c r="I266" s="11" t="s">
        <v>12</v>
      </c>
      <c r="J266" s="12"/>
    </row>
    <row r="267" spans="1:10" ht="60" customHeight="1">
      <c r="A267" s="6" t="s">
        <v>969</v>
      </c>
      <c r="B267" s="6" t="s">
        <v>16</v>
      </c>
      <c r="C267" s="6" t="s">
        <v>12</v>
      </c>
      <c r="D267" s="7" t="s">
        <v>970</v>
      </c>
      <c r="E267" s="8" t="s">
        <v>971</v>
      </c>
      <c r="F267" s="6" t="s">
        <v>972</v>
      </c>
      <c r="G267" s="9">
        <f>IF(A267=1,"_",IF(C267="_","???",C267))</f>
        <v/>
      </c>
      <c r="H267" s="10" t="s">
        <v>12</v>
      </c>
      <c r="I267" s="11" t="s">
        <v>12</v>
      </c>
      <c r="J267" s="12"/>
    </row>
    <row r="268" spans="1:10" ht="60" customHeight="1">
      <c r="A268" s="6" t="s">
        <v>973</v>
      </c>
      <c r="B268" s="6" t="s">
        <v>16</v>
      </c>
      <c r="C268" s="6" t="s">
        <v>12</v>
      </c>
      <c r="D268" s="7" t="s">
        <v>905</v>
      </c>
      <c r="E268" s="8" t="s">
        <v>974</v>
      </c>
      <c r="F268" s="6" t="s">
        <v>975</v>
      </c>
      <c r="G268" s="9">
        <f>IF(A268=1,"_",IF(C268="_","???",C268))</f>
        <v/>
      </c>
      <c r="H268" s="10" t="s">
        <v>12</v>
      </c>
      <c r="I268" s="11" t="s">
        <v>12</v>
      </c>
      <c r="J268" s="12"/>
    </row>
    <row r="269" spans="1:10" ht="60" customHeight="1">
      <c r="A269" s="6" t="s">
        <v>976</v>
      </c>
      <c r="B269" s="6" t="s">
        <v>43</v>
      </c>
      <c r="C269" s="6" t="s">
        <v>12</v>
      </c>
      <c r="D269" s="7" t="s">
        <v>18</v>
      </c>
      <c r="E269" s="8" t="s">
        <v>977</v>
      </c>
      <c r="F269" s="6" t="s">
        <v>978</v>
      </c>
      <c r="G269" s="9">
        <f>IF(A269=1,"_",IF(C269="_","???",C269))</f>
        <v/>
      </c>
      <c r="H269" s="10" t="s">
        <v>12</v>
      </c>
      <c r="I269" s="11" t="s">
        <v>12</v>
      </c>
      <c r="J269" s="12"/>
    </row>
    <row r="270" spans="1:10" ht="60" customHeight="1">
      <c r="A270" s="6" t="s">
        <v>979</v>
      </c>
      <c r="B270" s="6" t="s">
        <v>10</v>
      </c>
      <c r="C270" s="6" t="s">
        <v>12</v>
      </c>
      <c r="D270" s="7" t="s">
        <v>309</v>
      </c>
      <c r="E270" s="8" t="s">
        <v>980</v>
      </c>
      <c r="F270" s="6" t="s">
        <v>981</v>
      </c>
      <c r="G270" s="9">
        <f>IF(A270=1,"_",IF(C270="_","???",C270))</f>
        <v/>
      </c>
      <c r="H270" s="10" t="s">
        <v>12</v>
      </c>
      <c r="I270" s="11" t="s">
        <v>12</v>
      </c>
      <c r="J270" s="12"/>
    </row>
    <row r="271" spans="1:10" ht="60" customHeight="1">
      <c r="A271" s="6" t="s">
        <v>982</v>
      </c>
      <c r="B271" s="6" t="s">
        <v>39</v>
      </c>
      <c r="C271" s="6" t="s">
        <v>12</v>
      </c>
      <c r="D271" s="7" t="s">
        <v>983</v>
      </c>
      <c r="E271" s="8" t="s">
        <v>984</v>
      </c>
      <c r="F271" s="6" t="s">
        <v>985</v>
      </c>
      <c r="G271" s="9">
        <f>IF(A271=1,"_",IF(C271="_","???",C271))</f>
        <v/>
      </c>
      <c r="H271" s="10" t="s">
        <v>12</v>
      </c>
      <c r="I271" s="11" t="s">
        <v>12</v>
      </c>
      <c r="J271" s="12"/>
    </row>
    <row r="272" spans="1:10" ht="60" customHeight="1">
      <c r="A272" s="6" t="s">
        <v>986</v>
      </c>
      <c r="B272" s="6" t="s">
        <v>11</v>
      </c>
      <c r="C272" s="6" t="s">
        <v>12</v>
      </c>
      <c r="D272" s="7" t="s">
        <v>987</v>
      </c>
      <c r="E272" s="8" t="s">
        <v>988</v>
      </c>
      <c r="F272" s="6" t="s">
        <v>989</v>
      </c>
      <c r="G272" s="9">
        <f>IF(A272=1,"_",IF(C272="_","???",C272))</f>
        <v/>
      </c>
      <c r="H272" s="10" t="s">
        <v>12</v>
      </c>
      <c r="I272" s="11" t="s">
        <v>12</v>
      </c>
      <c r="J272" s="12"/>
    </row>
    <row r="273" spans="1:10" ht="60" customHeight="1">
      <c r="A273" s="6" t="s">
        <v>990</v>
      </c>
      <c r="B273" s="6" t="s">
        <v>29</v>
      </c>
      <c r="C273" s="6" t="s">
        <v>12</v>
      </c>
      <c r="D273" s="7" t="s">
        <v>991</v>
      </c>
      <c r="E273" s="8" t="s">
        <v>992</v>
      </c>
      <c r="F273" s="6" t="s">
        <v>993</v>
      </c>
      <c r="G273" s="9">
        <f>IF(A273=1,"_",IF(C273="_","???",C273))</f>
        <v/>
      </c>
      <c r="H273" s="10" t="s">
        <v>12</v>
      </c>
      <c r="I273" s="11" t="s">
        <v>12</v>
      </c>
      <c r="J273" s="12"/>
    </row>
    <row r="274" spans="1:10" ht="60" customHeight="1">
      <c r="A274" s="6" t="s">
        <v>994</v>
      </c>
      <c r="B274" s="6" t="s">
        <v>47</v>
      </c>
      <c r="C274" s="6" t="s">
        <v>12</v>
      </c>
      <c r="D274" s="7" t="s">
        <v>995</v>
      </c>
      <c r="E274" s="8" t="s">
        <v>996</v>
      </c>
      <c r="F274" s="6" t="s">
        <v>997</v>
      </c>
      <c r="G274" s="9">
        <f>IF(A274=1,"_",IF(C274="_","???",C274))</f>
        <v/>
      </c>
      <c r="H274" s="10" t="s">
        <v>12</v>
      </c>
      <c r="I274" s="11" t="s">
        <v>12</v>
      </c>
      <c r="J274" s="12"/>
    </row>
    <row r="275" spans="1:10" ht="60" customHeight="1">
      <c r="A275" s="6" t="s">
        <v>998</v>
      </c>
      <c r="B275" s="6" t="s">
        <v>10</v>
      </c>
      <c r="C275" s="6" t="s">
        <v>12</v>
      </c>
      <c r="D275" s="7" t="s">
        <v>999</v>
      </c>
      <c r="E275" s="8" t="s">
        <v>1000</v>
      </c>
      <c r="F275" s="6" t="s">
        <v>1001</v>
      </c>
      <c r="G275" s="9">
        <f>IF(A275=1,"_",IF(C275="_","???",C275))</f>
        <v/>
      </c>
      <c r="H275" s="10" t="s">
        <v>12</v>
      </c>
      <c r="I275" s="11" t="s">
        <v>12</v>
      </c>
      <c r="J275" s="12"/>
    </row>
    <row r="276" spans="1:10" ht="60" customHeight="1">
      <c r="A276" s="6" t="s">
        <v>1002</v>
      </c>
      <c r="B276" s="6" t="s">
        <v>10</v>
      </c>
      <c r="C276" s="6" t="s">
        <v>12</v>
      </c>
      <c r="D276" s="7" t="s">
        <v>744</v>
      </c>
      <c r="E276" s="8" t="s">
        <v>1003</v>
      </c>
      <c r="F276" s="6" t="s">
        <v>1004</v>
      </c>
      <c r="G276" s="9">
        <f>IF(A276=1,"_",IF(C276="_","???",C276))</f>
        <v/>
      </c>
      <c r="H276" s="10" t="s">
        <v>12</v>
      </c>
      <c r="I276" s="11" t="s">
        <v>12</v>
      </c>
      <c r="J276" s="12"/>
    </row>
    <row r="277" spans="1:10" ht="60" customHeight="1">
      <c r="A277" s="6" t="s">
        <v>1005</v>
      </c>
      <c r="B277" s="6" t="s">
        <v>16</v>
      </c>
      <c r="C277" s="6" t="s">
        <v>12</v>
      </c>
      <c r="D277" s="7" t="s">
        <v>706</v>
      </c>
      <c r="E277" s="8" t="s">
        <v>1006</v>
      </c>
      <c r="F277" s="6" t="s">
        <v>1007</v>
      </c>
      <c r="G277" s="9">
        <f>IF(A277=1,"_",IF(C277="_","???",C277))</f>
        <v/>
      </c>
      <c r="H277" s="10" t="s">
        <v>12</v>
      </c>
      <c r="I277" s="11" t="s">
        <v>12</v>
      </c>
      <c r="J277" s="12"/>
    </row>
    <row r="278" spans="1:10" ht="60" customHeight="1">
      <c r="A278" s="6" t="s">
        <v>1008</v>
      </c>
      <c r="B278" s="6" t="s">
        <v>10</v>
      </c>
      <c r="C278" s="6" t="s">
        <v>12</v>
      </c>
      <c r="D278" s="7" t="s">
        <v>752</v>
      </c>
      <c r="E278" s="8" t="s">
        <v>1009</v>
      </c>
      <c r="F278" s="6" t="s">
        <v>1010</v>
      </c>
      <c r="G278" s="9">
        <f>IF(A278=1,"_",IF(C278="_","???",C278))</f>
        <v/>
      </c>
      <c r="H278" s="10" t="s">
        <v>12</v>
      </c>
      <c r="I278" s="11" t="s">
        <v>12</v>
      </c>
      <c r="J27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0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1011</v>
      </c>
      <c r="B1" s="13" t="s">
        <v>1012</v>
      </c>
      <c r="C1" s="13" t="s">
        <v>1013</v>
      </c>
      <c r="D1" s="13" t="s">
        <v>1014</v>
      </c>
      <c r="E1" s="14" t="s">
        <v>1015</v>
      </c>
      <c r="F1" s="15" t="s">
        <v>1016</v>
      </c>
      <c r="G1" s="16" t="s">
        <v>1017</v>
      </c>
      <c r="H1" s="17" t="s">
        <v>1018</v>
      </c>
      <c r="I1" s="18" t="s">
        <v>1019</v>
      </c>
      <c r="J1" s="18" t="s">
        <v>1020</v>
      </c>
      <c r="K1" s="18" t="s">
        <v>1021</v>
      </c>
      <c r="L1" s="19" t="s">
        <v>9</v>
      </c>
    </row>
    <row r="2" spans="1:12">
      <c r="A2" s="20" t="s">
        <v>1022</v>
      </c>
    </row>
    <row r="3" spans="1:12">
      <c r="A3" s="20" t="s">
        <v>1023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952</v>
      </c>
      <c r="B4" s="27" t="s">
        <v>1024</v>
      </c>
      <c r="C4" s="27" t="s">
        <v>1025</v>
      </c>
      <c r="D4" s="27" t="s">
        <v>1026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1027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1028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1029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1030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1031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1032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/>
    </row>
    <row r="13" spans="1:12">
      <c r="A13" s="20" t="s">
        <v>1033</v>
      </c>
    </row>
    <row r="14" spans="1:12">
      <c r="A14" s="20" t="s">
        <v>1034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1035</v>
      </c>
      <c r="B15" s="27" t="s">
        <v>1024</v>
      </c>
      <c r="C15" s="27" t="s">
        <v>1036</v>
      </c>
      <c r="D15" s="27" t="s">
        <v>1026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1037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1038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1039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1040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1041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1042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201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1043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1044</v>
      </c>
      <c r="B24" s="27" t="s">
        <v>1045</v>
      </c>
      <c r="C24" s="27" t="s">
        <v>1046</v>
      </c>
      <c r="D24" s="27" t="s">
        <v>1026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1047</v>
      </c>
      <c r="B25" s="27" t="s">
        <v>1048</v>
      </c>
      <c r="C25" s="27" t="s">
        <v>1049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1051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1052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1041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1053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1054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1055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1041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1056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1030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1057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1041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1058</v>
      </c>
      <c r="B38" s="27" t="s">
        <v>1059</v>
      </c>
      <c r="C38" s="27" t="s">
        <v>1036</v>
      </c>
      <c r="D38" s="27" t="s">
        <v>1026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1041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201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284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1060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1030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1061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1041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1062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1063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1064</v>
      </c>
      <c r="B48" s="27" t="s">
        <v>1065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1066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1067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1068</v>
      </c>
      <c r="B51" s="27" t="s">
        <v>1069</v>
      </c>
      <c r="C51" s="27" t="s">
        <v>1049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1070</v>
      </c>
      <c r="B52" s="27" t="s">
        <v>1071</v>
      </c>
      <c r="C52" s="27" t="s">
        <v>1072</v>
      </c>
      <c r="D52" s="27" t="s">
        <v>1026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1073</v>
      </c>
      <c r="B53" s="27" t="s">
        <v>1074</v>
      </c>
      <c r="C53" s="27" t="s">
        <v>1075</v>
      </c>
      <c r="D53" s="27" t="s">
        <v>1026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1032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/>
    </row>
    <row r="56" spans="1:12">
      <c r="A56" s="20" t="s">
        <v>1076</v>
      </c>
    </row>
    <row r="57" spans="1:12">
      <c r="A57" s="20" t="s">
        <v>1077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1078</v>
      </c>
      <c r="B58" s="27" t="s">
        <v>1024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1050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1079</v>
      </c>
      <c r="B60" s="27" t="s">
        <v>1080</v>
      </c>
      <c r="C60" s="27" t="s">
        <v>1036</v>
      </c>
      <c r="D60" s="27" t="s">
        <v>1026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1041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201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1081</v>
      </c>
      <c r="B63" s="27" t="s">
        <v>1082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1030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1083</v>
      </c>
      <c r="B65" s="27" t="s">
        <v>1084</v>
      </c>
      <c r="C65" s="27" t="s">
        <v>1072</v>
      </c>
      <c r="D65" s="27" t="s">
        <v>1026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1085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1086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1087</v>
      </c>
      <c r="B68" s="27" t="s">
        <v>1045</v>
      </c>
      <c r="C68" s="27" t="s">
        <v>1088</v>
      </c>
      <c r="D68" s="27" t="s">
        <v>1026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1089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1090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1032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/>
    </row>
    <row r="73" spans="1:12">
      <c r="A73" s="20" t="s">
        <v>1091</v>
      </c>
    </row>
    <row r="74" spans="1:12">
      <c r="A74" s="20" t="s">
        <v>1092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1093</v>
      </c>
      <c r="B75" s="27" t="s">
        <v>1080</v>
      </c>
      <c r="C75" s="27" t="s">
        <v>1036</v>
      </c>
      <c r="D75" s="27" t="s">
        <v>1026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1041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1085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1094</v>
      </c>
      <c r="B78" s="27" t="s">
        <v>1080</v>
      </c>
      <c r="C78" s="27" t="s">
        <v>1025</v>
      </c>
      <c r="D78" s="27" t="s">
        <v>1026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1035</v>
      </c>
      <c r="B79" s="27" t="s">
        <v>1024</v>
      </c>
      <c r="C79" s="27" t="s">
        <v>1036</v>
      </c>
      <c r="D79" s="27" t="s">
        <v>1026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1095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1041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1096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1085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1097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1098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1099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1100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1032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/>
    </row>
    <row r="90" spans="1:12">
      <c r="A90" s="20" t="s">
        <v>1101</v>
      </c>
    </row>
    <row r="91" spans="1:12">
      <c r="A91" s="20" t="s">
        <v>1102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1103</v>
      </c>
      <c r="B92" s="27" t="s">
        <v>1024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1104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1085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1094</v>
      </c>
      <c r="B95" s="27" t="s">
        <v>1080</v>
      </c>
      <c r="C95" s="27" t="s">
        <v>1025</v>
      </c>
      <c r="D95" s="27" t="s">
        <v>1026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1105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1041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201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1106</v>
      </c>
      <c r="B99" s="27" t="s">
        <v>1082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1107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1108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1039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1109</v>
      </c>
      <c r="B103" s="27" t="s">
        <v>1080</v>
      </c>
      <c r="C103" s="27" t="s">
        <v>1049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1032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/>
    </row>
    <row r="106" spans="1:12">
      <c r="A106" s="20" t="s">
        <v>1110</v>
      </c>
    </row>
    <row r="107" spans="1:12">
      <c r="A107" s="20" t="s">
        <v>1111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1108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1112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1113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1114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1041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1112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1113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225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1041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1030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1115</v>
      </c>
      <c r="B118" s="27" t="s">
        <v>1084</v>
      </c>
      <c r="C118" s="27" t="s">
        <v>1046</v>
      </c>
      <c r="D118" s="27" t="s">
        <v>1026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1116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1117</v>
      </c>
      <c r="B120" s="27" t="s">
        <v>1082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1118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1119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1107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1050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1120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1121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1122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1123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1032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/>
    </row>
    <row r="131" spans="1:12">
      <c r="A131" s="20" t="s">
        <v>1124</v>
      </c>
    </row>
    <row r="132" spans="1:12">
      <c r="A132" s="20" t="s">
        <v>1125</v>
      </c>
      <c r="B132" s="27" t="s">
        <v>1024</v>
      </c>
      <c r="C132" s="27" t="s">
        <v>1036</v>
      </c>
      <c r="D132" s="27" t="s">
        <v>1026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1126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1127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1128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1041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1127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1129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1041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1127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1130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1032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/>
    </row>
    <row r="144" spans="1:12">
      <c r="A144" s="20" t="s">
        <v>1131</v>
      </c>
    </row>
    <row r="145" spans="1:12">
      <c r="A145" s="20" t="s">
        <v>1132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1041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1133</v>
      </c>
      <c r="B147" s="27" t="s">
        <v>1024</v>
      </c>
      <c r="C147" s="27" t="s">
        <v>1072</v>
      </c>
      <c r="D147" s="27" t="s">
        <v>1026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1104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1085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1134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1135</v>
      </c>
      <c r="B151" s="27" t="s">
        <v>1136</v>
      </c>
      <c r="C151" s="27" t="s">
        <v>1088</v>
      </c>
      <c r="D151" s="27" t="s">
        <v>1026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40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1032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/>
    </row>
    <row r="155" spans="1:12">
      <c r="A155" s="20" t="s">
        <v>1137</v>
      </c>
    </row>
    <row r="156" spans="1:12">
      <c r="A156" s="20" t="s">
        <v>1138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1086</v>
      </c>
      <c r="B157" s="27" t="s">
        <v>1080</v>
      </c>
      <c r="C157" s="27" t="s">
        <v>1036</v>
      </c>
      <c r="D157" s="27" t="s">
        <v>1026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1041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1139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1140</v>
      </c>
      <c r="B160" s="27" t="s">
        <v>1024</v>
      </c>
      <c r="C160" s="27" t="s">
        <v>1072</v>
      </c>
      <c r="D160" s="27" t="s">
        <v>1026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1085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1094</v>
      </c>
      <c r="B162" s="27" t="s">
        <v>1136</v>
      </c>
      <c r="C162" s="27" t="s">
        <v>1025</v>
      </c>
      <c r="D162" s="27" t="s">
        <v>1026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1141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1142</v>
      </c>
      <c r="B164" s="27" t="s">
        <v>1143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1099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1144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1032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/>
    </row>
    <row r="169" spans="1:12">
      <c r="A169" s="20" t="s">
        <v>1145</v>
      </c>
    </row>
    <row r="170" spans="1:12">
      <c r="A170" s="20" t="s">
        <v>1146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1041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1147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1148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1149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1142</v>
      </c>
      <c r="B175" s="27" t="s">
        <v>1150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1099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201</v>
      </c>
      <c r="B177" s="27" t="s">
        <v>1084</v>
      </c>
      <c r="C177" s="27" t="s">
        <v>1151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1152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1153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1154</v>
      </c>
      <c r="B180" s="27" t="s">
        <v>1150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1041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1155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1041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1156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1157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1158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1041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1035</v>
      </c>
      <c r="B189" s="27" t="s">
        <v>1048</v>
      </c>
      <c r="C189" s="27" t="s">
        <v>1036</v>
      </c>
      <c r="D189" s="27" t="s">
        <v>1026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1159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1160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1099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1144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1032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/>
    </row>
    <row r="196" spans="1:12">
      <c r="A196" s="20" t="s">
        <v>1161</v>
      </c>
    </row>
    <row r="197" spans="1:12">
      <c r="A197" s="20" t="s">
        <v>1162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1163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1164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1165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1160</v>
      </c>
      <c r="B201" s="27" t="s">
        <v>1024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1099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1144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1166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1032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/>
    </row>
    <row r="207" spans="1:12">
      <c r="A207" s="20" t="s">
        <v>1167</v>
      </c>
    </row>
    <row r="208" spans="1:12">
      <c r="A208" s="20" t="s">
        <v>1092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1093</v>
      </c>
      <c r="B209" s="27" t="s">
        <v>1080</v>
      </c>
      <c r="C209" s="27" t="s">
        <v>1036</v>
      </c>
      <c r="D209" s="27" t="s">
        <v>1026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1041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1168</v>
      </c>
      <c r="B211" s="27" t="s">
        <v>1024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1169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1170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1171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1099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1172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1173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1174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1032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/>
    </row>
    <row r="221" spans="1:12">
      <c r="A221" s="20" t="s">
        <v>1175</v>
      </c>
    </row>
    <row r="222" spans="1:12">
      <c r="A222" s="20" t="s">
        <v>1176</v>
      </c>
      <c r="B222" s="27" t="s">
        <v>1024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1050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1177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1178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1179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1180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1181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1032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/>
    </row>
    <row r="231" spans="1:12">
      <c r="A231" s="20" t="s">
        <v>1182</v>
      </c>
    </row>
    <row r="232" spans="1:12">
      <c r="A232" s="20" t="s">
        <v>1183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1050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1184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1185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1186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1187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1188</v>
      </c>
      <c r="B238" s="27" t="s">
        <v>1024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1189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1099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1190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1041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1191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1192</v>
      </c>
      <c r="B244" s="27" t="s">
        <v>1136</v>
      </c>
      <c r="C244" s="27" t="s">
        <v>1151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1193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1194</v>
      </c>
      <c r="B246" s="27" t="s">
        <v>1082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1041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1195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1041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1196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1197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1030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1198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1199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1032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1200</v>
      </c>
    </row>
    <row r="258" spans="1:12">
      <c r="A258" s="20" t="s">
        <v>1201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1202</v>
      </c>
      <c r="B259" s="27" t="s">
        <v>1080</v>
      </c>
      <c r="C259" s="27" t="s">
        <v>1036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1041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1050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1203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1204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1205</v>
      </c>
      <c r="B264" s="27" t="s">
        <v>1024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1122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1206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1207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1032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/>
    </row>
    <row r="270" spans="1:12">
      <c r="A270" s="20" t="s">
        <v>1208</v>
      </c>
    </row>
    <row r="271" spans="1:12">
      <c r="A271" s="20" t="s">
        <v>1077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1053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1209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1210</v>
      </c>
      <c r="B274" s="27" t="s">
        <v>1136</v>
      </c>
      <c r="C274" s="27" t="s">
        <v>1046</v>
      </c>
      <c r="D274" s="27" t="s">
        <v>1026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1211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1041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1159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1212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1041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1213</v>
      </c>
      <c r="B280" s="27" t="s">
        <v>1024</v>
      </c>
      <c r="C280" s="27" t="s">
        <v>1025</v>
      </c>
      <c r="D280" s="27" t="s">
        <v>1026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1214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1215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1142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1216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1159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1213</v>
      </c>
      <c r="B286" s="27" t="s">
        <v>1082</v>
      </c>
      <c r="C286" s="27" t="s">
        <v>1025</v>
      </c>
      <c r="D286" s="27" t="s">
        <v>1026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1217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1122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1218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1219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1041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1220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1122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1221</v>
      </c>
      <c r="B294" s="27" t="s">
        <v>1045</v>
      </c>
      <c r="C294" s="27" t="s">
        <v>1075</v>
      </c>
      <c r="D294" s="27" t="s">
        <v>1026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1222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1223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1224</v>
      </c>
      <c r="B297" s="27" t="s">
        <v>1225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1226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1227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1228</v>
      </c>
      <c r="B300" s="27" t="s">
        <v>1229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1032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1230</v>
      </c>
    </row>
    <row r="304" spans="1:12">
      <c r="A304" s="20" t="s">
        <v>1231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1085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1221</v>
      </c>
      <c r="B306" s="27" t="s">
        <v>1080</v>
      </c>
      <c r="C306" s="27" t="s">
        <v>1075</v>
      </c>
      <c r="D306" s="27" t="s">
        <v>1026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1232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1233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1222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1234</v>
      </c>
      <c r="B310" s="27" t="s">
        <v>1235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1236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1237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1221</v>
      </c>
      <c r="B313" s="27" t="s">
        <v>1238</v>
      </c>
      <c r="C313" s="27" t="s">
        <v>1075</v>
      </c>
      <c r="D313" s="27" t="s">
        <v>1026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1239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1127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1240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1241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1041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201</v>
      </c>
      <c r="B319" s="27" t="s">
        <v>1225</v>
      </c>
      <c r="C319" s="27" t="s">
        <v>1151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1041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1050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1242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1243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1041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1244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1232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1245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1246</v>
      </c>
      <c r="B328" s="27" t="s">
        <v>1229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1222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1228</v>
      </c>
      <c r="B330" s="27" t="s">
        <v>1247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1248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1099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1249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1032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1250</v>
      </c>
    </row>
    <row r="337" spans="1:12">
      <c r="A337" s="20" t="s">
        <v>1077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1251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1041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1252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1253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1159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1035</v>
      </c>
      <c r="B343" s="27" t="s">
        <v>1082</v>
      </c>
      <c r="C343" s="27" t="s">
        <v>1036</v>
      </c>
      <c r="D343" s="27" t="s">
        <v>1026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1254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1248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1099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1255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1256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1041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1257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1258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1127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1259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1260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1041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201</v>
      </c>
      <c r="B356" s="27" t="s">
        <v>1048</v>
      </c>
      <c r="C356" s="27" t="s">
        <v>1151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1261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1127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1262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1263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1032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/>
    </row>
    <row r="363" spans="1:12">
      <c r="A363" s="20" t="s">
        <v>1264</v>
      </c>
    </row>
    <row r="364" spans="1:12">
      <c r="A364" s="20" t="s">
        <v>1265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1093</v>
      </c>
      <c r="B365" s="27" t="s">
        <v>1024</v>
      </c>
      <c r="C365" s="27" t="s">
        <v>1036</v>
      </c>
      <c r="D365" s="27" t="s">
        <v>1026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1041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1266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1267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1268</v>
      </c>
      <c r="B369" s="27" t="s">
        <v>1048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1237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1221</v>
      </c>
      <c r="B371" s="27" t="s">
        <v>1045</v>
      </c>
      <c r="C371" s="27" t="s">
        <v>1075</v>
      </c>
      <c r="D371" s="27" t="s">
        <v>1026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1126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1127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1269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1267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1270</v>
      </c>
      <c r="B376" s="27" t="s">
        <v>1084</v>
      </c>
      <c r="C376" s="27" t="s">
        <v>1271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1030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1272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1267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1108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1273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1274</v>
      </c>
      <c r="B382" s="27" t="s">
        <v>1048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1041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1275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1276</v>
      </c>
      <c r="B385" s="27" t="s">
        <v>1048</v>
      </c>
      <c r="C385" s="27" t="s">
        <v>1036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1277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1278</v>
      </c>
      <c r="B387" s="27" t="s">
        <v>1059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1041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1279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1115</v>
      </c>
      <c r="B390" s="27" t="s">
        <v>1235</v>
      </c>
      <c r="C390" s="27" t="s">
        <v>1025</v>
      </c>
      <c r="D390" s="27" t="s">
        <v>1026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1280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1032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/>
    </row>
    <row r="394" spans="1:12">
      <c r="A394" s="20" t="s">
        <v>1281</v>
      </c>
    </row>
    <row r="395" spans="1:12">
      <c r="A395" s="20" t="s">
        <v>1034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1282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1041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1283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1284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1041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1285</v>
      </c>
      <c r="B401" s="27" t="s">
        <v>1082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1286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1093</v>
      </c>
      <c r="B403" s="27" t="s">
        <v>1136</v>
      </c>
      <c r="C403" s="27" t="s">
        <v>1036</v>
      </c>
      <c r="D403" s="27" t="s">
        <v>1026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1041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1266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1287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1288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1246</v>
      </c>
      <c r="B408" s="27" t="s">
        <v>1235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1041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1279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1289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1041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201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510</v>
      </c>
      <c r="B414" s="27" t="s">
        <v>1290</v>
      </c>
      <c r="C414" s="27" t="s">
        <v>1025</v>
      </c>
      <c r="D414" s="27" t="s">
        <v>1026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1288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1089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1287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1032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/>
    </row>
    <row r="420" spans="1:12">
      <c r="A420" s="20" t="s">
        <v>1291</v>
      </c>
    </row>
    <row r="421" spans="1:12">
      <c r="A421" s="20" t="s">
        <v>1292</v>
      </c>
      <c r="B421" s="27" t="s">
        <v>1024</v>
      </c>
      <c r="C421" s="27" t="s">
        <v>1025</v>
      </c>
      <c r="D421" s="27" t="s">
        <v>1026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1039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1293</v>
      </c>
      <c r="B423" s="27" t="s">
        <v>1080</v>
      </c>
      <c r="C423" s="27" t="s">
        <v>1049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1294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1295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1296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1297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1041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1298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1299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1300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1301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1302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1303</v>
      </c>
      <c r="B434" s="27" t="s">
        <v>1084</v>
      </c>
      <c r="C434" s="27" t="s">
        <v>1049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1304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1305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1306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1307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/>
    </row>
    <row r="440" spans="1:12">
      <c r="A440" s="20" t="s">
        <v>1308</v>
      </c>
    </row>
    <row r="441" spans="1:12">
      <c r="A441" s="20" t="s">
        <v>1309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1299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1153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1216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1310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1304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1311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1307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/>
    </row>
    <row r="450" spans="1:12">
      <c r="A450" s="20" t="s">
        <v>1312</v>
      </c>
    </row>
    <row r="451" spans="1:12">
      <c r="A451" s="20" t="s">
        <v>1313</v>
      </c>
      <c r="B451" s="27" t="s">
        <v>1024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1050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1079</v>
      </c>
      <c r="B453" s="27" t="s">
        <v>1080</v>
      </c>
      <c r="C453" s="27" t="s">
        <v>1036</v>
      </c>
      <c r="D453" s="27" t="s">
        <v>1026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1041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201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1314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1213</v>
      </c>
      <c r="B457" s="27" t="s">
        <v>1048</v>
      </c>
      <c r="C457" s="27" t="s">
        <v>1025</v>
      </c>
      <c r="D457" s="27" t="s">
        <v>1026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1107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1315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1304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1316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1041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1317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1127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1318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1041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1319</v>
      </c>
      <c r="B467" s="27" t="s">
        <v>1082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1108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901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1320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1032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1321</v>
      </c>
    </row>
    <row r="474" spans="1:12">
      <c r="A474" s="20" t="s">
        <v>1132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1041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1035</v>
      </c>
      <c r="B476" s="27" t="s">
        <v>1024</v>
      </c>
      <c r="C476" s="27" t="s">
        <v>1036</v>
      </c>
      <c r="D476" s="27" t="s">
        <v>1026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1322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1032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/>
    </row>
    <row r="481" spans="1:12">
      <c r="A481" s="20" t="s">
        <v>1323</v>
      </c>
    </row>
    <row r="482" spans="1:12">
      <c r="A482" s="20" t="s">
        <v>1125</v>
      </c>
      <c r="B482" s="27" t="s">
        <v>1082</v>
      </c>
      <c r="C482" s="27" t="s">
        <v>1036</v>
      </c>
      <c r="D482" s="27" t="s">
        <v>1026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1324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1107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21</v>
      </c>
      <c r="B485" s="27" t="s">
        <v>1024</v>
      </c>
      <c r="C485" s="27" t="s">
        <v>1036</v>
      </c>
      <c r="D485" s="27" t="s">
        <v>1026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1041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1062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1325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1304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1326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1327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1328</v>
      </c>
      <c r="B492" s="27" t="s">
        <v>1045</v>
      </c>
      <c r="C492" s="27" t="s">
        <v>1049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1329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1330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1331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1041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1332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1333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1334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1041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1335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1336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1337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1050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17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1338</v>
      </c>
      <c r="B506" s="27" t="s">
        <v>1339</v>
      </c>
      <c r="C506" s="27" t="s">
        <v>1049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1032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/>
    </row>
    <row r="509" spans="1:12">
      <c r="A509" s="20" t="s">
        <v>1340</v>
      </c>
    </row>
    <row r="510" spans="1:12">
      <c r="A510" s="20" t="s">
        <v>1341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360</v>
      </c>
      <c r="B511" s="27" t="s">
        <v>1024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1050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1079</v>
      </c>
      <c r="B513" s="27" t="s">
        <v>1080</v>
      </c>
      <c r="C513" s="27" t="s">
        <v>1036</v>
      </c>
      <c r="D513" s="27" t="s">
        <v>1026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1041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1062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1342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1267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1306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1032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1343</v>
      </c>
    </row>
    <row r="522" spans="1:12">
      <c r="A522" s="20" t="s">
        <v>1344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1345</v>
      </c>
      <c r="B523" s="27" t="s">
        <v>1024</v>
      </c>
      <c r="C523" s="27" t="s">
        <v>1049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1346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1347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1302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1348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1349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1041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1350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110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1068</v>
      </c>
      <c r="B532" s="27" t="s">
        <v>1136</v>
      </c>
      <c r="C532" s="27" t="s">
        <v>1049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1351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1032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/>
    </row>
    <row r="536" spans="1:12">
      <c r="A536" s="20" t="s">
        <v>1352</v>
      </c>
    </row>
    <row r="537" spans="1:12">
      <c r="A537" s="20" t="s">
        <v>1353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1354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1355</v>
      </c>
      <c r="B539" s="27" t="s">
        <v>1080</v>
      </c>
      <c r="C539" s="27" t="s">
        <v>1049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1356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87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1351</v>
      </c>
      <c r="B542" s="27" t="s">
        <v>1024</v>
      </c>
      <c r="C542" s="27" t="s">
        <v>1049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1032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/>
    </row>
    <row r="545" spans="1:12">
      <c r="A545" s="20" t="s">
        <v>1357</v>
      </c>
    </row>
    <row r="546" spans="1:12">
      <c r="A546" s="20" t="s">
        <v>1353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1358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1359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1360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1159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1361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10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1362</v>
      </c>
      <c r="B553" s="27" t="s">
        <v>1080</v>
      </c>
      <c r="C553" s="27" t="s">
        <v>1049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1032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/>
    </row>
    <row r="556" spans="1:12">
      <c r="A556" s="20" t="s">
        <v>1363</v>
      </c>
    </row>
    <row r="557" spans="1:12">
      <c r="A557" s="20" t="s">
        <v>1162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1364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1365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1366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1159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1053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28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1351</v>
      </c>
      <c r="B565" s="27" t="s">
        <v>1080</v>
      </c>
      <c r="C565" s="27" t="s">
        <v>1049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1032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/>
    </row>
    <row r="568" spans="1:12">
      <c r="A568" s="20" t="s">
        <v>1367</v>
      </c>
    </row>
    <row r="569" spans="1:12">
      <c r="A569" s="20" t="s">
        <v>1368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1123</v>
      </c>
      <c r="B570" s="27" t="s">
        <v>1136</v>
      </c>
      <c r="C570" s="27" t="s">
        <v>1271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1300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473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1093</v>
      </c>
      <c r="B573" s="27" t="s">
        <v>1136</v>
      </c>
      <c r="C573" s="27" t="s">
        <v>1036</v>
      </c>
      <c r="D573" s="27" t="s">
        <v>1026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1041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1062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1369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1370</v>
      </c>
      <c r="B577" s="27" t="s">
        <v>1235</v>
      </c>
      <c r="C577" s="27" t="s">
        <v>1088</v>
      </c>
      <c r="D577" s="27" t="s">
        <v>1026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1371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1127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1318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1032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1372</v>
      </c>
    </row>
    <row r="584" spans="1:12">
      <c r="A584" s="20" t="s">
        <v>1077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1373</v>
      </c>
      <c r="B585" s="27" t="s">
        <v>1024</v>
      </c>
      <c r="C585" s="27" t="s">
        <v>1025</v>
      </c>
      <c r="D585" s="27" t="s">
        <v>1026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1374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1375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1376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1377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1032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/>
    </row>
    <row r="592" spans="1:12">
      <c r="A592" s="20" t="s">
        <v>1378</v>
      </c>
    </row>
    <row r="593" spans="1:12">
      <c r="A593" s="20" t="s">
        <v>1379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1380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1133</v>
      </c>
      <c r="B595" s="27" t="s">
        <v>1024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1050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1381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1382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1383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1384</v>
      </c>
      <c r="B600" s="27" t="s">
        <v>1150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1041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1385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1030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21</v>
      </c>
      <c r="B604" s="27" t="s">
        <v>1048</v>
      </c>
      <c r="C604" s="27" t="s">
        <v>1036</v>
      </c>
      <c r="D604" s="27" t="s">
        <v>1026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1386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1032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/>
    </row>
    <row r="608" spans="1:12">
      <c r="A608" s="20" t="s">
        <v>1387</v>
      </c>
    </row>
    <row r="609" spans="1:12">
      <c r="A609" s="20" t="s">
        <v>1132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1041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1388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1389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1390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1391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1392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1127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1393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1041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1394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1393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1304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1306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1162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1395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1396</v>
      </c>
      <c r="B625" s="27" t="s">
        <v>1397</v>
      </c>
      <c r="C625" s="27" t="s">
        <v>1088</v>
      </c>
      <c r="D625" s="27" t="s">
        <v>1026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1398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1399</v>
      </c>
      <c r="B627" s="27" t="s">
        <v>1084</v>
      </c>
      <c r="C627" s="27" t="s">
        <v>1049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1032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/>
    </row>
    <row r="630" spans="1:12">
      <c r="A630" s="20" t="s">
        <v>1400</v>
      </c>
    </row>
    <row r="631" spans="1:12">
      <c r="A631" s="20" t="s">
        <v>1401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1402</v>
      </c>
      <c r="B632" s="27" t="s">
        <v>1143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1403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1032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/>
    </row>
    <row r="636" spans="1:12">
      <c r="A636" s="20" t="s">
        <v>1404</v>
      </c>
    </row>
    <row r="637" spans="1:12">
      <c r="A637" s="20" t="s">
        <v>1405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1041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150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1159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1302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1303</v>
      </c>
      <c r="B642" s="27" t="s">
        <v>1080</v>
      </c>
      <c r="C642" s="27" t="s">
        <v>1072</v>
      </c>
      <c r="D642" s="27" t="s">
        <v>1026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1221</v>
      </c>
      <c r="B643" s="27" t="s">
        <v>1136</v>
      </c>
      <c r="C643" s="27" t="s">
        <v>1075</v>
      </c>
      <c r="D643" s="27" t="s">
        <v>1026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1041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1030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284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473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1041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1062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1406</v>
      </c>
      <c r="B650" s="27" t="s">
        <v>1235</v>
      </c>
      <c r="C650" s="27" t="s">
        <v>1025</v>
      </c>
      <c r="D650" s="27" t="s">
        <v>1026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1407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1408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1318</v>
      </c>
      <c r="B653" s="27" t="s">
        <v>1409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1032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/>
    </row>
    <row r="656" spans="1:12">
      <c r="A656" s="20" t="s">
        <v>1410</v>
      </c>
    </row>
    <row r="657" spans="1:12">
      <c r="A657" s="20" t="s">
        <v>1411</v>
      </c>
      <c r="B657" s="27" t="s">
        <v>1024</v>
      </c>
      <c r="C657" s="27" t="s">
        <v>1025</v>
      </c>
      <c r="D657" s="27" t="s">
        <v>1026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1412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1390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1413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1135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1099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1100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1041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1414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1237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1415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1041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1416</v>
      </c>
      <c r="B669" s="27" t="s">
        <v>1045</v>
      </c>
      <c r="C669" s="27" t="s">
        <v>1151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1417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1418</v>
      </c>
      <c r="B671" s="27" t="s">
        <v>1235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1419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1094</v>
      </c>
      <c r="B673" s="27" t="s">
        <v>1238</v>
      </c>
      <c r="C673" s="27" t="s">
        <v>1025</v>
      </c>
      <c r="D673" s="27" t="s">
        <v>1026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1041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1414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1420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1099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1421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1041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1030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1414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1237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1422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1221</v>
      </c>
      <c r="B684" s="27" t="s">
        <v>1069</v>
      </c>
      <c r="C684" s="27" t="s">
        <v>1075</v>
      </c>
      <c r="D684" s="27" t="s">
        <v>1026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1099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1423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1424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1029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1032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/>
    </row>
    <row r="691" spans="1:12">
      <c r="A691" s="20" t="s">
        <v>1425</v>
      </c>
    </row>
    <row r="692" spans="1:12">
      <c r="A692" s="20" t="s">
        <v>1426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1053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1427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1428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1418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1429</v>
      </c>
      <c r="B697" s="27" t="s">
        <v>1082</v>
      </c>
      <c r="C697" s="27" t="s">
        <v>1049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1030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1430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1041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1431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1432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1433</v>
      </c>
      <c r="B703" s="27" t="s">
        <v>1059</v>
      </c>
      <c r="C703" s="27" t="s">
        <v>1075</v>
      </c>
      <c r="D703" s="27" t="s">
        <v>1026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1127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1318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1032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/>
    </row>
    <row r="708" spans="1:12">
      <c r="A708" s="20" t="s">
        <v>1434</v>
      </c>
    </row>
    <row r="709" spans="1:12">
      <c r="A709" s="20" t="s">
        <v>1435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1436</v>
      </c>
      <c r="B710" s="27" t="s">
        <v>1136</v>
      </c>
      <c r="C710" s="27" t="s">
        <v>1025</v>
      </c>
      <c r="D710" s="27" t="s">
        <v>1026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1041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388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1108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1437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1438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1127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1318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1439</v>
      </c>
      <c r="B718" s="27" t="s">
        <v>1024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1419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1440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1159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1441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1442</v>
      </c>
      <c r="B723" s="27" t="s">
        <v>1150</v>
      </c>
      <c r="C723" s="27" t="s">
        <v>1025</v>
      </c>
      <c r="D723" s="27" t="s">
        <v>1026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1443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1444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1445</v>
      </c>
      <c r="B726" s="27" t="s">
        <v>1082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1446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1032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/>
    </row>
    <row r="730" spans="1:12">
      <c r="A730" s="20" t="s">
        <v>1447</v>
      </c>
    </row>
    <row r="731" spans="1:12">
      <c r="A731" s="20" t="s">
        <v>1426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1448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1032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/>
    </row>
    <row r="735" spans="1:12">
      <c r="A735" s="20" t="s">
        <v>1449</v>
      </c>
    </row>
    <row r="736" spans="1:12">
      <c r="A736" s="20" t="s">
        <v>1450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170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1159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1451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1032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/>
    </row>
    <row r="742" spans="1:12">
      <c r="A742" s="20" t="s">
        <v>1452</v>
      </c>
    </row>
    <row r="743" spans="1:12">
      <c r="A743" s="20" t="s">
        <v>1023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1050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1203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1159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1453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1068</v>
      </c>
      <c r="B748" s="27" t="s">
        <v>1136</v>
      </c>
      <c r="C748" s="27" t="s">
        <v>1049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1135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1041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1030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1369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1370</v>
      </c>
      <c r="B753" s="27" t="s">
        <v>1082</v>
      </c>
      <c r="C753" s="27" t="s">
        <v>1088</v>
      </c>
      <c r="D753" s="27" t="s">
        <v>1026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1454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1455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1304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43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1068</v>
      </c>
      <c r="B758" s="27" t="s">
        <v>1136</v>
      </c>
      <c r="C758" s="27" t="s">
        <v>1049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1032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/>
    </row>
    <row r="761" spans="1:12">
      <c r="A761" s="20" t="s">
        <v>1456</v>
      </c>
    </row>
    <row r="762" spans="1:12">
      <c r="A762" s="20" t="s">
        <v>1457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1458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1459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1460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1050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1461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1462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1463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1041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1050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1464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1041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1050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1465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1466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1467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1468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1041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1384</v>
      </c>
      <c r="B780" s="27" t="s">
        <v>1048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1037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1469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1099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47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12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67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1470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1041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1279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1035</v>
      </c>
      <c r="B790" s="27" t="s">
        <v>1235</v>
      </c>
      <c r="C790" s="27" t="s">
        <v>1036</v>
      </c>
      <c r="D790" s="27" t="s">
        <v>1026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1471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1472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1473</v>
      </c>
      <c r="B793" s="27" t="s">
        <v>1084</v>
      </c>
      <c r="C793" s="27" t="s">
        <v>1049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1099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1455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1474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1475</v>
      </c>
      <c r="B797" s="27" t="s">
        <v>1045</v>
      </c>
      <c r="C797" s="27" t="s">
        <v>1049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1032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/>
    </row>
    <row r="800" spans="1:12">
      <c r="A800" s="20" t="s">
        <v>1476</v>
      </c>
    </row>
    <row r="801" spans="1:12">
      <c r="A801" s="20" t="s">
        <v>1477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170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1159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1302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1478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1415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1032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/>
    </row>
    <row r="809" spans="1:12">
      <c r="A809" s="20" t="s">
        <v>1479</v>
      </c>
    </row>
    <row r="810" spans="1:12">
      <c r="A810" s="20" t="s">
        <v>1480</v>
      </c>
      <c r="B810" s="27" t="s">
        <v>1024</v>
      </c>
      <c r="C810" s="27" t="s">
        <v>1025</v>
      </c>
      <c r="D810" s="27" t="s">
        <v>1026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1481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1471</v>
      </c>
      <c r="B812" s="27" t="s">
        <v>1143</v>
      </c>
      <c r="C812" s="27" t="s">
        <v>1025</v>
      </c>
      <c r="D812" s="27" t="s">
        <v>1026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1222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1482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1041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1483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1041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1484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1041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1485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1032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/>
    </row>
    <row r="823" spans="1:12">
      <c r="A823" s="20" t="s">
        <v>1486</v>
      </c>
    </row>
    <row r="824" spans="1:12">
      <c r="A824" s="20" t="s">
        <v>1125</v>
      </c>
      <c r="B824" s="27" t="s">
        <v>1024</v>
      </c>
      <c r="C824" s="27" t="s">
        <v>1036</v>
      </c>
      <c r="D824" s="27" t="s">
        <v>1026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1471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1159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1487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1488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1041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1489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1490</v>
      </c>
      <c r="B831" s="27" t="s">
        <v>1082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1390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1491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1105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1431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1293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1492</v>
      </c>
      <c r="B837" s="27" t="s">
        <v>1136</v>
      </c>
      <c r="C837" s="27" t="s">
        <v>1072</v>
      </c>
      <c r="D837" s="27" t="s">
        <v>1026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1267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1134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1415</v>
      </c>
      <c r="B840" s="27" t="s">
        <v>1084</v>
      </c>
      <c r="C840" s="27" t="s">
        <v>1088</v>
      </c>
      <c r="D840" s="27" t="s">
        <v>1026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1305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1493</v>
      </c>
      <c r="B842" s="27" t="s">
        <v>1059</v>
      </c>
      <c r="C842" s="27" t="s">
        <v>1025</v>
      </c>
      <c r="D842" s="27" t="s">
        <v>1026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1099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1100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1032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/>
    </row>
    <row r="847" spans="1:12">
      <c r="A847" s="20" t="s">
        <v>1494</v>
      </c>
    </row>
    <row r="848" spans="1:12">
      <c r="A848" s="20" t="s">
        <v>1034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1147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1369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1370</v>
      </c>
      <c r="B851" s="27" t="s">
        <v>1082</v>
      </c>
      <c r="C851" s="27" t="s">
        <v>1088</v>
      </c>
      <c r="D851" s="27" t="s">
        <v>1026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1495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1159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1441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1035</v>
      </c>
      <c r="B855" s="27" t="s">
        <v>1024</v>
      </c>
      <c r="C855" s="27" t="s">
        <v>1036</v>
      </c>
      <c r="D855" s="27" t="s">
        <v>1026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1284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1496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1497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/>
    </row>
    <row r="860" spans="1:12">
      <c r="A860" s="20" t="s">
        <v>1498</v>
      </c>
    </row>
    <row r="861" spans="1:12">
      <c r="A861" s="20" t="s">
        <v>1499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1500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1055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1070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1041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1212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1041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1085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1501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1475</v>
      </c>
      <c r="B871" s="27" t="s">
        <v>1136</v>
      </c>
      <c r="C871" s="27" t="s">
        <v>1049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1041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1502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1041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197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1280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1153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1503</v>
      </c>
      <c r="B878" s="27" t="s">
        <v>1150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1041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1279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1418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1345</v>
      </c>
      <c r="B882" s="27" t="s">
        <v>1136</v>
      </c>
      <c r="C882" s="27" t="s">
        <v>1049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1504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1370</v>
      </c>
      <c r="B884" s="27" t="s">
        <v>1082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1108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1320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1030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1041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1050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1505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1041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1506</v>
      </c>
      <c r="B892" s="27" t="s">
        <v>1082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1099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1507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1365</v>
      </c>
      <c r="B895" s="27" t="s">
        <v>1084</v>
      </c>
      <c r="C895" s="27" t="s">
        <v>1049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1366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1350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1041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1096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1508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1032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/>
    </row>
    <row r="903" spans="1:12">
      <c r="A903" s="20" t="s">
        <v>1509</v>
      </c>
    </row>
    <row r="904" spans="1:12">
      <c r="A904" s="20" t="s">
        <v>1510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1050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1511</v>
      </c>
      <c r="B906" s="27" t="s">
        <v>1080</v>
      </c>
      <c r="C906" s="27" t="s">
        <v>1151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1512</v>
      </c>
      <c r="B907" s="27" t="s">
        <v>1024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1513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1415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1222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1282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1299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1514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1515</v>
      </c>
      <c r="B914" s="27" t="s">
        <v>1082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1041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1062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1516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1517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1518</v>
      </c>
      <c r="B919" s="27" t="s">
        <v>1059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1032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/>
    </row>
    <row r="922" spans="1:12">
      <c r="A922" s="20" t="s">
        <v>1519</v>
      </c>
    </row>
    <row r="923" spans="1:12">
      <c r="A923" s="20" t="s">
        <v>1520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1521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1086</v>
      </c>
      <c r="B925" s="27" t="s">
        <v>1024</v>
      </c>
      <c r="C925" s="27" t="s">
        <v>1036</v>
      </c>
      <c r="D925" s="27" t="s">
        <v>1026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205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1041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305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510</v>
      </c>
      <c r="B929" s="27" t="s">
        <v>1082</v>
      </c>
      <c r="C929" s="27" t="s">
        <v>1025</v>
      </c>
      <c r="D929" s="27" t="s">
        <v>1026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1030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1522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1335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1523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1041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1524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1525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1526</v>
      </c>
      <c r="B937" s="27" t="s">
        <v>1059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1032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/>
    </row>
    <row r="940" spans="1:12">
      <c r="A940" s="20" t="s">
        <v>1527</v>
      </c>
    </row>
    <row r="941" spans="1:12">
      <c r="A941" s="20" t="s">
        <v>1528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1041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1429</v>
      </c>
      <c r="B943" s="27" t="s">
        <v>1024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1529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1041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1530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1099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1423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1415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1032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/>
    </row>
    <row r="952" spans="1:12">
      <c r="A952" s="20" t="s">
        <v>1531</v>
      </c>
    </row>
    <row r="953" spans="1:12">
      <c r="A953" s="20" t="s">
        <v>1532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1533</v>
      </c>
      <c r="B954" s="27" t="s">
        <v>1080</v>
      </c>
      <c r="C954" s="27" t="s">
        <v>1025</v>
      </c>
      <c r="D954" s="27" t="s">
        <v>1026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1041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1534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1041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1039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1535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1222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1536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1537</v>
      </c>
      <c r="B962" s="27" t="s">
        <v>1082</v>
      </c>
      <c r="C962" s="27" t="s">
        <v>1088</v>
      </c>
      <c r="D962" s="27" t="s">
        <v>1026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1107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1495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1032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1538</v>
      </c>
    </row>
    <row r="968" spans="1:12">
      <c r="A968" s="20" t="s">
        <v>1539</v>
      </c>
      <c r="B968" s="27" t="s">
        <v>1024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1030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1540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1041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1431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1541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1041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1542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1543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1544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1041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1545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1546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1547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1041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1545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1548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1549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1550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1041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1551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1127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1552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1553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1420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1085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1554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1555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1415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1032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/>
    </row>
    <row r="999" spans="1:12">
      <c r="A999" s="20" t="s">
        <v>1556</v>
      </c>
    </row>
    <row r="1000" spans="1:12">
      <c r="A1000" s="20" t="s">
        <v>1162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1557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1558</v>
      </c>
      <c r="B1002" s="27" t="s">
        <v>1080</v>
      </c>
      <c r="C1002" s="27" t="s">
        <v>1271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1149</v>
      </c>
      <c r="B1003" s="27" t="s">
        <v>1024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1559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1252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344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1470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1032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1560</v>
      </c>
    </row>
    <row r="1011" spans="1:12">
      <c r="A1011" s="20" t="s">
        <v>1162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1561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1562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1041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1212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1041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1563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1564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1565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1310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1050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1566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1567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1041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1568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1569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1570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1420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1571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1572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1032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/>
    </row>
    <row r="1033" spans="1:12">
      <c r="A1033" s="20" t="s">
        <v>1573</v>
      </c>
    </row>
    <row r="1034" spans="1:12">
      <c r="A1034" s="20" t="s">
        <v>1132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1041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1053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1574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1575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1576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1041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1577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1537</v>
      </c>
      <c r="B1042" s="27" t="s">
        <v>1024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1037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1578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1579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1050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1580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1041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1037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1041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1050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1581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1032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/>
    </row>
    <row r="1055" spans="1:12">
      <c r="A1055" s="20" t="s">
        <v>1582</v>
      </c>
    </row>
    <row r="1056" spans="1:12">
      <c r="A1056" s="20" t="s">
        <v>1077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1053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1583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1584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1585</v>
      </c>
      <c r="B1060" s="27" t="s">
        <v>1080</v>
      </c>
      <c r="C1060" s="27" t="s">
        <v>1049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1586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1035</v>
      </c>
      <c r="B1062" s="27" t="s">
        <v>1024</v>
      </c>
      <c r="C1062" s="27" t="s">
        <v>1036</v>
      </c>
      <c r="D1062" s="27" t="s">
        <v>1026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1108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30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1149</v>
      </c>
      <c r="B1065" s="27" t="s">
        <v>1143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1122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110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1068</v>
      </c>
      <c r="B1068" s="27" t="s">
        <v>1136</v>
      </c>
      <c r="C1068" s="27" t="s">
        <v>1049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1304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59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1068</v>
      </c>
      <c r="B1071" s="27" t="s">
        <v>1084</v>
      </c>
      <c r="C1071" s="27" t="s">
        <v>1049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1050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1587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1588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1041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1489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1035</v>
      </c>
      <c r="B1077" s="27" t="s">
        <v>1082</v>
      </c>
      <c r="C1077" s="27" t="s">
        <v>1036</v>
      </c>
      <c r="D1077" s="27" t="s">
        <v>1026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1107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21</v>
      </c>
      <c r="B1079" s="27" t="s">
        <v>1080</v>
      </c>
      <c r="C1079" s="27" t="s">
        <v>1036</v>
      </c>
      <c r="D1079" s="27" t="s">
        <v>1026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1041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201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1442</v>
      </c>
      <c r="B1082" s="27" t="s">
        <v>1059</v>
      </c>
      <c r="C1082" s="27" t="s">
        <v>1025</v>
      </c>
      <c r="D1082" s="27" t="s">
        <v>1026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284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1032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/>
    </row>
    <row r="1086" spans="1:12">
      <c r="A1086" s="20" t="s">
        <v>1589</v>
      </c>
    </row>
    <row r="1087" spans="1:12">
      <c r="A1087" s="20" t="s">
        <v>1426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1590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1428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1591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1429</v>
      </c>
      <c r="B1091" s="27" t="s">
        <v>1024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1159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1030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1406</v>
      </c>
      <c r="B1094" s="27" t="s">
        <v>1082</v>
      </c>
      <c r="C1094" s="27" t="s">
        <v>1025</v>
      </c>
      <c r="D1094" s="27" t="s">
        <v>1026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1118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1592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1159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1302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1303</v>
      </c>
      <c r="B1099" s="27" t="s">
        <v>1084</v>
      </c>
      <c r="C1099" s="27" t="s">
        <v>1072</v>
      </c>
      <c r="D1099" s="27" t="s">
        <v>1026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1221</v>
      </c>
      <c r="B1100" s="27" t="s">
        <v>1045</v>
      </c>
      <c r="C1100" s="27" t="s">
        <v>1075</v>
      </c>
      <c r="D1100" s="27" t="s">
        <v>1026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1099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1423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1424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1029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1032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/>
    </row>
    <row r="1107" spans="1:12">
      <c r="A1107" s="20" t="s">
        <v>1593</v>
      </c>
    </row>
    <row r="1108" spans="1:12">
      <c r="A1108" s="20" t="s">
        <v>1594</v>
      </c>
      <c r="B1108" s="27" t="s">
        <v>1024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1050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1079</v>
      </c>
      <c r="B1110" s="27" t="s">
        <v>1080</v>
      </c>
      <c r="C1110" s="27" t="s">
        <v>1036</v>
      </c>
      <c r="D1110" s="27" t="s">
        <v>1026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1041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197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1299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1595</v>
      </c>
      <c r="B1114" s="27" t="s">
        <v>1059</v>
      </c>
      <c r="C1114" s="27" t="s">
        <v>1025</v>
      </c>
      <c r="D1114" s="27" t="s">
        <v>1026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1432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1127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1318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1307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/>
    </row>
    <row r="1120" spans="1:12">
      <c r="A1120" s="20" t="s">
        <v>1596</v>
      </c>
    </row>
    <row r="1121" spans="1:12">
      <c r="A1121" s="20" t="s">
        <v>1597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1598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1599</v>
      </c>
      <c r="B1123" s="27" t="s">
        <v>1150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1159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205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1032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/>
    </row>
    <row r="1128" spans="1:12">
      <c r="A1128" s="20" t="s">
        <v>1600</v>
      </c>
    </row>
    <row r="1129" spans="1:12">
      <c r="A1129" s="20" t="s">
        <v>1597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1598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1224</v>
      </c>
      <c r="B1131" s="27" t="s">
        <v>1150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1159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205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1032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/>
    </row>
    <row r="1136" spans="1:12">
      <c r="A1136" s="20" t="s">
        <v>1601</v>
      </c>
    </row>
    <row r="1137" spans="1:12">
      <c r="A1137" s="20" t="s">
        <v>1602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1603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1604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1543</v>
      </c>
      <c r="B1140" s="27" t="s">
        <v>1024</v>
      </c>
      <c r="C1140" s="27" t="s">
        <v>1049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1605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1606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1041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1607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1608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1609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1610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1611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1030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1612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1613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1041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1614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1615</v>
      </c>
      <c r="B1154" s="27" t="s">
        <v>1143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1221</v>
      </c>
      <c r="B1155" s="27" t="s">
        <v>1136</v>
      </c>
      <c r="C1155" s="27" t="s">
        <v>1075</v>
      </c>
      <c r="D1155" s="27" t="s">
        <v>1026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1032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/>
    </row>
    <row r="1158" spans="1:12">
      <c r="A1158" s="20" t="s">
        <v>1616</v>
      </c>
    </row>
    <row r="1159" spans="1:12">
      <c r="A1159" s="20" t="s">
        <v>1617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1442</v>
      </c>
      <c r="B1160" s="27" t="s">
        <v>1143</v>
      </c>
      <c r="C1160" s="27" t="s">
        <v>1025</v>
      </c>
      <c r="D1160" s="27" t="s">
        <v>1026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1107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1618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1619</v>
      </c>
      <c r="B1163" s="27" t="s">
        <v>1024</v>
      </c>
      <c r="C1163" s="27" t="s">
        <v>1620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1041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1621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1041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1622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1431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1623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1624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1625</v>
      </c>
      <c r="B1171" s="27" t="s">
        <v>1150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1050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1626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1627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1032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/>
    </row>
    <row r="1177" spans="1:12">
      <c r="A1177" s="20" t="s">
        <v>1628</v>
      </c>
    </row>
    <row r="1178" spans="1:12">
      <c r="A1178" s="20" t="s">
        <v>1629</v>
      </c>
      <c r="B1178" s="27" t="s">
        <v>1143</v>
      </c>
      <c r="C1178" s="27" t="s">
        <v>1025</v>
      </c>
      <c r="D1178" s="27" t="s">
        <v>1026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1300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1630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1631</v>
      </c>
      <c r="B1181" s="27" t="s">
        <v>1024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1032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/>
    </row>
    <row r="1184" spans="1:12">
      <c r="A1184" s="20" t="s">
        <v>1632</v>
      </c>
    </row>
    <row r="1185" spans="1:12">
      <c r="A1185" s="20" t="s">
        <v>1633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1634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1635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952</v>
      </c>
      <c r="B1188" s="27" t="s">
        <v>1024</v>
      </c>
      <c r="C1188" s="27" t="s">
        <v>1025</v>
      </c>
      <c r="D1188" s="27" t="s">
        <v>1026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1107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1636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1050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1637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1638</v>
      </c>
      <c r="B1193" s="27" t="s">
        <v>1024</v>
      </c>
      <c r="C1193" s="27" t="s">
        <v>1036</v>
      </c>
      <c r="D1193" s="27" t="s">
        <v>1026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1639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1032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/>
    </row>
    <row r="1197" spans="1:12">
      <c r="A1197" s="20" t="s">
        <v>1640</v>
      </c>
    </row>
    <row r="1198" spans="1:12">
      <c r="A1198" s="20" t="s">
        <v>1641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1159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1035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1631</v>
      </c>
      <c r="B1201" s="27" t="s">
        <v>1024</v>
      </c>
      <c r="C1201" s="27" t="s">
        <v>1088</v>
      </c>
      <c r="D1201" s="27" t="s">
        <v>1026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1032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/>
    </row>
    <row r="1204" spans="1:12">
      <c r="A1204" s="20" t="s">
        <v>1642</v>
      </c>
    </row>
    <row r="1205" spans="1:12">
      <c r="A1205" s="20" t="s">
        <v>1643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265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1159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1631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1032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1644</v>
      </c>
    </row>
    <row r="1212" spans="1:12">
      <c r="A1212" s="20" t="s">
        <v>1645</v>
      </c>
      <c r="B1212" s="27" t="s">
        <v>1024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1030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1646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12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1506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1159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1631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1032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/>
    </row>
    <row r="1221" spans="1:12">
      <c r="A1221" s="20" t="s">
        <v>1647</v>
      </c>
    </row>
    <row r="1222" spans="1:12">
      <c r="A1222" s="20" t="s">
        <v>1648</v>
      </c>
      <c r="B1222" s="27" t="s">
        <v>1024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1050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1649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1650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1050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1461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1651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1652</v>
      </c>
      <c r="B1229" s="27" t="s">
        <v>1136</v>
      </c>
      <c r="C1229" s="27" t="s">
        <v>1049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1032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/>
    </row>
    <row r="1232" spans="1:12">
      <c r="A1232" s="20" t="s">
        <v>1653</v>
      </c>
    </row>
    <row r="1233" spans="1:12">
      <c r="A1233" s="20" t="s">
        <v>1654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1050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1395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1588</v>
      </c>
      <c r="B1236" s="27" t="s">
        <v>1080</v>
      </c>
      <c r="C1236" s="27" t="s">
        <v>1088</v>
      </c>
      <c r="D1236" s="27" t="s">
        <v>1026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205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1655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1656</v>
      </c>
      <c r="B1239" s="27" t="s">
        <v>1024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1041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205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1657</v>
      </c>
      <c r="B1242" s="27" t="s">
        <v>1082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1041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1127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1658</v>
      </c>
      <c r="B1245" s="27" t="s">
        <v>1339</v>
      </c>
      <c r="C1245" s="27" t="s">
        <v>1151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1388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1659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1631</v>
      </c>
      <c r="B1248" s="27" t="s">
        <v>1235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1032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/>
    </row>
    <row r="1251" spans="1:12">
      <c r="A1251" s="20" t="s">
        <v>1660</v>
      </c>
    </row>
    <row r="1252" spans="1:12">
      <c r="A1252" s="20" t="s">
        <v>1654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1064</v>
      </c>
      <c r="B1253" s="27" t="s">
        <v>1024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1661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1442</v>
      </c>
      <c r="B1255" s="27" t="s">
        <v>1143</v>
      </c>
      <c r="C1255" s="27" t="s">
        <v>1025</v>
      </c>
      <c r="D1255" s="27" t="s">
        <v>1026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1631</v>
      </c>
      <c r="B1256" s="27" t="s">
        <v>1082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1310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1107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1661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1041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1489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1107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1213</v>
      </c>
      <c r="B1263" s="27" t="s">
        <v>1082</v>
      </c>
      <c r="C1263" s="27" t="s">
        <v>1025</v>
      </c>
      <c r="D1263" s="27" t="s">
        <v>1026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1607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1533</v>
      </c>
      <c r="B1265" s="27" t="s">
        <v>1136</v>
      </c>
      <c r="C1265" s="27" t="s">
        <v>1025</v>
      </c>
      <c r="D1265" s="27" t="s">
        <v>1026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1662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1032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/>
    </row>
    <row r="1269" spans="1:12">
      <c r="A1269" s="20" t="s">
        <v>1663</v>
      </c>
    </row>
    <row r="1270" spans="1:12">
      <c r="A1270" s="20" t="s">
        <v>1077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1536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1431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1293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1664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1665</v>
      </c>
      <c r="B1275" s="27" t="s">
        <v>1080</v>
      </c>
      <c r="C1275" s="27" t="s">
        <v>1088</v>
      </c>
      <c r="D1275" s="27" t="s">
        <v>1026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1041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1666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1667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284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1041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1385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1668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1669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1670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1671</v>
      </c>
      <c r="B1285" s="27" t="s">
        <v>1080</v>
      </c>
      <c r="C1285" s="27" t="s">
        <v>1049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1030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1672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1631</v>
      </c>
      <c r="B1288" s="27" t="s">
        <v>1150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1050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1232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1673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1674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1292</v>
      </c>
      <c r="B1293" s="27" t="s">
        <v>1082</v>
      </c>
      <c r="C1293" s="27" t="s">
        <v>1025</v>
      </c>
      <c r="D1293" s="27" t="s">
        <v>1026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1675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1041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1431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197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1676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1677</v>
      </c>
      <c r="B1299" s="27" t="s">
        <v>1409</v>
      </c>
      <c r="C1299" s="27" t="s">
        <v>1025</v>
      </c>
      <c r="D1299" s="27" t="s">
        <v>1026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1678</v>
      </c>
      <c r="B1300" s="27" t="s">
        <v>1045</v>
      </c>
      <c r="C1300" s="27" t="s">
        <v>1036</v>
      </c>
      <c r="D1300" s="27" t="s">
        <v>1026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1032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/>
    </row>
    <row r="1303" spans="1:12">
      <c r="A1303" s="20" t="s">
        <v>1679</v>
      </c>
    </row>
    <row r="1304" spans="1:12">
      <c r="A1304" s="20" t="s">
        <v>1680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1299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1681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1682</v>
      </c>
      <c r="B1307" s="27" t="s">
        <v>1024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1041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1683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1684</v>
      </c>
      <c r="B1310" s="27" t="s">
        <v>1024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1041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1685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1686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1687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1688</v>
      </c>
      <c r="B1315" s="27" t="s">
        <v>1409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1307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/>
    </row>
    <row r="1318" spans="1:12">
      <c r="A1318" s="20" t="s">
        <v>1689</v>
      </c>
    </row>
    <row r="1319" spans="1:12">
      <c r="A1319" s="20" t="s">
        <v>1292</v>
      </c>
      <c r="B1319" s="27" t="s">
        <v>1024</v>
      </c>
      <c r="C1319" s="27" t="s">
        <v>1025</v>
      </c>
      <c r="D1319" s="27" t="s">
        <v>1026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1690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1041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1431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1345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1691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952</v>
      </c>
      <c r="B1325" s="27" t="s">
        <v>1082</v>
      </c>
      <c r="C1325" s="27" t="s">
        <v>1025</v>
      </c>
      <c r="D1325" s="27" t="s">
        <v>1026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1692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1693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1099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1694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1695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1696</v>
      </c>
      <c r="B1331" s="27" t="s">
        <v>1136</v>
      </c>
      <c r="C1331" s="27" t="s">
        <v>1049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1041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1030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1697</v>
      </c>
      <c r="B1334" s="27" t="s">
        <v>1150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1035</v>
      </c>
      <c r="B1335" s="27" t="s">
        <v>1082</v>
      </c>
      <c r="C1335" s="27" t="s">
        <v>1036</v>
      </c>
      <c r="D1335" s="27" t="s">
        <v>1026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1698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1699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1032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/>
    </row>
    <row r="1340" spans="1:12">
      <c r="A1340" s="20" t="s">
        <v>1700</v>
      </c>
    </row>
    <row r="1341" spans="1:12">
      <c r="A1341" s="20" t="s">
        <v>1701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1702</v>
      </c>
      <c r="B1342" s="27" t="s">
        <v>1024</v>
      </c>
      <c r="C1342" s="27" t="s">
        <v>1075</v>
      </c>
      <c r="D1342" s="27" t="s">
        <v>1026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1703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1704</v>
      </c>
      <c r="B1344" s="27" t="s">
        <v>1136</v>
      </c>
      <c r="C1344" s="27" t="s">
        <v>1025</v>
      </c>
      <c r="D1344" s="27" t="s">
        <v>1026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1705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1706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1041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1707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1708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1041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1709</v>
      </c>
      <c r="B1351" s="27" t="s">
        <v>1235</v>
      </c>
      <c r="C1351" s="27" t="s">
        <v>1151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1471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1710</v>
      </c>
      <c r="B1353" s="27" t="s">
        <v>1409</v>
      </c>
      <c r="C1353" s="27" t="s">
        <v>1049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1711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1122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1712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1032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/>
    </row>
    <row r="1359" spans="1:12">
      <c r="A1359" s="20" t="s">
        <v>1713</v>
      </c>
    </row>
    <row r="1360" spans="1:12">
      <c r="A1360" s="20" t="s">
        <v>1265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1174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1041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1471</v>
      </c>
      <c r="B1363" s="27" t="s">
        <v>1024</v>
      </c>
      <c r="C1363" s="27" t="s">
        <v>1025</v>
      </c>
      <c r="D1363" s="27" t="s">
        <v>1026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1041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201</v>
      </c>
      <c r="B1365" s="27" t="s">
        <v>1048</v>
      </c>
      <c r="C1365" s="27" t="s">
        <v>1151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1714</v>
      </c>
      <c r="B1366" s="27" t="s">
        <v>1059</v>
      </c>
      <c r="C1366" s="27" t="s">
        <v>1025</v>
      </c>
      <c r="D1366" s="27" t="s">
        <v>1026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1715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1050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1716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1159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1717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1718</v>
      </c>
      <c r="B1372" s="27" t="s">
        <v>1409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1032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1719</v>
      </c>
    </row>
    <row r="1376" spans="1:12">
      <c r="A1376" s="20" t="s">
        <v>1720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1035</v>
      </c>
      <c r="B1377" s="27" t="s">
        <v>1024</v>
      </c>
      <c r="C1377" s="27" t="s">
        <v>1036</v>
      </c>
      <c r="D1377" s="27" t="s">
        <v>1026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1108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1721</v>
      </c>
      <c r="B1379" s="27" t="s">
        <v>1080</v>
      </c>
      <c r="C1379" s="27" t="s">
        <v>1046</v>
      </c>
      <c r="D1379" s="27" t="s">
        <v>1026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1722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1050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1723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1724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1725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1050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1395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1726</v>
      </c>
      <c r="B1387" s="27" t="s">
        <v>1080</v>
      </c>
      <c r="C1387" s="27" t="s">
        <v>1088</v>
      </c>
      <c r="D1387" s="27" t="s">
        <v>1026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1032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/>
    </row>
    <row r="1390" spans="1:12">
      <c r="A1390" s="20" t="s">
        <v>1727</v>
      </c>
    </row>
    <row r="1391" spans="1:12">
      <c r="A1391" s="20" t="s">
        <v>1510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1039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1718</v>
      </c>
      <c r="B1393" s="27" t="s">
        <v>1024</v>
      </c>
      <c r="C1393" s="27" t="s">
        <v>1049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1032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/>
    </row>
    <row r="1396" spans="1:12">
      <c r="A1396" s="20" t="s">
        <v>1728</v>
      </c>
    </row>
    <row r="1397" spans="1:12">
      <c r="A1397" s="20" t="s">
        <v>1729</v>
      </c>
      <c r="B1397" s="27" t="s">
        <v>1143</v>
      </c>
      <c r="C1397" s="27" t="s">
        <v>1025</v>
      </c>
      <c r="D1397" s="27" t="s">
        <v>1026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1730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1041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201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510</v>
      </c>
      <c r="B1401" s="27" t="s">
        <v>1082</v>
      </c>
      <c r="C1401" s="27" t="s">
        <v>1025</v>
      </c>
      <c r="D1401" s="27" t="s">
        <v>1026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1107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1731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1032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/>
    </row>
    <row r="1406" spans="1:12">
      <c r="A1406" s="20" t="s">
        <v>1732</v>
      </c>
    </row>
    <row r="1407" spans="1:12">
      <c r="A1407" s="20" t="s">
        <v>1146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21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1041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510</v>
      </c>
      <c r="B1411" s="27" t="s">
        <v>1024</v>
      </c>
      <c r="C1411" s="27" t="s">
        <v>1025</v>
      </c>
      <c r="D1411" s="27" t="s">
        <v>1026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1252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1419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1733</v>
      </c>
      <c r="B1414" s="27" t="s">
        <v>1059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1734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1107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1735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1736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305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1041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1737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1738</v>
      </c>
      <c r="B1422" s="27" t="s">
        <v>1136</v>
      </c>
      <c r="C1422" s="27" t="s">
        <v>1072</v>
      </c>
      <c r="D1422" s="27" t="s">
        <v>1026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1739</v>
      </c>
      <c r="B1423" s="27" t="s">
        <v>1084</v>
      </c>
      <c r="C1423" s="27" t="s">
        <v>1072</v>
      </c>
      <c r="D1423" s="27" t="s">
        <v>1026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1086</v>
      </c>
      <c r="B1424" s="27" t="s">
        <v>1045</v>
      </c>
      <c r="C1424" s="27" t="s">
        <v>1036</v>
      </c>
      <c r="D1424" s="27" t="s">
        <v>1026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1740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1741</v>
      </c>
      <c r="B1426" s="27" t="s">
        <v>1082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1041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1279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1390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1094</v>
      </c>
      <c r="B1430" s="27" t="s">
        <v>1084</v>
      </c>
      <c r="C1430" s="27" t="s">
        <v>1025</v>
      </c>
      <c r="D1430" s="27" t="s">
        <v>1026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205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1742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1743</v>
      </c>
      <c r="B1433" s="27" t="s">
        <v>1048</v>
      </c>
      <c r="C1433" s="27" t="s">
        <v>1271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1032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1744</v>
      </c>
    </row>
    <row r="1437" spans="1:12">
      <c r="A1437" s="20" t="s">
        <v>1629</v>
      </c>
      <c r="B1437" s="27" t="s">
        <v>1143</v>
      </c>
      <c r="C1437" s="27" t="s">
        <v>1025</v>
      </c>
      <c r="D1437" s="27" t="s">
        <v>1026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1745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1746</v>
      </c>
      <c r="B1439" s="27" t="s">
        <v>1024</v>
      </c>
      <c r="C1439" s="27" t="s">
        <v>1049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1041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1747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1310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1039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1041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1748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1749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1030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1750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1751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1032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/>
    </row>
    <row r="1452" spans="1:12">
      <c r="A1452" s="20" t="s">
        <v>1752</v>
      </c>
    </row>
    <row r="1453" spans="1:12">
      <c r="A1453" s="20" t="s">
        <v>1753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1754</v>
      </c>
      <c r="B1454" s="27" t="s">
        <v>1082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1755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1669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1651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1562</v>
      </c>
      <c r="B1458" s="27" t="s">
        <v>1136</v>
      </c>
      <c r="C1458" s="27" t="s">
        <v>1049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1041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952</v>
      </c>
      <c r="B1460" s="27" t="s">
        <v>1024</v>
      </c>
      <c r="C1460" s="27" t="s">
        <v>1025</v>
      </c>
      <c r="D1460" s="27" t="s">
        <v>1026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1756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1757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1758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1759</v>
      </c>
      <c r="B1464" s="27" t="s">
        <v>1080</v>
      </c>
      <c r="C1464" s="27" t="s">
        <v>1049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1122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1760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1761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1762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1032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/>
    </row>
    <row r="1471" spans="1:12">
      <c r="A1471" s="20" t="s">
        <v>1763</v>
      </c>
    </row>
    <row r="1472" spans="1:12">
      <c r="A1472" s="20" t="s">
        <v>1292</v>
      </c>
      <c r="B1472" s="27" t="s">
        <v>1024</v>
      </c>
      <c r="C1472" s="27" t="s">
        <v>1025</v>
      </c>
      <c r="D1472" s="27" t="s">
        <v>1026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1107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1027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1764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1765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1766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1041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1767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1029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1041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1768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1769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1030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1770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1032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/>
    </row>
    <row r="1489" spans="1:12">
      <c r="A1489" s="20" t="s">
        <v>1771</v>
      </c>
    </row>
    <row r="1490" spans="1:12">
      <c r="A1490" s="20" t="s">
        <v>1772</v>
      </c>
      <c r="B1490" s="27" t="s">
        <v>1024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1419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1094</v>
      </c>
      <c r="B1492" s="27" t="s">
        <v>1136</v>
      </c>
      <c r="C1492" s="27" t="s">
        <v>1025</v>
      </c>
      <c r="D1492" s="27" t="s">
        <v>1026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1152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1516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1773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1774</v>
      </c>
      <c r="B1496" s="27" t="s">
        <v>1150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1041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1030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1147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1406</v>
      </c>
      <c r="B1500" s="27" t="s">
        <v>1048</v>
      </c>
      <c r="C1500" s="27" t="s">
        <v>1025</v>
      </c>
      <c r="D1500" s="27" t="s">
        <v>1026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1118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1775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1776</v>
      </c>
      <c r="B1503" s="27" t="s">
        <v>1238</v>
      </c>
      <c r="C1503" s="27" t="s">
        <v>1046</v>
      </c>
      <c r="D1503" s="27" t="s">
        <v>1026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1777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1041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21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1708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1778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1032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/>
    </row>
    <row r="1511" spans="1:12">
      <c r="A1511" s="20" t="s">
        <v>1779</v>
      </c>
    </row>
    <row r="1512" spans="1:12">
      <c r="A1512" s="20" t="s">
        <v>1077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1780</v>
      </c>
      <c r="B1513" s="27" t="s">
        <v>1024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1050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1079</v>
      </c>
      <c r="B1515" s="27" t="s">
        <v>1080</v>
      </c>
      <c r="C1515" s="27" t="s">
        <v>1036</v>
      </c>
      <c r="D1515" s="27" t="s">
        <v>1026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1041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201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1053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1781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1419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1134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1782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1759</v>
      </c>
      <c r="B1523" s="27" t="s">
        <v>1084</v>
      </c>
      <c r="C1523" s="27" t="s">
        <v>1049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284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1783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1030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1107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1784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1757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1785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1093</v>
      </c>
      <c r="B1531" s="27" t="s">
        <v>1045</v>
      </c>
      <c r="C1531" s="27" t="s">
        <v>1036</v>
      </c>
      <c r="D1531" s="27" t="s">
        <v>1026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1041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201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360</v>
      </c>
      <c r="B1534" s="27" t="s">
        <v>1290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1786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1787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1041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1042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201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1788</v>
      </c>
      <c r="B1540" s="27" t="s">
        <v>1247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1419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1134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1789</v>
      </c>
      <c r="B1543" s="27" t="s">
        <v>1069</v>
      </c>
      <c r="C1543" s="27" t="s">
        <v>1088</v>
      </c>
      <c r="D1543" s="27" t="s">
        <v>1026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1232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1790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1032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/>
    </row>
    <row r="1548" spans="1:12">
      <c r="A1548" s="20" t="s">
        <v>1791</v>
      </c>
    </row>
    <row r="1549" spans="1:12">
      <c r="A1549" s="20" t="s">
        <v>1426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1792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1430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1099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1793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1794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1795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1041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1112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1796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1041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1112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1349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1032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/>
    </row>
    <row r="1564" spans="1:12">
      <c r="A1564" s="20" t="s">
        <v>1797</v>
      </c>
    </row>
    <row r="1565" spans="1:12">
      <c r="A1565" s="20" t="s">
        <v>1798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1799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1041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426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1471</v>
      </c>
      <c r="B1569" s="27" t="s">
        <v>1024</v>
      </c>
      <c r="C1569" s="27" t="s">
        <v>1025</v>
      </c>
      <c r="D1569" s="27" t="s">
        <v>1026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1119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1041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1279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1035</v>
      </c>
      <c r="B1573" s="27" t="s">
        <v>1082</v>
      </c>
      <c r="C1573" s="27" t="s">
        <v>1036</v>
      </c>
      <c r="D1573" s="27" t="s">
        <v>1026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1107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1441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1032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/>
    </row>
    <row r="1578" spans="1:12">
      <c r="A1578" s="20" t="s">
        <v>1800</v>
      </c>
    </row>
    <row r="1579" spans="1:12">
      <c r="A1579" s="20" t="s">
        <v>1801</v>
      </c>
      <c r="B1579" s="27" t="s">
        <v>1024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1050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1079</v>
      </c>
      <c r="B1581" s="27" t="s">
        <v>1080</v>
      </c>
      <c r="C1581" s="27" t="s">
        <v>1036</v>
      </c>
      <c r="D1581" s="27" t="s">
        <v>1026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1041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1062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1802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1803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1804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1419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1805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1223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1224</v>
      </c>
      <c r="B1590" s="27" t="s">
        <v>1150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1041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1806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1595</v>
      </c>
      <c r="B1593" s="27" t="s">
        <v>1150</v>
      </c>
      <c r="C1593" s="27" t="s">
        <v>1025</v>
      </c>
      <c r="D1593" s="27" t="s">
        <v>1026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1304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1807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1808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1041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1809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1810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1030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1811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1041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201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1406</v>
      </c>
      <c r="B1604" s="27" t="s">
        <v>1235</v>
      </c>
      <c r="C1604" s="27" t="s">
        <v>1025</v>
      </c>
      <c r="D1604" s="27" t="s">
        <v>1026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1812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1107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1813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1032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/>
    </row>
    <row r="1610" spans="1:12">
      <c r="A1610" s="20" t="s">
        <v>1814</v>
      </c>
    </row>
    <row r="1611" spans="1:12">
      <c r="A1611" s="20" t="s">
        <v>1680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1039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1815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1816</v>
      </c>
      <c r="B1614" s="27" t="s">
        <v>1024</v>
      </c>
      <c r="C1614" s="27" t="s">
        <v>1049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1041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1817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1304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241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12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312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1818</v>
      </c>
      <c r="B1621" s="27" t="s">
        <v>1084</v>
      </c>
      <c r="C1621" s="27" t="s">
        <v>1072</v>
      </c>
      <c r="D1621" s="27" t="s">
        <v>1026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1221</v>
      </c>
      <c r="B1622" s="27" t="s">
        <v>1045</v>
      </c>
      <c r="C1622" s="27" t="s">
        <v>1075</v>
      </c>
      <c r="D1622" s="27" t="s">
        <v>1026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1041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1279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1819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1304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1316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383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1470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1030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1563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1395</v>
      </c>
      <c r="B1632" s="27" t="s">
        <v>1045</v>
      </c>
      <c r="C1632" s="27" t="s">
        <v>1036</v>
      </c>
      <c r="D1632" s="27" t="s">
        <v>1026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1820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822</v>
      </c>
      <c r="B1634" s="27" t="s">
        <v>1409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1821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1822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1823</v>
      </c>
      <c r="B1637" s="27" t="s">
        <v>1339</v>
      </c>
      <c r="C1637" s="27" t="s">
        <v>1036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1221</v>
      </c>
      <c r="B1638" s="27" t="s">
        <v>1397</v>
      </c>
      <c r="C1638" s="27" t="s">
        <v>1075</v>
      </c>
      <c r="D1638" s="27" t="s">
        <v>1026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1108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1232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1824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1032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/>
    </row>
    <row r="1644" spans="1:12">
      <c r="A1644" s="20" t="s">
        <v>1825</v>
      </c>
    </row>
    <row r="1645" spans="1:12">
      <c r="A1645" s="20" t="s">
        <v>1077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1826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1827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1159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1828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1829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1821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1032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/>
    </row>
    <row r="1654" spans="1:12">
      <c r="A1654" s="20" t="s">
        <v>1830</v>
      </c>
    </row>
    <row r="1655" spans="1:12">
      <c r="A1655" s="20" t="s">
        <v>1831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197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88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1832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1050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1833</v>
      </c>
      <c r="B1660" s="27" t="s">
        <v>1136</v>
      </c>
      <c r="C1660" s="27" t="s">
        <v>1025</v>
      </c>
      <c r="D1660" s="27" t="s">
        <v>1026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1307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/>
    </row>
    <row r="1663" spans="1:12">
      <c r="A1663" s="20" t="s">
        <v>1834</v>
      </c>
    </row>
    <row r="1664" spans="1:12">
      <c r="A1664" s="20" t="s">
        <v>1835</v>
      </c>
      <c r="B1664" s="27" t="s">
        <v>1024</v>
      </c>
      <c r="C1664" s="27" t="s">
        <v>1151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1037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1836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1837</v>
      </c>
      <c r="B1667" s="27" t="s">
        <v>1150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1099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1838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1041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1050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1839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1293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1840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1041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1096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1841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1842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1843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1041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1612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1030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1844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1307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/>
    </row>
    <row r="1686" spans="1:12">
      <c r="A1686" s="20" t="s">
        <v>1845</v>
      </c>
    </row>
    <row r="1687" spans="1:12">
      <c r="A1687" s="20" t="s">
        <v>1125</v>
      </c>
      <c r="B1687" s="27" t="s">
        <v>1024</v>
      </c>
      <c r="C1687" s="27" t="s">
        <v>1036</v>
      </c>
      <c r="D1687" s="27" t="s">
        <v>1026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1298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372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1302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1032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1846</v>
      </c>
    </row>
    <row r="1694" spans="1:12">
      <c r="A1694" s="20" t="s">
        <v>1405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1041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1035</v>
      </c>
      <c r="B1696" s="27" t="s">
        <v>1024</v>
      </c>
      <c r="C1696" s="27" t="s">
        <v>1036</v>
      </c>
      <c r="D1696" s="27" t="s">
        <v>1026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1847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360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1032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/>
    </row>
    <row r="1701" spans="1:12">
      <c r="A1701" s="20" t="s">
        <v>1848</v>
      </c>
    </row>
    <row r="1702" spans="1:12">
      <c r="A1702" s="20" t="s">
        <v>1849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1159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1850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364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1032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1851</v>
      </c>
    </row>
    <row r="1709" spans="1:12">
      <c r="A1709" s="20" t="s">
        <v>1852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1853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1854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1580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1840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1855</v>
      </c>
      <c r="B1714" s="27" t="s">
        <v>1024</v>
      </c>
      <c r="C1714" s="27" t="s">
        <v>1049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1032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/>
    </row>
    <row r="1717" spans="1:12">
      <c r="A1717" s="20" t="s">
        <v>1856</v>
      </c>
    </row>
    <row r="1718" spans="1:12">
      <c r="A1718" s="20" t="s">
        <v>1857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1041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1858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1859</v>
      </c>
      <c r="B1721" s="27" t="s">
        <v>1024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1041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1860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1050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1861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1862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1863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1864</v>
      </c>
      <c r="B1728" s="27" t="s">
        <v>1084</v>
      </c>
      <c r="C1728" s="27" t="s">
        <v>1072</v>
      </c>
      <c r="D1728" s="27" t="s">
        <v>1026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1865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1866</v>
      </c>
      <c r="B1730" s="27" t="s">
        <v>1045</v>
      </c>
      <c r="C1730" s="27" t="s">
        <v>1088</v>
      </c>
      <c r="D1730" s="27" t="s">
        <v>1026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1032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/>
    </row>
    <row r="1733" spans="1:12">
      <c r="A1733" s="20" t="s">
        <v>1867</v>
      </c>
    </row>
    <row r="1734" spans="1:12">
      <c r="A1734" s="20" t="s">
        <v>1868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1041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345</v>
      </c>
      <c r="B1736" s="27" t="s">
        <v>1024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1869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1041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376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1870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1041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201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1619</v>
      </c>
      <c r="B1743" s="27" t="s">
        <v>1082</v>
      </c>
      <c r="C1743" s="27" t="s">
        <v>1620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1107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1871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1041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201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1252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1563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1872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1873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1874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1050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1875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1876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1041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1877</v>
      </c>
      <c r="B1757" s="27" t="s">
        <v>1048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1107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1878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1099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1879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1880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1032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/>
    </row>
    <row r="1765" spans="1:12">
      <c r="A1765" s="20" t="s">
        <v>1881</v>
      </c>
    </row>
    <row r="1766" spans="1:12">
      <c r="A1766" s="20" t="s">
        <v>1034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1041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1534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1041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201</v>
      </c>
      <c r="B1770" s="27" t="s">
        <v>1143</v>
      </c>
      <c r="C1770" s="27" t="s">
        <v>1151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380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1122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1882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1307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/>
    </row>
    <row r="1776" spans="1:12">
      <c r="A1776" s="20" t="s">
        <v>1883</v>
      </c>
    </row>
    <row r="1777" spans="1:12">
      <c r="A1777" s="20" t="s">
        <v>1884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1115</v>
      </c>
      <c r="B1778" s="27" t="s">
        <v>1082</v>
      </c>
      <c r="C1778" s="27" t="s">
        <v>1025</v>
      </c>
      <c r="D1778" s="27" t="s">
        <v>1026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1030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1107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1441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1114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1041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1369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103</v>
      </c>
      <c r="B1785" s="27" t="s">
        <v>1024</v>
      </c>
      <c r="C1785" s="27" t="s">
        <v>1088</v>
      </c>
      <c r="D1785" s="27" t="s">
        <v>1026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1226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1885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1886</v>
      </c>
      <c r="B1788" s="27" t="s">
        <v>1143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1032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/>
    </row>
    <row r="1791" spans="1:12">
      <c r="A1791" s="20" t="s">
        <v>1887</v>
      </c>
    </row>
    <row r="1792" spans="1:12">
      <c r="A1792" s="20" t="s">
        <v>1888</v>
      </c>
      <c r="B1792" s="27" t="s">
        <v>1024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1889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294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1890</v>
      </c>
      <c r="B1795" s="27" t="s">
        <v>1150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1891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1032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/>
    </row>
    <row r="1799" spans="1:12">
      <c r="A1799" s="20" t="s">
        <v>1892</v>
      </c>
    </row>
    <row r="1800" spans="1:12">
      <c r="A1800" s="20" t="s">
        <v>1510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1580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1232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1893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1855</v>
      </c>
      <c r="B1804" s="27" t="s">
        <v>1080</v>
      </c>
      <c r="C1804" s="27" t="s">
        <v>1049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1041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1894</v>
      </c>
      <c r="B1806" s="27" t="s">
        <v>1059</v>
      </c>
      <c r="C1806" s="27" t="s">
        <v>1151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1050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1895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564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197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1041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1489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1042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1041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1896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1783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1897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1898</v>
      </c>
      <c r="B1818" s="27" t="s">
        <v>1084</v>
      </c>
      <c r="C1818" s="27" t="s">
        <v>1025</v>
      </c>
      <c r="D1818" s="27" t="s">
        <v>1026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1032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1899</v>
      </c>
    </row>
    <row r="1822" spans="1:12">
      <c r="A1822" s="20" t="s">
        <v>1900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1580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1419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1782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1759</v>
      </c>
      <c r="B1826" s="27" t="s">
        <v>1136</v>
      </c>
      <c r="C1826" s="27" t="s">
        <v>1049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952</v>
      </c>
      <c r="B1827" s="27" t="s">
        <v>1024</v>
      </c>
      <c r="C1827" s="27" t="s">
        <v>1025</v>
      </c>
      <c r="D1827" s="27" t="s">
        <v>1026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1901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1032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/>
    </row>
    <row r="1831" spans="1:12">
      <c r="A1831" s="20" t="s">
        <v>1902</v>
      </c>
    </row>
    <row r="1832" spans="1:12">
      <c r="A1832" s="20" t="s">
        <v>1125</v>
      </c>
      <c r="B1832" s="27" t="s">
        <v>1024</v>
      </c>
      <c r="C1832" s="27" t="s">
        <v>1036</v>
      </c>
      <c r="D1832" s="27" t="s">
        <v>1026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1441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1903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1904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400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1032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/>
    </row>
    <row r="1839" spans="1:12">
      <c r="A1839" s="20" t="s">
        <v>1905</v>
      </c>
    </row>
    <row r="1840" spans="1:12">
      <c r="A1840" s="20" t="s">
        <v>1906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1041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1907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1041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201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1085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1094</v>
      </c>
      <c r="B1846" s="27" t="s">
        <v>1136</v>
      </c>
      <c r="C1846" s="27" t="s">
        <v>1025</v>
      </c>
      <c r="D1846" s="27" t="s">
        <v>1026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1107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1908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1795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1041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1279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1030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510</v>
      </c>
      <c r="B1853" s="27" t="s">
        <v>1235</v>
      </c>
      <c r="C1853" s="27" t="s">
        <v>1025</v>
      </c>
      <c r="D1853" s="27" t="s">
        <v>1026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1909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1910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1032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1911</v>
      </c>
    </row>
    <row r="1859" spans="1:12">
      <c r="A1859" s="20" t="s">
        <v>1450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1159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1912</v>
      </c>
      <c r="B1861" s="27" t="s">
        <v>1024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1029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1041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1913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1914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1134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1915</v>
      </c>
      <c r="B1867" s="27" t="s">
        <v>1084</v>
      </c>
      <c r="C1867" s="27" t="s">
        <v>1088</v>
      </c>
      <c r="D1867" s="27" t="s">
        <v>1026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1041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1571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1916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1041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1096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1050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1917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1032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/>
    </row>
    <row r="1877" spans="1:12">
      <c r="A1877" s="20" t="s">
        <v>1918</v>
      </c>
    </row>
    <row r="1878" spans="1:12">
      <c r="A1878" s="20" t="s">
        <v>1125</v>
      </c>
      <c r="B1878" s="27" t="s">
        <v>1024</v>
      </c>
      <c r="C1878" s="27" t="s">
        <v>1036</v>
      </c>
      <c r="D1878" s="27" t="s">
        <v>1026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1159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1919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1920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1041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1921</v>
      </c>
      <c r="B1883" s="27" t="s">
        <v>1082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1922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1764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1923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1099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1114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1924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1925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1041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1050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1926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1293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1927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1041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1096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1928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1929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1930</v>
      </c>
      <c r="B1900" s="27" t="s">
        <v>1048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1032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/>
    </row>
    <row r="1903" spans="1:12">
      <c r="A1903" s="20" t="s">
        <v>1931</v>
      </c>
    </row>
    <row r="1904" spans="1:12">
      <c r="A1904" s="20" t="s">
        <v>1138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1093</v>
      </c>
      <c r="B1905" s="27" t="s">
        <v>1080</v>
      </c>
      <c r="C1905" s="27" t="s">
        <v>1036</v>
      </c>
      <c r="D1905" s="27" t="s">
        <v>1026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1041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1932</v>
      </c>
      <c r="B1907" s="27" t="s">
        <v>1024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1029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1933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1032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/>
    </row>
    <row r="1912" spans="1:12">
      <c r="A1912" s="20" t="s">
        <v>1934</v>
      </c>
    </row>
    <row r="1913" spans="1:12">
      <c r="A1913" s="20" t="s">
        <v>1935</v>
      </c>
      <c r="B1913" s="27" t="s">
        <v>1024</v>
      </c>
      <c r="C1913" s="27" t="s">
        <v>1075</v>
      </c>
      <c r="D1913" s="27" t="s">
        <v>1026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1936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1107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1937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1938</v>
      </c>
      <c r="B1917" s="27" t="s">
        <v>1143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1041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1385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1030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1107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1418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1938</v>
      </c>
      <c r="B1923" s="27" t="s">
        <v>1136</v>
      </c>
      <c r="C1923" s="27" t="s">
        <v>1049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1041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1472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1431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1030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1939</v>
      </c>
      <c r="B1928" s="27" t="s">
        <v>1235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1940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1032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/>
    </row>
    <row r="1932" spans="1:12">
      <c r="A1932" s="20" t="s">
        <v>1941</v>
      </c>
    </row>
    <row r="1933" spans="1:12">
      <c r="A1933" s="20" t="s">
        <v>1942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1042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1041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1147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1213</v>
      </c>
      <c r="B1937" s="27" t="s">
        <v>1082</v>
      </c>
      <c r="C1937" s="27" t="s">
        <v>1025</v>
      </c>
      <c r="D1937" s="27" t="s">
        <v>1026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1943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1390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1134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1613</v>
      </c>
      <c r="B1941" s="27" t="s">
        <v>1136</v>
      </c>
      <c r="C1941" s="27" t="s">
        <v>1088</v>
      </c>
      <c r="D1941" s="27" t="s">
        <v>1026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1041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21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284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1944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217</v>
      </c>
      <c r="B1946" s="27" t="s">
        <v>1150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1945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1029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1607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1710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1946</v>
      </c>
      <c r="B1951" s="27" t="s">
        <v>1045</v>
      </c>
      <c r="C1951" s="27" t="s">
        <v>1072</v>
      </c>
      <c r="D1951" s="27" t="s">
        <v>1026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1210</v>
      </c>
      <c r="B1952" s="27" t="s">
        <v>1238</v>
      </c>
      <c r="C1952" s="27" t="s">
        <v>1025</v>
      </c>
      <c r="D1952" s="27" t="s">
        <v>1026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1099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1947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1032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/>
    </row>
    <row r="1957" spans="1:12">
      <c r="A1957" s="20" t="s">
        <v>1948</v>
      </c>
    </row>
    <row r="1958" spans="1:12">
      <c r="A1958" s="20" t="s">
        <v>1852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1949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1855</v>
      </c>
      <c r="B1960" s="27" t="s">
        <v>1024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1122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1950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1032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/>
    </row>
    <row r="1965" spans="1:12">
      <c r="A1965" s="20" t="s">
        <v>1951</v>
      </c>
    </row>
    <row r="1966" spans="1:12">
      <c r="A1966" s="20" t="s">
        <v>1952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1122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1953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1099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1954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1032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/>
    </row>
    <row r="1973" spans="1:12">
      <c r="A1973" s="20" t="s">
        <v>1955</v>
      </c>
    </row>
    <row r="1974" spans="1:12">
      <c r="A1974" s="20" t="s">
        <v>1956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1041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1147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1932</v>
      </c>
      <c r="B1977" s="27" t="s">
        <v>1082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1029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1957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1607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1958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1959</v>
      </c>
      <c r="B1982" s="27" t="s">
        <v>1045</v>
      </c>
      <c r="C1982" s="27" t="s">
        <v>1046</v>
      </c>
      <c r="D1982" s="27" t="s">
        <v>1026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1960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1041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21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1961</v>
      </c>
      <c r="B1986" s="27" t="s">
        <v>1143</v>
      </c>
      <c r="C1986" s="27" t="s">
        <v>1025</v>
      </c>
      <c r="D1986" s="27" t="s">
        <v>1026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1962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1107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1963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1964</v>
      </c>
      <c r="B1990" s="27" t="s">
        <v>1024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1041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1279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1030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1965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1390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1966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1967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1029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1968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1032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/>
    </row>
    <row r="2002" spans="1:12">
      <c r="A2002" s="20" t="s">
        <v>1969</v>
      </c>
    </row>
    <row r="2003" spans="1:12">
      <c r="A2003" s="20" t="s">
        <v>1034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1041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1534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1041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103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1821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1032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/>
    </row>
    <row r="2011" spans="1:12">
      <c r="A2011" s="20" t="s">
        <v>1970</v>
      </c>
    </row>
    <row r="2012" spans="1:12">
      <c r="A2012" s="20" t="s">
        <v>1971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1972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1973</v>
      </c>
      <c r="B2014" s="27" t="s">
        <v>1150</v>
      </c>
      <c r="C2014" s="27" t="s">
        <v>1072</v>
      </c>
      <c r="D2014" s="27" t="s">
        <v>1026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1865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1855</v>
      </c>
      <c r="B2016" s="27" t="s">
        <v>1084</v>
      </c>
      <c r="C2016" s="27" t="s">
        <v>1088</v>
      </c>
      <c r="D2016" s="27" t="s">
        <v>1026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1041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952</v>
      </c>
      <c r="B2018" s="27" t="s">
        <v>1024</v>
      </c>
      <c r="C2018" s="27" t="s">
        <v>1025</v>
      </c>
      <c r="D2018" s="27" t="s">
        <v>1026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1974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1975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1976</v>
      </c>
      <c r="B2021" s="27" t="s">
        <v>1143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1097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1977</v>
      </c>
      <c r="B2023" s="27" t="s">
        <v>1136</v>
      </c>
      <c r="C2023" s="27" t="s">
        <v>1049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1978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174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1979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1159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1085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1547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1041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1980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1041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1981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1041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1982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1041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1085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1436</v>
      </c>
      <c r="B2038" s="27" t="s">
        <v>1084</v>
      </c>
      <c r="C2038" s="27" t="s">
        <v>1025</v>
      </c>
      <c r="D2038" s="27" t="s">
        <v>1026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1159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1030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1983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1035</v>
      </c>
      <c r="B2042" s="27" t="s">
        <v>1059</v>
      </c>
      <c r="C2042" s="27" t="s">
        <v>1036</v>
      </c>
      <c r="D2042" s="27" t="s">
        <v>1026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1122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1984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1985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1986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1987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1032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/>
    </row>
    <row r="2050" spans="1:12">
      <c r="A2050" s="20" t="s">
        <v>1988</v>
      </c>
    </row>
    <row r="2051" spans="1:12">
      <c r="A2051" s="20" t="s">
        <v>1989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1041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201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1097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1978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1990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1979</v>
      </c>
      <c r="B2057" s="27" t="s">
        <v>1082</v>
      </c>
      <c r="C2057" s="27" t="s">
        <v>1049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1991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1757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1099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47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1992</v>
      </c>
      <c r="B2062" s="27" t="s">
        <v>1136</v>
      </c>
      <c r="C2062" s="27" t="s">
        <v>1049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1993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1420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1032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1994</v>
      </c>
    </row>
    <row r="2068" spans="1:12">
      <c r="A2068" s="20" t="s">
        <v>1132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1041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426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1995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1996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1997</v>
      </c>
      <c r="B2073" s="27" t="s">
        <v>1024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1041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1638</v>
      </c>
      <c r="B2075" s="27" t="s">
        <v>1082</v>
      </c>
      <c r="C2075" s="27" t="s">
        <v>1036</v>
      </c>
      <c r="D2075" s="27" t="s">
        <v>1026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1050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1998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1293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1778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1041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1096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21</v>
      </c>
      <c r="B2082" s="27" t="s">
        <v>1136</v>
      </c>
      <c r="C2082" s="27" t="s">
        <v>1036</v>
      </c>
      <c r="D2082" s="27" t="s">
        <v>1026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1041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201</v>
      </c>
      <c r="B2084" s="27" t="s">
        <v>1235</v>
      </c>
      <c r="C2084" s="27" t="s">
        <v>1151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1999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2000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2001</v>
      </c>
      <c r="B2087" s="27" t="s">
        <v>1409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1032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/>
    </row>
    <row r="2090" spans="1:12">
      <c r="A2090" s="20" t="s">
        <v>2002</v>
      </c>
    </row>
    <row r="2091" spans="1:12">
      <c r="A2091" s="20" t="s">
        <v>1125</v>
      </c>
      <c r="B2091" s="27" t="s">
        <v>1024</v>
      </c>
      <c r="C2091" s="27" t="s">
        <v>1036</v>
      </c>
      <c r="D2091" s="27" t="s">
        <v>1026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2003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1041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1279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1030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1107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1441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2004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1032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/>
    </row>
    <row r="2101" spans="1:12">
      <c r="A2101" s="20" t="s">
        <v>2005</v>
      </c>
    </row>
    <row r="2102" spans="1:12">
      <c r="A2102" s="20" t="s">
        <v>2006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103</v>
      </c>
      <c r="B2103" s="27" t="s">
        <v>1024</v>
      </c>
      <c r="C2103" s="27" t="s">
        <v>1036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2007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1041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1147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1213</v>
      </c>
      <c r="B2107" s="27" t="s">
        <v>1082</v>
      </c>
      <c r="C2107" s="27" t="s">
        <v>1025</v>
      </c>
      <c r="D2107" s="27" t="s">
        <v>1026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1214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601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1390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2008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2009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1099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87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12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125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1470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1927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1029</v>
      </c>
      <c r="B2119" s="27" t="s">
        <v>1084</v>
      </c>
      <c r="C2119" s="27" t="s">
        <v>1049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1041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1096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1908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1085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2010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2011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1032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/>
    </row>
    <row r="2128" spans="1:12">
      <c r="A2128" s="20" t="s">
        <v>2012</v>
      </c>
    </row>
    <row r="2129" spans="1:12">
      <c r="A2129" s="20" t="s">
        <v>1597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1213</v>
      </c>
      <c r="B2130" s="27" t="s">
        <v>1082</v>
      </c>
      <c r="C2130" s="27" t="s">
        <v>1025</v>
      </c>
      <c r="D2130" s="27" t="s">
        <v>1026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2013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1943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1390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2009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1041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21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1085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1086</v>
      </c>
      <c r="B2138" s="27" t="s">
        <v>1080</v>
      </c>
      <c r="C2138" s="27" t="s">
        <v>1036</v>
      </c>
      <c r="D2138" s="27" t="s">
        <v>1026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2014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2015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1631</v>
      </c>
      <c r="B2141" s="27" t="s">
        <v>1024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12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2016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1032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/>
    </row>
    <row r="2146" spans="1:12">
      <c r="A2146" s="20" t="s">
        <v>2017</v>
      </c>
    </row>
    <row r="2147" spans="1:12">
      <c r="A2147" s="20" t="s">
        <v>2018</v>
      </c>
      <c r="B2147" s="27" t="s">
        <v>1143</v>
      </c>
      <c r="C2147" s="27" t="s">
        <v>1151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1284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380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1307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/>
    </row>
    <row r="2152" spans="1:12">
      <c r="A2152" s="20" t="s">
        <v>2019</v>
      </c>
    </row>
    <row r="2153" spans="1:12">
      <c r="A2153" s="20" t="s">
        <v>1831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465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1127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1865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2020</v>
      </c>
      <c r="B2157" s="27" t="s">
        <v>1080</v>
      </c>
      <c r="C2157" s="27" t="s">
        <v>1088</v>
      </c>
      <c r="D2157" s="27" t="s">
        <v>1026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1307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/>
    </row>
    <row r="2160" spans="1:12">
      <c r="A2160" s="20" t="s">
        <v>2021</v>
      </c>
    </row>
    <row r="2161" spans="1:12">
      <c r="A2161" s="20" t="s">
        <v>2022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469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2023</v>
      </c>
      <c r="B2163" s="27" t="s">
        <v>1080</v>
      </c>
      <c r="C2163" s="27" t="s">
        <v>1075</v>
      </c>
      <c r="D2163" s="27" t="s">
        <v>1026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1693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1085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2024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2025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1695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1307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/>
    </row>
    <row r="2171" spans="1:12">
      <c r="A2171" s="20" t="s">
        <v>2026</v>
      </c>
    </row>
    <row r="2172" spans="1:12">
      <c r="A2172" s="20" t="s">
        <v>1831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473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2027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1307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/>
    </row>
    <row r="2177" spans="1:12">
      <c r="A2177" s="20" t="s">
        <v>2028</v>
      </c>
    </row>
    <row r="2178" spans="1:12">
      <c r="A2178" s="20" t="s">
        <v>2029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2030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1127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2031</v>
      </c>
      <c r="B2181" s="27" t="s">
        <v>1136</v>
      </c>
      <c r="C2181" s="27" t="s">
        <v>1036</v>
      </c>
      <c r="D2181" s="27" t="s">
        <v>1026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1114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2032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1222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1998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1032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/>
    </row>
    <row r="2188" spans="1:12">
      <c r="A2188" s="20" t="s">
        <v>2033</v>
      </c>
    </row>
    <row r="2189" spans="1:12">
      <c r="A2189" s="20" t="s">
        <v>2034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1781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1419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1134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1782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1759</v>
      </c>
      <c r="B2194" s="27" t="s">
        <v>1136</v>
      </c>
      <c r="C2194" s="27" t="s">
        <v>1088</v>
      </c>
      <c r="D2194" s="27" t="s">
        <v>1026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1300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1431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2035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2036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2037</v>
      </c>
      <c r="B2199" s="27" t="s">
        <v>1024</v>
      </c>
      <c r="C2199" s="27" t="s">
        <v>1049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1032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/>
    </row>
    <row r="2202" spans="1:12">
      <c r="A2202" s="20" t="s">
        <v>2038</v>
      </c>
    </row>
    <row r="2203" spans="1:12">
      <c r="A2203" s="20" t="s">
        <v>2039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1651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1419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1094</v>
      </c>
      <c r="B2206" s="27" t="s">
        <v>1084</v>
      </c>
      <c r="C2206" s="27" t="s">
        <v>1025</v>
      </c>
      <c r="D2206" s="27" t="s">
        <v>1026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197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1108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585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1041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201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510</v>
      </c>
      <c r="B2212" s="27" t="s">
        <v>1048</v>
      </c>
      <c r="C2212" s="27" t="s">
        <v>1025</v>
      </c>
      <c r="D2212" s="27" t="s">
        <v>1026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2040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1032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/>
    </row>
    <row r="2216" spans="1:12">
      <c r="A2216" s="20" t="s">
        <v>2041</v>
      </c>
    </row>
    <row r="2217" spans="1:12">
      <c r="A2217" s="20" t="s">
        <v>1034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1035</v>
      </c>
      <c r="B2218" s="27" t="s">
        <v>1024</v>
      </c>
      <c r="C2218" s="27" t="s">
        <v>1036</v>
      </c>
      <c r="D2218" s="27" t="s">
        <v>1026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1159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2042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1032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/>
    </row>
    <row r="2223" spans="1:12">
      <c r="A2223" s="20" t="s">
        <v>2043</v>
      </c>
    </row>
    <row r="2224" spans="1:12">
      <c r="A2224" s="20" t="s">
        <v>1292</v>
      </c>
      <c r="B2224" s="27" t="s">
        <v>1024</v>
      </c>
      <c r="C2224" s="27" t="s">
        <v>1025</v>
      </c>
      <c r="D2224" s="27" t="s">
        <v>1026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2044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1041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201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2045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1135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426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1041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1099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2046</v>
      </c>
      <c r="B2233" s="27" t="s">
        <v>1084</v>
      </c>
      <c r="C2233" s="27" t="s">
        <v>1075</v>
      </c>
      <c r="D2233" s="27" t="s">
        <v>1026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1041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2047</v>
      </c>
      <c r="B2235" s="27" t="s">
        <v>1235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2048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1678</v>
      </c>
      <c r="B2237" s="27" t="s">
        <v>1045</v>
      </c>
      <c r="C2237" s="27" t="s">
        <v>1036</v>
      </c>
      <c r="D2237" s="27" t="s">
        <v>1026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2049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1032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/>
    </row>
    <row r="2241" spans="1:12">
      <c r="A2241" s="20" t="s">
        <v>2050</v>
      </c>
    </row>
    <row r="2242" spans="1:12">
      <c r="A2242" s="20" t="s">
        <v>724</v>
      </c>
      <c r="B2242" s="27" t="s">
        <v>1024</v>
      </c>
      <c r="C2242" s="27" t="s">
        <v>1075</v>
      </c>
      <c r="D2242" s="27" t="s">
        <v>1026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2051</v>
      </c>
      <c r="B2243" s="27" t="s">
        <v>1136</v>
      </c>
      <c r="C2243" s="27" t="s">
        <v>1075</v>
      </c>
      <c r="D2243" s="27" t="s">
        <v>1026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1244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1039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2052</v>
      </c>
      <c r="B2246" s="27" t="s">
        <v>1080</v>
      </c>
      <c r="C2246" s="27" t="s">
        <v>1049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1032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/>
    </row>
    <row r="2249" spans="1:12">
      <c r="A2249" s="20" t="s">
        <v>2053</v>
      </c>
    </row>
    <row r="2250" spans="1:12">
      <c r="A2250" s="20" t="s">
        <v>2054</v>
      </c>
      <c r="B2250" s="27" t="s">
        <v>1024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1419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1094</v>
      </c>
      <c r="B2252" s="27" t="s">
        <v>1136</v>
      </c>
      <c r="C2252" s="27" t="s">
        <v>1025</v>
      </c>
      <c r="D2252" s="27" t="s">
        <v>1026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2055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2056</v>
      </c>
      <c r="B2254" s="27" t="s">
        <v>1080</v>
      </c>
      <c r="C2254" s="27" t="s">
        <v>1075</v>
      </c>
      <c r="D2254" s="27" t="s">
        <v>1026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1032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/>
    </row>
    <row r="2257" spans="1:12">
      <c r="A2257" s="20" t="s">
        <v>2057</v>
      </c>
    </row>
    <row r="2258" spans="1:12">
      <c r="A2258" s="20" t="s">
        <v>2058</v>
      </c>
      <c r="B2258" s="27" t="s">
        <v>1024</v>
      </c>
      <c r="C2258" s="27" t="s">
        <v>1025</v>
      </c>
      <c r="D2258" s="27" t="s">
        <v>1026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2059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2060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2061</v>
      </c>
      <c r="B2261" s="27" t="s">
        <v>1143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1053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2062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2063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1029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1032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/>
    </row>
    <row r="2268" spans="1:12">
      <c r="A2268" s="20" t="s">
        <v>2064</v>
      </c>
    </row>
    <row r="2269" spans="1:12">
      <c r="A2269" s="20" t="s">
        <v>2065</v>
      </c>
      <c r="B2269" s="27" t="s">
        <v>1024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2066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2067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1050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2068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2032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1032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/>
    </row>
    <row r="2277" spans="1:12">
      <c r="A2277" s="20" t="s">
        <v>2069</v>
      </c>
    </row>
    <row r="2278" spans="1:12">
      <c r="A2278" s="20" t="s">
        <v>1520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1094</v>
      </c>
      <c r="B2279" s="27" t="s">
        <v>1080</v>
      </c>
      <c r="C2279" s="27" t="s">
        <v>1025</v>
      </c>
      <c r="D2279" s="27" t="s">
        <v>1026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2070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2071</v>
      </c>
      <c r="B2281" s="27" t="s">
        <v>1024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1030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2072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2073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1041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1030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952</v>
      </c>
      <c r="B2287" s="27" t="s">
        <v>1082</v>
      </c>
      <c r="C2287" s="27" t="s">
        <v>1025</v>
      </c>
      <c r="D2287" s="27" t="s">
        <v>1026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2074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2075</v>
      </c>
      <c r="B2289" s="27" t="s">
        <v>1059</v>
      </c>
      <c r="C2289" s="27" t="s">
        <v>1025</v>
      </c>
      <c r="D2289" s="27" t="s">
        <v>1026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2076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1032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/>
    </row>
    <row r="2293" spans="1:12">
      <c r="A2293" s="20" t="s">
        <v>2077</v>
      </c>
    </row>
    <row r="2294" spans="1:12">
      <c r="A2294" s="20" t="s">
        <v>2078</v>
      </c>
      <c r="B2294" s="27" t="s">
        <v>1024</v>
      </c>
      <c r="C2294" s="27" t="s">
        <v>1025</v>
      </c>
      <c r="D2294" s="27" t="s">
        <v>1026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1122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2079</v>
      </c>
      <c r="B2296" s="27" t="s">
        <v>1136</v>
      </c>
      <c r="C2296" s="27" t="s">
        <v>1075</v>
      </c>
      <c r="D2296" s="27" t="s">
        <v>1026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2080</v>
      </c>
      <c r="B2297" s="27" t="s">
        <v>1084</v>
      </c>
      <c r="C2297" s="27" t="s">
        <v>1075</v>
      </c>
      <c r="D2297" s="27" t="s">
        <v>1026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2081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2082</v>
      </c>
      <c r="B2299" s="27" t="s">
        <v>1143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2083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2084</v>
      </c>
      <c r="B2301" s="27" t="s">
        <v>1143</v>
      </c>
      <c r="C2301" s="27" t="s">
        <v>1049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1041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2085</v>
      </c>
      <c r="B2303" s="27" t="s">
        <v>1048</v>
      </c>
      <c r="C2303" s="27" t="s">
        <v>1151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1041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1431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1799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1035</v>
      </c>
      <c r="B2307" s="27" t="s">
        <v>1235</v>
      </c>
      <c r="C2307" s="27" t="s">
        <v>1036</v>
      </c>
      <c r="D2307" s="27" t="s">
        <v>1026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2086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2087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2088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1041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2089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1050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2090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2091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1174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1032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/>
    </row>
    <row r="2319" spans="1:12">
      <c r="A2319" s="20" t="s">
        <v>2092</v>
      </c>
    </row>
    <row r="2320" spans="1:12">
      <c r="A2320" s="20" t="s">
        <v>1162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2091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2093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1039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2094</v>
      </c>
      <c r="B2324" s="27" t="s">
        <v>1024</v>
      </c>
      <c r="C2324" s="27" t="s">
        <v>1049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1041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1541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1041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2095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1030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2096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1032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/>
    </row>
    <row r="2333" spans="1:12">
      <c r="A2333" s="20" t="s">
        <v>2097</v>
      </c>
    </row>
    <row r="2334" spans="1:12">
      <c r="A2334" s="20" t="s">
        <v>2098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1050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1395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2099</v>
      </c>
      <c r="B2337" s="27" t="s">
        <v>1080</v>
      </c>
      <c r="C2337" s="27" t="s">
        <v>1088</v>
      </c>
      <c r="D2337" s="27" t="s">
        <v>1026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2100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2101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2102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1041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1489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1042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2103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1041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201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2104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1114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2105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1030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2106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2107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1032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/>
    </row>
    <row r="2355" spans="1:12">
      <c r="A2355" s="20" t="s">
        <v>2108</v>
      </c>
    </row>
    <row r="2356" spans="1:12">
      <c r="A2356" s="20" t="s">
        <v>1801</v>
      </c>
      <c r="B2356" s="27" t="s">
        <v>1080</v>
      </c>
      <c r="C2356" s="27" t="s">
        <v>1072</v>
      </c>
      <c r="D2356" s="27" t="s">
        <v>1026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2109</v>
      </c>
      <c r="B2357" s="27" t="s">
        <v>1080</v>
      </c>
      <c r="C2357" s="27" t="s">
        <v>1072</v>
      </c>
      <c r="D2357" s="27" t="s">
        <v>1026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2110</v>
      </c>
      <c r="B2358" s="27" t="s">
        <v>1136</v>
      </c>
      <c r="C2358" s="27" t="s">
        <v>1075</v>
      </c>
      <c r="D2358" s="27" t="s">
        <v>1026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1050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1079</v>
      </c>
      <c r="B2360" s="27" t="s">
        <v>1136</v>
      </c>
      <c r="C2360" s="27" t="s">
        <v>1036</v>
      </c>
      <c r="D2360" s="27" t="s">
        <v>1026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1041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1062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2111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2112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1055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2113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1041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1093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2114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10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1470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1041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2115</v>
      </c>
      <c r="B2373" s="27" t="s">
        <v>1225</v>
      </c>
      <c r="C2373" s="27" t="s">
        <v>1151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2116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2117</v>
      </c>
      <c r="B2375" s="27" t="s">
        <v>1238</v>
      </c>
      <c r="C2375" s="27" t="s">
        <v>1049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12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860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1041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473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2112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379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1470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1041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201</v>
      </c>
      <c r="B2384" s="27" t="s">
        <v>1247</v>
      </c>
      <c r="C2384" s="27" t="s">
        <v>1151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1282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2113</v>
      </c>
      <c r="B2386" s="27" t="s">
        <v>1339</v>
      </c>
      <c r="C2386" s="27" t="s">
        <v>1049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12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870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1032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/>
    </row>
    <row r="2391" spans="1:12">
      <c r="A2391" s="20" t="s">
        <v>2118</v>
      </c>
    </row>
    <row r="2392" spans="1:12">
      <c r="A2392" s="20" t="s">
        <v>2119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525</v>
      </c>
      <c r="B2393" s="27" t="s">
        <v>1024</v>
      </c>
      <c r="C2393" s="27" t="s">
        <v>1088</v>
      </c>
      <c r="D2393" s="27" t="s">
        <v>1026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1786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2120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1041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1279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1099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2121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2122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1373</v>
      </c>
      <c r="B2401" s="27" t="s">
        <v>1082</v>
      </c>
      <c r="C2401" s="27" t="s">
        <v>1025</v>
      </c>
      <c r="D2401" s="27" t="s">
        <v>1026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2102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2048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2123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1050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2124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1041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1279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1085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1210</v>
      </c>
      <c r="B2410" s="27" t="s">
        <v>1084</v>
      </c>
      <c r="C2410" s="27" t="s">
        <v>1025</v>
      </c>
      <c r="D2410" s="27" t="s">
        <v>1026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2125</v>
      </c>
      <c r="B2411" s="27" t="s">
        <v>1136</v>
      </c>
      <c r="C2411" s="27" t="s">
        <v>1072</v>
      </c>
      <c r="D2411" s="27" t="s">
        <v>1026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1107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2126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2127</v>
      </c>
      <c r="B2414" s="27" t="s">
        <v>1082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2128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2129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2130</v>
      </c>
      <c r="B2417" s="27" t="s">
        <v>1409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1032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/>
    </row>
    <row r="2420" spans="1:12">
      <c r="A2420" s="20" t="s">
        <v>2131</v>
      </c>
    </row>
    <row r="2421" spans="1:12">
      <c r="A2421" s="20" t="s">
        <v>1034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1963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1590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1041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1191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2132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2133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1041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2134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2135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2130</v>
      </c>
      <c r="B2431" s="27" t="s">
        <v>1150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1030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2136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1041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201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1385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1041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1563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2137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2138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1127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2139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1041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2140</v>
      </c>
      <c r="B2444" s="27" t="s">
        <v>1235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1037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2141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2142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1032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/>
    </row>
    <row r="2450" spans="1:12">
      <c r="A2450" s="20" t="s">
        <v>2143</v>
      </c>
    </row>
    <row r="2451" spans="1:12">
      <c r="A2451" s="20" t="s">
        <v>1942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2144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2145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2048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1603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379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1470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1041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21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1859</v>
      </c>
      <c r="B2460" s="27" t="s">
        <v>1024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2146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2147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1032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/>
    </row>
    <row r="2465" spans="1:12">
      <c r="A2465" s="20" t="s">
        <v>2148</v>
      </c>
    </row>
    <row r="2466" spans="1:12">
      <c r="A2466" s="20" t="s">
        <v>2149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2150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571</v>
      </c>
      <c r="B2468" s="27" t="s">
        <v>1024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1041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1030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1041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1350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1093</v>
      </c>
      <c r="B2473" s="27" t="s">
        <v>1136</v>
      </c>
      <c r="C2473" s="27" t="s">
        <v>1036</v>
      </c>
      <c r="D2473" s="27" t="s">
        <v>1026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1041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197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1598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1050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2151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1795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1603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571</v>
      </c>
      <c r="B2481" s="27" t="s">
        <v>1048</v>
      </c>
      <c r="C2481" s="27" t="s">
        <v>1049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2152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2153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1032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/>
    </row>
    <row r="2486" spans="1:12">
      <c r="A2486" s="20" t="s">
        <v>2154</v>
      </c>
    </row>
    <row r="2487" spans="1:12">
      <c r="A2487" s="20" t="s">
        <v>1736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201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1041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1107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2155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1607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1115</v>
      </c>
      <c r="B2493" s="27" t="s">
        <v>1084</v>
      </c>
      <c r="C2493" s="27" t="s">
        <v>1046</v>
      </c>
      <c r="D2493" s="27" t="s">
        <v>1026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2156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284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1041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1489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1119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2157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1115</v>
      </c>
      <c r="B2500" s="27" t="s">
        <v>1150</v>
      </c>
      <c r="C2500" s="27" t="s">
        <v>1025</v>
      </c>
      <c r="D2500" s="27" t="s">
        <v>1026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1032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/>
    </row>
    <row r="2503" spans="1:12">
      <c r="A2503" s="20" t="s">
        <v>2158</v>
      </c>
    </row>
    <row r="2504" spans="1:12">
      <c r="A2504" s="20" t="s">
        <v>1125</v>
      </c>
      <c r="B2504" s="27" t="s">
        <v>1024</v>
      </c>
      <c r="C2504" s="27" t="s">
        <v>1036</v>
      </c>
      <c r="D2504" s="27" t="s">
        <v>1026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2159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1032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/>
    </row>
    <row r="2508" spans="1:12">
      <c r="A2508" s="20" t="s">
        <v>2160</v>
      </c>
    </row>
    <row r="2509" spans="1:12">
      <c r="A2509" s="20" t="s">
        <v>2119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2161</v>
      </c>
      <c r="B2510" s="27" t="s">
        <v>1024</v>
      </c>
      <c r="C2510" s="27" t="s">
        <v>1088</v>
      </c>
      <c r="D2510" s="27" t="s">
        <v>1026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2162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2163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1041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1314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2164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1032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/>
    </row>
    <row r="2518" spans="1:12">
      <c r="A2518" s="20" t="s">
        <v>2165</v>
      </c>
    </row>
    <row r="2519" spans="1:12">
      <c r="A2519" s="20" t="s">
        <v>1125</v>
      </c>
      <c r="B2519" s="27" t="s">
        <v>1024</v>
      </c>
      <c r="C2519" s="27" t="s">
        <v>1036</v>
      </c>
      <c r="D2519" s="27" t="s">
        <v>1026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1431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557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1032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/>
    </row>
    <row r="2524" spans="1:12">
      <c r="A2524" s="20" t="s">
        <v>2166</v>
      </c>
    </row>
    <row r="2525" spans="1:12">
      <c r="A2525" s="20" t="s">
        <v>2167</v>
      </c>
      <c r="B2525" s="27" t="s">
        <v>1024</v>
      </c>
      <c r="C2525" s="27" t="s">
        <v>1025</v>
      </c>
      <c r="D2525" s="27" t="s">
        <v>1026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2168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2169</v>
      </c>
      <c r="B2527" s="27" t="s">
        <v>1143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2170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1041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2115</v>
      </c>
      <c r="B2530" s="27" t="s">
        <v>1048</v>
      </c>
      <c r="C2530" s="27" t="s">
        <v>1151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2171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2055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2172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2173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2174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1032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/>
    </row>
    <row r="2538" spans="1:12">
      <c r="A2538" s="20" t="s">
        <v>2175</v>
      </c>
    </row>
    <row r="2539" spans="1:12">
      <c r="A2539" s="20" t="s">
        <v>2176</v>
      </c>
      <c r="B2539" s="27" t="s">
        <v>1024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2177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2178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1053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1055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1795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1032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/>
    </row>
    <row r="2547" spans="1:12">
      <c r="A2547" s="20" t="s">
        <v>2179</v>
      </c>
    </row>
    <row r="2548" spans="1:12">
      <c r="A2548" s="20" t="s">
        <v>1510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2180</v>
      </c>
      <c r="B2549" s="27" t="s">
        <v>1024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1507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2181</v>
      </c>
      <c r="B2551" s="27" t="s">
        <v>1136</v>
      </c>
      <c r="C2551" s="27" t="s">
        <v>1049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1050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2182</v>
      </c>
      <c r="B2553" s="27" t="s">
        <v>1084</v>
      </c>
      <c r="C2553" s="27" t="s">
        <v>1072</v>
      </c>
      <c r="D2553" s="27" t="s">
        <v>1026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2183</v>
      </c>
      <c r="B2554" s="27" t="s">
        <v>1045</v>
      </c>
      <c r="C2554" s="27" t="s">
        <v>1075</v>
      </c>
      <c r="D2554" s="27" t="s">
        <v>1026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1032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/>
    </row>
    <row r="2557" spans="1:12">
      <c r="A2557" s="20" t="s">
        <v>2184</v>
      </c>
    </row>
    <row r="2558" spans="1:12">
      <c r="A2558" s="20" t="s">
        <v>1125</v>
      </c>
      <c r="B2558" s="27" t="s">
        <v>1024</v>
      </c>
      <c r="C2558" s="27" t="s">
        <v>1036</v>
      </c>
      <c r="D2558" s="27" t="s">
        <v>1026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1159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2185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2186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571</v>
      </c>
      <c r="B2562" s="27" t="s">
        <v>1080</v>
      </c>
      <c r="C2562" s="27" t="s">
        <v>1088</v>
      </c>
      <c r="D2562" s="27" t="s">
        <v>1026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1041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379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1470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1041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1419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2187</v>
      </c>
      <c r="B2568" s="27" t="s">
        <v>1084</v>
      </c>
      <c r="C2568" s="27" t="s">
        <v>1151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2188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2189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1563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2190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2191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966</v>
      </c>
      <c r="B2574" s="27" t="s">
        <v>1059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1041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2192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510</v>
      </c>
      <c r="B2577" s="27" t="s">
        <v>1235</v>
      </c>
      <c r="C2577" s="27" t="s">
        <v>1025</v>
      </c>
      <c r="D2577" s="27" t="s">
        <v>1026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2193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2194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2163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1032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/>
    </row>
    <row r="2583" spans="1:12">
      <c r="A2583" s="20" t="s">
        <v>2195</v>
      </c>
    </row>
    <row r="2584" spans="1:12">
      <c r="A2584" s="20" t="s">
        <v>2196</v>
      </c>
      <c r="B2584" s="27" t="s">
        <v>1143</v>
      </c>
      <c r="C2584" s="27" t="s">
        <v>1025</v>
      </c>
      <c r="D2584" s="27" t="s">
        <v>1026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2101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1085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2197</v>
      </c>
      <c r="B2587" s="27" t="s">
        <v>1080</v>
      </c>
      <c r="C2587" s="27" t="s">
        <v>1072</v>
      </c>
      <c r="D2587" s="27" t="s">
        <v>1026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2198</v>
      </c>
      <c r="B2588" s="27" t="s">
        <v>1136</v>
      </c>
      <c r="C2588" s="27" t="s">
        <v>1075</v>
      </c>
      <c r="D2588" s="27" t="s">
        <v>1026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2199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1099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1998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1109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1032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/>
    </row>
    <row r="2595" spans="1:12">
      <c r="A2595" s="20" t="s">
        <v>2200</v>
      </c>
    </row>
    <row r="2596" spans="1:12">
      <c r="A2596" s="20" t="s">
        <v>1942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2201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335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2202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2203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2204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2205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2206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1041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197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1672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2101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1795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1099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1803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2207</v>
      </c>
      <c r="B2611" s="27" t="s">
        <v>1084</v>
      </c>
      <c r="C2611" s="27" t="s">
        <v>1049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2208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1366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2209</v>
      </c>
      <c r="B2614" s="27" t="s">
        <v>1339</v>
      </c>
      <c r="C2614" s="27" t="s">
        <v>1075</v>
      </c>
      <c r="D2614" s="27" t="s">
        <v>1026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1032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/>
    </row>
    <row r="2617" spans="1:12">
      <c r="A2617" s="20" t="s">
        <v>2210</v>
      </c>
    </row>
    <row r="2618" spans="1:12">
      <c r="A2618" s="20" t="s">
        <v>2167</v>
      </c>
      <c r="B2618" s="27" t="s">
        <v>1024</v>
      </c>
      <c r="C2618" s="27" t="s">
        <v>1025</v>
      </c>
      <c r="D2618" s="27" t="s">
        <v>1026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2168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1041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201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2211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1114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2212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1789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1041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1279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952</v>
      </c>
      <c r="B2628" s="27" t="s">
        <v>1082</v>
      </c>
      <c r="C2628" s="27" t="s">
        <v>1025</v>
      </c>
      <c r="D2628" s="27" t="s">
        <v>1026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1961</v>
      </c>
      <c r="B2629" s="27" t="s">
        <v>1150</v>
      </c>
      <c r="C2629" s="27" t="s">
        <v>1025</v>
      </c>
      <c r="D2629" s="27" t="s">
        <v>1026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2213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1439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2214</v>
      </c>
      <c r="B2632" s="27" t="s">
        <v>1082</v>
      </c>
      <c r="C2632" s="27" t="s">
        <v>1049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1419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2215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1030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2215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2107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1041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2216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1085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2217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2218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1032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/>
    </row>
    <row r="2645" spans="1:12">
      <c r="A2645" s="20" t="s">
        <v>2219</v>
      </c>
    </row>
    <row r="2646" spans="1:12">
      <c r="A2646" s="20" t="s">
        <v>2220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2221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1041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1431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1896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2222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2223</v>
      </c>
      <c r="B2652" s="27" t="s">
        <v>1059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2224</v>
      </c>
      <c r="B2653" s="27" t="s">
        <v>1238</v>
      </c>
      <c r="C2653" s="27" t="s">
        <v>1046</v>
      </c>
      <c r="D2653" s="27" t="s">
        <v>1026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2225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1032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/>
    </row>
    <row r="2657" spans="1:12">
      <c r="A2657" s="20" t="s">
        <v>2226</v>
      </c>
    </row>
    <row r="2658" spans="1:12">
      <c r="A2658" s="20" t="s">
        <v>1831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2227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2228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2229</v>
      </c>
      <c r="B2661" s="27" t="s">
        <v>1136</v>
      </c>
      <c r="C2661" s="27" t="s">
        <v>1046</v>
      </c>
      <c r="D2661" s="27" t="s">
        <v>1026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2230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2231</v>
      </c>
      <c r="B2663" s="27" t="s">
        <v>1024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1307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/>
    </row>
    <row r="2666" spans="1:12">
      <c r="A2666" s="20" t="s">
        <v>2232</v>
      </c>
    </row>
    <row r="2667" spans="1:12">
      <c r="A2667" s="20" t="s">
        <v>2018</v>
      </c>
      <c r="B2667" s="27" t="s">
        <v>1080</v>
      </c>
      <c r="C2667" s="27" t="s">
        <v>1151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2233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1041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2234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2235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2236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1041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1272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1213</v>
      </c>
      <c r="B2675" s="27" t="s">
        <v>1235</v>
      </c>
      <c r="C2675" s="27" t="s">
        <v>1025</v>
      </c>
      <c r="D2675" s="27" t="s">
        <v>1026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1214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2141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1041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1030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2237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1430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1099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2238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2239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1032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/>
    </row>
    <row r="2687" spans="1:12">
      <c r="A2687" s="20" t="s">
        <v>2240</v>
      </c>
    </row>
    <row r="2688" spans="1:12">
      <c r="A2688" s="20" t="s">
        <v>2241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1114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2242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1764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2243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2244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1303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1127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2245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1726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1032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/>
    </row>
    <row r="2700" spans="1:12">
      <c r="A2700" s="20" t="s">
        <v>2246</v>
      </c>
    </row>
    <row r="2701" spans="1:12">
      <c r="A2701" s="20" t="s">
        <v>2247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1865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2027</v>
      </c>
      <c r="B2703" s="27" t="s">
        <v>1136</v>
      </c>
      <c r="C2703" s="27" t="s">
        <v>1088</v>
      </c>
      <c r="D2703" s="27" t="s">
        <v>1026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1232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2248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1032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1693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2249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1222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2250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1303</v>
      </c>
      <c r="B2711" s="27" t="s">
        <v>1084</v>
      </c>
      <c r="C2711" s="27" t="s">
        <v>1072</v>
      </c>
      <c r="D2711" s="27" t="s">
        <v>1026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1221</v>
      </c>
      <c r="B2712" s="27" t="s">
        <v>1045</v>
      </c>
      <c r="C2712" s="27" t="s">
        <v>1075</v>
      </c>
      <c r="D2712" s="27" t="s">
        <v>1026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1099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312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1470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1032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/>
    </row>
    <row r="2718" spans="1:12">
      <c r="A2718" s="20" t="s">
        <v>2251</v>
      </c>
    </row>
    <row r="2719" spans="1:12">
      <c r="A2719" s="20" t="s">
        <v>1162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2252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1861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1159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2253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1470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2254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1695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2255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87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1470</v>
      </c>
      <c r="B2729" s="27" t="s">
        <v>1024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1288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2256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1050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1359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1861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1041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1050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2257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2258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1032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/>
    </row>
    <row r="2741" spans="1:12">
      <c r="A2741" s="20" t="s">
        <v>2259</v>
      </c>
    </row>
    <row r="2742" spans="1:12">
      <c r="A2742" s="20" t="s">
        <v>2260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1811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1041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1213</v>
      </c>
      <c r="B2745" s="27" t="s">
        <v>1082</v>
      </c>
      <c r="C2745" s="27" t="s">
        <v>1025</v>
      </c>
      <c r="D2745" s="27" t="s">
        <v>1026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2261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2262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2263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1030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2264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2265</v>
      </c>
      <c r="B2751" s="27" t="s">
        <v>1059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1032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/>
    </row>
    <row r="2754" spans="1:12">
      <c r="A2754" s="20" t="s">
        <v>2266</v>
      </c>
    </row>
    <row r="2755" spans="1:12">
      <c r="A2755" s="20" t="s">
        <v>1405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1041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1085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2267</v>
      </c>
      <c r="B2758" s="27" t="s">
        <v>1080</v>
      </c>
      <c r="C2758" s="27" t="s">
        <v>1072</v>
      </c>
      <c r="D2758" s="27" t="s">
        <v>1026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1134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2268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2269</v>
      </c>
      <c r="B2761" s="27" t="s">
        <v>1136</v>
      </c>
      <c r="C2761" s="27" t="s">
        <v>1088</v>
      </c>
      <c r="D2761" s="27" t="s">
        <v>1026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2270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1960</v>
      </c>
      <c r="B2763" s="27" t="s">
        <v>1024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1041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1586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1122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2271</v>
      </c>
      <c r="B2767" s="27" t="s">
        <v>1045</v>
      </c>
      <c r="C2767" s="27" t="s">
        <v>1075</v>
      </c>
      <c r="D2767" s="27" t="s">
        <v>1026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1030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2272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1041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2273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1288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2274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608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1099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1542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1543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1605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1606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1032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/>
    </row>
    <row r="2782" spans="1:12">
      <c r="A2782" s="20" t="s">
        <v>2275</v>
      </c>
    </row>
    <row r="2783" spans="1:12">
      <c r="A2783" s="20" t="s">
        <v>1132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1041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2276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2277</v>
      </c>
      <c r="B2786" s="27" t="s">
        <v>1024</v>
      </c>
      <c r="C2786" s="27" t="s">
        <v>1049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2278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2279</v>
      </c>
      <c r="B2788" s="27" t="s">
        <v>1080</v>
      </c>
      <c r="C2788" s="27" t="s">
        <v>1025</v>
      </c>
      <c r="D2788" s="27" t="s">
        <v>1026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1108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1607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21</v>
      </c>
      <c r="B2791" s="27" t="s">
        <v>1080</v>
      </c>
      <c r="C2791" s="27" t="s">
        <v>1036</v>
      </c>
      <c r="D2791" s="27" t="s">
        <v>1026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1041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2280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1299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1213</v>
      </c>
      <c r="B2795" s="27" t="s">
        <v>1048</v>
      </c>
      <c r="C2795" s="27" t="s">
        <v>1025</v>
      </c>
      <c r="D2795" s="27" t="s">
        <v>1026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2061</v>
      </c>
      <c r="B2796" s="27" t="s">
        <v>1059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2281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2282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2254</v>
      </c>
      <c r="B2799" s="27" t="s">
        <v>1059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1032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/>
    </row>
    <row r="2802" spans="1:12">
      <c r="A2802" s="20" t="s">
        <v>2283</v>
      </c>
    </row>
    <row r="2803" spans="1:12">
      <c r="A2803" s="20" t="s">
        <v>2284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1299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1210</v>
      </c>
      <c r="B2805" s="27" t="s">
        <v>1080</v>
      </c>
      <c r="C2805" s="27" t="s">
        <v>1025</v>
      </c>
      <c r="D2805" s="27" t="s">
        <v>1026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1603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2270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1960</v>
      </c>
      <c r="B2808" s="27" t="s">
        <v>1143</v>
      </c>
      <c r="C2808" s="27" t="s">
        <v>1049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1307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/>
    </row>
    <row r="2811" spans="1:12">
      <c r="A2811" s="20" t="s">
        <v>2285</v>
      </c>
    </row>
    <row r="2812" spans="1:12">
      <c r="A2812" s="20" t="s">
        <v>2286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1299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2287</v>
      </c>
      <c r="B2814" s="27" t="s">
        <v>1024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2288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1210</v>
      </c>
      <c r="B2816" s="27" t="s">
        <v>1136</v>
      </c>
      <c r="C2816" s="27" t="s">
        <v>1025</v>
      </c>
      <c r="D2816" s="27" t="s">
        <v>1026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2289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1307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/>
    </row>
    <row r="2820" spans="1:12">
      <c r="A2820" s="20" t="s">
        <v>2290</v>
      </c>
    </row>
    <row r="2821" spans="1:12">
      <c r="A2821" s="20" t="s">
        <v>1125</v>
      </c>
      <c r="B2821" s="27" t="s">
        <v>1024</v>
      </c>
      <c r="C2821" s="27" t="s">
        <v>1036</v>
      </c>
      <c r="D2821" s="27" t="s">
        <v>1026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1089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2248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1032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/>
    </row>
    <row r="2826" spans="1:12">
      <c r="A2826" s="20" t="s">
        <v>2291</v>
      </c>
    </row>
    <row r="2827" spans="1:12">
      <c r="A2827" s="20" t="s">
        <v>1510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1159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2292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2293</v>
      </c>
      <c r="B2830" s="27" t="s">
        <v>1024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2294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2295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 t="s">
        <v>1050</v>
      </c>
      <c r="E2833" s="21">
        <f>IF(D2833="?OLD","!!!","")</f>
        <v/>
      </c>
      <c r="F2833" s="22" t="str">
        <f>IF(OR(E2833="",E2833="!!!"),"",IF(NOT(ISNA(VLOOKUP(E2833,E$1:E2832,1,FALSE()))),"OLD",IF(AND(E2833&lt;&gt;"",E2833&lt;&gt;"!!!"),"NEW","")))</f>
        <v> </v>
      </c>
      <c r="G2833" s="23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4" t="str">
        <f>IF(J2833&lt;&gt;1,"",IF(I2833="SBJ","CB","?"))</f>
        <v> </v>
      </c>
      <c r="I2833" s="25" t="str">
        <f>IF(OR(E2833="",E2833="!!!",F2833="NEW"),"",INDEX(B2832:B$2,-1+SUMPRODUCT(MAX(ROW(E2832:E$2)*(E2833=E2832:E$2)))))</f>
        <v> </v>
      </c>
      <c r="J2833" s="25" t="str">
        <f>IF(OR(E2833="",E2833="!!!",F2833="NEW"),"",COUNTBLANK(OFFSET(A$1,,,SUMPRODUCT(MAX(ROW(E$2:E2833)*(E2833=E$2:E2833)))))-COUNTBLANK(OFFSET(A$1,,,SUMPRODUCT(MAX(ROW(E$1:E2832)*(E2=E$1:E2832))))))</f>
        <v> </v>
      </c>
      <c r="K2833" s="25" t="str">
        <f>IF(OR(E2833="",E2833="!!!",F2833="NEW"),"",INDEX(J$1:J2832,SUMPRODUCT(MAX(ROW(E$1:E2832)*(E2833=E$1:E2832)))))</f>
        <v> </v>
      </c>
      <c r="L2833" s="26"/>
    </row>
    <row r="2834" spans="1:12">
      <c r="A2834" s="20" t="s">
        <v>2296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1726</v>
      </c>
      <c r="B2835" s="27" t="s">
        <v>1136</v>
      </c>
      <c r="C2835" s="27" t="s">
        <v>1049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1032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/>
    </row>
    <row r="2838" spans="1:12">
      <c r="A2838" s="20" t="s">
        <v>2297</v>
      </c>
    </row>
    <row r="2839" spans="1:12">
      <c r="A2839" s="20" t="s">
        <v>2298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1489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1590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197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1148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1041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2299</v>
      </c>
      <c r="B2845" s="27" t="s">
        <v>1048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2227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88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2300</v>
      </c>
      <c r="B2848" s="27" t="s">
        <v>1048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1050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2301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1726</v>
      </c>
      <c r="B2851" s="27" t="s">
        <v>1045</v>
      </c>
      <c r="C2851" s="27" t="s">
        <v>1049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1032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/>
    </row>
    <row r="2854" spans="1:12">
      <c r="A2854" s="20" t="s">
        <v>2302</v>
      </c>
    </row>
    <row r="2855" spans="1:12">
      <c r="A2855" s="20" t="s">
        <v>1162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2303</v>
      </c>
      <c r="B2856" s="27" t="s">
        <v>1080</v>
      </c>
      <c r="C2856" s="27" t="s">
        <v>1025</v>
      </c>
      <c r="D2856" s="27" t="s">
        <v>1026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1041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2304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1041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1288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2305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2306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1055</v>
      </c>
      <c r="B2863" s="27" t="s">
        <v>1080</v>
      </c>
      <c r="C2863" s="27" t="s">
        <v>1049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1032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/>
    </row>
    <row r="2866" spans="1:12">
      <c r="A2866" s="20" t="s">
        <v>2307</v>
      </c>
    </row>
    <row r="2867" spans="1:12">
      <c r="A2867" s="20" t="s">
        <v>1499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1570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2254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284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2308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1603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2309</v>
      </c>
      <c r="B2873" s="27" t="s">
        <v>1150</v>
      </c>
      <c r="C2873" s="27" t="s">
        <v>1049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1053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2310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1032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/>
    </row>
    <row r="2878" spans="1:12">
      <c r="A2878" s="20" t="s">
        <v>2311</v>
      </c>
    </row>
    <row r="2879" spans="1:12">
      <c r="A2879" s="20" t="s">
        <v>2312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1572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2254</v>
      </c>
      <c r="B2881" s="27" t="s">
        <v>1024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1041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1708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1572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2313</v>
      </c>
      <c r="B2885" s="27" t="s">
        <v>1082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1302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1221</v>
      </c>
      <c r="B2887" s="27" t="s">
        <v>1084</v>
      </c>
      <c r="C2887" s="27" t="s">
        <v>1075</v>
      </c>
      <c r="D2887" s="27" t="s">
        <v>1026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1030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1041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2314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1041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1708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1572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1319</v>
      </c>
      <c r="B2894" s="27" t="s">
        <v>1225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1032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/>
    </row>
    <row r="2897" spans="1:12">
      <c r="A2897" s="20" t="s">
        <v>2315</v>
      </c>
    </row>
    <row r="2898" spans="1:12">
      <c r="A2898" s="20" t="s">
        <v>1077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1050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2316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2317</v>
      </c>
      <c r="B2901" s="27" t="s">
        <v>1080</v>
      </c>
      <c r="C2901" s="27" t="s">
        <v>1271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2318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2277</v>
      </c>
      <c r="B2903" s="27" t="s">
        <v>1024</v>
      </c>
      <c r="C2903" s="27" t="s">
        <v>1036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1607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2319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1041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1107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2320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1127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2321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2322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1303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1041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2323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2324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1284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1041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1489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2325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1252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1572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1041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1096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2277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1607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2326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2094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1099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2327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2328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1041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2329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2330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1032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/>
    </row>
    <row r="2936" spans="1:12">
      <c r="A2936" s="20" t="s">
        <v>2331</v>
      </c>
    </row>
    <row r="2937" spans="1:12">
      <c r="A2937" s="20" t="s">
        <v>2332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2333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1388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2334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1041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2335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2336</v>
      </c>
      <c r="B2943" s="27" t="s">
        <v>1084</v>
      </c>
      <c r="C2943" s="27" t="s">
        <v>1049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2337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1115</v>
      </c>
      <c r="B2945" s="27" t="s">
        <v>1059</v>
      </c>
      <c r="C2945" s="27" t="s">
        <v>1025</v>
      </c>
      <c r="D2945" s="27" t="s">
        <v>1026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1032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/>
    </row>
    <row r="2948" spans="1:12">
      <c r="A2948" s="20" t="s">
        <v>2338</v>
      </c>
    </row>
    <row r="2949" spans="1:12">
      <c r="A2949" s="20" t="s">
        <v>1341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197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2222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2339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2032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1041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1815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1816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1041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2340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2341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1050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2342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2343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1032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/>
    </row>
    <row r="2965" spans="1:12">
      <c r="A2965" s="20" t="s">
        <v>2344</v>
      </c>
    </row>
    <row r="2966" spans="1:12">
      <c r="A2966" s="20" t="s">
        <v>2345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1395</v>
      </c>
      <c r="B2967" s="27" t="s">
        <v>1080</v>
      </c>
      <c r="C2967" s="27" t="s">
        <v>1036</v>
      </c>
      <c r="D2967" s="27" t="s">
        <v>1026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2346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2347</v>
      </c>
      <c r="B2969" s="27" t="s">
        <v>1024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2348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2349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1032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/>
    </row>
    <row r="2974" spans="1:12">
      <c r="A2974" s="20" t="s">
        <v>2350</v>
      </c>
    </row>
    <row r="2975" spans="1:12">
      <c r="A2975" s="20" t="s">
        <v>2351</v>
      </c>
      <c r="B2975" s="27" t="s">
        <v>1024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2352</v>
      </c>
      <c r="B2976" s="27" t="s">
        <v>1136</v>
      </c>
      <c r="C2976" s="27" t="s">
        <v>1075</v>
      </c>
      <c r="D2976" s="27" t="s">
        <v>1026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2353</v>
      </c>
      <c r="B2977" s="27" t="s">
        <v>1084</v>
      </c>
      <c r="C2977" s="27" t="s">
        <v>1075</v>
      </c>
      <c r="D2977" s="27" t="s">
        <v>1026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2354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2355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1041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2356</v>
      </c>
      <c r="B2981" s="27" t="s">
        <v>1136</v>
      </c>
      <c r="C2981" s="27" t="s">
        <v>1072</v>
      </c>
      <c r="D2981" s="27" t="s">
        <v>1026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2357</v>
      </c>
      <c r="B2982" s="27" t="s">
        <v>1084</v>
      </c>
      <c r="C2982" s="27" t="s">
        <v>1075</v>
      </c>
      <c r="D2982" s="27" t="s">
        <v>1026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2358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2359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1081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1156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2360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2361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1159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1050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1094</v>
      </c>
      <c r="B2991" s="27" t="s">
        <v>1080</v>
      </c>
      <c r="C2991" s="27" t="s">
        <v>1025</v>
      </c>
      <c r="D2991" s="27" t="s">
        <v>1026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2362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2363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1030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2364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2365</v>
      </c>
      <c r="B2996" s="27" t="s">
        <v>1150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2107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1041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1894</v>
      </c>
      <c r="B2999" s="27" t="s">
        <v>2366</v>
      </c>
      <c r="C2999" s="27" t="s">
        <v>1151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197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2367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2368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1159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2369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1442</v>
      </c>
      <c r="B3005" s="27" t="s">
        <v>2366</v>
      </c>
      <c r="C3005" s="27" t="s">
        <v>1025</v>
      </c>
      <c r="D3005" s="27" t="s">
        <v>1026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2370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2371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2372</v>
      </c>
      <c r="B3008" s="27" t="s">
        <v>1290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1032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/>
    </row>
    <row r="3011" spans="1:12">
      <c r="A3011" s="20" t="s">
        <v>2373</v>
      </c>
    </row>
    <row r="3012" spans="1:12">
      <c r="A3012" s="20" t="s">
        <v>2374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2375</v>
      </c>
      <c r="B3013" s="27" t="s">
        <v>1024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1889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2376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2377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1041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1030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305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2378</v>
      </c>
      <c r="B3020" s="27" t="s">
        <v>1136</v>
      </c>
      <c r="C3020" s="27" t="s">
        <v>1046</v>
      </c>
      <c r="D3020" s="27" t="s">
        <v>1026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702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1032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/>
    </row>
    <row r="3024" spans="1:12">
      <c r="A3024" s="20" t="s">
        <v>2379</v>
      </c>
    </row>
    <row r="3025" spans="1:12">
      <c r="A3025" s="20" t="s">
        <v>2380</v>
      </c>
      <c r="B3025" s="27" t="s">
        <v>1024</v>
      </c>
      <c r="C3025" s="27" t="s">
        <v>1025</v>
      </c>
      <c r="D3025" s="27" t="s">
        <v>1026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1232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662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1222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1060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2381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2061</v>
      </c>
      <c r="B3031" s="27" t="s">
        <v>1150</v>
      </c>
      <c r="C3031" s="27" t="s">
        <v>1088</v>
      </c>
      <c r="D3031" s="27" t="s">
        <v>1026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1032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/>
    </row>
    <row r="3034" spans="1:12">
      <c r="A3034" s="20" t="s">
        <v>2382</v>
      </c>
    </row>
    <row r="3035" spans="1:12">
      <c r="A3035" s="20" t="s">
        <v>1597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1799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952</v>
      </c>
      <c r="B3037" s="27" t="s">
        <v>1082</v>
      </c>
      <c r="C3037" s="27" t="s">
        <v>1025</v>
      </c>
      <c r="D3037" s="27" t="s">
        <v>1026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2383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2384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1757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1747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2385</v>
      </c>
      <c r="B3042" s="27" t="s">
        <v>1059</v>
      </c>
      <c r="C3042" s="27" t="s">
        <v>1049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1099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2386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204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1109</v>
      </c>
      <c r="B3046" s="27" t="s">
        <v>1045</v>
      </c>
      <c r="C3046" s="27" t="s">
        <v>1049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1041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2383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1799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2384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1041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1709</v>
      </c>
      <c r="B3052" s="27" t="s">
        <v>1048</v>
      </c>
      <c r="C3052" s="27" t="s">
        <v>1151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1108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2387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1041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2384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2388</v>
      </c>
      <c r="B3057" s="27" t="s">
        <v>1409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2389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2390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1041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1489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2381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2391</v>
      </c>
      <c r="B3063" s="27" t="s">
        <v>1409</v>
      </c>
      <c r="C3063" s="27" t="s">
        <v>1088</v>
      </c>
      <c r="D3063" s="27" t="s">
        <v>1026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952</v>
      </c>
      <c r="B3064" s="27" t="s">
        <v>1235</v>
      </c>
      <c r="C3064" s="27" t="s">
        <v>1025</v>
      </c>
      <c r="D3064" s="27" t="s">
        <v>1026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2392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1041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1310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2384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2393</v>
      </c>
      <c r="B3069" s="27" t="s">
        <v>1059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1275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2394</v>
      </c>
      <c r="B3071" s="27" t="s">
        <v>1045</v>
      </c>
      <c r="C3071" s="27" t="s">
        <v>1036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1041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2085</v>
      </c>
      <c r="B3073" s="27" t="s">
        <v>1225</v>
      </c>
      <c r="C3073" s="27" t="s">
        <v>1151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2395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1144</v>
      </c>
      <c r="B3075" s="27" t="s">
        <v>1229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1607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2396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1030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1156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1221</v>
      </c>
      <c r="B3080" s="27" t="s">
        <v>1339</v>
      </c>
      <c r="C3080" s="27" t="s">
        <v>1075</v>
      </c>
      <c r="D3080" s="27" t="s">
        <v>1026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1041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21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952</v>
      </c>
      <c r="B3083" s="27" t="s">
        <v>1082</v>
      </c>
      <c r="C3083" s="27" t="s">
        <v>1025</v>
      </c>
      <c r="D3083" s="27" t="s">
        <v>1026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1799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2397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2398</v>
      </c>
      <c r="B3086" s="27" t="s">
        <v>1150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1032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/>
    </row>
    <row r="3089" spans="1:12">
      <c r="A3089" s="20" t="s">
        <v>2399</v>
      </c>
    </row>
    <row r="3090" spans="1:12">
      <c r="A3090" s="20" t="s">
        <v>2380</v>
      </c>
      <c r="B3090" s="27" t="s">
        <v>1024</v>
      </c>
      <c r="C3090" s="27" t="s">
        <v>1025</v>
      </c>
      <c r="D3090" s="27" t="s">
        <v>1026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1244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2186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2400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1246</v>
      </c>
      <c r="B3094" s="27" t="s">
        <v>1143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1032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/>
    </row>
    <row r="3097" spans="1:12">
      <c r="A3097" s="20" t="s">
        <v>2401</v>
      </c>
    </row>
    <row r="3098" spans="1:12">
      <c r="A3098" s="20" t="s">
        <v>1597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1035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2385</v>
      </c>
      <c r="B3100" s="27" t="s">
        <v>1082</v>
      </c>
      <c r="C3100" s="27" t="s">
        <v>1088</v>
      </c>
      <c r="D3100" s="27" t="s">
        <v>1026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1107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2402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1041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1108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2403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2404</v>
      </c>
      <c r="B3106" s="27" t="s">
        <v>1024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2405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2406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2407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1030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2408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1041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2405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2198</v>
      </c>
      <c r="B3114" s="27" t="s">
        <v>1136</v>
      </c>
      <c r="C3114" s="27" t="s">
        <v>1075</v>
      </c>
      <c r="D3114" s="27" t="s">
        <v>1026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1030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2271</v>
      </c>
      <c r="B3116" s="27" t="s">
        <v>1084</v>
      </c>
      <c r="C3116" s="27" t="s">
        <v>1075</v>
      </c>
      <c r="D3116" s="27" t="s">
        <v>1026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1041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2405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2409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1030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2410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2411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1041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1489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1826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1780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1041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1085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1066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16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1068</v>
      </c>
      <c r="B3131" s="27" t="s">
        <v>1238</v>
      </c>
      <c r="C3131" s="27" t="s">
        <v>1049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1070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1064</v>
      </c>
      <c r="B3133" s="27" t="s">
        <v>1225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2412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2146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1253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1032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/>
    </row>
    <row r="3139" spans="1:12">
      <c r="A3139" s="20" t="s">
        <v>2413</v>
      </c>
    </row>
    <row r="3140" spans="1:12">
      <c r="A3140" s="20" t="s">
        <v>2018</v>
      </c>
      <c r="B3140" s="27" t="s">
        <v>1150</v>
      </c>
      <c r="C3140" s="27" t="s">
        <v>1151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1284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1213</v>
      </c>
      <c r="B3142" s="27" t="s">
        <v>1024</v>
      </c>
      <c r="C3142" s="27" t="s">
        <v>1025</v>
      </c>
      <c r="D3142" s="27" t="s">
        <v>1026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2414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2415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1307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/>
    </row>
    <row r="3147" spans="1:12">
      <c r="A3147" s="20" t="s">
        <v>2416</v>
      </c>
    </row>
    <row r="3148" spans="1:12">
      <c r="A3148" s="20" t="s">
        <v>2417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2418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2419</v>
      </c>
      <c r="B3150" s="27" t="s">
        <v>1080</v>
      </c>
      <c r="C3150" s="27" t="s">
        <v>1271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952</v>
      </c>
      <c r="B3151" s="27" t="s">
        <v>1024</v>
      </c>
      <c r="C3151" s="27" t="s">
        <v>1025</v>
      </c>
      <c r="D3151" s="27" t="s">
        <v>1026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2420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1677</v>
      </c>
      <c r="B3153" s="27" t="s">
        <v>1143</v>
      </c>
      <c r="C3153" s="27" t="s">
        <v>1025</v>
      </c>
      <c r="D3153" s="27" t="s">
        <v>1026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2421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1030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2422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1307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/>
    </row>
    <row r="3159" spans="1:12">
      <c r="A3159" s="20" t="s">
        <v>2423</v>
      </c>
    </row>
    <row r="3160" spans="1:12">
      <c r="A3160" s="20" t="s">
        <v>2029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2424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1927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2425</v>
      </c>
      <c r="B3163" s="27" t="s">
        <v>1136</v>
      </c>
      <c r="C3163" s="27" t="s">
        <v>1049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1099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2426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1754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1032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/>
    </row>
    <row r="3169" spans="1:12">
      <c r="A3169" s="20" t="s">
        <v>2427</v>
      </c>
    </row>
    <row r="3170" spans="1:12">
      <c r="A3170" s="20" t="s">
        <v>1353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2428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2429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1050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2430</v>
      </c>
      <c r="B3174" s="27" t="s">
        <v>1136</v>
      </c>
      <c r="C3174" s="27" t="s">
        <v>1075</v>
      </c>
      <c r="D3174" s="27" t="s">
        <v>1026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1310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1050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1561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2431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2273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2432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1107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1963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1828</v>
      </c>
      <c r="B3183" s="27" t="s">
        <v>1082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1221</v>
      </c>
      <c r="B3184" s="27" t="s">
        <v>1084</v>
      </c>
      <c r="C3184" s="27" t="s">
        <v>1075</v>
      </c>
      <c r="D3184" s="27" t="s">
        <v>1026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1041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1050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2433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2434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2273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2435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2436</v>
      </c>
      <c r="B3191" s="27" t="s">
        <v>1229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1030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2437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1032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/>
    </row>
    <row r="3196" spans="1:12">
      <c r="A3196" s="20" t="s">
        <v>2438</v>
      </c>
    </row>
    <row r="3197" spans="1:12">
      <c r="A3197" s="20" t="s">
        <v>2167</v>
      </c>
      <c r="B3197" s="27" t="s">
        <v>1024</v>
      </c>
      <c r="C3197" s="27" t="s">
        <v>1025</v>
      </c>
      <c r="D3197" s="27" t="s">
        <v>1026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2439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2440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2441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2442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2443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2444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1099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2445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2001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1032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/>
    </row>
    <row r="3209" spans="1:12">
      <c r="A3209" s="20" t="s">
        <v>2446</v>
      </c>
    </row>
    <row r="3210" spans="1:12">
      <c r="A3210" s="20" t="s">
        <v>2447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1388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2448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2449</v>
      </c>
      <c r="B3213" s="27" t="s">
        <v>1024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1041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2450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1099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1221</v>
      </c>
      <c r="B3217" s="27" t="s">
        <v>1084</v>
      </c>
      <c r="C3217" s="27" t="s">
        <v>1075</v>
      </c>
      <c r="D3217" s="27" t="s">
        <v>1026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1041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2451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2452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2453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1041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1471</v>
      </c>
      <c r="B3223" s="27" t="s">
        <v>1080</v>
      </c>
      <c r="C3223" s="27" t="s">
        <v>1025</v>
      </c>
      <c r="D3223" s="27" t="s">
        <v>1026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1041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201</v>
      </c>
      <c r="B3225" s="27" t="s">
        <v>1048</v>
      </c>
      <c r="C3225" s="27" t="s">
        <v>1151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2454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2455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2456</v>
      </c>
      <c r="B3228" s="27" t="s">
        <v>1059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1127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2457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1032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/>
    </row>
    <row r="3233" spans="1:12">
      <c r="A3233" s="20" t="s">
        <v>2458</v>
      </c>
    </row>
    <row r="3234" spans="1:12">
      <c r="A3234" s="20" t="s">
        <v>2029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2459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2460</v>
      </c>
      <c r="B3236" s="27" t="s">
        <v>1024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1855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1032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/>
    </row>
    <row r="3240" spans="1:12">
      <c r="A3240" s="20" t="s">
        <v>2461</v>
      </c>
    </row>
    <row r="3241" spans="1:12">
      <c r="A3241" s="20" t="s">
        <v>2029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1041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1062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2462</v>
      </c>
      <c r="B3244" s="27" t="s">
        <v>1048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1099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2381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2391</v>
      </c>
      <c r="B3247" s="27" t="s">
        <v>1045</v>
      </c>
      <c r="C3247" s="27" t="s">
        <v>1088</v>
      </c>
      <c r="D3247" s="27" t="s">
        <v>1026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1407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1350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2463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1041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1350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2464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1041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2465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2466</v>
      </c>
      <c r="B3256" s="27" t="s">
        <v>1024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1041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2467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2468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1032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/>
    </row>
    <row r="3262" spans="1:12">
      <c r="A3262" s="20" t="s">
        <v>2469</v>
      </c>
    </row>
    <row r="3263" spans="1:12">
      <c r="A3263" s="20" t="s">
        <v>1125</v>
      </c>
      <c r="B3263" s="27" t="s">
        <v>1024</v>
      </c>
      <c r="C3263" s="27" t="s">
        <v>1036</v>
      </c>
      <c r="D3263" s="27" t="s">
        <v>1026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2470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702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1041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1030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952</v>
      </c>
      <c r="B3268" s="27" t="s">
        <v>1082</v>
      </c>
      <c r="C3268" s="27" t="s">
        <v>1025</v>
      </c>
      <c r="D3268" s="27" t="s">
        <v>1026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 t="s">
        <v>2044</v>
      </c>
      <c r="E3269" s="21">
        <f>IF(D3269="?OLD","!!!","")</f>
        <v/>
      </c>
      <c r="F3269" s="22" t="str">
        <f>IF(OR(E3269="",E3269="!!!"),"",IF(NOT(ISNA(VLOOKUP(E3269,E$1:E3268,1,FALSE()))),"OLD",IF(AND(E3269&lt;&gt;"",E3269&lt;&gt;"!!!"),"NEW","")))</f>
        <v> </v>
      </c>
      <c r="G3269" s="23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4" t="str">
        <f>IF(J3269&lt;&gt;1,"",IF(I3269="SBJ","CB","?"))</f>
        <v> </v>
      </c>
      <c r="I3269" s="25" t="str">
        <f>IF(OR(E3269="",E3269="!!!",F3269="NEW"),"",INDEX(B3268:B$2,-1+SUMPRODUCT(MAX(ROW(E3268:E$2)*(E3269=E3268:E$2)))))</f>
        <v> </v>
      </c>
      <c r="J3269" s="25" t="str">
        <f>IF(OR(E3269="",E3269="!!!",F3269="NEW"),"",COUNTBLANK(OFFSET(A$1,,,SUMPRODUCT(MAX(ROW(E$2:E3269)*(E3269=E$2:E3269)))))-COUNTBLANK(OFFSET(A$1,,,SUMPRODUCT(MAX(ROW(E$1:E3268)*(E2=E$1:E3268))))))</f>
        <v> </v>
      </c>
      <c r="K3269" s="25" t="str">
        <f>IF(OR(E3269="",E3269="!!!",F3269="NEW"),"",INDEX(J$1:J3268,SUMPRODUCT(MAX(ROW(E$1:E3268)*(E3269=E$1:E3268)))))</f>
        <v> </v>
      </c>
      <c r="L3269" s="26"/>
    </row>
    <row r="3270" spans="1:12">
      <c r="A3270" s="20" t="s">
        <v>1041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201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1213</v>
      </c>
      <c r="B3272" s="27" t="s">
        <v>1048</v>
      </c>
      <c r="C3272" s="27" t="s">
        <v>1025</v>
      </c>
      <c r="D3272" s="27" t="s">
        <v>1026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2261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1595</v>
      </c>
      <c r="B3274" s="27" t="s">
        <v>1409</v>
      </c>
      <c r="C3274" s="27" t="s">
        <v>1025</v>
      </c>
      <c r="D3274" s="27" t="s">
        <v>1026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2471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1032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/>
    </row>
    <row r="3278" spans="1:12">
      <c r="A3278" s="20" t="s">
        <v>2472</v>
      </c>
    </row>
    <row r="3279" spans="1:12">
      <c r="A3279" s="20" t="s">
        <v>2473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1032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/>
    </row>
    <row r="3282" spans="1:12">
      <c r="A3282" s="20" t="s">
        <v>2474</v>
      </c>
    </row>
    <row r="3283" spans="1:12">
      <c r="A3283" s="20" t="s">
        <v>1701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2475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1703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2476</v>
      </c>
      <c r="B3286" s="27" t="s">
        <v>1080</v>
      </c>
      <c r="C3286" s="27" t="s">
        <v>1075</v>
      </c>
      <c r="D3286" s="27" t="s">
        <v>1026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2477</v>
      </c>
      <c r="B3287" s="27" t="s">
        <v>1136</v>
      </c>
      <c r="C3287" s="27" t="s">
        <v>1075</v>
      </c>
      <c r="D3287" s="27" t="s">
        <v>1026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1222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2473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1032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/>
    </row>
    <row r="3292" spans="1:12">
      <c r="A3292" s="20" t="s">
        <v>2472</v>
      </c>
    </row>
    <row r="3293" spans="1:12">
      <c r="A3293" s="20" t="s">
        <v>2473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1032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/>
    </row>
    <row r="3296" spans="1:12">
      <c r="A3296" s="20" t="s">
        <v>2472</v>
      </c>
    </row>
    <row r="3297" spans="1:12">
      <c r="A3297" s="20" t="s">
        <v>2473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1032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/>
    </row>
    <row r="3300" spans="1:12">
      <c r="A3300" s="20" t="s">
        <v>2478</v>
      </c>
    </row>
    <row r="3301" spans="1:12">
      <c r="A3301" s="20" t="s">
        <v>1292</v>
      </c>
      <c r="B3301" s="27" t="s">
        <v>1024</v>
      </c>
      <c r="C3301" s="27" t="s">
        <v>1025</v>
      </c>
      <c r="D3301" s="27" t="s">
        <v>1026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1119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2479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2480</v>
      </c>
      <c r="B3304" s="27" t="s">
        <v>1150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2481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2482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1286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2110</v>
      </c>
      <c r="B3308" s="27" t="s">
        <v>1136</v>
      </c>
      <c r="C3308" s="27" t="s">
        <v>1075</v>
      </c>
      <c r="D3308" s="27" t="s">
        <v>1026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2483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/>
    </row>
    <row r="3311" spans="1:12">
      <c r="A3311" s="20" t="s">
        <v>2484</v>
      </c>
    </row>
    <row r="3312" spans="1:12">
      <c r="A3312" s="20" t="s">
        <v>2485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1436</v>
      </c>
      <c r="B3313" s="27" t="s">
        <v>1136</v>
      </c>
      <c r="C3313" s="27" t="s">
        <v>1025</v>
      </c>
      <c r="D3313" s="27" t="s">
        <v>1026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1041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1107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1382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1799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2167</v>
      </c>
      <c r="B3318" s="27" t="s">
        <v>1024</v>
      </c>
      <c r="C3318" s="27" t="s">
        <v>1025</v>
      </c>
      <c r="D3318" s="27" t="s">
        <v>1026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1836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1442</v>
      </c>
      <c r="B3320" s="27" t="s">
        <v>1150</v>
      </c>
      <c r="C3320" s="27" t="s">
        <v>1025</v>
      </c>
      <c r="D3320" s="27" t="s">
        <v>1026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2486</v>
      </c>
      <c r="B3321" s="27" t="s">
        <v>1150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1764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2487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2488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426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1307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/>
    </row>
    <row r="3328" spans="1:12">
      <c r="A3328" s="20" t="s">
        <v>2489</v>
      </c>
    </row>
    <row r="3329" spans="1:12">
      <c r="A3329" s="20" t="s">
        <v>724</v>
      </c>
      <c r="B3329" s="27" t="s">
        <v>1080</v>
      </c>
      <c r="C3329" s="27" t="s">
        <v>1075</v>
      </c>
      <c r="D3329" s="27" t="s">
        <v>1026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2490</v>
      </c>
      <c r="B3330" s="27" t="s">
        <v>1080</v>
      </c>
      <c r="C3330" s="27" t="s">
        <v>1075</v>
      </c>
      <c r="D3330" s="27" t="s">
        <v>1026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1222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/>
    </row>
    <row r="3333" spans="1:12">
      <c r="A3333" s="20" t="s">
        <v>2491</v>
      </c>
    </row>
    <row r="3334" spans="1:12">
      <c r="A3334" s="20" t="s">
        <v>2492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2493</v>
      </c>
      <c r="B3335" s="27" t="s">
        <v>1143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1041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2494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1115</v>
      </c>
      <c r="B3338" s="27" t="s">
        <v>1150</v>
      </c>
      <c r="C3338" s="27" t="s">
        <v>1025</v>
      </c>
      <c r="D3338" s="27" t="s">
        <v>1026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1099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2495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1030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 t="s">
        <v>2496</v>
      </c>
      <c r="E3342" s="21">
        <f>IF(D3342="?OLD","!!!","")</f>
        <v/>
      </c>
      <c r="F3342" s="22" t="str">
        <f>IF(OR(E3342="",E3342="!!!"),"",IF(NOT(ISNA(VLOOKUP(E3342,E$1:E3341,1,FALSE()))),"OLD",IF(AND(E3342&lt;&gt;"",E3342&lt;&gt;"!!!"),"NEW","")))</f>
        <v> </v>
      </c>
      <c r="G3342" s="23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4" t="str">
        <f>IF(J3342&lt;&gt;1,"",IF(I3342="SBJ","CB","?"))</f>
        <v> </v>
      </c>
      <c r="I3342" s="25" t="str">
        <f>IF(OR(E3342="",E3342="!!!",F3342="NEW"),"",INDEX(B3341:B$2,-1+SUMPRODUCT(MAX(ROW(E3341:E$2)*(E3342=E3341:E$2)))))</f>
        <v> </v>
      </c>
      <c r="J3342" s="25" t="str">
        <f>IF(OR(E3342="",E3342="!!!",F3342="NEW"),"",COUNTBLANK(OFFSET(A$1,,,SUMPRODUCT(MAX(ROW(E$2:E3342)*(E3342=E$2:E3342)))))-COUNTBLANK(OFFSET(A$1,,,SUMPRODUCT(MAX(ROW(E$1:E3341)*(E2=E$1:E3341))))))</f>
        <v> </v>
      </c>
      <c r="K3342" s="25" t="str">
        <f>IF(OR(E3342="",E3342="!!!",F3342="NEW"),"",INDEX(J$1:J3341,SUMPRODUCT(MAX(ROW(E$1:E3341)*(E3342=E$1:E3341)))))</f>
        <v> </v>
      </c>
      <c r="L3342" s="26"/>
    </row>
    <row r="3343" spans="1:12">
      <c r="A3343" s="20" t="s">
        <v>1097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2497</v>
      </c>
      <c r="B3344" s="27" t="s">
        <v>1136</v>
      </c>
      <c r="C3344" s="27" t="s">
        <v>1049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1041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201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1213</v>
      </c>
      <c r="B3347" s="27" t="s">
        <v>1048</v>
      </c>
      <c r="C3347" s="27" t="s">
        <v>1025</v>
      </c>
      <c r="D3347" s="27" t="s">
        <v>1026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1030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2498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1041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1159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1035</v>
      </c>
      <c r="B3352" s="27" t="s">
        <v>1235</v>
      </c>
      <c r="C3352" s="27" t="s">
        <v>1036</v>
      </c>
      <c r="D3352" s="27" t="s">
        <v>1026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1757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2068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2499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1032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/>
    </row>
    <row r="3358" spans="1:12">
      <c r="A3358" s="20" t="s">
        <v>2500</v>
      </c>
    </row>
    <row r="3359" spans="1:12">
      <c r="A3359" s="20" t="s">
        <v>2501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2502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1093</v>
      </c>
      <c r="B3361" s="27" t="s">
        <v>1080</v>
      </c>
      <c r="C3361" s="27" t="s">
        <v>1036</v>
      </c>
      <c r="D3361" s="27" t="s">
        <v>1026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1041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1431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1213</v>
      </c>
      <c r="B3364" s="27" t="s">
        <v>1048</v>
      </c>
      <c r="C3364" s="27" t="s">
        <v>1025</v>
      </c>
      <c r="D3364" s="27" t="s">
        <v>1026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2503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1197</v>
      </c>
      <c r="B3366" s="27" t="s">
        <v>1059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1099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2504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2505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1041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1062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88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2506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1041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201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1197</v>
      </c>
      <c r="B3376" s="27" t="s">
        <v>1225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2507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1431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284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1041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1921</v>
      </c>
      <c r="B3381" s="27" t="s">
        <v>1024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2508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1757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1764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2509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2499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1032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/>
    </row>
    <row r="3389" spans="1:12">
      <c r="A3389" s="20" t="s">
        <v>2510</v>
      </c>
    </row>
    <row r="3390" spans="1:12">
      <c r="A3390" s="20" t="s">
        <v>1510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201</v>
      </c>
      <c r="B3391" s="27" t="s">
        <v>1024</v>
      </c>
      <c r="C3391" s="27" t="s">
        <v>1151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1108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1824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1041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1441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1035</v>
      </c>
      <c r="B3396" s="27" t="s">
        <v>1150</v>
      </c>
      <c r="C3396" s="27" t="s">
        <v>1036</v>
      </c>
      <c r="D3396" s="27" t="s">
        <v>1026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1159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2135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2511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2512</v>
      </c>
      <c r="B3400" s="27" t="s">
        <v>1150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1041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1820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1039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1068</v>
      </c>
      <c r="B3404" s="27" t="s">
        <v>1084</v>
      </c>
      <c r="C3404" s="27" t="s">
        <v>1049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1041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1820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2513</v>
      </c>
      <c r="B3407" s="27" t="s">
        <v>1059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1122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2514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2515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1041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2516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1085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1549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2517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2518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1032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2519</v>
      </c>
    </row>
    <row r="3420" spans="1:12">
      <c r="A3420" s="20" t="s">
        <v>1831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1963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2520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2512</v>
      </c>
      <c r="B3423" s="27" t="s">
        <v>1082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1108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2521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1030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1563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1395</v>
      </c>
      <c r="B3428" s="27" t="s">
        <v>1136</v>
      </c>
      <c r="C3428" s="27" t="s">
        <v>1036</v>
      </c>
      <c r="D3428" s="27" t="s">
        <v>1026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2522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1431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2523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1041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21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1471</v>
      </c>
      <c r="B3434" s="27" t="s">
        <v>1082</v>
      </c>
      <c r="C3434" s="27" t="s">
        <v>1025</v>
      </c>
      <c r="D3434" s="27" t="s">
        <v>1026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2524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1289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1041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1431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1938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1041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1042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201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2525</v>
      </c>
      <c r="B3443" s="27" t="s">
        <v>1048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1030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1912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 t="s">
        <v>1029</v>
      </c>
      <c r="E3446" s="21">
        <f>IF(D3446="?OLD","!!!","")</f>
        <v/>
      </c>
      <c r="F3446" s="22" t="str">
        <f>IF(OR(E3446="",E3446="!!!"),"",IF(NOT(ISNA(VLOOKUP(E3446,E$1:E3445,1,FALSE()))),"OLD",IF(AND(E3446&lt;&gt;"",E3446&lt;&gt;"!!!"),"NEW","")))</f>
        <v> </v>
      </c>
      <c r="G3446" s="23" t="str">
        <f>IF(OR(E3446="",E3446="!!!"),"",IF(OR(J3446=0,AND(J3446=1,K3446=1),AND(J3446=1,I3446="SBJ"),AND(J3446=1,I3446=0)),"?IN_FOCUS",IF(J3446&lt;=2,"?ACTIVATED",IF(J3446&lt;&gt;"","?FAMILIAR",IF(F3446="NEW",IF(ISNA(VLOOKUP(E3446,#REF!,1,FALSE())),"?TYPE_IDENTIFIABLE","?REFERENTIAL"),"_")))))</f>
        <v> </v>
      </c>
      <c r="H3446" s="24" t="str">
        <f>IF(J3446&lt;&gt;1,"",IF(I3446="SBJ","CB","?"))</f>
        <v> </v>
      </c>
      <c r="I3446" s="25" t="str">
        <f>IF(OR(E3446="",E3446="!!!",F3446="NEW"),"",INDEX(B3445:B$2,-1+SUMPRODUCT(MAX(ROW(E3445:E$2)*(E3446=E3445:E$2)))))</f>
        <v> </v>
      </c>
      <c r="J3446" s="25" t="str">
        <f>IF(OR(E3446="",E3446="!!!",F3446="NEW"),"",COUNTBLANK(OFFSET(A$1,,,SUMPRODUCT(MAX(ROW(E$2:E3446)*(E3446=E$2:E3446)))))-COUNTBLANK(OFFSET(A$1,,,SUMPRODUCT(MAX(ROW(E$1:E3445)*(E2=E$1:E3445))))))</f>
        <v> </v>
      </c>
      <c r="K3446" s="25" t="str">
        <f>IF(OR(E3446="",E3446="!!!",F3446="NEW"),"",INDEX(J$1:J3445,SUMPRODUCT(MAX(ROW(E$1:E3445)*(E3446=E$1:E3445)))))</f>
        <v> </v>
      </c>
      <c r="L3446" s="26"/>
    </row>
    <row r="3447" spans="1:12">
      <c r="A3447" s="20" t="s">
        <v>2526</v>
      </c>
      <c r="E3447" s="21">
        <f>IF(D3447="?OLD","!!!","")</f>
        <v/>
      </c>
      <c r="F3447" s="22" t="str">
        <f>IF(OR(E3447="",E3447="!!!"),"",IF(NOT(ISNA(VLOOKUP(E3447,E$1:E3446,1,FALSE()))),"OLD",IF(AND(E3447&lt;&gt;"",E3447&lt;&gt;"!!!"),"NEW","")))</f>
        <v> </v>
      </c>
      <c r="G3447" s="23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4" t="str">
        <f>IF(J3447&lt;&gt;1,"",IF(I3447="SBJ","CB","?"))</f>
        <v> </v>
      </c>
      <c r="I3447" s="25" t="str">
        <f>IF(OR(E3447="",E3447="!!!",F3447="NEW"),"",INDEX(B3446:B$2,-1+SUMPRODUCT(MAX(ROW(E3446:E$2)*(E3447=E3446:E$2)))))</f>
        <v> </v>
      </c>
      <c r="J3447" s="25" t="str">
        <f>IF(OR(E3447="",E3447="!!!",F3447="NEW"),"",COUNTBLANK(OFFSET(A$1,,,SUMPRODUCT(MAX(ROW(E$2:E3447)*(E3447=E$2:E3447)))))-COUNTBLANK(OFFSET(A$1,,,SUMPRODUCT(MAX(ROW(E$1:E3446)*(E2=E$1:E3446))))))</f>
        <v> </v>
      </c>
      <c r="K3447" s="25" t="str">
        <f>IF(OR(E3447="",E3447="!!!",F3447="NEW"),"",INDEX(J$1:J3446,SUMPRODUCT(MAX(ROW(E$1:E3446)*(E3447=E$1:E3446)))))</f>
        <v> </v>
      </c>
      <c r="L3447" s="26"/>
    </row>
    <row r="3448" spans="1:12">
      <c r="A3448" s="20" t="s">
        <v>2527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1390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2528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2091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1174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1032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/>
    </row>
    <row r="3455" spans="1:12">
      <c r="A3455" s="20" t="s">
        <v>2529</v>
      </c>
    </row>
    <row r="3456" spans="1:12">
      <c r="A3456" s="20" t="s">
        <v>744</v>
      </c>
      <c r="B3456" s="27" t="s">
        <v>1080</v>
      </c>
      <c r="C3456" s="27" t="s">
        <v>1075</v>
      </c>
      <c r="D3456" s="27" t="s">
        <v>1026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2530</v>
      </c>
      <c r="B3457" s="27" t="s">
        <v>1080</v>
      </c>
      <c r="C3457" s="27" t="s">
        <v>1075</v>
      </c>
      <c r="D3457" s="27" t="s">
        <v>1026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1222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1597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952</v>
      </c>
      <c r="B3460" s="27" t="s">
        <v>1048</v>
      </c>
      <c r="C3460" s="27" t="s">
        <v>1025</v>
      </c>
      <c r="D3460" s="27" t="s">
        <v>1026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2531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1471</v>
      </c>
      <c r="B3462" s="27" t="s">
        <v>1059</v>
      </c>
      <c r="C3462" s="27" t="s">
        <v>1025</v>
      </c>
      <c r="D3462" s="27" t="s">
        <v>1026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2532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1041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1035</v>
      </c>
      <c r="B3465" s="27" t="s">
        <v>1082</v>
      </c>
      <c r="C3465" s="27" t="s">
        <v>1036</v>
      </c>
      <c r="D3465" s="27" t="s">
        <v>1026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1105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2533</v>
      </c>
      <c r="B3467" s="27" t="s">
        <v>1150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2534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1050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2535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1431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1799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2536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2537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1419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2538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1795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1041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1419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1093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2114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2539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2113</v>
      </c>
      <c r="B3483" s="27" t="s">
        <v>1136</v>
      </c>
      <c r="C3483" s="27" t="s">
        <v>1088</v>
      </c>
      <c r="D3483" s="27" t="s">
        <v>1026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1041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2502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2540</v>
      </c>
      <c r="B3486" s="27" t="s">
        <v>1084</v>
      </c>
      <c r="C3486" s="27" t="s">
        <v>1151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2287</v>
      </c>
      <c r="B3487" s="27" t="s">
        <v>1048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2541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1099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2542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1030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2543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2544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1032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/>
    </row>
    <row r="3496" spans="1:12">
      <c r="A3496" s="20" t="s">
        <v>2545</v>
      </c>
    </row>
    <row r="3497" spans="1:12">
      <c r="A3497" s="20" t="s">
        <v>2546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1307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/>
    </row>
    <row r="3500" spans="1:12">
      <c r="A3500" s="20" t="s">
        <v>2547</v>
      </c>
    </row>
    <row r="3501" spans="1:12">
      <c r="A3501" s="20" t="s">
        <v>752</v>
      </c>
      <c r="B3501" s="27" t="s">
        <v>1080</v>
      </c>
      <c r="C3501" s="27" t="s">
        <v>1075</v>
      </c>
      <c r="D3501" s="27" t="s">
        <v>1026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2548</v>
      </c>
      <c r="B3502" s="27" t="s">
        <v>1080</v>
      </c>
      <c r="C3502" s="27" t="s">
        <v>1075</v>
      </c>
      <c r="D3502" s="27" t="s">
        <v>1026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1222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2549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1041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1035</v>
      </c>
      <c r="B3506" s="27" t="s">
        <v>1082</v>
      </c>
      <c r="C3506" s="27" t="s">
        <v>1036</v>
      </c>
      <c r="D3506" s="27" t="s">
        <v>1026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1441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1032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/>
    </row>
    <row r="3510" spans="1:12">
      <c r="A3510" s="20" t="s">
        <v>2550</v>
      </c>
    </row>
    <row r="3511" spans="1:12">
      <c r="A3511" s="20" t="s">
        <v>1023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2551</v>
      </c>
      <c r="B3512" s="27" t="s">
        <v>1024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2552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2553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2554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1041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1489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1042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1300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1114</v>
      </c>
      <c r="B3520" s="27" t="s">
        <v>1082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1135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1030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1114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2555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2556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1041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1489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2369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1841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2557</v>
      </c>
      <c r="B3530" s="27" t="s">
        <v>1082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2558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1037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1836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2559</v>
      </c>
      <c r="B3534" s="27" t="s">
        <v>1059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1041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1042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201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284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2381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2560</v>
      </c>
      <c r="B3540" s="27" t="s">
        <v>1229</v>
      </c>
      <c r="C3540" s="27" t="s">
        <v>1088</v>
      </c>
      <c r="D3540" s="27" t="s">
        <v>1026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2561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1041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2562</v>
      </c>
      <c r="B3543" s="27" t="s">
        <v>1229</v>
      </c>
      <c r="C3543" s="27" t="s">
        <v>1151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2563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2564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1041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2562</v>
      </c>
      <c r="B3547" s="27" t="s">
        <v>1229</v>
      </c>
      <c r="C3547" s="27" t="s">
        <v>1151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2565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1032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/>
    </row>
    <row r="3551" spans="1:12">
      <c r="A3551" s="20" t="s">
        <v>2566</v>
      </c>
    </row>
    <row r="3552" spans="1:12">
      <c r="A3552" s="20" t="s">
        <v>1125</v>
      </c>
      <c r="B3552" s="27" t="s">
        <v>1024</v>
      </c>
      <c r="C3552" s="27" t="s">
        <v>1036</v>
      </c>
      <c r="D3552" s="27" t="s">
        <v>1026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1107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1127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2567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1032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/>
    </row>
    <row r="3558" spans="1:12">
      <c r="A3558" s="20" t="s">
        <v>2568</v>
      </c>
    </row>
    <row r="3559" spans="1:12">
      <c r="A3559" s="20" t="s">
        <v>1736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305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1041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1147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1282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2569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1877</v>
      </c>
      <c r="B3565" s="27" t="s">
        <v>1082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1041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21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197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2570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1595</v>
      </c>
      <c r="B3570" s="27" t="s">
        <v>1150</v>
      </c>
      <c r="C3570" s="27" t="s">
        <v>1025</v>
      </c>
      <c r="D3570" s="27" t="s">
        <v>1026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1099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241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1109</v>
      </c>
      <c r="B3573" s="27" t="s">
        <v>1136</v>
      </c>
      <c r="C3573" s="27" t="s">
        <v>1049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2218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1159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2571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1041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1035</v>
      </c>
      <c r="B3578" s="27" t="s">
        <v>1235</v>
      </c>
      <c r="C3578" s="27" t="s">
        <v>1036</v>
      </c>
      <c r="D3578" s="27" t="s">
        <v>1026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1431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1693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2572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1695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2573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1159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2574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2575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1030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2576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1390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2577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1041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1030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2578</v>
      </c>
      <c r="B3593" s="27" t="s">
        <v>1247</v>
      </c>
      <c r="C3593" s="27" t="s">
        <v>1025</v>
      </c>
      <c r="D3593" s="27" t="s">
        <v>1026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2164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2579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2482</v>
      </c>
      <c r="B3596" s="27" t="s">
        <v>2580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241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1109</v>
      </c>
      <c r="B3598" s="27" t="s">
        <v>1397</v>
      </c>
      <c r="C3598" s="27" t="s">
        <v>1049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1041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1314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1107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2581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1041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1030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1099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1395</v>
      </c>
      <c r="B3606" s="27" t="s">
        <v>1397</v>
      </c>
      <c r="C3606" s="27" t="s">
        <v>1036</v>
      </c>
      <c r="D3606" s="27" t="s">
        <v>1026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1471</v>
      </c>
      <c r="B3607" s="27" t="s">
        <v>2582</v>
      </c>
      <c r="C3607" s="27" t="s">
        <v>1025</v>
      </c>
      <c r="D3607" s="27" t="s">
        <v>1026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1032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/>
    </row>
    <row r="3610" spans="1:12">
      <c r="A3610" s="20" t="s">
        <v>2583</v>
      </c>
    </row>
    <row r="3611" spans="1:12">
      <c r="A3611" s="20" t="s">
        <v>744</v>
      </c>
      <c r="B3611" s="27" t="s">
        <v>1080</v>
      </c>
      <c r="C3611" s="27" t="s">
        <v>1075</v>
      </c>
      <c r="D3611" s="27" t="s">
        <v>1026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2530</v>
      </c>
      <c r="B3612" s="27" t="s">
        <v>1080</v>
      </c>
      <c r="C3612" s="27" t="s">
        <v>1075</v>
      </c>
      <c r="D3612" s="27" t="s">
        <v>1026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1222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1125</v>
      </c>
      <c r="B3614" s="27" t="s">
        <v>1082</v>
      </c>
      <c r="C3614" s="27" t="s">
        <v>1036</v>
      </c>
      <c r="D3614" s="27" t="s">
        <v>1026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1159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1850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1930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1041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2085</v>
      </c>
      <c r="B3619" s="27" t="s">
        <v>1048</v>
      </c>
      <c r="C3619" s="27" t="s">
        <v>1151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2584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2585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1242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2586</v>
      </c>
      <c r="B3623" s="27" t="s">
        <v>1059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1843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1032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/>
    </row>
    <row r="3627" spans="1:12">
      <c r="A3627" s="20" t="s">
        <v>2587</v>
      </c>
    </row>
    <row r="3628" spans="1:12">
      <c r="A3628" s="20" t="s">
        <v>752</v>
      </c>
      <c r="B3628" s="27" t="s">
        <v>1080</v>
      </c>
      <c r="C3628" s="27" t="s">
        <v>1075</v>
      </c>
      <c r="D3628" s="27" t="s">
        <v>1026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2548</v>
      </c>
      <c r="B3629" s="27" t="s">
        <v>1080</v>
      </c>
      <c r="C3629" s="27" t="s">
        <v>1075</v>
      </c>
      <c r="D3629" s="27" t="s">
        <v>1026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1222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2298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1385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1032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/>
    </row>
    <row r="3635" spans="1:12">
      <c r="A3635" s="20" t="s">
        <v>2588</v>
      </c>
    </row>
    <row r="3636" spans="1:12">
      <c r="A3636" s="20" t="s">
        <v>1942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1286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1843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1159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510</v>
      </c>
      <c r="B3640" s="27" t="s">
        <v>1082</v>
      </c>
      <c r="C3640" s="27" t="s">
        <v>1025</v>
      </c>
      <c r="D3640" s="27" t="s">
        <v>1026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1119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2589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2579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1041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1030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2590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1115</v>
      </c>
      <c r="B3647" s="27" t="s">
        <v>1059</v>
      </c>
      <c r="C3647" s="27" t="s">
        <v>1025</v>
      </c>
      <c r="D3647" s="27" t="s">
        <v>1026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1563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1395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2591</v>
      </c>
      <c r="B3650" s="27" t="s">
        <v>1084</v>
      </c>
      <c r="C3650" s="27" t="s">
        <v>1088</v>
      </c>
      <c r="D3650" s="27" t="s">
        <v>1026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2592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1572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1032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/>
    </row>
    <row r="3655" spans="1:12">
      <c r="A3655" s="20" t="s">
        <v>2593</v>
      </c>
    </row>
    <row r="3656" spans="1:12">
      <c r="A3656" s="20" t="s">
        <v>2594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197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1115</v>
      </c>
      <c r="B3658" s="27" t="s">
        <v>1059</v>
      </c>
      <c r="C3658" s="27" t="s">
        <v>1025</v>
      </c>
      <c r="D3658" s="27" t="s">
        <v>1026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2595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2596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 t="s">
        <v>1050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2597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2598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1030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2599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1032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/>
    </row>
    <row r="3668" spans="1:12">
      <c r="A3668" s="20" t="s">
        <v>2600</v>
      </c>
    </row>
    <row r="3669" spans="1:12">
      <c r="A3669" s="20" t="s">
        <v>2149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1213</v>
      </c>
      <c r="B3670" s="27" t="s">
        <v>1024</v>
      </c>
      <c r="C3670" s="27" t="s">
        <v>1025</v>
      </c>
      <c r="D3670" s="27" t="s">
        <v>1026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2601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1122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2602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1990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1843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1041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1894</v>
      </c>
      <c r="B3677" s="27" t="s">
        <v>1048</v>
      </c>
      <c r="C3677" s="27" t="s">
        <v>1151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2603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1050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2604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2605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1310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1050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2606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2607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1032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/>
    </row>
    <row r="3688" spans="1:12">
      <c r="A3688" s="20" t="s">
        <v>2608</v>
      </c>
    </row>
    <row r="3689" spans="1:12">
      <c r="A3689" s="20" t="s">
        <v>2332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1086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1795</v>
      </c>
      <c r="B3691" s="27" t="s">
        <v>1080</v>
      </c>
      <c r="C3691" s="27" t="s">
        <v>1088</v>
      </c>
      <c r="D3691" s="27" t="s">
        <v>1026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1213</v>
      </c>
      <c r="B3692" s="27" t="s">
        <v>1024</v>
      </c>
      <c r="C3692" s="27" t="s">
        <v>1025</v>
      </c>
      <c r="D3692" s="27" t="s">
        <v>1026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1030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2601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1032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/>
    </row>
    <row r="3697" spans="1:12">
      <c r="A3697" s="20" t="s">
        <v>2609</v>
      </c>
    </row>
    <row r="3698" spans="1:12">
      <c r="A3698" s="20" t="s">
        <v>1132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1041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21</v>
      </c>
      <c r="B3700" s="27" t="s">
        <v>1024</v>
      </c>
      <c r="C3700" s="27" t="s">
        <v>1036</v>
      </c>
      <c r="D3700" s="27" t="s">
        <v>1026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1041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201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1085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1561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2153</v>
      </c>
      <c r="B3705" s="27" t="s">
        <v>1048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2126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2610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1041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1085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2279</v>
      </c>
      <c r="B3710" s="27" t="s">
        <v>1080</v>
      </c>
      <c r="C3710" s="27" t="s">
        <v>1025</v>
      </c>
      <c r="D3710" s="27" t="s">
        <v>1026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2611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2612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1041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1030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1302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1843</v>
      </c>
      <c r="B3716" s="27" t="s">
        <v>1082</v>
      </c>
      <c r="C3716" s="27" t="s">
        <v>1049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2613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2147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1053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1209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2217</v>
      </c>
      <c r="B3721" s="27" t="s">
        <v>1136</v>
      </c>
      <c r="C3721" s="27" t="s">
        <v>1072</v>
      </c>
      <c r="D3721" s="27" t="s">
        <v>1026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1086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2170</v>
      </c>
      <c r="B3723" s="27" t="s">
        <v>1084</v>
      </c>
      <c r="C3723" s="27" t="s">
        <v>1088</v>
      </c>
      <c r="D3723" s="27" t="s">
        <v>1026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1032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/>
    </row>
    <row r="3726" spans="1:12">
      <c r="A3726" s="20" t="s">
        <v>2614</v>
      </c>
    </row>
    <row r="3727" spans="1:12">
      <c r="A3727" s="20" t="s">
        <v>744</v>
      </c>
      <c r="B3727" s="27" t="s">
        <v>1080</v>
      </c>
      <c r="C3727" s="27" t="s">
        <v>1075</v>
      </c>
      <c r="D3727" s="27" t="s">
        <v>1026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2530</v>
      </c>
      <c r="B3728" s="27" t="s">
        <v>1080</v>
      </c>
      <c r="C3728" s="27" t="s">
        <v>1075</v>
      </c>
      <c r="D3728" s="27" t="s">
        <v>1026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1222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1162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2615</v>
      </c>
      <c r="B3731" s="27" t="s">
        <v>1136</v>
      </c>
      <c r="C3731" s="27" t="s">
        <v>1046</v>
      </c>
      <c r="D3731" s="27" t="s">
        <v>1026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2616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1122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2617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2618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1053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2619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 t="s">
        <v>2620</v>
      </c>
      <c r="B3738" s="27" t="s">
        <v>1136</v>
      </c>
      <c r="C3738" s="27" t="s">
        <v>1049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1764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 t="s">
        <v>2621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1050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1395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2090</v>
      </c>
      <c r="B3743" s="27" t="s">
        <v>1045</v>
      </c>
      <c r="C3743" s="27" t="s">
        <v>1088</v>
      </c>
      <c r="D3743" s="27" t="s">
        <v>1026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1041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1272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1178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2622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2623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2624</v>
      </c>
      <c r="B3749" s="27" t="s">
        <v>1290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1307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/>
    </row>
    <row r="3752" spans="1:12">
      <c r="A3752" s="20" t="s">
        <v>2625</v>
      </c>
    </row>
    <row r="3753" spans="1:12">
      <c r="A3753" s="20" t="s">
        <v>752</v>
      </c>
      <c r="B3753" s="27" t="s">
        <v>1080</v>
      </c>
      <c r="C3753" s="27" t="s">
        <v>1075</v>
      </c>
      <c r="D3753" s="27" t="s">
        <v>1026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2548</v>
      </c>
      <c r="B3754" s="27" t="s">
        <v>1080</v>
      </c>
      <c r="C3754" s="27" t="s">
        <v>1075</v>
      </c>
      <c r="D3754" s="27" t="s">
        <v>1026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1222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 t="s">
        <v>2626</v>
      </c>
      <c r="E3756" s="21">
        <f>IF(D3756="?OLD","!!!","")</f>
        <v/>
      </c>
      <c r="F3756" s="22" t="str">
        <f>IF(OR(E3756="",E3756="!!!"),"",IF(NOT(ISNA(VLOOKUP(E3756,E$1:E3755,1,FALSE()))),"OLD",IF(AND(E3756&lt;&gt;"",E3756&lt;&gt;"!!!"),"NEW","")))</f>
        <v> </v>
      </c>
      <c r="G3756" s="23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4" t="str">
        <f>IF(J3756&lt;&gt;1,"",IF(I3756="SBJ","CB","?"))</f>
        <v> </v>
      </c>
      <c r="I3756" s="25" t="str">
        <f>IF(OR(E3756="",E3756="!!!",F3756="NEW"),"",INDEX(B3755:B$2,-1+SUMPRODUCT(MAX(ROW(E3755:E$2)*(E3756=E3755:E$2)))))</f>
        <v> </v>
      </c>
      <c r="J3756" s="25" t="str">
        <f>IF(OR(E3756="",E3756="!!!",F3756="NEW"),"",COUNTBLANK(OFFSET(A$1,,,SUMPRODUCT(MAX(ROW(E$2:E3756)*(E3756=E$2:E3756)))))-COUNTBLANK(OFFSET(A$1,,,SUMPRODUCT(MAX(ROW(E$1:E3755)*(E2=E$1:E3755))))))</f>
        <v> </v>
      </c>
      <c r="K3756" s="25" t="str">
        <f>IF(OR(E3756="",E3756="!!!",F3756="NEW"),"",INDEX(J$1:J3755,SUMPRODUCT(MAX(ROW(E$1:E3755)*(E3756=E$1:E3755)))))</f>
        <v> </v>
      </c>
      <c r="L3756" s="26"/>
    </row>
    <row r="3757" spans="1:12">
      <c r="A3757" s="20" t="s">
        <v>2627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1213</v>
      </c>
      <c r="B3758" s="27" t="s">
        <v>1082</v>
      </c>
      <c r="C3758" s="27" t="s">
        <v>1025</v>
      </c>
      <c r="D3758" s="27" t="s">
        <v>1026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1107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2628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1032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/>
    </row>
    <row r="3763" spans="1:12">
      <c r="A3763" s="20" t="s">
        <v>2629</v>
      </c>
    </row>
    <row r="3764" spans="1:12">
      <c r="A3764" s="20" t="s">
        <v>2630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2631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1041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1740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1741</v>
      </c>
      <c r="B3768" s="27" t="s">
        <v>1024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2632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2633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 t="s">
        <v>2634</v>
      </c>
      <c r="E3771" s="21">
        <f>IF(D3771="?OLD","!!!","")</f>
        <v/>
      </c>
      <c r="F3771" s="22" t="str">
        <f>IF(OR(E3771="",E3771="!!!"),"",IF(NOT(ISNA(VLOOKUP(E3771,E$1:E3770,1,FALSE()))),"OLD",IF(AND(E3771&lt;&gt;"",E3771&lt;&gt;"!!!"),"NEW","")))</f>
        <v> </v>
      </c>
      <c r="G3771" s="23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4" t="str">
        <f>IF(J3771&lt;&gt;1,"",IF(I3771="SBJ","CB","?"))</f>
        <v> </v>
      </c>
      <c r="I3771" s="25" t="str">
        <f>IF(OR(E3771="",E3771="!!!",F3771="NEW"),"",INDEX(B3770:B$2,-1+SUMPRODUCT(MAX(ROW(E3770:E$2)*(E3771=E3770:E$2)))))</f>
        <v> </v>
      </c>
      <c r="J3771" s="25" t="str">
        <f>IF(OR(E3771="",E3771="!!!",F3771="NEW"),"",COUNTBLANK(OFFSET(A$1,,,SUMPRODUCT(MAX(ROW(E$2:E3771)*(E3771=E$2:E3771)))))-COUNTBLANK(OFFSET(A$1,,,SUMPRODUCT(MAX(ROW(E$1:E3770)*(E2=E$1:E3770))))))</f>
        <v> </v>
      </c>
      <c r="K3771" s="25" t="str">
        <f>IF(OR(E3771="",E3771="!!!",F3771="NEW"),"",INDEX(J$1:J3770,SUMPRODUCT(MAX(ROW(E$1:E3770)*(E3771=E$1:E3770)))))</f>
        <v> </v>
      </c>
      <c r="L3771" s="26"/>
    </row>
    <row r="3772" spans="1:12">
      <c r="A3772" s="20" t="s">
        <v>2635</v>
      </c>
      <c r="E3772" s="21">
        <f>IF(D3772="?OLD","!!!","")</f>
        <v/>
      </c>
      <c r="F3772" s="22" t="str">
        <f>IF(OR(E3772="",E3772="!!!"),"",IF(NOT(ISNA(VLOOKUP(E3772,E$1:E3771,1,FALSE()))),"OLD",IF(AND(E3772&lt;&gt;"",E3772&lt;&gt;"!!!"),"NEW","")))</f>
        <v> </v>
      </c>
      <c r="G3772" s="23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4" t="str">
        <f>IF(J3772&lt;&gt;1,"",IF(I3772="SBJ","CB","?"))</f>
        <v> </v>
      </c>
      <c r="I3772" s="25" t="str">
        <f>IF(OR(E3772="",E3772="!!!",F3772="NEW"),"",INDEX(B3771:B$2,-1+SUMPRODUCT(MAX(ROW(E3771:E$2)*(E3772=E3771:E$2)))))</f>
        <v> </v>
      </c>
      <c r="J3772" s="25" t="str">
        <f>IF(OR(E3772="",E3772="!!!",F3772="NEW"),"",COUNTBLANK(OFFSET(A$1,,,SUMPRODUCT(MAX(ROW(E$2:E3772)*(E3772=E$2:E3772)))))-COUNTBLANK(OFFSET(A$1,,,SUMPRODUCT(MAX(ROW(E$1:E3771)*(E2=E$1:E3771))))))</f>
        <v> </v>
      </c>
      <c r="K3772" s="25" t="str">
        <f>IF(OR(E3772="",E3772="!!!",F3772="NEW"),"",INDEX(J$1:J3771,SUMPRODUCT(MAX(ROW(E$1:E3771)*(E3772=E$1:E3771)))))</f>
        <v> </v>
      </c>
      <c r="L3772" s="26"/>
    </row>
    <row r="3773" spans="1:12">
      <c r="A3773" s="20" t="s">
        <v>2636</v>
      </c>
      <c r="B3773" s="27" t="s">
        <v>1045</v>
      </c>
      <c r="C3773" s="27" t="s">
        <v>1025</v>
      </c>
      <c r="D3773" s="27" t="s">
        <v>1026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1041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201</v>
      </c>
      <c r="B3775" s="27" t="s">
        <v>1290</v>
      </c>
      <c r="C3775" s="27" t="s">
        <v>1151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2055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2637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1032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/>
    </row>
    <row r="3780" spans="1:12">
      <c r="A3780" s="20" t="s">
        <v>2638</v>
      </c>
    </row>
    <row r="3781" spans="1:12">
      <c r="A3781" s="20" t="s">
        <v>2639</v>
      </c>
      <c r="B3781" s="27" t="s">
        <v>1136</v>
      </c>
      <c r="C3781" s="27" t="s">
        <v>1046</v>
      </c>
      <c r="D3781" s="27" t="s">
        <v>1026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2109</v>
      </c>
      <c r="B3782" s="27" t="s">
        <v>1024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2640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2641</v>
      </c>
      <c r="B3784" s="27" t="s">
        <v>1143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1041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2642</v>
      </c>
      <c r="B3786" s="27" t="s">
        <v>1082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2643</v>
      </c>
      <c r="B3787" s="27" t="s">
        <v>1045</v>
      </c>
      <c r="C3787" s="27" t="s">
        <v>1046</v>
      </c>
      <c r="D3787" s="27" t="s">
        <v>1026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2644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2645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1050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2646</v>
      </c>
      <c r="B3791" s="27" t="s">
        <v>1080</v>
      </c>
      <c r="C3791" s="27" t="s">
        <v>1075</v>
      </c>
      <c r="D3791" s="27" t="s">
        <v>1026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1041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2647</v>
      </c>
      <c r="B3793" s="27" t="s">
        <v>1136</v>
      </c>
      <c r="C3793" s="27" t="s">
        <v>1075</v>
      </c>
      <c r="D3793" s="27" t="s">
        <v>1026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1041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2648</v>
      </c>
      <c r="B3795" s="27" t="s">
        <v>1136</v>
      </c>
      <c r="C3795" s="27" t="s">
        <v>1075</v>
      </c>
      <c r="D3795" s="27" t="s">
        <v>1026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1032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/>
    </row>
    <row r="3798" spans="1:12">
      <c r="A3798" s="20" t="s">
        <v>2649</v>
      </c>
    </row>
    <row r="3799" spans="1:12">
      <c r="A3799" s="20" t="s">
        <v>2650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 t="s">
        <v>952</v>
      </c>
      <c r="B3800" s="27" t="s">
        <v>1024</v>
      </c>
      <c r="C3800" s="27" t="s">
        <v>1025</v>
      </c>
      <c r="D3800" s="27" t="s">
        <v>1026</v>
      </c>
      <c r="E3800" s="21">
        <f>IF(D3800="?OLD","!!!","")</f>
        <v/>
      </c>
      <c r="F3800" s="22" t="str">
        <f>IF(OR(E3800="",E3800="!!!"),"",IF(NOT(ISNA(VLOOKUP(E3800,E$1:E3799,1,FALSE()))),"OLD",IF(AND(E3800&lt;&gt;"",E3800&lt;&gt;"!!!"),"NEW","")))</f>
        <v> </v>
      </c>
      <c r="G3800" s="23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4" t="str">
        <f>IF(J3800&lt;&gt;1,"",IF(I3800="SBJ","CB","?"))</f>
        <v> </v>
      </c>
      <c r="I3800" s="25" t="str">
        <f>IF(OR(E3800="",E3800="!!!",F3800="NEW"),"",INDEX(B3799:B$2,-1+SUMPRODUCT(MAX(ROW(E3799:E$2)*(E3800=E3799:E$2)))))</f>
        <v> </v>
      </c>
      <c r="J3800" s="25" t="str">
        <f>IF(OR(E3800="",E3800="!!!",F3800="NEW"),"",COUNTBLANK(OFFSET(A$1,,,SUMPRODUCT(MAX(ROW(E$2:E3800)*(E3800=E$2:E3800)))))-COUNTBLANK(OFFSET(A$1,,,SUMPRODUCT(MAX(ROW(E$1:E3799)*(E2=E$1:E3799))))))</f>
        <v> </v>
      </c>
      <c r="K3800" s="25" t="str">
        <f>IF(OR(E3800="",E3800="!!!",F3800="NEW"),"",INDEX(J$1:J3799,SUMPRODUCT(MAX(ROW(E$1:E3799)*(E3800=E$1:E3799)))))</f>
        <v> </v>
      </c>
      <c r="L3800" s="26"/>
    </row>
    <row r="3801" spans="1:12">
      <c r="A3801" s="20" t="s">
        <v>2651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1122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2652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1174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 t="s">
        <v>2643</v>
      </c>
      <c r="B3805" s="27" t="s">
        <v>1045</v>
      </c>
      <c r="C3805" s="27" t="s">
        <v>1046</v>
      </c>
      <c r="D3805" s="27" t="s">
        <v>1026</v>
      </c>
      <c r="E3805" s="21">
        <f>IF(D3805="?OLD","!!!","")</f>
        <v/>
      </c>
      <c r="F3805" s="22" t="str">
        <f>IF(OR(E3805="",E3805="!!!"),"",IF(NOT(ISNA(VLOOKUP(E3805,E$1:E3804,1,FALSE()))),"OLD",IF(AND(E3805&lt;&gt;"",E3805&lt;&gt;"!!!"),"NEW","")))</f>
        <v> </v>
      </c>
      <c r="G3805" s="23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4" t="str">
        <f>IF(J3805&lt;&gt;1,"",IF(I3805="SBJ","CB","?"))</f>
        <v> </v>
      </c>
      <c r="I3805" s="25" t="str">
        <f>IF(OR(E3805="",E3805="!!!",F3805="NEW"),"",INDEX(B3804:B$2,-1+SUMPRODUCT(MAX(ROW(E3804:E$2)*(E3805=E3804:E$2)))))</f>
        <v> </v>
      </c>
      <c r="J3805" s="25" t="str">
        <f>IF(OR(E3805="",E3805="!!!",F3805="NEW"),"",COUNTBLANK(OFFSET(A$1,,,SUMPRODUCT(MAX(ROW(E$2:E3805)*(E3805=E$2:E3805)))))-COUNTBLANK(OFFSET(A$1,,,SUMPRODUCT(MAX(ROW(E$1:E3804)*(E2=E$1:E3804))))))</f>
        <v> </v>
      </c>
      <c r="K3805" s="25" t="str">
        <f>IF(OR(E3805="",E3805="!!!",F3805="NEW"),"",INDEX(J$1:J3804,SUMPRODUCT(MAX(ROW(E$1:E3804)*(E3805=E$1:E3804)))))</f>
        <v> </v>
      </c>
      <c r="L3805" s="26"/>
    </row>
    <row r="3806" spans="1:12">
      <c r="A3806" s="20" t="s">
        <v>1960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1764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1079</v>
      </c>
      <c r="B3808" s="27" t="s">
        <v>1080</v>
      </c>
      <c r="C3808" s="27" t="s">
        <v>1036</v>
      </c>
      <c r="D3808" s="27" t="s">
        <v>1026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1041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1431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 t="s">
        <v>2653</v>
      </c>
      <c r="B3811" s="27" t="s">
        <v>1045</v>
      </c>
      <c r="C3811" s="27" t="s">
        <v>1046</v>
      </c>
      <c r="D3811" s="27" t="s">
        <v>1026</v>
      </c>
      <c r="E3811" s="21">
        <f>IF(D3811="?OLD","!!!","")</f>
        <v/>
      </c>
      <c r="F3811" s="22" t="str">
        <f>IF(OR(E3811="",E3811="!!!"),"",IF(NOT(ISNA(VLOOKUP(E3811,E$1:E3810,1,FALSE()))),"OLD",IF(AND(E3811&lt;&gt;"",E3811&lt;&gt;"!!!"),"NEW","")))</f>
        <v> </v>
      </c>
      <c r="G3811" s="23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4" t="str">
        <f>IF(J3811&lt;&gt;1,"",IF(I3811="SBJ","CB","?"))</f>
        <v> </v>
      </c>
      <c r="I3811" s="25" t="str">
        <f>IF(OR(E3811="",E3811="!!!",F3811="NEW"),"",INDEX(B3810:B$2,-1+SUMPRODUCT(MAX(ROW(E3810:E$2)*(E3811=E3810:E$2)))))</f>
        <v> </v>
      </c>
      <c r="J3811" s="25" t="str">
        <f>IF(OR(E3811="",E3811="!!!",F3811="NEW"),"",COUNTBLANK(OFFSET(A$1,,,SUMPRODUCT(MAX(ROW(E$2:E3811)*(E3811=E$2:E3811)))))-COUNTBLANK(OFFSET(A$1,,,SUMPRODUCT(MAX(ROW(E$1:E3810)*(E2=E$1:E3810))))))</f>
        <v> </v>
      </c>
      <c r="K3811" s="25" t="str">
        <f>IF(OR(E3811="",E3811="!!!",F3811="NEW"),"",INDEX(J$1:J3810,SUMPRODUCT(MAX(ROW(E$1:E3810)*(E3811=E$1:E3810)))))</f>
        <v> </v>
      </c>
      <c r="L3811" s="26"/>
    </row>
    <row r="3812" spans="1:12">
      <c r="A3812" s="20" t="s">
        <v>2109</v>
      </c>
      <c r="B3812" s="27" t="s">
        <v>1048</v>
      </c>
      <c r="E3812" s="21">
        <f>IF(D3812="?OLD","!!!","")</f>
        <v/>
      </c>
      <c r="F3812" s="22" t="str">
        <f>IF(OR(E3812="",E3812="!!!"),"",IF(NOT(ISNA(VLOOKUP(E3812,E$1:E3811,1,FALSE()))),"OLD",IF(AND(E3812&lt;&gt;"",E3812&lt;&gt;"!!!"),"NEW","")))</f>
        <v> </v>
      </c>
      <c r="G3812" s="23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4" t="str">
        <f>IF(J3812&lt;&gt;1,"",IF(I3812="SBJ","CB","?"))</f>
        <v> </v>
      </c>
      <c r="I3812" s="25" t="str">
        <f>IF(OR(E3812="",E3812="!!!",F3812="NEW"),"",INDEX(B3811:B$2,-1+SUMPRODUCT(MAX(ROW(E3811:E$2)*(E3812=E3811:E$2)))))</f>
        <v> </v>
      </c>
      <c r="J3812" s="25" t="str">
        <f>IF(OR(E3812="",E3812="!!!",F3812="NEW"),"",COUNTBLANK(OFFSET(A$1,,,SUMPRODUCT(MAX(ROW(E$2:E3812)*(E3812=E$2:E3812)))))-COUNTBLANK(OFFSET(A$1,,,SUMPRODUCT(MAX(ROW(E$1:E3811)*(E2=E$1:E3811))))))</f>
        <v> </v>
      </c>
      <c r="K3812" s="25" t="str">
        <f>IF(OR(E3812="",E3812="!!!",F3812="NEW"),"",INDEX(J$1:J3811,SUMPRODUCT(MAX(ROW(E$1:E3811)*(E3812=E$1:E3811)))))</f>
        <v> </v>
      </c>
      <c r="L3812" s="26"/>
    </row>
    <row r="3813" spans="1:12">
      <c r="A3813" s="20" t="s">
        <v>2654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1050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1595</v>
      </c>
      <c r="B3815" s="27" t="s">
        <v>1045</v>
      </c>
      <c r="C3815" s="27" t="s">
        <v>1046</v>
      </c>
      <c r="D3815" s="27" t="s">
        <v>1026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2655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1032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/>
    </row>
    <row r="3819" spans="1:12">
      <c r="A3819" s="20" t="s">
        <v>2656</v>
      </c>
    </row>
    <row r="3820" spans="1:12">
      <c r="A3820" s="20" t="s">
        <v>1292</v>
      </c>
      <c r="B3820" s="27" t="s">
        <v>1024</v>
      </c>
      <c r="C3820" s="27" t="s">
        <v>1025</v>
      </c>
      <c r="D3820" s="27" t="s">
        <v>1026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1122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2657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2658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1099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1035</v>
      </c>
      <c r="B3825" s="27" t="s">
        <v>1080</v>
      </c>
      <c r="C3825" s="27" t="s">
        <v>1036</v>
      </c>
      <c r="D3825" s="27" t="s">
        <v>1026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1032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/>
    </row>
    <row r="3828" spans="1:12">
      <c r="A3828" s="20" t="s">
        <v>2659</v>
      </c>
    </row>
    <row r="3829" spans="1:12">
      <c r="A3829" s="20" t="s">
        <v>2660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2661</v>
      </c>
      <c r="B3830" s="27" t="s">
        <v>1143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2662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2663</v>
      </c>
      <c r="B3832" s="27" t="s">
        <v>1024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1030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2664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1032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/>
    </row>
    <row r="3837" spans="1:12">
      <c r="A3837" s="20" t="s">
        <v>2665</v>
      </c>
    </row>
    <row r="3838" spans="1:12">
      <c r="A3838" s="20" t="s">
        <v>1510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2666</v>
      </c>
      <c r="B3839" s="27" t="s">
        <v>1024</v>
      </c>
      <c r="C3839" s="27" t="s">
        <v>1072</v>
      </c>
      <c r="D3839" s="27" t="s">
        <v>1026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1093</v>
      </c>
      <c r="B3840" s="27" t="s">
        <v>1136</v>
      </c>
      <c r="C3840" s="27" t="s">
        <v>1036</v>
      </c>
      <c r="D3840" s="27" t="s">
        <v>1026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1041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201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2048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2667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1032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/>
    </row>
    <row r="3847" spans="1:12">
      <c r="A3847" s="20" t="s">
        <v>2668</v>
      </c>
    </row>
    <row r="3848" spans="1:12">
      <c r="A3848" s="20" t="s">
        <v>1125</v>
      </c>
      <c r="B3848" s="27" t="s">
        <v>1082</v>
      </c>
      <c r="C3848" s="27" t="s">
        <v>1036</v>
      </c>
      <c r="D3848" s="27" t="s">
        <v>1026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2470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2669</v>
      </c>
      <c r="B3850" s="27" t="s">
        <v>1024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1041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1279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1035</v>
      </c>
      <c r="B3853" s="27" t="s">
        <v>1048</v>
      </c>
      <c r="C3853" s="27" t="s">
        <v>1036</v>
      </c>
      <c r="D3853" s="27" t="s">
        <v>1026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1431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2670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2512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1041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1030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1114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1360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2671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1115</v>
      </c>
      <c r="B3862" s="27" t="s">
        <v>1143</v>
      </c>
      <c r="C3862" s="27" t="s">
        <v>1025</v>
      </c>
      <c r="D3862" s="27" t="s">
        <v>1026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 t="s">
        <v>1032</v>
      </c>
      <c r="E3863" s="21">
        <f>IF(D3863="?OLD","!!!","")</f>
        <v/>
      </c>
      <c r="F3863" s="22" t="str">
        <f>IF(OR(E3863="",E3863="!!!"),"",IF(NOT(ISNA(VLOOKUP(E3863,E$1:E3862,1,FALSE()))),"OLD",IF(AND(E3863&lt;&gt;"",E3863&lt;&gt;"!!!"),"NEW","")))</f>
        <v> </v>
      </c>
      <c r="G3863" s="23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4" t="str">
        <f>IF(J3863&lt;&gt;1,"",IF(I3863="SBJ","CB","?"))</f>
        <v> </v>
      </c>
      <c r="I3863" s="25" t="str">
        <f>IF(OR(E3863="",E3863="!!!",F3863="NEW"),"",INDEX(B3862:B$2,-1+SUMPRODUCT(MAX(ROW(E3862:E$2)*(E3863=E3862:E$2)))))</f>
        <v> </v>
      </c>
      <c r="J3863" s="25" t="str">
        <f>IF(OR(E3863="",E3863="!!!",F3863="NEW"),"",COUNTBLANK(OFFSET(A$1,,,SUMPRODUCT(MAX(ROW(E$2:E3863)*(E3863=E$2:E3863)))))-COUNTBLANK(OFFSET(A$1,,,SUMPRODUCT(MAX(ROW(E$1:E3862)*(E2=E$1:E3862))))))</f>
        <v> </v>
      </c>
      <c r="K3863" s="25" t="str">
        <f>IF(OR(E3863="",E3863="!!!",F3863="NEW"),"",INDEX(J$1:J3862,SUMPRODUCT(MAX(ROW(E$1:E3862)*(E3863=E$1:E3862)))))</f>
        <v> </v>
      </c>
      <c r="L3863" s="26"/>
    </row>
    <row r="3864" spans="1:12">
      <c r="A3864" s="20"/>
    </row>
    <row r="3865" spans="1:12">
      <c r="A3865" s="20" t="s">
        <v>2672</v>
      </c>
    </row>
    <row r="3866" spans="1:12">
      <c r="A3866" s="20" t="s">
        <v>1736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201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1041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2673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822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1041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1272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2674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2670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2512</v>
      </c>
      <c r="B3875" s="27" t="s">
        <v>1082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1159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2675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1099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2676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2598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2677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2518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1032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/>
    </row>
    <row r="3885" spans="1:12">
      <c r="A3885" s="20" t="s">
        <v>2678</v>
      </c>
    </row>
    <row r="3886" spans="1:12">
      <c r="A3886" s="20" t="s">
        <v>744</v>
      </c>
      <c r="B3886" s="27" t="s">
        <v>1080</v>
      </c>
      <c r="C3886" s="27" t="s">
        <v>1075</v>
      </c>
      <c r="D3886" s="27" t="s">
        <v>1026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2530</v>
      </c>
      <c r="B3887" s="27" t="s">
        <v>1080</v>
      </c>
      <c r="C3887" s="27" t="s">
        <v>1075</v>
      </c>
      <c r="D3887" s="27" t="s">
        <v>1026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1222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2679</v>
      </c>
      <c r="B3889" s="27" t="s">
        <v>1136</v>
      </c>
      <c r="C3889" s="27" t="s">
        <v>1046</v>
      </c>
      <c r="D3889" s="27" t="s">
        <v>1026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2277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1165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1030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2680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2681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1035</v>
      </c>
      <c r="B3895" s="27" t="s">
        <v>1059</v>
      </c>
      <c r="C3895" s="27" t="s">
        <v>1036</v>
      </c>
      <c r="D3895" s="27" t="s">
        <v>1026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1050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 t="s">
        <v>2682</v>
      </c>
      <c r="E3897" s="21">
        <f>IF(D3897="?OLD","!!!","")</f>
        <v/>
      </c>
      <c r="F3897" s="22" t="str">
        <f>IF(OR(E3897="",E3897="!!!"),"",IF(NOT(ISNA(VLOOKUP(E3897,E$1:E3896,1,FALSE()))),"OLD",IF(AND(E3897&lt;&gt;"",E3897&lt;&gt;"!!!"),"NEW","")))</f>
        <v> </v>
      </c>
      <c r="G3897" s="23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4" t="str">
        <f>IF(J3897&lt;&gt;1,"",IF(I3897="SBJ","CB","?"))</f>
        <v> </v>
      </c>
      <c r="I3897" s="25" t="str">
        <f>IF(OR(E3897="",E3897="!!!",F3897="NEW"),"",INDEX(B3896:B$2,-1+SUMPRODUCT(MAX(ROW(E3896:E$2)*(E3897=E3896:E$2)))))</f>
        <v> </v>
      </c>
      <c r="J3897" s="25" t="str">
        <f>IF(OR(E3897="",E3897="!!!",F3897="NEW"),"",COUNTBLANK(OFFSET(A$1,,,SUMPRODUCT(MAX(ROW(E$2:E3897)*(E3897=E$2:E3897)))))-COUNTBLANK(OFFSET(A$1,,,SUMPRODUCT(MAX(ROW(E$1:E3896)*(E2=E$1:E3896))))))</f>
        <v> </v>
      </c>
      <c r="K3897" s="25" t="str">
        <f>IF(OR(E3897="",E3897="!!!",F3897="NEW"),"",INDEX(J$1:J3896,SUMPRODUCT(MAX(ROW(E$1:E3896)*(E3897=E$1:E3896)))))</f>
        <v> </v>
      </c>
      <c r="L3897" s="26"/>
    </row>
    <row r="3898" spans="1:12">
      <c r="A3898" s="20" t="s">
        <v>1307</v>
      </c>
      <c r="E3898" s="21">
        <f>IF(D3898="?OLD","!!!","")</f>
        <v/>
      </c>
      <c r="F3898" s="22" t="str">
        <f>IF(OR(E3898="",E3898="!!!"),"",IF(NOT(ISNA(VLOOKUP(E3898,E$1:E3897,1,FALSE()))),"OLD",IF(AND(E3898&lt;&gt;"",E3898&lt;&gt;"!!!"),"NEW","")))</f>
        <v> </v>
      </c>
      <c r="G3898" s="23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4" t="str">
        <f>IF(J3898&lt;&gt;1,"",IF(I3898="SBJ","CB","?"))</f>
        <v> </v>
      </c>
      <c r="I3898" s="25" t="str">
        <f>IF(OR(E3898="",E3898="!!!",F3898="NEW"),"",INDEX(B3897:B$2,-1+SUMPRODUCT(MAX(ROW(E3897:E$2)*(E3898=E3897:E$2)))))</f>
        <v> </v>
      </c>
      <c r="J3898" s="25" t="str">
        <f>IF(OR(E3898="",E3898="!!!",F3898="NEW"),"",COUNTBLANK(OFFSET(A$1,,,SUMPRODUCT(MAX(ROW(E$2:E3898)*(E3898=E$2:E3898)))))-COUNTBLANK(OFFSET(A$1,,,SUMPRODUCT(MAX(ROW(E$1:E3897)*(E2=E$1:E3897))))))</f>
        <v> </v>
      </c>
      <c r="K3898" s="25" t="str">
        <f>IF(OR(E3898="",E3898="!!!",F3898="NEW"),"",INDEX(J$1:J3897,SUMPRODUCT(MAX(ROW(E$1:E3897)*(E3898=E$1:E3897)))))</f>
        <v> </v>
      </c>
      <c r="L3898" s="26"/>
    </row>
    <row r="3899" spans="1:12">
      <c r="A3899" s="20"/>
    </row>
    <row r="3900" spans="1:12">
      <c r="A3900" s="20" t="s">
        <v>2683</v>
      </c>
    </row>
    <row r="3901" spans="1:12">
      <c r="A3901" s="20" t="s">
        <v>752</v>
      </c>
      <c r="B3901" s="27" t="s">
        <v>1080</v>
      </c>
      <c r="C3901" s="27" t="s">
        <v>1075</v>
      </c>
      <c r="D3901" s="27" t="s">
        <v>1026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2548</v>
      </c>
      <c r="B3902" s="27" t="s">
        <v>1080</v>
      </c>
      <c r="C3902" s="27" t="s">
        <v>1075</v>
      </c>
      <c r="D3902" s="27" t="s">
        <v>1026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1222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2684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1761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1133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1050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1564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1606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1041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 t="s">
        <v>1394</v>
      </c>
      <c r="E3911" s="21">
        <f>IF(D3911="?OLD","!!!","")</f>
        <v/>
      </c>
      <c r="F3911" s="22" t="str">
        <f>IF(OR(E3911="",E3911="!!!"),"",IF(NOT(ISNA(VLOOKUP(E3911,E$1:E3910,1,FALSE()))),"OLD",IF(AND(E3911&lt;&gt;"",E3911&lt;&gt;"!!!"),"NEW","")))</f>
        <v> </v>
      </c>
      <c r="G3911" s="23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4" t="str">
        <f>IF(J3911&lt;&gt;1,"",IF(I3911="SBJ","CB","?"))</f>
        <v> </v>
      </c>
      <c r="I3911" s="25" t="str">
        <f>IF(OR(E3911="",E3911="!!!",F3911="NEW"),"",INDEX(B3910:B$2,-1+SUMPRODUCT(MAX(ROW(E3910:E$2)*(E3911=E3910:E$2)))))</f>
        <v> </v>
      </c>
      <c r="J3911" s="25" t="str">
        <f>IF(OR(E3911="",E3911="!!!",F3911="NEW"),"",COUNTBLANK(OFFSET(A$1,,,SUMPRODUCT(MAX(ROW(E$2:E3911)*(E3911=E$2:E3911)))))-COUNTBLANK(OFFSET(A$1,,,SUMPRODUCT(MAX(ROW(E$1:E3910)*(E2=E$1:E3910))))))</f>
        <v> </v>
      </c>
      <c r="K3911" s="25" t="str">
        <f>IF(OR(E3911="",E3911="!!!",F3911="NEW"),"",INDEX(J$1:J3910,SUMPRODUCT(MAX(ROW(E$1:E3910)*(E3911=E$1:E3910)))))</f>
        <v> </v>
      </c>
      <c r="L3911" s="26"/>
    </row>
    <row r="3912" spans="1:12">
      <c r="A3912" s="20" t="s">
        <v>1232</v>
      </c>
      <c r="E3912" s="21">
        <f>IF(D3912="?OLD","!!!","")</f>
        <v/>
      </c>
      <c r="F3912" s="22" t="str">
        <f>IF(OR(E3912="",E3912="!!!"),"",IF(NOT(ISNA(VLOOKUP(E3912,E$1:E3911,1,FALSE()))),"OLD",IF(AND(E3912&lt;&gt;"",E3912&lt;&gt;"!!!"),"NEW","")))</f>
        <v> </v>
      </c>
      <c r="G3912" s="23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4" t="str">
        <f>IF(J3912&lt;&gt;1,"",IF(I3912="SBJ","CB","?"))</f>
        <v> </v>
      </c>
      <c r="I3912" s="25" t="str">
        <f>IF(OR(E3912="",E3912="!!!",F3912="NEW"),"",INDEX(B3911:B$2,-1+SUMPRODUCT(MAX(ROW(E3911:E$2)*(E3912=E3911:E$2)))))</f>
        <v> </v>
      </c>
      <c r="J3912" s="25" t="str">
        <f>IF(OR(E3912="",E3912="!!!",F3912="NEW"),"",COUNTBLANK(OFFSET(A$1,,,SUMPRODUCT(MAX(ROW(E$2:E3912)*(E3912=E$2:E3912)))))-COUNTBLANK(OFFSET(A$1,,,SUMPRODUCT(MAX(ROW(E$1:E3911)*(E2=E$1:E3911))))))</f>
        <v> </v>
      </c>
      <c r="K3912" s="25" t="str">
        <f>IF(OR(E3912="",E3912="!!!",F3912="NEW"),"",INDEX(J$1:J3911,SUMPRODUCT(MAX(ROW(E$1:E3911)*(E3912=E$1:E3911)))))</f>
        <v> </v>
      </c>
      <c r="L3912" s="26"/>
    </row>
    <row r="3913" spans="1:12">
      <c r="A3913" s="20" t="s">
        <v>2685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1041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2278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2279</v>
      </c>
      <c r="B3916" s="27" t="s">
        <v>1084</v>
      </c>
      <c r="C3916" s="27" t="s">
        <v>1025</v>
      </c>
      <c r="D3916" s="27" t="s">
        <v>1026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2211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2686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1050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87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1109</v>
      </c>
      <c r="B3921" s="27" t="s">
        <v>1084</v>
      </c>
      <c r="C3921" s="27" t="s">
        <v>1049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1099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2393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1030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87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1109</v>
      </c>
      <c r="B3926" s="27" t="s">
        <v>1238</v>
      </c>
      <c r="C3926" s="27" t="s">
        <v>1049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1099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2687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1032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/>
    </row>
    <row r="3931" spans="1:12">
      <c r="A3931" s="20" t="s">
        <v>2688</v>
      </c>
    </row>
    <row r="3932" spans="1:12">
      <c r="A3932" s="20" t="s">
        <v>1125</v>
      </c>
      <c r="B3932" s="27" t="s">
        <v>1024</v>
      </c>
      <c r="C3932" s="27" t="s">
        <v>1036</v>
      </c>
      <c r="D3932" s="27" t="s">
        <v>1026</v>
      </c>
      <c r="E3932" s="21">
        <f>IF(D3932="?OLD","!!!","")</f>
        <v/>
      </c>
      <c r="F3932" s="22" t="str">
        <f>IF(OR(E3932="",E3932="!!!"),"",IF(NOT(ISNA(VLOOKUP(E3932,E$1:E3931,1,FALSE()))),"OLD",IF(AND(E3932&lt;&gt;"",E3932&lt;&gt;"!!!"),"NEW","")))</f>
        <v> </v>
      </c>
      <c r="G3932" s="23" t="str">
        <f>IF(OR(E3932="",E3932="!!!"),"",IF(OR(J3932=0,AND(J3932=1,K3932=1),AND(J3932=1,I3932="SBJ"),AND(J3932=1,I3932=0)),"?IN_FOCUS",IF(J3932&lt;=2,"?ACTIVATED",IF(J3932&lt;&gt;"","?FAMILIAR",IF(F3932="NEW",IF(ISNA(VLOOKUP(E3932,#REF!,1,FALSE())),"?TYPE_IDENTIFIABLE","?REFERENTIAL"),"_")))))</f>
        <v> </v>
      </c>
      <c r="H3932" s="24" t="str">
        <f>IF(J3932&lt;&gt;1,"",IF(I3932="SBJ","CB","?"))</f>
        <v> </v>
      </c>
      <c r="I3932" s="25" t="str">
        <f>IF(OR(E3932="",E3932="!!!",F3932="NEW"),"",INDEX(B3931:B$2,-1+SUMPRODUCT(MAX(ROW(E3931:E$2)*(E3932=E3931:E$2)))))</f>
        <v> </v>
      </c>
      <c r="J3932" s="25" t="str">
        <f>IF(OR(E3932="",E3932="!!!",F3932="NEW"),"",COUNTBLANK(OFFSET(A$1,,,SUMPRODUCT(MAX(ROW(E$2:E3932)*(E3932=E$2:E3932)))))-COUNTBLANK(OFFSET(A$1,,,SUMPRODUCT(MAX(ROW(E$1:E3931)*(E2=E$1:E3931))))))</f>
        <v> </v>
      </c>
      <c r="K3932" s="25" t="str">
        <f>IF(OR(E3932="",E3932="!!!",F3932="NEW"),"",INDEX(J$1:J3931,SUMPRODUCT(MAX(ROW(E$1:E3931)*(E3932=E$1:E3931)))))</f>
        <v> </v>
      </c>
      <c r="L3932" s="26"/>
    </row>
    <row r="3933" spans="1:12">
      <c r="A3933" s="20" t="s">
        <v>1159</v>
      </c>
      <c r="E3933" s="21">
        <f>IF(D3933="?OLD","!!!","")</f>
        <v/>
      </c>
      <c r="F3933" s="22" t="str">
        <f>IF(OR(E3933="",E3933="!!!"),"",IF(NOT(ISNA(VLOOKUP(E3933,E$1:E3932,1,FALSE()))),"OLD",IF(AND(E3933&lt;&gt;"",E3933&lt;&gt;"!!!"),"NEW","")))</f>
        <v> </v>
      </c>
      <c r="G3933" s="23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4" t="str">
        <f>IF(J3933&lt;&gt;1,"",IF(I3933="SBJ","CB","?"))</f>
        <v> </v>
      </c>
      <c r="I3933" s="25" t="str">
        <f>IF(OR(E3933="",E3933="!!!",F3933="NEW"),"",INDEX(B3932:B$2,-1+SUMPRODUCT(MAX(ROW(E3932:E$2)*(E3933=E3932:E$2)))))</f>
        <v> </v>
      </c>
      <c r="J3933" s="25" t="str">
        <f>IF(OR(E3933="",E3933="!!!",F3933="NEW"),"",COUNTBLANK(OFFSET(A$1,,,SUMPRODUCT(MAX(ROW(E$2:E3933)*(E3933=E$2:E3933)))))-COUNTBLANK(OFFSET(A$1,,,SUMPRODUCT(MAX(ROW(E$1:E3932)*(E2=E$1:E3932))))))</f>
        <v> </v>
      </c>
      <c r="K3933" s="25" t="str">
        <f>IF(OR(E3933="",E3933="!!!",F3933="NEW"),"",INDEX(J$1:J3932,SUMPRODUCT(MAX(ROW(E$1:E3932)*(E3933=E$1:E3932)))))</f>
        <v> </v>
      </c>
      <c r="L3933" s="26"/>
    </row>
    <row r="3934" spans="1:12">
      <c r="A3934" s="20" t="s">
        <v>2689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1674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1041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1894</v>
      </c>
      <c r="B3937" s="27" t="s">
        <v>1082</v>
      </c>
      <c r="C3937" s="27" t="s">
        <v>1151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1442</v>
      </c>
      <c r="B3938" s="27" t="s">
        <v>1150</v>
      </c>
      <c r="C3938" s="27" t="s">
        <v>1025</v>
      </c>
      <c r="D3938" s="27" t="s">
        <v>1026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2690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 t="s">
        <v>2691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2692</v>
      </c>
      <c r="B3941" s="27" t="s">
        <v>1082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1133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1724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1725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2039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2110</v>
      </c>
      <c r="B3946" s="27" t="s">
        <v>1045</v>
      </c>
      <c r="C3946" s="27" t="s">
        <v>1075</v>
      </c>
      <c r="D3946" s="27" t="s">
        <v>1026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2693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1041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201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 t="s">
        <v>1050</v>
      </c>
      <c r="E3950" s="21">
        <f>IF(D3950="?OLD","!!!","")</f>
        <v/>
      </c>
      <c r="F3950" s="22" t="str">
        <f>IF(OR(E3950="",E3950="!!!"),"",IF(NOT(ISNA(VLOOKUP(E3950,E$1:E3949,1,FALSE()))),"OLD",IF(AND(E3950&lt;&gt;"",E3950&lt;&gt;"!!!"),"NEW","")))</f>
        <v> </v>
      </c>
      <c r="G3950" s="23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4" t="str">
        <f>IF(J3950&lt;&gt;1,"",IF(I3950="SBJ","CB","?"))</f>
        <v> </v>
      </c>
      <c r="I3950" s="25" t="str">
        <f>IF(OR(E3950="",E3950="!!!",F3950="NEW"),"",INDEX(B3949:B$2,-1+SUMPRODUCT(MAX(ROW(E3949:E$2)*(E3950=E3949:E$2)))))</f>
        <v> </v>
      </c>
      <c r="J3950" s="25" t="str">
        <f>IF(OR(E3950="",E3950="!!!",F3950="NEW"),"",COUNTBLANK(OFFSET(A$1,,,SUMPRODUCT(MAX(ROW(E$2:E3950)*(E3950=E$2:E3950)))))-COUNTBLANK(OFFSET(A$1,,,SUMPRODUCT(MAX(ROW(E$1:E3949)*(E2=E$1:E3949))))))</f>
        <v> </v>
      </c>
      <c r="K3950" s="25" t="str">
        <f>IF(OR(E3950="",E3950="!!!",F3950="NEW"),"",INDEX(J$1:J3949,SUMPRODUCT(MAX(ROW(E$1:E3949)*(E3950=E$1:E3949)))))</f>
        <v> </v>
      </c>
      <c r="L3950" s="26"/>
    </row>
    <row r="3951" spans="1:12">
      <c r="A3951" s="20" t="s">
        <v>1588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1041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1147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1471</v>
      </c>
      <c r="B3954" s="27" t="s">
        <v>1225</v>
      </c>
      <c r="C3954" s="27" t="s">
        <v>1025</v>
      </c>
      <c r="D3954" s="27" t="s">
        <v>1026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1878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2042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1159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201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2694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1053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2482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1107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1441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1119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1159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21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2695</v>
      </c>
      <c r="B3967" s="27" t="s">
        <v>1235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1122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2696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2697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1050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1674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1032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/>
    </row>
    <row r="3975" spans="1:12">
      <c r="A3975" s="20" t="s">
        <v>2698</v>
      </c>
    </row>
    <row r="3976" spans="1:12">
      <c r="A3976" s="20" t="s">
        <v>2699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2700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1041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2048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1282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2068</v>
      </c>
      <c r="B3981" s="27" t="s">
        <v>1024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2032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 t="s">
        <v>1159</v>
      </c>
      <c r="E3983" s="21">
        <f>IF(D3983="?OLD","!!!","")</f>
        <v/>
      </c>
      <c r="F3983" s="22" t="str">
        <f>IF(OR(E3983="",E3983="!!!"),"",IF(NOT(ISNA(VLOOKUP(E3983,E$1:E3982,1,FALSE()))),"OLD",IF(AND(E3983&lt;&gt;"",E3983&lt;&gt;"!!!"),"NEW","")))</f>
        <v> </v>
      </c>
      <c r="G3983" s="23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4" t="str">
        <f>IF(J3983&lt;&gt;1,"",IF(I3983="SBJ","CB","?"))</f>
        <v> </v>
      </c>
      <c r="I3983" s="25" t="str">
        <f>IF(OR(E3983="",E3983="!!!",F3983="NEW"),"",INDEX(B3982:B$2,-1+SUMPRODUCT(MAX(ROW(E3982:E$2)*(E3983=E3982:E$2)))))</f>
        <v> </v>
      </c>
      <c r="J3983" s="25" t="str">
        <f>IF(OR(E3983="",E3983="!!!",F3983="NEW"),"",COUNTBLANK(OFFSET(A$1,,,SUMPRODUCT(MAX(ROW(E$2:E3983)*(E3983=E$2:E3983)))))-COUNTBLANK(OFFSET(A$1,,,SUMPRODUCT(MAX(ROW(E$1:E3982)*(E2=E$1:E3982))))))</f>
        <v> </v>
      </c>
      <c r="K3983" s="25" t="str">
        <f>IF(OR(E3983="",E3983="!!!",F3983="NEW"),"",INDEX(J$1:J3982,SUMPRODUCT(MAX(ROW(E$1:E3982)*(E3983=E$1:E3982)))))</f>
        <v> </v>
      </c>
      <c r="L3983" s="26"/>
    </row>
    <row r="3984" spans="1:12">
      <c r="A3984" s="20" t="s">
        <v>1489</v>
      </c>
      <c r="E3984" s="21">
        <f>IF(D3984="?OLD","!!!","")</f>
        <v/>
      </c>
      <c r="F3984" s="22" t="str">
        <f>IF(OR(E3984="",E3984="!!!"),"",IF(NOT(ISNA(VLOOKUP(E3984,E$1:E3983,1,FALSE()))),"OLD",IF(AND(E3984&lt;&gt;"",E3984&lt;&gt;"!!!"),"NEW","")))</f>
        <v> </v>
      </c>
      <c r="G3984" s="23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4" t="str">
        <f>IF(J3984&lt;&gt;1,"",IF(I3984="SBJ","CB","?"))</f>
        <v> </v>
      </c>
      <c r="I3984" s="25" t="str">
        <f>IF(OR(E3984="",E3984="!!!",F3984="NEW"),"",INDEX(B3983:B$2,-1+SUMPRODUCT(MAX(ROW(E3983:E$2)*(E3984=E3983:E$2)))))</f>
        <v> </v>
      </c>
      <c r="J3984" s="25" t="str">
        <f>IF(OR(E3984="",E3984="!!!",F3984="NEW"),"",COUNTBLANK(OFFSET(A$1,,,SUMPRODUCT(MAX(ROW(E$2:E3984)*(E3984=E$2:E3984)))))-COUNTBLANK(OFFSET(A$1,,,SUMPRODUCT(MAX(ROW(E$1:E3983)*(E2=E$1:E3983))))))</f>
        <v> </v>
      </c>
      <c r="K3984" s="25" t="str">
        <f>IF(OR(E3984="",E3984="!!!",F3984="NEW"),"",INDEX(J$1:J3983,SUMPRODUCT(MAX(ROW(E$1:E3983)*(E3984=E$1:E3983)))))</f>
        <v> </v>
      </c>
      <c r="L3984" s="26"/>
    </row>
    <row r="3985" spans="1:12">
      <c r="A3985" s="20" t="s">
        <v>1442</v>
      </c>
      <c r="B3985" s="27" t="s">
        <v>1059</v>
      </c>
      <c r="C3985" s="27" t="s">
        <v>1025</v>
      </c>
      <c r="D3985" s="27" t="s">
        <v>1026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2701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1998</v>
      </c>
      <c r="B3987" s="27" t="s">
        <v>1048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1159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1894</v>
      </c>
      <c r="B3989" s="27" t="s">
        <v>1225</v>
      </c>
      <c r="C3989" s="27" t="s">
        <v>1151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1041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1147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 t="s">
        <v>510</v>
      </c>
      <c r="B3992" s="27" t="s">
        <v>1290</v>
      </c>
      <c r="C3992" s="27" t="s">
        <v>1025</v>
      </c>
      <c r="D3992" s="27" t="s">
        <v>1026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2702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2703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1050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 t="s">
        <v>2704</v>
      </c>
      <c r="E3996" s="21">
        <f>IF(D3996="?OLD","!!!","")</f>
        <v/>
      </c>
      <c r="F3996" s="22" t="str">
        <f>IF(OR(E3996="",E3996="!!!"),"",IF(NOT(ISNA(VLOOKUP(E3996,E$1:E3995,1,FALSE()))),"OLD",IF(AND(E3996&lt;&gt;"",E3996&lt;&gt;"!!!"),"NEW","")))</f>
        <v> </v>
      </c>
      <c r="G3996" s="23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4" t="str">
        <f>IF(J3996&lt;&gt;1,"",IF(I3996="SBJ","CB","?"))</f>
        <v> </v>
      </c>
      <c r="I3996" s="25" t="str">
        <f>IF(OR(E3996="",E3996="!!!",F3996="NEW"),"",INDEX(B3995:B$2,-1+SUMPRODUCT(MAX(ROW(E3995:E$2)*(E3996=E3995:E$2)))))</f>
        <v> </v>
      </c>
      <c r="J3996" s="25" t="str">
        <f>IF(OR(E3996="",E3996="!!!",F3996="NEW"),"",COUNTBLANK(OFFSET(A$1,,,SUMPRODUCT(MAX(ROW(E$2:E3996)*(E3996=E$2:E3996)))))-COUNTBLANK(OFFSET(A$1,,,SUMPRODUCT(MAX(ROW(E$1:E3995)*(E2=E$1:E3995))))))</f>
        <v> </v>
      </c>
      <c r="K3996" s="25" t="str">
        <f>IF(OR(E3996="",E3996="!!!",F3996="NEW"),"",INDEX(J$1:J3995,SUMPRODUCT(MAX(ROW(E$1:E3995)*(E3996=E$1:E3995)))))</f>
        <v> </v>
      </c>
      <c r="L3996" s="26"/>
    </row>
    <row r="3997" spans="1:12">
      <c r="A3997" s="20" t="s">
        <v>2705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1030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 t="s">
        <v>2706</v>
      </c>
      <c r="E3999" s="21">
        <f>IF(D3999="?OLD","!!!","")</f>
        <v/>
      </c>
      <c r="F3999" s="22" t="str">
        <f>IF(OR(E3999="",E3999="!!!"),"",IF(NOT(ISNA(VLOOKUP(E3999,E$1:E3998,1,FALSE()))),"OLD",IF(AND(E3999&lt;&gt;"",E3999&lt;&gt;"!!!"),"NEW","")))</f>
        <v> </v>
      </c>
      <c r="G3999" s="23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4" t="str">
        <f>IF(J3999&lt;&gt;1,"",IF(I3999="SBJ","CB","?"))</f>
        <v> </v>
      </c>
      <c r="I3999" s="25" t="str">
        <f>IF(OR(E3999="",E3999="!!!",F3999="NEW"),"",INDEX(B3998:B$2,-1+SUMPRODUCT(MAX(ROW(E3998:E$2)*(E3999=E3998:E$2)))))</f>
        <v> </v>
      </c>
      <c r="J3999" s="25" t="str">
        <f>IF(OR(E3999="",E3999="!!!",F3999="NEW"),"",COUNTBLANK(OFFSET(A$1,,,SUMPRODUCT(MAX(ROW(E$2:E3999)*(E3999=E$2:E3999)))))-COUNTBLANK(OFFSET(A$1,,,SUMPRODUCT(MAX(ROW(E$1:E3998)*(E2=E$1:E3998))))))</f>
        <v> </v>
      </c>
      <c r="K3999" s="25" t="str">
        <f>IF(OR(E3999="",E3999="!!!",F3999="NEW"),"",INDEX(J$1:J3998,SUMPRODUCT(MAX(ROW(E$1:E3998)*(E3999=E$1:E3998)))))</f>
        <v> </v>
      </c>
      <c r="L3999" s="26"/>
    </row>
    <row r="4000" spans="1:12">
      <c r="A4000" s="20" t="s">
        <v>1815</v>
      </c>
      <c r="E4000" s="21">
        <f>IF(D4000="?OLD","!!!","")</f>
        <v/>
      </c>
      <c r="F4000" s="22" t="str">
        <f>IF(OR(E4000="",E4000="!!!"),"",IF(NOT(ISNA(VLOOKUP(E4000,E$1:E3999,1,FALSE()))),"OLD",IF(AND(E4000&lt;&gt;"",E4000&lt;&gt;"!!!"),"NEW","")))</f>
        <v> </v>
      </c>
      <c r="G4000" s="23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4" t="str">
        <f>IF(J4000&lt;&gt;1,"",IF(I4000="SBJ","CB","?"))</f>
        <v> </v>
      </c>
      <c r="I4000" s="25" t="str">
        <f>IF(OR(E4000="",E4000="!!!",F4000="NEW"),"",INDEX(B3999:B$2,-1+SUMPRODUCT(MAX(ROW(E3999:E$2)*(E4000=E3999:E$2)))))</f>
        <v> </v>
      </c>
      <c r="J4000" s="25" t="str">
        <f>IF(OR(E4000="",E4000="!!!",F4000="NEW"),"",COUNTBLANK(OFFSET(A$1,,,SUMPRODUCT(MAX(ROW(E$2:E4000)*(E4000=E$2:E4000)))))-COUNTBLANK(OFFSET(A$1,,,SUMPRODUCT(MAX(ROW(E$1:E3999)*(E2=E$1:E3999))))))</f>
        <v> </v>
      </c>
      <c r="K4000" s="25" t="str">
        <f>IF(OR(E4000="",E4000="!!!",F4000="NEW"),"",INDEX(J$1:J3999,SUMPRODUCT(MAX(ROW(E$1:E3999)*(E4000=E$1:E3999)))))</f>
        <v> </v>
      </c>
      <c r="L4000" s="26"/>
    </row>
    <row r="4001" spans="1:12">
      <c r="A4001" s="20" t="s">
        <v>2707</v>
      </c>
      <c r="E4001" s="21">
        <f>IF(D4001="?OLD","!!!","")</f>
        <v/>
      </c>
      <c r="F4001" s="22" t="str">
        <f>IF(OR(E4001="",E4001="!!!"),"",IF(NOT(ISNA(VLOOKUP(E4001,E$1:E4000,1,FALSE()))),"OLD",IF(AND(E4001&lt;&gt;"",E4001&lt;&gt;"!!!"),"NEW","")))</f>
        <v> </v>
      </c>
      <c r="G4001" s="23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4" t="str">
        <f>IF(J4001&lt;&gt;1,"",IF(I4001="SBJ","CB","?"))</f>
        <v> </v>
      </c>
      <c r="I4001" s="25" t="str">
        <f>IF(OR(E4001="",E4001="!!!",F4001="NEW"),"",INDEX(B4000:B$2,-1+SUMPRODUCT(MAX(ROW(E4000:E$2)*(E4001=E4000:E$2)))))</f>
        <v> </v>
      </c>
      <c r="J4001" s="25" t="str">
        <f>IF(OR(E4001="",E4001="!!!",F4001="NEW"),"",COUNTBLANK(OFFSET(A$1,,,SUMPRODUCT(MAX(ROW(E$2:E4001)*(E4001=E$2:E4001)))))-COUNTBLANK(OFFSET(A$1,,,SUMPRODUCT(MAX(ROW(E$1:E4000)*(E2=E$1:E4000))))))</f>
        <v> </v>
      </c>
      <c r="K4001" s="25" t="str">
        <f>IF(OR(E4001="",E4001="!!!",F4001="NEW"),"",INDEX(J$1:J4000,SUMPRODUCT(MAX(ROW(E$1:E4000)*(E4001=E$1:E4000)))))</f>
        <v> </v>
      </c>
      <c r="L4001" s="26"/>
    </row>
    <row r="4002" spans="1:12">
      <c r="A4002" s="20" t="s">
        <v>1041</v>
      </c>
      <c r="E4002" s="21">
        <f>IF(D4002="?OLD","!!!","")</f>
        <v/>
      </c>
      <c r="F4002" s="22" t="str">
        <f>IF(OR(E4002="",E4002="!!!"),"",IF(NOT(ISNA(VLOOKUP(E4002,E$1:E4001,1,FALSE()))),"OLD",IF(AND(E4002&lt;&gt;"",E4002&lt;&gt;"!!!"),"NEW","")))</f>
        <v> </v>
      </c>
      <c r="G4002" s="23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4" t="str">
        <f>IF(J4002&lt;&gt;1,"",IF(I4002="SBJ","CB","?"))</f>
        <v> </v>
      </c>
      <c r="I4002" s="25" t="str">
        <f>IF(OR(E4002="",E4002="!!!",F4002="NEW"),"",INDEX(B4001:B$2,-1+SUMPRODUCT(MAX(ROW(E4001:E$2)*(E4002=E4001:E$2)))))</f>
        <v> </v>
      </c>
      <c r="J4002" s="25" t="str">
        <f>IF(OR(E4002="",E4002="!!!",F4002="NEW"),"",COUNTBLANK(OFFSET(A$1,,,SUMPRODUCT(MAX(ROW(E$2:E4002)*(E4002=E$2:E4002)))))-COUNTBLANK(OFFSET(A$1,,,SUMPRODUCT(MAX(ROW(E$1:E4001)*(E2=E$1:E4001))))))</f>
        <v> </v>
      </c>
      <c r="K4002" s="25" t="str">
        <f>IF(OR(E4002="",E4002="!!!",F4002="NEW"),"",INDEX(J$1:J4001,SUMPRODUCT(MAX(ROW(E$1:E4001)*(E4002=E$1:E4001)))))</f>
        <v> </v>
      </c>
      <c r="L4002" s="26"/>
    </row>
    <row r="4003" spans="1:12">
      <c r="A4003" s="20" t="s">
        <v>2708</v>
      </c>
      <c r="E4003" s="21">
        <f>IF(D4003="?OLD","!!!","")</f>
        <v/>
      </c>
      <c r="F4003" s="22" t="str">
        <f>IF(OR(E4003="",E4003="!!!"),"",IF(NOT(ISNA(VLOOKUP(E4003,E$1:E4002,1,FALSE()))),"OLD",IF(AND(E4003&lt;&gt;"",E4003&lt;&gt;"!!!"),"NEW","")))</f>
        <v> </v>
      </c>
      <c r="G4003" s="23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4" t="str">
        <f>IF(J4003&lt;&gt;1,"",IF(I4003="SBJ","CB","?"))</f>
        <v> </v>
      </c>
      <c r="I4003" s="25" t="str">
        <f>IF(OR(E4003="",E4003="!!!",F4003="NEW"),"",INDEX(B4002:B$2,-1+SUMPRODUCT(MAX(ROW(E4002:E$2)*(E4003=E4002:E$2)))))</f>
        <v> </v>
      </c>
      <c r="J4003" s="25" t="str">
        <f>IF(OR(E4003="",E4003="!!!",F4003="NEW"),"",COUNTBLANK(OFFSET(A$1,,,SUMPRODUCT(MAX(ROW(E$2:E4003)*(E4003=E$2:E4003)))))-COUNTBLANK(OFFSET(A$1,,,SUMPRODUCT(MAX(ROW(E$1:E4002)*(E2=E$1:E4002))))))</f>
        <v> </v>
      </c>
      <c r="K4003" s="25" t="str">
        <f>IF(OR(E4003="",E4003="!!!",F4003="NEW"),"",INDEX(J$1:J4002,SUMPRODUCT(MAX(ROW(E$1:E4002)*(E4003=E$1:E4002)))))</f>
        <v> </v>
      </c>
      <c r="L4003" s="26"/>
    </row>
    <row r="4004" spans="1:12">
      <c r="A4004" s="20" t="s">
        <v>2709</v>
      </c>
      <c r="E4004" s="21">
        <f>IF(D4004="?OLD","!!!","")</f>
        <v/>
      </c>
      <c r="F4004" s="22" t="str">
        <f>IF(OR(E4004="",E4004="!!!"),"",IF(NOT(ISNA(VLOOKUP(E4004,E$1:E4003,1,FALSE()))),"OLD",IF(AND(E4004&lt;&gt;"",E4004&lt;&gt;"!!!"),"NEW","")))</f>
        <v> </v>
      </c>
      <c r="G4004" s="23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4" t="str">
        <f>IF(J4004&lt;&gt;1,"",IF(I4004="SBJ","CB","?"))</f>
        <v> </v>
      </c>
      <c r="I4004" s="25" t="str">
        <f>IF(OR(E4004="",E4004="!!!",F4004="NEW"),"",INDEX(B4003:B$2,-1+SUMPRODUCT(MAX(ROW(E4003:E$2)*(E4004=E4003:E$2)))))</f>
        <v> </v>
      </c>
      <c r="J4004" s="25" t="str">
        <f>IF(OR(E4004="",E4004="!!!",F4004="NEW"),"",COUNTBLANK(OFFSET(A$1,,,SUMPRODUCT(MAX(ROW(E$2:E4004)*(E4004=E$2:E4004)))))-COUNTBLANK(OFFSET(A$1,,,SUMPRODUCT(MAX(ROW(E$1:E4003)*(E2=E$1:E4003))))))</f>
        <v> </v>
      </c>
      <c r="K4004" s="25" t="str">
        <f>IF(OR(E4004="",E4004="!!!",F4004="NEW"),"",INDEX(J$1:J4003,SUMPRODUCT(MAX(ROW(E$1:E4003)*(E4004=E$1:E4003)))))</f>
        <v> </v>
      </c>
      <c r="L4004" s="26"/>
    </row>
    <row r="4005" spans="1:12">
      <c r="A4005" s="20" t="s">
        <v>2710</v>
      </c>
      <c r="E4005" s="21">
        <f>IF(D4005="?OLD","!!!","")</f>
        <v/>
      </c>
      <c r="F4005" s="22" t="str">
        <f>IF(OR(E4005="",E4005="!!!"),"",IF(NOT(ISNA(VLOOKUP(E4005,E$1:E4004,1,FALSE()))),"OLD",IF(AND(E4005&lt;&gt;"",E4005&lt;&gt;"!!!"),"NEW","")))</f>
        <v> </v>
      </c>
      <c r="G4005" s="23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4" t="str">
        <f>IF(J4005&lt;&gt;1,"",IF(I4005="SBJ","CB","?"))</f>
        <v> </v>
      </c>
      <c r="I4005" s="25" t="str">
        <f>IF(OR(E4005="",E4005="!!!",F4005="NEW"),"",INDEX(B4004:B$2,-1+SUMPRODUCT(MAX(ROW(E4004:E$2)*(E4005=E4004:E$2)))))</f>
        <v> </v>
      </c>
      <c r="J4005" s="25" t="str">
        <f>IF(OR(E4005="",E4005="!!!",F4005="NEW"),"",COUNTBLANK(OFFSET(A$1,,,SUMPRODUCT(MAX(ROW(E$2:E4005)*(E4005=E$2:E4005)))))-COUNTBLANK(OFFSET(A$1,,,SUMPRODUCT(MAX(ROW(E$1:E4004)*(E2=E$1:E4004))))))</f>
        <v> </v>
      </c>
      <c r="K4005" s="25" t="str">
        <f>IF(OR(E4005="",E4005="!!!",F4005="NEW"),"",INDEX(J$1:J4004,SUMPRODUCT(MAX(ROW(E$1:E4004)*(E4005=E$1:E4004)))))</f>
        <v> </v>
      </c>
      <c r="L4005" s="26"/>
    </row>
    <row r="4006" spans="1:12">
      <c r="A4006" s="20" t="s">
        <v>1050</v>
      </c>
      <c r="E4006" s="21">
        <f>IF(D4006="?OLD","!!!","")</f>
        <v/>
      </c>
      <c r="F4006" s="22" t="str">
        <f>IF(OR(E4006="",E4006="!!!"),"",IF(NOT(ISNA(VLOOKUP(E4006,E$1:E4005,1,FALSE()))),"OLD",IF(AND(E4006&lt;&gt;"",E4006&lt;&gt;"!!!"),"NEW","")))</f>
        <v> </v>
      </c>
      <c r="G4006" s="23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4" t="str">
        <f>IF(J4006&lt;&gt;1,"",IF(I4006="SBJ","CB","?"))</f>
        <v> </v>
      </c>
      <c r="I4006" s="25" t="str">
        <f>IF(OR(E4006="",E4006="!!!",F4006="NEW"),"",INDEX(B4005:B$2,-1+SUMPRODUCT(MAX(ROW(E4005:E$2)*(E4006=E4005:E$2)))))</f>
        <v> </v>
      </c>
      <c r="J4006" s="25" t="str">
        <f>IF(OR(E4006="",E4006="!!!",F4006="NEW"),"",COUNTBLANK(OFFSET(A$1,,,SUMPRODUCT(MAX(ROW(E$2:E4006)*(E4006=E$2:E4006)))))-COUNTBLANK(OFFSET(A$1,,,SUMPRODUCT(MAX(ROW(E$1:E4005)*(E2=E$1:E4005))))))</f>
        <v> </v>
      </c>
      <c r="K4006" s="25" t="str">
        <f>IF(OR(E4006="",E4006="!!!",F4006="NEW"),"",INDEX(J$1:J4005,SUMPRODUCT(MAX(ROW(E$1:E4005)*(E4006=E$1:E4005)))))</f>
        <v> </v>
      </c>
      <c r="L4006" s="26"/>
    </row>
    <row r="4007" spans="1:12">
      <c r="A4007" s="20" t="s">
        <v>1395</v>
      </c>
      <c r="E4007" s="21">
        <f>IF(D4007="?OLD","!!!","")</f>
        <v/>
      </c>
      <c r="F4007" s="22" t="str">
        <f>IF(OR(E4007="",E4007="!!!"),"",IF(NOT(ISNA(VLOOKUP(E4007,E$1:E4006,1,FALSE()))),"OLD",IF(AND(E4007&lt;&gt;"",E4007&lt;&gt;"!!!"),"NEW","")))</f>
        <v> </v>
      </c>
      <c r="G4007" s="23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4" t="str">
        <f>IF(J4007&lt;&gt;1,"",IF(I4007="SBJ","CB","?"))</f>
        <v> </v>
      </c>
      <c r="I4007" s="25" t="str">
        <f>IF(OR(E4007="",E4007="!!!",F4007="NEW"),"",INDEX(B4006:B$2,-1+SUMPRODUCT(MAX(ROW(E4006:E$2)*(E4007=E4006:E$2)))))</f>
        <v> </v>
      </c>
      <c r="J4007" s="25" t="str">
        <f>IF(OR(E4007="",E4007="!!!",F4007="NEW"),"",COUNTBLANK(OFFSET(A$1,,,SUMPRODUCT(MAX(ROW(E$2:E4007)*(E4007=E$2:E4007)))))-COUNTBLANK(OFFSET(A$1,,,SUMPRODUCT(MAX(ROW(E$1:E4006)*(E2=E$1:E4006))))))</f>
        <v> </v>
      </c>
      <c r="K4007" s="25" t="str">
        <f>IF(OR(E4007="",E4007="!!!",F4007="NEW"),"",INDEX(J$1:J4006,SUMPRODUCT(MAX(ROW(E$1:E4006)*(E4007=E$1:E4006)))))</f>
        <v> </v>
      </c>
      <c r="L4007" s="26"/>
    </row>
    <row r="4008" spans="1:12">
      <c r="A4008" s="20" t="s">
        <v>2122</v>
      </c>
      <c r="B4008" s="27" t="s">
        <v>1339</v>
      </c>
      <c r="C4008" s="27" t="s">
        <v>1088</v>
      </c>
      <c r="D4008" s="27" t="s">
        <v>1026</v>
      </c>
      <c r="E4008" s="21">
        <f>IF(D4008="?OLD","!!!","")</f>
        <v/>
      </c>
      <c r="F4008" s="22" t="str">
        <f>IF(OR(E4008="",E4008="!!!"),"",IF(NOT(ISNA(VLOOKUP(E4008,E$1:E4007,1,FALSE()))),"OLD",IF(AND(E4008&lt;&gt;"",E4008&lt;&gt;"!!!"),"NEW","")))</f>
        <v> </v>
      </c>
      <c r="G4008" s="23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4" t="str">
        <f>IF(J4008&lt;&gt;1,"",IF(I4008="SBJ","CB","?"))</f>
        <v> </v>
      </c>
      <c r="I4008" s="25" t="str">
        <f>IF(OR(E4008="",E4008="!!!",F4008="NEW"),"",INDEX(B4007:B$2,-1+SUMPRODUCT(MAX(ROW(E4007:E$2)*(E4008=E4007:E$2)))))</f>
        <v> </v>
      </c>
      <c r="J4008" s="25" t="str">
        <f>IF(OR(E4008="",E4008="!!!",F4008="NEW"),"",COUNTBLANK(OFFSET(A$1,,,SUMPRODUCT(MAX(ROW(E$2:E4008)*(E4008=E$2:E4008)))))-COUNTBLANK(OFFSET(A$1,,,SUMPRODUCT(MAX(ROW(E$1:E4007)*(E2=E$1:E4007))))))</f>
        <v> </v>
      </c>
      <c r="K4008" s="25" t="str">
        <f>IF(OR(E4008="",E4008="!!!",F4008="NEW"),"",INDEX(J$1:J4007,SUMPRODUCT(MAX(ROW(E$1:E4007)*(E4008=E$1:E4007)))))</f>
        <v> </v>
      </c>
      <c r="L4008" s="26"/>
    </row>
    <row r="4009" spans="1:12">
      <c r="A4009" s="20" t="s">
        <v>1032</v>
      </c>
      <c r="E4009" s="21">
        <f>IF(D4009="?OLD","!!!","")</f>
        <v/>
      </c>
      <c r="F4009" s="22" t="str">
        <f>IF(OR(E4009="",E4009="!!!"),"",IF(NOT(ISNA(VLOOKUP(E4009,E$1:E4008,1,FALSE()))),"OLD",IF(AND(E4009&lt;&gt;"",E4009&lt;&gt;"!!!"),"NEW","")))</f>
        <v> </v>
      </c>
      <c r="G4009" s="23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4" t="str">
        <f>IF(J4009&lt;&gt;1,"",IF(I4009="SBJ","CB","?"))</f>
        <v> </v>
      </c>
      <c r="I4009" s="25" t="str">
        <f>IF(OR(E4009="",E4009="!!!",F4009="NEW"),"",INDEX(B4008:B$2,-1+SUMPRODUCT(MAX(ROW(E4008:E$2)*(E4009=E4008:E$2)))))</f>
        <v> </v>
      </c>
      <c r="J4009" s="25" t="str">
        <f>IF(OR(E4009="",E4009="!!!",F4009="NEW"),"",COUNTBLANK(OFFSET(A$1,,,SUMPRODUCT(MAX(ROW(E$2:E4009)*(E4009=E$2:E4009)))))-COUNTBLANK(OFFSET(A$1,,,SUMPRODUCT(MAX(ROW(E$1:E4008)*(E2=E$1:E4008))))))</f>
        <v> </v>
      </c>
      <c r="K4009" s="25" t="str">
        <f>IF(OR(E4009="",E4009="!!!",F4009="NEW"),"",INDEX(J$1:J4008,SUMPRODUCT(MAX(ROW(E$1:E4008)*(E4009=E$1:E4008)))))</f>
        <v> </v>
      </c>
      <c r="L4009" s="26"/>
    </row>
    <row r="4010" spans="1:12">
      <c r="A4010" s="20"/>
    </row>
    <row r="4011" spans="1:12">
      <c r="A4011" s="20" t="s">
        <v>2711</v>
      </c>
    </row>
    <row r="4012" spans="1:12">
      <c r="A4012" s="20" t="s">
        <v>2712</v>
      </c>
      <c r="E4012" s="21">
        <f>IF(D4012="?OLD","!!!","")</f>
        <v/>
      </c>
      <c r="F4012" s="22" t="str">
        <f>IF(OR(E4012="",E4012="!!!"),"",IF(NOT(ISNA(VLOOKUP(E4012,E$1:E4011,1,FALSE()))),"OLD",IF(AND(E4012&lt;&gt;"",E4012&lt;&gt;"!!!"),"NEW","")))</f>
        <v> </v>
      </c>
      <c r="G4012" s="23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4" t="str">
        <f>IF(J4012&lt;&gt;1,"",IF(I4012="SBJ","CB","?"))</f>
        <v> </v>
      </c>
      <c r="I4012" s="25" t="str">
        <f>IF(OR(E4012="",E4012="!!!",F4012="NEW"),"",INDEX(B4011:B$2,-1+SUMPRODUCT(MAX(ROW(E4011:E$2)*(E4012=E4011:E$2)))))</f>
        <v> </v>
      </c>
      <c r="J4012" s="25" t="str">
        <f>IF(OR(E4012="",E4012="!!!",F4012="NEW"),"",COUNTBLANK(OFFSET(A$1,,,SUMPRODUCT(MAX(ROW(E$2:E4012)*(E4012=E$2:E4012)))))-COUNTBLANK(OFFSET(A$1,,,SUMPRODUCT(MAX(ROW(E$1:E4011)*(E2=E$1:E4011))))))</f>
        <v> </v>
      </c>
      <c r="K4012" s="25" t="str">
        <f>IF(OR(E4012="",E4012="!!!",F4012="NEW"),"",INDEX(J$1:J4011,SUMPRODUCT(MAX(ROW(E$1:E4011)*(E4012=E$1:E4011)))))</f>
        <v> </v>
      </c>
      <c r="L4012" s="26"/>
    </row>
    <row r="4013" spans="1:12">
      <c r="A4013" s="20" t="s">
        <v>1041</v>
      </c>
      <c r="E4013" s="21">
        <f>IF(D4013="?OLD","!!!","")</f>
        <v/>
      </c>
      <c r="F4013" s="22" t="str">
        <f>IF(OR(E4013="",E4013="!!!"),"",IF(NOT(ISNA(VLOOKUP(E4013,E$1:E4012,1,FALSE()))),"OLD",IF(AND(E4013&lt;&gt;"",E4013&lt;&gt;"!!!"),"NEW","")))</f>
        <v> </v>
      </c>
      <c r="G4013" s="23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4" t="str">
        <f>IF(J4013&lt;&gt;1,"",IF(I4013="SBJ","CB","?"))</f>
        <v> </v>
      </c>
      <c r="I4013" s="25" t="str">
        <f>IF(OR(E4013="",E4013="!!!",F4013="NEW"),"",INDEX(B4012:B$2,-1+SUMPRODUCT(MAX(ROW(E4012:E$2)*(E4013=E4012:E$2)))))</f>
        <v> </v>
      </c>
      <c r="J4013" s="25" t="str">
        <f>IF(OR(E4013="",E4013="!!!",F4013="NEW"),"",COUNTBLANK(OFFSET(A$1,,,SUMPRODUCT(MAX(ROW(E$2:E4013)*(E4013=E$2:E4013)))))-COUNTBLANK(OFFSET(A$1,,,SUMPRODUCT(MAX(ROW(E$1:E4012)*(E2=E$1:E4012))))))</f>
        <v> </v>
      </c>
      <c r="K4013" s="25" t="str">
        <f>IF(OR(E4013="",E4013="!!!",F4013="NEW"),"",INDEX(J$1:J4012,SUMPRODUCT(MAX(ROW(E$1:E4012)*(E4013=E$1:E4012)))))</f>
        <v> </v>
      </c>
      <c r="L4013" s="26"/>
    </row>
    <row r="4014" spans="1:12">
      <c r="A4014" s="20" t="s">
        <v>1147</v>
      </c>
      <c r="E4014" s="21">
        <f>IF(D4014="?OLD","!!!","")</f>
        <v/>
      </c>
      <c r="F4014" s="22" t="str">
        <f>IF(OR(E4014="",E4014="!!!"),"",IF(NOT(ISNA(VLOOKUP(E4014,E$1:E4013,1,FALSE()))),"OLD",IF(AND(E4014&lt;&gt;"",E4014&lt;&gt;"!!!"),"NEW","")))</f>
        <v> </v>
      </c>
      <c r="G4014" s="23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4" t="str">
        <f>IF(J4014&lt;&gt;1,"",IF(I4014="SBJ","CB","?"))</f>
        <v> </v>
      </c>
      <c r="I4014" s="25" t="str">
        <f>IF(OR(E4014="",E4014="!!!",F4014="NEW"),"",INDEX(B4013:B$2,-1+SUMPRODUCT(MAX(ROW(E4013:E$2)*(E4014=E4013:E$2)))))</f>
        <v> </v>
      </c>
      <c r="J4014" s="25" t="str">
        <f>IF(OR(E4014="",E4014="!!!",F4014="NEW"),"",COUNTBLANK(OFFSET(A$1,,,SUMPRODUCT(MAX(ROW(E$2:E4014)*(E4014=E$2:E4014)))))-COUNTBLANK(OFFSET(A$1,,,SUMPRODUCT(MAX(ROW(E$1:E4013)*(E2=E$1:E4013))))))</f>
        <v> </v>
      </c>
      <c r="K4014" s="25" t="str">
        <f>IF(OR(E4014="",E4014="!!!",F4014="NEW"),"",INDEX(J$1:J4013,SUMPRODUCT(MAX(ROW(E$1:E4013)*(E4014=E$1:E4013)))))</f>
        <v> </v>
      </c>
      <c r="L4014" s="26"/>
    </row>
    <row r="4015" spans="1:12">
      <c r="A4015" s="20" t="s">
        <v>1108</v>
      </c>
      <c r="E4015" s="21">
        <f>IF(D4015="?OLD","!!!","")</f>
        <v/>
      </c>
      <c r="F4015" s="22" t="str">
        <f>IF(OR(E4015="",E4015="!!!"),"",IF(NOT(ISNA(VLOOKUP(E4015,E$1:E4014,1,FALSE()))),"OLD",IF(AND(E4015&lt;&gt;"",E4015&lt;&gt;"!!!"),"NEW","")))</f>
        <v> </v>
      </c>
      <c r="G4015" s="23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4" t="str">
        <f>IF(J4015&lt;&gt;1,"",IF(I4015="SBJ","CB","?"))</f>
        <v> </v>
      </c>
      <c r="I4015" s="25" t="str">
        <f>IF(OR(E4015="",E4015="!!!",F4015="NEW"),"",INDEX(B4014:B$2,-1+SUMPRODUCT(MAX(ROW(E4014:E$2)*(E4015=E4014:E$2)))))</f>
        <v> </v>
      </c>
      <c r="J4015" s="25" t="str">
        <f>IF(OR(E4015="",E4015="!!!",F4015="NEW"),"",COUNTBLANK(OFFSET(A$1,,,SUMPRODUCT(MAX(ROW(E$2:E4015)*(E4015=E$2:E4015)))))-COUNTBLANK(OFFSET(A$1,,,SUMPRODUCT(MAX(ROW(E$1:E4014)*(E2=E$1:E4014))))))</f>
        <v> </v>
      </c>
      <c r="K4015" s="25" t="str">
        <f>IF(OR(E4015="",E4015="!!!",F4015="NEW"),"",INDEX(J$1:J4014,SUMPRODUCT(MAX(ROW(E$1:E4014)*(E4015=E$1:E4014)))))</f>
        <v> </v>
      </c>
      <c r="L4015" s="26"/>
    </row>
    <row r="4016" spans="1:12">
      <c r="A4016" s="20" t="s">
        <v>1039</v>
      </c>
      <c r="E4016" s="21">
        <f>IF(D4016="?OLD","!!!","")</f>
        <v/>
      </c>
      <c r="F4016" s="22" t="str">
        <f>IF(OR(E4016="",E4016="!!!"),"",IF(NOT(ISNA(VLOOKUP(E4016,E$1:E4015,1,FALSE()))),"OLD",IF(AND(E4016&lt;&gt;"",E4016&lt;&gt;"!!!"),"NEW","")))</f>
        <v> </v>
      </c>
      <c r="G4016" s="23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4" t="str">
        <f>IF(J4016&lt;&gt;1,"",IF(I4016="SBJ","CB","?"))</f>
        <v> </v>
      </c>
      <c r="I4016" s="25" t="str">
        <f>IF(OR(E4016="",E4016="!!!",F4016="NEW"),"",INDEX(B4015:B$2,-1+SUMPRODUCT(MAX(ROW(E4015:E$2)*(E4016=E4015:E$2)))))</f>
        <v> </v>
      </c>
      <c r="J4016" s="25" t="str">
        <f>IF(OR(E4016="",E4016="!!!",F4016="NEW"),"",COUNTBLANK(OFFSET(A$1,,,SUMPRODUCT(MAX(ROW(E$2:E4016)*(E4016=E$2:E4016)))))-COUNTBLANK(OFFSET(A$1,,,SUMPRODUCT(MAX(ROW(E$1:E4015)*(E2=E$1:E4015))))))</f>
        <v> </v>
      </c>
      <c r="K4016" s="25" t="str">
        <f>IF(OR(E4016="",E4016="!!!",F4016="NEW"),"",INDEX(J$1:J4015,SUMPRODUCT(MAX(ROW(E$1:E4015)*(E4016=E$1:E4015)))))</f>
        <v> </v>
      </c>
      <c r="L4016" s="26"/>
    </row>
    <row r="4017" spans="1:12">
      <c r="A4017" s="20" t="s">
        <v>1460</v>
      </c>
      <c r="B4017" s="27" t="s">
        <v>1084</v>
      </c>
      <c r="C4017" s="27" t="s">
        <v>1049</v>
      </c>
      <c r="E4017" s="21">
        <f>IF(D4017="?OLD","!!!","")</f>
        <v/>
      </c>
      <c r="F4017" s="22" t="str">
        <f>IF(OR(E4017="",E4017="!!!"),"",IF(NOT(ISNA(VLOOKUP(E4017,E$1:E4016,1,FALSE()))),"OLD",IF(AND(E4017&lt;&gt;"",E4017&lt;&gt;"!!!"),"NEW","")))</f>
        <v> </v>
      </c>
      <c r="G4017" s="23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4" t="str">
        <f>IF(J4017&lt;&gt;1,"",IF(I4017="SBJ","CB","?"))</f>
        <v> </v>
      </c>
      <c r="I4017" s="25" t="str">
        <f>IF(OR(E4017="",E4017="!!!",F4017="NEW"),"",INDEX(B4016:B$2,-1+SUMPRODUCT(MAX(ROW(E4016:E$2)*(E4017=E4016:E$2)))))</f>
        <v> </v>
      </c>
      <c r="J4017" s="25" t="str">
        <f>IF(OR(E4017="",E4017="!!!",F4017="NEW"),"",COUNTBLANK(OFFSET(A$1,,,SUMPRODUCT(MAX(ROW(E$2:E4017)*(E4017=E$2:E4017)))))-COUNTBLANK(OFFSET(A$1,,,SUMPRODUCT(MAX(ROW(E$1:E4016)*(E2=E$1:E4016))))))</f>
        <v> </v>
      </c>
      <c r="K4017" s="25" t="str">
        <f>IF(OR(E4017="",E4017="!!!",F4017="NEW"),"",INDEX(J$1:J4016,SUMPRODUCT(MAX(ROW(E$1:E4016)*(E4017=E$1:E4016)))))</f>
        <v> </v>
      </c>
      <c r="L4017" s="26"/>
    </row>
    <row r="4018" spans="1:12">
      <c r="A4018" s="20" t="s">
        <v>1159</v>
      </c>
      <c r="E4018" s="21">
        <f>IF(D4018="?OLD","!!!","")</f>
        <v/>
      </c>
      <c r="F4018" s="22" t="str">
        <f>IF(OR(E4018="",E4018="!!!"),"",IF(NOT(ISNA(VLOOKUP(E4018,E$1:E4017,1,FALSE()))),"OLD",IF(AND(E4018&lt;&gt;"",E4018&lt;&gt;"!!!"),"NEW","")))</f>
        <v> </v>
      </c>
      <c r="G4018" s="23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4" t="str">
        <f>IF(J4018&lt;&gt;1,"",IF(I4018="SBJ","CB","?"))</f>
        <v> </v>
      </c>
      <c r="I4018" s="25" t="str">
        <f>IF(OR(E4018="",E4018="!!!",F4018="NEW"),"",INDEX(B4017:B$2,-1+SUMPRODUCT(MAX(ROW(E4017:E$2)*(E4018=E4017:E$2)))))</f>
        <v> </v>
      </c>
      <c r="J4018" s="25" t="str">
        <f>IF(OR(E4018="",E4018="!!!",F4018="NEW"),"",COUNTBLANK(OFFSET(A$1,,,SUMPRODUCT(MAX(ROW(E$2:E4018)*(E4018=E$2:E4018)))))-COUNTBLANK(OFFSET(A$1,,,SUMPRODUCT(MAX(ROW(E$1:E4017)*(E2=E$1:E4017))))))</f>
        <v> </v>
      </c>
      <c r="K4018" s="25" t="str">
        <f>IF(OR(E4018="",E4018="!!!",F4018="NEW"),"",INDEX(J$1:J4017,SUMPRODUCT(MAX(ROW(E$1:E4017)*(E4018=E$1:E4017)))))</f>
        <v> </v>
      </c>
      <c r="L4018" s="26"/>
    </row>
    <row r="4019" spans="1:12">
      <c r="A4019" s="20" t="s">
        <v>2713</v>
      </c>
      <c r="E4019" s="21">
        <f>IF(D4019="?OLD","!!!","")</f>
        <v/>
      </c>
      <c r="F4019" s="22" t="str">
        <f>IF(OR(E4019="",E4019="!!!"),"",IF(NOT(ISNA(VLOOKUP(E4019,E$1:E4018,1,FALSE()))),"OLD",IF(AND(E4019&lt;&gt;"",E4019&lt;&gt;"!!!"),"NEW","")))</f>
        <v> </v>
      </c>
      <c r="G4019" s="23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4" t="str">
        <f>IF(J4019&lt;&gt;1,"",IF(I4019="SBJ","CB","?"))</f>
        <v> </v>
      </c>
      <c r="I4019" s="25" t="str">
        <f>IF(OR(E4019="",E4019="!!!",F4019="NEW"),"",INDEX(B4018:B$2,-1+SUMPRODUCT(MAX(ROW(E4018:E$2)*(E4019=E4018:E$2)))))</f>
        <v> </v>
      </c>
      <c r="J4019" s="25" t="str">
        <f>IF(OR(E4019="",E4019="!!!",F4019="NEW"),"",COUNTBLANK(OFFSET(A$1,,,SUMPRODUCT(MAX(ROW(E$2:E4019)*(E4019=E$2:E4019)))))-COUNTBLANK(OFFSET(A$1,,,SUMPRODUCT(MAX(ROW(E$1:E4018)*(E2=E$1:E4018))))))</f>
        <v> </v>
      </c>
      <c r="K4019" s="25" t="str">
        <f>IF(OR(E4019="",E4019="!!!",F4019="NEW"),"",INDEX(J$1:J4018,SUMPRODUCT(MAX(ROW(E$1:E4018)*(E4019=E$1:E4018)))))</f>
        <v> </v>
      </c>
      <c r="L4019" s="26"/>
    </row>
    <row r="4020" spans="1:12">
      <c r="A4020" s="20" t="s">
        <v>197</v>
      </c>
      <c r="B4020" s="27" t="s">
        <v>1082</v>
      </c>
      <c r="E4020" s="21">
        <f>IF(D4020="?OLD","!!!","")</f>
        <v/>
      </c>
      <c r="F4020" s="22" t="str">
        <f>IF(OR(E4020="",E4020="!!!"),"",IF(NOT(ISNA(VLOOKUP(E4020,E$1:E4019,1,FALSE()))),"OLD",IF(AND(E4020&lt;&gt;"",E4020&lt;&gt;"!!!"),"NEW","")))</f>
        <v> </v>
      </c>
      <c r="G4020" s="23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4" t="str">
        <f>IF(J4020&lt;&gt;1,"",IF(I4020="SBJ","CB","?"))</f>
        <v> </v>
      </c>
      <c r="I4020" s="25" t="str">
        <f>IF(OR(E4020="",E4020="!!!",F4020="NEW"),"",INDEX(B4019:B$2,-1+SUMPRODUCT(MAX(ROW(E4019:E$2)*(E4020=E4019:E$2)))))</f>
        <v> </v>
      </c>
      <c r="J4020" s="25" t="str">
        <f>IF(OR(E4020="",E4020="!!!",F4020="NEW"),"",COUNTBLANK(OFFSET(A$1,,,SUMPRODUCT(MAX(ROW(E$2:E4020)*(E4020=E$2:E4020)))))-COUNTBLANK(OFFSET(A$1,,,SUMPRODUCT(MAX(ROW(E$1:E4019)*(E2=E$1:E4019))))))</f>
        <v> </v>
      </c>
      <c r="K4020" s="25" t="str">
        <f>IF(OR(E4020="",E4020="!!!",F4020="NEW"),"",INDEX(J$1:J4019,SUMPRODUCT(MAX(ROW(E$1:E4019)*(E4020=E$1:E4019)))))</f>
        <v> </v>
      </c>
      <c r="L4020" s="26"/>
    </row>
    <row r="4021" spans="1:12">
      <c r="A4021" s="20" t="s">
        <v>1598</v>
      </c>
      <c r="E4021" s="21">
        <f>IF(D4021="?OLD","!!!","")</f>
        <v/>
      </c>
      <c r="F4021" s="22" t="str">
        <f>IF(OR(E4021="",E4021="!!!"),"",IF(NOT(ISNA(VLOOKUP(E4021,E$1:E4020,1,FALSE()))),"OLD",IF(AND(E4021&lt;&gt;"",E4021&lt;&gt;"!!!"),"NEW","")))</f>
        <v> </v>
      </c>
      <c r="G4021" s="23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4" t="str">
        <f>IF(J4021&lt;&gt;1,"",IF(I4021="SBJ","CB","?"))</f>
        <v> </v>
      </c>
      <c r="I4021" s="25" t="str">
        <f>IF(OR(E4021="",E4021="!!!",F4021="NEW"),"",INDEX(B4020:B$2,-1+SUMPRODUCT(MAX(ROW(E4020:E$2)*(E4021=E4020:E$2)))))</f>
        <v> </v>
      </c>
      <c r="J4021" s="25" t="str">
        <f>IF(OR(E4021="",E4021="!!!",F4021="NEW"),"",COUNTBLANK(OFFSET(A$1,,,SUMPRODUCT(MAX(ROW(E$2:E4021)*(E4021=E$2:E4021)))))-COUNTBLANK(OFFSET(A$1,,,SUMPRODUCT(MAX(ROW(E$1:E4020)*(E2=E$1:E4020))))))</f>
        <v> </v>
      </c>
      <c r="K4021" s="25" t="str">
        <f>IF(OR(E4021="",E4021="!!!",F4021="NEW"),"",INDEX(J$1:J4020,SUMPRODUCT(MAX(ROW(E$1:E4020)*(E4021=E$1:E4020)))))</f>
        <v> </v>
      </c>
      <c r="L4021" s="26"/>
    </row>
    <row r="4022" spans="1:12">
      <c r="A4022" s="20" t="s">
        <v>1115</v>
      </c>
      <c r="B4022" s="27" t="s">
        <v>1238</v>
      </c>
      <c r="C4022" s="27" t="s">
        <v>1046</v>
      </c>
      <c r="D4022" s="27" t="s">
        <v>1026</v>
      </c>
      <c r="E4022" s="21">
        <f>IF(D4022="?OLD","!!!","")</f>
        <v/>
      </c>
      <c r="F4022" s="22" t="str">
        <f>IF(OR(E4022="",E4022="!!!"),"",IF(NOT(ISNA(VLOOKUP(E4022,E$1:E4021,1,FALSE()))),"OLD",IF(AND(E4022&lt;&gt;"",E4022&lt;&gt;"!!!"),"NEW","")))</f>
        <v> </v>
      </c>
      <c r="G4022" s="23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4" t="str">
        <f>IF(J4022&lt;&gt;1,"",IF(I4022="SBJ","CB","?"))</f>
        <v> </v>
      </c>
      <c r="I4022" s="25" t="str">
        <f>IF(OR(E4022="",E4022="!!!",F4022="NEW"),"",INDEX(B4021:B$2,-1+SUMPRODUCT(MAX(ROW(E4021:E$2)*(E4022=E4021:E$2)))))</f>
        <v> </v>
      </c>
      <c r="J4022" s="25" t="str">
        <f>IF(OR(E4022="",E4022="!!!",F4022="NEW"),"",COUNTBLANK(OFFSET(A$1,,,SUMPRODUCT(MAX(ROW(E$2:E4022)*(E4022=E$2:E4022)))))-COUNTBLANK(OFFSET(A$1,,,SUMPRODUCT(MAX(ROW(E$1:E4021)*(E2=E$1:E4021))))))</f>
        <v> </v>
      </c>
      <c r="K4022" s="25" t="str">
        <f>IF(OR(E4022="",E4022="!!!",F4022="NEW"),"",INDEX(J$1:J4021,SUMPRODUCT(MAX(ROW(E$1:E4021)*(E4022=E$1:E4021)))))</f>
        <v> </v>
      </c>
      <c r="L4022" s="26"/>
    </row>
    <row r="4023" spans="1:12">
      <c r="A4023" s="20" t="s">
        <v>2714</v>
      </c>
      <c r="B4023" s="27" t="s">
        <v>1409</v>
      </c>
      <c r="E4023" s="21">
        <f>IF(D4023="?OLD","!!!","")</f>
        <v/>
      </c>
      <c r="F4023" s="22" t="str">
        <f>IF(OR(E4023="",E4023="!!!"),"",IF(NOT(ISNA(VLOOKUP(E4023,E$1:E4022,1,FALSE()))),"OLD",IF(AND(E4023&lt;&gt;"",E4023&lt;&gt;"!!!"),"NEW","")))</f>
        <v> </v>
      </c>
      <c r="G4023" s="23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4" t="str">
        <f>IF(J4023&lt;&gt;1,"",IF(I4023="SBJ","CB","?"))</f>
        <v> </v>
      </c>
      <c r="I4023" s="25" t="str">
        <f>IF(OR(E4023="",E4023="!!!",F4023="NEW"),"",INDEX(B4022:B$2,-1+SUMPRODUCT(MAX(ROW(E4022:E$2)*(E4023=E4022:E$2)))))</f>
        <v> </v>
      </c>
      <c r="J4023" s="25" t="str">
        <f>IF(OR(E4023="",E4023="!!!",F4023="NEW"),"",COUNTBLANK(OFFSET(A$1,,,SUMPRODUCT(MAX(ROW(E$2:E4023)*(E4023=E$2:E4023)))))-COUNTBLANK(OFFSET(A$1,,,SUMPRODUCT(MAX(ROW(E$1:E4022)*(E2=E$1:E4022))))))</f>
        <v> </v>
      </c>
      <c r="K4023" s="25" t="str">
        <f>IF(OR(E4023="",E4023="!!!",F4023="NEW"),"",INDEX(J$1:J4022,SUMPRODUCT(MAX(ROW(E$1:E4022)*(E4023=E$1:E4022)))))</f>
        <v> </v>
      </c>
      <c r="L4023" s="26"/>
    </row>
    <row r="4024" spans="1:12">
      <c r="A4024" s="20" t="s">
        <v>1032</v>
      </c>
      <c r="E4024" s="21">
        <f>IF(D4024="?OLD","!!!","")</f>
        <v/>
      </c>
      <c r="F4024" s="22" t="str">
        <f>IF(OR(E4024="",E4024="!!!"),"",IF(NOT(ISNA(VLOOKUP(E4024,E$1:E4023,1,FALSE()))),"OLD",IF(AND(E4024&lt;&gt;"",E4024&lt;&gt;"!!!"),"NEW","")))</f>
        <v> </v>
      </c>
      <c r="G4024" s="23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4" t="str">
        <f>IF(J4024&lt;&gt;1,"",IF(I4024="SBJ","CB","?"))</f>
        <v> </v>
      </c>
      <c r="I4024" s="25" t="str">
        <f>IF(OR(E4024="",E4024="!!!",F4024="NEW"),"",INDEX(B4023:B$2,-1+SUMPRODUCT(MAX(ROW(E4023:E$2)*(E4024=E4023:E$2)))))</f>
        <v> </v>
      </c>
      <c r="J4024" s="25" t="str">
        <f>IF(OR(E4024="",E4024="!!!",F4024="NEW"),"",COUNTBLANK(OFFSET(A$1,,,SUMPRODUCT(MAX(ROW(E$2:E4024)*(E4024=E$2:E4024)))))-COUNTBLANK(OFFSET(A$1,,,SUMPRODUCT(MAX(ROW(E$1:E4023)*(E2=E$1:E4023))))))</f>
        <v> </v>
      </c>
      <c r="K4024" s="25" t="str">
        <f>IF(OR(E4024="",E4024="!!!",F4024="NEW"),"",INDEX(J$1:J4023,SUMPRODUCT(MAX(ROW(E$1:E4023)*(E4024=E$1:E4023)))))</f>
        <v> </v>
      </c>
      <c r="L4024" s="26"/>
    </row>
    <row r="4025" spans="1:12">
      <c r="A4025" s="20"/>
    </row>
    <row r="4026" spans="1:12">
      <c r="A4026" s="20" t="s">
        <v>2715</v>
      </c>
    </row>
    <row r="4027" spans="1:12">
      <c r="A4027" s="20" t="s">
        <v>1077</v>
      </c>
      <c r="E4027" s="21">
        <f>IF(D4027="?OLD","!!!","")</f>
        <v/>
      </c>
      <c r="F4027" s="22" t="str">
        <f>IF(OR(E4027="",E4027="!!!"),"",IF(NOT(ISNA(VLOOKUP(E4027,E$1:E4026,1,FALSE()))),"OLD",IF(AND(E4027&lt;&gt;"",E4027&lt;&gt;"!!!"),"NEW","")))</f>
        <v> </v>
      </c>
      <c r="G4027" s="23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4" t="str">
        <f>IF(J4027&lt;&gt;1,"",IF(I4027="SBJ","CB","?"))</f>
        <v> </v>
      </c>
      <c r="I4027" s="25" t="str">
        <f>IF(OR(E4027="",E4027="!!!",F4027="NEW"),"",INDEX(B4026:B$2,-1+SUMPRODUCT(MAX(ROW(E4026:E$2)*(E4027=E4026:E$2)))))</f>
        <v> </v>
      </c>
      <c r="J4027" s="25" t="str">
        <f>IF(OR(E4027="",E4027="!!!",F4027="NEW"),"",COUNTBLANK(OFFSET(A$1,,,SUMPRODUCT(MAX(ROW(E$2:E4027)*(E4027=E$2:E4027)))))-COUNTBLANK(OFFSET(A$1,,,SUMPRODUCT(MAX(ROW(E$1:E4026)*(E2=E$1:E4026))))))</f>
        <v> </v>
      </c>
      <c r="K4027" s="25" t="str">
        <f>IF(OR(E4027="",E4027="!!!",F4027="NEW"),"",INDEX(J$1:J4026,SUMPRODUCT(MAX(ROW(E$1:E4026)*(E4027=E$1:E4026)))))</f>
        <v> </v>
      </c>
      <c r="L4027" s="26"/>
    </row>
    <row r="4028" spans="1:12">
      <c r="A4028" s="20" t="s">
        <v>1439</v>
      </c>
      <c r="E4028" s="21">
        <f>IF(D4028="?OLD","!!!","")</f>
        <v/>
      </c>
      <c r="F4028" s="22" t="str">
        <f>IF(OR(E4028="",E4028="!!!"),"",IF(NOT(ISNA(VLOOKUP(E4028,E$1:E4027,1,FALSE()))),"OLD",IF(AND(E4028&lt;&gt;"",E4028&lt;&gt;"!!!"),"NEW","")))</f>
        <v> </v>
      </c>
      <c r="G4028" s="23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4" t="str">
        <f>IF(J4028&lt;&gt;1,"",IF(I4028="SBJ","CB","?"))</f>
        <v> </v>
      </c>
      <c r="I4028" s="25" t="str">
        <f>IF(OR(E4028="",E4028="!!!",F4028="NEW"),"",INDEX(B4027:B$2,-1+SUMPRODUCT(MAX(ROW(E4027:E$2)*(E4028=E4027:E$2)))))</f>
        <v> </v>
      </c>
      <c r="J4028" s="25" t="str">
        <f>IF(OR(E4028="",E4028="!!!",F4028="NEW"),"",COUNTBLANK(OFFSET(A$1,,,SUMPRODUCT(MAX(ROW(E$2:E4028)*(E4028=E$2:E4028)))))-COUNTBLANK(OFFSET(A$1,,,SUMPRODUCT(MAX(ROW(E$1:E4027)*(E2=E$1:E4027))))))</f>
        <v> </v>
      </c>
      <c r="K4028" s="25" t="str">
        <f>IF(OR(E4028="",E4028="!!!",F4028="NEW"),"",INDEX(J$1:J4027,SUMPRODUCT(MAX(ROW(E$1:E4027)*(E4028=E$1:E4027)))))</f>
        <v> </v>
      </c>
      <c r="L4028" s="26"/>
    </row>
    <row r="4029" spans="1:12">
      <c r="A4029" s="20" t="s">
        <v>2716</v>
      </c>
      <c r="E4029" s="21">
        <f>IF(D4029="?OLD","!!!","")</f>
        <v/>
      </c>
      <c r="F4029" s="22" t="str">
        <f>IF(OR(E4029="",E4029="!!!"),"",IF(NOT(ISNA(VLOOKUP(E4029,E$1:E4028,1,FALSE()))),"OLD",IF(AND(E4029&lt;&gt;"",E4029&lt;&gt;"!!!"),"NEW","")))</f>
        <v> </v>
      </c>
      <c r="G4029" s="23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4" t="str">
        <f>IF(J4029&lt;&gt;1,"",IF(I4029="SBJ","CB","?"))</f>
        <v> </v>
      </c>
      <c r="I4029" s="25" t="str">
        <f>IF(OR(E4029="",E4029="!!!",F4029="NEW"),"",INDEX(B4028:B$2,-1+SUMPRODUCT(MAX(ROW(E4028:E$2)*(E4029=E4028:E$2)))))</f>
        <v> </v>
      </c>
      <c r="J4029" s="25" t="str">
        <f>IF(OR(E4029="",E4029="!!!",F4029="NEW"),"",COUNTBLANK(OFFSET(A$1,,,SUMPRODUCT(MAX(ROW(E$2:E4029)*(E4029=E$2:E4029)))))-COUNTBLANK(OFFSET(A$1,,,SUMPRODUCT(MAX(ROW(E$1:E4028)*(E2=E$1:E4028))))))</f>
        <v> </v>
      </c>
      <c r="K4029" s="25" t="str">
        <f>IF(OR(E4029="",E4029="!!!",F4029="NEW"),"",INDEX(J$1:J4028,SUMPRODUCT(MAX(ROW(E$1:E4028)*(E4029=E$1:E4028)))))</f>
        <v> </v>
      </c>
      <c r="L4029" s="26"/>
    </row>
    <row r="4030" spans="1:12">
      <c r="A4030" s="20" t="s">
        <v>2717</v>
      </c>
      <c r="B4030" s="27" t="s">
        <v>1024</v>
      </c>
      <c r="C4030" s="27" t="s">
        <v>1049</v>
      </c>
      <c r="E4030" s="21">
        <f>IF(D4030="?OLD","!!!","")</f>
        <v/>
      </c>
      <c r="F4030" s="22" t="str">
        <f>IF(OR(E4030="",E4030="!!!"),"",IF(NOT(ISNA(VLOOKUP(E4030,E$1:E4029,1,FALSE()))),"OLD",IF(AND(E4030&lt;&gt;"",E4030&lt;&gt;"!!!"),"NEW","")))</f>
        <v> </v>
      </c>
      <c r="G4030" s="23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4" t="str">
        <f>IF(J4030&lt;&gt;1,"",IF(I4030="SBJ","CB","?"))</f>
        <v> </v>
      </c>
      <c r="I4030" s="25" t="str">
        <f>IF(OR(E4030="",E4030="!!!",F4030="NEW"),"",INDEX(B4029:B$2,-1+SUMPRODUCT(MAX(ROW(E4029:E$2)*(E4030=E4029:E$2)))))</f>
        <v> </v>
      </c>
      <c r="J4030" s="25" t="str">
        <f>IF(OR(E4030="",E4030="!!!",F4030="NEW"),"",COUNTBLANK(OFFSET(A$1,,,SUMPRODUCT(MAX(ROW(E$2:E4030)*(E4030=E$2:E4030)))))-COUNTBLANK(OFFSET(A$1,,,SUMPRODUCT(MAX(ROW(E$1:E4029)*(E2=E$1:E4029))))))</f>
        <v> </v>
      </c>
      <c r="K4030" s="25" t="str">
        <f>IF(OR(E4030="",E4030="!!!",F4030="NEW"),"",INDEX(J$1:J4029,SUMPRODUCT(MAX(ROW(E$1:E4029)*(E4030=E$1:E4029)))))</f>
        <v> </v>
      </c>
      <c r="L4030" s="26"/>
    </row>
    <row r="4031" spans="1:12">
      <c r="A4031" s="20" t="s">
        <v>1442</v>
      </c>
      <c r="B4031" s="27" t="s">
        <v>1143</v>
      </c>
      <c r="C4031" s="27" t="s">
        <v>1025</v>
      </c>
      <c r="D4031" s="27" t="s">
        <v>1026</v>
      </c>
      <c r="E4031" s="21">
        <f>IF(D4031="?OLD","!!!","")</f>
        <v/>
      </c>
      <c r="F4031" s="22" t="str">
        <f>IF(OR(E4031="",E4031="!!!"),"",IF(NOT(ISNA(VLOOKUP(E4031,E$1:E4030,1,FALSE()))),"OLD",IF(AND(E4031&lt;&gt;"",E4031&lt;&gt;"!!!"),"NEW","")))</f>
        <v> </v>
      </c>
      <c r="G4031" s="23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4" t="str">
        <f>IF(J4031&lt;&gt;1,"",IF(I4031="SBJ","CB","?"))</f>
        <v> </v>
      </c>
      <c r="I4031" s="25" t="str">
        <f>IF(OR(E4031="",E4031="!!!",F4031="NEW"),"",INDEX(B4030:B$2,-1+SUMPRODUCT(MAX(ROW(E4030:E$2)*(E4031=E4030:E$2)))))</f>
        <v> </v>
      </c>
      <c r="J4031" s="25" t="str">
        <f>IF(OR(E4031="",E4031="!!!",F4031="NEW"),"",COUNTBLANK(OFFSET(A$1,,,SUMPRODUCT(MAX(ROW(E$2:E4031)*(E4031=E$2:E4031)))))-COUNTBLANK(OFFSET(A$1,,,SUMPRODUCT(MAX(ROW(E$1:E4030)*(E2=E$1:E4030))))))</f>
        <v> </v>
      </c>
      <c r="K4031" s="25" t="str">
        <f>IF(OR(E4031="",E4031="!!!",F4031="NEW"),"",INDEX(J$1:J4030,SUMPRODUCT(MAX(ROW(E$1:E4030)*(E4031=E$1:E4030)))))</f>
        <v> </v>
      </c>
      <c r="L4031" s="26"/>
    </row>
    <row r="4032" spans="1:12">
      <c r="A4032" s="20" t="s">
        <v>2718</v>
      </c>
      <c r="E4032" s="21">
        <f>IF(D4032="?OLD","!!!","")</f>
        <v/>
      </c>
      <c r="F4032" s="22" t="str">
        <f>IF(OR(E4032="",E4032="!!!"),"",IF(NOT(ISNA(VLOOKUP(E4032,E$1:E4031,1,FALSE()))),"OLD",IF(AND(E4032&lt;&gt;"",E4032&lt;&gt;"!!!"),"NEW","")))</f>
        <v> </v>
      </c>
      <c r="G4032" s="23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4" t="str">
        <f>IF(J4032&lt;&gt;1,"",IF(I4032="SBJ","CB","?"))</f>
        <v> </v>
      </c>
      <c r="I4032" s="25" t="str">
        <f>IF(OR(E4032="",E4032="!!!",F4032="NEW"),"",INDEX(B4031:B$2,-1+SUMPRODUCT(MAX(ROW(E4031:E$2)*(E4032=E4031:E$2)))))</f>
        <v> </v>
      </c>
      <c r="J4032" s="25" t="str">
        <f>IF(OR(E4032="",E4032="!!!",F4032="NEW"),"",COUNTBLANK(OFFSET(A$1,,,SUMPRODUCT(MAX(ROW(E$2:E4032)*(E4032=E$2:E4032)))))-COUNTBLANK(OFFSET(A$1,,,SUMPRODUCT(MAX(ROW(E$1:E4031)*(E2=E$1:E4031))))))</f>
        <v> </v>
      </c>
      <c r="K4032" s="25" t="str">
        <f>IF(OR(E4032="",E4032="!!!",F4032="NEW"),"",INDEX(J$1:J4031,SUMPRODUCT(MAX(ROW(E$1:E4031)*(E4032=E$1:E4031)))))</f>
        <v> </v>
      </c>
      <c r="L4032" s="26"/>
    </row>
    <row r="4033" spans="1:12">
      <c r="A4033" s="20" t="s">
        <v>1995</v>
      </c>
      <c r="E4033" s="21">
        <f>IF(D4033="?OLD","!!!","")</f>
        <v/>
      </c>
      <c r="F4033" s="22" t="str">
        <f>IF(OR(E4033="",E4033="!!!"),"",IF(NOT(ISNA(VLOOKUP(E4033,E$1:E4032,1,FALSE()))),"OLD",IF(AND(E4033&lt;&gt;"",E4033&lt;&gt;"!!!"),"NEW","")))</f>
        <v> </v>
      </c>
      <c r="G4033" s="23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4" t="str">
        <f>IF(J4033&lt;&gt;1,"",IF(I4033="SBJ","CB","?"))</f>
        <v> </v>
      </c>
      <c r="I4033" s="25" t="str">
        <f>IF(OR(E4033="",E4033="!!!",F4033="NEW"),"",INDEX(B4032:B$2,-1+SUMPRODUCT(MAX(ROW(E4032:E$2)*(E4033=E4032:E$2)))))</f>
        <v> </v>
      </c>
      <c r="J4033" s="25" t="str">
        <f>IF(OR(E4033="",E4033="!!!",F4033="NEW"),"",COUNTBLANK(OFFSET(A$1,,,SUMPRODUCT(MAX(ROW(E$2:E4033)*(E4033=E$2:E4033)))))-COUNTBLANK(OFFSET(A$1,,,SUMPRODUCT(MAX(ROW(E$1:E4032)*(E2=E$1:E4032))))))</f>
        <v> </v>
      </c>
      <c r="K4033" s="25" t="str">
        <f>IF(OR(E4033="",E4033="!!!",F4033="NEW"),"",INDEX(J$1:J4032,SUMPRODUCT(MAX(ROW(E$1:E4032)*(E4033=E$1:E4032)))))</f>
        <v> </v>
      </c>
      <c r="L4033" s="26"/>
    </row>
    <row r="4034" spans="1:12">
      <c r="A4034" s="20" t="s">
        <v>1032</v>
      </c>
      <c r="E4034" s="21">
        <f>IF(D4034="?OLD","!!!","")</f>
        <v/>
      </c>
      <c r="F4034" s="22" t="str">
        <f>IF(OR(E4034="",E4034="!!!"),"",IF(NOT(ISNA(VLOOKUP(E4034,E$1:E4033,1,FALSE()))),"OLD",IF(AND(E4034&lt;&gt;"",E4034&lt;&gt;"!!!"),"NEW","")))</f>
        <v> </v>
      </c>
      <c r="G4034" s="23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4" t="str">
        <f>IF(J4034&lt;&gt;1,"",IF(I4034="SBJ","CB","?"))</f>
        <v> </v>
      </c>
      <c r="I4034" s="25" t="str">
        <f>IF(OR(E4034="",E4034="!!!",F4034="NEW"),"",INDEX(B4033:B$2,-1+SUMPRODUCT(MAX(ROW(E4033:E$2)*(E4034=E4033:E$2)))))</f>
        <v> </v>
      </c>
      <c r="J4034" s="25" t="str">
        <f>IF(OR(E4034="",E4034="!!!",F4034="NEW"),"",COUNTBLANK(OFFSET(A$1,,,SUMPRODUCT(MAX(ROW(E$2:E4034)*(E4034=E$2:E4034)))))-COUNTBLANK(OFFSET(A$1,,,SUMPRODUCT(MAX(ROW(E$1:E4033)*(E2=E$1:E4033))))))</f>
        <v> </v>
      </c>
      <c r="K4034" s="25" t="str">
        <f>IF(OR(E4034="",E4034="!!!",F4034="NEW"),"",INDEX(J$1:J4033,SUMPRODUCT(MAX(ROW(E$1:E4033)*(E4034=E$1:E4033)))))</f>
        <v> </v>
      </c>
      <c r="L4034" s="26"/>
    </row>
    <row r="4035" spans="1:12">
      <c r="A4035" s="20"/>
    </row>
    <row r="4036" spans="1:12">
      <c r="A4036" s="20" t="s">
        <v>2719</v>
      </c>
    </row>
    <row r="4037" spans="1:12">
      <c r="A4037" s="20" t="s">
        <v>744</v>
      </c>
      <c r="B4037" s="27" t="s">
        <v>1080</v>
      </c>
      <c r="C4037" s="27" t="s">
        <v>1075</v>
      </c>
      <c r="D4037" s="27" t="s">
        <v>1026</v>
      </c>
      <c r="E4037" s="21">
        <f>IF(D4037="?OLD","!!!","")</f>
        <v/>
      </c>
      <c r="F4037" s="22" t="str">
        <f>IF(OR(E4037="",E4037="!!!"),"",IF(NOT(ISNA(VLOOKUP(E4037,E$1:E4036,1,FALSE()))),"OLD",IF(AND(E4037&lt;&gt;"",E4037&lt;&gt;"!!!"),"NEW","")))</f>
        <v> </v>
      </c>
      <c r="G4037" s="23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4" t="str">
        <f>IF(J4037&lt;&gt;1,"",IF(I4037="SBJ","CB","?"))</f>
        <v> </v>
      </c>
      <c r="I4037" s="25" t="str">
        <f>IF(OR(E4037="",E4037="!!!",F4037="NEW"),"",INDEX(B4036:B$2,-1+SUMPRODUCT(MAX(ROW(E4036:E$2)*(E4037=E4036:E$2)))))</f>
        <v> </v>
      </c>
      <c r="J4037" s="25" t="str">
        <f>IF(OR(E4037="",E4037="!!!",F4037="NEW"),"",COUNTBLANK(OFFSET(A$1,,,SUMPRODUCT(MAX(ROW(E$2:E4037)*(E4037=E$2:E4037)))))-COUNTBLANK(OFFSET(A$1,,,SUMPRODUCT(MAX(ROW(E$1:E4036)*(E2=E$1:E4036))))))</f>
        <v> </v>
      </c>
      <c r="K4037" s="25" t="str">
        <f>IF(OR(E4037="",E4037="!!!",F4037="NEW"),"",INDEX(J$1:J4036,SUMPRODUCT(MAX(ROW(E$1:E4036)*(E4037=E$1:E4036)))))</f>
        <v> </v>
      </c>
      <c r="L4037" s="26"/>
    </row>
    <row r="4038" spans="1:12">
      <c r="A4038" s="20" t="s">
        <v>2530</v>
      </c>
      <c r="B4038" s="27" t="s">
        <v>1080</v>
      </c>
      <c r="C4038" s="27" t="s">
        <v>1075</v>
      </c>
      <c r="D4038" s="27" t="s">
        <v>1026</v>
      </c>
      <c r="E4038" s="21">
        <f>IF(D4038="?OLD","!!!","")</f>
        <v/>
      </c>
      <c r="F4038" s="22" t="str">
        <f>IF(OR(E4038="",E4038="!!!"),"",IF(NOT(ISNA(VLOOKUP(E4038,E$1:E4037,1,FALSE()))),"OLD",IF(AND(E4038&lt;&gt;"",E4038&lt;&gt;"!!!"),"NEW","")))</f>
        <v> </v>
      </c>
      <c r="G4038" s="23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4" t="str">
        <f>IF(J4038&lt;&gt;1,"",IF(I4038="SBJ","CB","?"))</f>
        <v> </v>
      </c>
      <c r="I4038" s="25" t="str">
        <f>IF(OR(E4038="",E4038="!!!",F4038="NEW"),"",INDEX(B4037:B$2,-1+SUMPRODUCT(MAX(ROW(E4037:E$2)*(E4038=E4037:E$2)))))</f>
        <v> </v>
      </c>
      <c r="J4038" s="25" t="str">
        <f>IF(OR(E4038="",E4038="!!!",F4038="NEW"),"",COUNTBLANK(OFFSET(A$1,,,SUMPRODUCT(MAX(ROW(E$2:E4038)*(E4038=E$2:E4038)))))-COUNTBLANK(OFFSET(A$1,,,SUMPRODUCT(MAX(ROW(E$1:E4037)*(E2=E$1:E4037))))))</f>
        <v> </v>
      </c>
      <c r="K4038" s="25" t="str">
        <f>IF(OR(E4038="",E4038="!!!",F4038="NEW"),"",INDEX(J$1:J4037,SUMPRODUCT(MAX(ROW(E$1:E4037)*(E4038=E$1:E4037)))))</f>
        <v> </v>
      </c>
      <c r="L4038" s="26"/>
    </row>
    <row r="4039" spans="1:12">
      <c r="A4039" s="20" t="s">
        <v>1222</v>
      </c>
      <c r="E4039" s="21">
        <f>IF(D4039="?OLD","!!!","")</f>
        <v/>
      </c>
      <c r="F4039" s="22" t="str">
        <f>IF(OR(E4039="",E4039="!!!"),"",IF(NOT(ISNA(VLOOKUP(E4039,E$1:E4038,1,FALSE()))),"OLD",IF(AND(E4039&lt;&gt;"",E4039&lt;&gt;"!!!"),"NEW","")))</f>
        <v> </v>
      </c>
      <c r="G4039" s="23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4" t="str">
        <f>IF(J4039&lt;&gt;1,"",IF(I4039="SBJ","CB","?"))</f>
        <v> </v>
      </c>
      <c r="I4039" s="25" t="str">
        <f>IF(OR(E4039="",E4039="!!!",F4039="NEW"),"",INDEX(B4038:B$2,-1+SUMPRODUCT(MAX(ROW(E4038:E$2)*(E4039=E4038:E$2)))))</f>
        <v> </v>
      </c>
      <c r="J4039" s="25" t="str">
        <f>IF(OR(E4039="",E4039="!!!",F4039="NEW"),"",COUNTBLANK(OFFSET(A$1,,,SUMPRODUCT(MAX(ROW(E$2:E4039)*(E4039=E$2:E4039)))))-COUNTBLANK(OFFSET(A$1,,,SUMPRODUCT(MAX(ROW(E$1:E4038)*(E2=E$1:E4038))))))</f>
        <v> </v>
      </c>
      <c r="K4039" s="25" t="str">
        <f>IF(OR(E4039="",E4039="!!!",F4039="NEW"),"",INDEX(J$1:J4038,SUMPRODUCT(MAX(ROW(E$1:E4038)*(E4039=E$1:E4038)))))</f>
        <v> </v>
      </c>
      <c r="L4039" s="26"/>
    </row>
    <row r="4040" spans="1:12">
      <c r="A4040" s="20" t="s">
        <v>1597</v>
      </c>
      <c r="E4040" s="21">
        <f>IF(D4040="?OLD","!!!","")</f>
        <v/>
      </c>
      <c r="F4040" s="22" t="str">
        <f>IF(OR(E4040="",E4040="!!!"),"",IF(NOT(ISNA(VLOOKUP(E4040,E$1:E4039,1,FALSE()))),"OLD",IF(AND(E4040&lt;&gt;"",E4040&lt;&gt;"!!!"),"NEW","")))</f>
        <v> </v>
      </c>
      <c r="G4040" s="23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4" t="str">
        <f>IF(J4040&lt;&gt;1,"",IF(I4040="SBJ","CB","?"))</f>
        <v> </v>
      </c>
      <c r="I4040" s="25" t="str">
        <f>IF(OR(E4040="",E4040="!!!",F4040="NEW"),"",INDEX(B4039:B$2,-1+SUMPRODUCT(MAX(ROW(E4039:E$2)*(E4040=E4039:E$2)))))</f>
        <v> </v>
      </c>
      <c r="J4040" s="25" t="str">
        <f>IF(OR(E4040="",E4040="!!!",F4040="NEW"),"",COUNTBLANK(OFFSET(A$1,,,SUMPRODUCT(MAX(ROW(E$2:E4040)*(E4040=E$2:E4040)))))-COUNTBLANK(OFFSET(A$1,,,SUMPRODUCT(MAX(ROW(E$1:E4039)*(E2=E$1:E4039))))))</f>
        <v> </v>
      </c>
      <c r="K4040" s="25" t="str">
        <f>IF(OR(E4040="",E4040="!!!",F4040="NEW"),"",INDEX(J$1:J4039,SUMPRODUCT(MAX(ROW(E$1:E4039)*(E4040=E$1:E4039)))))</f>
        <v> </v>
      </c>
      <c r="L4040" s="26"/>
    </row>
    <row r="4041" spans="1:12">
      <c r="A4041" s="20" t="s">
        <v>13</v>
      </c>
      <c r="E4041" s="21">
        <f>IF(D4041="?OLD","!!!","")</f>
        <v/>
      </c>
      <c r="F4041" s="22" t="str">
        <f>IF(OR(E4041="",E4041="!!!"),"",IF(NOT(ISNA(VLOOKUP(E4041,E$1:E4040,1,FALSE()))),"OLD",IF(AND(E4041&lt;&gt;"",E4041&lt;&gt;"!!!"),"NEW","")))</f>
        <v> </v>
      </c>
      <c r="G4041" s="23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4" t="str">
        <f>IF(J4041&lt;&gt;1,"",IF(I4041="SBJ","CB","?"))</f>
        <v> </v>
      </c>
      <c r="I4041" s="25" t="str">
        <f>IF(OR(E4041="",E4041="!!!",F4041="NEW"),"",INDEX(B4040:B$2,-1+SUMPRODUCT(MAX(ROW(E4040:E$2)*(E4041=E4040:E$2)))))</f>
        <v> </v>
      </c>
      <c r="J4041" s="25" t="str">
        <f>IF(OR(E4041="",E4041="!!!",F4041="NEW"),"",COUNTBLANK(OFFSET(A$1,,,SUMPRODUCT(MAX(ROW(E$2:E4041)*(E4041=E$2:E4041)))))-COUNTBLANK(OFFSET(A$1,,,SUMPRODUCT(MAX(ROW(E$1:E4040)*(E2=E$1:E4040))))))</f>
        <v> </v>
      </c>
      <c r="K4041" s="25" t="str">
        <f>IF(OR(E4041="",E4041="!!!",F4041="NEW"),"",INDEX(J$1:J4040,SUMPRODUCT(MAX(ROW(E$1:E4040)*(E4041=E$1:E4040)))))</f>
        <v> </v>
      </c>
      <c r="L4041" s="26"/>
    </row>
    <row r="4042" spans="1:12">
      <c r="A4042" s="20" t="s">
        <v>1764</v>
      </c>
      <c r="E4042" s="21">
        <f>IF(D4042="?OLD","!!!","")</f>
        <v/>
      </c>
      <c r="F4042" s="22" t="str">
        <f>IF(OR(E4042="",E4042="!!!"),"",IF(NOT(ISNA(VLOOKUP(E4042,E$1:E4041,1,FALSE()))),"OLD",IF(AND(E4042&lt;&gt;"",E4042&lt;&gt;"!!!"),"NEW","")))</f>
        <v> </v>
      </c>
      <c r="G4042" s="23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4" t="str">
        <f>IF(J4042&lt;&gt;1,"",IF(I4042="SBJ","CB","?"))</f>
        <v> </v>
      </c>
      <c r="I4042" s="25" t="str">
        <f>IF(OR(E4042="",E4042="!!!",F4042="NEW"),"",INDEX(B4041:B$2,-1+SUMPRODUCT(MAX(ROW(E4041:E$2)*(E4042=E4041:E$2)))))</f>
        <v> </v>
      </c>
      <c r="J4042" s="25" t="str">
        <f>IF(OR(E4042="",E4042="!!!",F4042="NEW"),"",COUNTBLANK(OFFSET(A$1,,,SUMPRODUCT(MAX(ROW(E$2:E4042)*(E4042=E$2:E4042)))))-COUNTBLANK(OFFSET(A$1,,,SUMPRODUCT(MAX(ROW(E$1:E4041)*(E2=E$1:E4041))))))</f>
        <v> </v>
      </c>
      <c r="K4042" s="25" t="str">
        <f>IF(OR(E4042="",E4042="!!!",F4042="NEW"),"",INDEX(J$1:J4041,SUMPRODUCT(MAX(ROW(E$1:E4041)*(E4042=E$1:E4041)))))</f>
        <v> </v>
      </c>
      <c r="L4042" s="26"/>
    </row>
    <row r="4043" spans="1:12">
      <c r="A4043" s="20" t="s">
        <v>2720</v>
      </c>
      <c r="E4043" s="21">
        <f>IF(D4043="?OLD","!!!","")</f>
        <v/>
      </c>
      <c r="F4043" s="22" t="str">
        <f>IF(OR(E4043="",E4043="!!!"),"",IF(NOT(ISNA(VLOOKUP(E4043,E$1:E4042,1,FALSE()))),"OLD",IF(AND(E4043&lt;&gt;"",E4043&lt;&gt;"!!!"),"NEW","")))</f>
        <v> </v>
      </c>
      <c r="G4043" s="23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4" t="str">
        <f>IF(J4043&lt;&gt;1,"",IF(I4043="SBJ","CB","?"))</f>
        <v> </v>
      </c>
      <c r="I4043" s="25" t="str">
        <f>IF(OR(E4043="",E4043="!!!",F4043="NEW"),"",INDEX(B4042:B$2,-1+SUMPRODUCT(MAX(ROW(E4042:E$2)*(E4043=E4042:E$2)))))</f>
        <v> </v>
      </c>
      <c r="J4043" s="25" t="str">
        <f>IF(OR(E4043="",E4043="!!!",F4043="NEW"),"",COUNTBLANK(OFFSET(A$1,,,SUMPRODUCT(MAX(ROW(E$2:E4043)*(E4043=E$2:E4043)))))-COUNTBLANK(OFFSET(A$1,,,SUMPRODUCT(MAX(ROW(E$1:E4042)*(E2=E$1:E4042))))))</f>
        <v> </v>
      </c>
      <c r="K4043" s="25" t="str">
        <f>IF(OR(E4043="",E4043="!!!",F4043="NEW"),"",INDEX(J$1:J4042,SUMPRODUCT(MAX(ROW(E$1:E4042)*(E4043=E$1:E4042)))))</f>
        <v> </v>
      </c>
      <c r="L4043" s="26"/>
    </row>
    <row r="4044" spans="1:12">
      <c r="A4044" s="20" t="s">
        <v>2721</v>
      </c>
      <c r="E4044" s="21">
        <f>IF(D4044="?OLD","!!!","")</f>
        <v/>
      </c>
      <c r="F4044" s="22" t="str">
        <f>IF(OR(E4044="",E4044="!!!"),"",IF(NOT(ISNA(VLOOKUP(E4044,E$1:E4043,1,FALSE()))),"OLD",IF(AND(E4044&lt;&gt;"",E4044&lt;&gt;"!!!"),"NEW","")))</f>
        <v> </v>
      </c>
      <c r="G4044" s="23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4" t="str">
        <f>IF(J4044&lt;&gt;1,"",IF(I4044="SBJ","CB","?"))</f>
        <v> </v>
      </c>
      <c r="I4044" s="25" t="str">
        <f>IF(OR(E4044="",E4044="!!!",F4044="NEW"),"",INDEX(B4043:B$2,-1+SUMPRODUCT(MAX(ROW(E4043:E$2)*(E4044=E4043:E$2)))))</f>
        <v> </v>
      </c>
      <c r="J4044" s="25" t="str">
        <f>IF(OR(E4044="",E4044="!!!",F4044="NEW"),"",COUNTBLANK(OFFSET(A$1,,,SUMPRODUCT(MAX(ROW(E$2:E4044)*(E4044=E$2:E4044)))))-COUNTBLANK(OFFSET(A$1,,,SUMPRODUCT(MAX(ROW(E$1:E4043)*(E2=E$1:E4043))))))</f>
        <v> </v>
      </c>
      <c r="K4044" s="25" t="str">
        <f>IF(OR(E4044="",E4044="!!!",F4044="NEW"),"",INDEX(J$1:J4043,SUMPRODUCT(MAX(ROW(E$1:E4043)*(E4044=E$1:E4043)))))</f>
        <v> </v>
      </c>
      <c r="L4044" s="26"/>
    </row>
    <row r="4045" spans="1:12">
      <c r="A4045" s="20" t="s">
        <v>1050</v>
      </c>
      <c r="E4045" s="21">
        <f>IF(D4045="?OLD","!!!","")</f>
        <v/>
      </c>
      <c r="F4045" s="22" t="str">
        <f>IF(OR(E4045="",E4045="!!!"),"",IF(NOT(ISNA(VLOOKUP(E4045,E$1:E4044,1,FALSE()))),"OLD",IF(AND(E4045&lt;&gt;"",E4045&lt;&gt;"!!!"),"NEW","")))</f>
        <v> </v>
      </c>
      <c r="G4045" s="23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4" t="str">
        <f>IF(J4045&lt;&gt;1,"",IF(I4045="SBJ","CB","?"))</f>
        <v> </v>
      </c>
      <c r="I4045" s="25" t="str">
        <f>IF(OR(E4045="",E4045="!!!",F4045="NEW"),"",INDEX(B4044:B$2,-1+SUMPRODUCT(MAX(ROW(E4044:E$2)*(E4045=E4044:E$2)))))</f>
        <v> </v>
      </c>
      <c r="J4045" s="25" t="str">
        <f>IF(OR(E4045="",E4045="!!!",F4045="NEW"),"",COUNTBLANK(OFFSET(A$1,,,SUMPRODUCT(MAX(ROW(E$2:E4045)*(E4045=E$2:E4045)))))-COUNTBLANK(OFFSET(A$1,,,SUMPRODUCT(MAX(ROW(E$1:E4044)*(E2=E$1:E4044))))))</f>
        <v> </v>
      </c>
      <c r="K4045" s="25" t="str">
        <f>IF(OR(E4045="",E4045="!!!",F4045="NEW"),"",INDEX(J$1:J4044,SUMPRODUCT(MAX(ROW(E$1:E4044)*(E4045=E$1:E4044)))))</f>
        <v> </v>
      </c>
      <c r="L4045" s="26"/>
    </row>
    <row r="4046" spans="1:12">
      <c r="A4046" s="20" t="s">
        <v>2208</v>
      </c>
      <c r="E4046" s="21">
        <f>IF(D4046="?OLD","!!!","")</f>
        <v/>
      </c>
      <c r="F4046" s="22" t="str">
        <f>IF(OR(E4046="",E4046="!!!"),"",IF(NOT(ISNA(VLOOKUP(E4046,E$1:E4045,1,FALSE()))),"OLD",IF(AND(E4046&lt;&gt;"",E4046&lt;&gt;"!!!"),"NEW","")))</f>
        <v> </v>
      </c>
      <c r="G4046" s="23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4" t="str">
        <f>IF(J4046&lt;&gt;1,"",IF(I4046="SBJ","CB","?"))</f>
        <v> </v>
      </c>
      <c r="I4046" s="25" t="str">
        <f>IF(OR(E4046="",E4046="!!!",F4046="NEW"),"",INDEX(B4045:B$2,-1+SUMPRODUCT(MAX(ROW(E4045:E$2)*(E4046=E4045:E$2)))))</f>
        <v> </v>
      </c>
      <c r="J4046" s="25" t="str">
        <f>IF(OR(E4046="",E4046="!!!",F4046="NEW"),"",COUNTBLANK(OFFSET(A$1,,,SUMPRODUCT(MAX(ROW(E$2:E4046)*(E4046=E$2:E4046)))))-COUNTBLANK(OFFSET(A$1,,,SUMPRODUCT(MAX(ROW(E$1:E4045)*(E2=E$1:E4045))))))</f>
        <v> </v>
      </c>
      <c r="K4046" s="25" t="str">
        <f>IF(OR(E4046="",E4046="!!!",F4046="NEW"),"",INDEX(J$1:J4045,SUMPRODUCT(MAX(ROW(E$1:E4045)*(E4046=E$1:E4045)))))</f>
        <v> </v>
      </c>
      <c r="L4046" s="26"/>
    </row>
    <row r="4047" spans="1:12">
      <c r="A4047" s="20" t="s">
        <v>1135</v>
      </c>
      <c r="E4047" s="21">
        <f>IF(D4047="?OLD","!!!","")</f>
        <v/>
      </c>
      <c r="F4047" s="22" t="str">
        <f>IF(OR(E4047="",E4047="!!!"),"",IF(NOT(ISNA(VLOOKUP(E4047,E$1:E4046,1,FALSE()))),"OLD",IF(AND(E4047&lt;&gt;"",E4047&lt;&gt;"!!!"),"NEW","")))</f>
        <v> </v>
      </c>
      <c r="G4047" s="23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4" t="str">
        <f>IF(J4047&lt;&gt;1,"",IF(I4047="SBJ","CB","?"))</f>
        <v> </v>
      </c>
      <c r="I4047" s="25" t="str">
        <f>IF(OR(E4047="",E4047="!!!",F4047="NEW"),"",INDEX(B4046:B$2,-1+SUMPRODUCT(MAX(ROW(E4046:E$2)*(E4047=E4046:E$2)))))</f>
        <v> </v>
      </c>
      <c r="J4047" s="25" t="str">
        <f>IF(OR(E4047="",E4047="!!!",F4047="NEW"),"",COUNTBLANK(OFFSET(A$1,,,SUMPRODUCT(MAX(ROW(E$2:E4047)*(E4047=E$2:E4047)))))-COUNTBLANK(OFFSET(A$1,,,SUMPRODUCT(MAX(ROW(E$1:E4046)*(E2=E$1:E4046))))))</f>
        <v> </v>
      </c>
      <c r="K4047" s="25" t="str">
        <f>IF(OR(E4047="",E4047="!!!",F4047="NEW"),"",INDEX(J$1:J4046,SUMPRODUCT(MAX(ROW(E$1:E4046)*(E4047=E$1:E4046)))))</f>
        <v> </v>
      </c>
      <c r="L4047" s="26"/>
    </row>
    <row r="4048" spans="1:12">
      <c r="A4048" s="20" t="s">
        <v>1041</v>
      </c>
      <c r="E4048" s="21">
        <f>IF(D4048="?OLD","!!!","")</f>
        <v/>
      </c>
      <c r="F4048" s="22" t="str">
        <f>IF(OR(E4048="",E4048="!!!"),"",IF(NOT(ISNA(VLOOKUP(E4048,E$1:E4047,1,FALSE()))),"OLD",IF(AND(E4048&lt;&gt;"",E4048&lt;&gt;"!!!"),"NEW","")))</f>
        <v> </v>
      </c>
      <c r="G4048" s="23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4" t="str">
        <f>IF(J4048&lt;&gt;1,"",IF(I4048="SBJ","CB","?"))</f>
        <v> </v>
      </c>
      <c r="I4048" s="25" t="str">
        <f>IF(OR(E4048="",E4048="!!!",F4048="NEW"),"",INDEX(B4047:B$2,-1+SUMPRODUCT(MAX(ROW(E4047:E$2)*(E4048=E4047:E$2)))))</f>
        <v> </v>
      </c>
      <c r="J4048" s="25" t="str">
        <f>IF(OR(E4048="",E4048="!!!",F4048="NEW"),"",COUNTBLANK(OFFSET(A$1,,,SUMPRODUCT(MAX(ROW(E$2:E4048)*(E4048=E$2:E4048)))))-COUNTBLANK(OFFSET(A$1,,,SUMPRODUCT(MAX(ROW(E$1:E4047)*(E2=E$1:E4047))))))</f>
        <v> </v>
      </c>
      <c r="K4048" s="25" t="str">
        <f>IF(OR(E4048="",E4048="!!!",F4048="NEW"),"",INDEX(J$1:J4047,SUMPRODUCT(MAX(ROW(E$1:E4047)*(E4048=E$1:E4047)))))</f>
        <v> </v>
      </c>
      <c r="L4048" s="26"/>
    </row>
    <row r="4049" spans="1:12">
      <c r="A4049" s="20" t="s">
        <v>1035</v>
      </c>
      <c r="B4049" s="27" t="s">
        <v>1082</v>
      </c>
      <c r="C4049" s="27" t="s">
        <v>1036</v>
      </c>
      <c r="D4049" s="27" t="s">
        <v>1026</v>
      </c>
      <c r="E4049" s="21">
        <f>IF(D4049="?OLD","!!!","")</f>
        <v/>
      </c>
      <c r="F4049" s="22" t="str">
        <f>IF(OR(E4049="",E4049="!!!"),"",IF(NOT(ISNA(VLOOKUP(E4049,E$1:E4048,1,FALSE()))),"OLD",IF(AND(E4049&lt;&gt;"",E4049&lt;&gt;"!!!"),"NEW","")))</f>
        <v> </v>
      </c>
      <c r="G4049" s="23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4" t="str">
        <f>IF(J4049&lt;&gt;1,"",IF(I4049="SBJ","CB","?"))</f>
        <v> </v>
      </c>
      <c r="I4049" s="25" t="str">
        <f>IF(OR(E4049="",E4049="!!!",F4049="NEW"),"",INDEX(B4048:B$2,-1+SUMPRODUCT(MAX(ROW(E4048:E$2)*(E4049=E4048:E$2)))))</f>
        <v> </v>
      </c>
      <c r="J4049" s="25" t="str">
        <f>IF(OR(E4049="",E4049="!!!",F4049="NEW"),"",COUNTBLANK(OFFSET(A$1,,,SUMPRODUCT(MAX(ROW(E$2:E4049)*(E4049=E$2:E4049)))))-COUNTBLANK(OFFSET(A$1,,,SUMPRODUCT(MAX(ROW(E$1:E4048)*(E2=E$1:E4048))))))</f>
        <v> </v>
      </c>
      <c r="K4049" s="25" t="str">
        <f>IF(OR(E4049="",E4049="!!!",F4049="NEW"),"",INDEX(J$1:J4048,SUMPRODUCT(MAX(ROW(E$1:E4048)*(E4049=E$1:E4048)))))</f>
        <v> </v>
      </c>
      <c r="L4049" s="26"/>
    </row>
    <row r="4050" spans="1:12">
      <c r="A4050" s="20" t="s">
        <v>1159</v>
      </c>
      <c r="E4050" s="21">
        <f>IF(D4050="?OLD","!!!","")</f>
        <v/>
      </c>
      <c r="F4050" s="22" t="str">
        <f>IF(OR(E4050="",E4050="!!!"),"",IF(NOT(ISNA(VLOOKUP(E4050,E$1:E4049,1,FALSE()))),"OLD",IF(AND(E4050&lt;&gt;"",E4050&lt;&gt;"!!!"),"NEW","")))</f>
        <v> </v>
      </c>
      <c r="G4050" s="23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4" t="str">
        <f>IF(J4050&lt;&gt;1,"",IF(I4050="SBJ","CB","?"))</f>
        <v> </v>
      </c>
      <c r="I4050" s="25" t="str">
        <f>IF(OR(E4050="",E4050="!!!",F4050="NEW"),"",INDEX(B4049:B$2,-1+SUMPRODUCT(MAX(ROW(E4049:E$2)*(E4050=E4049:E$2)))))</f>
        <v> </v>
      </c>
      <c r="J4050" s="25" t="str">
        <f>IF(OR(E4050="",E4050="!!!",F4050="NEW"),"",COUNTBLANK(OFFSET(A$1,,,SUMPRODUCT(MAX(ROW(E$2:E4050)*(E4050=E$2:E4050)))))-COUNTBLANK(OFFSET(A$1,,,SUMPRODUCT(MAX(ROW(E$1:E4049)*(E2=E$1:E4049))))))</f>
        <v> </v>
      </c>
      <c r="K4050" s="25" t="str">
        <f>IF(OR(E4050="",E4050="!!!",F4050="NEW"),"",INDEX(J$1:J4049,SUMPRODUCT(MAX(ROW(E$1:E4049)*(E4050=E$1:E4049)))))</f>
        <v> </v>
      </c>
      <c r="L4050" s="26"/>
    </row>
    <row r="4051" spans="1:12">
      <c r="A4051" s="20" t="s">
        <v>1826</v>
      </c>
      <c r="E4051" s="21">
        <f>IF(D4051="?OLD","!!!","")</f>
        <v/>
      </c>
      <c r="F4051" s="22" t="str">
        <f>IF(OR(E4051="",E4051="!!!"),"",IF(NOT(ISNA(VLOOKUP(E4051,E$1:E4050,1,FALSE()))),"OLD",IF(AND(E4051&lt;&gt;"",E4051&lt;&gt;"!!!"),"NEW","")))</f>
        <v> </v>
      </c>
      <c r="G4051" s="23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4" t="str">
        <f>IF(J4051&lt;&gt;1,"",IF(I4051="SBJ","CB","?"))</f>
        <v> </v>
      </c>
      <c r="I4051" s="25" t="str">
        <f>IF(OR(E4051="",E4051="!!!",F4051="NEW"),"",INDEX(B4050:B$2,-1+SUMPRODUCT(MAX(ROW(E4050:E$2)*(E4051=E4050:E$2)))))</f>
        <v> </v>
      </c>
      <c r="J4051" s="25" t="str">
        <f>IF(OR(E4051="",E4051="!!!",F4051="NEW"),"",COUNTBLANK(OFFSET(A$1,,,SUMPRODUCT(MAX(ROW(E$2:E4051)*(E4051=E$2:E4051)))))-COUNTBLANK(OFFSET(A$1,,,SUMPRODUCT(MAX(ROW(E$1:E4050)*(E2=E$1:E4050))))))</f>
        <v> </v>
      </c>
      <c r="K4051" s="25" t="str">
        <f>IF(OR(E4051="",E4051="!!!",F4051="NEW"),"",INDEX(J$1:J4050,SUMPRODUCT(MAX(ROW(E$1:E4050)*(E4051=E$1:E4050)))))</f>
        <v> </v>
      </c>
      <c r="L4051" s="26"/>
    </row>
    <row r="4052" spans="1:12">
      <c r="A4052" s="20" t="s">
        <v>2722</v>
      </c>
      <c r="E4052" s="21">
        <f>IF(D4052="?OLD","!!!","")</f>
        <v/>
      </c>
      <c r="F4052" s="22" t="str">
        <f>IF(OR(E4052="",E4052="!!!"),"",IF(NOT(ISNA(VLOOKUP(E4052,E$1:E4051,1,FALSE()))),"OLD",IF(AND(E4052&lt;&gt;"",E4052&lt;&gt;"!!!"),"NEW","")))</f>
        <v> </v>
      </c>
      <c r="G4052" s="23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4" t="str">
        <f>IF(J4052&lt;&gt;1,"",IF(I4052="SBJ","CB","?"))</f>
        <v> </v>
      </c>
      <c r="I4052" s="25" t="str">
        <f>IF(OR(E4052="",E4052="!!!",F4052="NEW"),"",INDEX(B4051:B$2,-1+SUMPRODUCT(MAX(ROW(E4051:E$2)*(E4052=E4051:E$2)))))</f>
        <v> </v>
      </c>
      <c r="J4052" s="25" t="str">
        <f>IF(OR(E4052="",E4052="!!!",F4052="NEW"),"",COUNTBLANK(OFFSET(A$1,,,SUMPRODUCT(MAX(ROW(E$2:E4052)*(E4052=E$2:E4052)))))-COUNTBLANK(OFFSET(A$1,,,SUMPRODUCT(MAX(ROW(E$1:E4051)*(E2=E$1:E4051))))))</f>
        <v> </v>
      </c>
      <c r="K4052" s="25" t="str">
        <f>IF(OR(E4052="",E4052="!!!",F4052="NEW"),"",INDEX(J$1:J4051,SUMPRODUCT(MAX(ROW(E$1:E4051)*(E4052=E$1:E4051)))))</f>
        <v> </v>
      </c>
      <c r="L4052" s="26"/>
    </row>
    <row r="4053" spans="1:12">
      <c r="A4053" s="20" t="s">
        <v>1419</v>
      </c>
      <c r="E4053" s="21">
        <f>IF(D4053="?OLD","!!!","")</f>
        <v/>
      </c>
      <c r="F4053" s="22" t="str">
        <f>IF(OR(E4053="",E4053="!!!"),"",IF(NOT(ISNA(VLOOKUP(E4053,E$1:E4052,1,FALSE()))),"OLD",IF(AND(E4053&lt;&gt;"",E4053&lt;&gt;"!!!"),"NEW","")))</f>
        <v> </v>
      </c>
      <c r="G4053" s="23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4" t="str">
        <f>IF(J4053&lt;&gt;1,"",IF(I4053="SBJ","CB","?"))</f>
        <v> </v>
      </c>
      <c r="I4053" s="25" t="str">
        <f>IF(OR(E4053="",E4053="!!!",F4053="NEW"),"",INDEX(B4052:B$2,-1+SUMPRODUCT(MAX(ROW(E4052:E$2)*(E4053=E4052:E$2)))))</f>
        <v> </v>
      </c>
      <c r="J4053" s="25" t="str">
        <f>IF(OR(E4053="",E4053="!!!",F4053="NEW"),"",COUNTBLANK(OFFSET(A$1,,,SUMPRODUCT(MAX(ROW(E$2:E4053)*(E4053=E$2:E4053)))))-COUNTBLANK(OFFSET(A$1,,,SUMPRODUCT(MAX(ROW(E$1:E4052)*(E2=E$1:E4052))))))</f>
        <v> </v>
      </c>
      <c r="K4053" s="25" t="str">
        <f>IF(OR(E4053="",E4053="!!!",F4053="NEW"),"",INDEX(J$1:J4052,SUMPRODUCT(MAX(ROW(E$1:E4052)*(E4053=E$1:E4052)))))</f>
        <v> </v>
      </c>
      <c r="L4053" s="26"/>
    </row>
    <row r="4054" spans="1:12">
      <c r="A4054" s="20" t="s">
        <v>1436</v>
      </c>
      <c r="B4054" s="27" t="s">
        <v>1136</v>
      </c>
      <c r="C4054" s="27" t="s">
        <v>1025</v>
      </c>
      <c r="D4054" s="27" t="s">
        <v>1026</v>
      </c>
      <c r="E4054" s="21">
        <f>IF(D4054="?OLD","!!!","")</f>
        <v/>
      </c>
      <c r="F4054" s="22" t="str">
        <f>IF(OR(E4054="",E4054="!!!"),"",IF(NOT(ISNA(VLOOKUP(E4054,E$1:E4053,1,FALSE()))),"OLD",IF(AND(E4054&lt;&gt;"",E4054&lt;&gt;"!!!"),"NEW","")))</f>
        <v> </v>
      </c>
      <c r="G4054" s="23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4" t="str">
        <f>IF(J4054&lt;&gt;1,"",IF(I4054="SBJ","CB","?"))</f>
        <v> </v>
      </c>
      <c r="I4054" s="25" t="str">
        <f>IF(OR(E4054="",E4054="!!!",F4054="NEW"),"",INDEX(B4053:B$2,-1+SUMPRODUCT(MAX(ROW(E4053:E$2)*(E4054=E4053:E$2)))))</f>
        <v> </v>
      </c>
      <c r="J4054" s="25" t="str">
        <f>IF(OR(E4054="",E4054="!!!",F4054="NEW"),"",COUNTBLANK(OFFSET(A$1,,,SUMPRODUCT(MAX(ROW(E$2:E4054)*(E4054=E$2:E4054)))))-COUNTBLANK(OFFSET(A$1,,,SUMPRODUCT(MAX(ROW(E$1:E4053)*(E2=E$1:E4053))))))</f>
        <v> </v>
      </c>
      <c r="K4054" s="25" t="str">
        <f>IF(OR(E4054="",E4054="!!!",F4054="NEW"),"",INDEX(J$1:J4053,SUMPRODUCT(MAX(ROW(E$1:E4053)*(E4054=E$1:E4053)))))</f>
        <v> </v>
      </c>
      <c r="L4054" s="26"/>
    </row>
    <row r="4055" spans="1:12">
      <c r="A4055" s="20" t="s">
        <v>2723</v>
      </c>
      <c r="E4055" s="21">
        <f>IF(D4055="?OLD","!!!","")</f>
        <v/>
      </c>
      <c r="F4055" s="22" t="str">
        <f>IF(OR(E4055="",E4055="!!!"),"",IF(NOT(ISNA(VLOOKUP(E4055,E$1:E4054,1,FALSE()))),"OLD",IF(AND(E4055&lt;&gt;"",E4055&lt;&gt;"!!!"),"NEW","")))</f>
        <v> </v>
      </c>
      <c r="G4055" s="23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4" t="str">
        <f>IF(J4055&lt;&gt;1,"",IF(I4055="SBJ","CB","?"))</f>
        <v> </v>
      </c>
      <c r="I4055" s="25" t="str">
        <f>IF(OR(E4055="",E4055="!!!",F4055="NEW"),"",INDEX(B4054:B$2,-1+SUMPRODUCT(MAX(ROW(E4054:E$2)*(E4055=E4054:E$2)))))</f>
        <v> </v>
      </c>
      <c r="J4055" s="25" t="str">
        <f>IF(OR(E4055="",E4055="!!!",F4055="NEW"),"",COUNTBLANK(OFFSET(A$1,,,SUMPRODUCT(MAX(ROW(E$2:E4055)*(E4055=E$2:E4055)))))-COUNTBLANK(OFFSET(A$1,,,SUMPRODUCT(MAX(ROW(E$1:E4054)*(E2=E$1:E4054))))))</f>
        <v> </v>
      </c>
      <c r="K4055" s="25" t="str">
        <f>IF(OR(E4055="",E4055="!!!",F4055="NEW"),"",INDEX(J$1:J4054,SUMPRODUCT(MAX(ROW(E$1:E4054)*(E4055=E$1:E4054)))))</f>
        <v> </v>
      </c>
      <c r="L4055" s="26"/>
    </row>
    <row r="4056" spans="1:12">
      <c r="A4056" s="20" t="s">
        <v>2724</v>
      </c>
      <c r="B4056" s="27" t="s">
        <v>1409</v>
      </c>
      <c r="C4056" s="27" t="s">
        <v>1025</v>
      </c>
      <c r="D4056" s="27" t="s">
        <v>1026</v>
      </c>
      <c r="E4056" s="21">
        <f>IF(D4056="?OLD","!!!","")</f>
        <v/>
      </c>
      <c r="F4056" s="22" t="str">
        <f>IF(OR(E4056="",E4056="!!!"),"",IF(NOT(ISNA(VLOOKUP(E4056,E$1:E4055,1,FALSE()))),"OLD",IF(AND(E4056&lt;&gt;"",E4056&lt;&gt;"!!!"),"NEW","")))</f>
        <v> </v>
      </c>
      <c r="G4056" s="23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4" t="str">
        <f>IF(J4056&lt;&gt;1,"",IF(I4056="SBJ","CB","?"))</f>
        <v> </v>
      </c>
      <c r="I4056" s="25" t="str">
        <f>IF(OR(E4056="",E4056="!!!",F4056="NEW"),"",INDEX(B4055:B$2,-1+SUMPRODUCT(MAX(ROW(E4055:E$2)*(E4056=E4055:E$2)))))</f>
        <v> </v>
      </c>
      <c r="J4056" s="25" t="str">
        <f>IF(OR(E4056="",E4056="!!!",F4056="NEW"),"",COUNTBLANK(OFFSET(A$1,,,SUMPRODUCT(MAX(ROW(E$2:E4056)*(E4056=E$2:E4056)))))-COUNTBLANK(OFFSET(A$1,,,SUMPRODUCT(MAX(ROW(E$1:E4055)*(E2=E$1:E4055))))))</f>
        <v> </v>
      </c>
      <c r="K4056" s="25" t="str">
        <f>IF(OR(E4056="",E4056="!!!",F4056="NEW"),"",INDEX(J$1:J4055,SUMPRODUCT(MAX(ROW(E$1:E4055)*(E4056=E$1:E4055)))))</f>
        <v> </v>
      </c>
      <c r="L4056" s="26"/>
    </row>
    <row r="4057" spans="1:12">
      <c r="A4057" s="20" t="s">
        <v>1307</v>
      </c>
      <c r="E4057" s="21">
        <f>IF(D4057="?OLD","!!!","")</f>
        <v/>
      </c>
      <c r="F4057" s="22" t="str">
        <f>IF(OR(E4057="",E4057="!!!"),"",IF(NOT(ISNA(VLOOKUP(E4057,E$1:E4056,1,FALSE()))),"OLD",IF(AND(E4057&lt;&gt;"",E4057&lt;&gt;"!!!"),"NEW","")))</f>
        <v> </v>
      </c>
      <c r="G4057" s="23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4" t="str">
        <f>IF(J4057&lt;&gt;1,"",IF(I4057="SBJ","CB","?"))</f>
        <v> </v>
      </c>
      <c r="I4057" s="25" t="str">
        <f>IF(OR(E4057="",E4057="!!!",F4057="NEW"),"",INDEX(B4056:B$2,-1+SUMPRODUCT(MAX(ROW(E4056:E$2)*(E4057=E4056:E$2)))))</f>
        <v> </v>
      </c>
      <c r="J4057" s="25" t="str">
        <f>IF(OR(E4057="",E4057="!!!",F4057="NEW"),"",COUNTBLANK(OFFSET(A$1,,,SUMPRODUCT(MAX(ROW(E$2:E4057)*(E4057=E$2:E4057)))))-COUNTBLANK(OFFSET(A$1,,,SUMPRODUCT(MAX(ROW(E$1:E4056)*(E2=E$1:E4056))))))</f>
        <v> </v>
      </c>
      <c r="K4057" s="25" t="str">
        <f>IF(OR(E4057="",E4057="!!!",F4057="NEW"),"",INDEX(J$1:J4056,SUMPRODUCT(MAX(ROW(E$1:E4056)*(E4057=E$1:E4056)))))</f>
        <v> </v>
      </c>
      <c r="L4057" s="26"/>
    </row>
    <row r="4058" spans="1:12">
      <c r="A4058" s="20"/>
    </row>
    <row r="4059" spans="1:12">
      <c r="A4059" s="20" t="s">
        <v>2725</v>
      </c>
    </row>
    <row r="4060" spans="1:12">
      <c r="A4060" s="20" t="s">
        <v>752</v>
      </c>
      <c r="B4060" s="27" t="s">
        <v>1080</v>
      </c>
      <c r="C4060" s="27" t="s">
        <v>1075</v>
      </c>
      <c r="D4060" s="27" t="s">
        <v>1026</v>
      </c>
      <c r="E4060" s="21">
        <f>IF(D4060="?OLD","!!!","")</f>
        <v/>
      </c>
      <c r="F4060" s="22" t="str">
        <f>IF(OR(E4060="",E4060="!!!"),"",IF(NOT(ISNA(VLOOKUP(E4060,E$1:E4059,1,FALSE()))),"OLD",IF(AND(E4060&lt;&gt;"",E4060&lt;&gt;"!!!"),"NEW","")))</f>
        <v> </v>
      </c>
      <c r="G4060" s="23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4" t="str">
        <f>IF(J4060&lt;&gt;1,"",IF(I4060="SBJ","CB","?"))</f>
        <v> </v>
      </c>
      <c r="I4060" s="25" t="str">
        <f>IF(OR(E4060="",E4060="!!!",F4060="NEW"),"",INDEX(B4059:B$2,-1+SUMPRODUCT(MAX(ROW(E4059:E$2)*(E4060=E4059:E$2)))))</f>
        <v> </v>
      </c>
      <c r="J4060" s="25" t="str">
        <f>IF(OR(E4060="",E4060="!!!",F4060="NEW"),"",COUNTBLANK(OFFSET(A$1,,,SUMPRODUCT(MAX(ROW(E$2:E4060)*(E4060=E$2:E4060)))))-COUNTBLANK(OFFSET(A$1,,,SUMPRODUCT(MAX(ROW(E$1:E4059)*(E2=E$1:E4059))))))</f>
        <v> </v>
      </c>
      <c r="K4060" s="25" t="str">
        <f>IF(OR(E4060="",E4060="!!!",F4060="NEW"),"",INDEX(J$1:J4059,SUMPRODUCT(MAX(ROW(E$1:E4059)*(E4060=E$1:E4059)))))</f>
        <v> </v>
      </c>
      <c r="L4060" s="26"/>
    </row>
    <row r="4061" spans="1:12">
      <c r="A4061" s="20" t="s">
        <v>2548</v>
      </c>
      <c r="B4061" s="27" t="s">
        <v>1080</v>
      </c>
      <c r="C4061" s="27" t="s">
        <v>1075</v>
      </c>
      <c r="D4061" s="27" t="s">
        <v>1026</v>
      </c>
      <c r="E4061" s="21">
        <f>IF(D4061="?OLD","!!!","")</f>
        <v/>
      </c>
      <c r="F4061" s="22" t="str">
        <f>IF(OR(E4061="",E4061="!!!"),"",IF(NOT(ISNA(VLOOKUP(E4061,E$1:E4060,1,FALSE()))),"OLD",IF(AND(E4061&lt;&gt;"",E4061&lt;&gt;"!!!"),"NEW","")))</f>
        <v> </v>
      </c>
      <c r="G4061" s="23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4" t="str">
        <f>IF(J4061&lt;&gt;1,"",IF(I4061="SBJ","CB","?"))</f>
        <v> </v>
      </c>
      <c r="I4061" s="25" t="str">
        <f>IF(OR(E4061="",E4061="!!!",F4061="NEW"),"",INDEX(B4060:B$2,-1+SUMPRODUCT(MAX(ROW(E4060:E$2)*(E4061=E4060:E$2)))))</f>
        <v> </v>
      </c>
      <c r="J4061" s="25" t="str">
        <f>IF(OR(E4061="",E4061="!!!",F4061="NEW"),"",COUNTBLANK(OFFSET(A$1,,,SUMPRODUCT(MAX(ROW(E$2:E4061)*(E4061=E$2:E4061)))))-COUNTBLANK(OFFSET(A$1,,,SUMPRODUCT(MAX(ROW(E$1:E4060)*(E2=E$1:E4060))))))</f>
        <v> </v>
      </c>
      <c r="K4061" s="25" t="str">
        <f>IF(OR(E4061="",E4061="!!!",F4061="NEW"),"",INDEX(J$1:J4060,SUMPRODUCT(MAX(ROW(E$1:E4060)*(E4061=E$1:E4060)))))</f>
        <v> </v>
      </c>
      <c r="L4061" s="26"/>
    </row>
    <row r="4062" spans="1:12">
      <c r="A4062" s="20" t="s">
        <v>1222</v>
      </c>
      <c r="E4062" s="21">
        <f>IF(D4062="?OLD","!!!","")</f>
        <v/>
      </c>
      <c r="F4062" s="22" t="str">
        <f>IF(OR(E4062="",E4062="!!!"),"",IF(NOT(ISNA(VLOOKUP(E4062,E$1:E4061,1,FALSE()))),"OLD",IF(AND(E4062&lt;&gt;"",E4062&lt;&gt;"!!!"),"NEW","")))</f>
        <v> </v>
      </c>
      <c r="G4062" s="23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4" t="str">
        <f>IF(J4062&lt;&gt;1,"",IF(I4062="SBJ","CB","?"))</f>
        <v> </v>
      </c>
      <c r="I4062" s="25" t="str">
        <f>IF(OR(E4062="",E4062="!!!",F4062="NEW"),"",INDEX(B4061:B$2,-1+SUMPRODUCT(MAX(ROW(E4061:E$2)*(E4062=E4061:E$2)))))</f>
        <v> </v>
      </c>
      <c r="J4062" s="25" t="str">
        <f>IF(OR(E4062="",E4062="!!!",F4062="NEW"),"",COUNTBLANK(OFFSET(A$1,,,SUMPRODUCT(MAX(ROW(E$2:E4062)*(E4062=E$2:E4062)))))-COUNTBLANK(OFFSET(A$1,,,SUMPRODUCT(MAX(ROW(E$1:E4061)*(E2=E$1:E4061))))))</f>
        <v> </v>
      </c>
      <c r="K4062" s="25" t="str">
        <f>IF(OR(E4062="",E4062="!!!",F4062="NEW"),"",INDEX(J$1:J4061,SUMPRODUCT(MAX(ROW(E$1:E4061)*(E4062=E$1:E4061)))))</f>
        <v> </v>
      </c>
      <c r="L4062" s="26"/>
    </row>
    <row r="4063" spans="1:12">
      <c r="A4063" s="20" t="s">
        <v>2726</v>
      </c>
      <c r="B4063" s="27" t="s">
        <v>1082</v>
      </c>
      <c r="E4063" s="21">
        <f>IF(D4063="?OLD","!!!","")</f>
        <v/>
      </c>
      <c r="F4063" s="22" t="str">
        <f>IF(OR(E4063="",E4063="!!!"),"",IF(NOT(ISNA(VLOOKUP(E4063,E$1:E4062,1,FALSE()))),"OLD",IF(AND(E4063&lt;&gt;"",E4063&lt;&gt;"!!!"),"NEW","")))</f>
        <v> </v>
      </c>
      <c r="G4063" s="23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4" t="str">
        <f>IF(J4063&lt;&gt;1,"",IF(I4063="SBJ","CB","?"))</f>
        <v> </v>
      </c>
      <c r="I4063" s="25" t="str">
        <f>IF(OR(E4063="",E4063="!!!",F4063="NEW"),"",INDEX(B4062:B$2,-1+SUMPRODUCT(MAX(ROW(E4062:E$2)*(E4063=E4062:E$2)))))</f>
        <v> </v>
      </c>
      <c r="J4063" s="25" t="str">
        <f>IF(OR(E4063="",E4063="!!!",F4063="NEW"),"",COUNTBLANK(OFFSET(A$1,,,SUMPRODUCT(MAX(ROW(E$2:E4063)*(E4063=E$2:E4063)))))-COUNTBLANK(OFFSET(A$1,,,SUMPRODUCT(MAX(ROW(E$1:E4062)*(E2=E$1:E4062))))))</f>
        <v> </v>
      </c>
      <c r="K4063" s="25" t="str">
        <f>IF(OR(E4063="",E4063="!!!",F4063="NEW"),"",INDEX(J$1:J4062,SUMPRODUCT(MAX(ROW(E$1:E4062)*(E4063=E$1:E4062)))))</f>
        <v> </v>
      </c>
      <c r="L4063" s="26"/>
    </row>
    <row r="4064" spans="1:12">
      <c r="A4064" s="20" t="s">
        <v>2727</v>
      </c>
      <c r="E4064" s="21">
        <f>IF(D4064="?OLD","!!!","")</f>
        <v/>
      </c>
      <c r="F4064" s="22" t="str">
        <f>IF(OR(E4064="",E4064="!!!"),"",IF(NOT(ISNA(VLOOKUP(E4064,E$1:E4063,1,FALSE()))),"OLD",IF(AND(E4064&lt;&gt;"",E4064&lt;&gt;"!!!"),"NEW","")))</f>
        <v> </v>
      </c>
      <c r="G4064" s="23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4" t="str">
        <f>IF(J4064&lt;&gt;1,"",IF(I4064="SBJ","CB","?"))</f>
        <v> </v>
      </c>
      <c r="I4064" s="25" t="str">
        <f>IF(OR(E4064="",E4064="!!!",F4064="NEW"),"",INDEX(B4063:B$2,-1+SUMPRODUCT(MAX(ROW(E4063:E$2)*(E4064=E4063:E$2)))))</f>
        <v> </v>
      </c>
      <c r="J4064" s="25" t="str">
        <f>IF(OR(E4064="",E4064="!!!",F4064="NEW"),"",COUNTBLANK(OFFSET(A$1,,,SUMPRODUCT(MAX(ROW(E$2:E4064)*(E4064=E$2:E4064)))))-COUNTBLANK(OFFSET(A$1,,,SUMPRODUCT(MAX(ROW(E$1:E4063)*(E2=E$1:E4063))))))</f>
        <v> </v>
      </c>
      <c r="K4064" s="25" t="str">
        <f>IF(OR(E4064="",E4064="!!!",F4064="NEW"),"",INDEX(J$1:J4063,SUMPRODUCT(MAX(ROW(E$1:E4063)*(E4064=E$1:E4063)))))</f>
        <v> </v>
      </c>
      <c r="L4064" s="26"/>
    </row>
    <row r="4065" spans="1:12">
      <c r="A4065" s="20" t="s">
        <v>1050</v>
      </c>
      <c r="E4065" s="21">
        <f>IF(D4065="?OLD","!!!","")</f>
        <v/>
      </c>
      <c r="F4065" s="22" t="str">
        <f>IF(OR(E4065="",E4065="!!!"),"",IF(NOT(ISNA(VLOOKUP(E4065,E$1:E4064,1,FALSE()))),"OLD",IF(AND(E4065&lt;&gt;"",E4065&lt;&gt;"!!!"),"NEW","")))</f>
        <v> </v>
      </c>
      <c r="G4065" s="23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4" t="str">
        <f>IF(J4065&lt;&gt;1,"",IF(I4065="SBJ","CB","?"))</f>
        <v> </v>
      </c>
      <c r="I4065" s="25" t="str">
        <f>IF(OR(E4065="",E4065="!!!",F4065="NEW"),"",INDEX(B4064:B$2,-1+SUMPRODUCT(MAX(ROW(E4064:E$2)*(E4065=E4064:E$2)))))</f>
        <v> </v>
      </c>
      <c r="J4065" s="25" t="str">
        <f>IF(OR(E4065="",E4065="!!!",F4065="NEW"),"",COUNTBLANK(OFFSET(A$1,,,SUMPRODUCT(MAX(ROW(E$2:E4065)*(E4065=E$2:E4065)))))-COUNTBLANK(OFFSET(A$1,,,SUMPRODUCT(MAX(ROW(E$1:E4064)*(E2=E$1:E4064))))))</f>
        <v> </v>
      </c>
      <c r="K4065" s="25" t="str">
        <f>IF(OR(E4065="",E4065="!!!",F4065="NEW"),"",INDEX(J$1:J4064,SUMPRODUCT(MAX(ROW(E$1:E4064)*(E4065=E$1:E4064)))))</f>
        <v> </v>
      </c>
      <c r="L4065" s="26"/>
    </row>
    <row r="4066" spans="1:12">
      <c r="A4066" s="20" t="s">
        <v>2093</v>
      </c>
      <c r="E4066" s="21">
        <f>IF(D4066="?OLD","!!!","")</f>
        <v/>
      </c>
      <c r="F4066" s="22" t="str">
        <f>IF(OR(E4066="",E4066="!!!"),"",IF(NOT(ISNA(VLOOKUP(E4066,E$1:E4065,1,FALSE()))),"OLD",IF(AND(E4066&lt;&gt;"",E4066&lt;&gt;"!!!"),"NEW","")))</f>
        <v> </v>
      </c>
      <c r="G4066" s="23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4" t="str">
        <f>IF(J4066&lt;&gt;1,"",IF(I4066="SBJ","CB","?"))</f>
        <v> </v>
      </c>
      <c r="I4066" s="25" t="str">
        <f>IF(OR(E4066="",E4066="!!!",F4066="NEW"),"",INDEX(B4065:B$2,-1+SUMPRODUCT(MAX(ROW(E4065:E$2)*(E4066=E4065:E$2)))))</f>
        <v> </v>
      </c>
      <c r="J4066" s="25" t="str">
        <f>IF(OR(E4066="",E4066="!!!",F4066="NEW"),"",COUNTBLANK(OFFSET(A$1,,,SUMPRODUCT(MAX(ROW(E$2:E4066)*(E4066=E$2:E4066)))))-COUNTBLANK(OFFSET(A$1,,,SUMPRODUCT(MAX(ROW(E$1:E4065)*(E2=E$1:E4065))))))</f>
        <v> </v>
      </c>
      <c r="K4066" s="25" t="str">
        <f>IF(OR(E4066="",E4066="!!!",F4066="NEW"),"",INDEX(J$1:J4065,SUMPRODUCT(MAX(ROW(E$1:E4065)*(E4066=E$1:E4065)))))</f>
        <v> </v>
      </c>
      <c r="L4066" s="26"/>
    </row>
    <row r="4067" spans="1:12">
      <c r="A4067" s="20" t="s">
        <v>1159</v>
      </c>
      <c r="E4067" s="21">
        <f>IF(D4067="?OLD","!!!","")</f>
        <v/>
      </c>
      <c r="F4067" s="22" t="str">
        <f>IF(OR(E4067="",E4067="!!!"),"",IF(NOT(ISNA(VLOOKUP(E4067,E$1:E4066,1,FALSE()))),"OLD",IF(AND(E4067&lt;&gt;"",E4067&lt;&gt;"!!!"),"NEW","")))</f>
        <v> </v>
      </c>
      <c r="G4067" s="23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4" t="str">
        <f>IF(J4067&lt;&gt;1,"",IF(I4067="SBJ","CB","?"))</f>
        <v> </v>
      </c>
      <c r="I4067" s="25" t="str">
        <f>IF(OR(E4067="",E4067="!!!",F4067="NEW"),"",INDEX(B4066:B$2,-1+SUMPRODUCT(MAX(ROW(E4066:E$2)*(E4067=E4066:E$2)))))</f>
        <v> </v>
      </c>
      <c r="J4067" s="25" t="str">
        <f>IF(OR(E4067="",E4067="!!!",F4067="NEW"),"",COUNTBLANK(OFFSET(A$1,,,SUMPRODUCT(MAX(ROW(E$2:E4067)*(E4067=E$2:E4067)))))-COUNTBLANK(OFFSET(A$1,,,SUMPRODUCT(MAX(ROW(E$1:E4066)*(E2=E$1:E4066))))))</f>
        <v> </v>
      </c>
      <c r="K4067" s="25" t="str">
        <f>IF(OR(E4067="",E4067="!!!",F4067="NEW"),"",INDEX(J$1:J4066,SUMPRODUCT(MAX(ROW(E$1:E4066)*(E4067=E$1:E4066)))))</f>
        <v> </v>
      </c>
      <c r="L4067" s="26"/>
    </row>
    <row r="4068" spans="1:12">
      <c r="A4068" s="20" t="s">
        <v>2728</v>
      </c>
      <c r="E4068" s="21">
        <f>IF(D4068="?OLD","!!!","")</f>
        <v/>
      </c>
      <c r="F4068" s="22" t="str">
        <f>IF(OR(E4068="",E4068="!!!"),"",IF(NOT(ISNA(VLOOKUP(E4068,E$1:E4067,1,FALSE()))),"OLD",IF(AND(E4068&lt;&gt;"",E4068&lt;&gt;"!!!"),"NEW","")))</f>
        <v> </v>
      </c>
      <c r="G4068" s="23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4" t="str">
        <f>IF(J4068&lt;&gt;1,"",IF(I4068="SBJ","CB","?"))</f>
        <v> </v>
      </c>
      <c r="I4068" s="25" t="str">
        <f>IF(OR(E4068="",E4068="!!!",F4068="NEW"),"",INDEX(B4067:B$2,-1+SUMPRODUCT(MAX(ROW(E4067:E$2)*(E4068=E4067:E$2)))))</f>
        <v> </v>
      </c>
      <c r="J4068" s="25" t="str">
        <f>IF(OR(E4068="",E4068="!!!",F4068="NEW"),"",COUNTBLANK(OFFSET(A$1,,,SUMPRODUCT(MAX(ROW(E$2:E4068)*(E4068=E$2:E4068)))))-COUNTBLANK(OFFSET(A$1,,,SUMPRODUCT(MAX(ROW(E$1:E4067)*(E2=E$1:E4067))))))</f>
        <v> </v>
      </c>
      <c r="K4068" s="25" t="str">
        <f>IF(OR(E4068="",E4068="!!!",F4068="NEW"),"",INDEX(J$1:J4067,SUMPRODUCT(MAX(ROW(E$1:E4067)*(E4068=E$1:E4067)))))</f>
        <v> </v>
      </c>
      <c r="L4068" s="26"/>
    </row>
    <row r="4069" spans="1:12">
      <c r="A4069" s="20" t="s">
        <v>1078</v>
      </c>
      <c r="E4069" s="21">
        <f>IF(D4069="?OLD","!!!","")</f>
        <v/>
      </c>
      <c r="F4069" s="22" t="str">
        <f>IF(OR(E4069="",E4069="!!!"),"",IF(NOT(ISNA(VLOOKUP(E4069,E$1:E4068,1,FALSE()))),"OLD",IF(AND(E4069&lt;&gt;"",E4069&lt;&gt;"!!!"),"NEW","")))</f>
        <v> </v>
      </c>
      <c r="G4069" s="23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4" t="str">
        <f>IF(J4069&lt;&gt;1,"",IF(I4069="SBJ","CB","?"))</f>
        <v> </v>
      </c>
      <c r="I4069" s="25" t="str">
        <f>IF(OR(E4069="",E4069="!!!",F4069="NEW"),"",INDEX(B4068:B$2,-1+SUMPRODUCT(MAX(ROW(E4068:E$2)*(E4069=E4068:E$2)))))</f>
        <v> </v>
      </c>
      <c r="J4069" s="25" t="str">
        <f>IF(OR(E4069="",E4069="!!!",F4069="NEW"),"",COUNTBLANK(OFFSET(A$1,,,SUMPRODUCT(MAX(ROW(E$2:E4069)*(E4069=E$2:E4069)))))-COUNTBLANK(OFFSET(A$1,,,SUMPRODUCT(MAX(ROW(E$1:E4068)*(E2=E$1:E4068))))))</f>
        <v> </v>
      </c>
      <c r="K4069" s="25" t="str">
        <f>IF(OR(E4069="",E4069="!!!",F4069="NEW"),"",INDEX(J$1:J4068,SUMPRODUCT(MAX(ROW(E$1:E4068)*(E4069=E$1:E4068)))))</f>
        <v> </v>
      </c>
      <c r="L4069" s="26"/>
    </row>
    <row r="4070" spans="1:12">
      <c r="A4070" s="20" t="s">
        <v>1032</v>
      </c>
      <c r="E4070" s="21">
        <f>IF(D4070="?OLD","!!!","")</f>
        <v/>
      </c>
      <c r="F4070" s="22" t="str">
        <f>IF(OR(E4070="",E4070="!!!"),"",IF(NOT(ISNA(VLOOKUP(E4070,E$1:E4069,1,FALSE()))),"OLD",IF(AND(E4070&lt;&gt;"",E4070&lt;&gt;"!!!"),"NEW","")))</f>
        <v> </v>
      </c>
      <c r="G4070" s="23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4" t="str">
        <f>IF(J4070&lt;&gt;1,"",IF(I4070="SBJ","CB","?"))</f>
        <v> </v>
      </c>
      <c r="I4070" s="25" t="str">
        <f>IF(OR(E4070="",E4070="!!!",F4070="NEW"),"",INDEX(B4069:B$2,-1+SUMPRODUCT(MAX(ROW(E4069:E$2)*(E4070=E4069:E$2)))))</f>
        <v> </v>
      </c>
      <c r="J4070" s="25" t="str">
        <f>IF(OR(E4070="",E4070="!!!",F4070="NEW"),"",COUNTBLANK(OFFSET(A$1,,,SUMPRODUCT(MAX(ROW(E$2:E4070)*(E4070=E$2:E4070)))))-COUNTBLANK(OFFSET(A$1,,,SUMPRODUCT(MAX(ROW(E$1:E4069)*(E2=E$1:E4069))))))</f>
        <v> </v>
      </c>
      <c r="K4070" s="25" t="str">
        <f>IF(OR(E4070="",E4070="!!!",F4070="NEW"),"",INDEX(J$1:J4069,SUMPRODUCT(MAX(ROW(E$1:E4069)*(E4070=E$1:E4069)))))</f>
        <v> </v>
      </c>
      <c r="L4070" s="26"/>
    </row>
    <row r="4071" spans="1:12">
      <c r="A4071" s="20"/>
    </row>
    <row r="4072" spans="1:12">
      <c r="A4072" s="20" t="s">
        <v>2729</v>
      </c>
    </row>
    <row r="4073" spans="1:12">
      <c r="A4073" s="20" t="s">
        <v>2380</v>
      </c>
      <c r="B4073" s="27" t="s">
        <v>1082</v>
      </c>
      <c r="C4073" s="27" t="s">
        <v>1025</v>
      </c>
      <c r="D4073" s="27" t="s">
        <v>1026</v>
      </c>
      <c r="E4073" s="21">
        <f>IF(D4073="?OLD","!!!","")</f>
        <v/>
      </c>
      <c r="F4073" s="22" t="str">
        <f>IF(OR(E4073="",E4073="!!!"),"",IF(NOT(ISNA(VLOOKUP(E4073,E$1:E4072,1,FALSE()))),"OLD",IF(AND(E4073&lt;&gt;"",E4073&lt;&gt;"!!!"),"NEW","")))</f>
        <v> </v>
      </c>
      <c r="G4073" s="23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4" t="str">
        <f>IF(J4073&lt;&gt;1,"",IF(I4073="SBJ","CB","?"))</f>
        <v> </v>
      </c>
      <c r="I4073" s="25" t="str">
        <f>IF(OR(E4073="",E4073="!!!",F4073="NEW"),"",INDEX(B4072:B$2,-1+SUMPRODUCT(MAX(ROW(E4072:E$2)*(E4073=E4072:E$2)))))</f>
        <v> </v>
      </c>
      <c r="J4073" s="25" t="str">
        <f>IF(OR(E4073="",E4073="!!!",F4073="NEW"),"",COUNTBLANK(OFFSET(A$1,,,SUMPRODUCT(MAX(ROW(E$2:E4073)*(E4073=E$2:E4073)))))-COUNTBLANK(OFFSET(A$1,,,SUMPRODUCT(MAX(ROW(E$1:E4072)*(E2=E$1:E4072))))))</f>
        <v> </v>
      </c>
      <c r="K4073" s="25" t="str">
        <f>IF(OR(E4073="",E4073="!!!",F4073="NEW"),"",INDEX(J$1:J4072,SUMPRODUCT(MAX(ROW(E$1:E4072)*(E4073=E$1:E4072)))))</f>
        <v> </v>
      </c>
      <c r="L4073" s="26"/>
    </row>
    <row r="4074" spans="1:12">
      <c r="A4074" s="20" t="s">
        <v>2126</v>
      </c>
      <c r="E4074" s="21">
        <f>IF(D4074="?OLD","!!!","")</f>
        <v/>
      </c>
      <c r="F4074" s="22" t="str">
        <f>IF(OR(E4074="",E4074="!!!"),"",IF(NOT(ISNA(VLOOKUP(E4074,E$1:E4073,1,FALSE()))),"OLD",IF(AND(E4074&lt;&gt;"",E4074&lt;&gt;"!!!"),"NEW","")))</f>
        <v> </v>
      </c>
      <c r="G4074" s="23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4" t="str">
        <f>IF(J4074&lt;&gt;1,"",IF(I4074="SBJ","CB","?"))</f>
        <v> </v>
      </c>
      <c r="I4074" s="25" t="str">
        <f>IF(OR(E4074="",E4074="!!!",F4074="NEW"),"",INDEX(B4073:B$2,-1+SUMPRODUCT(MAX(ROW(E4073:E$2)*(E4074=E4073:E$2)))))</f>
        <v> </v>
      </c>
      <c r="J4074" s="25" t="str">
        <f>IF(OR(E4074="",E4074="!!!",F4074="NEW"),"",COUNTBLANK(OFFSET(A$1,,,SUMPRODUCT(MAX(ROW(E$2:E4074)*(E4074=E$2:E4074)))))-COUNTBLANK(OFFSET(A$1,,,SUMPRODUCT(MAX(ROW(E$1:E4073)*(E2=E$1:E4073))))))</f>
        <v> </v>
      </c>
      <c r="K4074" s="25" t="str">
        <f>IF(OR(E4074="",E4074="!!!",F4074="NEW"),"",INDEX(J$1:J4073,SUMPRODUCT(MAX(ROW(E$1:E4073)*(E4074=E$1:E4073)))))</f>
        <v> </v>
      </c>
      <c r="L4074" s="26"/>
    </row>
    <row r="4075" spans="1:12">
      <c r="A4075" s="20" t="s">
        <v>1799</v>
      </c>
      <c r="E4075" s="21">
        <f>IF(D4075="?OLD","!!!","")</f>
        <v/>
      </c>
      <c r="F4075" s="22" t="str">
        <f>IF(OR(E4075="",E4075="!!!"),"",IF(NOT(ISNA(VLOOKUP(E4075,E$1:E4074,1,FALSE()))),"OLD",IF(AND(E4075&lt;&gt;"",E4075&lt;&gt;"!!!"),"NEW","")))</f>
        <v> </v>
      </c>
      <c r="G4075" s="23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4" t="str">
        <f>IF(J4075&lt;&gt;1,"",IF(I4075="SBJ","CB","?"))</f>
        <v> </v>
      </c>
      <c r="I4075" s="25" t="str">
        <f>IF(OR(E4075="",E4075="!!!",F4075="NEW"),"",INDEX(B4074:B$2,-1+SUMPRODUCT(MAX(ROW(E4074:E$2)*(E4075=E4074:E$2)))))</f>
        <v> </v>
      </c>
      <c r="J4075" s="25" t="str">
        <f>IF(OR(E4075="",E4075="!!!",F4075="NEW"),"",COUNTBLANK(OFFSET(A$1,,,SUMPRODUCT(MAX(ROW(E$2:E4075)*(E4075=E$2:E4075)))))-COUNTBLANK(OFFSET(A$1,,,SUMPRODUCT(MAX(ROW(E$1:E4074)*(E2=E$1:E4074))))))</f>
        <v> </v>
      </c>
      <c r="K4075" s="25" t="str">
        <f>IF(OR(E4075="",E4075="!!!",F4075="NEW"),"",INDEX(J$1:J4074,SUMPRODUCT(MAX(ROW(E$1:E4074)*(E4075=E$1:E4074)))))</f>
        <v> </v>
      </c>
      <c r="L4075" s="26"/>
    </row>
    <row r="4076" spans="1:12">
      <c r="A4076" s="20" t="s">
        <v>2730</v>
      </c>
      <c r="E4076" s="21">
        <f>IF(D4076="?OLD","!!!","")</f>
        <v/>
      </c>
      <c r="F4076" s="22" t="str">
        <f>IF(OR(E4076="",E4076="!!!"),"",IF(NOT(ISNA(VLOOKUP(E4076,E$1:E4075,1,FALSE()))),"OLD",IF(AND(E4076&lt;&gt;"",E4076&lt;&gt;"!!!"),"NEW","")))</f>
        <v> </v>
      </c>
      <c r="G4076" s="23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4" t="str">
        <f>IF(J4076&lt;&gt;1,"",IF(I4076="SBJ","CB","?"))</f>
        <v> </v>
      </c>
      <c r="I4076" s="25" t="str">
        <f>IF(OR(E4076="",E4076="!!!",F4076="NEW"),"",INDEX(B4075:B$2,-1+SUMPRODUCT(MAX(ROW(E4075:E$2)*(E4076=E4075:E$2)))))</f>
        <v> </v>
      </c>
      <c r="J4076" s="25" t="str">
        <f>IF(OR(E4076="",E4076="!!!",F4076="NEW"),"",COUNTBLANK(OFFSET(A$1,,,SUMPRODUCT(MAX(ROW(E$2:E4076)*(E4076=E$2:E4076)))))-COUNTBLANK(OFFSET(A$1,,,SUMPRODUCT(MAX(ROW(E$1:E4075)*(E2=E$1:E4075))))))</f>
        <v> </v>
      </c>
      <c r="K4076" s="25" t="str">
        <f>IF(OR(E4076="",E4076="!!!",F4076="NEW"),"",INDEX(J$1:J4075,SUMPRODUCT(MAX(ROW(E$1:E4075)*(E4076=E$1:E4075)))))</f>
        <v> </v>
      </c>
      <c r="L4076" s="26"/>
    </row>
    <row r="4077" spans="1:12">
      <c r="A4077" s="20" t="s">
        <v>1050</v>
      </c>
      <c r="E4077" s="21">
        <f>IF(D4077="?OLD","!!!","")</f>
        <v/>
      </c>
      <c r="F4077" s="22" t="str">
        <f>IF(OR(E4077="",E4077="!!!"),"",IF(NOT(ISNA(VLOOKUP(E4077,E$1:E4076,1,FALSE()))),"OLD",IF(AND(E4077&lt;&gt;"",E4077&lt;&gt;"!!!"),"NEW","")))</f>
        <v> </v>
      </c>
      <c r="G4077" s="23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4" t="str">
        <f>IF(J4077&lt;&gt;1,"",IF(I4077="SBJ","CB","?"))</f>
        <v> </v>
      </c>
      <c r="I4077" s="25" t="str">
        <f>IF(OR(E4077="",E4077="!!!",F4077="NEW"),"",INDEX(B4076:B$2,-1+SUMPRODUCT(MAX(ROW(E4076:E$2)*(E4077=E4076:E$2)))))</f>
        <v> </v>
      </c>
      <c r="J4077" s="25" t="str">
        <f>IF(OR(E4077="",E4077="!!!",F4077="NEW"),"",COUNTBLANK(OFFSET(A$1,,,SUMPRODUCT(MAX(ROW(E$2:E4077)*(E4077=E$2:E4077)))))-COUNTBLANK(OFFSET(A$1,,,SUMPRODUCT(MAX(ROW(E$1:E4076)*(E2=E$1:E4076))))))</f>
        <v> </v>
      </c>
      <c r="K4077" s="25" t="str">
        <f>IF(OR(E4077="",E4077="!!!",F4077="NEW"),"",INDEX(J$1:J4076,SUMPRODUCT(MAX(ROW(E$1:E4076)*(E4077=E$1:E4076)))))</f>
        <v> </v>
      </c>
      <c r="L4077" s="26"/>
    </row>
    <row r="4078" spans="1:12">
      <c r="A4078" s="20" t="s">
        <v>2731</v>
      </c>
      <c r="E4078" s="21">
        <f>IF(D4078="?OLD","!!!","")</f>
        <v/>
      </c>
      <c r="F4078" s="22" t="str">
        <f>IF(OR(E4078="",E4078="!!!"),"",IF(NOT(ISNA(VLOOKUP(E4078,E$1:E4077,1,FALSE()))),"OLD",IF(AND(E4078&lt;&gt;"",E4078&lt;&gt;"!!!"),"NEW","")))</f>
        <v> </v>
      </c>
      <c r="G4078" s="23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4" t="str">
        <f>IF(J4078&lt;&gt;1,"",IF(I4078="SBJ","CB","?"))</f>
        <v> </v>
      </c>
      <c r="I4078" s="25" t="str">
        <f>IF(OR(E4078="",E4078="!!!",F4078="NEW"),"",INDEX(B4077:B$2,-1+SUMPRODUCT(MAX(ROW(E4077:E$2)*(E4078=E4077:E$2)))))</f>
        <v> </v>
      </c>
      <c r="J4078" s="25" t="str">
        <f>IF(OR(E4078="",E4078="!!!",F4078="NEW"),"",COUNTBLANK(OFFSET(A$1,,,SUMPRODUCT(MAX(ROW(E$2:E4078)*(E4078=E$2:E4078)))))-COUNTBLANK(OFFSET(A$1,,,SUMPRODUCT(MAX(ROW(E$1:E4077)*(E2=E$1:E4077))))))</f>
        <v> </v>
      </c>
      <c r="K4078" s="25" t="str">
        <f>IF(OR(E4078="",E4078="!!!",F4078="NEW"),"",INDEX(J$1:J4077,SUMPRODUCT(MAX(ROW(E$1:E4077)*(E4078=E$1:E4077)))))</f>
        <v> </v>
      </c>
      <c r="L4078" s="26"/>
    </row>
    <row r="4079" spans="1:12">
      <c r="A4079" s="20" t="s">
        <v>1588</v>
      </c>
      <c r="E4079" s="21">
        <f>IF(D4079="?OLD","!!!","")</f>
        <v/>
      </c>
      <c r="F4079" s="22" t="str">
        <f>IF(OR(E4079="",E4079="!!!"),"",IF(NOT(ISNA(VLOOKUP(E4079,E$1:E4078,1,FALSE()))),"OLD",IF(AND(E4079&lt;&gt;"",E4079&lt;&gt;"!!!"),"NEW","")))</f>
        <v> </v>
      </c>
      <c r="G4079" s="23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4" t="str">
        <f>IF(J4079&lt;&gt;1,"",IF(I4079="SBJ","CB","?"))</f>
        <v> </v>
      </c>
      <c r="I4079" s="25" t="str">
        <f>IF(OR(E4079="",E4079="!!!",F4079="NEW"),"",INDEX(B4078:B$2,-1+SUMPRODUCT(MAX(ROW(E4078:E$2)*(E4079=E4078:E$2)))))</f>
        <v> </v>
      </c>
      <c r="J4079" s="25" t="str">
        <f>IF(OR(E4079="",E4079="!!!",F4079="NEW"),"",COUNTBLANK(OFFSET(A$1,,,SUMPRODUCT(MAX(ROW(E$2:E4079)*(E4079=E$2:E4079)))))-COUNTBLANK(OFFSET(A$1,,,SUMPRODUCT(MAX(ROW(E$1:E4078)*(E2=E$1:E4078))))))</f>
        <v> </v>
      </c>
      <c r="K4079" s="25" t="str">
        <f>IF(OR(E4079="",E4079="!!!",F4079="NEW"),"",INDEX(J$1:J4078,SUMPRODUCT(MAX(ROW(E$1:E4078)*(E4079=E$1:E4078)))))</f>
        <v> </v>
      </c>
      <c r="L4079" s="26"/>
    </row>
    <row r="4080" spans="1:12">
      <c r="A4080" s="20" t="s">
        <v>1041</v>
      </c>
      <c r="E4080" s="21">
        <f>IF(D4080="?OLD","!!!","")</f>
        <v/>
      </c>
      <c r="F4080" s="22" t="str">
        <f>IF(OR(E4080="",E4080="!!!"),"",IF(NOT(ISNA(VLOOKUP(E4080,E$1:E4079,1,FALSE()))),"OLD",IF(AND(E4080&lt;&gt;"",E4080&lt;&gt;"!!!"),"NEW","")))</f>
        <v> </v>
      </c>
      <c r="G4080" s="23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4" t="str">
        <f>IF(J4080&lt;&gt;1,"",IF(I4080="SBJ","CB","?"))</f>
        <v> </v>
      </c>
      <c r="I4080" s="25" t="str">
        <f>IF(OR(E4080="",E4080="!!!",F4080="NEW"),"",INDEX(B4079:B$2,-1+SUMPRODUCT(MAX(ROW(E4079:E$2)*(E4080=E4079:E$2)))))</f>
        <v> </v>
      </c>
      <c r="J4080" s="25" t="str">
        <f>IF(OR(E4080="",E4080="!!!",F4080="NEW"),"",COUNTBLANK(OFFSET(A$1,,,SUMPRODUCT(MAX(ROW(E$2:E4080)*(E4080=E$2:E4080)))))-COUNTBLANK(OFFSET(A$1,,,SUMPRODUCT(MAX(ROW(E$1:E4079)*(E2=E$1:E4079))))))</f>
        <v> </v>
      </c>
      <c r="K4080" s="25" t="str">
        <f>IF(OR(E4080="",E4080="!!!",F4080="NEW"),"",INDEX(J$1:J4079,SUMPRODUCT(MAX(ROW(E$1:E4079)*(E4080=E$1:E4079)))))</f>
        <v> </v>
      </c>
      <c r="L4080" s="26"/>
    </row>
    <row r="4081" spans="1:12">
      <c r="A4081" s="20" t="s">
        <v>1279</v>
      </c>
      <c r="E4081" s="21">
        <f>IF(D4081="?OLD","!!!","")</f>
        <v/>
      </c>
      <c r="F4081" s="22" t="str">
        <f>IF(OR(E4081="",E4081="!!!"),"",IF(NOT(ISNA(VLOOKUP(E4081,E$1:E4080,1,FALSE()))),"OLD",IF(AND(E4081&lt;&gt;"",E4081&lt;&gt;"!!!"),"NEW","")))</f>
        <v> </v>
      </c>
      <c r="G4081" s="23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4" t="str">
        <f>IF(J4081&lt;&gt;1,"",IF(I4081="SBJ","CB","?"))</f>
        <v> </v>
      </c>
      <c r="I4081" s="25" t="str">
        <f>IF(OR(E4081="",E4081="!!!",F4081="NEW"),"",INDEX(B4080:B$2,-1+SUMPRODUCT(MAX(ROW(E4080:E$2)*(E4081=E4080:E$2)))))</f>
        <v> </v>
      </c>
      <c r="J4081" s="25" t="str">
        <f>IF(OR(E4081="",E4081="!!!",F4081="NEW"),"",COUNTBLANK(OFFSET(A$1,,,SUMPRODUCT(MAX(ROW(E$2:E4081)*(E4081=E$2:E4081)))))-COUNTBLANK(OFFSET(A$1,,,SUMPRODUCT(MAX(ROW(E$1:E4080)*(E2=E$1:E4080))))))</f>
        <v> </v>
      </c>
      <c r="K4081" s="25" t="str">
        <f>IF(OR(E4081="",E4081="!!!",F4081="NEW"),"",INDEX(J$1:J4080,SUMPRODUCT(MAX(ROW(E$1:E4080)*(E4081=E$1:E4080)))))</f>
        <v> </v>
      </c>
      <c r="L4081" s="26"/>
    </row>
    <row r="4082" spans="1:12">
      <c r="A4082" s="20" t="s">
        <v>1563</v>
      </c>
      <c r="E4082" s="21">
        <f>IF(D4082="?OLD","!!!","")</f>
        <v/>
      </c>
      <c r="F4082" s="22" t="str">
        <f>IF(OR(E4082="",E4082="!!!"),"",IF(NOT(ISNA(VLOOKUP(E4082,E$1:E4081,1,FALSE()))),"OLD",IF(AND(E4082&lt;&gt;"",E4082&lt;&gt;"!!!"),"NEW","")))</f>
        <v> </v>
      </c>
      <c r="G4082" s="23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4" t="str">
        <f>IF(J4082&lt;&gt;1,"",IF(I4082="SBJ","CB","?"))</f>
        <v> </v>
      </c>
      <c r="I4082" s="25" t="str">
        <f>IF(OR(E4082="",E4082="!!!",F4082="NEW"),"",INDEX(B4081:B$2,-1+SUMPRODUCT(MAX(ROW(E4081:E$2)*(E4082=E4081:E$2)))))</f>
        <v> </v>
      </c>
      <c r="J4082" s="25" t="str">
        <f>IF(OR(E4082="",E4082="!!!",F4082="NEW"),"",COUNTBLANK(OFFSET(A$1,,,SUMPRODUCT(MAX(ROW(E$2:E4082)*(E4082=E$2:E4082)))))-COUNTBLANK(OFFSET(A$1,,,SUMPRODUCT(MAX(ROW(E$1:E4081)*(E2=E$1:E4081))))))</f>
        <v> </v>
      </c>
      <c r="K4082" s="25" t="str">
        <f>IF(OR(E4082="",E4082="!!!",F4082="NEW"),"",INDEX(J$1:J4081,SUMPRODUCT(MAX(ROW(E$1:E4081)*(E4082=E$1:E4081)))))</f>
        <v> </v>
      </c>
      <c r="L4082" s="26"/>
    </row>
    <row r="4083" spans="1:12">
      <c r="A4083" s="20" t="s">
        <v>1872</v>
      </c>
      <c r="E4083" s="21">
        <f>IF(D4083="?OLD","!!!","")</f>
        <v/>
      </c>
      <c r="F4083" s="22" t="str">
        <f>IF(OR(E4083="",E4083="!!!"),"",IF(NOT(ISNA(VLOOKUP(E4083,E$1:E4082,1,FALSE()))),"OLD",IF(AND(E4083&lt;&gt;"",E4083&lt;&gt;"!!!"),"NEW","")))</f>
        <v> </v>
      </c>
      <c r="G4083" s="23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4" t="str">
        <f>IF(J4083&lt;&gt;1,"",IF(I4083="SBJ","CB","?"))</f>
        <v> </v>
      </c>
      <c r="I4083" s="25" t="str">
        <f>IF(OR(E4083="",E4083="!!!",F4083="NEW"),"",INDEX(B4082:B$2,-1+SUMPRODUCT(MAX(ROW(E4082:E$2)*(E4083=E4082:E$2)))))</f>
        <v> </v>
      </c>
      <c r="J4083" s="25" t="str">
        <f>IF(OR(E4083="",E4083="!!!",F4083="NEW"),"",COUNTBLANK(OFFSET(A$1,,,SUMPRODUCT(MAX(ROW(E$2:E4083)*(E4083=E$2:E4083)))))-COUNTBLANK(OFFSET(A$1,,,SUMPRODUCT(MAX(ROW(E$1:E4082)*(E2=E$1:E4082))))))</f>
        <v> </v>
      </c>
      <c r="K4083" s="25" t="str">
        <f>IF(OR(E4083="",E4083="!!!",F4083="NEW"),"",INDEX(J$1:J4082,SUMPRODUCT(MAX(ROW(E$1:E4082)*(E4083=E$1:E4082)))))</f>
        <v> </v>
      </c>
      <c r="L4083" s="26"/>
    </row>
    <row r="4084" spans="1:12">
      <c r="A4084" s="20" t="s">
        <v>2732</v>
      </c>
      <c r="E4084" s="21">
        <f>IF(D4084="?OLD","!!!","")</f>
        <v/>
      </c>
      <c r="F4084" s="22" t="str">
        <f>IF(OR(E4084="",E4084="!!!"),"",IF(NOT(ISNA(VLOOKUP(E4084,E$1:E4083,1,FALSE()))),"OLD",IF(AND(E4084&lt;&gt;"",E4084&lt;&gt;"!!!"),"NEW","")))</f>
        <v> </v>
      </c>
      <c r="G4084" s="23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4" t="str">
        <f>IF(J4084&lt;&gt;1,"",IF(I4084="SBJ","CB","?"))</f>
        <v> </v>
      </c>
      <c r="I4084" s="25" t="str">
        <f>IF(OR(E4084="",E4084="!!!",F4084="NEW"),"",INDEX(B4083:B$2,-1+SUMPRODUCT(MAX(ROW(E4083:E$2)*(E4084=E4083:E$2)))))</f>
        <v> </v>
      </c>
      <c r="J4084" s="25" t="str">
        <f>IF(OR(E4084="",E4084="!!!",F4084="NEW"),"",COUNTBLANK(OFFSET(A$1,,,SUMPRODUCT(MAX(ROW(E$2:E4084)*(E4084=E$2:E4084)))))-COUNTBLANK(OFFSET(A$1,,,SUMPRODUCT(MAX(ROW(E$1:E4083)*(E2=E$1:E4083))))))</f>
        <v> </v>
      </c>
      <c r="K4084" s="25" t="str">
        <f>IF(OR(E4084="",E4084="!!!",F4084="NEW"),"",INDEX(J$1:J4083,SUMPRODUCT(MAX(ROW(E$1:E4083)*(E4084=E$1:E4083)))))</f>
        <v> </v>
      </c>
      <c r="L4084" s="26"/>
    </row>
    <row r="4085" spans="1:12">
      <c r="A4085" s="20" t="s">
        <v>2733</v>
      </c>
      <c r="E4085" s="21">
        <f>IF(D4085="?OLD","!!!","")</f>
        <v/>
      </c>
      <c r="F4085" s="22" t="str">
        <f>IF(OR(E4085="",E4085="!!!"),"",IF(NOT(ISNA(VLOOKUP(E4085,E$1:E4084,1,FALSE()))),"OLD",IF(AND(E4085&lt;&gt;"",E4085&lt;&gt;"!!!"),"NEW","")))</f>
        <v> </v>
      </c>
      <c r="G4085" s="23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4" t="str">
        <f>IF(J4085&lt;&gt;1,"",IF(I4085="SBJ","CB","?"))</f>
        <v> </v>
      </c>
      <c r="I4085" s="25" t="str">
        <f>IF(OR(E4085="",E4085="!!!",F4085="NEW"),"",INDEX(B4084:B$2,-1+SUMPRODUCT(MAX(ROW(E4084:E$2)*(E4085=E4084:E$2)))))</f>
        <v> </v>
      </c>
      <c r="J4085" s="25" t="str">
        <f>IF(OR(E4085="",E4085="!!!",F4085="NEW"),"",COUNTBLANK(OFFSET(A$1,,,SUMPRODUCT(MAX(ROW(E$2:E4085)*(E4085=E$2:E4085)))))-COUNTBLANK(OFFSET(A$1,,,SUMPRODUCT(MAX(ROW(E$1:E4084)*(E2=E$1:E4084))))))</f>
        <v> </v>
      </c>
      <c r="K4085" s="25" t="str">
        <f>IF(OR(E4085="",E4085="!!!",F4085="NEW"),"",INDEX(J$1:J4084,SUMPRODUCT(MAX(ROW(E$1:E4084)*(E4085=E$1:E4084)))))</f>
        <v> </v>
      </c>
      <c r="L4085" s="26"/>
    </row>
    <row r="4086" spans="1:12">
      <c r="A4086" s="20" t="s">
        <v>1041</v>
      </c>
      <c r="E4086" s="21">
        <f>IF(D4086="?OLD","!!!","")</f>
        <v/>
      </c>
      <c r="F4086" s="22" t="str">
        <f>IF(OR(E4086="",E4086="!!!"),"",IF(NOT(ISNA(VLOOKUP(E4086,E$1:E4085,1,FALSE()))),"OLD",IF(AND(E4086&lt;&gt;"",E4086&lt;&gt;"!!!"),"NEW","")))</f>
        <v> </v>
      </c>
      <c r="G4086" s="23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4" t="str">
        <f>IF(J4086&lt;&gt;1,"",IF(I4086="SBJ","CB","?"))</f>
        <v> </v>
      </c>
      <c r="I4086" s="25" t="str">
        <f>IF(OR(E4086="",E4086="!!!",F4086="NEW"),"",INDEX(B4085:B$2,-1+SUMPRODUCT(MAX(ROW(E4085:E$2)*(E4086=E4085:E$2)))))</f>
        <v> </v>
      </c>
      <c r="J4086" s="25" t="str">
        <f>IF(OR(E4086="",E4086="!!!",F4086="NEW"),"",COUNTBLANK(OFFSET(A$1,,,SUMPRODUCT(MAX(ROW(E$2:E4086)*(E4086=E$2:E4086)))))-COUNTBLANK(OFFSET(A$1,,,SUMPRODUCT(MAX(ROW(E$1:E4085)*(E2=E$1:E4085))))))</f>
        <v> </v>
      </c>
      <c r="K4086" s="25" t="str">
        <f>IF(OR(E4086="",E4086="!!!",F4086="NEW"),"",INDEX(J$1:J4085,SUMPRODUCT(MAX(ROW(E$1:E4085)*(E4086=E$1:E4085)))))</f>
        <v> </v>
      </c>
      <c r="L4086" s="26"/>
    </row>
    <row r="4087" spans="1:12">
      <c r="A4087" s="20" t="s">
        <v>2611</v>
      </c>
      <c r="E4087" s="21">
        <f>IF(D4087="?OLD","!!!","")</f>
        <v/>
      </c>
      <c r="F4087" s="22" t="str">
        <f>IF(OR(E4087="",E4087="!!!"),"",IF(NOT(ISNA(VLOOKUP(E4087,E$1:E4086,1,FALSE()))),"OLD",IF(AND(E4087&lt;&gt;"",E4087&lt;&gt;"!!!"),"NEW","")))</f>
        <v> </v>
      </c>
      <c r="G4087" s="23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4" t="str">
        <f>IF(J4087&lt;&gt;1,"",IF(I4087="SBJ","CB","?"))</f>
        <v> </v>
      </c>
      <c r="I4087" s="25" t="str">
        <f>IF(OR(E4087="",E4087="!!!",F4087="NEW"),"",INDEX(B4086:B$2,-1+SUMPRODUCT(MAX(ROW(E4086:E$2)*(E4087=E4086:E$2)))))</f>
        <v> </v>
      </c>
      <c r="J4087" s="25" t="str">
        <f>IF(OR(E4087="",E4087="!!!",F4087="NEW"),"",COUNTBLANK(OFFSET(A$1,,,SUMPRODUCT(MAX(ROW(E$2:E4087)*(E4087=E$2:E4087)))))-COUNTBLANK(OFFSET(A$1,,,SUMPRODUCT(MAX(ROW(E$1:E4086)*(E2=E$1:E4086))))))</f>
        <v> </v>
      </c>
      <c r="K4087" s="25" t="str">
        <f>IF(OR(E4087="",E4087="!!!",F4087="NEW"),"",INDEX(J$1:J4086,SUMPRODUCT(MAX(ROW(E$1:E4086)*(E4087=E$1:E4086)))))</f>
        <v> </v>
      </c>
      <c r="L4087" s="26"/>
    </row>
    <row r="4088" spans="1:12">
      <c r="A4088" s="20" t="s">
        <v>2734</v>
      </c>
      <c r="E4088" s="21">
        <f>IF(D4088="?OLD","!!!","")</f>
        <v/>
      </c>
      <c r="F4088" s="22" t="str">
        <f>IF(OR(E4088="",E4088="!!!"),"",IF(NOT(ISNA(VLOOKUP(E4088,E$1:E4087,1,FALSE()))),"OLD",IF(AND(E4088&lt;&gt;"",E4088&lt;&gt;"!!!"),"NEW","")))</f>
        <v> </v>
      </c>
      <c r="G4088" s="23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4" t="str">
        <f>IF(J4088&lt;&gt;1,"",IF(I4088="SBJ","CB","?"))</f>
        <v> </v>
      </c>
      <c r="I4088" s="25" t="str">
        <f>IF(OR(E4088="",E4088="!!!",F4088="NEW"),"",INDEX(B4087:B$2,-1+SUMPRODUCT(MAX(ROW(E4087:E$2)*(E4088=E4087:E$2)))))</f>
        <v> </v>
      </c>
      <c r="J4088" s="25" t="str">
        <f>IF(OR(E4088="",E4088="!!!",F4088="NEW"),"",COUNTBLANK(OFFSET(A$1,,,SUMPRODUCT(MAX(ROW(E$2:E4088)*(E4088=E$2:E4088)))))-COUNTBLANK(OFFSET(A$1,,,SUMPRODUCT(MAX(ROW(E$1:E4087)*(E2=E$1:E4087))))))</f>
        <v> </v>
      </c>
      <c r="K4088" s="25" t="str">
        <f>IF(OR(E4088="",E4088="!!!",F4088="NEW"),"",INDEX(J$1:J4087,SUMPRODUCT(MAX(ROW(E$1:E4087)*(E4088=E$1:E4087)))))</f>
        <v> </v>
      </c>
      <c r="L4088" s="26"/>
    </row>
    <row r="4089" spans="1:12">
      <c r="A4089" s="20" t="s">
        <v>1095</v>
      </c>
      <c r="E4089" s="21">
        <f>IF(D4089="?OLD","!!!","")</f>
        <v/>
      </c>
      <c r="F4089" s="22" t="str">
        <f>IF(OR(E4089="",E4089="!!!"),"",IF(NOT(ISNA(VLOOKUP(E4089,E$1:E4088,1,FALSE()))),"OLD",IF(AND(E4089&lt;&gt;"",E4089&lt;&gt;"!!!"),"NEW","")))</f>
        <v> </v>
      </c>
      <c r="G4089" s="23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4" t="str">
        <f>IF(J4089&lt;&gt;1,"",IF(I4089="SBJ","CB","?"))</f>
        <v> </v>
      </c>
      <c r="I4089" s="25" t="str">
        <f>IF(OR(E4089="",E4089="!!!",F4089="NEW"),"",INDEX(B4088:B$2,-1+SUMPRODUCT(MAX(ROW(E4088:E$2)*(E4089=E4088:E$2)))))</f>
        <v> </v>
      </c>
      <c r="J4089" s="25" t="str">
        <f>IF(OR(E4089="",E4089="!!!",F4089="NEW"),"",COUNTBLANK(OFFSET(A$1,,,SUMPRODUCT(MAX(ROW(E$2:E4089)*(E4089=E$2:E4089)))))-COUNTBLANK(OFFSET(A$1,,,SUMPRODUCT(MAX(ROW(E$1:E4088)*(E2=E$1:E4088))))))</f>
        <v> </v>
      </c>
      <c r="K4089" s="25" t="str">
        <f>IF(OR(E4089="",E4089="!!!",F4089="NEW"),"",INDEX(J$1:J4088,SUMPRODUCT(MAX(ROW(E$1:E4088)*(E4089=E$1:E4088)))))</f>
        <v> </v>
      </c>
      <c r="L4089" s="26"/>
    </row>
    <row r="4090" spans="1:12">
      <c r="A4090" s="20" t="s">
        <v>1032</v>
      </c>
      <c r="E4090" s="21">
        <f>IF(D4090="?OLD","!!!","")</f>
        <v/>
      </c>
      <c r="F4090" s="22" t="str">
        <f>IF(OR(E4090="",E4090="!!!"),"",IF(NOT(ISNA(VLOOKUP(E4090,E$1:E4089,1,FALSE()))),"OLD",IF(AND(E4090&lt;&gt;"",E4090&lt;&gt;"!!!"),"NEW","")))</f>
        <v> </v>
      </c>
      <c r="G4090" s="23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4" t="str">
        <f>IF(J4090&lt;&gt;1,"",IF(I4090="SBJ","CB","?"))</f>
        <v> </v>
      </c>
      <c r="I4090" s="25" t="str">
        <f>IF(OR(E4090="",E4090="!!!",F4090="NEW"),"",INDEX(B4089:B$2,-1+SUMPRODUCT(MAX(ROW(E4089:E$2)*(E4090=E4089:E$2)))))</f>
        <v> </v>
      </c>
      <c r="J4090" s="25" t="str">
        <f>IF(OR(E4090="",E4090="!!!",F4090="NEW"),"",COUNTBLANK(OFFSET(A$1,,,SUMPRODUCT(MAX(ROW(E$2:E4090)*(E4090=E$2:E4090)))))-COUNTBLANK(OFFSET(A$1,,,SUMPRODUCT(MAX(ROW(E$1:E4089)*(E2=E$1:E4089))))))</f>
        <v> </v>
      </c>
      <c r="K4090" s="25" t="str">
        <f>IF(OR(E4090="",E4090="!!!",F4090="NEW"),"",INDEX(J$1:J4089,SUMPRODUCT(MAX(ROW(E$1:E4089)*(E4090=E$1:E4089)))))</f>
        <v> </v>
      </c>
      <c r="L4090" s="26"/>
    </row>
    <row r="4091" spans="1:12">
      <c r="A4091" s="20"/>
    </row>
    <row r="4092" spans="1:12">
      <c r="A4092" s="20" t="s">
        <v>2735</v>
      </c>
    </row>
    <row r="4093" spans="1:12">
      <c r="A4093" s="20" t="s">
        <v>1162</v>
      </c>
      <c r="E4093" s="21">
        <f>IF(D4093="?OLD","!!!","")</f>
        <v/>
      </c>
      <c r="F4093" s="22" t="str">
        <f>IF(OR(E4093="",E4093="!!!"),"",IF(NOT(ISNA(VLOOKUP(E4093,E$1:E4092,1,FALSE()))),"OLD",IF(AND(E4093&lt;&gt;"",E4093&lt;&gt;"!!!"),"NEW","")))</f>
        <v> </v>
      </c>
      <c r="G4093" s="23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4" t="str">
        <f>IF(J4093&lt;&gt;1,"",IF(I4093="SBJ","CB","?"))</f>
        <v> </v>
      </c>
      <c r="I4093" s="25" t="str">
        <f>IF(OR(E4093="",E4093="!!!",F4093="NEW"),"",INDEX(B4092:B$2,-1+SUMPRODUCT(MAX(ROW(E4092:E$2)*(E4093=E4092:E$2)))))</f>
        <v> </v>
      </c>
      <c r="J4093" s="25" t="str">
        <f>IF(OR(E4093="",E4093="!!!",F4093="NEW"),"",COUNTBLANK(OFFSET(A$1,,,SUMPRODUCT(MAX(ROW(E$2:E4093)*(E4093=E$2:E4093)))))-COUNTBLANK(OFFSET(A$1,,,SUMPRODUCT(MAX(ROW(E$1:E4092)*(E2=E$1:E4092))))))</f>
        <v> </v>
      </c>
      <c r="K4093" s="25" t="str">
        <f>IF(OR(E4093="",E4093="!!!",F4093="NEW"),"",INDEX(J$1:J4092,SUMPRODUCT(MAX(ROW(E$1:E4092)*(E4093=E$1:E4092)))))</f>
        <v> </v>
      </c>
      <c r="L4093" s="26"/>
    </row>
    <row r="4094" spans="1:12">
      <c r="A4094" s="20" t="s">
        <v>2091</v>
      </c>
      <c r="E4094" s="21">
        <f>IF(D4094="?OLD","!!!","")</f>
        <v/>
      </c>
      <c r="F4094" s="22" t="str">
        <f>IF(OR(E4094="",E4094="!!!"),"",IF(NOT(ISNA(VLOOKUP(E4094,E$1:E4093,1,FALSE()))),"OLD",IF(AND(E4094&lt;&gt;"",E4094&lt;&gt;"!!!"),"NEW","")))</f>
        <v> </v>
      </c>
      <c r="G4094" s="23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4" t="str">
        <f>IF(J4094&lt;&gt;1,"",IF(I4094="SBJ","CB","?"))</f>
        <v> </v>
      </c>
      <c r="I4094" s="25" t="str">
        <f>IF(OR(E4094="",E4094="!!!",F4094="NEW"),"",INDEX(B4093:B$2,-1+SUMPRODUCT(MAX(ROW(E4093:E$2)*(E4094=E4093:E$2)))))</f>
        <v> </v>
      </c>
      <c r="J4094" s="25" t="str">
        <f>IF(OR(E4094="",E4094="!!!",F4094="NEW"),"",COUNTBLANK(OFFSET(A$1,,,SUMPRODUCT(MAX(ROW(E$2:E4094)*(E4094=E$2:E4094)))))-COUNTBLANK(OFFSET(A$1,,,SUMPRODUCT(MAX(ROW(E$1:E4093)*(E2=E$1:E4093))))))</f>
        <v> </v>
      </c>
      <c r="K4094" s="25" t="str">
        <f>IF(OR(E4094="",E4094="!!!",F4094="NEW"),"",INDEX(J$1:J4093,SUMPRODUCT(MAX(ROW(E$1:E4093)*(E4094=E$1:E4093)))))</f>
        <v> </v>
      </c>
      <c r="L4094" s="26"/>
    </row>
    <row r="4095" spans="1:12">
      <c r="A4095" s="20" t="s">
        <v>2736</v>
      </c>
      <c r="E4095" s="21">
        <f>IF(D4095="?OLD","!!!","")</f>
        <v/>
      </c>
      <c r="F4095" s="22" t="str">
        <f>IF(OR(E4095="",E4095="!!!"),"",IF(NOT(ISNA(VLOOKUP(E4095,E$1:E4094,1,FALSE()))),"OLD",IF(AND(E4095&lt;&gt;"",E4095&lt;&gt;"!!!"),"NEW","")))</f>
        <v> </v>
      </c>
      <c r="G4095" s="23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4" t="str">
        <f>IF(J4095&lt;&gt;1,"",IF(I4095="SBJ","CB","?"))</f>
        <v> </v>
      </c>
      <c r="I4095" s="25" t="str">
        <f>IF(OR(E4095="",E4095="!!!",F4095="NEW"),"",INDEX(B4094:B$2,-1+SUMPRODUCT(MAX(ROW(E4094:E$2)*(E4095=E4094:E$2)))))</f>
        <v> </v>
      </c>
      <c r="J4095" s="25" t="str">
        <f>IF(OR(E4095="",E4095="!!!",F4095="NEW"),"",COUNTBLANK(OFFSET(A$1,,,SUMPRODUCT(MAX(ROW(E$2:E4095)*(E4095=E$2:E4095)))))-COUNTBLANK(OFFSET(A$1,,,SUMPRODUCT(MAX(ROW(E$1:E4094)*(E2=E$1:E4094))))))</f>
        <v> </v>
      </c>
      <c r="K4095" s="25" t="str">
        <f>IF(OR(E4095="",E4095="!!!",F4095="NEW"),"",INDEX(J$1:J4094,SUMPRODUCT(MAX(ROW(E$1:E4094)*(E4095=E$1:E4094)))))</f>
        <v> </v>
      </c>
      <c r="L4095" s="26"/>
    </row>
    <row r="4096" spans="1:12">
      <c r="A4096" s="20" t="s">
        <v>1282</v>
      </c>
      <c r="E4096" s="21">
        <f>IF(D4096="?OLD","!!!","")</f>
        <v/>
      </c>
      <c r="F4096" s="22" t="str">
        <f>IF(OR(E4096="",E4096="!!!"),"",IF(NOT(ISNA(VLOOKUP(E4096,E$1:E4095,1,FALSE()))),"OLD",IF(AND(E4096&lt;&gt;"",E4096&lt;&gt;"!!!"),"NEW","")))</f>
        <v> </v>
      </c>
      <c r="G4096" s="23" t="str">
        <f>IF(OR(E4096="",E4096="!!!"),"",IF(OR(J4096=0,AND(J4096=1,K4096=1),AND(J4096=1,I4096="SBJ"),AND(J4096=1,I4096=0)),"?IN_FOCUS",IF(J4096&lt;=2,"?ACTIVATED",IF(J4096&lt;&gt;"","?FAMILIAR",IF(F4096="NEW",IF(ISNA(VLOOKUP(E4096,#REF!,1,FALSE())),"?TYPE_IDENTIFIABLE","?REFERENTIAL"),"_")))))</f>
        <v> </v>
      </c>
      <c r="H4096" s="24" t="str">
        <f>IF(J4096&lt;&gt;1,"",IF(I4096="SBJ","CB","?"))</f>
        <v> </v>
      </c>
      <c r="I4096" s="25" t="str">
        <f>IF(OR(E4096="",E4096="!!!",F4096="NEW"),"",INDEX(B4095:B$2,-1+SUMPRODUCT(MAX(ROW(E4095:E$2)*(E4096=E4095:E$2)))))</f>
        <v> </v>
      </c>
      <c r="J4096" s="25" t="str">
        <f>IF(OR(E4096="",E4096="!!!",F4096="NEW"),"",COUNTBLANK(OFFSET(A$1,,,SUMPRODUCT(MAX(ROW(E$2:E4096)*(E4096=E$2:E4096)))))-COUNTBLANK(OFFSET(A$1,,,SUMPRODUCT(MAX(ROW(E$1:E4095)*(E2=E$1:E4095))))))</f>
        <v> </v>
      </c>
      <c r="K4096" s="25" t="str">
        <f>IF(OR(E4096="",E4096="!!!",F4096="NEW"),"",INDEX(J$1:J4095,SUMPRODUCT(MAX(ROW(E$1:E4095)*(E4096=E$1:E4095)))))</f>
        <v> </v>
      </c>
      <c r="L4096" s="26"/>
    </row>
    <row r="4097" spans="1:12">
      <c r="A4097" s="20" t="s">
        <v>2737</v>
      </c>
      <c r="E4097" s="21">
        <f>IF(D4097="?OLD","!!!","")</f>
        <v/>
      </c>
      <c r="F4097" s="22" t="str">
        <f>IF(OR(E4097="",E4097="!!!"),"",IF(NOT(ISNA(VLOOKUP(E4097,E$1:E4096,1,FALSE()))),"OLD",IF(AND(E4097&lt;&gt;"",E4097&lt;&gt;"!!!"),"NEW","")))</f>
        <v> </v>
      </c>
      <c r="G4097" s="23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4" t="str">
        <f>IF(J4097&lt;&gt;1,"",IF(I4097="SBJ","CB","?"))</f>
        <v> </v>
      </c>
      <c r="I4097" s="25" t="str">
        <f>IF(OR(E4097="",E4097="!!!",F4097="NEW"),"",INDEX(B4096:B$2,-1+SUMPRODUCT(MAX(ROW(E4096:E$2)*(E4097=E4096:E$2)))))</f>
        <v> </v>
      </c>
      <c r="J4097" s="25" t="str">
        <f>IF(OR(E4097="",E4097="!!!",F4097="NEW"),"",COUNTBLANK(OFFSET(A$1,,,SUMPRODUCT(MAX(ROW(E$2:E4097)*(E4097=E$2:E4097)))))-COUNTBLANK(OFFSET(A$1,,,SUMPRODUCT(MAX(ROW(E$1:E4096)*(E2=E$1:E4096))))))</f>
        <v> </v>
      </c>
      <c r="K4097" s="25" t="str">
        <f>IF(OR(E4097="",E4097="!!!",F4097="NEW"),"",INDEX(J$1:J4096,SUMPRODUCT(MAX(ROW(E$1:E4096)*(E4097=E$1:E4096)))))</f>
        <v> </v>
      </c>
      <c r="L4097" s="26"/>
    </row>
    <row r="4098" spans="1:12">
      <c r="A4098" s="20" t="s">
        <v>2738</v>
      </c>
      <c r="B4098" s="27" t="s">
        <v>1024</v>
      </c>
      <c r="E4098" s="21">
        <f>IF(D4098="?OLD","!!!","")</f>
        <v/>
      </c>
      <c r="F4098" s="22" t="str">
        <f>IF(OR(E4098="",E4098="!!!"),"",IF(NOT(ISNA(VLOOKUP(E4098,E$1:E4097,1,FALSE()))),"OLD",IF(AND(E4098&lt;&gt;"",E4098&lt;&gt;"!!!"),"NEW","")))</f>
        <v> </v>
      </c>
      <c r="G4098" s="23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4" t="str">
        <f>IF(J4098&lt;&gt;1,"",IF(I4098="SBJ","CB","?"))</f>
        <v> </v>
      </c>
      <c r="I4098" s="25" t="str">
        <f>IF(OR(E4098="",E4098="!!!",F4098="NEW"),"",INDEX(B4097:B$2,-1+SUMPRODUCT(MAX(ROW(E4097:E$2)*(E4098=E4097:E$2)))))</f>
        <v> </v>
      </c>
      <c r="J4098" s="25" t="str">
        <f>IF(OR(E4098="",E4098="!!!",F4098="NEW"),"",COUNTBLANK(OFFSET(A$1,,,SUMPRODUCT(MAX(ROW(E$2:E4098)*(E4098=E$2:E4098)))))-COUNTBLANK(OFFSET(A$1,,,SUMPRODUCT(MAX(ROW(E$1:E4097)*(E2=E$1:E4097))))))</f>
        <v> </v>
      </c>
      <c r="K4098" s="25" t="str">
        <f>IF(OR(E4098="",E4098="!!!",F4098="NEW"),"",INDEX(J$1:J4097,SUMPRODUCT(MAX(ROW(E$1:E4097)*(E4098=E$1:E4097)))))</f>
        <v> </v>
      </c>
      <c r="L4098" s="26"/>
    </row>
    <row r="4099" spans="1:12">
      <c r="A4099" s="20" t="s">
        <v>1032</v>
      </c>
      <c r="E4099" s="21">
        <f>IF(D4099="?OLD","!!!","")</f>
        <v/>
      </c>
      <c r="F4099" s="22" t="str">
        <f>IF(OR(E4099="",E4099="!!!"),"",IF(NOT(ISNA(VLOOKUP(E4099,E$1:E4098,1,FALSE()))),"OLD",IF(AND(E4099&lt;&gt;"",E4099&lt;&gt;"!!!"),"NEW","")))</f>
        <v> </v>
      </c>
      <c r="G4099" s="23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4" t="str">
        <f>IF(J4099&lt;&gt;1,"",IF(I4099="SBJ","CB","?"))</f>
        <v> </v>
      </c>
      <c r="I4099" s="25" t="str">
        <f>IF(OR(E4099="",E4099="!!!",F4099="NEW"),"",INDEX(B4098:B$2,-1+SUMPRODUCT(MAX(ROW(E4098:E$2)*(E4099=E4098:E$2)))))</f>
        <v> </v>
      </c>
      <c r="J4099" s="25" t="str">
        <f>IF(OR(E4099="",E4099="!!!",F4099="NEW"),"",COUNTBLANK(OFFSET(A$1,,,SUMPRODUCT(MAX(ROW(E$2:E4099)*(E4099=E$2:E4099)))))-COUNTBLANK(OFFSET(A$1,,,SUMPRODUCT(MAX(ROW(E$1:E4098)*(E2=E$1:E4098))))))</f>
        <v> </v>
      </c>
      <c r="K4099" s="25" t="str">
        <f>IF(OR(E4099="",E4099="!!!",F4099="NEW"),"",INDEX(J$1:J4098,SUMPRODUCT(MAX(ROW(E$1:E4098)*(E4099=E$1:E4098)))))</f>
        <v> </v>
      </c>
      <c r="L4099" s="26"/>
    </row>
    <row r="4100" spans="1:12">
      <c r="A4100" s="20"/>
    </row>
    <row r="4101" spans="1:12">
      <c r="A4101" s="20" t="s">
        <v>2739</v>
      </c>
    </row>
    <row r="4102" spans="1:12">
      <c r="A4102" s="20" t="s">
        <v>2078</v>
      </c>
      <c r="B4102" s="27" t="s">
        <v>1024</v>
      </c>
      <c r="C4102" s="27" t="s">
        <v>1025</v>
      </c>
      <c r="D4102" s="27" t="s">
        <v>1026</v>
      </c>
      <c r="E4102" s="21">
        <f>IF(D4102="?OLD","!!!","")</f>
        <v/>
      </c>
      <c r="F4102" s="22" t="str">
        <f>IF(OR(E4102="",E4102="!!!"),"",IF(NOT(ISNA(VLOOKUP(E4102,E$1:E4101,1,FALSE()))),"OLD",IF(AND(E4102&lt;&gt;"",E4102&lt;&gt;"!!!"),"NEW","")))</f>
        <v> </v>
      </c>
      <c r="G4102" s="23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4" t="str">
        <f>IF(J4102&lt;&gt;1,"",IF(I4102="SBJ","CB","?"))</f>
        <v> </v>
      </c>
      <c r="I4102" s="25" t="str">
        <f>IF(OR(E4102="",E4102="!!!",F4102="NEW"),"",INDEX(B4101:B$2,-1+SUMPRODUCT(MAX(ROW(E4101:E$2)*(E4102=E4101:E$2)))))</f>
        <v> </v>
      </c>
      <c r="J4102" s="25" t="str">
        <f>IF(OR(E4102="",E4102="!!!",F4102="NEW"),"",COUNTBLANK(OFFSET(A$1,,,SUMPRODUCT(MAX(ROW(E$2:E4102)*(E4102=E$2:E4102)))))-COUNTBLANK(OFFSET(A$1,,,SUMPRODUCT(MAX(ROW(E$1:E4101)*(E2=E$1:E4101))))))</f>
        <v> </v>
      </c>
      <c r="K4102" s="25" t="str">
        <f>IF(OR(E4102="",E4102="!!!",F4102="NEW"),"",INDEX(J$1:J4101,SUMPRODUCT(MAX(ROW(E$1:E4101)*(E4102=E$1:E4101)))))</f>
        <v> </v>
      </c>
      <c r="L4102" s="26"/>
    </row>
    <row r="4103" spans="1:12">
      <c r="A4103" s="20" t="s">
        <v>1107</v>
      </c>
      <c r="E4103" s="21">
        <f>IF(D4103="?OLD","!!!","")</f>
        <v/>
      </c>
      <c r="F4103" s="22" t="str">
        <f>IF(OR(E4103="",E4103="!!!"),"",IF(NOT(ISNA(VLOOKUP(E4103,E$1:E4102,1,FALSE()))),"OLD",IF(AND(E4103&lt;&gt;"",E4103&lt;&gt;"!!!"),"NEW","")))</f>
        <v> </v>
      </c>
      <c r="G4103" s="23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4" t="str">
        <f>IF(J4103&lt;&gt;1,"",IF(I4103="SBJ","CB","?"))</f>
        <v> </v>
      </c>
      <c r="I4103" s="25" t="str">
        <f>IF(OR(E4103="",E4103="!!!",F4103="NEW"),"",INDEX(B4102:B$2,-1+SUMPRODUCT(MAX(ROW(E4102:E$2)*(E4103=E4102:E$2)))))</f>
        <v> </v>
      </c>
      <c r="J4103" s="25" t="str">
        <f>IF(OR(E4103="",E4103="!!!",F4103="NEW"),"",COUNTBLANK(OFFSET(A$1,,,SUMPRODUCT(MAX(ROW(E$2:E4103)*(E4103=E$2:E4103)))))-COUNTBLANK(OFFSET(A$1,,,SUMPRODUCT(MAX(ROW(E$1:E4102)*(E2=E$1:E4102))))))</f>
        <v> </v>
      </c>
      <c r="K4103" s="25" t="str">
        <f>IF(OR(E4103="",E4103="!!!",F4103="NEW"),"",INDEX(J$1:J4102,SUMPRODUCT(MAX(ROW(E$1:E4102)*(E4103=E$1:E4102)))))</f>
        <v> </v>
      </c>
      <c r="L4103" s="26"/>
    </row>
    <row r="4104" spans="1:12">
      <c r="A4104" s="20" t="s">
        <v>2740</v>
      </c>
      <c r="E4104" s="21">
        <f>IF(D4104="?OLD","!!!","")</f>
        <v/>
      </c>
      <c r="F4104" s="22" t="str">
        <f>IF(OR(E4104="",E4104="!!!"),"",IF(NOT(ISNA(VLOOKUP(E4104,E$1:E4103,1,FALSE()))),"OLD",IF(AND(E4104&lt;&gt;"",E4104&lt;&gt;"!!!"),"NEW","")))</f>
        <v> </v>
      </c>
      <c r="G4104" s="23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4" t="str">
        <f>IF(J4104&lt;&gt;1,"",IF(I4104="SBJ","CB","?"))</f>
        <v> </v>
      </c>
      <c r="I4104" s="25" t="str">
        <f>IF(OR(E4104="",E4104="!!!",F4104="NEW"),"",INDEX(B4103:B$2,-1+SUMPRODUCT(MAX(ROW(E4103:E$2)*(E4104=E4103:E$2)))))</f>
        <v> </v>
      </c>
      <c r="J4104" s="25" t="str">
        <f>IF(OR(E4104="",E4104="!!!",F4104="NEW"),"",COUNTBLANK(OFFSET(A$1,,,SUMPRODUCT(MAX(ROW(E$2:E4104)*(E4104=E$2:E4104)))))-COUNTBLANK(OFFSET(A$1,,,SUMPRODUCT(MAX(ROW(E$1:E4103)*(E2=E$1:E4103))))))</f>
        <v> </v>
      </c>
      <c r="K4104" s="25" t="str">
        <f>IF(OR(E4104="",E4104="!!!",F4104="NEW"),"",INDEX(J$1:J4103,SUMPRODUCT(MAX(ROW(E$1:E4103)*(E4104=E$1:E4103)))))</f>
        <v> </v>
      </c>
      <c r="L4104" s="26"/>
    </row>
    <row r="4105" spans="1:12">
      <c r="A4105" s="20" t="s">
        <v>1115</v>
      </c>
      <c r="B4105" s="27" t="s">
        <v>1136</v>
      </c>
      <c r="C4105" s="27" t="s">
        <v>1046</v>
      </c>
      <c r="D4105" s="27" t="s">
        <v>1026</v>
      </c>
      <c r="E4105" s="21">
        <f>IF(D4105="?OLD","!!!","")</f>
        <v/>
      </c>
      <c r="F4105" s="22" t="str">
        <f>IF(OR(E4105="",E4105="!!!"),"",IF(NOT(ISNA(VLOOKUP(E4105,E$1:E4104,1,FALSE()))),"OLD",IF(AND(E4105&lt;&gt;"",E4105&lt;&gt;"!!!"),"NEW","")))</f>
        <v> </v>
      </c>
      <c r="G4105" s="23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4" t="str">
        <f>IF(J4105&lt;&gt;1,"",IF(I4105="SBJ","CB","?"))</f>
        <v> </v>
      </c>
      <c r="I4105" s="25" t="str">
        <f>IF(OR(E4105="",E4105="!!!",F4105="NEW"),"",INDEX(B4104:B$2,-1+SUMPRODUCT(MAX(ROW(E4104:E$2)*(E4105=E4104:E$2)))))</f>
        <v> </v>
      </c>
      <c r="J4105" s="25" t="str">
        <f>IF(OR(E4105="",E4105="!!!",F4105="NEW"),"",COUNTBLANK(OFFSET(A$1,,,SUMPRODUCT(MAX(ROW(E$2:E4105)*(E4105=E$2:E4105)))))-COUNTBLANK(OFFSET(A$1,,,SUMPRODUCT(MAX(ROW(E$1:E4104)*(E2=E$1:E4104))))))</f>
        <v> </v>
      </c>
      <c r="K4105" s="25" t="str">
        <f>IF(OR(E4105="",E4105="!!!",F4105="NEW"),"",INDEX(J$1:J4104,SUMPRODUCT(MAX(ROW(E$1:E4104)*(E4105=E$1:E4104)))))</f>
        <v> </v>
      </c>
      <c r="L4105" s="26"/>
    </row>
    <row r="4106" spans="1:12">
      <c r="A4106" s="20" t="s">
        <v>2109</v>
      </c>
      <c r="E4106" s="21">
        <f>IF(D4106="?OLD","!!!","")</f>
        <v/>
      </c>
      <c r="F4106" s="22" t="str">
        <f>IF(OR(E4106="",E4106="!!!"),"",IF(NOT(ISNA(VLOOKUP(E4106,E$1:E4105,1,FALSE()))),"OLD",IF(AND(E4106&lt;&gt;"",E4106&lt;&gt;"!!!"),"NEW","")))</f>
        <v> </v>
      </c>
      <c r="G4106" s="23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4" t="str">
        <f>IF(J4106&lt;&gt;1,"",IF(I4106="SBJ","CB","?"))</f>
        <v> </v>
      </c>
      <c r="I4106" s="25" t="str">
        <f>IF(OR(E4106="",E4106="!!!",F4106="NEW"),"",INDEX(B4105:B$2,-1+SUMPRODUCT(MAX(ROW(E4105:E$2)*(E4106=E4105:E$2)))))</f>
        <v> </v>
      </c>
      <c r="J4106" s="25" t="str">
        <f>IF(OR(E4106="",E4106="!!!",F4106="NEW"),"",COUNTBLANK(OFFSET(A$1,,,SUMPRODUCT(MAX(ROW(E$2:E4106)*(E4106=E$2:E4106)))))-COUNTBLANK(OFFSET(A$1,,,SUMPRODUCT(MAX(ROW(E$1:E4105)*(E2=E$1:E4105))))))</f>
        <v> </v>
      </c>
      <c r="K4106" s="25" t="str">
        <f>IF(OR(E4106="",E4106="!!!",F4106="NEW"),"",INDEX(J$1:J4105,SUMPRODUCT(MAX(ROW(E$1:E4105)*(E4106=E$1:E4105)))))</f>
        <v> </v>
      </c>
      <c r="L4106" s="26"/>
    </row>
    <row r="4107" spans="1:12">
      <c r="A4107" s="20" t="s">
        <v>2324</v>
      </c>
      <c r="E4107" s="21">
        <f>IF(D4107="?OLD","!!!","")</f>
        <v/>
      </c>
      <c r="F4107" s="22" t="str">
        <f>IF(OR(E4107="",E4107="!!!"),"",IF(NOT(ISNA(VLOOKUP(E4107,E$1:E4106,1,FALSE()))),"OLD",IF(AND(E4107&lt;&gt;"",E4107&lt;&gt;"!!!"),"NEW","")))</f>
        <v> </v>
      </c>
      <c r="G4107" s="23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4" t="str">
        <f>IF(J4107&lt;&gt;1,"",IF(I4107="SBJ","CB","?"))</f>
        <v> </v>
      </c>
      <c r="I4107" s="25" t="str">
        <f>IF(OR(E4107="",E4107="!!!",F4107="NEW"),"",INDEX(B4106:B$2,-1+SUMPRODUCT(MAX(ROW(E4106:E$2)*(E4107=E4106:E$2)))))</f>
        <v> </v>
      </c>
      <c r="J4107" s="25" t="str">
        <f>IF(OR(E4107="",E4107="!!!",F4107="NEW"),"",COUNTBLANK(OFFSET(A$1,,,SUMPRODUCT(MAX(ROW(E$2:E4107)*(E4107=E$2:E4107)))))-COUNTBLANK(OFFSET(A$1,,,SUMPRODUCT(MAX(ROW(E$1:E4106)*(E2=E$1:E4106))))))</f>
        <v> </v>
      </c>
      <c r="K4107" s="25" t="str">
        <f>IF(OR(E4107="",E4107="!!!",F4107="NEW"),"",INDEX(J$1:J4106,SUMPRODUCT(MAX(ROW(E$1:E4106)*(E4107=E$1:E4106)))))</f>
        <v> </v>
      </c>
      <c r="L4107" s="26"/>
    </row>
    <row r="4108" spans="1:12">
      <c r="A4108" s="20" t="s">
        <v>1284</v>
      </c>
      <c r="E4108" s="21">
        <f>IF(D4108="?OLD","!!!","")</f>
        <v/>
      </c>
      <c r="F4108" s="22" t="str">
        <f>IF(OR(E4108="",E4108="!!!"),"",IF(NOT(ISNA(VLOOKUP(E4108,E$1:E4107,1,FALSE()))),"OLD",IF(AND(E4108&lt;&gt;"",E4108&lt;&gt;"!!!"),"NEW","")))</f>
        <v> </v>
      </c>
      <c r="G4108" s="23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4" t="str">
        <f>IF(J4108&lt;&gt;1,"",IF(I4108="SBJ","CB","?"))</f>
        <v> </v>
      </c>
      <c r="I4108" s="25" t="str">
        <f>IF(OR(E4108="",E4108="!!!",F4108="NEW"),"",INDEX(B4107:B$2,-1+SUMPRODUCT(MAX(ROW(E4107:E$2)*(E4108=E4107:E$2)))))</f>
        <v> </v>
      </c>
      <c r="J4108" s="25" t="str">
        <f>IF(OR(E4108="",E4108="!!!",F4108="NEW"),"",COUNTBLANK(OFFSET(A$1,,,SUMPRODUCT(MAX(ROW(E$2:E4108)*(E4108=E$2:E4108)))))-COUNTBLANK(OFFSET(A$1,,,SUMPRODUCT(MAX(ROW(E$1:E4107)*(E2=E$1:E4107))))))</f>
        <v> </v>
      </c>
      <c r="K4108" s="25" t="str">
        <f>IF(OR(E4108="",E4108="!!!",F4108="NEW"),"",INDEX(J$1:J4107,SUMPRODUCT(MAX(ROW(E$1:E4107)*(E4108=E$1:E4107)))))</f>
        <v> </v>
      </c>
      <c r="L4108" s="26"/>
    </row>
    <row r="4109" spans="1:12">
      <c r="A4109" s="20" t="s">
        <v>2042</v>
      </c>
      <c r="E4109" s="21">
        <f>IF(D4109="?OLD","!!!","")</f>
        <v/>
      </c>
      <c r="F4109" s="22" t="str">
        <f>IF(OR(E4109="",E4109="!!!"),"",IF(NOT(ISNA(VLOOKUP(E4109,E$1:E4108,1,FALSE()))),"OLD",IF(AND(E4109&lt;&gt;"",E4109&lt;&gt;"!!!"),"NEW","")))</f>
        <v> </v>
      </c>
      <c r="G4109" s="23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4" t="str">
        <f>IF(J4109&lt;&gt;1,"",IF(I4109="SBJ","CB","?"))</f>
        <v> </v>
      </c>
      <c r="I4109" s="25" t="str">
        <f>IF(OR(E4109="",E4109="!!!",F4109="NEW"),"",INDEX(B4108:B$2,-1+SUMPRODUCT(MAX(ROW(E4108:E$2)*(E4109=E4108:E$2)))))</f>
        <v> </v>
      </c>
      <c r="J4109" s="25" t="str">
        <f>IF(OR(E4109="",E4109="!!!",F4109="NEW"),"",COUNTBLANK(OFFSET(A$1,,,SUMPRODUCT(MAX(ROW(E$2:E4109)*(E4109=E$2:E4109)))))-COUNTBLANK(OFFSET(A$1,,,SUMPRODUCT(MAX(ROW(E$1:E4108)*(E2=E$1:E4108))))))</f>
        <v> </v>
      </c>
      <c r="K4109" s="25" t="str">
        <f>IF(OR(E4109="",E4109="!!!",F4109="NEW"),"",INDEX(J$1:J4108,SUMPRODUCT(MAX(ROW(E$1:E4108)*(E4109=E$1:E4108)))))</f>
        <v> </v>
      </c>
      <c r="L4109" s="26"/>
    </row>
    <row r="4110" spans="1:12">
      <c r="A4110" s="20" t="s">
        <v>1041</v>
      </c>
      <c r="E4110" s="21">
        <f>IF(D4110="?OLD","!!!","")</f>
        <v/>
      </c>
      <c r="F4110" s="22" t="str">
        <f>IF(OR(E4110="",E4110="!!!"),"",IF(NOT(ISNA(VLOOKUP(E4110,E$1:E4109,1,FALSE()))),"OLD",IF(AND(E4110&lt;&gt;"",E4110&lt;&gt;"!!!"),"NEW","")))</f>
        <v> </v>
      </c>
      <c r="G4110" s="23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4" t="str">
        <f>IF(J4110&lt;&gt;1,"",IF(I4110="SBJ","CB","?"))</f>
        <v> </v>
      </c>
      <c r="I4110" s="25" t="str">
        <f>IF(OR(E4110="",E4110="!!!",F4110="NEW"),"",INDEX(B4109:B$2,-1+SUMPRODUCT(MAX(ROW(E4109:E$2)*(E4110=E4109:E$2)))))</f>
        <v> </v>
      </c>
      <c r="J4110" s="25" t="str">
        <f>IF(OR(E4110="",E4110="!!!",F4110="NEW"),"",COUNTBLANK(OFFSET(A$1,,,SUMPRODUCT(MAX(ROW(E$2:E4110)*(E4110=E$2:E4110)))))-COUNTBLANK(OFFSET(A$1,,,SUMPRODUCT(MAX(ROW(E$1:E4109)*(E2=E$1:E4109))))))</f>
        <v> </v>
      </c>
      <c r="K4110" s="25" t="str">
        <f>IF(OR(E4110="",E4110="!!!",F4110="NEW"),"",INDEX(J$1:J4109,SUMPRODUCT(MAX(ROW(E$1:E4109)*(E4110=E$1:E4109)))))</f>
        <v> </v>
      </c>
      <c r="L4110" s="26"/>
    </row>
    <row r="4111" spans="1:12">
      <c r="A4111" s="20" t="s">
        <v>1431</v>
      </c>
      <c r="E4111" s="21">
        <f>IF(D4111="?OLD","!!!","")</f>
        <v/>
      </c>
      <c r="F4111" s="22" t="str">
        <f>IF(OR(E4111="",E4111="!!!"),"",IF(NOT(ISNA(VLOOKUP(E4111,E$1:E4110,1,FALSE()))),"OLD",IF(AND(E4111&lt;&gt;"",E4111&lt;&gt;"!!!"),"NEW","")))</f>
        <v> </v>
      </c>
      <c r="G4111" s="23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4" t="str">
        <f>IF(J4111&lt;&gt;1,"",IF(I4111="SBJ","CB","?"))</f>
        <v> </v>
      </c>
      <c r="I4111" s="25" t="str">
        <f>IF(OR(E4111="",E4111="!!!",F4111="NEW"),"",INDEX(B4110:B$2,-1+SUMPRODUCT(MAX(ROW(E4110:E$2)*(E4111=E4110:E$2)))))</f>
        <v> </v>
      </c>
      <c r="J4111" s="25" t="str">
        <f>IF(OR(E4111="",E4111="!!!",F4111="NEW"),"",COUNTBLANK(OFFSET(A$1,,,SUMPRODUCT(MAX(ROW(E$2:E4111)*(E4111=E$2:E4111)))))-COUNTBLANK(OFFSET(A$1,,,SUMPRODUCT(MAX(ROW(E$1:E4110)*(E2=E$1:E4110))))))</f>
        <v> </v>
      </c>
      <c r="K4111" s="25" t="str">
        <f>IF(OR(E4111="",E4111="!!!",F4111="NEW"),"",INDEX(J$1:J4110,SUMPRODUCT(MAX(ROW(E$1:E4110)*(E4111=E$1:E4110)))))</f>
        <v> </v>
      </c>
      <c r="L4111" s="26"/>
    </row>
    <row r="4112" spans="1:12">
      <c r="A4112" s="20" t="s">
        <v>2381</v>
      </c>
      <c r="E4112" s="21">
        <f>IF(D4112="?OLD","!!!","")</f>
        <v/>
      </c>
      <c r="F4112" s="22" t="str">
        <f>IF(OR(E4112="",E4112="!!!"),"",IF(NOT(ISNA(VLOOKUP(E4112,E$1:E4111,1,FALSE()))),"OLD",IF(AND(E4112&lt;&gt;"",E4112&lt;&gt;"!!!"),"NEW","")))</f>
        <v> </v>
      </c>
      <c r="G4112" s="23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4" t="str">
        <f>IF(J4112&lt;&gt;1,"",IF(I4112="SBJ","CB","?"))</f>
        <v> </v>
      </c>
      <c r="I4112" s="25" t="str">
        <f>IF(OR(E4112="",E4112="!!!",F4112="NEW"),"",INDEX(B4111:B$2,-1+SUMPRODUCT(MAX(ROW(E4111:E$2)*(E4112=E4111:E$2)))))</f>
        <v> </v>
      </c>
      <c r="J4112" s="25" t="str">
        <f>IF(OR(E4112="",E4112="!!!",F4112="NEW"),"",COUNTBLANK(OFFSET(A$1,,,SUMPRODUCT(MAX(ROW(E$2:E4112)*(E4112=E$2:E4112)))))-COUNTBLANK(OFFSET(A$1,,,SUMPRODUCT(MAX(ROW(E$1:E4111)*(E2=E$1:E4111))))))</f>
        <v> </v>
      </c>
      <c r="K4112" s="25" t="str">
        <f>IF(OR(E4112="",E4112="!!!",F4112="NEW"),"",INDEX(J$1:J4111,SUMPRODUCT(MAX(ROW(E$1:E4111)*(E4112=E$1:E4111)))))</f>
        <v> </v>
      </c>
      <c r="L4112" s="26"/>
    </row>
    <row r="4113" spans="1:12">
      <c r="A4113" s="20" t="s">
        <v>1041</v>
      </c>
      <c r="E4113" s="21">
        <f>IF(D4113="?OLD","!!!","")</f>
        <v/>
      </c>
      <c r="F4113" s="22" t="str">
        <f>IF(OR(E4113="",E4113="!!!"),"",IF(NOT(ISNA(VLOOKUP(E4113,E$1:E4112,1,FALSE()))),"OLD",IF(AND(E4113&lt;&gt;"",E4113&lt;&gt;"!!!"),"NEW","")))</f>
        <v> </v>
      </c>
      <c r="G4113" s="23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4" t="str">
        <f>IF(J4113&lt;&gt;1,"",IF(I4113="SBJ","CB","?"))</f>
        <v> </v>
      </c>
      <c r="I4113" s="25" t="str">
        <f>IF(OR(E4113="",E4113="!!!",F4113="NEW"),"",INDEX(B4112:B$2,-1+SUMPRODUCT(MAX(ROW(E4112:E$2)*(E4113=E4112:E$2)))))</f>
        <v> </v>
      </c>
      <c r="J4113" s="25" t="str">
        <f>IF(OR(E4113="",E4113="!!!",F4113="NEW"),"",COUNTBLANK(OFFSET(A$1,,,SUMPRODUCT(MAX(ROW(E$2:E4113)*(E4113=E$2:E4113)))))-COUNTBLANK(OFFSET(A$1,,,SUMPRODUCT(MAX(ROW(E$1:E4112)*(E2=E$1:E4112))))))</f>
        <v> </v>
      </c>
      <c r="K4113" s="25" t="str">
        <f>IF(OR(E4113="",E4113="!!!",F4113="NEW"),"",INDEX(J$1:J4112,SUMPRODUCT(MAX(ROW(E$1:E4112)*(E4113=E$1:E4112)))))</f>
        <v> </v>
      </c>
      <c r="L4113" s="26"/>
    </row>
    <row r="4114" spans="1:12">
      <c r="A4114" s="20" t="s">
        <v>1279</v>
      </c>
      <c r="E4114" s="21">
        <f>IF(D4114="?OLD","!!!","")</f>
        <v/>
      </c>
      <c r="F4114" s="22" t="str">
        <f>IF(OR(E4114="",E4114="!!!"),"",IF(NOT(ISNA(VLOOKUP(E4114,E$1:E4113,1,FALSE()))),"OLD",IF(AND(E4114&lt;&gt;"",E4114&lt;&gt;"!!!"),"NEW","")))</f>
        <v> </v>
      </c>
      <c r="G4114" s="23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4" t="str">
        <f>IF(J4114&lt;&gt;1,"",IF(I4114="SBJ","CB","?"))</f>
        <v> </v>
      </c>
      <c r="I4114" s="25" t="str">
        <f>IF(OR(E4114="",E4114="!!!",F4114="NEW"),"",INDEX(B4113:B$2,-1+SUMPRODUCT(MAX(ROW(E4113:E$2)*(E4114=E4113:E$2)))))</f>
        <v> </v>
      </c>
      <c r="J4114" s="25" t="str">
        <f>IF(OR(E4114="",E4114="!!!",F4114="NEW"),"",COUNTBLANK(OFFSET(A$1,,,SUMPRODUCT(MAX(ROW(E$2:E4114)*(E4114=E$2:E4114)))))-COUNTBLANK(OFFSET(A$1,,,SUMPRODUCT(MAX(ROW(E$1:E4113)*(E2=E$1:E4113))))))</f>
        <v> </v>
      </c>
      <c r="K4114" s="25" t="str">
        <f>IF(OR(E4114="",E4114="!!!",F4114="NEW"),"",INDEX(J$1:J4113,SUMPRODUCT(MAX(ROW(E$1:E4113)*(E4114=E$1:E4113)))))</f>
        <v> </v>
      </c>
      <c r="L4114" s="26"/>
    </row>
    <row r="4115" spans="1:12">
      <c r="A4115" s="20" t="s">
        <v>2741</v>
      </c>
      <c r="B4115" s="27" t="s">
        <v>1082</v>
      </c>
      <c r="C4115" s="27" t="s">
        <v>1025</v>
      </c>
      <c r="D4115" s="27" t="s">
        <v>1026</v>
      </c>
      <c r="E4115" s="21">
        <f>IF(D4115="?OLD","!!!","")</f>
        <v/>
      </c>
      <c r="F4115" s="22" t="str">
        <f>IF(OR(E4115="",E4115="!!!"),"",IF(NOT(ISNA(VLOOKUP(E4115,E$1:E4114,1,FALSE()))),"OLD",IF(AND(E4115&lt;&gt;"",E4115&lt;&gt;"!!!"),"NEW","")))</f>
        <v> </v>
      </c>
      <c r="G4115" s="23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4" t="str">
        <f>IF(J4115&lt;&gt;1,"",IF(I4115="SBJ","CB","?"))</f>
        <v> </v>
      </c>
      <c r="I4115" s="25" t="str">
        <f>IF(OR(E4115="",E4115="!!!",F4115="NEW"),"",INDEX(B4114:B$2,-1+SUMPRODUCT(MAX(ROW(E4114:E$2)*(E4115=E4114:E$2)))))</f>
        <v> </v>
      </c>
      <c r="J4115" s="25" t="str">
        <f>IF(OR(E4115="",E4115="!!!",F4115="NEW"),"",COUNTBLANK(OFFSET(A$1,,,SUMPRODUCT(MAX(ROW(E$2:E4115)*(E4115=E$2:E4115)))))-COUNTBLANK(OFFSET(A$1,,,SUMPRODUCT(MAX(ROW(E$1:E4114)*(E2=E$1:E4114))))))</f>
        <v> </v>
      </c>
      <c r="K4115" s="25" t="str">
        <f>IF(OR(E4115="",E4115="!!!",F4115="NEW"),"",INDEX(J$1:J4114,SUMPRODUCT(MAX(ROW(E$1:E4114)*(E4115=E$1:E4114)))))</f>
        <v> </v>
      </c>
      <c r="L4115" s="26"/>
    </row>
    <row r="4116" spans="1:12">
      <c r="A4116" s="20" t="s">
        <v>2089</v>
      </c>
      <c r="E4116" s="21">
        <f>IF(D4116="?OLD","!!!","")</f>
        <v/>
      </c>
      <c r="F4116" s="22" t="str">
        <f>IF(OR(E4116="",E4116="!!!"),"",IF(NOT(ISNA(VLOOKUP(E4116,E$1:E4115,1,FALSE()))),"OLD",IF(AND(E4116&lt;&gt;"",E4116&lt;&gt;"!!!"),"NEW","")))</f>
        <v> </v>
      </c>
      <c r="G4116" s="23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4" t="str">
        <f>IF(J4116&lt;&gt;1,"",IF(I4116="SBJ","CB","?"))</f>
        <v> </v>
      </c>
      <c r="I4116" s="25" t="str">
        <f>IF(OR(E4116="",E4116="!!!",F4116="NEW"),"",INDEX(B4115:B$2,-1+SUMPRODUCT(MAX(ROW(E4115:E$2)*(E4116=E4115:E$2)))))</f>
        <v> </v>
      </c>
      <c r="J4116" s="25" t="str">
        <f>IF(OR(E4116="",E4116="!!!",F4116="NEW"),"",COUNTBLANK(OFFSET(A$1,,,SUMPRODUCT(MAX(ROW(E$2:E4116)*(E4116=E$2:E4116)))))-COUNTBLANK(OFFSET(A$1,,,SUMPRODUCT(MAX(ROW(E$1:E4115)*(E2=E$1:E4115))))))</f>
        <v> </v>
      </c>
      <c r="K4116" s="25" t="str">
        <f>IF(OR(E4116="",E4116="!!!",F4116="NEW"),"",INDEX(J$1:J4115,SUMPRODUCT(MAX(ROW(E$1:E4115)*(E4116=E$1:E4115)))))</f>
        <v> </v>
      </c>
      <c r="L4116" s="26"/>
    </row>
    <row r="4117" spans="1:12">
      <c r="A4117" s="20" t="s">
        <v>1050</v>
      </c>
      <c r="E4117" s="21">
        <f>IF(D4117="?OLD","!!!","")</f>
        <v/>
      </c>
      <c r="F4117" s="22" t="str">
        <f>IF(OR(E4117="",E4117="!!!"),"",IF(NOT(ISNA(VLOOKUP(E4117,E$1:E4116,1,FALSE()))),"OLD",IF(AND(E4117&lt;&gt;"",E4117&lt;&gt;"!!!"),"NEW","")))</f>
        <v> </v>
      </c>
      <c r="G4117" s="23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4" t="str">
        <f>IF(J4117&lt;&gt;1,"",IF(I4117="SBJ","CB","?"))</f>
        <v> </v>
      </c>
      <c r="I4117" s="25" t="str">
        <f>IF(OR(E4117="",E4117="!!!",F4117="NEW"),"",INDEX(B4116:B$2,-1+SUMPRODUCT(MAX(ROW(E4116:E$2)*(E4117=E4116:E$2)))))</f>
        <v> </v>
      </c>
      <c r="J4117" s="25" t="str">
        <f>IF(OR(E4117="",E4117="!!!",F4117="NEW"),"",COUNTBLANK(OFFSET(A$1,,,SUMPRODUCT(MAX(ROW(E$2:E4117)*(E4117=E$2:E4117)))))-COUNTBLANK(OFFSET(A$1,,,SUMPRODUCT(MAX(ROW(E$1:E4116)*(E2=E$1:E4116))))))</f>
        <v> </v>
      </c>
      <c r="K4117" s="25" t="str">
        <f>IF(OR(E4117="",E4117="!!!",F4117="NEW"),"",INDEX(J$1:J4116,SUMPRODUCT(MAX(ROW(E$1:E4116)*(E4117=E$1:E4116)))))</f>
        <v> </v>
      </c>
      <c r="L4117" s="26"/>
    </row>
    <row r="4118" spans="1:12">
      <c r="A4118" s="20" t="s">
        <v>2742</v>
      </c>
      <c r="E4118" s="21">
        <f>IF(D4118="?OLD","!!!","")</f>
        <v/>
      </c>
      <c r="F4118" s="22" t="str">
        <f>IF(OR(E4118="",E4118="!!!"),"",IF(NOT(ISNA(VLOOKUP(E4118,E$1:E4117,1,FALSE()))),"OLD",IF(AND(E4118&lt;&gt;"",E4118&lt;&gt;"!!!"),"NEW","")))</f>
        <v> </v>
      </c>
      <c r="G4118" s="23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4" t="str">
        <f>IF(J4118&lt;&gt;1,"",IF(I4118="SBJ","CB","?"))</f>
        <v> </v>
      </c>
      <c r="I4118" s="25" t="str">
        <f>IF(OR(E4118="",E4118="!!!",F4118="NEW"),"",INDEX(B4117:B$2,-1+SUMPRODUCT(MAX(ROW(E4117:E$2)*(E4118=E4117:E$2)))))</f>
        <v> </v>
      </c>
      <c r="J4118" s="25" t="str">
        <f>IF(OR(E4118="",E4118="!!!",F4118="NEW"),"",COUNTBLANK(OFFSET(A$1,,,SUMPRODUCT(MAX(ROW(E$2:E4118)*(E4118=E$2:E4118)))))-COUNTBLANK(OFFSET(A$1,,,SUMPRODUCT(MAX(ROW(E$1:E4117)*(E2=E$1:E4117))))))</f>
        <v> </v>
      </c>
      <c r="K4118" s="25" t="str">
        <f>IF(OR(E4118="",E4118="!!!",F4118="NEW"),"",INDEX(J$1:J4117,SUMPRODUCT(MAX(ROW(E$1:E4117)*(E4118=E$1:E4117)))))</f>
        <v> </v>
      </c>
      <c r="L4118" s="26"/>
    </row>
    <row r="4119" spans="1:12">
      <c r="A4119" s="20" t="s">
        <v>2090</v>
      </c>
      <c r="E4119" s="21">
        <f>IF(D4119="?OLD","!!!","")</f>
        <v/>
      </c>
      <c r="F4119" s="22" t="str">
        <f>IF(OR(E4119="",E4119="!!!"),"",IF(NOT(ISNA(VLOOKUP(E4119,E$1:E4118,1,FALSE()))),"OLD",IF(AND(E4119&lt;&gt;"",E4119&lt;&gt;"!!!"),"NEW","")))</f>
        <v> </v>
      </c>
      <c r="G4119" s="23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4" t="str">
        <f>IF(J4119&lt;&gt;1,"",IF(I4119="SBJ","CB","?"))</f>
        <v> </v>
      </c>
      <c r="I4119" s="25" t="str">
        <f>IF(OR(E4119="",E4119="!!!",F4119="NEW"),"",INDEX(B4118:B$2,-1+SUMPRODUCT(MAX(ROW(E4118:E$2)*(E4119=E4118:E$2)))))</f>
        <v> </v>
      </c>
      <c r="J4119" s="25" t="str">
        <f>IF(OR(E4119="",E4119="!!!",F4119="NEW"),"",COUNTBLANK(OFFSET(A$1,,,SUMPRODUCT(MAX(ROW(E$2:E4119)*(E4119=E$2:E4119)))))-COUNTBLANK(OFFSET(A$1,,,SUMPRODUCT(MAX(ROW(E$1:E4118)*(E2=E$1:E4118))))))</f>
        <v> </v>
      </c>
      <c r="K4119" s="25" t="str">
        <f>IF(OR(E4119="",E4119="!!!",F4119="NEW"),"",INDEX(J$1:J4118,SUMPRODUCT(MAX(ROW(E$1:E4118)*(E4119=E$1:E4118)))))</f>
        <v> </v>
      </c>
      <c r="L4119" s="26"/>
    </row>
    <row r="4120" spans="1:12">
      <c r="A4120" s="20" t="s">
        <v>1041</v>
      </c>
      <c r="E4120" s="21">
        <f>IF(D4120="?OLD","!!!","")</f>
        <v/>
      </c>
      <c r="F4120" s="22" t="str">
        <f>IF(OR(E4120="",E4120="!!!"),"",IF(NOT(ISNA(VLOOKUP(E4120,E$1:E4119,1,FALSE()))),"OLD",IF(AND(E4120&lt;&gt;"",E4120&lt;&gt;"!!!"),"NEW","")))</f>
        <v> </v>
      </c>
      <c r="G4120" s="23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4" t="str">
        <f>IF(J4120&lt;&gt;1,"",IF(I4120="SBJ","CB","?"))</f>
        <v> </v>
      </c>
      <c r="I4120" s="25" t="str">
        <f>IF(OR(E4120="",E4120="!!!",F4120="NEW"),"",INDEX(B4119:B$2,-1+SUMPRODUCT(MAX(ROW(E4119:E$2)*(E4120=E4119:E$2)))))</f>
        <v> </v>
      </c>
      <c r="J4120" s="25" t="str">
        <f>IF(OR(E4120="",E4120="!!!",F4120="NEW"),"",COUNTBLANK(OFFSET(A$1,,,SUMPRODUCT(MAX(ROW(E$2:E4120)*(E4120=E$2:E4120)))))-COUNTBLANK(OFFSET(A$1,,,SUMPRODUCT(MAX(ROW(E$1:E4119)*(E2=E$1:E4119))))))</f>
        <v> </v>
      </c>
      <c r="K4120" s="25" t="str">
        <f>IF(OR(E4120="",E4120="!!!",F4120="NEW"),"",INDEX(J$1:J4119,SUMPRODUCT(MAX(ROW(E$1:E4119)*(E4120=E$1:E4119)))))</f>
        <v> </v>
      </c>
      <c r="L4120" s="26"/>
    </row>
    <row r="4121" spans="1:12">
      <c r="A4121" s="20" t="s">
        <v>1035</v>
      </c>
      <c r="B4121" s="27" t="s">
        <v>1082</v>
      </c>
      <c r="C4121" s="27" t="s">
        <v>1036</v>
      </c>
      <c r="D4121" s="27" t="s">
        <v>1026</v>
      </c>
      <c r="E4121" s="21">
        <f>IF(D4121="?OLD","!!!","")</f>
        <v/>
      </c>
      <c r="F4121" s="22" t="str">
        <f>IF(OR(E4121="",E4121="!!!"),"",IF(NOT(ISNA(VLOOKUP(E4121,E$1:E4120,1,FALSE()))),"OLD",IF(AND(E4121&lt;&gt;"",E4121&lt;&gt;"!!!"),"NEW","")))</f>
        <v> </v>
      </c>
      <c r="G4121" s="23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4" t="str">
        <f>IF(J4121&lt;&gt;1,"",IF(I4121="SBJ","CB","?"))</f>
        <v> </v>
      </c>
      <c r="I4121" s="25" t="str">
        <f>IF(OR(E4121="",E4121="!!!",F4121="NEW"),"",INDEX(B4120:B$2,-1+SUMPRODUCT(MAX(ROW(E4120:E$2)*(E4121=E4120:E$2)))))</f>
        <v> </v>
      </c>
      <c r="J4121" s="25" t="str">
        <f>IF(OR(E4121="",E4121="!!!",F4121="NEW"),"",COUNTBLANK(OFFSET(A$1,,,SUMPRODUCT(MAX(ROW(E$2:E4121)*(E4121=E$2:E4121)))))-COUNTBLANK(OFFSET(A$1,,,SUMPRODUCT(MAX(ROW(E$1:E4120)*(E2=E$1:E4120))))))</f>
        <v> </v>
      </c>
      <c r="K4121" s="25" t="str">
        <f>IF(OR(E4121="",E4121="!!!",F4121="NEW"),"",INDEX(J$1:J4120,SUMPRODUCT(MAX(ROW(E$1:E4120)*(E4121=E$1:E4120)))))</f>
        <v> </v>
      </c>
      <c r="L4121" s="26"/>
    </row>
    <row r="4122" spans="1:12">
      <c r="A4122" s="20" t="s">
        <v>2743</v>
      </c>
      <c r="E4122" s="21">
        <f>IF(D4122="?OLD","!!!","")</f>
        <v/>
      </c>
      <c r="F4122" s="22" t="str">
        <f>IF(OR(E4122="",E4122="!!!"),"",IF(NOT(ISNA(VLOOKUP(E4122,E$1:E4121,1,FALSE()))),"OLD",IF(AND(E4122&lt;&gt;"",E4122&lt;&gt;"!!!"),"NEW","")))</f>
        <v> </v>
      </c>
      <c r="G4122" s="23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4" t="str">
        <f>IF(J4122&lt;&gt;1,"",IF(I4122="SBJ","CB","?"))</f>
        <v> </v>
      </c>
      <c r="I4122" s="25" t="str">
        <f>IF(OR(E4122="",E4122="!!!",F4122="NEW"),"",INDEX(B4121:B$2,-1+SUMPRODUCT(MAX(ROW(E4121:E$2)*(E4122=E4121:E$2)))))</f>
        <v> </v>
      </c>
      <c r="J4122" s="25" t="str">
        <f>IF(OR(E4122="",E4122="!!!",F4122="NEW"),"",COUNTBLANK(OFFSET(A$1,,,SUMPRODUCT(MAX(ROW(E$2:E4122)*(E4122=E$2:E4122)))))-COUNTBLANK(OFFSET(A$1,,,SUMPRODUCT(MAX(ROW(E$1:E4121)*(E2=E$1:E4121))))))</f>
        <v> </v>
      </c>
      <c r="K4122" s="25" t="str">
        <f>IF(OR(E4122="",E4122="!!!",F4122="NEW"),"",INDEX(J$1:J4121,SUMPRODUCT(MAX(ROW(E$1:E4121)*(E4122=E$1:E4121)))))</f>
        <v> </v>
      </c>
      <c r="L4122" s="26"/>
    </row>
    <row r="4123" spans="1:12">
      <c r="A4123" s="20" t="s">
        <v>2744</v>
      </c>
      <c r="E4123" s="21">
        <f>IF(D4123="?OLD","!!!","")</f>
        <v/>
      </c>
      <c r="F4123" s="22" t="str">
        <f>IF(OR(E4123="",E4123="!!!"),"",IF(NOT(ISNA(VLOOKUP(E4123,E$1:E4122,1,FALSE()))),"OLD",IF(AND(E4123&lt;&gt;"",E4123&lt;&gt;"!!!"),"NEW","")))</f>
        <v> </v>
      </c>
      <c r="G4123" s="23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4" t="str">
        <f>IF(J4123&lt;&gt;1,"",IF(I4123="SBJ","CB","?"))</f>
        <v> </v>
      </c>
      <c r="I4123" s="25" t="str">
        <f>IF(OR(E4123="",E4123="!!!",F4123="NEW"),"",INDEX(B4122:B$2,-1+SUMPRODUCT(MAX(ROW(E4122:E$2)*(E4123=E4122:E$2)))))</f>
        <v> </v>
      </c>
      <c r="J4123" s="25" t="str">
        <f>IF(OR(E4123="",E4123="!!!",F4123="NEW"),"",COUNTBLANK(OFFSET(A$1,,,SUMPRODUCT(MAX(ROW(E$2:E4123)*(E4123=E$2:E4123)))))-COUNTBLANK(OFFSET(A$1,,,SUMPRODUCT(MAX(ROW(E$1:E4122)*(E2=E$1:E4122))))))</f>
        <v> </v>
      </c>
      <c r="K4123" s="25" t="str">
        <f>IF(OR(E4123="",E4123="!!!",F4123="NEW"),"",INDEX(J$1:J4122,SUMPRODUCT(MAX(ROW(E$1:E4122)*(E4123=E$1:E4122)))))</f>
        <v> </v>
      </c>
      <c r="L4123" s="26"/>
    </row>
    <row r="4124" spans="1:12">
      <c r="A4124" s="20" t="s">
        <v>1032</v>
      </c>
      <c r="E4124" s="21">
        <f>IF(D4124="?OLD","!!!","")</f>
        <v/>
      </c>
      <c r="F4124" s="22" t="str">
        <f>IF(OR(E4124="",E4124="!!!"),"",IF(NOT(ISNA(VLOOKUP(E4124,E$1:E4123,1,FALSE()))),"OLD",IF(AND(E4124&lt;&gt;"",E4124&lt;&gt;"!!!"),"NEW","")))</f>
        <v> </v>
      </c>
      <c r="G4124" s="23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4" t="str">
        <f>IF(J4124&lt;&gt;1,"",IF(I4124="SBJ","CB","?"))</f>
        <v> </v>
      </c>
      <c r="I4124" s="25" t="str">
        <f>IF(OR(E4124="",E4124="!!!",F4124="NEW"),"",INDEX(B4123:B$2,-1+SUMPRODUCT(MAX(ROW(E4123:E$2)*(E4124=E4123:E$2)))))</f>
        <v> </v>
      </c>
      <c r="J4124" s="25" t="str">
        <f>IF(OR(E4124="",E4124="!!!",F4124="NEW"),"",COUNTBLANK(OFFSET(A$1,,,SUMPRODUCT(MAX(ROW(E$2:E4124)*(E4124=E$2:E4124)))))-COUNTBLANK(OFFSET(A$1,,,SUMPRODUCT(MAX(ROW(E$1:E4123)*(E2=E$1:E4123))))))</f>
        <v> </v>
      </c>
      <c r="K4124" s="25" t="str">
        <f>IF(OR(E4124="",E4124="!!!",F4124="NEW"),"",INDEX(J$1:J4123,SUMPRODUCT(MAX(ROW(E$1:E4123)*(E4124=E$1:E4123)))))</f>
        <v> </v>
      </c>
      <c r="L4124" s="26"/>
    </row>
    <row r="4125" spans="1:12">
      <c r="A4125" s="20"/>
    </row>
    <row r="4126" spans="1:12">
      <c r="A4126" s="20" t="s">
        <v>2745</v>
      </c>
    </row>
    <row r="4127" spans="1:12">
      <c r="A4127" s="20" t="s">
        <v>1680</v>
      </c>
      <c r="E4127" s="21">
        <f>IF(D4127="?OLD","!!!","")</f>
        <v/>
      </c>
      <c r="F4127" s="22" t="str">
        <f>IF(OR(E4127="",E4127="!!!"),"",IF(NOT(ISNA(VLOOKUP(E4127,E$1:E4126,1,FALSE()))),"OLD",IF(AND(E4127&lt;&gt;"",E4127&lt;&gt;"!!!"),"NEW","")))</f>
        <v> </v>
      </c>
      <c r="G4127" s="23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4" t="str">
        <f>IF(J4127&lt;&gt;1,"",IF(I4127="SBJ","CB","?"))</f>
        <v> </v>
      </c>
      <c r="I4127" s="25" t="str">
        <f>IF(OR(E4127="",E4127="!!!",F4127="NEW"),"",INDEX(B4126:B$2,-1+SUMPRODUCT(MAX(ROW(E4126:E$2)*(E4127=E4126:E$2)))))</f>
        <v> </v>
      </c>
      <c r="J4127" s="25" t="str">
        <f>IF(OR(E4127="",E4127="!!!",F4127="NEW"),"",COUNTBLANK(OFFSET(A$1,,,SUMPRODUCT(MAX(ROW(E$2:E4127)*(E4127=E$2:E4127)))))-COUNTBLANK(OFFSET(A$1,,,SUMPRODUCT(MAX(ROW(E$1:E4126)*(E2=E$1:E4126))))))</f>
        <v> </v>
      </c>
      <c r="K4127" s="25" t="str">
        <f>IF(OR(E4127="",E4127="!!!",F4127="NEW"),"",INDEX(J$1:J4126,SUMPRODUCT(MAX(ROW(E$1:E4126)*(E4127=E$1:E4126)))))</f>
        <v> </v>
      </c>
      <c r="L4127" s="26"/>
    </row>
    <row r="4128" spans="1:12">
      <c r="A4128" s="20" t="s">
        <v>2551</v>
      </c>
      <c r="B4128" s="27" t="s">
        <v>1024</v>
      </c>
      <c r="E4128" s="21">
        <f>IF(D4128="?OLD","!!!","")</f>
        <v/>
      </c>
      <c r="F4128" s="22" t="str">
        <f>IF(OR(E4128="",E4128="!!!"),"",IF(NOT(ISNA(VLOOKUP(E4128,E$1:E4127,1,FALSE()))),"OLD",IF(AND(E4128&lt;&gt;"",E4128&lt;&gt;"!!!"),"NEW","")))</f>
        <v> </v>
      </c>
      <c r="G4128" s="23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4" t="str">
        <f>IF(J4128&lt;&gt;1,"",IF(I4128="SBJ","CB","?"))</f>
        <v> </v>
      </c>
      <c r="I4128" s="25" t="str">
        <f>IF(OR(E4128="",E4128="!!!",F4128="NEW"),"",INDEX(B4127:B$2,-1+SUMPRODUCT(MAX(ROW(E4127:E$2)*(E4128=E4127:E$2)))))</f>
        <v> </v>
      </c>
      <c r="J4128" s="25" t="str">
        <f>IF(OR(E4128="",E4128="!!!",F4128="NEW"),"",COUNTBLANK(OFFSET(A$1,,,SUMPRODUCT(MAX(ROW(E$2:E4128)*(E4128=E$2:E4128)))))-COUNTBLANK(OFFSET(A$1,,,SUMPRODUCT(MAX(ROW(E$1:E4127)*(E2=E$1:E4127))))))</f>
        <v> </v>
      </c>
      <c r="K4128" s="25" t="str">
        <f>IF(OR(E4128="",E4128="!!!",F4128="NEW"),"",INDEX(J$1:J4127,SUMPRODUCT(MAX(ROW(E$1:E4127)*(E4128=E$1:E4127)))))</f>
        <v> </v>
      </c>
      <c r="L4128" s="26"/>
    </row>
    <row r="4129" spans="1:12">
      <c r="A4129" s="20" t="s">
        <v>1807</v>
      </c>
      <c r="E4129" s="21">
        <f>IF(D4129="?OLD","!!!","")</f>
        <v/>
      </c>
      <c r="F4129" s="22" t="str">
        <f>IF(OR(E4129="",E4129="!!!"),"",IF(NOT(ISNA(VLOOKUP(E4129,E$1:E4128,1,FALSE()))),"OLD",IF(AND(E4129&lt;&gt;"",E4129&lt;&gt;"!!!"),"NEW","")))</f>
        <v> </v>
      </c>
      <c r="G4129" s="23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4" t="str">
        <f>IF(J4129&lt;&gt;1,"",IF(I4129="SBJ","CB","?"))</f>
        <v> </v>
      </c>
      <c r="I4129" s="25" t="str">
        <f>IF(OR(E4129="",E4129="!!!",F4129="NEW"),"",INDEX(B4128:B$2,-1+SUMPRODUCT(MAX(ROW(E4128:E$2)*(E4129=E4128:E$2)))))</f>
        <v> </v>
      </c>
      <c r="J4129" s="25" t="str">
        <f>IF(OR(E4129="",E4129="!!!",F4129="NEW"),"",COUNTBLANK(OFFSET(A$1,,,SUMPRODUCT(MAX(ROW(E$2:E4129)*(E4129=E$2:E4129)))))-COUNTBLANK(OFFSET(A$1,,,SUMPRODUCT(MAX(ROW(E$1:E4128)*(E2=E$1:E4128))))))</f>
        <v> </v>
      </c>
      <c r="K4129" s="25" t="str">
        <f>IF(OR(E4129="",E4129="!!!",F4129="NEW"),"",INDEX(J$1:J4128,SUMPRODUCT(MAX(ROW(E$1:E4128)*(E4129=E$1:E4128)))))</f>
        <v> </v>
      </c>
      <c r="L4129" s="26"/>
    </row>
    <row r="4130" spans="1:12">
      <c r="A4130" s="20" t="s">
        <v>1739</v>
      </c>
      <c r="E4130" s="21">
        <f>IF(D4130="?OLD","!!!","")</f>
        <v/>
      </c>
      <c r="F4130" s="22" t="str">
        <f>IF(OR(E4130="",E4130="!!!"),"",IF(NOT(ISNA(VLOOKUP(E4130,E$1:E4129,1,FALSE()))),"OLD",IF(AND(E4130&lt;&gt;"",E4130&lt;&gt;"!!!"),"NEW","")))</f>
        <v> </v>
      </c>
      <c r="G4130" s="23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4" t="str">
        <f>IF(J4130&lt;&gt;1,"",IF(I4130="SBJ","CB","?"))</f>
        <v> </v>
      </c>
      <c r="I4130" s="25" t="str">
        <f>IF(OR(E4130="",E4130="!!!",F4130="NEW"),"",INDEX(B4129:B$2,-1+SUMPRODUCT(MAX(ROW(E4129:E$2)*(E4130=E4129:E$2)))))</f>
        <v> </v>
      </c>
      <c r="J4130" s="25" t="str">
        <f>IF(OR(E4130="",E4130="!!!",F4130="NEW"),"",COUNTBLANK(OFFSET(A$1,,,SUMPRODUCT(MAX(ROW(E$2:E4130)*(E4130=E$2:E4130)))))-COUNTBLANK(OFFSET(A$1,,,SUMPRODUCT(MAX(ROW(E$1:E4129)*(E2=E$1:E4129))))))</f>
        <v> </v>
      </c>
      <c r="K4130" s="25" t="str">
        <f>IF(OR(E4130="",E4130="!!!",F4130="NEW"),"",INDEX(J$1:J4129,SUMPRODUCT(MAX(ROW(E$1:E4129)*(E4130=E$1:E4129)))))</f>
        <v> </v>
      </c>
      <c r="L4130" s="26"/>
    </row>
    <row r="4131" spans="1:12">
      <c r="A4131" s="20" t="s">
        <v>1041</v>
      </c>
      <c r="E4131" s="21">
        <f>IF(D4131="?OLD","!!!","")</f>
        <v/>
      </c>
      <c r="F4131" s="22" t="str">
        <f>IF(OR(E4131="",E4131="!!!"),"",IF(NOT(ISNA(VLOOKUP(E4131,E$1:E4130,1,FALSE()))),"OLD",IF(AND(E4131&lt;&gt;"",E4131&lt;&gt;"!!!"),"NEW","")))</f>
        <v> </v>
      </c>
      <c r="G4131" s="23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4" t="str">
        <f>IF(J4131&lt;&gt;1,"",IF(I4131="SBJ","CB","?"))</f>
        <v> </v>
      </c>
      <c r="I4131" s="25" t="str">
        <f>IF(OR(E4131="",E4131="!!!",F4131="NEW"),"",INDEX(B4130:B$2,-1+SUMPRODUCT(MAX(ROW(E4130:E$2)*(E4131=E4130:E$2)))))</f>
        <v> </v>
      </c>
      <c r="J4131" s="25" t="str">
        <f>IF(OR(E4131="",E4131="!!!",F4131="NEW"),"",COUNTBLANK(OFFSET(A$1,,,SUMPRODUCT(MAX(ROW(E$2:E4131)*(E4131=E$2:E4131)))))-COUNTBLANK(OFFSET(A$1,,,SUMPRODUCT(MAX(ROW(E$1:E4130)*(E2=E$1:E4130))))))</f>
        <v> </v>
      </c>
      <c r="K4131" s="25" t="str">
        <f>IF(OR(E4131="",E4131="!!!",F4131="NEW"),"",INDEX(J$1:J4130,SUMPRODUCT(MAX(ROW(E$1:E4130)*(E4131=E$1:E4130)))))</f>
        <v> </v>
      </c>
      <c r="L4131" s="26"/>
    </row>
    <row r="4132" spans="1:12">
      <c r="A4132" s="20" t="s">
        <v>1894</v>
      </c>
      <c r="B4132" s="27" t="s">
        <v>1409</v>
      </c>
      <c r="C4132" s="27" t="s">
        <v>1151</v>
      </c>
      <c r="E4132" s="21">
        <f>IF(D4132="?OLD","!!!","")</f>
        <v/>
      </c>
      <c r="F4132" s="22" t="str">
        <f>IF(OR(E4132="",E4132="!!!"),"",IF(NOT(ISNA(VLOOKUP(E4132,E$1:E4131,1,FALSE()))),"OLD",IF(AND(E4132&lt;&gt;"",E4132&lt;&gt;"!!!"),"NEW","")))</f>
        <v> </v>
      </c>
      <c r="G4132" s="23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4" t="str">
        <f>IF(J4132&lt;&gt;1,"",IF(I4132="SBJ","CB","?"))</f>
        <v> </v>
      </c>
      <c r="I4132" s="25" t="str">
        <f>IF(OR(E4132="",E4132="!!!",F4132="NEW"),"",INDEX(B4131:B$2,-1+SUMPRODUCT(MAX(ROW(E4131:E$2)*(E4132=E4131:E$2)))))</f>
        <v> </v>
      </c>
      <c r="J4132" s="25" t="str">
        <f>IF(OR(E4132="",E4132="!!!",F4132="NEW"),"",COUNTBLANK(OFFSET(A$1,,,SUMPRODUCT(MAX(ROW(E$2:E4132)*(E4132=E$2:E4132)))))-COUNTBLANK(OFFSET(A$1,,,SUMPRODUCT(MAX(ROW(E$1:E4131)*(E2=E$1:E4131))))))</f>
        <v> </v>
      </c>
      <c r="K4132" s="25" t="str">
        <f>IF(OR(E4132="",E4132="!!!",F4132="NEW"),"",INDEX(J$1:J4131,SUMPRODUCT(MAX(ROW(E$1:E4131)*(E4132=E$1:E4131)))))</f>
        <v> </v>
      </c>
      <c r="L4132" s="26"/>
    </row>
    <row r="4133" spans="1:12">
      <c r="A4133" s="20" t="s">
        <v>1041</v>
      </c>
      <c r="E4133" s="21">
        <f>IF(D4133="?OLD","!!!","")</f>
        <v/>
      </c>
      <c r="F4133" s="22" t="str">
        <f>IF(OR(E4133="",E4133="!!!"),"",IF(NOT(ISNA(VLOOKUP(E4133,E$1:E4132,1,FALSE()))),"OLD",IF(AND(E4133&lt;&gt;"",E4133&lt;&gt;"!!!"),"NEW","")))</f>
        <v> </v>
      </c>
      <c r="G4133" s="23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4" t="str">
        <f>IF(J4133&lt;&gt;1,"",IF(I4133="SBJ","CB","?"))</f>
        <v> </v>
      </c>
      <c r="I4133" s="25" t="str">
        <f>IF(OR(E4133="",E4133="!!!",F4133="NEW"),"",INDEX(B4132:B$2,-1+SUMPRODUCT(MAX(ROW(E4132:E$2)*(E4133=E4132:E$2)))))</f>
        <v> </v>
      </c>
      <c r="J4133" s="25" t="str">
        <f>IF(OR(E4133="",E4133="!!!",F4133="NEW"),"",COUNTBLANK(OFFSET(A$1,,,SUMPRODUCT(MAX(ROW(E$2:E4133)*(E4133=E$2:E4133)))))-COUNTBLANK(OFFSET(A$1,,,SUMPRODUCT(MAX(ROW(E$1:E4132)*(E2=E$1:E4132))))))</f>
        <v> </v>
      </c>
      <c r="K4133" s="25" t="str">
        <f>IF(OR(E4133="",E4133="!!!",F4133="NEW"),"",INDEX(J$1:J4132,SUMPRODUCT(MAX(ROW(E$1:E4132)*(E4133=E$1:E4132)))))</f>
        <v> </v>
      </c>
      <c r="L4133" s="26"/>
    </row>
    <row r="4134" spans="1:12">
      <c r="A4134" s="20" t="s">
        <v>2746</v>
      </c>
      <c r="E4134" s="21">
        <f>IF(D4134="?OLD","!!!","")</f>
        <v/>
      </c>
      <c r="F4134" s="22" t="str">
        <f>IF(OR(E4134="",E4134="!!!"),"",IF(NOT(ISNA(VLOOKUP(E4134,E$1:E4133,1,FALSE()))),"OLD",IF(AND(E4134&lt;&gt;"",E4134&lt;&gt;"!!!"),"NEW","")))</f>
        <v> </v>
      </c>
      <c r="G4134" s="23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4" t="str">
        <f>IF(J4134&lt;&gt;1,"",IF(I4134="SBJ","CB","?"))</f>
        <v> </v>
      </c>
      <c r="I4134" s="25" t="str">
        <f>IF(OR(E4134="",E4134="!!!",F4134="NEW"),"",INDEX(B4133:B$2,-1+SUMPRODUCT(MAX(ROW(E4133:E$2)*(E4134=E4133:E$2)))))</f>
        <v> </v>
      </c>
      <c r="J4134" s="25" t="str">
        <f>IF(OR(E4134="",E4134="!!!",F4134="NEW"),"",COUNTBLANK(OFFSET(A$1,,,SUMPRODUCT(MAX(ROW(E$2:E4134)*(E4134=E$2:E4134)))))-COUNTBLANK(OFFSET(A$1,,,SUMPRODUCT(MAX(ROW(E$1:E4133)*(E2=E$1:E4133))))))</f>
        <v> </v>
      </c>
      <c r="K4134" s="25" t="str">
        <f>IF(OR(E4134="",E4134="!!!",F4134="NEW"),"",INDEX(J$1:J4133,SUMPRODUCT(MAX(ROW(E$1:E4133)*(E4134=E$1:E4133)))))</f>
        <v> </v>
      </c>
      <c r="L4134" s="26"/>
    </row>
    <row r="4135" spans="1:12">
      <c r="A4135" s="20" t="s">
        <v>1041</v>
      </c>
      <c r="E4135" s="21">
        <f>IF(D4135="?OLD","!!!","")</f>
        <v/>
      </c>
      <c r="F4135" s="22" t="str">
        <f>IF(OR(E4135="",E4135="!!!"),"",IF(NOT(ISNA(VLOOKUP(E4135,E$1:E4134,1,FALSE()))),"OLD",IF(AND(E4135&lt;&gt;"",E4135&lt;&gt;"!!!"),"NEW","")))</f>
        <v> </v>
      </c>
      <c r="G4135" s="23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4" t="str">
        <f>IF(J4135&lt;&gt;1,"",IF(I4135="SBJ","CB","?"))</f>
        <v> </v>
      </c>
      <c r="I4135" s="25" t="str">
        <f>IF(OR(E4135="",E4135="!!!",F4135="NEW"),"",INDEX(B4134:B$2,-1+SUMPRODUCT(MAX(ROW(E4134:E$2)*(E4135=E4134:E$2)))))</f>
        <v> </v>
      </c>
      <c r="J4135" s="25" t="str">
        <f>IF(OR(E4135="",E4135="!!!",F4135="NEW"),"",COUNTBLANK(OFFSET(A$1,,,SUMPRODUCT(MAX(ROW(E$2:E4135)*(E4135=E$2:E4135)))))-COUNTBLANK(OFFSET(A$1,,,SUMPRODUCT(MAX(ROW(E$1:E4134)*(E2=E$1:E4134))))))</f>
        <v> </v>
      </c>
      <c r="K4135" s="25" t="str">
        <f>IF(OR(E4135="",E4135="!!!",F4135="NEW"),"",INDEX(J$1:J4134,SUMPRODUCT(MAX(ROW(E$1:E4134)*(E4135=E$1:E4134)))))</f>
        <v> </v>
      </c>
      <c r="L4135" s="26"/>
    </row>
    <row r="4136" spans="1:12">
      <c r="A4136" s="20" t="s">
        <v>2747</v>
      </c>
      <c r="E4136" s="21">
        <f>IF(D4136="?OLD","!!!","")</f>
        <v/>
      </c>
      <c r="F4136" s="22" t="str">
        <f>IF(OR(E4136="",E4136="!!!"),"",IF(NOT(ISNA(VLOOKUP(E4136,E$1:E4135,1,FALSE()))),"OLD",IF(AND(E4136&lt;&gt;"",E4136&lt;&gt;"!!!"),"NEW","")))</f>
        <v> </v>
      </c>
      <c r="G4136" s="23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4" t="str">
        <f>IF(J4136&lt;&gt;1,"",IF(I4136="SBJ","CB","?"))</f>
        <v> </v>
      </c>
      <c r="I4136" s="25" t="str">
        <f>IF(OR(E4136="",E4136="!!!",F4136="NEW"),"",INDEX(B4135:B$2,-1+SUMPRODUCT(MAX(ROW(E4135:E$2)*(E4136=E4135:E$2)))))</f>
        <v> </v>
      </c>
      <c r="J4136" s="25" t="str">
        <f>IF(OR(E4136="",E4136="!!!",F4136="NEW"),"",COUNTBLANK(OFFSET(A$1,,,SUMPRODUCT(MAX(ROW(E$2:E4136)*(E4136=E$2:E4136)))))-COUNTBLANK(OFFSET(A$1,,,SUMPRODUCT(MAX(ROW(E$1:E4135)*(E2=E$1:E4135))))))</f>
        <v> </v>
      </c>
      <c r="K4136" s="25" t="str">
        <f>IF(OR(E4136="",E4136="!!!",F4136="NEW"),"",INDEX(J$1:J4135,SUMPRODUCT(MAX(ROW(E$1:E4135)*(E4136=E$1:E4135)))))</f>
        <v> </v>
      </c>
      <c r="L4136" s="26"/>
    </row>
    <row r="4137" spans="1:12">
      <c r="A4137" s="20" t="s">
        <v>2748</v>
      </c>
      <c r="E4137" s="21">
        <f>IF(D4137="?OLD","!!!","")</f>
        <v/>
      </c>
      <c r="F4137" s="22" t="str">
        <f>IF(OR(E4137="",E4137="!!!"),"",IF(NOT(ISNA(VLOOKUP(E4137,E$1:E4136,1,FALSE()))),"OLD",IF(AND(E4137&lt;&gt;"",E4137&lt;&gt;"!!!"),"NEW","")))</f>
        <v> </v>
      </c>
      <c r="G4137" s="23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4" t="str">
        <f>IF(J4137&lt;&gt;1,"",IF(I4137="SBJ","CB","?"))</f>
        <v> </v>
      </c>
      <c r="I4137" s="25" t="str">
        <f>IF(OR(E4137="",E4137="!!!",F4137="NEW"),"",INDEX(B4136:B$2,-1+SUMPRODUCT(MAX(ROW(E4136:E$2)*(E4137=E4136:E$2)))))</f>
        <v> </v>
      </c>
      <c r="J4137" s="25" t="str">
        <f>IF(OR(E4137="",E4137="!!!",F4137="NEW"),"",COUNTBLANK(OFFSET(A$1,,,SUMPRODUCT(MAX(ROW(E$2:E4137)*(E4137=E$2:E4137)))))-COUNTBLANK(OFFSET(A$1,,,SUMPRODUCT(MAX(ROW(E$1:E4136)*(E2=E$1:E4136))))))</f>
        <v> </v>
      </c>
      <c r="K4137" s="25" t="str">
        <f>IF(OR(E4137="",E4137="!!!",F4137="NEW"),"",INDEX(J$1:J4136,SUMPRODUCT(MAX(ROW(E$1:E4136)*(E4137=E$1:E4136)))))</f>
        <v> </v>
      </c>
      <c r="L4137" s="26"/>
    </row>
    <row r="4138" spans="1:12">
      <c r="A4138" s="20" t="s">
        <v>1159</v>
      </c>
      <c r="E4138" s="21">
        <f>IF(D4138="?OLD","!!!","")</f>
        <v/>
      </c>
      <c r="F4138" s="22" t="str">
        <f>IF(OR(E4138="",E4138="!!!"),"",IF(NOT(ISNA(VLOOKUP(E4138,E$1:E4137,1,FALSE()))),"OLD",IF(AND(E4138&lt;&gt;"",E4138&lt;&gt;"!!!"),"NEW","")))</f>
        <v> </v>
      </c>
      <c r="G4138" s="23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4" t="str">
        <f>IF(J4138&lt;&gt;1,"",IF(I4138="SBJ","CB","?"))</f>
        <v> </v>
      </c>
      <c r="I4138" s="25" t="str">
        <f>IF(OR(E4138="",E4138="!!!",F4138="NEW"),"",INDEX(B4137:B$2,-1+SUMPRODUCT(MAX(ROW(E4137:E$2)*(E4138=E4137:E$2)))))</f>
        <v> </v>
      </c>
      <c r="J4138" s="25" t="str">
        <f>IF(OR(E4138="",E4138="!!!",F4138="NEW"),"",COUNTBLANK(OFFSET(A$1,,,SUMPRODUCT(MAX(ROW(E$2:E4138)*(E4138=E$2:E4138)))))-COUNTBLANK(OFFSET(A$1,,,SUMPRODUCT(MAX(ROW(E$1:E4137)*(E2=E$1:E4137))))))</f>
        <v> </v>
      </c>
      <c r="K4138" s="25" t="str">
        <f>IF(OR(E4138="",E4138="!!!",F4138="NEW"),"",INDEX(J$1:J4137,SUMPRODUCT(MAX(ROW(E$1:E4137)*(E4138=E$1:E4137)))))</f>
        <v> </v>
      </c>
      <c r="L4138" s="26"/>
    </row>
    <row r="4139" spans="1:12">
      <c r="A4139" s="20" t="s">
        <v>2749</v>
      </c>
      <c r="E4139" s="21">
        <f>IF(D4139="?OLD","!!!","")</f>
        <v/>
      </c>
      <c r="F4139" s="22" t="str">
        <f>IF(OR(E4139="",E4139="!!!"),"",IF(NOT(ISNA(VLOOKUP(E4139,E$1:E4138,1,FALSE()))),"OLD",IF(AND(E4139&lt;&gt;"",E4139&lt;&gt;"!!!"),"NEW","")))</f>
        <v> </v>
      </c>
      <c r="G4139" s="23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4" t="str">
        <f>IF(J4139&lt;&gt;1,"",IF(I4139="SBJ","CB","?"))</f>
        <v> </v>
      </c>
      <c r="I4139" s="25" t="str">
        <f>IF(OR(E4139="",E4139="!!!",F4139="NEW"),"",INDEX(B4138:B$2,-1+SUMPRODUCT(MAX(ROW(E4138:E$2)*(E4139=E4138:E$2)))))</f>
        <v> </v>
      </c>
      <c r="J4139" s="25" t="str">
        <f>IF(OR(E4139="",E4139="!!!",F4139="NEW"),"",COUNTBLANK(OFFSET(A$1,,,SUMPRODUCT(MAX(ROW(E$2:E4139)*(E4139=E$2:E4139)))))-COUNTBLANK(OFFSET(A$1,,,SUMPRODUCT(MAX(ROW(E$1:E4138)*(E2=E$1:E4138))))))</f>
        <v> </v>
      </c>
      <c r="K4139" s="25" t="str">
        <f>IF(OR(E4139="",E4139="!!!",F4139="NEW"),"",INDEX(J$1:J4138,SUMPRODUCT(MAX(ROW(E$1:E4138)*(E4139=E$1:E4138)))))</f>
        <v> </v>
      </c>
      <c r="L4139" s="26"/>
    </row>
    <row r="4140" spans="1:12">
      <c r="A4140" s="20" t="s">
        <v>1041</v>
      </c>
      <c r="E4140" s="21">
        <f>IF(D4140="?OLD","!!!","")</f>
        <v/>
      </c>
      <c r="F4140" s="22" t="str">
        <f>IF(OR(E4140="",E4140="!!!"),"",IF(NOT(ISNA(VLOOKUP(E4140,E$1:E4139,1,FALSE()))),"OLD",IF(AND(E4140&lt;&gt;"",E4140&lt;&gt;"!!!"),"NEW","")))</f>
        <v> </v>
      </c>
      <c r="G4140" s="23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4" t="str">
        <f>IF(J4140&lt;&gt;1,"",IF(I4140="SBJ","CB","?"))</f>
        <v> </v>
      </c>
      <c r="I4140" s="25" t="str">
        <f>IF(OR(E4140="",E4140="!!!",F4140="NEW"),"",INDEX(B4139:B$2,-1+SUMPRODUCT(MAX(ROW(E4139:E$2)*(E4140=E4139:E$2)))))</f>
        <v> </v>
      </c>
      <c r="J4140" s="25" t="str">
        <f>IF(OR(E4140="",E4140="!!!",F4140="NEW"),"",COUNTBLANK(OFFSET(A$1,,,SUMPRODUCT(MAX(ROW(E$2:E4140)*(E4140=E$2:E4140)))))-COUNTBLANK(OFFSET(A$1,,,SUMPRODUCT(MAX(ROW(E$1:E4139)*(E2=E$1:E4139))))))</f>
        <v> </v>
      </c>
      <c r="K4140" s="25" t="str">
        <f>IF(OR(E4140="",E4140="!!!",F4140="NEW"),"",INDEX(J$1:J4139,SUMPRODUCT(MAX(ROW(E$1:E4139)*(E4140=E$1:E4139)))))</f>
        <v> </v>
      </c>
      <c r="L4140" s="26"/>
    </row>
    <row r="4141" spans="1:12">
      <c r="A4141" s="20" t="s">
        <v>1037</v>
      </c>
      <c r="E4141" s="21">
        <f>IF(D4141="?OLD","!!!","")</f>
        <v/>
      </c>
      <c r="F4141" s="22" t="str">
        <f>IF(OR(E4141="",E4141="!!!"),"",IF(NOT(ISNA(VLOOKUP(E4141,E$1:E4140,1,FALSE()))),"OLD",IF(AND(E4141&lt;&gt;"",E4141&lt;&gt;"!!!"),"NEW","")))</f>
        <v> </v>
      </c>
      <c r="G4141" s="23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4" t="str">
        <f>IF(J4141&lt;&gt;1,"",IF(I4141="SBJ","CB","?"))</f>
        <v> </v>
      </c>
      <c r="I4141" s="25" t="str">
        <f>IF(OR(E4141="",E4141="!!!",F4141="NEW"),"",INDEX(B4140:B$2,-1+SUMPRODUCT(MAX(ROW(E4140:E$2)*(E4141=E4140:E$2)))))</f>
        <v> </v>
      </c>
      <c r="J4141" s="25" t="str">
        <f>IF(OR(E4141="",E4141="!!!",F4141="NEW"),"",COUNTBLANK(OFFSET(A$1,,,SUMPRODUCT(MAX(ROW(E$2:E4141)*(E4141=E$2:E4141)))))-COUNTBLANK(OFFSET(A$1,,,SUMPRODUCT(MAX(ROW(E$1:E4140)*(E2=E$1:E4140))))))</f>
        <v> </v>
      </c>
      <c r="K4141" s="25" t="str">
        <f>IF(OR(E4141="",E4141="!!!",F4141="NEW"),"",INDEX(J$1:J4140,SUMPRODUCT(MAX(ROW(E$1:E4140)*(E4141=E$1:E4140)))))</f>
        <v> </v>
      </c>
      <c r="L4141" s="26"/>
    </row>
    <row r="4142" spans="1:12">
      <c r="A4142" s="20" t="s">
        <v>88</v>
      </c>
      <c r="E4142" s="21">
        <f>IF(D4142="?OLD","!!!","")</f>
        <v/>
      </c>
      <c r="F4142" s="22" t="str">
        <f>IF(OR(E4142="",E4142="!!!"),"",IF(NOT(ISNA(VLOOKUP(E4142,E$1:E4141,1,FALSE()))),"OLD",IF(AND(E4142&lt;&gt;"",E4142&lt;&gt;"!!!"),"NEW","")))</f>
        <v> </v>
      </c>
      <c r="G4142" s="23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4" t="str">
        <f>IF(J4142&lt;&gt;1,"",IF(I4142="SBJ","CB","?"))</f>
        <v> </v>
      </c>
      <c r="I4142" s="25" t="str">
        <f>IF(OR(E4142="",E4142="!!!",F4142="NEW"),"",INDEX(B4141:B$2,-1+SUMPRODUCT(MAX(ROW(E4141:E$2)*(E4142=E4141:E$2)))))</f>
        <v> </v>
      </c>
      <c r="J4142" s="25" t="str">
        <f>IF(OR(E4142="",E4142="!!!",F4142="NEW"),"",COUNTBLANK(OFFSET(A$1,,,SUMPRODUCT(MAX(ROW(E$2:E4142)*(E4142=E$2:E4142)))))-COUNTBLANK(OFFSET(A$1,,,SUMPRODUCT(MAX(ROW(E$1:E4141)*(E2=E$1:E4141))))))</f>
        <v> </v>
      </c>
      <c r="K4142" s="25" t="str">
        <f>IF(OR(E4142="",E4142="!!!",F4142="NEW"),"",INDEX(J$1:J4141,SUMPRODUCT(MAX(ROW(E$1:E4141)*(E4142=E$1:E4141)))))</f>
        <v> </v>
      </c>
      <c r="L4142" s="26"/>
    </row>
    <row r="4143" spans="1:12">
      <c r="A4143" s="20" t="s">
        <v>1041</v>
      </c>
      <c r="E4143" s="21">
        <f>IF(D4143="?OLD","!!!","")</f>
        <v/>
      </c>
      <c r="F4143" s="22" t="str">
        <f>IF(OR(E4143="",E4143="!!!"),"",IF(NOT(ISNA(VLOOKUP(E4143,E$1:E4142,1,FALSE()))),"OLD",IF(AND(E4143&lt;&gt;"",E4143&lt;&gt;"!!!"),"NEW","")))</f>
        <v> </v>
      </c>
      <c r="G4143" s="23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4" t="str">
        <f>IF(J4143&lt;&gt;1,"",IF(I4143="SBJ","CB","?"))</f>
        <v> </v>
      </c>
      <c r="I4143" s="25" t="str">
        <f>IF(OR(E4143="",E4143="!!!",F4143="NEW"),"",INDEX(B4142:B$2,-1+SUMPRODUCT(MAX(ROW(E4142:E$2)*(E4143=E4142:E$2)))))</f>
        <v> </v>
      </c>
      <c r="J4143" s="25" t="str">
        <f>IF(OR(E4143="",E4143="!!!",F4143="NEW"),"",COUNTBLANK(OFFSET(A$1,,,SUMPRODUCT(MAX(ROW(E$2:E4143)*(E4143=E$2:E4143)))))-COUNTBLANK(OFFSET(A$1,,,SUMPRODUCT(MAX(ROW(E$1:E4142)*(E2=E$1:E4142))))))</f>
        <v> </v>
      </c>
      <c r="K4143" s="25" t="str">
        <f>IF(OR(E4143="",E4143="!!!",F4143="NEW"),"",INDEX(J$1:J4142,SUMPRODUCT(MAX(ROW(E$1:E4142)*(E4143=E$1:E4142)))))</f>
        <v> </v>
      </c>
      <c r="L4143" s="26"/>
    </row>
    <row r="4144" spans="1:12">
      <c r="A4144" s="20" t="s">
        <v>1115</v>
      </c>
      <c r="B4144" s="27" t="s">
        <v>1339</v>
      </c>
      <c r="C4144" s="27" t="s">
        <v>1025</v>
      </c>
      <c r="D4144" s="27" t="s">
        <v>1026</v>
      </c>
      <c r="E4144" s="21">
        <f>IF(D4144="?OLD","!!!","")</f>
        <v/>
      </c>
      <c r="F4144" s="22" t="str">
        <f>IF(OR(E4144="",E4144="!!!"),"",IF(NOT(ISNA(VLOOKUP(E4144,E$1:E4143,1,FALSE()))),"OLD",IF(AND(E4144&lt;&gt;"",E4144&lt;&gt;"!!!"),"NEW","")))</f>
        <v> </v>
      </c>
      <c r="G4144" s="23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4" t="str">
        <f>IF(J4144&lt;&gt;1,"",IF(I4144="SBJ","CB","?"))</f>
        <v> </v>
      </c>
      <c r="I4144" s="25" t="str">
        <f>IF(OR(E4144="",E4144="!!!",F4144="NEW"),"",INDEX(B4143:B$2,-1+SUMPRODUCT(MAX(ROW(E4143:E$2)*(E4144=E4143:E$2)))))</f>
        <v> </v>
      </c>
      <c r="J4144" s="25" t="str">
        <f>IF(OR(E4144="",E4144="!!!",F4144="NEW"),"",COUNTBLANK(OFFSET(A$1,,,SUMPRODUCT(MAX(ROW(E$2:E4144)*(E4144=E$2:E4144)))))-COUNTBLANK(OFFSET(A$1,,,SUMPRODUCT(MAX(ROW(E$1:E4143)*(E2=E$1:E4143))))))</f>
        <v> </v>
      </c>
      <c r="K4144" s="25" t="str">
        <f>IF(OR(E4144="",E4144="!!!",F4144="NEW"),"",INDEX(J$1:J4143,SUMPRODUCT(MAX(ROW(E$1:E4143)*(E4144=E$1:E4143)))))</f>
        <v> </v>
      </c>
      <c r="L4144" s="26"/>
    </row>
    <row r="4145" spans="1:12">
      <c r="A4145" s="20" t="s">
        <v>2750</v>
      </c>
      <c r="B4145" s="27" t="s">
        <v>1225</v>
      </c>
      <c r="C4145" s="27" t="s">
        <v>1072</v>
      </c>
      <c r="D4145" s="27" t="s">
        <v>1026</v>
      </c>
      <c r="E4145" s="21">
        <f>IF(D4145="?OLD","!!!","")</f>
        <v/>
      </c>
      <c r="F4145" s="22" t="str">
        <f>IF(OR(E4145="",E4145="!!!"),"",IF(NOT(ISNA(VLOOKUP(E4145,E$1:E4144,1,FALSE()))),"OLD",IF(AND(E4145&lt;&gt;"",E4145&lt;&gt;"!!!"),"NEW","")))</f>
        <v> </v>
      </c>
      <c r="G4145" s="23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4" t="str">
        <f>IF(J4145&lt;&gt;1,"",IF(I4145="SBJ","CB","?"))</f>
        <v> </v>
      </c>
      <c r="I4145" s="25" t="str">
        <f>IF(OR(E4145="",E4145="!!!",F4145="NEW"),"",INDEX(B4144:B$2,-1+SUMPRODUCT(MAX(ROW(E4144:E$2)*(E4145=E4144:E$2)))))</f>
        <v> </v>
      </c>
      <c r="J4145" s="25" t="str">
        <f>IF(OR(E4145="",E4145="!!!",F4145="NEW"),"",COUNTBLANK(OFFSET(A$1,,,SUMPRODUCT(MAX(ROW(E$2:E4145)*(E4145=E$2:E4145)))))-COUNTBLANK(OFFSET(A$1,,,SUMPRODUCT(MAX(ROW(E$1:E4144)*(E2=E$1:E4144))))))</f>
        <v> </v>
      </c>
      <c r="K4145" s="25" t="str">
        <f>IF(OR(E4145="",E4145="!!!",F4145="NEW"),"",INDEX(J$1:J4144,SUMPRODUCT(MAX(ROW(E$1:E4144)*(E4145=E$1:E4144)))))</f>
        <v> </v>
      </c>
      <c r="L4145" s="26"/>
    </row>
    <row r="4146" spans="1:12">
      <c r="A4146" s="20" t="s">
        <v>2242</v>
      </c>
      <c r="E4146" s="21">
        <f>IF(D4146="?OLD","!!!","")</f>
        <v/>
      </c>
      <c r="F4146" s="22" t="str">
        <f>IF(OR(E4146="",E4146="!!!"),"",IF(NOT(ISNA(VLOOKUP(E4146,E$1:E4145,1,FALSE()))),"OLD",IF(AND(E4146&lt;&gt;"",E4146&lt;&gt;"!!!"),"NEW","")))</f>
        <v> </v>
      </c>
      <c r="G4146" s="23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4" t="str">
        <f>IF(J4146&lt;&gt;1,"",IF(I4146="SBJ","CB","?"))</f>
        <v> </v>
      </c>
      <c r="I4146" s="25" t="str">
        <f>IF(OR(E4146="",E4146="!!!",F4146="NEW"),"",INDEX(B4145:B$2,-1+SUMPRODUCT(MAX(ROW(E4145:E$2)*(E4146=E4145:E$2)))))</f>
        <v> </v>
      </c>
      <c r="J4146" s="25" t="str">
        <f>IF(OR(E4146="",E4146="!!!",F4146="NEW"),"",COUNTBLANK(OFFSET(A$1,,,SUMPRODUCT(MAX(ROW(E$2:E4146)*(E4146=E$2:E4146)))))-COUNTBLANK(OFFSET(A$1,,,SUMPRODUCT(MAX(ROW(E$1:E4145)*(E2=E$1:E4145))))))</f>
        <v> </v>
      </c>
      <c r="K4146" s="25" t="str">
        <f>IF(OR(E4146="",E4146="!!!",F4146="NEW"),"",INDEX(J$1:J4145,SUMPRODUCT(MAX(ROW(E$1:E4145)*(E4146=E$1:E4145)))))</f>
        <v> </v>
      </c>
      <c r="L4146" s="26"/>
    </row>
    <row r="4147" spans="1:12">
      <c r="A4147" s="20" t="s">
        <v>21</v>
      </c>
      <c r="E4147" s="21">
        <f>IF(D4147="?OLD","!!!","")</f>
        <v/>
      </c>
      <c r="F4147" s="22" t="str">
        <f>IF(OR(E4147="",E4147="!!!"),"",IF(NOT(ISNA(VLOOKUP(E4147,E$1:E4146,1,FALSE()))),"OLD",IF(AND(E4147&lt;&gt;"",E4147&lt;&gt;"!!!"),"NEW","")))</f>
        <v> </v>
      </c>
      <c r="G4147" s="23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4" t="str">
        <f>IF(J4147&lt;&gt;1,"",IF(I4147="SBJ","CB","?"))</f>
        <v> </v>
      </c>
      <c r="I4147" s="25" t="str">
        <f>IF(OR(E4147="",E4147="!!!",F4147="NEW"),"",INDEX(B4146:B$2,-1+SUMPRODUCT(MAX(ROW(E4146:E$2)*(E4147=E4146:E$2)))))</f>
        <v> </v>
      </c>
      <c r="J4147" s="25" t="str">
        <f>IF(OR(E4147="",E4147="!!!",F4147="NEW"),"",COUNTBLANK(OFFSET(A$1,,,SUMPRODUCT(MAX(ROW(E$2:E4147)*(E4147=E$2:E4147)))))-COUNTBLANK(OFFSET(A$1,,,SUMPRODUCT(MAX(ROW(E$1:E4146)*(E2=E$1:E4146))))))</f>
        <v> </v>
      </c>
      <c r="K4147" s="25" t="str">
        <f>IF(OR(E4147="",E4147="!!!",F4147="NEW"),"",INDEX(J$1:J4146,SUMPRODUCT(MAX(ROW(E$1:E4146)*(E4147=E$1:E4146)))))</f>
        <v> </v>
      </c>
      <c r="L4147" s="26"/>
    </row>
    <row r="4148" spans="1:12">
      <c r="A4148" s="20" t="s">
        <v>1284</v>
      </c>
      <c r="E4148" s="21">
        <f>IF(D4148="?OLD","!!!","")</f>
        <v/>
      </c>
      <c r="F4148" s="22" t="str">
        <f>IF(OR(E4148="",E4148="!!!"),"",IF(NOT(ISNA(VLOOKUP(E4148,E$1:E4147,1,FALSE()))),"OLD",IF(AND(E4148&lt;&gt;"",E4148&lt;&gt;"!!!"),"NEW","")))</f>
        <v> </v>
      </c>
      <c r="G4148" s="23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4" t="str">
        <f>IF(J4148&lt;&gt;1,"",IF(I4148="SBJ","CB","?"))</f>
        <v> </v>
      </c>
      <c r="I4148" s="25" t="str">
        <f>IF(OR(E4148="",E4148="!!!",F4148="NEW"),"",INDEX(B4147:B$2,-1+SUMPRODUCT(MAX(ROW(E4147:E$2)*(E4148=E4147:E$2)))))</f>
        <v> </v>
      </c>
      <c r="J4148" s="25" t="str">
        <f>IF(OR(E4148="",E4148="!!!",F4148="NEW"),"",COUNTBLANK(OFFSET(A$1,,,SUMPRODUCT(MAX(ROW(E$2:E4148)*(E4148=E$2:E4148)))))-COUNTBLANK(OFFSET(A$1,,,SUMPRODUCT(MAX(ROW(E$1:E4147)*(E2=E$1:E4147))))))</f>
        <v> </v>
      </c>
      <c r="K4148" s="25" t="str">
        <f>IF(OR(E4148="",E4148="!!!",F4148="NEW"),"",INDEX(J$1:J4147,SUMPRODUCT(MAX(ROW(E$1:E4147)*(E4148=E$1:E4147)))))</f>
        <v> </v>
      </c>
      <c r="L4148" s="26"/>
    </row>
    <row r="4149" spans="1:12">
      <c r="A4149" s="20" t="s">
        <v>2751</v>
      </c>
      <c r="E4149" s="21">
        <f>IF(D4149="?OLD","!!!","")</f>
        <v/>
      </c>
      <c r="F4149" s="22" t="str">
        <f>IF(OR(E4149="",E4149="!!!"),"",IF(NOT(ISNA(VLOOKUP(E4149,E$1:E4148,1,FALSE()))),"OLD",IF(AND(E4149&lt;&gt;"",E4149&lt;&gt;"!!!"),"NEW","")))</f>
        <v> </v>
      </c>
      <c r="G4149" s="23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4" t="str">
        <f>IF(J4149&lt;&gt;1,"",IF(I4149="SBJ","CB","?"))</f>
        <v> </v>
      </c>
      <c r="I4149" s="25" t="str">
        <f>IF(OR(E4149="",E4149="!!!",F4149="NEW"),"",INDEX(B4148:B$2,-1+SUMPRODUCT(MAX(ROW(E4148:E$2)*(E4149=E4148:E$2)))))</f>
        <v> </v>
      </c>
      <c r="J4149" s="25" t="str">
        <f>IF(OR(E4149="",E4149="!!!",F4149="NEW"),"",COUNTBLANK(OFFSET(A$1,,,SUMPRODUCT(MAX(ROW(E$2:E4149)*(E4149=E$2:E4149)))))-COUNTBLANK(OFFSET(A$1,,,SUMPRODUCT(MAX(ROW(E$1:E4148)*(E2=E$1:E4148))))))</f>
        <v> </v>
      </c>
      <c r="K4149" s="25" t="str">
        <f>IF(OR(E4149="",E4149="!!!",F4149="NEW"),"",INDEX(J$1:J4148,SUMPRODUCT(MAX(ROW(E$1:E4148)*(E4149=E$1:E4148)))))</f>
        <v> </v>
      </c>
      <c r="L4149" s="26"/>
    </row>
    <row r="4150" spans="1:12">
      <c r="A4150" s="20" t="s">
        <v>2279</v>
      </c>
      <c r="B4150" s="27" t="s">
        <v>1238</v>
      </c>
      <c r="C4150" s="27" t="s">
        <v>1025</v>
      </c>
      <c r="D4150" s="27" t="s">
        <v>1026</v>
      </c>
      <c r="E4150" s="21">
        <f>IF(D4150="?OLD","!!!","")</f>
        <v/>
      </c>
      <c r="F4150" s="22" t="str">
        <f>IF(OR(E4150="",E4150="!!!"),"",IF(NOT(ISNA(VLOOKUP(E4150,E$1:E4149,1,FALSE()))),"OLD",IF(AND(E4150&lt;&gt;"",E4150&lt;&gt;"!!!"),"NEW","")))</f>
        <v> </v>
      </c>
      <c r="G4150" s="23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4" t="str">
        <f>IF(J4150&lt;&gt;1,"",IF(I4150="SBJ","CB","?"))</f>
        <v> </v>
      </c>
      <c r="I4150" s="25" t="str">
        <f>IF(OR(E4150="",E4150="!!!",F4150="NEW"),"",INDEX(B4149:B$2,-1+SUMPRODUCT(MAX(ROW(E4149:E$2)*(E4150=E4149:E$2)))))</f>
        <v> </v>
      </c>
      <c r="J4150" s="25" t="str">
        <f>IF(OR(E4150="",E4150="!!!",F4150="NEW"),"",COUNTBLANK(OFFSET(A$1,,,SUMPRODUCT(MAX(ROW(E$2:E4150)*(E4150=E$2:E4150)))))-COUNTBLANK(OFFSET(A$1,,,SUMPRODUCT(MAX(ROW(E$1:E4149)*(E2=E$1:E4149))))))</f>
        <v> </v>
      </c>
      <c r="K4150" s="25" t="str">
        <f>IF(OR(E4150="",E4150="!!!",F4150="NEW"),"",INDEX(J$1:J4149,SUMPRODUCT(MAX(ROW(E$1:E4149)*(E4150=E$1:E4149)))))</f>
        <v> </v>
      </c>
      <c r="L4150" s="26"/>
    </row>
    <row r="4151" spans="1:12">
      <c r="A4151" s="20" t="s">
        <v>1032</v>
      </c>
      <c r="E4151" s="21">
        <f>IF(D4151="?OLD","!!!","")</f>
        <v/>
      </c>
      <c r="F4151" s="22" t="str">
        <f>IF(OR(E4151="",E4151="!!!"),"",IF(NOT(ISNA(VLOOKUP(E4151,E$1:E4150,1,FALSE()))),"OLD",IF(AND(E4151&lt;&gt;"",E4151&lt;&gt;"!!!"),"NEW","")))</f>
        <v> </v>
      </c>
      <c r="G4151" s="23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4" t="str">
        <f>IF(J4151&lt;&gt;1,"",IF(I4151="SBJ","CB","?"))</f>
        <v> </v>
      </c>
      <c r="I4151" s="25" t="str">
        <f>IF(OR(E4151="",E4151="!!!",F4151="NEW"),"",INDEX(B4150:B$2,-1+SUMPRODUCT(MAX(ROW(E4150:E$2)*(E4151=E4150:E$2)))))</f>
        <v> </v>
      </c>
      <c r="J4151" s="25" t="str">
        <f>IF(OR(E4151="",E4151="!!!",F4151="NEW"),"",COUNTBLANK(OFFSET(A$1,,,SUMPRODUCT(MAX(ROW(E$2:E4151)*(E4151=E$2:E4151)))))-COUNTBLANK(OFFSET(A$1,,,SUMPRODUCT(MAX(ROW(E$1:E4150)*(E2=E$1:E4150))))))</f>
        <v> </v>
      </c>
      <c r="K4151" s="25" t="str">
        <f>IF(OR(E4151="",E4151="!!!",F4151="NEW"),"",INDEX(J$1:J4150,SUMPRODUCT(MAX(ROW(E$1:E4150)*(E4151=E$1:E4150)))))</f>
        <v> </v>
      </c>
      <c r="L4151" s="26"/>
    </row>
    <row r="4152" spans="1:12">
      <c r="A4152" s="20"/>
    </row>
    <row r="4153" spans="1:12">
      <c r="A4153" s="20" t="s">
        <v>2752</v>
      </c>
    </row>
    <row r="4154" spans="1:12">
      <c r="A4154" s="20" t="s">
        <v>1736</v>
      </c>
      <c r="E4154" s="21">
        <f>IF(D4154="?OLD","!!!","")</f>
        <v/>
      </c>
      <c r="F4154" s="22" t="str">
        <f>IF(OR(E4154="",E4154="!!!"),"",IF(NOT(ISNA(VLOOKUP(E4154,E$1:E4153,1,FALSE()))),"OLD",IF(AND(E4154&lt;&gt;"",E4154&lt;&gt;"!!!"),"NEW","")))</f>
        <v> </v>
      </c>
      <c r="G4154" s="23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4" t="str">
        <f>IF(J4154&lt;&gt;1,"",IF(I4154="SBJ","CB","?"))</f>
        <v> </v>
      </c>
      <c r="I4154" s="25" t="str">
        <f>IF(OR(E4154="",E4154="!!!",F4154="NEW"),"",INDEX(B4153:B$2,-1+SUMPRODUCT(MAX(ROW(E4153:E$2)*(E4154=E4153:E$2)))))</f>
        <v> </v>
      </c>
      <c r="J4154" s="25" t="str">
        <f>IF(OR(E4154="",E4154="!!!",F4154="NEW"),"",COUNTBLANK(OFFSET(A$1,,,SUMPRODUCT(MAX(ROW(E$2:E4154)*(E4154=E$2:E4154)))))-COUNTBLANK(OFFSET(A$1,,,SUMPRODUCT(MAX(ROW(E$1:E4153)*(E2=E$1:E4153))))))</f>
        <v> </v>
      </c>
      <c r="K4154" s="25" t="str">
        <f>IF(OR(E4154="",E4154="!!!",F4154="NEW"),"",INDEX(J$1:J4153,SUMPRODUCT(MAX(ROW(E$1:E4153)*(E4154=E$1:E4153)))))</f>
        <v> </v>
      </c>
      <c r="L4154" s="26"/>
    </row>
    <row r="4155" spans="1:12">
      <c r="A4155" s="20" t="s">
        <v>201</v>
      </c>
      <c r="E4155" s="21">
        <f>IF(D4155="?OLD","!!!","")</f>
        <v/>
      </c>
      <c r="F4155" s="22" t="str">
        <f>IF(OR(E4155="",E4155="!!!"),"",IF(NOT(ISNA(VLOOKUP(E4155,E$1:E4154,1,FALSE()))),"OLD",IF(AND(E4155&lt;&gt;"",E4155&lt;&gt;"!!!"),"NEW","")))</f>
        <v> </v>
      </c>
      <c r="G4155" s="23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4" t="str">
        <f>IF(J4155&lt;&gt;1,"",IF(I4155="SBJ","CB","?"))</f>
        <v> </v>
      </c>
      <c r="I4155" s="25" t="str">
        <f>IF(OR(E4155="",E4155="!!!",F4155="NEW"),"",INDEX(B4154:B$2,-1+SUMPRODUCT(MAX(ROW(E4154:E$2)*(E4155=E4154:E$2)))))</f>
        <v> </v>
      </c>
      <c r="J4155" s="25" t="str">
        <f>IF(OR(E4155="",E4155="!!!",F4155="NEW"),"",COUNTBLANK(OFFSET(A$1,,,SUMPRODUCT(MAX(ROW(E$2:E4155)*(E4155=E$2:E4155)))))-COUNTBLANK(OFFSET(A$1,,,SUMPRODUCT(MAX(ROW(E$1:E4154)*(E2=E$1:E4154))))))</f>
        <v> </v>
      </c>
      <c r="K4155" s="25" t="str">
        <f>IF(OR(E4155="",E4155="!!!",F4155="NEW"),"",INDEX(J$1:J4154,SUMPRODUCT(MAX(ROW(E$1:E4154)*(E4155=E$1:E4154)))))</f>
        <v> </v>
      </c>
      <c r="L4155" s="26"/>
    </row>
    <row r="4156" spans="1:12">
      <c r="A4156" s="20" t="s">
        <v>1041</v>
      </c>
      <c r="E4156" s="21">
        <f>IF(D4156="?OLD","!!!","")</f>
        <v/>
      </c>
      <c r="F4156" s="22" t="str">
        <f>IF(OR(E4156="",E4156="!!!"),"",IF(NOT(ISNA(VLOOKUP(E4156,E$1:E4155,1,FALSE()))),"OLD",IF(AND(E4156&lt;&gt;"",E4156&lt;&gt;"!!!"),"NEW","")))</f>
        <v> </v>
      </c>
      <c r="G4156" s="23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4" t="str">
        <f>IF(J4156&lt;&gt;1,"",IF(I4156="SBJ","CB","?"))</f>
        <v> </v>
      </c>
      <c r="I4156" s="25" t="str">
        <f>IF(OR(E4156="",E4156="!!!",F4156="NEW"),"",INDEX(B4155:B$2,-1+SUMPRODUCT(MAX(ROW(E4155:E$2)*(E4156=E4155:E$2)))))</f>
        <v> </v>
      </c>
      <c r="J4156" s="25" t="str">
        <f>IF(OR(E4156="",E4156="!!!",F4156="NEW"),"",COUNTBLANK(OFFSET(A$1,,,SUMPRODUCT(MAX(ROW(E$2:E4156)*(E4156=E$2:E4156)))))-COUNTBLANK(OFFSET(A$1,,,SUMPRODUCT(MAX(ROW(E$1:E4155)*(E2=E$1:E4155))))))</f>
        <v> </v>
      </c>
      <c r="K4156" s="25" t="str">
        <f>IF(OR(E4156="",E4156="!!!",F4156="NEW"),"",INDEX(J$1:J4155,SUMPRODUCT(MAX(ROW(E$1:E4155)*(E4156=E$1:E4155)))))</f>
        <v> </v>
      </c>
      <c r="L4156" s="26"/>
    </row>
    <row r="4157" spans="1:12">
      <c r="A4157" s="20" t="s">
        <v>1282</v>
      </c>
      <c r="E4157" s="21">
        <f>IF(D4157="?OLD","!!!","")</f>
        <v/>
      </c>
      <c r="F4157" s="22" t="str">
        <f>IF(OR(E4157="",E4157="!!!"),"",IF(NOT(ISNA(VLOOKUP(E4157,E$1:E4156,1,FALSE()))),"OLD",IF(AND(E4157&lt;&gt;"",E4157&lt;&gt;"!!!"),"NEW","")))</f>
        <v> </v>
      </c>
      <c r="G4157" s="23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4" t="str">
        <f>IF(J4157&lt;&gt;1,"",IF(I4157="SBJ","CB","?"))</f>
        <v> </v>
      </c>
      <c r="I4157" s="25" t="str">
        <f>IF(OR(E4157="",E4157="!!!",F4157="NEW"),"",INDEX(B4156:B$2,-1+SUMPRODUCT(MAX(ROW(E4156:E$2)*(E4157=E4156:E$2)))))</f>
        <v> </v>
      </c>
      <c r="J4157" s="25" t="str">
        <f>IF(OR(E4157="",E4157="!!!",F4157="NEW"),"",COUNTBLANK(OFFSET(A$1,,,SUMPRODUCT(MAX(ROW(E$2:E4157)*(E4157=E$2:E4157)))))-COUNTBLANK(OFFSET(A$1,,,SUMPRODUCT(MAX(ROW(E$1:E4156)*(E2=E$1:E4156))))))</f>
        <v> </v>
      </c>
      <c r="K4157" s="25" t="str">
        <f>IF(OR(E4157="",E4157="!!!",F4157="NEW"),"",INDEX(J$1:J4156,SUMPRODUCT(MAX(ROW(E$1:E4156)*(E4157=E$1:E4156)))))</f>
        <v> </v>
      </c>
      <c r="L4157" s="26"/>
    </row>
    <row r="4158" spans="1:12">
      <c r="A4158" s="20" t="s">
        <v>1545</v>
      </c>
      <c r="E4158" s="21">
        <f>IF(D4158="?OLD","!!!","")</f>
        <v/>
      </c>
      <c r="F4158" s="22" t="str">
        <f>IF(OR(E4158="",E4158="!!!"),"",IF(NOT(ISNA(VLOOKUP(E4158,E$1:E4157,1,FALSE()))),"OLD",IF(AND(E4158&lt;&gt;"",E4158&lt;&gt;"!!!"),"NEW","")))</f>
        <v> </v>
      </c>
      <c r="G4158" s="23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4" t="str">
        <f>IF(J4158&lt;&gt;1,"",IF(I4158="SBJ","CB","?"))</f>
        <v> </v>
      </c>
      <c r="I4158" s="25" t="str">
        <f>IF(OR(E4158="",E4158="!!!",F4158="NEW"),"",INDEX(B4157:B$2,-1+SUMPRODUCT(MAX(ROW(E4157:E$2)*(E4158=E4157:E$2)))))</f>
        <v> </v>
      </c>
      <c r="J4158" s="25" t="str">
        <f>IF(OR(E4158="",E4158="!!!",F4158="NEW"),"",COUNTBLANK(OFFSET(A$1,,,SUMPRODUCT(MAX(ROW(E$2:E4158)*(E4158=E$2:E4158)))))-COUNTBLANK(OFFSET(A$1,,,SUMPRODUCT(MAX(ROW(E$1:E4157)*(E2=E$1:E4157))))))</f>
        <v> </v>
      </c>
      <c r="K4158" s="25" t="str">
        <f>IF(OR(E4158="",E4158="!!!",F4158="NEW"),"",INDEX(J$1:J4157,SUMPRODUCT(MAX(ROW(E$1:E4157)*(E4158=E$1:E4157)))))</f>
        <v> </v>
      </c>
      <c r="L4158" s="26"/>
    </row>
    <row r="4159" spans="1:12">
      <c r="A4159" s="20" t="s">
        <v>2753</v>
      </c>
      <c r="B4159" s="27" t="s">
        <v>1024</v>
      </c>
      <c r="E4159" s="21">
        <f>IF(D4159="?OLD","!!!","")</f>
        <v/>
      </c>
      <c r="F4159" s="22" t="str">
        <f>IF(OR(E4159="",E4159="!!!"),"",IF(NOT(ISNA(VLOOKUP(E4159,E$1:E4158,1,FALSE()))),"OLD",IF(AND(E4159&lt;&gt;"",E4159&lt;&gt;"!!!"),"NEW","")))</f>
        <v> </v>
      </c>
      <c r="G4159" s="23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4" t="str">
        <f>IF(J4159&lt;&gt;1,"",IF(I4159="SBJ","CB","?"))</f>
        <v> </v>
      </c>
      <c r="I4159" s="25" t="str">
        <f>IF(OR(E4159="",E4159="!!!",F4159="NEW"),"",INDEX(B4158:B$2,-1+SUMPRODUCT(MAX(ROW(E4158:E$2)*(E4159=E4158:E$2)))))</f>
        <v> </v>
      </c>
      <c r="J4159" s="25" t="str">
        <f>IF(OR(E4159="",E4159="!!!",F4159="NEW"),"",COUNTBLANK(OFFSET(A$1,,,SUMPRODUCT(MAX(ROW(E$2:E4159)*(E4159=E$2:E4159)))))-COUNTBLANK(OFFSET(A$1,,,SUMPRODUCT(MAX(ROW(E$1:E4158)*(E2=E$1:E4158))))))</f>
        <v> </v>
      </c>
      <c r="K4159" s="25" t="str">
        <f>IF(OR(E4159="",E4159="!!!",F4159="NEW"),"",INDEX(J$1:J4158,SUMPRODUCT(MAX(ROW(E$1:E4158)*(E4159=E$1:E4158)))))</f>
        <v> </v>
      </c>
      <c r="L4159" s="26"/>
    </row>
    <row r="4160" spans="1:12">
      <c r="A4160" s="20" t="s">
        <v>1041</v>
      </c>
      <c r="E4160" s="21">
        <f>IF(D4160="?OLD","!!!","")</f>
        <v/>
      </c>
      <c r="F4160" s="22" t="str">
        <f>IF(OR(E4160="",E4160="!!!"),"",IF(NOT(ISNA(VLOOKUP(E4160,E$1:E4159,1,FALSE()))),"OLD",IF(AND(E4160&lt;&gt;"",E4160&lt;&gt;"!!!"),"NEW","")))</f>
        <v> </v>
      </c>
      <c r="G4160" s="23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4" t="str">
        <f>IF(J4160&lt;&gt;1,"",IF(I4160="SBJ","CB","?"))</f>
        <v> </v>
      </c>
      <c r="I4160" s="25" t="str">
        <f>IF(OR(E4160="",E4160="!!!",F4160="NEW"),"",INDEX(B4159:B$2,-1+SUMPRODUCT(MAX(ROW(E4159:E$2)*(E4160=E4159:E$2)))))</f>
        <v> </v>
      </c>
      <c r="J4160" s="25" t="str">
        <f>IF(OR(E4160="",E4160="!!!",F4160="NEW"),"",COUNTBLANK(OFFSET(A$1,,,SUMPRODUCT(MAX(ROW(E$2:E4160)*(E4160=E$2:E4160)))))-COUNTBLANK(OFFSET(A$1,,,SUMPRODUCT(MAX(ROW(E$1:E4159)*(E2=E$1:E4159))))))</f>
        <v> </v>
      </c>
      <c r="K4160" s="25" t="str">
        <f>IF(OR(E4160="",E4160="!!!",F4160="NEW"),"",INDEX(J$1:J4159,SUMPRODUCT(MAX(ROW(E$1:E4159)*(E4160=E$1:E4159)))))</f>
        <v> </v>
      </c>
      <c r="L4160" s="26"/>
    </row>
    <row r="4161" spans="1:12">
      <c r="A4161" s="20" t="s">
        <v>1279</v>
      </c>
      <c r="E4161" s="21">
        <f>IF(D4161="?OLD","!!!","")</f>
        <v/>
      </c>
      <c r="F4161" s="22" t="str">
        <f>IF(OR(E4161="",E4161="!!!"),"",IF(NOT(ISNA(VLOOKUP(E4161,E$1:E4160,1,FALSE()))),"OLD",IF(AND(E4161&lt;&gt;"",E4161&lt;&gt;"!!!"),"NEW","")))</f>
        <v> </v>
      </c>
      <c r="G4161" s="23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4" t="str">
        <f>IF(J4161&lt;&gt;1,"",IF(I4161="SBJ","CB","?"))</f>
        <v> </v>
      </c>
      <c r="I4161" s="25" t="str">
        <f>IF(OR(E4161="",E4161="!!!",F4161="NEW"),"",INDEX(B4160:B$2,-1+SUMPRODUCT(MAX(ROW(E4160:E$2)*(E4161=E4160:E$2)))))</f>
        <v> </v>
      </c>
      <c r="J4161" s="25" t="str">
        <f>IF(OR(E4161="",E4161="!!!",F4161="NEW"),"",COUNTBLANK(OFFSET(A$1,,,SUMPRODUCT(MAX(ROW(E$2:E4161)*(E4161=E$2:E4161)))))-COUNTBLANK(OFFSET(A$1,,,SUMPRODUCT(MAX(ROW(E$1:E4160)*(E2=E$1:E4160))))))</f>
        <v> </v>
      </c>
      <c r="K4161" s="25" t="str">
        <f>IF(OR(E4161="",E4161="!!!",F4161="NEW"),"",INDEX(J$1:J4160,SUMPRODUCT(MAX(ROW(E$1:E4160)*(E4161=E$1:E4160)))))</f>
        <v> </v>
      </c>
      <c r="L4161" s="26"/>
    </row>
    <row r="4162" spans="1:12">
      <c r="A4162" s="20" t="s">
        <v>1043</v>
      </c>
      <c r="E4162" s="21">
        <f>IF(D4162="?OLD","!!!","")</f>
        <v/>
      </c>
      <c r="F4162" s="22" t="str">
        <f>IF(OR(E4162="",E4162="!!!"),"",IF(NOT(ISNA(VLOOKUP(E4162,E$1:E4161,1,FALSE()))),"OLD",IF(AND(E4162&lt;&gt;"",E4162&lt;&gt;"!!!"),"NEW","")))</f>
        <v> </v>
      </c>
      <c r="G4162" s="23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4" t="str">
        <f>IF(J4162&lt;&gt;1,"",IF(I4162="SBJ","CB","?"))</f>
        <v> </v>
      </c>
      <c r="I4162" s="25" t="str">
        <f>IF(OR(E4162="",E4162="!!!",F4162="NEW"),"",INDEX(B4161:B$2,-1+SUMPRODUCT(MAX(ROW(E4161:E$2)*(E4162=E4161:E$2)))))</f>
        <v> </v>
      </c>
      <c r="J4162" s="25" t="str">
        <f>IF(OR(E4162="",E4162="!!!",F4162="NEW"),"",COUNTBLANK(OFFSET(A$1,,,SUMPRODUCT(MAX(ROW(E$2:E4162)*(E4162=E$2:E4162)))))-COUNTBLANK(OFFSET(A$1,,,SUMPRODUCT(MAX(ROW(E$1:E4161)*(E2=E$1:E4161))))))</f>
        <v> </v>
      </c>
      <c r="K4162" s="25" t="str">
        <f>IF(OR(E4162="",E4162="!!!",F4162="NEW"),"",INDEX(J$1:J4161,SUMPRODUCT(MAX(ROW(E$1:E4161)*(E4162=E$1:E4161)))))</f>
        <v> </v>
      </c>
      <c r="L4162" s="26"/>
    </row>
    <row r="4163" spans="1:12">
      <c r="A4163" s="20" t="s">
        <v>2754</v>
      </c>
      <c r="B4163" s="27" t="s">
        <v>1082</v>
      </c>
      <c r="C4163" s="27" t="s">
        <v>1049</v>
      </c>
      <c r="E4163" s="21">
        <f>IF(D4163="?OLD","!!!","")</f>
        <v/>
      </c>
      <c r="F4163" s="22" t="str">
        <f>IF(OR(E4163="",E4163="!!!"),"",IF(NOT(ISNA(VLOOKUP(E4163,E$1:E4162,1,FALSE()))),"OLD",IF(AND(E4163&lt;&gt;"",E4163&lt;&gt;"!!!"),"NEW","")))</f>
        <v> </v>
      </c>
      <c r="G4163" s="23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4" t="str">
        <f>IF(J4163&lt;&gt;1,"",IF(I4163="SBJ","CB","?"))</f>
        <v> </v>
      </c>
      <c r="I4163" s="25" t="str">
        <f>IF(OR(E4163="",E4163="!!!",F4163="NEW"),"",INDEX(B4162:B$2,-1+SUMPRODUCT(MAX(ROW(E4162:E$2)*(E4163=E4162:E$2)))))</f>
        <v> </v>
      </c>
      <c r="J4163" s="25" t="str">
        <f>IF(OR(E4163="",E4163="!!!",F4163="NEW"),"",COUNTBLANK(OFFSET(A$1,,,SUMPRODUCT(MAX(ROW(E$2:E4163)*(E4163=E$2:E4163)))))-COUNTBLANK(OFFSET(A$1,,,SUMPRODUCT(MAX(ROW(E$1:E4162)*(E2=E$1:E4162))))))</f>
        <v> </v>
      </c>
      <c r="K4163" s="25" t="str">
        <f>IF(OR(E4163="",E4163="!!!",F4163="NEW"),"",INDEX(J$1:J4162,SUMPRODUCT(MAX(ROW(E$1:E4162)*(E4163=E$1:E4162)))))</f>
        <v> </v>
      </c>
      <c r="L4163" s="26"/>
    </row>
    <row r="4164" spans="1:12">
      <c r="A4164" s="20" t="s">
        <v>1050</v>
      </c>
      <c r="E4164" s="21">
        <f>IF(D4164="?OLD","!!!","")</f>
        <v/>
      </c>
      <c r="F4164" s="22" t="str">
        <f>IF(OR(E4164="",E4164="!!!"),"",IF(NOT(ISNA(VLOOKUP(E4164,E$1:E4163,1,FALSE()))),"OLD",IF(AND(E4164&lt;&gt;"",E4164&lt;&gt;"!!!"),"NEW","")))</f>
        <v> </v>
      </c>
      <c r="G4164" s="23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4" t="str">
        <f>IF(J4164&lt;&gt;1,"",IF(I4164="SBJ","CB","?"))</f>
        <v> </v>
      </c>
      <c r="I4164" s="25" t="str">
        <f>IF(OR(E4164="",E4164="!!!",F4164="NEW"),"",INDEX(B4163:B$2,-1+SUMPRODUCT(MAX(ROW(E4163:E$2)*(E4164=E4163:E$2)))))</f>
        <v> </v>
      </c>
      <c r="J4164" s="25" t="str">
        <f>IF(OR(E4164="",E4164="!!!",F4164="NEW"),"",COUNTBLANK(OFFSET(A$1,,,SUMPRODUCT(MAX(ROW(E$2:E4164)*(E4164=E$2:E4164)))))-COUNTBLANK(OFFSET(A$1,,,SUMPRODUCT(MAX(ROW(E$1:E4163)*(E2=E$1:E4163))))))</f>
        <v> </v>
      </c>
      <c r="K4164" s="25" t="str">
        <f>IF(OR(E4164="",E4164="!!!",F4164="NEW"),"",INDEX(J$1:J4163,SUMPRODUCT(MAX(ROW(E$1:E4163)*(E4164=E$1:E4163)))))</f>
        <v> </v>
      </c>
      <c r="L4164" s="26"/>
    </row>
    <row r="4165" spans="1:12">
      <c r="A4165" s="20" t="s">
        <v>1079</v>
      </c>
      <c r="B4165" s="27" t="s">
        <v>1080</v>
      </c>
      <c r="C4165" s="27" t="s">
        <v>1036</v>
      </c>
      <c r="D4165" s="27" t="s">
        <v>1026</v>
      </c>
      <c r="E4165" s="21">
        <f>IF(D4165="?OLD","!!!","")</f>
        <v/>
      </c>
      <c r="F4165" s="22" t="str">
        <f>IF(OR(E4165="",E4165="!!!"),"",IF(NOT(ISNA(VLOOKUP(E4165,E$1:E4164,1,FALSE()))),"OLD",IF(AND(E4165&lt;&gt;"",E4165&lt;&gt;"!!!"),"NEW","")))</f>
        <v> </v>
      </c>
      <c r="G4165" s="23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4" t="str">
        <f>IF(J4165&lt;&gt;1,"",IF(I4165="SBJ","CB","?"))</f>
        <v> </v>
      </c>
      <c r="I4165" s="25" t="str">
        <f>IF(OR(E4165="",E4165="!!!",F4165="NEW"),"",INDEX(B4164:B$2,-1+SUMPRODUCT(MAX(ROW(E4164:E$2)*(E4165=E4164:E$2)))))</f>
        <v> </v>
      </c>
      <c r="J4165" s="25" t="str">
        <f>IF(OR(E4165="",E4165="!!!",F4165="NEW"),"",COUNTBLANK(OFFSET(A$1,,,SUMPRODUCT(MAX(ROW(E$2:E4165)*(E4165=E$2:E4165)))))-COUNTBLANK(OFFSET(A$1,,,SUMPRODUCT(MAX(ROW(E$1:E4164)*(E2=E$1:E4164))))))</f>
        <v> </v>
      </c>
      <c r="K4165" s="25" t="str">
        <f>IF(OR(E4165="",E4165="!!!",F4165="NEW"),"",INDEX(J$1:J4164,SUMPRODUCT(MAX(ROW(E$1:E4164)*(E4165=E$1:E4164)))))</f>
        <v> </v>
      </c>
      <c r="L4165" s="26"/>
    </row>
    <row r="4166" spans="1:12">
      <c r="A4166" s="20" t="s">
        <v>1041</v>
      </c>
      <c r="E4166" s="21">
        <f>IF(D4166="?OLD","!!!","")</f>
        <v/>
      </c>
      <c r="F4166" s="22" t="str">
        <f>IF(OR(E4166="",E4166="!!!"),"",IF(NOT(ISNA(VLOOKUP(E4166,E$1:E4165,1,FALSE()))),"OLD",IF(AND(E4166&lt;&gt;"",E4166&lt;&gt;"!!!"),"NEW","")))</f>
        <v> </v>
      </c>
      <c r="G4166" s="23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4" t="str">
        <f>IF(J4166&lt;&gt;1,"",IF(I4166="SBJ","CB","?"))</f>
        <v> </v>
      </c>
      <c r="I4166" s="25" t="str">
        <f>IF(OR(E4166="",E4166="!!!",F4166="NEW"),"",INDEX(B4165:B$2,-1+SUMPRODUCT(MAX(ROW(E4165:E$2)*(E4166=E4165:E$2)))))</f>
        <v> </v>
      </c>
      <c r="J4166" s="25" t="str">
        <f>IF(OR(E4166="",E4166="!!!",F4166="NEW"),"",COUNTBLANK(OFFSET(A$1,,,SUMPRODUCT(MAX(ROW(E$2:E4166)*(E4166=E$2:E4166)))))-COUNTBLANK(OFFSET(A$1,,,SUMPRODUCT(MAX(ROW(E$1:E4165)*(E2=E$1:E4165))))))</f>
        <v> </v>
      </c>
      <c r="K4166" s="25" t="str">
        <f>IF(OR(E4166="",E4166="!!!",F4166="NEW"),"",INDEX(J$1:J4165,SUMPRODUCT(MAX(ROW(E$1:E4165)*(E4166=E$1:E4165)))))</f>
        <v> </v>
      </c>
      <c r="L4166" s="26"/>
    </row>
    <row r="4167" spans="1:12">
      <c r="A4167" s="20" t="s">
        <v>201</v>
      </c>
      <c r="E4167" s="21">
        <f>IF(D4167="?OLD","!!!","")</f>
        <v/>
      </c>
      <c r="F4167" s="22" t="str">
        <f>IF(OR(E4167="",E4167="!!!"),"",IF(NOT(ISNA(VLOOKUP(E4167,E$1:E4166,1,FALSE()))),"OLD",IF(AND(E4167&lt;&gt;"",E4167&lt;&gt;"!!!"),"NEW","")))</f>
        <v> </v>
      </c>
      <c r="G4167" s="23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4" t="str">
        <f>IF(J4167&lt;&gt;1,"",IF(I4167="SBJ","CB","?"))</f>
        <v> </v>
      </c>
      <c r="I4167" s="25" t="str">
        <f>IF(OR(E4167="",E4167="!!!",F4167="NEW"),"",INDEX(B4166:B$2,-1+SUMPRODUCT(MAX(ROW(E4166:E$2)*(E4167=E4166:E$2)))))</f>
        <v> </v>
      </c>
      <c r="J4167" s="25" t="str">
        <f>IF(OR(E4167="",E4167="!!!",F4167="NEW"),"",COUNTBLANK(OFFSET(A$1,,,SUMPRODUCT(MAX(ROW(E$2:E4167)*(E4167=E$2:E4167)))))-COUNTBLANK(OFFSET(A$1,,,SUMPRODUCT(MAX(ROW(E$1:E4166)*(E2=E$1:E4166))))))</f>
        <v> </v>
      </c>
      <c r="K4167" s="25" t="str">
        <f>IF(OR(E4167="",E4167="!!!",F4167="NEW"),"",INDEX(J$1:J4166,SUMPRODUCT(MAX(ROW(E$1:E4166)*(E4167=E$1:E4166)))))</f>
        <v> </v>
      </c>
      <c r="L4167" s="26"/>
    </row>
    <row r="4168" spans="1:12">
      <c r="A4168" s="20" t="s">
        <v>2755</v>
      </c>
      <c r="B4168" s="27" t="s">
        <v>1048</v>
      </c>
      <c r="E4168" s="21">
        <f>IF(D4168="?OLD","!!!","")</f>
        <v/>
      </c>
      <c r="F4168" s="22" t="str">
        <f>IF(OR(E4168="",E4168="!!!"),"",IF(NOT(ISNA(VLOOKUP(E4168,E$1:E4167,1,FALSE()))),"OLD",IF(AND(E4168&lt;&gt;"",E4168&lt;&gt;"!!!"),"NEW","")))</f>
        <v> </v>
      </c>
      <c r="G4168" s="23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4" t="str">
        <f>IF(J4168&lt;&gt;1,"",IF(I4168="SBJ","CB","?"))</f>
        <v> </v>
      </c>
      <c r="I4168" s="25" t="str">
        <f>IF(OR(E4168="",E4168="!!!",F4168="NEW"),"",INDEX(B4167:B$2,-1+SUMPRODUCT(MAX(ROW(E4167:E$2)*(E4168=E4167:E$2)))))</f>
        <v> </v>
      </c>
      <c r="J4168" s="25" t="str">
        <f>IF(OR(E4168="",E4168="!!!",F4168="NEW"),"",COUNTBLANK(OFFSET(A$1,,,SUMPRODUCT(MAX(ROW(E$2:E4168)*(E4168=E$2:E4168)))))-COUNTBLANK(OFFSET(A$1,,,SUMPRODUCT(MAX(ROW(E$1:E4167)*(E2=E$1:E4167))))))</f>
        <v> </v>
      </c>
      <c r="K4168" s="25" t="str">
        <f>IF(OR(E4168="",E4168="!!!",F4168="NEW"),"",INDEX(J$1:J4167,SUMPRODUCT(MAX(ROW(E$1:E4167)*(E4168=E$1:E4167)))))</f>
        <v> </v>
      </c>
      <c r="L4168" s="26"/>
    </row>
    <row r="4169" spans="1:12">
      <c r="A4169" s="20" t="s">
        <v>2113</v>
      </c>
      <c r="E4169" s="21">
        <f>IF(D4169="?OLD","!!!","")</f>
        <v/>
      </c>
      <c r="F4169" s="22" t="str">
        <f>IF(OR(E4169="",E4169="!!!"),"",IF(NOT(ISNA(VLOOKUP(E4169,E$1:E4168,1,FALSE()))),"OLD",IF(AND(E4169&lt;&gt;"",E4169&lt;&gt;"!!!"),"NEW","")))</f>
        <v> </v>
      </c>
      <c r="G4169" s="23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4" t="str">
        <f>IF(J4169&lt;&gt;1,"",IF(I4169="SBJ","CB","?"))</f>
        <v> </v>
      </c>
      <c r="I4169" s="25" t="str">
        <f>IF(OR(E4169="",E4169="!!!",F4169="NEW"),"",INDEX(B4168:B$2,-1+SUMPRODUCT(MAX(ROW(E4168:E$2)*(E4169=E4168:E$2)))))</f>
        <v> </v>
      </c>
      <c r="J4169" s="25" t="str">
        <f>IF(OR(E4169="",E4169="!!!",F4169="NEW"),"",COUNTBLANK(OFFSET(A$1,,,SUMPRODUCT(MAX(ROW(E$2:E4169)*(E4169=E$2:E4169)))))-COUNTBLANK(OFFSET(A$1,,,SUMPRODUCT(MAX(ROW(E$1:E4168)*(E2=E$1:E4168))))))</f>
        <v> </v>
      </c>
      <c r="K4169" s="25" t="str">
        <f>IF(OR(E4169="",E4169="!!!",F4169="NEW"),"",INDEX(J$1:J4168,SUMPRODUCT(MAX(ROW(E$1:E4168)*(E4169=E$1:E4168)))))</f>
        <v> </v>
      </c>
      <c r="L4169" s="26"/>
    </row>
    <row r="4170" spans="1:12">
      <c r="A4170" s="20" t="s">
        <v>1277</v>
      </c>
      <c r="E4170" s="21">
        <f>IF(D4170="?OLD","!!!","")</f>
        <v/>
      </c>
      <c r="F4170" s="22" t="str">
        <f>IF(OR(E4170="",E4170="!!!"),"",IF(NOT(ISNA(VLOOKUP(E4170,E$1:E4169,1,FALSE()))),"OLD",IF(AND(E4170&lt;&gt;"",E4170&lt;&gt;"!!!"),"NEW","")))</f>
        <v> </v>
      </c>
      <c r="G4170" s="23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4" t="str">
        <f>IF(J4170&lt;&gt;1,"",IF(I4170="SBJ","CB","?"))</f>
        <v> </v>
      </c>
      <c r="I4170" s="25" t="str">
        <f>IF(OR(E4170="",E4170="!!!",F4170="NEW"),"",INDEX(B4169:B$2,-1+SUMPRODUCT(MAX(ROW(E4169:E$2)*(E4170=E4169:E$2)))))</f>
        <v> </v>
      </c>
      <c r="J4170" s="25" t="str">
        <f>IF(OR(E4170="",E4170="!!!",F4170="NEW"),"",COUNTBLANK(OFFSET(A$1,,,SUMPRODUCT(MAX(ROW(E$2:E4170)*(E4170=E$2:E4170)))))-COUNTBLANK(OFFSET(A$1,,,SUMPRODUCT(MAX(ROW(E$1:E4169)*(E2=E$1:E4169))))))</f>
        <v> </v>
      </c>
      <c r="K4170" s="25" t="str">
        <f>IF(OR(E4170="",E4170="!!!",F4170="NEW"),"",INDEX(J$1:J4169,SUMPRODUCT(MAX(ROW(E$1:E4169)*(E4170=E$1:E4169)))))</f>
        <v> </v>
      </c>
      <c r="L4170" s="26"/>
    </row>
    <row r="4171" spans="1:12">
      <c r="A4171" s="20" t="s">
        <v>1050</v>
      </c>
      <c r="E4171" s="21">
        <f>IF(D4171="?OLD","!!!","")</f>
        <v/>
      </c>
      <c r="F4171" s="22" t="str">
        <f>IF(OR(E4171="",E4171="!!!"),"",IF(NOT(ISNA(VLOOKUP(E4171,E$1:E4170,1,FALSE()))),"OLD",IF(AND(E4171&lt;&gt;"",E4171&lt;&gt;"!!!"),"NEW","")))</f>
        <v> </v>
      </c>
      <c r="G4171" s="23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4" t="str">
        <f>IF(J4171&lt;&gt;1,"",IF(I4171="SBJ","CB","?"))</f>
        <v> </v>
      </c>
      <c r="I4171" s="25" t="str">
        <f>IF(OR(E4171="",E4171="!!!",F4171="NEW"),"",INDEX(B4170:B$2,-1+SUMPRODUCT(MAX(ROW(E4170:E$2)*(E4171=E4170:E$2)))))</f>
        <v> </v>
      </c>
      <c r="J4171" s="25" t="str">
        <f>IF(OR(E4171="",E4171="!!!",F4171="NEW"),"",COUNTBLANK(OFFSET(A$1,,,SUMPRODUCT(MAX(ROW(E$2:E4171)*(E4171=E$2:E4171)))))-COUNTBLANK(OFFSET(A$1,,,SUMPRODUCT(MAX(ROW(E$1:E4170)*(E2=E$1:E4170))))))</f>
        <v> </v>
      </c>
      <c r="K4171" s="25" t="str">
        <f>IF(OR(E4171="",E4171="!!!",F4171="NEW"),"",INDEX(J$1:J4170,SUMPRODUCT(MAX(ROW(E$1:E4170)*(E4171=E$1:E4170)))))</f>
        <v> </v>
      </c>
      <c r="L4171" s="26"/>
    </row>
    <row r="4172" spans="1:12">
      <c r="A4172" s="20" t="s">
        <v>2756</v>
      </c>
      <c r="E4172" s="21">
        <f>IF(D4172="?OLD","!!!","")</f>
        <v/>
      </c>
      <c r="F4172" s="22" t="str">
        <f>IF(OR(E4172="",E4172="!!!"),"",IF(NOT(ISNA(VLOOKUP(E4172,E$1:E4171,1,FALSE()))),"OLD",IF(AND(E4172&lt;&gt;"",E4172&lt;&gt;"!!!"),"NEW","")))</f>
        <v> </v>
      </c>
      <c r="G4172" s="23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4" t="str">
        <f>IF(J4172&lt;&gt;1,"",IF(I4172="SBJ","CB","?"))</f>
        <v> </v>
      </c>
      <c r="I4172" s="25" t="str">
        <f>IF(OR(E4172="",E4172="!!!",F4172="NEW"),"",INDEX(B4171:B$2,-1+SUMPRODUCT(MAX(ROW(E4171:E$2)*(E4172=E4171:E$2)))))</f>
        <v> </v>
      </c>
      <c r="J4172" s="25" t="str">
        <f>IF(OR(E4172="",E4172="!!!",F4172="NEW"),"",COUNTBLANK(OFFSET(A$1,,,SUMPRODUCT(MAX(ROW(E$2:E4172)*(E4172=E$2:E4172)))))-COUNTBLANK(OFFSET(A$1,,,SUMPRODUCT(MAX(ROW(E$1:E4171)*(E2=E$1:E4171))))))</f>
        <v> </v>
      </c>
      <c r="K4172" s="25" t="str">
        <f>IF(OR(E4172="",E4172="!!!",F4172="NEW"),"",INDEX(J$1:J4171,SUMPRODUCT(MAX(ROW(E$1:E4171)*(E4172=E$1:E4171)))))</f>
        <v> </v>
      </c>
      <c r="L4172" s="26"/>
    </row>
    <row r="4173" spans="1:12">
      <c r="A4173" s="20" t="s">
        <v>1293</v>
      </c>
      <c r="E4173" s="21">
        <f>IF(D4173="?OLD","!!!","")</f>
        <v/>
      </c>
      <c r="F4173" s="22" t="str">
        <f>IF(OR(E4173="",E4173="!!!"),"",IF(NOT(ISNA(VLOOKUP(E4173,E$1:E4172,1,FALSE()))),"OLD",IF(AND(E4173&lt;&gt;"",E4173&lt;&gt;"!!!"),"NEW","")))</f>
        <v> </v>
      </c>
      <c r="G4173" s="23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4" t="str">
        <f>IF(J4173&lt;&gt;1,"",IF(I4173="SBJ","CB","?"))</f>
        <v> </v>
      </c>
      <c r="I4173" s="25" t="str">
        <f>IF(OR(E4173="",E4173="!!!",F4173="NEW"),"",INDEX(B4172:B$2,-1+SUMPRODUCT(MAX(ROW(E4172:E$2)*(E4173=E4172:E$2)))))</f>
        <v> </v>
      </c>
      <c r="J4173" s="25" t="str">
        <f>IF(OR(E4173="",E4173="!!!",F4173="NEW"),"",COUNTBLANK(OFFSET(A$1,,,SUMPRODUCT(MAX(ROW(E$2:E4173)*(E4173=E$2:E4173)))))-COUNTBLANK(OFFSET(A$1,,,SUMPRODUCT(MAX(ROW(E$1:E4172)*(E2=E$1:E4172))))))</f>
        <v> </v>
      </c>
      <c r="K4173" s="25" t="str">
        <f>IF(OR(E4173="",E4173="!!!",F4173="NEW"),"",INDEX(J$1:J4172,SUMPRODUCT(MAX(ROW(E$1:E4172)*(E4173=E$1:E4172)))))</f>
        <v> </v>
      </c>
      <c r="L4173" s="26"/>
    </row>
    <row r="4174" spans="1:12">
      <c r="A4174" s="20" t="s">
        <v>1927</v>
      </c>
      <c r="E4174" s="21">
        <f>IF(D4174="?OLD","!!!","")</f>
        <v/>
      </c>
      <c r="F4174" s="22" t="str">
        <f>IF(OR(E4174="",E4174="!!!"),"",IF(NOT(ISNA(VLOOKUP(E4174,E$1:E4173,1,FALSE()))),"OLD",IF(AND(E4174&lt;&gt;"",E4174&lt;&gt;"!!!"),"NEW","")))</f>
        <v> </v>
      </c>
      <c r="G4174" s="23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4" t="str">
        <f>IF(J4174&lt;&gt;1,"",IF(I4174="SBJ","CB","?"))</f>
        <v> </v>
      </c>
      <c r="I4174" s="25" t="str">
        <f>IF(OR(E4174="",E4174="!!!",F4174="NEW"),"",INDEX(B4173:B$2,-1+SUMPRODUCT(MAX(ROW(E4173:E$2)*(E4174=E4173:E$2)))))</f>
        <v> </v>
      </c>
      <c r="J4174" s="25" t="str">
        <f>IF(OR(E4174="",E4174="!!!",F4174="NEW"),"",COUNTBLANK(OFFSET(A$1,,,SUMPRODUCT(MAX(ROW(E$2:E4174)*(E4174=E$2:E4174)))))-COUNTBLANK(OFFSET(A$1,,,SUMPRODUCT(MAX(ROW(E$1:E4173)*(E2=E$1:E4173))))))</f>
        <v> </v>
      </c>
      <c r="K4174" s="25" t="str">
        <f>IF(OR(E4174="",E4174="!!!",F4174="NEW"),"",INDEX(J$1:J4173,SUMPRODUCT(MAX(ROW(E$1:E4173)*(E4174=E$1:E4173)))))</f>
        <v> </v>
      </c>
      <c r="L4174" s="26"/>
    </row>
    <row r="4175" spans="1:12">
      <c r="A4175" s="20" t="s">
        <v>1029</v>
      </c>
      <c r="E4175" s="21">
        <f>IF(D4175="?OLD","!!!","")</f>
        <v/>
      </c>
      <c r="F4175" s="22" t="str">
        <f>IF(OR(E4175="",E4175="!!!"),"",IF(NOT(ISNA(VLOOKUP(E4175,E$1:E4174,1,FALSE()))),"OLD",IF(AND(E4175&lt;&gt;"",E4175&lt;&gt;"!!!"),"NEW","")))</f>
        <v> </v>
      </c>
      <c r="G4175" s="23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4" t="str">
        <f>IF(J4175&lt;&gt;1,"",IF(I4175="SBJ","CB","?"))</f>
        <v> </v>
      </c>
      <c r="I4175" s="25" t="str">
        <f>IF(OR(E4175="",E4175="!!!",F4175="NEW"),"",INDEX(B4174:B$2,-1+SUMPRODUCT(MAX(ROW(E4174:E$2)*(E4175=E4174:E$2)))))</f>
        <v> </v>
      </c>
      <c r="J4175" s="25" t="str">
        <f>IF(OR(E4175="",E4175="!!!",F4175="NEW"),"",COUNTBLANK(OFFSET(A$1,,,SUMPRODUCT(MAX(ROW(E$2:E4175)*(E4175=E$2:E4175)))))-COUNTBLANK(OFFSET(A$1,,,SUMPRODUCT(MAX(ROW(E$1:E4174)*(E2=E$1:E4174))))))</f>
        <v> </v>
      </c>
      <c r="K4175" s="25" t="str">
        <f>IF(OR(E4175="",E4175="!!!",F4175="NEW"),"",INDEX(J$1:J4174,SUMPRODUCT(MAX(ROW(E$1:E4174)*(E4175=E$1:E4174)))))</f>
        <v> </v>
      </c>
      <c r="L4175" s="26"/>
    </row>
    <row r="4176" spans="1:12">
      <c r="A4176" s="20" t="s">
        <v>1041</v>
      </c>
      <c r="E4176" s="21">
        <f>IF(D4176="?OLD","!!!","")</f>
        <v/>
      </c>
      <c r="F4176" s="22" t="str">
        <f>IF(OR(E4176="",E4176="!!!"),"",IF(NOT(ISNA(VLOOKUP(E4176,E$1:E4175,1,FALSE()))),"OLD",IF(AND(E4176&lt;&gt;"",E4176&lt;&gt;"!!!"),"NEW","")))</f>
        <v> </v>
      </c>
      <c r="G4176" s="23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4" t="str">
        <f>IF(J4176&lt;&gt;1,"",IF(I4176="SBJ","CB","?"))</f>
        <v> </v>
      </c>
      <c r="I4176" s="25" t="str">
        <f>IF(OR(E4176="",E4176="!!!",F4176="NEW"),"",INDEX(B4175:B$2,-1+SUMPRODUCT(MAX(ROW(E4175:E$2)*(E4176=E4175:E$2)))))</f>
        <v> </v>
      </c>
      <c r="J4176" s="25" t="str">
        <f>IF(OR(E4176="",E4176="!!!",F4176="NEW"),"",COUNTBLANK(OFFSET(A$1,,,SUMPRODUCT(MAX(ROW(E$2:E4176)*(E4176=E$2:E4176)))))-COUNTBLANK(OFFSET(A$1,,,SUMPRODUCT(MAX(ROW(E$1:E4175)*(E2=E$1:E4175))))))</f>
        <v> </v>
      </c>
      <c r="K4176" s="25" t="str">
        <f>IF(OR(E4176="",E4176="!!!",F4176="NEW"),"",INDEX(J$1:J4175,SUMPRODUCT(MAX(ROW(E$1:E4175)*(E4176=E$1:E4175)))))</f>
        <v> </v>
      </c>
      <c r="L4176" s="26"/>
    </row>
    <row r="4177" spans="1:12">
      <c r="A4177" s="20" t="s">
        <v>1096</v>
      </c>
      <c r="E4177" s="21">
        <f>IF(D4177="?OLD","!!!","")</f>
        <v/>
      </c>
      <c r="F4177" s="22" t="str">
        <f>IF(OR(E4177="",E4177="!!!"),"",IF(NOT(ISNA(VLOOKUP(E4177,E$1:E4176,1,FALSE()))),"OLD",IF(AND(E4177&lt;&gt;"",E4177&lt;&gt;"!!!"),"NEW","")))</f>
        <v> </v>
      </c>
      <c r="G4177" s="23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4" t="str">
        <f>IF(J4177&lt;&gt;1,"",IF(I4177="SBJ","CB","?"))</f>
        <v> </v>
      </c>
      <c r="I4177" s="25" t="str">
        <f>IF(OR(E4177="",E4177="!!!",F4177="NEW"),"",INDEX(B4176:B$2,-1+SUMPRODUCT(MAX(ROW(E4176:E$2)*(E4177=E4176:E$2)))))</f>
        <v> </v>
      </c>
      <c r="J4177" s="25" t="str">
        <f>IF(OR(E4177="",E4177="!!!",F4177="NEW"),"",COUNTBLANK(OFFSET(A$1,,,SUMPRODUCT(MAX(ROW(E$2:E4177)*(E4177=E$2:E4177)))))-COUNTBLANK(OFFSET(A$1,,,SUMPRODUCT(MAX(ROW(E$1:E4176)*(E2=E$1:E4176))))))</f>
        <v> </v>
      </c>
      <c r="K4177" s="25" t="str">
        <f>IF(OR(E4177="",E4177="!!!",F4177="NEW"),"",INDEX(J$1:J4176,SUMPRODUCT(MAX(ROW(E$1:E4176)*(E4177=E$1:E4176)))))</f>
        <v> </v>
      </c>
      <c r="L4177" s="26"/>
    </row>
    <row r="4178" spans="1:12">
      <c r="A4178" s="20" t="s">
        <v>1212</v>
      </c>
      <c r="E4178" s="21">
        <f>IF(D4178="?OLD","!!!","")</f>
        <v/>
      </c>
      <c r="F4178" s="22" t="str">
        <f>IF(OR(E4178="",E4178="!!!"),"",IF(NOT(ISNA(VLOOKUP(E4178,E$1:E4177,1,FALSE()))),"OLD",IF(AND(E4178&lt;&gt;"",E4178&lt;&gt;"!!!"),"NEW","")))</f>
        <v> </v>
      </c>
      <c r="G4178" s="23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4" t="str">
        <f>IF(J4178&lt;&gt;1,"",IF(I4178="SBJ","CB","?"))</f>
        <v> </v>
      </c>
      <c r="I4178" s="25" t="str">
        <f>IF(OR(E4178="",E4178="!!!",F4178="NEW"),"",INDEX(B4177:B$2,-1+SUMPRODUCT(MAX(ROW(E4177:E$2)*(E4178=E4177:E$2)))))</f>
        <v> </v>
      </c>
      <c r="J4178" s="25" t="str">
        <f>IF(OR(E4178="",E4178="!!!",F4178="NEW"),"",COUNTBLANK(OFFSET(A$1,,,SUMPRODUCT(MAX(ROW(E$2:E4178)*(E4178=E$2:E4178)))))-COUNTBLANK(OFFSET(A$1,,,SUMPRODUCT(MAX(ROW(E$1:E4177)*(E2=E$1:E4177))))))</f>
        <v> </v>
      </c>
      <c r="K4178" s="25" t="str">
        <f>IF(OR(E4178="",E4178="!!!",F4178="NEW"),"",INDEX(J$1:J4177,SUMPRODUCT(MAX(ROW(E$1:E4177)*(E4178=E$1:E4177)))))</f>
        <v> </v>
      </c>
      <c r="L4178" s="26"/>
    </row>
    <row r="4179" spans="1:12">
      <c r="A4179" s="20" t="s">
        <v>1041</v>
      </c>
      <c r="E4179" s="21">
        <f>IF(D4179="?OLD","!!!","")</f>
        <v/>
      </c>
      <c r="F4179" s="22" t="str">
        <f>IF(OR(E4179="",E4179="!!!"),"",IF(NOT(ISNA(VLOOKUP(E4179,E$1:E4178,1,FALSE()))),"OLD",IF(AND(E4179&lt;&gt;"",E4179&lt;&gt;"!!!"),"NEW","")))</f>
        <v> </v>
      </c>
      <c r="G4179" s="23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4" t="str">
        <f>IF(J4179&lt;&gt;1,"",IF(I4179="SBJ","CB","?"))</f>
        <v> </v>
      </c>
      <c r="I4179" s="25" t="str">
        <f>IF(OR(E4179="",E4179="!!!",F4179="NEW"),"",INDEX(B4178:B$2,-1+SUMPRODUCT(MAX(ROW(E4178:E$2)*(E4179=E4178:E$2)))))</f>
        <v> </v>
      </c>
      <c r="J4179" s="25" t="str">
        <f>IF(OR(E4179="",E4179="!!!",F4179="NEW"),"",COUNTBLANK(OFFSET(A$1,,,SUMPRODUCT(MAX(ROW(E$2:E4179)*(E4179=E$2:E4179)))))-COUNTBLANK(OFFSET(A$1,,,SUMPRODUCT(MAX(ROW(E$1:E4178)*(E2=E$1:E4178))))))</f>
        <v> </v>
      </c>
      <c r="K4179" s="25" t="str">
        <f>IF(OR(E4179="",E4179="!!!",F4179="NEW"),"",INDEX(J$1:J4178,SUMPRODUCT(MAX(ROW(E$1:E4178)*(E4179=E$1:E4178)))))</f>
        <v> </v>
      </c>
      <c r="L4179" s="26"/>
    </row>
    <row r="4180" spans="1:12">
      <c r="A4180" s="20" t="s">
        <v>2755</v>
      </c>
      <c r="B4180" s="27" t="s">
        <v>1048</v>
      </c>
      <c r="C4180" s="27" t="s">
        <v>1049</v>
      </c>
      <c r="E4180" s="21">
        <f>IF(D4180="?OLD","!!!","")</f>
        <v/>
      </c>
      <c r="F4180" s="22" t="str">
        <f>IF(OR(E4180="",E4180="!!!"),"",IF(NOT(ISNA(VLOOKUP(E4180,E$1:E4179,1,FALSE()))),"OLD",IF(AND(E4180&lt;&gt;"",E4180&lt;&gt;"!!!"),"NEW","")))</f>
        <v> </v>
      </c>
      <c r="G4180" s="23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4" t="str">
        <f>IF(J4180&lt;&gt;1,"",IF(I4180="SBJ","CB","?"))</f>
        <v> </v>
      </c>
      <c r="I4180" s="25" t="str">
        <f>IF(OR(E4180="",E4180="!!!",F4180="NEW"),"",INDEX(B4179:B$2,-1+SUMPRODUCT(MAX(ROW(E4179:E$2)*(E4180=E4179:E$2)))))</f>
        <v> </v>
      </c>
      <c r="J4180" s="25" t="str">
        <f>IF(OR(E4180="",E4180="!!!",F4180="NEW"),"",COUNTBLANK(OFFSET(A$1,,,SUMPRODUCT(MAX(ROW(E$2:E4180)*(E4180=E$2:E4180)))))-COUNTBLANK(OFFSET(A$1,,,SUMPRODUCT(MAX(ROW(E$1:E4179)*(E2=E$1:E4179))))))</f>
        <v> </v>
      </c>
      <c r="K4180" s="25" t="str">
        <f>IF(OR(E4180="",E4180="!!!",F4180="NEW"),"",INDEX(J$1:J4179,SUMPRODUCT(MAX(ROW(E$1:E4179)*(E4180=E$1:E4179)))))</f>
        <v> </v>
      </c>
      <c r="L4180" s="26"/>
    </row>
    <row r="4181" spans="1:12">
      <c r="A4181" s="20" t="s">
        <v>2757</v>
      </c>
      <c r="E4181" s="21">
        <f>IF(D4181="?OLD","!!!","")</f>
        <v/>
      </c>
      <c r="F4181" s="22" t="str">
        <f>IF(OR(E4181="",E4181="!!!"),"",IF(NOT(ISNA(VLOOKUP(E4181,E$1:E4180,1,FALSE()))),"OLD",IF(AND(E4181&lt;&gt;"",E4181&lt;&gt;"!!!"),"NEW","")))</f>
        <v> </v>
      </c>
      <c r="G4181" s="23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4" t="str">
        <f>IF(J4181&lt;&gt;1,"",IF(I4181="SBJ","CB","?"))</f>
        <v> </v>
      </c>
      <c r="I4181" s="25" t="str">
        <f>IF(OR(E4181="",E4181="!!!",F4181="NEW"),"",INDEX(B4180:B$2,-1+SUMPRODUCT(MAX(ROW(E4180:E$2)*(E4181=E4180:E$2)))))</f>
        <v> </v>
      </c>
      <c r="J4181" s="25" t="str">
        <f>IF(OR(E4181="",E4181="!!!",F4181="NEW"),"",COUNTBLANK(OFFSET(A$1,,,SUMPRODUCT(MAX(ROW(E$2:E4181)*(E4181=E$2:E4181)))))-COUNTBLANK(OFFSET(A$1,,,SUMPRODUCT(MAX(ROW(E$1:E4180)*(E2=E$1:E4180))))))</f>
        <v> </v>
      </c>
      <c r="K4181" s="25" t="str">
        <f>IF(OR(E4181="",E4181="!!!",F4181="NEW"),"",INDEX(J$1:J4180,SUMPRODUCT(MAX(ROW(E$1:E4180)*(E4181=E$1:E4180)))))</f>
        <v> </v>
      </c>
      <c r="L4181" s="26"/>
    </row>
    <row r="4182" spans="1:12">
      <c r="A4182" s="20" t="s">
        <v>1032</v>
      </c>
      <c r="E4182" s="21">
        <f>IF(D4182="?OLD","!!!","")</f>
        <v/>
      </c>
      <c r="F4182" s="22" t="str">
        <f>IF(OR(E4182="",E4182="!!!"),"",IF(NOT(ISNA(VLOOKUP(E4182,E$1:E4181,1,FALSE()))),"OLD",IF(AND(E4182&lt;&gt;"",E4182&lt;&gt;"!!!"),"NEW","")))</f>
        <v> </v>
      </c>
      <c r="G4182" s="23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4" t="str">
        <f>IF(J4182&lt;&gt;1,"",IF(I4182="SBJ","CB","?"))</f>
        <v> </v>
      </c>
      <c r="I4182" s="25" t="str">
        <f>IF(OR(E4182="",E4182="!!!",F4182="NEW"),"",INDEX(B4181:B$2,-1+SUMPRODUCT(MAX(ROW(E4181:E$2)*(E4182=E4181:E$2)))))</f>
        <v> </v>
      </c>
      <c r="J4182" s="25" t="str">
        <f>IF(OR(E4182="",E4182="!!!",F4182="NEW"),"",COUNTBLANK(OFFSET(A$1,,,SUMPRODUCT(MAX(ROW(E$2:E4182)*(E4182=E$2:E4182)))))-COUNTBLANK(OFFSET(A$1,,,SUMPRODUCT(MAX(ROW(E$1:E4181)*(E2=E$1:E4181))))))</f>
        <v> </v>
      </c>
      <c r="K4182" s="25" t="str">
        <f>IF(OR(E4182="",E4182="!!!",F4182="NEW"),"",INDEX(J$1:J4181,SUMPRODUCT(MAX(ROW(E$1:E4181)*(E4182=E$1:E4181)))))</f>
        <v> </v>
      </c>
      <c r="L4182" s="26"/>
    </row>
    <row r="4183" spans="1:12">
      <c r="A4183" s="20"/>
    </row>
    <row r="4184" spans="1:12">
      <c r="A4184" s="20" t="s">
        <v>2758</v>
      </c>
    </row>
    <row r="4185" spans="1:12">
      <c r="A4185" s="20" t="s">
        <v>1942</v>
      </c>
      <c r="E4185" s="21">
        <f>IF(D4185="?OLD","!!!","")</f>
        <v/>
      </c>
      <c r="F4185" s="22" t="str">
        <f>IF(OR(E4185="",E4185="!!!"),"",IF(NOT(ISNA(VLOOKUP(E4185,E$1:E4184,1,FALSE()))),"OLD",IF(AND(E4185&lt;&gt;"",E4185&lt;&gt;"!!!"),"NEW","")))</f>
        <v> </v>
      </c>
      <c r="G4185" s="23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4" t="str">
        <f>IF(J4185&lt;&gt;1,"",IF(I4185="SBJ","CB","?"))</f>
        <v> </v>
      </c>
      <c r="I4185" s="25" t="str">
        <f>IF(OR(E4185="",E4185="!!!",F4185="NEW"),"",INDEX(B4184:B$2,-1+SUMPRODUCT(MAX(ROW(E4184:E$2)*(E4185=E4184:E$2)))))</f>
        <v> </v>
      </c>
      <c r="J4185" s="25" t="str">
        <f>IF(OR(E4185="",E4185="!!!",F4185="NEW"),"",COUNTBLANK(OFFSET(A$1,,,SUMPRODUCT(MAX(ROW(E$2:E4185)*(E4185=E$2:E4185)))))-COUNTBLANK(OFFSET(A$1,,,SUMPRODUCT(MAX(ROW(E$1:E4184)*(E2=E$1:E4184))))))</f>
        <v> </v>
      </c>
      <c r="K4185" s="25" t="str">
        <f>IF(OR(E4185="",E4185="!!!",F4185="NEW"),"",INDEX(J$1:J4184,SUMPRODUCT(MAX(ROW(E$1:E4184)*(E4185=E$1:E4184)))))</f>
        <v> </v>
      </c>
      <c r="L4185" s="26"/>
    </row>
    <row r="4186" spans="1:12">
      <c r="A4186" s="20" t="s">
        <v>1042</v>
      </c>
      <c r="E4186" s="21">
        <f>IF(D4186="?OLD","!!!","")</f>
        <v/>
      </c>
      <c r="F4186" s="22" t="str">
        <f>IF(OR(E4186="",E4186="!!!"),"",IF(NOT(ISNA(VLOOKUP(E4186,E$1:E4185,1,FALSE()))),"OLD",IF(AND(E4186&lt;&gt;"",E4186&lt;&gt;"!!!"),"NEW","")))</f>
        <v> </v>
      </c>
      <c r="G4186" s="23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4" t="str">
        <f>IF(J4186&lt;&gt;1,"",IF(I4186="SBJ","CB","?"))</f>
        <v> </v>
      </c>
      <c r="I4186" s="25" t="str">
        <f>IF(OR(E4186="",E4186="!!!",F4186="NEW"),"",INDEX(B4185:B$2,-1+SUMPRODUCT(MAX(ROW(E4185:E$2)*(E4186=E4185:E$2)))))</f>
        <v> </v>
      </c>
      <c r="J4186" s="25" t="str">
        <f>IF(OR(E4186="",E4186="!!!",F4186="NEW"),"",COUNTBLANK(OFFSET(A$1,,,SUMPRODUCT(MAX(ROW(E$2:E4186)*(E4186=E$2:E4186)))))-COUNTBLANK(OFFSET(A$1,,,SUMPRODUCT(MAX(ROW(E$1:E4185)*(E2=E$1:E4185))))))</f>
        <v> </v>
      </c>
      <c r="K4186" s="25" t="str">
        <f>IF(OR(E4186="",E4186="!!!",F4186="NEW"),"",INDEX(J$1:J4185,SUMPRODUCT(MAX(ROW(E$1:E4185)*(E4186=E$1:E4185)))))</f>
        <v> </v>
      </c>
      <c r="L4186" s="26"/>
    </row>
    <row r="4187" spans="1:12">
      <c r="A4187" s="20" t="s">
        <v>1041</v>
      </c>
      <c r="E4187" s="21">
        <f>IF(D4187="?OLD","!!!","")</f>
        <v/>
      </c>
      <c r="F4187" s="22" t="str">
        <f>IF(OR(E4187="",E4187="!!!"),"",IF(NOT(ISNA(VLOOKUP(E4187,E$1:E4186,1,FALSE()))),"OLD",IF(AND(E4187&lt;&gt;"",E4187&lt;&gt;"!!!"),"NEW","")))</f>
        <v> </v>
      </c>
      <c r="G4187" s="23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4" t="str">
        <f>IF(J4187&lt;&gt;1,"",IF(I4187="SBJ","CB","?"))</f>
        <v> </v>
      </c>
      <c r="I4187" s="25" t="str">
        <f>IF(OR(E4187="",E4187="!!!",F4187="NEW"),"",INDEX(B4186:B$2,-1+SUMPRODUCT(MAX(ROW(E4186:E$2)*(E4187=E4186:E$2)))))</f>
        <v> </v>
      </c>
      <c r="J4187" s="25" t="str">
        <f>IF(OR(E4187="",E4187="!!!",F4187="NEW"),"",COUNTBLANK(OFFSET(A$1,,,SUMPRODUCT(MAX(ROW(E$2:E4187)*(E4187=E$2:E4187)))))-COUNTBLANK(OFFSET(A$1,,,SUMPRODUCT(MAX(ROW(E$1:E4186)*(E2=E$1:E4186))))))</f>
        <v> </v>
      </c>
      <c r="K4187" s="25" t="str">
        <f>IF(OR(E4187="",E4187="!!!",F4187="NEW"),"",INDEX(J$1:J4186,SUMPRODUCT(MAX(ROW(E$1:E4186)*(E4187=E$1:E4186)))))</f>
        <v> </v>
      </c>
      <c r="L4187" s="26"/>
    </row>
    <row r="4188" spans="1:12">
      <c r="A4188" s="20" t="s">
        <v>1147</v>
      </c>
      <c r="E4188" s="21">
        <f>IF(D4188="?OLD","!!!","")</f>
        <v/>
      </c>
      <c r="F4188" s="22" t="str">
        <f>IF(OR(E4188="",E4188="!!!"),"",IF(NOT(ISNA(VLOOKUP(E4188,E$1:E4187,1,FALSE()))),"OLD",IF(AND(E4188&lt;&gt;"",E4188&lt;&gt;"!!!"),"NEW","")))</f>
        <v> </v>
      </c>
      <c r="G4188" s="23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4" t="str">
        <f>IF(J4188&lt;&gt;1,"",IF(I4188="SBJ","CB","?"))</f>
        <v> </v>
      </c>
      <c r="I4188" s="25" t="str">
        <f>IF(OR(E4188="",E4188="!!!",F4188="NEW"),"",INDEX(B4187:B$2,-1+SUMPRODUCT(MAX(ROW(E4187:E$2)*(E4188=E4187:E$2)))))</f>
        <v> </v>
      </c>
      <c r="J4188" s="25" t="str">
        <f>IF(OR(E4188="",E4188="!!!",F4188="NEW"),"",COUNTBLANK(OFFSET(A$1,,,SUMPRODUCT(MAX(ROW(E$2:E4188)*(E4188=E$2:E4188)))))-COUNTBLANK(OFFSET(A$1,,,SUMPRODUCT(MAX(ROW(E$1:E4187)*(E2=E$1:E4187))))))</f>
        <v> </v>
      </c>
      <c r="K4188" s="25" t="str">
        <f>IF(OR(E4188="",E4188="!!!",F4188="NEW"),"",INDEX(J$1:J4187,SUMPRODUCT(MAX(ROW(E$1:E4187)*(E4188=E$1:E4187)))))</f>
        <v> </v>
      </c>
      <c r="L4188" s="26"/>
    </row>
    <row r="4189" spans="1:12">
      <c r="A4189" s="20" t="s">
        <v>2759</v>
      </c>
      <c r="E4189" s="21">
        <f>IF(D4189="?OLD","!!!","")</f>
        <v/>
      </c>
      <c r="F4189" s="22" t="str">
        <f>IF(OR(E4189="",E4189="!!!"),"",IF(NOT(ISNA(VLOOKUP(E4189,E$1:E4188,1,FALSE()))),"OLD",IF(AND(E4189&lt;&gt;"",E4189&lt;&gt;"!!!"),"NEW","")))</f>
        <v> </v>
      </c>
      <c r="G4189" s="23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4" t="str">
        <f>IF(J4189&lt;&gt;1,"",IF(I4189="SBJ","CB","?"))</f>
        <v> </v>
      </c>
      <c r="I4189" s="25" t="str">
        <f>IF(OR(E4189="",E4189="!!!",F4189="NEW"),"",INDEX(B4188:B$2,-1+SUMPRODUCT(MAX(ROW(E4188:E$2)*(E4189=E4188:E$2)))))</f>
        <v> </v>
      </c>
      <c r="J4189" s="25" t="str">
        <f>IF(OR(E4189="",E4189="!!!",F4189="NEW"),"",COUNTBLANK(OFFSET(A$1,,,SUMPRODUCT(MAX(ROW(E$2:E4189)*(E4189=E$2:E4189)))))-COUNTBLANK(OFFSET(A$1,,,SUMPRODUCT(MAX(ROW(E$1:E4188)*(E2=E$1:E4188))))))</f>
        <v> </v>
      </c>
      <c r="K4189" s="25" t="str">
        <f>IF(OR(E4189="",E4189="!!!",F4189="NEW"),"",INDEX(J$1:J4188,SUMPRODUCT(MAX(ROW(E$1:E4188)*(E4189=E$1:E4188)))))</f>
        <v> </v>
      </c>
      <c r="L4189" s="26"/>
    </row>
    <row r="4190" spans="1:12">
      <c r="A4190" s="20" t="s">
        <v>1121</v>
      </c>
      <c r="E4190" s="21">
        <f>IF(D4190="?OLD","!!!","")</f>
        <v/>
      </c>
      <c r="F4190" s="22" t="str">
        <f>IF(OR(E4190="",E4190="!!!"),"",IF(NOT(ISNA(VLOOKUP(E4190,E$1:E4189,1,FALSE()))),"OLD",IF(AND(E4190&lt;&gt;"",E4190&lt;&gt;"!!!"),"NEW","")))</f>
        <v> </v>
      </c>
      <c r="G4190" s="23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4" t="str">
        <f>IF(J4190&lt;&gt;1,"",IF(I4190="SBJ","CB","?"))</f>
        <v> </v>
      </c>
      <c r="I4190" s="25" t="str">
        <f>IF(OR(E4190="",E4190="!!!",F4190="NEW"),"",INDEX(B4189:B$2,-1+SUMPRODUCT(MAX(ROW(E4189:E$2)*(E4190=E4189:E$2)))))</f>
        <v> </v>
      </c>
      <c r="J4190" s="25" t="str">
        <f>IF(OR(E4190="",E4190="!!!",F4190="NEW"),"",COUNTBLANK(OFFSET(A$1,,,SUMPRODUCT(MAX(ROW(E$2:E4190)*(E4190=E$2:E4190)))))-COUNTBLANK(OFFSET(A$1,,,SUMPRODUCT(MAX(ROW(E$1:E4189)*(E2=E$1:E4189))))))</f>
        <v> </v>
      </c>
      <c r="K4190" s="25" t="str">
        <f>IF(OR(E4190="",E4190="!!!",F4190="NEW"),"",INDEX(J$1:J4189,SUMPRODUCT(MAX(ROW(E$1:E4189)*(E4190=E$1:E4189)))))</f>
        <v> </v>
      </c>
      <c r="L4190" s="26"/>
    </row>
    <row r="4191" spans="1:12">
      <c r="A4191" s="20" t="s">
        <v>1122</v>
      </c>
      <c r="E4191" s="21">
        <f>IF(D4191="?OLD","!!!","")</f>
        <v/>
      </c>
      <c r="F4191" s="22" t="str">
        <f>IF(OR(E4191="",E4191="!!!"),"",IF(NOT(ISNA(VLOOKUP(E4191,E$1:E4190,1,FALSE()))),"OLD",IF(AND(E4191&lt;&gt;"",E4191&lt;&gt;"!!!"),"NEW","")))</f>
        <v> </v>
      </c>
      <c r="G4191" s="23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4" t="str">
        <f>IF(J4191&lt;&gt;1,"",IF(I4191="SBJ","CB","?"))</f>
        <v> </v>
      </c>
      <c r="I4191" s="25" t="str">
        <f>IF(OR(E4191="",E4191="!!!",F4191="NEW"),"",INDEX(B4190:B$2,-1+SUMPRODUCT(MAX(ROW(E4190:E$2)*(E4191=E4190:E$2)))))</f>
        <v> </v>
      </c>
      <c r="J4191" s="25" t="str">
        <f>IF(OR(E4191="",E4191="!!!",F4191="NEW"),"",COUNTBLANK(OFFSET(A$1,,,SUMPRODUCT(MAX(ROW(E$2:E4191)*(E4191=E$2:E4191)))))-COUNTBLANK(OFFSET(A$1,,,SUMPRODUCT(MAX(ROW(E$1:E4190)*(E2=E$1:E4190))))))</f>
        <v> </v>
      </c>
      <c r="K4191" s="25" t="str">
        <f>IF(OR(E4191="",E4191="!!!",F4191="NEW"),"",INDEX(J$1:J4190,SUMPRODUCT(MAX(ROW(E$1:E4190)*(E4191=E$1:E4190)))))</f>
        <v> </v>
      </c>
      <c r="L4191" s="26"/>
    </row>
    <row r="4192" spans="1:12">
      <c r="A4192" s="20" t="s">
        <v>2760</v>
      </c>
      <c r="E4192" s="21">
        <f>IF(D4192="?OLD","!!!","")</f>
        <v/>
      </c>
      <c r="F4192" s="22" t="str">
        <f>IF(OR(E4192="",E4192="!!!"),"",IF(NOT(ISNA(VLOOKUP(E4192,E$1:E4191,1,FALSE()))),"OLD",IF(AND(E4192&lt;&gt;"",E4192&lt;&gt;"!!!"),"NEW","")))</f>
        <v> </v>
      </c>
      <c r="G4192" s="23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4" t="str">
        <f>IF(J4192&lt;&gt;1,"",IF(I4192="SBJ","CB","?"))</f>
        <v> </v>
      </c>
      <c r="I4192" s="25" t="str">
        <f>IF(OR(E4192="",E4192="!!!",F4192="NEW"),"",INDEX(B4191:B$2,-1+SUMPRODUCT(MAX(ROW(E4191:E$2)*(E4192=E4191:E$2)))))</f>
        <v> </v>
      </c>
      <c r="J4192" s="25" t="str">
        <f>IF(OR(E4192="",E4192="!!!",F4192="NEW"),"",COUNTBLANK(OFFSET(A$1,,,SUMPRODUCT(MAX(ROW(E$2:E4192)*(E4192=E$2:E4192)))))-COUNTBLANK(OFFSET(A$1,,,SUMPRODUCT(MAX(ROW(E$1:E4191)*(E2=E$1:E4191))))))</f>
        <v> </v>
      </c>
      <c r="K4192" s="25" t="str">
        <f>IF(OR(E4192="",E4192="!!!",F4192="NEW"),"",INDEX(J$1:J4191,SUMPRODUCT(MAX(ROW(E$1:E4191)*(E4192=E$1:E4191)))))</f>
        <v> </v>
      </c>
      <c r="L4192" s="26"/>
    </row>
    <row r="4193" spans="1:12">
      <c r="A4193" s="20" t="s">
        <v>2761</v>
      </c>
      <c r="E4193" s="21">
        <f>IF(D4193="?OLD","!!!","")</f>
        <v/>
      </c>
      <c r="F4193" s="22" t="str">
        <f>IF(OR(E4193="",E4193="!!!"),"",IF(NOT(ISNA(VLOOKUP(E4193,E$1:E4192,1,FALSE()))),"OLD",IF(AND(E4193&lt;&gt;"",E4193&lt;&gt;"!!!"),"NEW","")))</f>
        <v> </v>
      </c>
      <c r="G4193" s="23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4" t="str">
        <f>IF(J4193&lt;&gt;1,"",IF(I4193="SBJ","CB","?"))</f>
        <v> </v>
      </c>
      <c r="I4193" s="25" t="str">
        <f>IF(OR(E4193="",E4193="!!!",F4193="NEW"),"",INDEX(B4192:B$2,-1+SUMPRODUCT(MAX(ROW(E4192:E$2)*(E4193=E4192:E$2)))))</f>
        <v> </v>
      </c>
      <c r="J4193" s="25" t="str">
        <f>IF(OR(E4193="",E4193="!!!",F4193="NEW"),"",COUNTBLANK(OFFSET(A$1,,,SUMPRODUCT(MAX(ROW(E$2:E4193)*(E4193=E$2:E4193)))))-COUNTBLANK(OFFSET(A$1,,,SUMPRODUCT(MAX(ROW(E$1:E4192)*(E2=E$1:E4192))))))</f>
        <v> </v>
      </c>
      <c r="K4193" s="25" t="str">
        <f>IF(OR(E4193="",E4193="!!!",F4193="NEW"),"",INDEX(J$1:J4192,SUMPRODUCT(MAX(ROW(E$1:E4192)*(E4193=E$1:E4192)))))</f>
        <v> </v>
      </c>
      <c r="L4193" s="26"/>
    </row>
    <row r="4194" spans="1:12">
      <c r="A4194" s="20" t="s">
        <v>1041</v>
      </c>
      <c r="E4194" s="21">
        <f>IF(D4194="?OLD","!!!","")</f>
        <v/>
      </c>
      <c r="F4194" s="22" t="str">
        <f>IF(OR(E4194="",E4194="!!!"),"",IF(NOT(ISNA(VLOOKUP(E4194,E$1:E4193,1,FALSE()))),"OLD",IF(AND(E4194&lt;&gt;"",E4194&lt;&gt;"!!!"),"NEW","")))</f>
        <v> </v>
      </c>
      <c r="G4194" s="23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4" t="str">
        <f>IF(J4194&lt;&gt;1,"",IF(I4194="SBJ","CB","?"))</f>
        <v> </v>
      </c>
      <c r="I4194" s="25" t="str">
        <f>IF(OR(E4194="",E4194="!!!",F4194="NEW"),"",INDEX(B4193:B$2,-1+SUMPRODUCT(MAX(ROW(E4193:E$2)*(E4194=E4193:E$2)))))</f>
        <v> </v>
      </c>
      <c r="J4194" s="25" t="str">
        <f>IF(OR(E4194="",E4194="!!!",F4194="NEW"),"",COUNTBLANK(OFFSET(A$1,,,SUMPRODUCT(MAX(ROW(E$2:E4194)*(E4194=E$2:E4194)))))-COUNTBLANK(OFFSET(A$1,,,SUMPRODUCT(MAX(ROW(E$1:E4193)*(E2=E$1:E4193))))))</f>
        <v> </v>
      </c>
      <c r="K4194" s="25" t="str">
        <f>IF(OR(E4194="",E4194="!!!",F4194="NEW"),"",INDEX(J$1:J4193,SUMPRODUCT(MAX(ROW(E$1:E4193)*(E4194=E$1:E4193)))))</f>
        <v> </v>
      </c>
      <c r="L4194" s="26"/>
    </row>
    <row r="4195" spans="1:12">
      <c r="A4195" s="20" t="s">
        <v>1050</v>
      </c>
      <c r="E4195" s="21">
        <f>IF(D4195="?OLD","!!!","")</f>
        <v/>
      </c>
      <c r="F4195" s="22" t="str">
        <f>IF(OR(E4195="",E4195="!!!"),"",IF(NOT(ISNA(VLOOKUP(E4195,E$1:E4194,1,FALSE()))),"OLD",IF(AND(E4195&lt;&gt;"",E4195&lt;&gt;"!!!"),"NEW","")))</f>
        <v> </v>
      </c>
      <c r="G4195" s="23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4" t="str">
        <f>IF(J4195&lt;&gt;1,"",IF(I4195="SBJ","CB","?"))</f>
        <v> </v>
      </c>
      <c r="I4195" s="25" t="str">
        <f>IF(OR(E4195="",E4195="!!!",F4195="NEW"),"",INDEX(B4194:B$2,-1+SUMPRODUCT(MAX(ROW(E4194:E$2)*(E4195=E4194:E$2)))))</f>
        <v> </v>
      </c>
      <c r="J4195" s="25" t="str">
        <f>IF(OR(E4195="",E4195="!!!",F4195="NEW"),"",COUNTBLANK(OFFSET(A$1,,,SUMPRODUCT(MAX(ROW(E$2:E4195)*(E4195=E$2:E4195)))))-COUNTBLANK(OFFSET(A$1,,,SUMPRODUCT(MAX(ROW(E$1:E4194)*(E2=E$1:E4194))))))</f>
        <v> </v>
      </c>
      <c r="K4195" s="25" t="str">
        <f>IF(OR(E4195="",E4195="!!!",F4195="NEW"),"",INDEX(J$1:J4194,SUMPRODUCT(MAX(ROW(E$1:E4194)*(E4195=E$1:E4194)))))</f>
        <v> </v>
      </c>
      <c r="L4195" s="26"/>
    </row>
    <row r="4196" spans="1:12">
      <c r="A4196" s="20" t="s">
        <v>2762</v>
      </c>
      <c r="E4196" s="21">
        <f>IF(D4196="?OLD","!!!","")</f>
        <v/>
      </c>
      <c r="F4196" s="22" t="str">
        <f>IF(OR(E4196="",E4196="!!!"),"",IF(NOT(ISNA(VLOOKUP(E4196,E$1:E4195,1,FALSE()))),"OLD",IF(AND(E4196&lt;&gt;"",E4196&lt;&gt;"!!!"),"NEW","")))</f>
        <v> </v>
      </c>
      <c r="G4196" s="23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4" t="str">
        <f>IF(J4196&lt;&gt;1,"",IF(I4196="SBJ","CB","?"))</f>
        <v> </v>
      </c>
      <c r="I4196" s="25" t="str">
        <f>IF(OR(E4196="",E4196="!!!",F4196="NEW"),"",INDEX(B4195:B$2,-1+SUMPRODUCT(MAX(ROW(E4195:E$2)*(E4196=E4195:E$2)))))</f>
        <v> </v>
      </c>
      <c r="J4196" s="25" t="str">
        <f>IF(OR(E4196="",E4196="!!!",F4196="NEW"),"",COUNTBLANK(OFFSET(A$1,,,SUMPRODUCT(MAX(ROW(E$2:E4196)*(E4196=E$2:E4196)))))-COUNTBLANK(OFFSET(A$1,,,SUMPRODUCT(MAX(ROW(E$1:E4195)*(E2=E$1:E4195))))))</f>
        <v> </v>
      </c>
      <c r="K4196" s="25" t="str">
        <f>IF(OR(E4196="",E4196="!!!",F4196="NEW"),"",INDEX(J$1:J4195,SUMPRODUCT(MAX(ROW(E$1:E4195)*(E4196=E$1:E4195)))))</f>
        <v> </v>
      </c>
      <c r="L4196" s="26"/>
    </row>
    <row r="4197" spans="1:12">
      <c r="A4197" s="20" t="s">
        <v>1041</v>
      </c>
      <c r="E4197" s="21">
        <f>IF(D4197="?OLD","!!!","")</f>
        <v/>
      </c>
      <c r="F4197" s="22" t="str">
        <f>IF(OR(E4197="",E4197="!!!"),"",IF(NOT(ISNA(VLOOKUP(E4197,E$1:E4196,1,FALSE()))),"OLD",IF(AND(E4197&lt;&gt;"",E4197&lt;&gt;"!!!"),"NEW","")))</f>
        <v> </v>
      </c>
      <c r="G4197" s="23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4" t="str">
        <f>IF(J4197&lt;&gt;1,"",IF(I4197="SBJ","CB","?"))</f>
        <v> </v>
      </c>
      <c r="I4197" s="25" t="str">
        <f>IF(OR(E4197="",E4197="!!!",F4197="NEW"),"",INDEX(B4196:B$2,-1+SUMPRODUCT(MAX(ROW(E4196:E$2)*(E4197=E4196:E$2)))))</f>
        <v> </v>
      </c>
      <c r="J4197" s="25" t="str">
        <f>IF(OR(E4197="",E4197="!!!",F4197="NEW"),"",COUNTBLANK(OFFSET(A$1,,,SUMPRODUCT(MAX(ROW(E$2:E4197)*(E4197=E$2:E4197)))))-COUNTBLANK(OFFSET(A$1,,,SUMPRODUCT(MAX(ROW(E$1:E4196)*(E2=E$1:E4196))))))</f>
        <v> </v>
      </c>
      <c r="K4197" s="25" t="str">
        <f>IF(OR(E4197="",E4197="!!!",F4197="NEW"),"",INDEX(J$1:J4196,SUMPRODUCT(MAX(ROW(E$1:E4196)*(E4197=E$1:E4196)))))</f>
        <v> </v>
      </c>
      <c r="L4197" s="26"/>
    </row>
    <row r="4198" spans="1:12">
      <c r="A4198" s="20" t="s">
        <v>1122</v>
      </c>
      <c r="E4198" s="21">
        <f>IF(D4198="?OLD","!!!","")</f>
        <v/>
      </c>
      <c r="F4198" s="22" t="str">
        <f>IF(OR(E4198="",E4198="!!!"),"",IF(NOT(ISNA(VLOOKUP(E4198,E$1:E4197,1,FALSE()))),"OLD",IF(AND(E4198&lt;&gt;"",E4198&lt;&gt;"!!!"),"NEW","")))</f>
        <v> </v>
      </c>
      <c r="G4198" s="23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4" t="str">
        <f>IF(J4198&lt;&gt;1,"",IF(I4198="SBJ","CB","?"))</f>
        <v> </v>
      </c>
      <c r="I4198" s="25" t="str">
        <f>IF(OR(E4198="",E4198="!!!",F4198="NEW"),"",INDEX(B4197:B$2,-1+SUMPRODUCT(MAX(ROW(E4197:E$2)*(E4198=E4197:E$2)))))</f>
        <v> </v>
      </c>
      <c r="J4198" s="25" t="str">
        <f>IF(OR(E4198="",E4198="!!!",F4198="NEW"),"",COUNTBLANK(OFFSET(A$1,,,SUMPRODUCT(MAX(ROW(E$2:E4198)*(E4198=E$2:E4198)))))-COUNTBLANK(OFFSET(A$1,,,SUMPRODUCT(MAX(ROW(E$1:E4197)*(E2=E$1:E4197))))))</f>
        <v> </v>
      </c>
      <c r="K4198" s="25" t="str">
        <f>IF(OR(E4198="",E4198="!!!",F4198="NEW"),"",INDEX(J$1:J4197,SUMPRODUCT(MAX(ROW(E$1:E4197)*(E4198=E$1:E4197)))))</f>
        <v> </v>
      </c>
      <c r="L4198" s="26"/>
    </row>
    <row r="4199" spans="1:12">
      <c r="A4199" s="20" t="s">
        <v>2763</v>
      </c>
      <c r="E4199" s="21">
        <f>IF(D4199="?OLD","!!!","")</f>
        <v/>
      </c>
      <c r="F4199" s="22" t="str">
        <f>IF(OR(E4199="",E4199="!!!"),"",IF(NOT(ISNA(VLOOKUP(E4199,E$1:E4198,1,FALSE()))),"OLD",IF(AND(E4199&lt;&gt;"",E4199&lt;&gt;"!!!"),"NEW","")))</f>
        <v> </v>
      </c>
      <c r="G4199" s="23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4" t="str">
        <f>IF(J4199&lt;&gt;1,"",IF(I4199="SBJ","CB","?"))</f>
        <v> </v>
      </c>
      <c r="I4199" s="25" t="str">
        <f>IF(OR(E4199="",E4199="!!!",F4199="NEW"),"",INDEX(B4198:B$2,-1+SUMPRODUCT(MAX(ROW(E4198:E$2)*(E4199=E4198:E$2)))))</f>
        <v> </v>
      </c>
      <c r="J4199" s="25" t="str">
        <f>IF(OR(E4199="",E4199="!!!",F4199="NEW"),"",COUNTBLANK(OFFSET(A$1,,,SUMPRODUCT(MAX(ROW(E$2:E4199)*(E4199=E$2:E4199)))))-COUNTBLANK(OFFSET(A$1,,,SUMPRODUCT(MAX(ROW(E$1:E4198)*(E2=E$1:E4198))))))</f>
        <v> </v>
      </c>
      <c r="K4199" s="25" t="str">
        <f>IF(OR(E4199="",E4199="!!!",F4199="NEW"),"",INDEX(J$1:J4198,SUMPRODUCT(MAX(ROW(E$1:E4198)*(E4199=E$1:E4198)))))</f>
        <v> </v>
      </c>
      <c r="L4199" s="26"/>
    </row>
    <row r="4200" spans="1:12">
      <c r="A4200" s="20" t="s">
        <v>1041</v>
      </c>
      <c r="E4200" s="21">
        <f>IF(D4200="?OLD","!!!","")</f>
        <v/>
      </c>
      <c r="F4200" s="22" t="str">
        <f>IF(OR(E4200="",E4200="!!!"),"",IF(NOT(ISNA(VLOOKUP(E4200,E$1:E4199,1,FALSE()))),"OLD",IF(AND(E4200&lt;&gt;"",E4200&lt;&gt;"!!!"),"NEW","")))</f>
        <v> </v>
      </c>
      <c r="G4200" s="23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4" t="str">
        <f>IF(J4200&lt;&gt;1,"",IF(I4200="SBJ","CB","?"))</f>
        <v> </v>
      </c>
      <c r="I4200" s="25" t="str">
        <f>IF(OR(E4200="",E4200="!!!",F4200="NEW"),"",INDEX(B4199:B$2,-1+SUMPRODUCT(MAX(ROW(E4199:E$2)*(E4200=E4199:E$2)))))</f>
        <v> </v>
      </c>
      <c r="J4200" s="25" t="str">
        <f>IF(OR(E4200="",E4200="!!!",F4200="NEW"),"",COUNTBLANK(OFFSET(A$1,,,SUMPRODUCT(MAX(ROW(E$2:E4200)*(E4200=E$2:E4200)))))-COUNTBLANK(OFFSET(A$1,,,SUMPRODUCT(MAX(ROW(E$1:E4199)*(E2=E$1:E4199))))))</f>
        <v> </v>
      </c>
      <c r="K4200" s="25" t="str">
        <f>IF(OR(E4200="",E4200="!!!",F4200="NEW"),"",INDEX(J$1:J4199,SUMPRODUCT(MAX(ROW(E$1:E4199)*(E4200=E$1:E4199)))))</f>
        <v> </v>
      </c>
      <c r="L4200" s="26"/>
    </row>
    <row r="4201" spans="1:12">
      <c r="A4201" s="20" t="s">
        <v>2764</v>
      </c>
      <c r="E4201" s="21">
        <f>IF(D4201="?OLD","!!!","")</f>
        <v/>
      </c>
      <c r="F4201" s="22" t="str">
        <f>IF(OR(E4201="",E4201="!!!"),"",IF(NOT(ISNA(VLOOKUP(E4201,E$1:E4200,1,FALSE()))),"OLD",IF(AND(E4201&lt;&gt;"",E4201&lt;&gt;"!!!"),"NEW","")))</f>
        <v> </v>
      </c>
      <c r="G4201" s="23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4" t="str">
        <f>IF(J4201&lt;&gt;1,"",IF(I4201="SBJ","CB","?"))</f>
        <v> </v>
      </c>
      <c r="I4201" s="25" t="str">
        <f>IF(OR(E4201="",E4201="!!!",F4201="NEW"),"",INDEX(B4200:B$2,-1+SUMPRODUCT(MAX(ROW(E4200:E$2)*(E4201=E4200:E$2)))))</f>
        <v> </v>
      </c>
      <c r="J4201" s="25" t="str">
        <f>IF(OR(E4201="",E4201="!!!",F4201="NEW"),"",COUNTBLANK(OFFSET(A$1,,,SUMPRODUCT(MAX(ROW(E$2:E4201)*(E4201=E$2:E4201)))))-COUNTBLANK(OFFSET(A$1,,,SUMPRODUCT(MAX(ROW(E$1:E4200)*(E2=E$1:E4200))))))</f>
        <v> </v>
      </c>
      <c r="K4201" s="25" t="str">
        <f>IF(OR(E4201="",E4201="!!!",F4201="NEW"),"",INDEX(J$1:J4200,SUMPRODUCT(MAX(ROW(E$1:E4200)*(E4201=E$1:E4200)))))</f>
        <v> </v>
      </c>
      <c r="L4201" s="26"/>
    </row>
    <row r="4202" spans="1:12">
      <c r="A4202" s="20" t="s">
        <v>1030</v>
      </c>
      <c r="E4202" s="21">
        <f>IF(D4202="?OLD","!!!","")</f>
        <v/>
      </c>
      <c r="F4202" s="22" t="str">
        <f>IF(OR(E4202="",E4202="!!!"),"",IF(NOT(ISNA(VLOOKUP(E4202,E$1:E4201,1,FALSE()))),"OLD",IF(AND(E4202&lt;&gt;"",E4202&lt;&gt;"!!!"),"NEW","")))</f>
        <v> </v>
      </c>
      <c r="G4202" s="23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4" t="str">
        <f>IF(J4202&lt;&gt;1,"",IF(I4202="SBJ","CB","?"))</f>
        <v> </v>
      </c>
      <c r="I4202" s="25" t="str">
        <f>IF(OR(E4202="",E4202="!!!",F4202="NEW"),"",INDEX(B4201:B$2,-1+SUMPRODUCT(MAX(ROW(E4201:E$2)*(E4202=E4201:E$2)))))</f>
        <v> </v>
      </c>
      <c r="J4202" s="25" t="str">
        <f>IF(OR(E4202="",E4202="!!!",F4202="NEW"),"",COUNTBLANK(OFFSET(A$1,,,SUMPRODUCT(MAX(ROW(E$2:E4202)*(E4202=E$2:E4202)))))-COUNTBLANK(OFFSET(A$1,,,SUMPRODUCT(MAX(ROW(E$1:E4201)*(E2=E$1:E4201))))))</f>
        <v> </v>
      </c>
      <c r="K4202" s="25" t="str">
        <f>IF(OR(E4202="",E4202="!!!",F4202="NEW"),"",INDEX(J$1:J4201,SUMPRODUCT(MAX(ROW(E$1:E4201)*(E4202=E$1:E4201)))))</f>
        <v> </v>
      </c>
      <c r="L4202" s="26"/>
    </row>
    <row r="4203" spans="1:12">
      <c r="A4203" s="20" t="s">
        <v>1859</v>
      </c>
      <c r="E4203" s="21">
        <f>IF(D4203="?OLD","!!!","")</f>
        <v/>
      </c>
      <c r="F4203" s="22" t="str">
        <f>IF(OR(E4203="",E4203="!!!"),"",IF(NOT(ISNA(VLOOKUP(E4203,E$1:E4202,1,FALSE()))),"OLD",IF(AND(E4203&lt;&gt;"",E4203&lt;&gt;"!!!"),"NEW","")))</f>
        <v> </v>
      </c>
      <c r="G4203" s="23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4" t="str">
        <f>IF(J4203&lt;&gt;1,"",IF(I4203="SBJ","CB","?"))</f>
        <v> </v>
      </c>
      <c r="I4203" s="25" t="str">
        <f>IF(OR(E4203="",E4203="!!!",F4203="NEW"),"",INDEX(B4202:B$2,-1+SUMPRODUCT(MAX(ROW(E4202:E$2)*(E4203=E4202:E$2)))))</f>
        <v> </v>
      </c>
      <c r="J4203" s="25" t="str">
        <f>IF(OR(E4203="",E4203="!!!",F4203="NEW"),"",COUNTBLANK(OFFSET(A$1,,,SUMPRODUCT(MAX(ROW(E$2:E4203)*(E4203=E$2:E4203)))))-COUNTBLANK(OFFSET(A$1,,,SUMPRODUCT(MAX(ROW(E$1:E4202)*(E2=E$1:E4202))))))</f>
        <v> </v>
      </c>
      <c r="K4203" s="25" t="str">
        <f>IF(OR(E4203="",E4203="!!!",F4203="NEW"),"",INDEX(J$1:J4202,SUMPRODUCT(MAX(ROW(E$1:E4202)*(E4203=E$1:E4202)))))</f>
        <v> </v>
      </c>
      <c r="L4203" s="26"/>
    </row>
    <row r="4204" spans="1:12">
      <c r="A4204" s="20" t="s">
        <v>1041</v>
      </c>
      <c r="E4204" s="21">
        <f>IF(D4204="?OLD","!!!","")</f>
        <v/>
      </c>
      <c r="F4204" s="22" t="str">
        <f>IF(OR(E4204="",E4204="!!!"),"",IF(NOT(ISNA(VLOOKUP(E4204,E$1:E4203,1,FALSE()))),"OLD",IF(AND(E4204&lt;&gt;"",E4204&lt;&gt;"!!!"),"NEW","")))</f>
        <v> </v>
      </c>
      <c r="G4204" s="23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4" t="str">
        <f>IF(J4204&lt;&gt;1,"",IF(I4204="SBJ","CB","?"))</f>
        <v> </v>
      </c>
      <c r="I4204" s="25" t="str">
        <f>IF(OR(E4204="",E4204="!!!",F4204="NEW"),"",INDEX(B4203:B$2,-1+SUMPRODUCT(MAX(ROW(E4203:E$2)*(E4204=E4203:E$2)))))</f>
        <v> </v>
      </c>
      <c r="J4204" s="25" t="str">
        <f>IF(OR(E4204="",E4204="!!!",F4204="NEW"),"",COUNTBLANK(OFFSET(A$1,,,SUMPRODUCT(MAX(ROW(E$2:E4204)*(E4204=E$2:E4204)))))-COUNTBLANK(OFFSET(A$1,,,SUMPRODUCT(MAX(ROW(E$1:E4203)*(E2=E$1:E4203))))))</f>
        <v> </v>
      </c>
      <c r="K4204" s="25" t="str">
        <f>IF(OR(E4204="",E4204="!!!",F4204="NEW"),"",INDEX(J$1:J4203,SUMPRODUCT(MAX(ROW(E$1:E4203)*(E4204=E$1:E4203)))))</f>
        <v> </v>
      </c>
      <c r="L4204" s="26"/>
    </row>
    <row r="4205" spans="1:12">
      <c r="A4205" s="20" t="s">
        <v>21</v>
      </c>
      <c r="E4205" s="21">
        <f>IF(D4205="?OLD","!!!","")</f>
        <v/>
      </c>
      <c r="F4205" s="22" t="str">
        <f>IF(OR(E4205="",E4205="!!!"),"",IF(NOT(ISNA(VLOOKUP(E4205,E$1:E4204,1,FALSE()))),"OLD",IF(AND(E4205&lt;&gt;"",E4205&lt;&gt;"!!!"),"NEW","")))</f>
        <v> </v>
      </c>
      <c r="G4205" s="23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4" t="str">
        <f>IF(J4205&lt;&gt;1,"",IF(I4205="SBJ","CB","?"))</f>
        <v> </v>
      </c>
      <c r="I4205" s="25" t="str">
        <f>IF(OR(E4205="",E4205="!!!",F4205="NEW"),"",INDEX(B4204:B$2,-1+SUMPRODUCT(MAX(ROW(E4204:E$2)*(E4205=E4204:E$2)))))</f>
        <v> </v>
      </c>
      <c r="J4205" s="25" t="str">
        <f>IF(OR(E4205="",E4205="!!!",F4205="NEW"),"",COUNTBLANK(OFFSET(A$1,,,SUMPRODUCT(MAX(ROW(E$2:E4205)*(E4205=E$2:E4205)))))-COUNTBLANK(OFFSET(A$1,,,SUMPRODUCT(MAX(ROW(E$1:E4204)*(E2=E$1:E4204))))))</f>
        <v> </v>
      </c>
      <c r="K4205" s="25" t="str">
        <f>IF(OR(E4205="",E4205="!!!",F4205="NEW"),"",INDEX(J$1:J4204,SUMPRODUCT(MAX(ROW(E$1:E4204)*(E4205=E$1:E4204)))))</f>
        <v> </v>
      </c>
      <c r="L4205" s="26"/>
    </row>
    <row r="4206" spans="1:12">
      <c r="A4206" s="20" t="s">
        <v>1693</v>
      </c>
      <c r="E4206" s="21">
        <f>IF(D4206="?OLD","!!!","")</f>
        <v/>
      </c>
      <c r="F4206" s="22" t="str">
        <f>IF(OR(E4206="",E4206="!!!"),"",IF(NOT(ISNA(VLOOKUP(E4206,E$1:E4205,1,FALSE()))),"OLD",IF(AND(E4206&lt;&gt;"",E4206&lt;&gt;"!!!"),"NEW","")))</f>
        <v> </v>
      </c>
      <c r="G4206" s="23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4" t="str">
        <f>IF(J4206&lt;&gt;1,"",IF(I4206="SBJ","CB","?"))</f>
        <v> </v>
      </c>
      <c r="I4206" s="25" t="str">
        <f>IF(OR(E4206="",E4206="!!!",F4206="NEW"),"",INDEX(B4205:B$2,-1+SUMPRODUCT(MAX(ROW(E4205:E$2)*(E4206=E4205:E$2)))))</f>
        <v> </v>
      </c>
      <c r="J4206" s="25" t="str">
        <f>IF(OR(E4206="",E4206="!!!",F4206="NEW"),"",COUNTBLANK(OFFSET(A$1,,,SUMPRODUCT(MAX(ROW(E$2:E4206)*(E4206=E$2:E4206)))))-COUNTBLANK(OFFSET(A$1,,,SUMPRODUCT(MAX(ROW(E$1:E4205)*(E2=E$1:E4205))))))</f>
        <v> </v>
      </c>
      <c r="K4206" s="25" t="str">
        <f>IF(OR(E4206="",E4206="!!!",F4206="NEW"),"",INDEX(J$1:J4205,SUMPRODUCT(MAX(ROW(E$1:E4205)*(E4206=E$1:E4205)))))</f>
        <v> </v>
      </c>
      <c r="L4206" s="26"/>
    </row>
    <row r="4207" spans="1:12">
      <c r="A4207" s="20" t="s">
        <v>2765</v>
      </c>
      <c r="E4207" s="21">
        <f>IF(D4207="?OLD","!!!","")</f>
        <v/>
      </c>
      <c r="F4207" s="22" t="str">
        <f>IF(OR(E4207="",E4207="!!!"),"",IF(NOT(ISNA(VLOOKUP(E4207,E$1:E4206,1,FALSE()))),"OLD",IF(AND(E4207&lt;&gt;"",E4207&lt;&gt;"!!!"),"NEW","")))</f>
        <v> </v>
      </c>
      <c r="G4207" s="23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4" t="str">
        <f>IF(J4207&lt;&gt;1,"",IF(I4207="SBJ","CB","?"))</f>
        <v> </v>
      </c>
      <c r="I4207" s="25" t="str">
        <f>IF(OR(E4207="",E4207="!!!",F4207="NEW"),"",INDEX(B4206:B$2,-1+SUMPRODUCT(MAX(ROW(E4206:E$2)*(E4207=E4206:E$2)))))</f>
        <v> </v>
      </c>
      <c r="J4207" s="25" t="str">
        <f>IF(OR(E4207="",E4207="!!!",F4207="NEW"),"",COUNTBLANK(OFFSET(A$1,,,SUMPRODUCT(MAX(ROW(E$2:E4207)*(E4207=E$2:E4207)))))-COUNTBLANK(OFFSET(A$1,,,SUMPRODUCT(MAX(ROW(E$1:E4206)*(E2=E$1:E4206))))))</f>
        <v> </v>
      </c>
      <c r="K4207" s="25" t="str">
        <f>IF(OR(E4207="",E4207="!!!",F4207="NEW"),"",INDEX(J$1:J4206,SUMPRODUCT(MAX(ROW(E$1:E4206)*(E4207=E$1:E4206)))))</f>
        <v> </v>
      </c>
      <c r="L4207" s="26"/>
    </row>
    <row r="4208" spans="1:12">
      <c r="A4208" s="20" t="s">
        <v>1695</v>
      </c>
      <c r="E4208" s="21">
        <f>IF(D4208="?OLD","!!!","")</f>
        <v/>
      </c>
      <c r="F4208" s="22" t="str">
        <f>IF(OR(E4208="",E4208="!!!"),"",IF(NOT(ISNA(VLOOKUP(E4208,E$1:E4207,1,FALSE()))),"OLD",IF(AND(E4208&lt;&gt;"",E4208&lt;&gt;"!!!"),"NEW","")))</f>
        <v> </v>
      </c>
      <c r="G4208" s="23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4" t="str">
        <f>IF(J4208&lt;&gt;1,"",IF(I4208="SBJ","CB","?"))</f>
        <v> </v>
      </c>
      <c r="I4208" s="25" t="str">
        <f>IF(OR(E4208="",E4208="!!!",F4208="NEW"),"",INDEX(B4207:B$2,-1+SUMPRODUCT(MAX(ROW(E4207:E$2)*(E4208=E4207:E$2)))))</f>
        <v> </v>
      </c>
      <c r="J4208" s="25" t="str">
        <f>IF(OR(E4208="",E4208="!!!",F4208="NEW"),"",COUNTBLANK(OFFSET(A$1,,,SUMPRODUCT(MAX(ROW(E$2:E4208)*(E4208=E$2:E4208)))))-COUNTBLANK(OFFSET(A$1,,,SUMPRODUCT(MAX(ROW(E$1:E4207)*(E2=E$1:E4207))))))</f>
        <v> </v>
      </c>
      <c r="K4208" s="25" t="str">
        <f>IF(OR(E4208="",E4208="!!!",F4208="NEW"),"",INDEX(J$1:J4207,SUMPRODUCT(MAX(ROW(E$1:E4207)*(E4208=E$1:E4207)))))</f>
        <v> </v>
      </c>
      <c r="L4208" s="26"/>
    </row>
    <row r="4209" spans="1:12">
      <c r="A4209" s="20" t="s">
        <v>2766</v>
      </c>
      <c r="B4209" s="27" t="s">
        <v>1082</v>
      </c>
      <c r="E4209" s="21">
        <f>IF(D4209="?OLD","!!!","")</f>
        <v/>
      </c>
      <c r="F4209" s="22" t="str">
        <f>IF(OR(E4209="",E4209="!!!"),"",IF(NOT(ISNA(VLOOKUP(E4209,E$1:E4208,1,FALSE()))),"OLD",IF(AND(E4209&lt;&gt;"",E4209&lt;&gt;"!!!"),"NEW","")))</f>
        <v> </v>
      </c>
      <c r="G4209" s="23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4" t="str">
        <f>IF(J4209&lt;&gt;1,"",IF(I4209="SBJ","CB","?"))</f>
        <v> </v>
      </c>
      <c r="I4209" s="25" t="str">
        <f>IF(OR(E4209="",E4209="!!!",F4209="NEW"),"",INDEX(B4208:B$2,-1+SUMPRODUCT(MAX(ROW(E4208:E$2)*(E4209=E4208:E$2)))))</f>
        <v> </v>
      </c>
      <c r="J4209" s="25" t="str">
        <f>IF(OR(E4209="",E4209="!!!",F4209="NEW"),"",COUNTBLANK(OFFSET(A$1,,,SUMPRODUCT(MAX(ROW(E$2:E4209)*(E4209=E$2:E4209)))))-COUNTBLANK(OFFSET(A$1,,,SUMPRODUCT(MAX(ROW(E$1:E4208)*(E2=E$1:E4208))))))</f>
        <v> </v>
      </c>
      <c r="K4209" s="25" t="str">
        <f>IF(OR(E4209="",E4209="!!!",F4209="NEW"),"",INDEX(J$1:J4208,SUMPRODUCT(MAX(ROW(E$1:E4208)*(E4209=E$1:E4208)))))</f>
        <v> </v>
      </c>
      <c r="L4209" s="26"/>
    </row>
    <row r="4210" spans="1:12">
      <c r="A4210" s="20" t="s">
        <v>1050</v>
      </c>
      <c r="E4210" s="21">
        <f>IF(D4210="?OLD","!!!","")</f>
        <v/>
      </c>
      <c r="F4210" s="22" t="str">
        <f>IF(OR(E4210="",E4210="!!!"),"",IF(NOT(ISNA(VLOOKUP(E4210,E$1:E4209,1,FALSE()))),"OLD",IF(AND(E4210&lt;&gt;"",E4210&lt;&gt;"!!!"),"NEW","")))</f>
        <v> </v>
      </c>
      <c r="G4210" s="23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4" t="str">
        <f>IF(J4210&lt;&gt;1,"",IF(I4210="SBJ","CB","?"))</f>
        <v> </v>
      </c>
      <c r="I4210" s="25" t="str">
        <f>IF(OR(E4210="",E4210="!!!",F4210="NEW"),"",INDEX(B4209:B$2,-1+SUMPRODUCT(MAX(ROW(E4209:E$2)*(E4210=E4209:E$2)))))</f>
        <v> </v>
      </c>
      <c r="J4210" s="25" t="str">
        <f>IF(OR(E4210="",E4210="!!!",F4210="NEW"),"",COUNTBLANK(OFFSET(A$1,,,SUMPRODUCT(MAX(ROW(E$2:E4210)*(E4210=E$2:E4210)))))-COUNTBLANK(OFFSET(A$1,,,SUMPRODUCT(MAX(ROW(E$1:E4209)*(E2=E$1:E4209))))))</f>
        <v> </v>
      </c>
      <c r="K4210" s="25" t="str">
        <f>IF(OR(E4210="",E4210="!!!",F4210="NEW"),"",INDEX(J$1:J4209,SUMPRODUCT(MAX(ROW(E$1:E4209)*(E4210=E$1:E4209)))))</f>
        <v> </v>
      </c>
      <c r="L4210" s="26"/>
    </row>
    <row r="4211" spans="1:12">
      <c r="A4211" s="20" t="s">
        <v>2317</v>
      </c>
      <c r="E4211" s="21">
        <f>IF(D4211="?OLD","!!!","")</f>
        <v/>
      </c>
      <c r="F4211" s="22" t="str">
        <f>IF(OR(E4211="",E4211="!!!"),"",IF(NOT(ISNA(VLOOKUP(E4211,E$1:E4210,1,FALSE()))),"OLD",IF(AND(E4211&lt;&gt;"",E4211&lt;&gt;"!!!"),"NEW","")))</f>
        <v> </v>
      </c>
      <c r="G4211" s="23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4" t="str">
        <f>IF(J4211&lt;&gt;1,"",IF(I4211="SBJ","CB","?"))</f>
        <v> </v>
      </c>
      <c r="I4211" s="25" t="str">
        <f>IF(OR(E4211="",E4211="!!!",F4211="NEW"),"",INDEX(B4210:B$2,-1+SUMPRODUCT(MAX(ROW(E4210:E$2)*(E4211=E4210:E$2)))))</f>
        <v> </v>
      </c>
      <c r="J4211" s="25" t="str">
        <f>IF(OR(E4211="",E4211="!!!",F4211="NEW"),"",COUNTBLANK(OFFSET(A$1,,,SUMPRODUCT(MAX(ROW(E$2:E4211)*(E4211=E$2:E4211)))))-COUNTBLANK(OFFSET(A$1,,,SUMPRODUCT(MAX(ROW(E$1:E4210)*(E2=E$1:E4210))))))</f>
        <v> </v>
      </c>
      <c r="K4211" s="25" t="str">
        <f>IF(OR(E4211="",E4211="!!!",F4211="NEW"),"",INDEX(J$1:J4210,SUMPRODUCT(MAX(ROW(E$1:E4210)*(E4211=E$1:E4210)))))</f>
        <v> </v>
      </c>
      <c r="L4211" s="26"/>
    </row>
    <row r="4212" spans="1:12">
      <c r="A4212" s="20" t="s">
        <v>2767</v>
      </c>
      <c r="E4212" s="21">
        <f>IF(D4212="?OLD","!!!","")</f>
        <v/>
      </c>
      <c r="F4212" s="22" t="str">
        <f>IF(OR(E4212="",E4212="!!!"),"",IF(NOT(ISNA(VLOOKUP(E4212,E$1:E4211,1,FALSE()))),"OLD",IF(AND(E4212&lt;&gt;"",E4212&lt;&gt;"!!!"),"NEW","")))</f>
        <v> </v>
      </c>
      <c r="G4212" s="23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4" t="str">
        <f>IF(J4212&lt;&gt;1,"",IF(I4212="SBJ","CB","?"))</f>
        <v> </v>
      </c>
      <c r="I4212" s="25" t="str">
        <f>IF(OR(E4212="",E4212="!!!",F4212="NEW"),"",INDEX(B4211:B$2,-1+SUMPRODUCT(MAX(ROW(E4211:E$2)*(E4212=E4211:E$2)))))</f>
        <v> </v>
      </c>
      <c r="J4212" s="25" t="str">
        <f>IF(OR(E4212="",E4212="!!!",F4212="NEW"),"",COUNTBLANK(OFFSET(A$1,,,SUMPRODUCT(MAX(ROW(E$2:E4212)*(E4212=E$2:E4212)))))-COUNTBLANK(OFFSET(A$1,,,SUMPRODUCT(MAX(ROW(E$1:E4211)*(E2=E$1:E4211))))))</f>
        <v> </v>
      </c>
      <c r="K4212" s="25" t="str">
        <f>IF(OR(E4212="",E4212="!!!",F4212="NEW"),"",INDEX(J$1:J4211,SUMPRODUCT(MAX(ROW(E$1:E4211)*(E4212=E$1:E4211)))))</f>
        <v> </v>
      </c>
      <c r="L4212" s="26"/>
    </row>
    <row r="4213" spans="1:12">
      <c r="A4213" s="20" t="s">
        <v>1099</v>
      </c>
      <c r="E4213" s="21">
        <f>IF(D4213="?OLD","!!!","")</f>
        <v/>
      </c>
      <c r="F4213" s="22" t="str">
        <f>IF(OR(E4213="",E4213="!!!"),"",IF(NOT(ISNA(VLOOKUP(E4213,E$1:E4212,1,FALSE()))),"OLD",IF(AND(E4213&lt;&gt;"",E4213&lt;&gt;"!!!"),"NEW","")))</f>
        <v> </v>
      </c>
      <c r="G4213" s="23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4" t="str">
        <f>IF(J4213&lt;&gt;1,"",IF(I4213="SBJ","CB","?"))</f>
        <v> </v>
      </c>
      <c r="I4213" s="25" t="str">
        <f>IF(OR(E4213="",E4213="!!!",F4213="NEW"),"",INDEX(B4212:B$2,-1+SUMPRODUCT(MAX(ROW(E4212:E$2)*(E4213=E4212:E$2)))))</f>
        <v> </v>
      </c>
      <c r="J4213" s="25" t="str">
        <f>IF(OR(E4213="",E4213="!!!",F4213="NEW"),"",COUNTBLANK(OFFSET(A$1,,,SUMPRODUCT(MAX(ROW(E$2:E4213)*(E4213=E$2:E4213)))))-COUNTBLANK(OFFSET(A$1,,,SUMPRODUCT(MAX(ROW(E$1:E4212)*(E2=E$1:E4212))))))</f>
        <v> </v>
      </c>
      <c r="K4213" s="25" t="str">
        <f>IF(OR(E4213="",E4213="!!!",F4213="NEW"),"",INDEX(J$1:J4212,SUMPRODUCT(MAX(ROW(E$1:E4212)*(E4213=E$1:E4212)))))</f>
        <v> </v>
      </c>
      <c r="L4213" s="26"/>
    </row>
    <row r="4214" spans="1:12">
      <c r="A4214" s="20" t="s">
        <v>2768</v>
      </c>
      <c r="E4214" s="21">
        <f>IF(D4214="?OLD","!!!","")</f>
        <v/>
      </c>
      <c r="F4214" s="22" t="str">
        <f>IF(OR(E4214="",E4214="!!!"),"",IF(NOT(ISNA(VLOOKUP(E4214,E$1:E4213,1,FALSE()))),"OLD",IF(AND(E4214&lt;&gt;"",E4214&lt;&gt;"!!!"),"NEW","")))</f>
        <v> </v>
      </c>
      <c r="G4214" s="23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4" t="str">
        <f>IF(J4214&lt;&gt;1,"",IF(I4214="SBJ","CB","?"))</f>
        <v> </v>
      </c>
      <c r="I4214" s="25" t="str">
        <f>IF(OR(E4214="",E4214="!!!",F4214="NEW"),"",INDEX(B4213:B$2,-1+SUMPRODUCT(MAX(ROW(E4213:E$2)*(E4214=E4213:E$2)))))</f>
        <v> </v>
      </c>
      <c r="J4214" s="25" t="str">
        <f>IF(OR(E4214="",E4214="!!!",F4214="NEW"),"",COUNTBLANK(OFFSET(A$1,,,SUMPRODUCT(MAX(ROW(E$2:E4214)*(E4214=E$2:E4214)))))-COUNTBLANK(OFFSET(A$1,,,SUMPRODUCT(MAX(ROW(E$1:E4213)*(E2=E$1:E4213))))))</f>
        <v> </v>
      </c>
      <c r="K4214" s="25" t="str">
        <f>IF(OR(E4214="",E4214="!!!",F4214="NEW"),"",INDEX(J$1:J4213,SUMPRODUCT(MAX(ROW(E$1:E4213)*(E4214=E$1:E4213)))))</f>
        <v> </v>
      </c>
      <c r="L4214" s="26"/>
    </row>
    <row r="4215" spans="1:12">
      <c r="A4215" s="20" t="s">
        <v>1030</v>
      </c>
      <c r="E4215" s="21">
        <f>IF(D4215="?OLD","!!!","")</f>
        <v/>
      </c>
      <c r="F4215" s="22" t="str">
        <f>IF(OR(E4215="",E4215="!!!"),"",IF(NOT(ISNA(VLOOKUP(E4215,E$1:E4214,1,FALSE()))),"OLD",IF(AND(E4215&lt;&gt;"",E4215&lt;&gt;"!!!"),"NEW","")))</f>
        <v> </v>
      </c>
      <c r="G4215" s="23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4" t="str">
        <f>IF(J4215&lt;&gt;1,"",IF(I4215="SBJ","CB","?"))</f>
        <v> </v>
      </c>
      <c r="I4215" s="25" t="str">
        <f>IF(OR(E4215="",E4215="!!!",F4215="NEW"),"",INDEX(B4214:B$2,-1+SUMPRODUCT(MAX(ROW(E4214:E$2)*(E4215=E4214:E$2)))))</f>
        <v> </v>
      </c>
      <c r="J4215" s="25" t="str">
        <f>IF(OR(E4215="",E4215="!!!",F4215="NEW"),"",COUNTBLANK(OFFSET(A$1,,,SUMPRODUCT(MAX(ROW(E$2:E4215)*(E4215=E$2:E4215)))))-COUNTBLANK(OFFSET(A$1,,,SUMPRODUCT(MAX(ROW(E$1:E4214)*(E2=E$1:E4214))))))</f>
        <v> </v>
      </c>
      <c r="K4215" s="25" t="str">
        <f>IF(OR(E4215="",E4215="!!!",F4215="NEW"),"",INDEX(J$1:J4214,SUMPRODUCT(MAX(ROW(E$1:E4214)*(E4215=E$1:E4214)))))</f>
        <v> </v>
      </c>
      <c r="L4215" s="26"/>
    </row>
    <row r="4216" spans="1:12">
      <c r="A4216" s="20" t="s">
        <v>2769</v>
      </c>
      <c r="E4216" s="21">
        <f>IF(D4216="?OLD","!!!","")</f>
        <v/>
      </c>
      <c r="F4216" s="22" t="str">
        <f>IF(OR(E4216="",E4216="!!!"),"",IF(NOT(ISNA(VLOOKUP(E4216,E$1:E4215,1,FALSE()))),"OLD",IF(AND(E4216&lt;&gt;"",E4216&lt;&gt;"!!!"),"NEW","")))</f>
        <v> </v>
      </c>
      <c r="G4216" s="23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4" t="str">
        <f>IF(J4216&lt;&gt;1,"",IF(I4216="SBJ","CB","?"))</f>
        <v> </v>
      </c>
      <c r="I4216" s="25" t="str">
        <f>IF(OR(E4216="",E4216="!!!",F4216="NEW"),"",INDEX(B4215:B$2,-1+SUMPRODUCT(MAX(ROW(E4215:E$2)*(E4216=E4215:E$2)))))</f>
        <v> </v>
      </c>
      <c r="J4216" s="25" t="str">
        <f>IF(OR(E4216="",E4216="!!!",F4216="NEW"),"",COUNTBLANK(OFFSET(A$1,,,SUMPRODUCT(MAX(ROW(E$2:E4216)*(E4216=E$2:E4216)))))-COUNTBLANK(OFFSET(A$1,,,SUMPRODUCT(MAX(ROW(E$1:E4215)*(E2=E$1:E4215))))))</f>
        <v> </v>
      </c>
      <c r="K4216" s="25" t="str">
        <f>IF(OR(E4216="",E4216="!!!",F4216="NEW"),"",INDEX(J$1:J4215,SUMPRODUCT(MAX(ROW(E$1:E4215)*(E4216=E$1:E4215)))))</f>
        <v> </v>
      </c>
      <c r="L4216" s="26"/>
    </row>
    <row r="4217" spans="1:12">
      <c r="A4217" s="20" t="s">
        <v>1488</v>
      </c>
      <c r="E4217" s="21">
        <f>IF(D4217="?OLD","!!!","")</f>
        <v/>
      </c>
      <c r="F4217" s="22" t="str">
        <f>IF(OR(E4217="",E4217="!!!"),"",IF(NOT(ISNA(VLOOKUP(E4217,E$1:E4216,1,FALSE()))),"OLD",IF(AND(E4217&lt;&gt;"",E4217&lt;&gt;"!!!"),"NEW","")))</f>
        <v> </v>
      </c>
      <c r="G4217" s="23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4" t="str">
        <f>IF(J4217&lt;&gt;1,"",IF(I4217="SBJ","CB","?"))</f>
        <v> </v>
      </c>
      <c r="I4217" s="25" t="str">
        <f>IF(OR(E4217="",E4217="!!!",F4217="NEW"),"",INDEX(B4216:B$2,-1+SUMPRODUCT(MAX(ROW(E4216:E$2)*(E4217=E4216:E$2)))))</f>
        <v> </v>
      </c>
      <c r="J4217" s="25" t="str">
        <f>IF(OR(E4217="",E4217="!!!",F4217="NEW"),"",COUNTBLANK(OFFSET(A$1,,,SUMPRODUCT(MAX(ROW(E$2:E4217)*(E4217=E$2:E4217)))))-COUNTBLANK(OFFSET(A$1,,,SUMPRODUCT(MAX(ROW(E$1:E4216)*(E2=E$1:E4216))))))</f>
        <v> </v>
      </c>
      <c r="K4217" s="25" t="str">
        <f>IF(OR(E4217="",E4217="!!!",F4217="NEW"),"",INDEX(J$1:J4216,SUMPRODUCT(MAX(ROW(E$1:E4216)*(E4217=E$1:E4216)))))</f>
        <v> </v>
      </c>
      <c r="L4217" s="26"/>
    </row>
    <row r="4218" spans="1:12">
      <c r="A4218" s="20" t="s">
        <v>1041</v>
      </c>
      <c r="E4218" s="21">
        <f>IF(D4218="?OLD","!!!","")</f>
        <v/>
      </c>
      <c r="F4218" s="22" t="str">
        <f>IF(OR(E4218="",E4218="!!!"),"",IF(NOT(ISNA(VLOOKUP(E4218,E$1:E4217,1,FALSE()))),"OLD",IF(AND(E4218&lt;&gt;"",E4218&lt;&gt;"!!!"),"NEW","")))</f>
        <v> </v>
      </c>
      <c r="G4218" s="23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4" t="str">
        <f>IF(J4218&lt;&gt;1,"",IF(I4218="SBJ","CB","?"))</f>
        <v> </v>
      </c>
      <c r="I4218" s="25" t="str">
        <f>IF(OR(E4218="",E4218="!!!",F4218="NEW"),"",INDEX(B4217:B$2,-1+SUMPRODUCT(MAX(ROW(E4217:E$2)*(E4218=E4217:E$2)))))</f>
        <v> </v>
      </c>
      <c r="J4218" s="25" t="str">
        <f>IF(OR(E4218="",E4218="!!!",F4218="NEW"),"",COUNTBLANK(OFFSET(A$1,,,SUMPRODUCT(MAX(ROW(E$2:E4218)*(E4218=E$2:E4218)))))-COUNTBLANK(OFFSET(A$1,,,SUMPRODUCT(MAX(ROW(E$1:E4217)*(E2=E$1:E4217))))))</f>
        <v> </v>
      </c>
      <c r="K4218" s="25" t="str">
        <f>IF(OR(E4218="",E4218="!!!",F4218="NEW"),"",INDEX(J$1:J4217,SUMPRODUCT(MAX(ROW(E$1:E4217)*(E4218=E$1:E4217)))))</f>
        <v> </v>
      </c>
      <c r="L4218" s="26"/>
    </row>
    <row r="4219" spans="1:12">
      <c r="A4219" s="20" t="s">
        <v>2324</v>
      </c>
      <c r="E4219" s="21">
        <f>IF(D4219="?OLD","!!!","")</f>
        <v/>
      </c>
      <c r="F4219" s="22" t="str">
        <f>IF(OR(E4219="",E4219="!!!"),"",IF(NOT(ISNA(VLOOKUP(E4219,E$1:E4218,1,FALSE()))),"OLD",IF(AND(E4219&lt;&gt;"",E4219&lt;&gt;"!!!"),"NEW","")))</f>
        <v> </v>
      </c>
      <c r="G4219" s="23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4" t="str">
        <f>IF(J4219&lt;&gt;1,"",IF(I4219="SBJ","CB","?"))</f>
        <v> </v>
      </c>
      <c r="I4219" s="25" t="str">
        <f>IF(OR(E4219="",E4219="!!!",F4219="NEW"),"",INDEX(B4218:B$2,-1+SUMPRODUCT(MAX(ROW(E4218:E$2)*(E4219=E4218:E$2)))))</f>
        <v> </v>
      </c>
      <c r="J4219" s="25" t="str">
        <f>IF(OR(E4219="",E4219="!!!",F4219="NEW"),"",COUNTBLANK(OFFSET(A$1,,,SUMPRODUCT(MAX(ROW(E$2:E4219)*(E4219=E$2:E4219)))))-COUNTBLANK(OFFSET(A$1,,,SUMPRODUCT(MAX(ROW(E$1:E4218)*(E2=E$1:E4218))))))</f>
        <v> </v>
      </c>
      <c r="K4219" s="25" t="str">
        <f>IF(OR(E4219="",E4219="!!!",F4219="NEW"),"",INDEX(J$1:J4218,SUMPRODUCT(MAX(ROW(E$1:E4218)*(E4219=E$1:E4218)))))</f>
        <v> </v>
      </c>
      <c r="L4219" s="26"/>
    </row>
    <row r="4220" spans="1:12">
      <c r="A4220" s="20" t="s">
        <v>2770</v>
      </c>
      <c r="E4220" s="21">
        <f>IF(D4220="?OLD","!!!","")</f>
        <v/>
      </c>
      <c r="F4220" s="22" t="str">
        <f>IF(OR(E4220="",E4220="!!!"),"",IF(NOT(ISNA(VLOOKUP(E4220,E$1:E4219,1,FALSE()))),"OLD",IF(AND(E4220&lt;&gt;"",E4220&lt;&gt;"!!!"),"NEW","")))</f>
        <v> </v>
      </c>
      <c r="G4220" s="23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4" t="str">
        <f>IF(J4220&lt;&gt;1,"",IF(I4220="SBJ","CB","?"))</f>
        <v> </v>
      </c>
      <c r="I4220" s="25" t="str">
        <f>IF(OR(E4220="",E4220="!!!",F4220="NEW"),"",INDEX(B4219:B$2,-1+SUMPRODUCT(MAX(ROW(E4219:E$2)*(E4220=E4219:E$2)))))</f>
        <v> </v>
      </c>
      <c r="J4220" s="25" t="str">
        <f>IF(OR(E4220="",E4220="!!!",F4220="NEW"),"",COUNTBLANK(OFFSET(A$1,,,SUMPRODUCT(MAX(ROW(E$2:E4220)*(E4220=E$2:E4220)))))-COUNTBLANK(OFFSET(A$1,,,SUMPRODUCT(MAX(ROW(E$1:E4219)*(E2=E$1:E4219))))))</f>
        <v> </v>
      </c>
      <c r="K4220" s="25" t="str">
        <f>IF(OR(E4220="",E4220="!!!",F4220="NEW"),"",INDEX(J$1:J4219,SUMPRODUCT(MAX(ROW(E$1:E4219)*(E4220=E$1:E4219)))))</f>
        <v> </v>
      </c>
      <c r="L4220" s="26"/>
    </row>
    <row r="4221" spans="1:12">
      <c r="A4221" s="20" t="s">
        <v>1041</v>
      </c>
      <c r="E4221" s="21">
        <f>IF(D4221="?OLD","!!!","")</f>
        <v/>
      </c>
      <c r="F4221" s="22" t="str">
        <f>IF(OR(E4221="",E4221="!!!"),"",IF(NOT(ISNA(VLOOKUP(E4221,E$1:E4220,1,FALSE()))),"OLD",IF(AND(E4221&lt;&gt;"",E4221&lt;&gt;"!!!"),"NEW","")))</f>
        <v> </v>
      </c>
      <c r="G4221" s="23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4" t="str">
        <f>IF(J4221&lt;&gt;1,"",IF(I4221="SBJ","CB","?"))</f>
        <v> </v>
      </c>
      <c r="I4221" s="25" t="str">
        <f>IF(OR(E4221="",E4221="!!!",F4221="NEW"),"",INDEX(B4220:B$2,-1+SUMPRODUCT(MAX(ROW(E4220:E$2)*(E4221=E4220:E$2)))))</f>
        <v> </v>
      </c>
      <c r="J4221" s="25" t="str">
        <f>IF(OR(E4221="",E4221="!!!",F4221="NEW"),"",COUNTBLANK(OFFSET(A$1,,,SUMPRODUCT(MAX(ROW(E$2:E4221)*(E4221=E$2:E4221)))))-COUNTBLANK(OFFSET(A$1,,,SUMPRODUCT(MAX(ROW(E$1:E4220)*(E2=E$1:E4220))))))</f>
        <v> </v>
      </c>
      <c r="K4221" s="25" t="str">
        <f>IF(OR(E4221="",E4221="!!!",F4221="NEW"),"",INDEX(J$1:J4220,SUMPRODUCT(MAX(ROW(E$1:E4220)*(E4221=E$1:E4220)))))</f>
        <v> </v>
      </c>
      <c r="L4221" s="26"/>
    </row>
    <row r="4222" spans="1:12">
      <c r="A4222" s="20" t="s">
        <v>201</v>
      </c>
      <c r="E4222" s="21">
        <f>IF(D4222="?OLD","!!!","")</f>
        <v/>
      </c>
      <c r="F4222" s="22" t="str">
        <f>IF(OR(E4222="",E4222="!!!"),"",IF(NOT(ISNA(VLOOKUP(E4222,E$1:E4221,1,FALSE()))),"OLD",IF(AND(E4222&lt;&gt;"",E4222&lt;&gt;"!!!"),"NEW","")))</f>
        <v> </v>
      </c>
      <c r="G4222" s="23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4" t="str">
        <f>IF(J4222&lt;&gt;1,"",IF(I4222="SBJ","CB","?"))</f>
        <v> </v>
      </c>
      <c r="I4222" s="25" t="str">
        <f>IF(OR(E4222="",E4222="!!!",F4222="NEW"),"",INDEX(B4221:B$2,-1+SUMPRODUCT(MAX(ROW(E4221:E$2)*(E4222=E4221:E$2)))))</f>
        <v> </v>
      </c>
      <c r="J4222" s="25" t="str">
        <f>IF(OR(E4222="",E4222="!!!",F4222="NEW"),"",COUNTBLANK(OFFSET(A$1,,,SUMPRODUCT(MAX(ROW(E$2:E4222)*(E4222=E$2:E4222)))))-COUNTBLANK(OFFSET(A$1,,,SUMPRODUCT(MAX(ROW(E$1:E4221)*(E2=E$1:E4221))))))</f>
        <v> </v>
      </c>
      <c r="K4222" s="25" t="str">
        <f>IF(OR(E4222="",E4222="!!!",F4222="NEW"),"",INDEX(J$1:J4221,SUMPRODUCT(MAX(ROW(E$1:E4221)*(E4222=E$1:E4221)))))</f>
        <v> </v>
      </c>
      <c r="L4222" s="26"/>
    </row>
    <row r="4223" spans="1:12">
      <c r="A4223" s="20" t="s">
        <v>1406</v>
      </c>
      <c r="B4223" s="27" t="s">
        <v>1235</v>
      </c>
      <c r="C4223" s="27" t="s">
        <v>1025</v>
      </c>
      <c r="D4223" s="27" t="s">
        <v>1026</v>
      </c>
      <c r="E4223" s="21">
        <f>IF(D4223="?OLD","!!!","")</f>
        <v/>
      </c>
      <c r="F4223" s="22" t="str">
        <f>IF(OR(E4223="",E4223="!!!"),"",IF(NOT(ISNA(VLOOKUP(E4223,E$1:E4222,1,FALSE()))),"OLD",IF(AND(E4223&lt;&gt;"",E4223&lt;&gt;"!!!"),"NEW","")))</f>
        <v> </v>
      </c>
      <c r="G4223" s="23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4" t="str">
        <f>IF(J4223&lt;&gt;1,"",IF(I4223="SBJ","CB","?"))</f>
        <v> </v>
      </c>
      <c r="I4223" s="25" t="str">
        <f>IF(OR(E4223="",E4223="!!!",F4223="NEW"),"",INDEX(B4222:B$2,-1+SUMPRODUCT(MAX(ROW(E4222:E$2)*(E4223=E4222:E$2)))))</f>
        <v> </v>
      </c>
      <c r="J4223" s="25" t="str">
        <f>IF(OR(E4223="",E4223="!!!",F4223="NEW"),"",COUNTBLANK(OFFSET(A$1,,,SUMPRODUCT(MAX(ROW(E$2:E4223)*(E4223=E$2:E4223)))))-COUNTBLANK(OFFSET(A$1,,,SUMPRODUCT(MAX(ROW(E$1:E4222)*(E2=E$1:E4222))))))</f>
        <v> </v>
      </c>
      <c r="K4223" s="25" t="str">
        <f>IF(OR(E4223="",E4223="!!!",F4223="NEW"),"",INDEX(J$1:J4222,SUMPRODUCT(MAX(ROW(E$1:E4222)*(E4223=E$1:E4222)))))</f>
        <v> </v>
      </c>
      <c r="L4223" s="26"/>
    </row>
    <row r="4224" spans="1:12">
      <c r="A4224" s="20" t="s">
        <v>1119</v>
      </c>
      <c r="E4224" s="21">
        <f>IF(D4224="?OLD","!!!","")</f>
        <v/>
      </c>
      <c r="F4224" s="22" t="str">
        <f>IF(OR(E4224="",E4224="!!!"),"",IF(NOT(ISNA(VLOOKUP(E4224,E$1:E4223,1,FALSE()))),"OLD",IF(AND(E4224&lt;&gt;"",E4224&lt;&gt;"!!!"),"NEW","")))</f>
        <v> </v>
      </c>
      <c r="G4224" s="23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4" t="str">
        <f>IF(J4224&lt;&gt;1,"",IF(I4224="SBJ","CB","?"))</f>
        <v> </v>
      </c>
      <c r="I4224" s="25" t="str">
        <f>IF(OR(E4224="",E4224="!!!",F4224="NEW"),"",INDEX(B4223:B$2,-1+SUMPRODUCT(MAX(ROW(E4223:E$2)*(E4224=E4223:E$2)))))</f>
        <v> </v>
      </c>
      <c r="J4224" s="25" t="str">
        <f>IF(OR(E4224="",E4224="!!!",F4224="NEW"),"",COUNTBLANK(OFFSET(A$1,,,SUMPRODUCT(MAX(ROW(E$2:E4224)*(E4224=E$2:E4224)))))-COUNTBLANK(OFFSET(A$1,,,SUMPRODUCT(MAX(ROW(E$1:E4223)*(E2=E$1:E4223))))))</f>
        <v> </v>
      </c>
      <c r="K4224" s="25" t="str">
        <f>IF(OR(E4224="",E4224="!!!",F4224="NEW"),"",INDEX(J$1:J4223,SUMPRODUCT(MAX(ROW(E$1:E4223)*(E4224=E$1:E4223)))))</f>
        <v> </v>
      </c>
      <c r="L4224" s="26"/>
    </row>
    <row r="4225" spans="1:12">
      <c r="A4225" s="20" t="s">
        <v>2086</v>
      </c>
      <c r="E4225" s="21">
        <f>IF(D4225="?OLD","!!!","")</f>
        <v/>
      </c>
      <c r="F4225" s="22" t="str">
        <f>IF(OR(E4225="",E4225="!!!"),"",IF(NOT(ISNA(VLOOKUP(E4225,E$1:E4224,1,FALSE()))),"OLD",IF(AND(E4225&lt;&gt;"",E4225&lt;&gt;"!!!"),"NEW","")))</f>
        <v> </v>
      </c>
      <c r="G4225" s="23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4" t="str">
        <f>IF(J4225&lt;&gt;1,"",IF(I4225="SBJ","CB","?"))</f>
        <v> </v>
      </c>
      <c r="I4225" s="25" t="str">
        <f>IF(OR(E4225="",E4225="!!!",F4225="NEW"),"",INDEX(B4224:B$2,-1+SUMPRODUCT(MAX(ROW(E4224:E$2)*(E4225=E4224:E$2)))))</f>
        <v> </v>
      </c>
      <c r="J4225" s="25" t="str">
        <f>IF(OR(E4225="",E4225="!!!",F4225="NEW"),"",COUNTBLANK(OFFSET(A$1,,,SUMPRODUCT(MAX(ROW(E$2:E4225)*(E4225=E$2:E4225)))))-COUNTBLANK(OFFSET(A$1,,,SUMPRODUCT(MAX(ROW(E$1:E4224)*(E2=E$1:E4224))))))</f>
        <v> </v>
      </c>
      <c r="K4225" s="25" t="str">
        <f>IF(OR(E4225="",E4225="!!!",F4225="NEW"),"",INDEX(J$1:J4224,SUMPRODUCT(MAX(ROW(E$1:E4224)*(E4225=E$1:E4224)))))</f>
        <v> </v>
      </c>
      <c r="L4225" s="26"/>
    </row>
    <row r="4226" spans="1:12">
      <c r="A4226" s="20" t="s">
        <v>1122</v>
      </c>
      <c r="E4226" s="21">
        <f>IF(D4226="?OLD","!!!","")</f>
        <v/>
      </c>
      <c r="F4226" s="22" t="str">
        <f>IF(OR(E4226="",E4226="!!!"),"",IF(NOT(ISNA(VLOOKUP(E4226,E$1:E4225,1,FALSE()))),"OLD",IF(AND(E4226&lt;&gt;"",E4226&lt;&gt;"!!!"),"NEW","")))</f>
        <v> </v>
      </c>
      <c r="G4226" s="23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4" t="str">
        <f>IF(J4226&lt;&gt;1,"",IF(I4226="SBJ","CB","?"))</f>
        <v> </v>
      </c>
      <c r="I4226" s="25" t="str">
        <f>IF(OR(E4226="",E4226="!!!",F4226="NEW"),"",INDEX(B4225:B$2,-1+SUMPRODUCT(MAX(ROW(E4225:E$2)*(E4226=E4225:E$2)))))</f>
        <v> </v>
      </c>
      <c r="J4226" s="25" t="str">
        <f>IF(OR(E4226="",E4226="!!!",F4226="NEW"),"",COUNTBLANK(OFFSET(A$1,,,SUMPRODUCT(MAX(ROW(E$2:E4226)*(E4226=E$2:E4226)))))-COUNTBLANK(OFFSET(A$1,,,SUMPRODUCT(MAX(ROW(E$1:E4225)*(E2=E$1:E4225))))))</f>
        <v> </v>
      </c>
      <c r="K4226" s="25" t="str">
        <f>IF(OR(E4226="",E4226="!!!",F4226="NEW"),"",INDEX(J$1:J4225,SUMPRODUCT(MAX(ROW(E$1:E4225)*(E4226=E$1:E4225)))))</f>
        <v> </v>
      </c>
      <c r="L4226" s="26"/>
    </row>
    <row r="4227" spans="1:12">
      <c r="A4227" s="20" t="s">
        <v>1096</v>
      </c>
      <c r="B4227" s="27" t="s">
        <v>1045</v>
      </c>
      <c r="C4227" s="27" t="s">
        <v>1151</v>
      </c>
      <c r="E4227" s="21">
        <f>IF(D4227="?OLD","!!!","")</f>
        <v/>
      </c>
      <c r="F4227" s="22" t="str">
        <f>IF(OR(E4227="",E4227="!!!"),"",IF(NOT(ISNA(VLOOKUP(E4227,E$1:E4226,1,FALSE()))),"OLD",IF(AND(E4227&lt;&gt;"",E4227&lt;&gt;"!!!"),"NEW","")))</f>
        <v> </v>
      </c>
      <c r="G4227" s="23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4" t="str">
        <f>IF(J4227&lt;&gt;1,"",IF(I4227="SBJ","CB","?"))</f>
        <v> </v>
      </c>
      <c r="I4227" s="25" t="str">
        <f>IF(OR(E4227="",E4227="!!!",F4227="NEW"),"",INDEX(B4226:B$2,-1+SUMPRODUCT(MAX(ROW(E4226:E$2)*(E4227=E4226:E$2)))))</f>
        <v> </v>
      </c>
      <c r="J4227" s="25" t="str">
        <f>IF(OR(E4227="",E4227="!!!",F4227="NEW"),"",COUNTBLANK(OFFSET(A$1,,,SUMPRODUCT(MAX(ROW(E$2:E4227)*(E4227=E$2:E4227)))))-COUNTBLANK(OFFSET(A$1,,,SUMPRODUCT(MAX(ROW(E$1:E4226)*(E2=E$1:E4226))))))</f>
        <v> </v>
      </c>
      <c r="K4227" s="25" t="str">
        <f>IF(OR(E4227="",E4227="!!!",F4227="NEW"),"",INDEX(J$1:J4226,SUMPRODUCT(MAX(ROW(E$1:E4226)*(E4227=E$1:E4226)))))</f>
        <v> </v>
      </c>
      <c r="L4227" s="26"/>
    </row>
    <row r="4228" spans="1:12">
      <c r="A4228" s="20" t="s">
        <v>1107</v>
      </c>
      <c r="E4228" s="21">
        <f>IF(D4228="?OLD","!!!","")</f>
        <v/>
      </c>
      <c r="F4228" s="22" t="str">
        <f>IF(OR(E4228="",E4228="!!!"),"",IF(NOT(ISNA(VLOOKUP(E4228,E$1:E4227,1,FALSE()))),"OLD",IF(AND(E4228&lt;&gt;"",E4228&lt;&gt;"!!!"),"NEW","")))</f>
        <v> </v>
      </c>
      <c r="G4228" s="23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4" t="str">
        <f>IF(J4228&lt;&gt;1,"",IF(I4228="SBJ","CB","?"))</f>
        <v> </v>
      </c>
      <c r="I4228" s="25" t="str">
        <f>IF(OR(E4228="",E4228="!!!",F4228="NEW"),"",INDEX(B4227:B$2,-1+SUMPRODUCT(MAX(ROW(E4227:E$2)*(E4228=E4227:E$2)))))</f>
        <v> </v>
      </c>
      <c r="J4228" s="25" t="str">
        <f>IF(OR(E4228="",E4228="!!!",F4228="NEW"),"",COUNTBLANK(OFFSET(A$1,,,SUMPRODUCT(MAX(ROW(E$2:E4228)*(E4228=E$2:E4228)))))-COUNTBLANK(OFFSET(A$1,,,SUMPRODUCT(MAX(ROW(E$1:E4227)*(E2=E$1:E4227))))))</f>
        <v> </v>
      </c>
      <c r="K4228" s="25" t="str">
        <f>IF(OR(E4228="",E4228="!!!",F4228="NEW"),"",INDEX(J$1:J4227,SUMPRODUCT(MAX(ROW(E$1:E4227)*(E4228=E$1:E4227)))))</f>
        <v> </v>
      </c>
      <c r="L4228" s="26"/>
    </row>
    <row r="4229" spans="1:12">
      <c r="A4229" s="20" t="s">
        <v>2771</v>
      </c>
      <c r="E4229" s="21">
        <f>IF(D4229="?OLD","!!!","")</f>
        <v/>
      </c>
      <c r="F4229" s="22" t="str">
        <f>IF(OR(E4229="",E4229="!!!"),"",IF(NOT(ISNA(VLOOKUP(E4229,E$1:E4228,1,FALSE()))),"OLD",IF(AND(E4229&lt;&gt;"",E4229&lt;&gt;"!!!"),"NEW","")))</f>
        <v> </v>
      </c>
      <c r="G4229" s="23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4" t="str">
        <f>IF(J4229&lt;&gt;1,"",IF(I4229="SBJ","CB","?"))</f>
        <v> </v>
      </c>
      <c r="I4229" s="25" t="str">
        <f>IF(OR(E4229="",E4229="!!!",F4229="NEW"),"",INDEX(B4228:B$2,-1+SUMPRODUCT(MAX(ROW(E4228:E$2)*(E4229=E4228:E$2)))))</f>
        <v> </v>
      </c>
      <c r="J4229" s="25" t="str">
        <f>IF(OR(E4229="",E4229="!!!",F4229="NEW"),"",COUNTBLANK(OFFSET(A$1,,,SUMPRODUCT(MAX(ROW(E$2:E4229)*(E4229=E$2:E4229)))))-COUNTBLANK(OFFSET(A$1,,,SUMPRODUCT(MAX(ROW(E$1:E4228)*(E2=E$1:E4228))))))</f>
        <v> </v>
      </c>
      <c r="K4229" s="25" t="str">
        <f>IF(OR(E4229="",E4229="!!!",F4229="NEW"),"",INDEX(J$1:J4228,SUMPRODUCT(MAX(ROW(E$1:E4228)*(E4229=E$1:E4228)))))</f>
        <v> </v>
      </c>
      <c r="L4229" s="26"/>
    </row>
    <row r="4230" spans="1:12">
      <c r="A4230" s="20" t="s">
        <v>1032</v>
      </c>
      <c r="E4230" s="21">
        <f>IF(D4230="?OLD","!!!","")</f>
        <v/>
      </c>
      <c r="F4230" s="22" t="str">
        <f>IF(OR(E4230="",E4230="!!!"),"",IF(NOT(ISNA(VLOOKUP(E4230,E$1:E4229,1,FALSE()))),"OLD",IF(AND(E4230&lt;&gt;"",E4230&lt;&gt;"!!!"),"NEW","")))</f>
        <v> </v>
      </c>
      <c r="G4230" s="23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4" t="str">
        <f>IF(J4230&lt;&gt;1,"",IF(I4230="SBJ","CB","?"))</f>
        <v> </v>
      </c>
      <c r="I4230" s="25" t="str">
        <f>IF(OR(E4230="",E4230="!!!",F4230="NEW"),"",INDEX(B4229:B$2,-1+SUMPRODUCT(MAX(ROW(E4229:E$2)*(E4230=E4229:E$2)))))</f>
        <v> </v>
      </c>
      <c r="J4230" s="25" t="str">
        <f>IF(OR(E4230="",E4230="!!!",F4230="NEW"),"",COUNTBLANK(OFFSET(A$1,,,SUMPRODUCT(MAX(ROW(E$2:E4230)*(E4230=E$2:E4230)))))-COUNTBLANK(OFFSET(A$1,,,SUMPRODUCT(MAX(ROW(E$1:E4229)*(E2=E$1:E4229))))))</f>
        <v> </v>
      </c>
      <c r="K4230" s="25" t="str">
        <f>IF(OR(E4230="",E4230="!!!",F4230="NEW"),"",INDEX(J$1:J4229,SUMPRODUCT(MAX(ROW(E$1:E4229)*(E4230=E$1:E4229)))))</f>
        <v> </v>
      </c>
      <c r="L4230" s="26"/>
    </row>
    <row r="4231" spans="1:12">
      <c r="A4231" s="20"/>
    </row>
    <row r="4232" spans="1:12">
      <c r="A4232" s="20" t="s">
        <v>2772</v>
      </c>
    </row>
    <row r="4233" spans="1:12">
      <c r="A4233" s="20" t="s">
        <v>744</v>
      </c>
      <c r="B4233" s="27" t="s">
        <v>1080</v>
      </c>
      <c r="C4233" s="27" t="s">
        <v>1075</v>
      </c>
      <c r="D4233" s="27" t="s">
        <v>1026</v>
      </c>
      <c r="E4233" s="21">
        <f>IF(D4233="?OLD","!!!","")</f>
        <v/>
      </c>
      <c r="F4233" s="22" t="str">
        <f>IF(OR(E4233="",E4233="!!!"),"",IF(NOT(ISNA(VLOOKUP(E4233,E$1:E4232,1,FALSE()))),"OLD",IF(AND(E4233&lt;&gt;"",E4233&lt;&gt;"!!!"),"NEW","")))</f>
        <v> </v>
      </c>
      <c r="G4233" s="23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4" t="str">
        <f>IF(J4233&lt;&gt;1,"",IF(I4233="SBJ","CB","?"))</f>
        <v> </v>
      </c>
      <c r="I4233" s="25" t="str">
        <f>IF(OR(E4233="",E4233="!!!",F4233="NEW"),"",INDEX(B4232:B$2,-1+SUMPRODUCT(MAX(ROW(E4232:E$2)*(E4233=E4232:E$2)))))</f>
        <v> </v>
      </c>
      <c r="J4233" s="25" t="str">
        <f>IF(OR(E4233="",E4233="!!!",F4233="NEW"),"",COUNTBLANK(OFFSET(A$1,,,SUMPRODUCT(MAX(ROW(E$2:E4233)*(E4233=E$2:E4233)))))-COUNTBLANK(OFFSET(A$1,,,SUMPRODUCT(MAX(ROW(E$1:E4232)*(E2=E$1:E4232))))))</f>
        <v> </v>
      </c>
      <c r="K4233" s="25" t="str">
        <f>IF(OR(E4233="",E4233="!!!",F4233="NEW"),"",INDEX(J$1:J4232,SUMPRODUCT(MAX(ROW(E$1:E4232)*(E4233=E$1:E4232)))))</f>
        <v> </v>
      </c>
      <c r="L4233" s="26"/>
    </row>
    <row r="4234" spans="1:12">
      <c r="A4234" s="20" t="s">
        <v>2530</v>
      </c>
      <c r="B4234" s="27" t="s">
        <v>1080</v>
      </c>
      <c r="C4234" s="27" t="s">
        <v>1075</v>
      </c>
      <c r="D4234" s="27" t="s">
        <v>1026</v>
      </c>
      <c r="E4234" s="21">
        <f>IF(D4234="?OLD","!!!","")</f>
        <v/>
      </c>
      <c r="F4234" s="22" t="str">
        <f>IF(OR(E4234="",E4234="!!!"),"",IF(NOT(ISNA(VLOOKUP(E4234,E$1:E4233,1,FALSE()))),"OLD",IF(AND(E4234&lt;&gt;"",E4234&lt;&gt;"!!!"),"NEW","")))</f>
        <v> </v>
      </c>
      <c r="G4234" s="23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4" t="str">
        <f>IF(J4234&lt;&gt;1,"",IF(I4234="SBJ","CB","?"))</f>
        <v> </v>
      </c>
      <c r="I4234" s="25" t="str">
        <f>IF(OR(E4234="",E4234="!!!",F4234="NEW"),"",INDEX(B4233:B$2,-1+SUMPRODUCT(MAX(ROW(E4233:E$2)*(E4234=E4233:E$2)))))</f>
        <v> </v>
      </c>
      <c r="J4234" s="25" t="str">
        <f>IF(OR(E4234="",E4234="!!!",F4234="NEW"),"",COUNTBLANK(OFFSET(A$1,,,SUMPRODUCT(MAX(ROW(E$2:E4234)*(E4234=E$2:E4234)))))-COUNTBLANK(OFFSET(A$1,,,SUMPRODUCT(MAX(ROW(E$1:E4233)*(E2=E$1:E4233))))))</f>
        <v> </v>
      </c>
      <c r="K4234" s="25" t="str">
        <f>IF(OR(E4234="",E4234="!!!",F4234="NEW"),"",INDEX(J$1:J4233,SUMPRODUCT(MAX(ROW(E$1:E4233)*(E4234=E$1:E4233)))))</f>
        <v> </v>
      </c>
      <c r="L4234" s="26"/>
    </row>
    <row r="4235" spans="1:12">
      <c r="A4235" s="20" t="s">
        <v>1222</v>
      </c>
      <c r="E4235" s="21">
        <f>IF(D4235="?OLD","!!!","")</f>
        <v/>
      </c>
      <c r="F4235" s="22" t="str">
        <f>IF(OR(E4235="",E4235="!!!"),"",IF(NOT(ISNA(VLOOKUP(E4235,E$1:E4234,1,FALSE()))),"OLD",IF(AND(E4235&lt;&gt;"",E4235&lt;&gt;"!!!"),"NEW","")))</f>
        <v> </v>
      </c>
      <c r="G4235" s="23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4" t="str">
        <f>IF(J4235&lt;&gt;1,"",IF(I4235="SBJ","CB","?"))</f>
        <v> </v>
      </c>
      <c r="I4235" s="25" t="str">
        <f>IF(OR(E4235="",E4235="!!!",F4235="NEW"),"",INDEX(B4234:B$2,-1+SUMPRODUCT(MAX(ROW(E4234:E$2)*(E4235=E4234:E$2)))))</f>
        <v> </v>
      </c>
      <c r="J4235" s="25" t="str">
        <f>IF(OR(E4235="",E4235="!!!",F4235="NEW"),"",COUNTBLANK(OFFSET(A$1,,,SUMPRODUCT(MAX(ROW(E$2:E4235)*(E4235=E$2:E4235)))))-COUNTBLANK(OFFSET(A$1,,,SUMPRODUCT(MAX(ROW(E$1:E4234)*(E2=E$1:E4234))))))</f>
        <v> </v>
      </c>
      <c r="K4235" s="25" t="str">
        <f>IF(OR(E4235="",E4235="!!!",F4235="NEW"),"",INDEX(J$1:J4234,SUMPRODUCT(MAX(ROW(E$1:E4234)*(E4235=E$1:E4234)))))</f>
        <v> </v>
      </c>
      <c r="L4235" s="26"/>
    </row>
    <row r="4236" spans="1:12">
      <c r="A4236" s="20" t="s">
        <v>1597</v>
      </c>
      <c r="E4236" s="21">
        <f>IF(D4236="?OLD","!!!","")</f>
        <v/>
      </c>
      <c r="F4236" s="22" t="str">
        <f>IF(OR(E4236="",E4236="!!!"),"",IF(NOT(ISNA(VLOOKUP(E4236,E$1:E4235,1,FALSE()))),"OLD",IF(AND(E4236&lt;&gt;"",E4236&lt;&gt;"!!!"),"NEW","")))</f>
        <v> </v>
      </c>
      <c r="G4236" s="23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4" t="str">
        <f>IF(J4236&lt;&gt;1,"",IF(I4236="SBJ","CB","?"))</f>
        <v> </v>
      </c>
      <c r="I4236" s="25" t="str">
        <f>IF(OR(E4236="",E4236="!!!",F4236="NEW"),"",INDEX(B4235:B$2,-1+SUMPRODUCT(MAX(ROW(E4235:E$2)*(E4236=E4235:E$2)))))</f>
        <v> </v>
      </c>
      <c r="J4236" s="25" t="str">
        <f>IF(OR(E4236="",E4236="!!!",F4236="NEW"),"",COUNTBLANK(OFFSET(A$1,,,SUMPRODUCT(MAX(ROW(E$2:E4236)*(E4236=E$2:E4236)))))-COUNTBLANK(OFFSET(A$1,,,SUMPRODUCT(MAX(ROW(E$1:E4235)*(E2=E$1:E4235))))))</f>
        <v> </v>
      </c>
      <c r="K4236" s="25" t="str">
        <f>IF(OR(E4236="",E4236="!!!",F4236="NEW"),"",INDEX(J$1:J4235,SUMPRODUCT(MAX(ROW(E$1:E4235)*(E4236=E$1:E4235)))))</f>
        <v> </v>
      </c>
      <c r="L4236" s="26"/>
    </row>
    <row r="4237" spans="1:12">
      <c r="A4237" s="20" t="s">
        <v>1107</v>
      </c>
      <c r="E4237" s="21">
        <f>IF(D4237="?OLD","!!!","")</f>
        <v/>
      </c>
      <c r="F4237" s="22" t="str">
        <f>IF(OR(E4237="",E4237="!!!"),"",IF(NOT(ISNA(VLOOKUP(E4237,E$1:E4236,1,FALSE()))),"OLD",IF(AND(E4237&lt;&gt;"",E4237&lt;&gt;"!!!"),"NEW","")))</f>
        <v> </v>
      </c>
      <c r="G4237" s="23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4" t="str">
        <f>IF(J4237&lt;&gt;1,"",IF(I4237="SBJ","CB","?"))</f>
        <v> </v>
      </c>
      <c r="I4237" s="25" t="str">
        <f>IF(OR(E4237="",E4237="!!!",F4237="NEW"),"",INDEX(B4236:B$2,-1+SUMPRODUCT(MAX(ROW(E4236:E$2)*(E4237=E4236:E$2)))))</f>
        <v> </v>
      </c>
      <c r="J4237" s="25" t="str">
        <f>IF(OR(E4237="",E4237="!!!",F4237="NEW"),"",COUNTBLANK(OFFSET(A$1,,,SUMPRODUCT(MAX(ROW(E$2:E4237)*(E4237=E$2:E4237)))))-COUNTBLANK(OFFSET(A$1,,,SUMPRODUCT(MAX(ROW(E$1:E4236)*(E2=E$1:E4236))))))</f>
        <v> </v>
      </c>
      <c r="K4237" s="25" t="str">
        <f>IF(OR(E4237="",E4237="!!!",F4237="NEW"),"",INDEX(J$1:J4236,SUMPRODUCT(MAX(ROW(E$1:E4236)*(E4237=E$1:E4236)))))</f>
        <v> </v>
      </c>
      <c r="L4237" s="26"/>
    </row>
    <row r="4238" spans="1:12">
      <c r="A4238" s="20" t="s">
        <v>2773</v>
      </c>
      <c r="E4238" s="21">
        <f>IF(D4238="?OLD","!!!","")</f>
        <v/>
      </c>
      <c r="F4238" s="22" t="str">
        <f>IF(OR(E4238="",E4238="!!!"),"",IF(NOT(ISNA(VLOOKUP(E4238,E$1:E4237,1,FALSE()))),"OLD",IF(AND(E4238&lt;&gt;"",E4238&lt;&gt;"!!!"),"NEW","")))</f>
        <v> </v>
      </c>
      <c r="G4238" s="23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4" t="str">
        <f>IF(J4238&lt;&gt;1,"",IF(I4238="SBJ","CB","?"))</f>
        <v> </v>
      </c>
      <c r="I4238" s="25" t="str">
        <f>IF(OR(E4238="",E4238="!!!",F4238="NEW"),"",INDEX(B4237:B$2,-1+SUMPRODUCT(MAX(ROW(E4237:E$2)*(E4238=E4237:E$2)))))</f>
        <v> </v>
      </c>
      <c r="J4238" s="25" t="str">
        <f>IF(OR(E4238="",E4238="!!!",F4238="NEW"),"",COUNTBLANK(OFFSET(A$1,,,SUMPRODUCT(MAX(ROW(E$2:E4238)*(E4238=E$2:E4238)))))-COUNTBLANK(OFFSET(A$1,,,SUMPRODUCT(MAX(ROW(E$1:E4237)*(E2=E$1:E4237))))))</f>
        <v> </v>
      </c>
      <c r="K4238" s="25" t="str">
        <f>IF(OR(E4238="",E4238="!!!",F4238="NEW"),"",INDEX(J$1:J4237,SUMPRODUCT(MAX(ROW(E$1:E4237)*(E4238=E$1:E4237)))))</f>
        <v> </v>
      </c>
      <c r="L4238" s="26"/>
    </row>
    <row r="4239" spans="1:12">
      <c r="A4239" s="20" t="s">
        <v>1041</v>
      </c>
      <c r="E4239" s="21">
        <f>IF(D4239="?OLD","!!!","")</f>
        <v/>
      </c>
      <c r="F4239" s="22" t="str">
        <f>IF(OR(E4239="",E4239="!!!"),"",IF(NOT(ISNA(VLOOKUP(E4239,E$1:E4238,1,FALSE()))),"OLD",IF(AND(E4239&lt;&gt;"",E4239&lt;&gt;"!!!"),"NEW","")))</f>
        <v> </v>
      </c>
      <c r="G4239" s="23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4" t="str">
        <f>IF(J4239&lt;&gt;1,"",IF(I4239="SBJ","CB","?"))</f>
        <v> </v>
      </c>
      <c r="I4239" s="25" t="str">
        <f>IF(OR(E4239="",E4239="!!!",F4239="NEW"),"",INDEX(B4238:B$2,-1+SUMPRODUCT(MAX(ROW(E4238:E$2)*(E4239=E4238:E$2)))))</f>
        <v> </v>
      </c>
      <c r="J4239" s="25" t="str">
        <f>IF(OR(E4239="",E4239="!!!",F4239="NEW"),"",COUNTBLANK(OFFSET(A$1,,,SUMPRODUCT(MAX(ROW(E$2:E4239)*(E4239=E$2:E4239)))))-COUNTBLANK(OFFSET(A$1,,,SUMPRODUCT(MAX(ROW(E$1:E4238)*(E2=E$1:E4238))))))</f>
        <v> </v>
      </c>
      <c r="K4239" s="25" t="str">
        <f>IF(OR(E4239="",E4239="!!!",F4239="NEW"),"",INDEX(J$1:J4238,SUMPRODUCT(MAX(ROW(E$1:E4238)*(E4239=E$1:E4238)))))</f>
        <v> </v>
      </c>
      <c r="L4239" s="26"/>
    </row>
    <row r="4240" spans="1:12">
      <c r="A4240" s="20" t="s">
        <v>21</v>
      </c>
      <c r="E4240" s="21">
        <f>IF(D4240="?OLD","!!!","")</f>
        <v/>
      </c>
      <c r="F4240" s="22" t="str">
        <f>IF(OR(E4240="",E4240="!!!"),"",IF(NOT(ISNA(VLOOKUP(E4240,E$1:E4239,1,FALSE()))),"OLD",IF(AND(E4240&lt;&gt;"",E4240&lt;&gt;"!!!"),"NEW","")))</f>
        <v> </v>
      </c>
      <c r="G4240" s="23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4" t="str">
        <f>IF(J4240&lt;&gt;1,"",IF(I4240="SBJ","CB","?"))</f>
        <v> </v>
      </c>
      <c r="I4240" s="25" t="str">
        <f>IF(OR(E4240="",E4240="!!!",F4240="NEW"),"",INDEX(B4239:B$2,-1+SUMPRODUCT(MAX(ROW(E4239:E$2)*(E4240=E4239:E$2)))))</f>
        <v> </v>
      </c>
      <c r="J4240" s="25" t="str">
        <f>IF(OR(E4240="",E4240="!!!",F4240="NEW"),"",COUNTBLANK(OFFSET(A$1,,,SUMPRODUCT(MAX(ROW(E$2:E4240)*(E4240=E$2:E4240)))))-COUNTBLANK(OFFSET(A$1,,,SUMPRODUCT(MAX(ROW(E$1:E4239)*(E2=E$1:E4239))))))</f>
        <v> </v>
      </c>
      <c r="K4240" s="25" t="str">
        <f>IF(OR(E4240="",E4240="!!!",F4240="NEW"),"",INDEX(J$1:J4239,SUMPRODUCT(MAX(ROW(E$1:E4239)*(E4240=E$1:E4239)))))</f>
        <v> </v>
      </c>
      <c r="L4240" s="26"/>
    </row>
    <row r="4241" spans="1:12">
      <c r="A4241" s="20" t="s">
        <v>1159</v>
      </c>
      <c r="E4241" s="21">
        <f>IF(D4241="?OLD","!!!","")</f>
        <v/>
      </c>
      <c r="F4241" s="22" t="str">
        <f>IF(OR(E4241="",E4241="!!!"),"",IF(NOT(ISNA(VLOOKUP(E4241,E$1:E4240,1,FALSE()))),"OLD",IF(AND(E4241&lt;&gt;"",E4241&lt;&gt;"!!!"),"NEW","")))</f>
        <v> </v>
      </c>
      <c r="G4241" s="23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4" t="str">
        <f>IF(J4241&lt;&gt;1,"",IF(I4241="SBJ","CB","?"))</f>
        <v> </v>
      </c>
      <c r="I4241" s="25" t="str">
        <f>IF(OR(E4241="",E4241="!!!",F4241="NEW"),"",INDEX(B4240:B$2,-1+SUMPRODUCT(MAX(ROW(E4240:E$2)*(E4241=E4240:E$2)))))</f>
        <v> </v>
      </c>
      <c r="J4241" s="25" t="str">
        <f>IF(OR(E4241="",E4241="!!!",F4241="NEW"),"",COUNTBLANK(OFFSET(A$1,,,SUMPRODUCT(MAX(ROW(E$2:E4241)*(E4241=E$2:E4241)))))-COUNTBLANK(OFFSET(A$1,,,SUMPRODUCT(MAX(ROW(E$1:E4240)*(E2=E$1:E4240))))))</f>
        <v> </v>
      </c>
      <c r="K4241" s="25" t="str">
        <f>IF(OR(E4241="",E4241="!!!",F4241="NEW"),"",INDEX(J$1:J4240,SUMPRODUCT(MAX(ROW(E$1:E4240)*(E4241=E$1:E4240)))))</f>
        <v> </v>
      </c>
      <c r="L4241" s="26"/>
    </row>
    <row r="4242" spans="1:12">
      <c r="A4242" s="20" t="s">
        <v>201</v>
      </c>
      <c r="B4242" s="27" t="s">
        <v>1080</v>
      </c>
      <c r="C4242" s="27" t="s">
        <v>1151</v>
      </c>
      <c r="E4242" s="21">
        <f>IF(D4242="?OLD","!!!","")</f>
        <v/>
      </c>
      <c r="F4242" s="22" t="str">
        <f>IF(OR(E4242="",E4242="!!!"),"",IF(NOT(ISNA(VLOOKUP(E4242,E$1:E4241,1,FALSE()))),"OLD",IF(AND(E4242&lt;&gt;"",E4242&lt;&gt;"!!!"),"NEW","")))</f>
        <v> </v>
      </c>
      <c r="G4242" s="23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4" t="str">
        <f>IF(J4242&lt;&gt;1,"",IF(I4242="SBJ","CB","?"))</f>
        <v> </v>
      </c>
      <c r="I4242" s="25" t="str">
        <f>IF(OR(E4242="",E4242="!!!",F4242="NEW"),"",INDEX(B4241:B$2,-1+SUMPRODUCT(MAX(ROW(E4241:E$2)*(E4242=E4241:E$2)))))</f>
        <v> </v>
      </c>
      <c r="J4242" s="25" t="str">
        <f>IF(OR(E4242="",E4242="!!!",F4242="NEW"),"",COUNTBLANK(OFFSET(A$1,,,SUMPRODUCT(MAX(ROW(E$2:E4242)*(E4242=E$2:E4242)))))-COUNTBLANK(OFFSET(A$1,,,SUMPRODUCT(MAX(ROW(E$1:E4241)*(E2=E$1:E4241))))))</f>
        <v> </v>
      </c>
      <c r="K4242" s="25" t="str">
        <f>IF(OR(E4242="",E4242="!!!",F4242="NEW"),"",INDEX(J$1:J4241,SUMPRODUCT(MAX(ROW(E$1:E4241)*(E4242=E$1:E4241)))))</f>
        <v> </v>
      </c>
      <c r="L4242" s="26"/>
    </row>
    <row r="4243" spans="1:12">
      <c r="A4243" s="20" t="s">
        <v>1307</v>
      </c>
      <c r="E4243" s="21">
        <f>IF(D4243="?OLD","!!!","")</f>
        <v/>
      </c>
      <c r="F4243" s="22" t="str">
        <f>IF(OR(E4243="",E4243="!!!"),"",IF(NOT(ISNA(VLOOKUP(E4243,E$1:E4242,1,FALSE()))),"OLD",IF(AND(E4243&lt;&gt;"",E4243&lt;&gt;"!!!"),"NEW","")))</f>
        <v> </v>
      </c>
      <c r="G4243" s="23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4" t="str">
        <f>IF(J4243&lt;&gt;1,"",IF(I4243="SBJ","CB","?"))</f>
        <v> </v>
      </c>
      <c r="I4243" s="25" t="str">
        <f>IF(OR(E4243="",E4243="!!!",F4243="NEW"),"",INDEX(B4242:B$2,-1+SUMPRODUCT(MAX(ROW(E4242:E$2)*(E4243=E4242:E$2)))))</f>
        <v> </v>
      </c>
      <c r="J4243" s="25" t="str">
        <f>IF(OR(E4243="",E4243="!!!",F4243="NEW"),"",COUNTBLANK(OFFSET(A$1,,,SUMPRODUCT(MAX(ROW(E$2:E4243)*(E4243=E$2:E4243)))))-COUNTBLANK(OFFSET(A$1,,,SUMPRODUCT(MAX(ROW(E$1:E4242)*(E2=E$1:E4242))))))</f>
        <v> </v>
      </c>
      <c r="K4243" s="25" t="str">
        <f>IF(OR(E4243="",E4243="!!!",F4243="NEW"),"",INDEX(J$1:J4242,SUMPRODUCT(MAX(ROW(E$1:E4242)*(E4243=E$1:E4242)))))</f>
        <v> </v>
      </c>
      <c r="L4243" s="26"/>
    </row>
    <row r="4244" spans="1:12">
      <c r="A4244" s="20"/>
    </row>
    <row r="4245" spans="1:12">
      <c r="A4245" s="20" t="s">
        <v>2774</v>
      </c>
    </row>
    <row r="4246" spans="1:12">
      <c r="A4246" s="20" t="s">
        <v>2260</v>
      </c>
      <c r="E4246" s="21">
        <f>IF(D4246="?OLD","!!!","")</f>
        <v/>
      </c>
      <c r="F4246" s="22" t="str">
        <f>IF(OR(E4246="",E4246="!!!"),"",IF(NOT(ISNA(VLOOKUP(E4246,E$1:E4245,1,FALSE()))),"OLD",IF(AND(E4246&lt;&gt;"",E4246&lt;&gt;"!!!"),"NEW","")))</f>
        <v> </v>
      </c>
      <c r="G4246" s="23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4" t="str">
        <f>IF(J4246&lt;&gt;1,"",IF(I4246="SBJ","CB","?"))</f>
        <v> </v>
      </c>
      <c r="I4246" s="25" t="str">
        <f>IF(OR(E4246="",E4246="!!!",F4246="NEW"),"",INDEX(B4245:B$2,-1+SUMPRODUCT(MAX(ROW(E4245:E$2)*(E4246=E4245:E$2)))))</f>
        <v> </v>
      </c>
      <c r="J4246" s="25" t="str">
        <f>IF(OR(E4246="",E4246="!!!",F4246="NEW"),"",COUNTBLANK(OFFSET(A$1,,,SUMPRODUCT(MAX(ROW(E$2:E4246)*(E4246=E$2:E4246)))))-COUNTBLANK(OFFSET(A$1,,,SUMPRODUCT(MAX(ROW(E$1:E4245)*(E2=E$1:E4245))))))</f>
        <v> </v>
      </c>
      <c r="K4246" s="25" t="str">
        <f>IF(OR(E4246="",E4246="!!!",F4246="NEW"),"",INDEX(J$1:J4245,SUMPRODUCT(MAX(ROW(E$1:E4245)*(E4246=E$1:E4245)))))</f>
        <v> </v>
      </c>
      <c r="L4246" s="26"/>
    </row>
    <row r="4247" spans="1:12">
      <c r="A4247" s="20" t="s">
        <v>1108</v>
      </c>
      <c r="E4247" s="21">
        <f>IF(D4247="?OLD","!!!","")</f>
        <v/>
      </c>
      <c r="F4247" s="22" t="str">
        <f>IF(OR(E4247="",E4247="!!!"),"",IF(NOT(ISNA(VLOOKUP(E4247,E$1:E4246,1,FALSE()))),"OLD",IF(AND(E4247&lt;&gt;"",E4247&lt;&gt;"!!!"),"NEW","")))</f>
        <v> </v>
      </c>
      <c r="G4247" s="23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4" t="str">
        <f>IF(J4247&lt;&gt;1,"",IF(I4247="SBJ","CB","?"))</f>
        <v> </v>
      </c>
      <c r="I4247" s="25" t="str">
        <f>IF(OR(E4247="",E4247="!!!",F4247="NEW"),"",INDEX(B4246:B$2,-1+SUMPRODUCT(MAX(ROW(E4246:E$2)*(E4247=E4246:E$2)))))</f>
        <v> </v>
      </c>
      <c r="J4247" s="25" t="str">
        <f>IF(OR(E4247="",E4247="!!!",F4247="NEW"),"",COUNTBLANK(OFFSET(A$1,,,SUMPRODUCT(MAX(ROW(E$2:E4247)*(E4247=E$2:E4247)))))-COUNTBLANK(OFFSET(A$1,,,SUMPRODUCT(MAX(ROW(E$1:E4246)*(E2=E$1:E4246))))))</f>
        <v> </v>
      </c>
      <c r="K4247" s="25" t="str">
        <f>IF(OR(E4247="",E4247="!!!",F4247="NEW"),"",INDEX(J$1:J4246,SUMPRODUCT(MAX(ROW(E$1:E4246)*(E4247=E$1:E4246)))))</f>
        <v> </v>
      </c>
      <c r="L4247" s="26"/>
    </row>
    <row r="4248" spans="1:12">
      <c r="A4248" s="20" t="s">
        <v>2775</v>
      </c>
      <c r="E4248" s="21">
        <f>IF(D4248="?OLD","!!!","")</f>
        <v/>
      </c>
      <c r="F4248" s="22" t="str">
        <f>IF(OR(E4248="",E4248="!!!"),"",IF(NOT(ISNA(VLOOKUP(E4248,E$1:E4247,1,FALSE()))),"OLD",IF(AND(E4248&lt;&gt;"",E4248&lt;&gt;"!!!"),"NEW","")))</f>
        <v> </v>
      </c>
      <c r="G4248" s="23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4" t="str">
        <f>IF(J4248&lt;&gt;1,"",IF(I4248="SBJ","CB","?"))</f>
        <v> </v>
      </c>
      <c r="I4248" s="25" t="str">
        <f>IF(OR(E4248="",E4248="!!!",F4248="NEW"),"",INDEX(B4247:B$2,-1+SUMPRODUCT(MAX(ROW(E4247:E$2)*(E4248=E4247:E$2)))))</f>
        <v> </v>
      </c>
      <c r="J4248" s="25" t="str">
        <f>IF(OR(E4248="",E4248="!!!",F4248="NEW"),"",COUNTBLANK(OFFSET(A$1,,,SUMPRODUCT(MAX(ROW(E$2:E4248)*(E4248=E$2:E4248)))))-COUNTBLANK(OFFSET(A$1,,,SUMPRODUCT(MAX(ROW(E$1:E4247)*(E2=E$1:E4247))))))</f>
        <v> </v>
      </c>
      <c r="K4248" s="25" t="str">
        <f>IF(OR(E4248="",E4248="!!!",F4248="NEW"),"",INDEX(J$1:J4247,SUMPRODUCT(MAX(ROW(E$1:E4247)*(E4248=E$1:E4247)))))</f>
        <v> </v>
      </c>
      <c r="L4248" s="26"/>
    </row>
    <row r="4249" spans="1:12">
      <c r="A4249" s="20" t="s">
        <v>2776</v>
      </c>
      <c r="E4249" s="21">
        <f>IF(D4249="?OLD","!!!","")</f>
        <v/>
      </c>
      <c r="F4249" s="22" t="str">
        <f>IF(OR(E4249="",E4249="!!!"),"",IF(NOT(ISNA(VLOOKUP(E4249,E$1:E4248,1,FALSE()))),"OLD",IF(AND(E4249&lt;&gt;"",E4249&lt;&gt;"!!!"),"NEW","")))</f>
        <v> </v>
      </c>
      <c r="G4249" s="23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4" t="str">
        <f>IF(J4249&lt;&gt;1,"",IF(I4249="SBJ","CB","?"))</f>
        <v> </v>
      </c>
      <c r="I4249" s="25" t="str">
        <f>IF(OR(E4249="",E4249="!!!",F4249="NEW"),"",INDEX(B4248:B$2,-1+SUMPRODUCT(MAX(ROW(E4248:E$2)*(E4249=E4248:E$2)))))</f>
        <v> </v>
      </c>
      <c r="J4249" s="25" t="str">
        <f>IF(OR(E4249="",E4249="!!!",F4249="NEW"),"",COUNTBLANK(OFFSET(A$1,,,SUMPRODUCT(MAX(ROW(E$2:E4249)*(E4249=E$2:E4249)))))-COUNTBLANK(OFFSET(A$1,,,SUMPRODUCT(MAX(ROW(E$1:E4248)*(E2=E$1:E4248))))))</f>
        <v> </v>
      </c>
      <c r="K4249" s="25" t="str">
        <f>IF(OR(E4249="",E4249="!!!",F4249="NEW"),"",INDEX(J$1:J4248,SUMPRODUCT(MAX(ROW(E$1:E4248)*(E4249=E$1:E4248)))))</f>
        <v> </v>
      </c>
      <c r="L4249" s="26"/>
    </row>
    <row r="4250" spans="1:12">
      <c r="A4250" s="20" t="s">
        <v>2466</v>
      </c>
      <c r="B4250" s="27" t="s">
        <v>1150</v>
      </c>
      <c r="E4250" s="21">
        <f>IF(D4250="?OLD","!!!","")</f>
        <v/>
      </c>
      <c r="F4250" s="22" t="str">
        <f>IF(OR(E4250="",E4250="!!!"),"",IF(NOT(ISNA(VLOOKUP(E4250,E$1:E4249,1,FALSE()))),"OLD",IF(AND(E4250&lt;&gt;"",E4250&lt;&gt;"!!!"),"NEW","")))</f>
        <v> </v>
      </c>
      <c r="G4250" s="23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4" t="str">
        <f>IF(J4250&lt;&gt;1,"",IF(I4250="SBJ","CB","?"))</f>
        <v> </v>
      </c>
      <c r="I4250" s="25" t="str">
        <f>IF(OR(E4250="",E4250="!!!",F4250="NEW"),"",INDEX(B4249:B$2,-1+SUMPRODUCT(MAX(ROW(E4249:E$2)*(E4250=E4249:E$2)))))</f>
        <v> </v>
      </c>
      <c r="J4250" s="25" t="str">
        <f>IF(OR(E4250="",E4250="!!!",F4250="NEW"),"",COUNTBLANK(OFFSET(A$1,,,SUMPRODUCT(MAX(ROW(E$2:E4250)*(E4250=E$2:E4250)))))-COUNTBLANK(OFFSET(A$1,,,SUMPRODUCT(MAX(ROW(E$1:E4249)*(E2=E$1:E4249))))))</f>
        <v> </v>
      </c>
      <c r="K4250" s="25" t="str">
        <f>IF(OR(E4250="",E4250="!!!",F4250="NEW"),"",INDEX(J$1:J4249,SUMPRODUCT(MAX(ROW(E$1:E4249)*(E4250=E$1:E4249)))))</f>
        <v> </v>
      </c>
      <c r="L4250" s="26"/>
    </row>
    <row r="4251" spans="1:12">
      <c r="A4251" s="20" t="s">
        <v>1085</v>
      </c>
      <c r="E4251" s="21">
        <f>IF(D4251="?OLD","!!!","")</f>
        <v/>
      </c>
      <c r="F4251" s="22" t="str">
        <f>IF(OR(E4251="",E4251="!!!"),"",IF(NOT(ISNA(VLOOKUP(E4251,E$1:E4250,1,FALSE()))),"OLD",IF(AND(E4251&lt;&gt;"",E4251&lt;&gt;"!!!"),"NEW","")))</f>
        <v> </v>
      </c>
      <c r="G4251" s="23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4" t="str">
        <f>IF(J4251&lt;&gt;1,"",IF(I4251="SBJ","CB","?"))</f>
        <v> </v>
      </c>
      <c r="I4251" s="25" t="str">
        <f>IF(OR(E4251="",E4251="!!!",F4251="NEW"),"",INDEX(B4250:B$2,-1+SUMPRODUCT(MAX(ROW(E4250:E$2)*(E4251=E4250:E$2)))))</f>
        <v> </v>
      </c>
      <c r="J4251" s="25" t="str">
        <f>IF(OR(E4251="",E4251="!!!",F4251="NEW"),"",COUNTBLANK(OFFSET(A$1,,,SUMPRODUCT(MAX(ROW(E$2:E4251)*(E4251=E$2:E4251)))))-COUNTBLANK(OFFSET(A$1,,,SUMPRODUCT(MAX(ROW(E$1:E4250)*(E2=E$1:E4250))))))</f>
        <v> </v>
      </c>
      <c r="K4251" s="25" t="str">
        <f>IF(OR(E4251="",E4251="!!!",F4251="NEW"),"",INDEX(J$1:J4250,SUMPRODUCT(MAX(ROW(E$1:E4250)*(E4251=E$1:E4250)))))</f>
        <v> </v>
      </c>
      <c r="L4251" s="26"/>
    </row>
    <row r="4252" spans="1:12">
      <c r="A4252" s="20" t="s">
        <v>2777</v>
      </c>
      <c r="E4252" s="21">
        <f>IF(D4252="?OLD","!!!","")</f>
        <v/>
      </c>
      <c r="F4252" s="22" t="str">
        <f>IF(OR(E4252="",E4252="!!!"),"",IF(NOT(ISNA(VLOOKUP(E4252,E$1:E4251,1,FALSE()))),"OLD",IF(AND(E4252&lt;&gt;"",E4252&lt;&gt;"!!!"),"NEW","")))</f>
        <v> </v>
      </c>
      <c r="G4252" s="23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4" t="str">
        <f>IF(J4252&lt;&gt;1,"",IF(I4252="SBJ","CB","?"))</f>
        <v> </v>
      </c>
      <c r="I4252" s="25" t="str">
        <f>IF(OR(E4252="",E4252="!!!",F4252="NEW"),"",INDEX(B4251:B$2,-1+SUMPRODUCT(MAX(ROW(E4251:E$2)*(E4252=E4251:E$2)))))</f>
        <v> </v>
      </c>
      <c r="J4252" s="25" t="str">
        <f>IF(OR(E4252="",E4252="!!!",F4252="NEW"),"",COUNTBLANK(OFFSET(A$1,,,SUMPRODUCT(MAX(ROW(E$2:E4252)*(E4252=E$2:E4252)))))-COUNTBLANK(OFFSET(A$1,,,SUMPRODUCT(MAX(ROW(E$1:E4251)*(E2=E$1:E4251))))))</f>
        <v> </v>
      </c>
      <c r="K4252" s="25" t="str">
        <f>IF(OR(E4252="",E4252="!!!",F4252="NEW"),"",INDEX(J$1:J4251,SUMPRODUCT(MAX(ROW(E$1:E4251)*(E4252=E$1:E4251)))))</f>
        <v> </v>
      </c>
      <c r="L4252" s="26"/>
    </row>
    <row r="4253" spans="1:12">
      <c r="A4253" s="20" t="s">
        <v>1241</v>
      </c>
      <c r="E4253" s="21">
        <f>IF(D4253="?OLD","!!!","")</f>
        <v/>
      </c>
      <c r="F4253" s="22" t="str">
        <f>IF(OR(E4253="",E4253="!!!"),"",IF(NOT(ISNA(VLOOKUP(E4253,E$1:E4252,1,FALSE()))),"OLD",IF(AND(E4253&lt;&gt;"",E4253&lt;&gt;"!!!"),"NEW","")))</f>
        <v> </v>
      </c>
      <c r="G4253" s="23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4" t="str">
        <f>IF(J4253&lt;&gt;1,"",IF(I4253="SBJ","CB","?"))</f>
        <v> </v>
      </c>
      <c r="I4253" s="25" t="str">
        <f>IF(OR(E4253="",E4253="!!!",F4253="NEW"),"",INDEX(B4252:B$2,-1+SUMPRODUCT(MAX(ROW(E4252:E$2)*(E4253=E4252:E$2)))))</f>
        <v> </v>
      </c>
      <c r="J4253" s="25" t="str">
        <f>IF(OR(E4253="",E4253="!!!",F4253="NEW"),"",COUNTBLANK(OFFSET(A$1,,,SUMPRODUCT(MAX(ROW(E$2:E4253)*(E4253=E$2:E4253)))))-COUNTBLANK(OFFSET(A$1,,,SUMPRODUCT(MAX(ROW(E$1:E4252)*(E2=E$1:E4252))))))</f>
        <v> </v>
      </c>
      <c r="K4253" s="25" t="str">
        <f>IF(OR(E4253="",E4253="!!!",F4253="NEW"),"",INDEX(J$1:J4252,SUMPRODUCT(MAX(ROW(E$1:E4252)*(E4253=E$1:E4252)))))</f>
        <v> </v>
      </c>
      <c r="L4253" s="26"/>
    </row>
    <row r="4254" spans="1:12">
      <c r="A4254" s="20" t="s">
        <v>2778</v>
      </c>
      <c r="E4254" s="21">
        <f>IF(D4254="?OLD","!!!","")</f>
        <v/>
      </c>
      <c r="F4254" s="22" t="str">
        <f>IF(OR(E4254="",E4254="!!!"),"",IF(NOT(ISNA(VLOOKUP(E4254,E$1:E4253,1,FALSE()))),"OLD",IF(AND(E4254&lt;&gt;"",E4254&lt;&gt;"!!!"),"NEW","")))</f>
        <v> </v>
      </c>
      <c r="G4254" s="23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4" t="str">
        <f>IF(J4254&lt;&gt;1,"",IF(I4254="SBJ","CB","?"))</f>
        <v> </v>
      </c>
      <c r="I4254" s="25" t="str">
        <f>IF(OR(E4254="",E4254="!!!",F4254="NEW"),"",INDEX(B4253:B$2,-1+SUMPRODUCT(MAX(ROW(E4253:E$2)*(E4254=E4253:E$2)))))</f>
        <v> </v>
      </c>
      <c r="J4254" s="25" t="str">
        <f>IF(OR(E4254="",E4254="!!!",F4254="NEW"),"",COUNTBLANK(OFFSET(A$1,,,SUMPRODUCT(MAX(ROW(E$2:E4254)*(E4254=E$2:E4254)))))-COUNTBLANK(OFFSET(A$1,,,SUMPRODUCT(MAX(ROW(E$1:E4253)*(E2=E$1:E4253))))))</f>
        <v> </v>
      </c>
      <c r="K4254" s="25" t="str">
        <f>IF(OR(E4254="",E4254="!!!",F4254="NEW"),"",INDEX(J$1:J4253,SUMPRODUCT(MAX(ROW(E$1:E4253)*(E4254=E$1:E4253)))))</f>
        <v> </v>
      </c>
      <c r="L4254" s="26"/>
    </row>
    <row r="4255" spans="1:12">
      <c r="A4255" s="20" t="s">
        <v>1099</v>
      </c>
      <c r="E4255" s="21">
        <f>IF(D4255="?OLD","!!!","")</f>
        <v/>
      </c>
      <c r="F4255" s="22" t="str">
        <f>IF(OR(E4255="",E4255="!!!"),"",IF(NOT(ISNA(VLOOKUP(E4255,E$1:E4254,1,FALSE()))),"OLD",IF(AND(E4255&lt;&gt;"",E4255&lt;&gt;"!!!"),"NEW","")))</f>
        <v> </v>
      </c>
      <c r="G4255" s="23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4" t="str">
        <f>IF(J4255&lt;&gt;1,"",IF(I4255="SBJ","CB","?"))</f>
        <v> </v>
      </c>
      <c r="I4255" s="25" t="str">
        <f>IF(OR(E4255="",E4255="!!!",F4255="NEW"),"",INDEX(B4254:B$2,-1+SUMPRODUCT(MAX(ROW(E4254:E$2)*(E4255=E4254:E$2)))))</f>
        <v> </v>
      </c>
      <c r="J4255" s="25" t="str">
        <f>IF(OR(E4255="",E4255="!!!",F4255="NEW"),"",COUNTBLANK(OFFSET(A$1,,,SUMPRODUCT(MAX(ROW(E$2:E4255)*(E4255=E$2:E4255)))))-COUNTBLANK(OFFSET(A$1,,,SUMPRODUCT(MAX(ROW(E$1:E4254)*(E2=E$1:E4254))))))</f>
        <v> </v>
      </c>
      <c r="K4255" s="25" t="str">
        <f>IF(OR(E4255="",E4255="!!!",F4255="NEW"),"",INDEX(J$1:J4254,SUMPRODUCT(MAX(ROW(E$1:E4254)*(E4255=E$1:E4254)))))</f>
        <v> </v>
      </c>
      <c r="L4255" s="26"/>
    </row>
    <row r="4256" spans="1:12">
      <c r="A4256" s="20" t="s">
        <v>2779</v>
      </c>
      <c r="E4256" s="21">
        <f>IF(D4256="?OLD","!!!","")</f>
        <v/>
      </c>
      <c r="F4256" s="22" t="str">
        <f>IF(OR(E4256="",E4256="!!!"),"",IF(NOT(ISNA(VLOOKUP(E4256,E$1:E4255,1,FALSE()))),"OLD",IF(AND(E4256&lt;&gt;"",E4256&lt;&gt;"!!!"),"NEW","")))</f>
        <v> </v>
      </c>
      <c r="G4256" s="23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4" t="str">
        <f>IF(J4256&lt;&gt;1,"",IF(I4256="SBJ","CB","?"))</f>
        <v> </v>
      </c>
      <c r="I4256" s="25" t="str">
        <f>IF(OR(E4256="",E4256="!!!",F4256="NEW"),"",INDEX(B4255:B$2,-1+SUMPRODUCT(MAX(ROW(E4255:E$2)*(E4256=E4255:E$2)))))</f>
        <v> </v>
      </c>
      <c r="J4256" s="25" t="str">
        <f>IF(OR(E4256="",E4256="!!!",F4256="NEW"),"",COUNTBLANK(OFFSET(A$1,,,SUMPRODUCT(MAX(ROW(E$2:E4256)*(E4256=E$2:E4256)))))-COUNTBLANK(OFFSET(A$1,,,SUMPRODUCT(MAX(ROW(E$1:E4255)*(E2=E$1:E4255))))))</f>
        <v> </v>
      </c>
      <c r="K4256" s="25" t="str">
        <f>IF(OR(E4256="",E4256="!!!",F4256="NEW"),"",INDEX(J$1:J4255,SUMPRODUCT(MAX(ROW(E$1:E4255)*(E4256=E$1:E4255)))))</f>
        <v> </v>
      </c>
      <c r="L4256" s="26"/>
    </row>
    <row r="4257" spans="1:12">
      <c r="A4257" s="20" t="s">
        <v>2780</v>
      </c>
      <c r="E4257" s="21">
        <f>IF(D4257="?OLD","!!!","")</f>
        <v/>
      </c>
      <c r="F4257" s="22" t="str">
        <f>IF(OR(E4257="",E4257="!!!"),"",IF(NOT(ISNA(VLOOKUP(E4257,E$1:E4256,1,FALSE()))),"OLD",IF(AND(E4257&lt;&gt;"",E4257&lt;&gt;"!!!"),"NEW","")))</f>
        <v> </v>
      </c>
      <c r="G4257" s="23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4" t="str">
        <f>IF(J4257&lt;&gt;1,"",IF(I4257="SBJ","CB","?"))</f>
        <v> </v>
      </c>
      <c r="I4257" s="25" t="str">
        <f>IF(OR(E4257="",E4257="!!!",F4257="NEW"),"",INDEX(B4256:B$2,-1+SUMPRODUCT(MAX(ROW(E4256:E$2)*(E4257=E4256:E$2)))))</f>
        <v> </v>
      </c>
      <c r="J4257" s="25" t="str">
        <f>IF(OR(E4257="",E4257="!!!",F4257="NEW"),"",COUNTBLANK(OFFSET(A$1,,,SUMPRODUCT(MAX(ROW(E$2:E4257)*(E4257=E$2:E4257)))))-COUNTBLANK(OFFSET(A$1,,,SUMPRODUCT(MAX(ROW(E$1:E4256)*(E2=E$1:E4256))))))</f>
        <v> </v>
      </c>
      <c r="K4257" s="25" t="str">
        <f>IF(OR(E4257="",E4257="!!!",F4257="NEW"),"",INDEX(J$1:J4256,SUMPRODUCT(MAX(ROW(E$1:E4256)*(E4257=E$1:E4256)))))</f>
        <v> </v>
      </c>
      <c r="L4257" s="26"/>
    </row>
    <row r="4258" spans="1:12">
      <c r="A4258" s="20" t="s">
        <v>1307</v>
      </c>
      <c r="E4258" s="21">
        <f>IF(D4258="?OLD","!!!","")</f>
        <v/>
      </c>
      <c r="F4258" s="22" t="str">
        <f>IF(OR(E4258="",E4258="!!!"),"",IF(NOT(ISNA(VLOOKUP(E4258,E$1:E4257,1,FALSE()))),"OLD",IF(AND(E4258&lt;&gt;"",E4258&lt;&gt;"!!!"),"NEW","")))</f>
        <v> </v>
      </c>
      <c r="G4258" s="23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4" t="str">
        <f>IF(J4258&lt;&gt;1,"",IF(I4258="SBJ","CB","?"))</f>
        <v> </v>
      </c>
      <c r="I4258" s="25" t="str">
        <f>IF(OR(E4258="",E4258="!!!",F4258="NEW"),"",INDEX(B4257:B$2,-1+SUMPRODUCT(MAX(ROW(E4257:E$2)*(E4258=E4257:E$2)))))</f>
        <v> </v>
      </c>
      <c r="J4258" s="25" t="str">
        <f>IF(OR(E4258="",E4258="!!!",F4258="NEW"),"",COUNTBLANK(OFFSET(A$1,,,SUMPRODUCT(MAX(ROW(E$2:E4258)*(E4258=E$2:E4258)))))-COUNTBLANK(OFFSET(A$1,,,SUMPRODUCT(MAX(ROW(E$1:E4257)*(E2=E$1:E4257))))))</f>
        <v> </v>
      </c>
      <c r="K4258" s="25" t="str">
        <f>IF(OR(E4258="",E4258="!!!",F4258="NEW"),"",INDEX(J$1:J4257,SUMPRODUCT(MAX(ROW(E$1:E4257)*(E4258=E$1:E4257)))))</f>
        <v> </v>
      </c>
      <c r="L4258" s="26"/>
    </row>
    <row r="4259" spans="1:12">
      <c r="A4259" s="20"/>
    </row>
    <row r="4260" spans="1:12">
      <c r="A4260" s="20" t="s">
        <v>2781</v>
      </c>
    </row>
    <row r="4261" spans="1:12">
      <c r="A4261" s="20" t="s">
        <v>752</v>
      </c>
      <c r="B4261" s="27" t="s">
        <v>1080</v>
      </c>
      <c r="C4261" s="27" t="s">
        <v>1075</v>
      </c>
      <c r="D4261" s="27" t="s">
        <v>1026</v>
      </c>
      <c r="E4261" s="21">
        <f>IF(D4261="?OLD","!!!","")</f>
        <v/>
      </c>
      <c r="F4261" s="22" t="str">
        <f>IF(OR(E4261="",E4261="!!!"),"",IF(NOT(ISNA(VLOOKUP(E4261,E$1:E4260,1,FALSE()))),"OLD",IF(AND(E4261&lt;&gt;"",E4261&lt;&gt;"!!!"),"NEW","")))</f>
        <v> </v>
      </c>
      <c r="G4261" s="23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4" t="str">
        <f>IF(J4261&lt;&gt;1,"",IF(I4261="SBJ","CB","?"))</f>
        <v> </v>
      </c>
      <c r="I4261" s="25" t="str">
        <f>IF(OR(E4261="",E4261="!!!",F4261="NEW"),"",INDEX(B4260:B$2,-1+SUMPRODUCT(MAX(ROW(E4260:E$2)*(E4261=E4260:E$2)))))</f>
        <v> </v>
      </c>
      <c r="J4261" s="25" t="str">
        <f>IF(OR(E4261="",E4261="!!!",F4261="NEW"),"",COUNTBLANK(OFFSET(A$1,,,SUMPRODUCT(MAX(ROW(E$2:E4261)*(E4261=E$2:E4261)))))-COUNTBLANK(OFFSET(A$1,,,SUMPRODUCT(MAX(ROW(E$1:E4260)*(E2=E$1:E4260))))))</f>
        <v> </v>
      </c>
      <c r="K4261" s="25" t="str">
        <f>IF(OR(E4261="",E4261="!!!",F4261="NEW"),"",INDEX(J$1:J4260,SUMPRODUCT(MAX(ROW(E$1:E4260)*(E4261=E$1:E4260)))))</f>
        <v> </v>
      </c>
      <c r="L4261" s="26"/>
    </row>
    <row r="4262" spans="1:12">
      <c r="A4262" s="20" t="s">
        <v>2548</v>
      </c>
      <c r="B4262" s="27" t="s">
        <v>1080</v>
      </c>
      <c r="C4262" s="27" t="s">
        <v>1075</v>
      </c>
      <c r="D4262" s="27" t="s">
        <v>1026</v>
      </c>
      <c r="E4262" s="21">
        <f>IF(D4262="?OLD","!!!","")</f>
        <v/>
      </c>
      <c r="F4262" s="22" t="str">
        <f>IF(OR(E4262="",E4262="!!!"),"",IF(NOT(ISNA(VLOOKUP(E4262,E$1:E4261,1,FALSE()))),"OLD",IF(AND(E4262&lt;&gt;"",E4262&lt;&gt;"!!!"),"NEW","")))</f>
        <v> </v>
      </c>
      <c r="G4262" s="23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4" t="str">
        <f>IF(J4262&lt;&gt;1,"",IF(I4262="SBJ","CB","?"))</f>
        <v> </v>
      </c>
      <c r="I4262" s="25" t="str">
        <f>IF(OR(E4262="",E4262="!!!",F4262="NEW"),"",INDEX(B4261:B$2,-1+SUMPRODUCT(MAX(ROW(E4261:E$2)*(E4262=E4261:E$2)))))</f>
        <v> </v>
      </c>
      <c r="J4262" s="25" t="str">
        <f>IF(OR(E4262="",E4262="!!!",F4262="NEW"),"",COUNTBLANK(OFFSET(A$1,,,SUMPRODUCT(MAX(ROW(E$2:E4262)*(E4262=E$2:E4262)))))-COUNTBLANK(OFFSET(A$1,,,SUMPRODUCT(MAX(ROW(E$1:E4261)*(E2=E$1:E4261))))))</f>
        <v> </v>
      </c>
      <c r="K4262" s="25" t="str">
        <f>IF(OR(E4262="",E4262="!!!",F4262="NEW"),"",INDEX(J$1:J4261,SUMPRODUCT(MAX(ROW(E$1:E4261)*(E4262=E$1:E4261)))))</f>
        <v> </v>
      </c>
      <c r="L4262" s="26"/>
    </row>
    <row r="4263" spans="1:12">
      <c r="A4263" s="20" t="s">
        <v>1222</v>
      </c>
      <c r="E4263" s="21">
        <f>IF(D4263="?OLD","!!!","")</f>
        <v/>
      </c>
      <c r="F4263" s="22" t="str">
        <f>IF(OR(E4263="",E4263="!!!"),"",IF(NOT(ISNA(VLOOKUP(E4263,E$1:E4262,1,FALSE()))),"OLD",IF(AND(E4263&lt;&gt;"",E4263&lt;&gt;"!!!"),"NEW","")))</f>
        <v> </v>
      </c>
      <c r="G4263" s="23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4" t="str">
        <f>IF(J4263&lt;&gt;1,"",IF(I4263="SBJ","CB","?"))</f>
        <v> </v>
      </c>
      <c r="I4263" s="25" t="str">
        <f>IF(OR(E4263="",E4263="!!!",F4263="NEW"),"",INDEX(B4262:B$2,-1+SUMPRODUCT(MAX(ROW(E4262:E$2)*(E4263=E4262:E$2)))))</f>
        <v> </v>
      </c>
      <c r="J4263" s="25" t="str">
        <f>IF(OR(E4263="",E4263="!!!",F4263="NEW"),"",COUNTBLANK(OFFSET(A$1,,,SUMPRODUCT(MAX(ROW(E$2:E4263)*(E4263=E$2:E4263)))))-COUNTBLANK(OFFSET(A$1,,,SUMPRODUCT(MAX(ROW(E$1:E4262)*(E2=E$1:E4262))))))</f>
        <v> </v>
      </c>
      <c r="K4263" s="25" t="str">
        <f>IF(OR(E4263="",E4263="!!!",F4263="NEW"),"",INDEX(J$1:J4262,SUMPRODUCT(MAX(ROW(E$1:E4262)*(E4263=E$1:E4262)))))</f>
        <v> </v>
      </c>
      <c r="L4263" s="26"/>
    </row>
    <row r="4264" spans="1:12">
      <c r="A4264" s="20" t="s">
        <v>2006</v>
      </c>
      <c r="E4264" s="21">
        <f>IF(D4264="?OLD","!!!","")</f>
        <v/>
      </c>
      <c r="F4264" s="22" t="str">
        <f>IF(OR(E4264="",E4264="!!!"),"",IF(NOT(ISNA(VLOOKUP(E4264,E$1:E4263,1,FALSE()))),"OLD",IF(AND(E4264&lt;&gt;"",E4264&lt;&gt;"!!!"),"NEW","")))</f>
        <v> </v>
      </c>
      <c r="G4264" s="23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4" t="str">
        <f>IF(J4264&lt;&gt;1,"",IF(I4264="SBJ","CB","?"))</f>
        <v> </v>
      </c>
      <c r="I4264" s="25" t="str">
        <f>IF(OR(E4264="",E4264="!!!",F4264="NEW"),"",INDEX(B4263:B$2,-1+SUMPRODUCT(MAX(ROW(E4263:E$2)*(E4264=E4263:E$2)))))</f>
        <v> </v>
      </c>
      <c r="J4264" s="25" t="str">
        <f>IF(OR(E4264="",E4264="!!!",F4264="NEW"),"",COUNTBLANK(OFFSET(A$1,,,SUMPRODUCT(MAX(ROW(E$2:E4264)*(E4264=E$2:E4264)))))-COUNTBLANK(OFFSET(A$1,,,SUMPRODUCT(MAX(ROW(E$1:E4263)*(E2=E$1:E4263))))))</f>
        <v> </v>
      </c>
      <c r="K4264" s="25" t="str">
        <f>IF(OR(E4264="",E4264="!!!",F4264="NEW"),"",INDEX(J$1:J4263,SUMPRODUCT(MAX(ROW(E$1:E4263)*(E4264=E$1:E4263)))))</f>
        <v> </v>
      </c>
      <c r="L4264" s="26"/>
    </row>
    <row r="4265" spans="1:12">
      <c r="A4265" s="20" t="s">
        <v>1205</v>
      </c>
      <c r="B4265" s="27" t="s">
        <v>1082</v>
      </c>
      <c r="C4265" s="27" t="s">
        <v>1036</v>
      </c>
      <c r="E4265" s="21">
        <f>IF(D4265="?OLD","!!!","")</f>
        <v/>
      </c>
      <c r="F4265" s="22" t="str">
        <f>IF(OR(E4265="",E4265="!!!"),"",IF(NOT(ISNA(VLOOKUP(E4265,E$1:E4264,1,FALSE()))),"OLD",IF(AND(E4265&lt;&gt;"",E4265&lt;&gt;"!!!"),"NEW","")))</f>
        <v> </v>
      </c>
      <c r="G4265" s="23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4" t="str">
        <f>IF(J4265&lt;&gt;1,"",IF(I4265="SBJ","CB","?"))</f>
        <v> </v>
      </c>
      <c r="I4265" s="25" t="str">
        <f>IF(OR(E4265="",E4265="!!!",F4265="NEW"),"",INDEX(B4264:B$2,-1+SUMPRODUCT(MAX(ROW(E4264:E$2)*(E4265=E4264:E$2)))))</f>
        <v> </v>
      </c>
      <c r="J4265" s="25" t="str">
        <f>IF(OR(E4265="",E4265="!!!",F4265="NEW"),"",COUNTBLANK(OFFSET(A$1,,,SUMPRODUCT(MAX(ROW(E$2:E4265)*(E4265=E$2:E4265)))))-COUNTBLANK(OFFSET(A$1,,,SUMPRODUCT(MAX(ROW(E$1:E4264)*(E2=E$1:E4264))))))</f>
        <v> </v>
      </c>
      <c r="K4265" s="25" t="str">
        <f>IF(OR(E4265="",E4265="!!!",F4265="NEW"),"",INDEX(J$1:J4264,SUMPRODUCT(MAX(ROW(E$1:E4264)*(E4265=E$1:E4264)))))</f>
        <v> </v>
      </c>
      <c r="L4265" s="26"/>
    </row>
    <row r="4266" spans="1:12">
      <c r="A4266" s="20" t="s">
        <v>2782</v>
      </c>
      <c r="E4266" s="21">
        <f>IF(D4266="?OLD","!!!","")</f>
        <v/>
      </c>
      <c r="F4266" s="22" t="str">
        <f>IF(OR(E4266="",E4266="!!!"),"",IF(NOT(ISNA(VLOOKUP(E4266,E$1:E4265,1,FALSE()))),"OLD",IF(AND(E4266&lt;&gt;"",E4266&lt;&gt;"!!!"),"NEW","")))</f>
        <v> </v>
      </c>
      <c r="G4266" s="23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4" t="str">
        <f>IF(J4266&lt;&gt;1,"",IF(I4266="SBJ","CB","?"))</f>
        <v> </v>
      </c>
      <c r="I4266" s="25" t="str">
        <f>IF(OR(E4266="",E4266="!!!",F4266="NEW"),"",INDEX(B4265:B$2,-1+SUMPRODUCT(MAX(ROW(E4265:E$2)*(E4266=E4265:E$2)))))</f>
        <v> </v>
      </c>
      <c r="J4266" s="25" t="str">
        <f>IF(OR(E4266="",E4266="!!!",F4266="NEW"),"",COUNTBLANK(OFFSET(A$1,,,SUMPRODUCT(MAX(ROW(E$2:E4266)*(E4266=E$2:E4266)))))-COUNTBLANK(OFFSET(A$1,,,SUMPRODUCT(MAX(ROW(E$1:E4265)*(E2=E$1:E4265))))))</f>
        <v> </v>
      </c>
      <c r="K4266" s="25" t="str">
        <f>IF(OR(E4266="",E4266="!!!",F4266="NEW"),"",INDEX(J$1:J4265,SUMPRODUCT(MAX(ROW(E$1:E4265)*(E4266=E$1:E4265)))))</f>
        <v> </v>
      </c>
      <c r="L4266" s="26"/>
    </row>
    <row r="4267" spans="1:12">
      <c r="A4267" s="20" t="s">
        <v>21</v>
      </c>
      <c r="E4267" s="21">
        <f>IF(D4267="?OLD","!!!","")</f>
        <v/>
      </c>
      <c r="F4267" s="22" t="str">
        <f>IF(OR(E4267="",E4267="!!!"),"",IF(NOT(ISNA(VLOOKUP(E4267,E$1:E4266,1,FALSE()))),"OLD",IF(AND(E4267&lt;&gt;"",E4267&lt;&gt;"!!!"),"NEW","")))</f>
        <v> </v>
      </c>
      <c r="G4267" s="23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4" t="str">
        <f>IF(J4267&lt;&gt;1,"",IF(I4267="SBJ","CB","?"))</f>
        <v> </v>
      </c>
      <c r="I4267" s="25" t="str">
        <f>IF(OR(E4267="",E4267="!!!",F4267="NEW"),"",INDEX(B4266:B$2,-1+SUMPRODUCT(MAX(ROW(E4266:E$2)*(E4267=E4266:E$2)))))</f>
        <v> </v>
      </c>
      <c r="J4267" s="25" t="str">
        <f>IF(OR(E4267="",E4267="!!!",F4267="NEW"),"",COUNTBLANK(OFFSET(A$1,,,SUMPRODUCT(MAX(ROW(E$2:E4267)*(E4267=E$2:E4267)))))-COUNTBLANK(OFFSET(A$1,,,SUMPRODUCT(MAX(ROW(E$1:E4266)*(E2=E$1:E4266))))))</f>
        <v> </v>
      </c>
      <c r="K4267" s="25" t="str">
        <f>IF(OR(E4267="",E4267="!!!",F4267="NEW"),"",INDEX(J$1:J4266,SUMPRODUCT(MAX(ROW(E$1:E4266)*(E4267=E$1:E4266)))))</f>
        <v> </v>
      </c>
      <c r="L4267" s="26"/>
    </row>
    <row r="4268" spans="1:12">
      <c r="A4268" s="20" t="s">
        <v>1041</v>
      </c>
      <c r="E4268" s="21">
        <f>IF(D4268="?OLD","!!!","")</f>
        <v/>
      </c>
      <c r="F4268" s="22" t="str">
        <f>IF(OR(E4268="",E4268="!!!"),"",IF(NOT(ISNA(VLOOKUP(E4268,E$1:E4267,1,FALSE()))),"OLD",IF(AND(E4268&lt;&gt;"",E4268&lt;&gt;"!!!"),"NEW","")))</f>
        <v> </v>
      </c>
      <c r="G4268" s="23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4" t="str">
        <f>IF(J4268&lt;&gt;1,"",IF(I4268="SBJ","CB","?"))</f>
        <v> </v>
      </c>
      <c r="I4268" s="25" t="str">
        <f>IF(OR(E4268="",E4268="!!!",F4268="NEW"),"",INDEX(B4267:B$2,-1+SUMPRODUCT(MAX(ROW(E4267:E$2)*(E4268=E4267:E$2)))))</f>
        <v> </v>
      </c>
      <c r="J4268" s="25" t="str">
        <f>IF(OR(E4268="",E4268="!!!",F4268="NEW"),"",COUNTBLANK(OFFSET(A$1,,,SUMPRODUCT(MAX(ROW(E$2:E4268)*(E4268=E$2:E4268)))))-COUNTBLANK(OFFSET(A$1,,,SUMPRODUCT(MAX(ROW(E$1:E4267)*(E2=E$1:E4267))))))</f>
        <v> </v>
      </c>
      <c r="K4268" s="25" t="str">
        <f>IF(OR(E4268="",E4268="!!!",F4268="NEW"),"",INDEX(J$1:J4267,SUMPRODUCT(MAX(ROW(E$1:E4267)*(E4268=E$1:E4267)))))</f>
        <v> </v>
      </c>
      <c r="L4268" s="26"/>
    </row>
    <row r="4269" spans="1:12">
      <c r="A4269" s="20" t="s">
        <v>1431</v>
      </c>
      <c r="E4269" s="21">
        <f>IF(D4269="?OLD","!!!","")</f>
        <v/>
      </c>
      <c r="F4269" s="22" t="str">
        <f>IF(OR(E4269="",E4269="!!!"),"",IF(NOT(ISNA(VLOOKUP(E4269,E$1:E4268,1,FALSE()))),"OLD",IF(AND(E4269&lt;&gt;"",E4269&lt;&gt;"!!!"),"NEW","")))</f>
        <v> </v>
      </c>
      <c r="G4269" s="23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4" t="str">
        <f>IF(J4269&lt;&gt;1,"",IF(I4269="SBJ","CB","?"))</f>
        <v> </v>
      </c>
      <c r="I4269" s="25" t="str">
        <f>IF(OR(E4269="",E4269="!!!",F4269="NEW"),"",INDEX(B4268:B$2,-1+SUMPRODUCT(MAX(ROW(E4268:E$2)*(E4269=E4268:E$2)))))</f>
        <v> </v>
      </c>
      <c r="J4269" s="25" t="str">
        <f>IF(OR(E4269="",E4269="!!!",F4269="NEW"),"",COUNTBLANK(OFFSET(A$1,,,SUMPRODUCT(MAX(ROW(E$2:E4269)*(E4269=E$2:E4269)))))-COUNTBLANK(OFFSET(A$1,,,SUMPRODUCT(MAX(ROW(E$1:E4268)*(E2=E$1:E4268))))))</f>
        <v> </v>
      </c>
      <c r="K4269" s="25" t="str">
        <f>IF(OR(E4269="",E4269="!!!",F4269="NEW"),"",INDEX(J$1:J4268,SUMPRODUCT(MAX(ROW(E$1:E4268)*(E4269=E$1:E4268)))))</f>
        <v> </v>
      </c>
      <c r="L4269" s="26"/>
    </row>
    <row r="4270" spans="1:12">
      <c r="A4270" s="20" t="s">
        <v>1147</v>
      </c>
      <c r="E4270" s="21">
        <f>IF(D4270="?OLD","!!!","")</f>
        <v/>
      </c>
      <c r="F4270" s="22" t="str">
        <f>IF(OR(E4270="",E4270="!!!"),"",IF(NOT(ISNA(VLOOKUP(E4270,E$1:E4269,1,FALSE()))),"OLD",IF(AND(E4270&lt;&gt;"",E4270&lt;&gt;"!!!"),"NEW","")))</f>
        <v> </v>
      </c>
      <c r="G4270" s="23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4" t="str">
        <f>IF(J4270&lt;&gt;1,"",IF(I4270="SBJ","CB","?"))</f>
        <v> </v>
      </c>
      <c r="I4270" s="25" t="str">
        <f>IF(OR(E4270="",E4270="!!!",F4270="NEW"),"",INDEX(B4269:B$2,-1+SUMPRODUCT(MAX(ROW(E4269:E$2)*(E4270=E4269:E$2)))))</f>
        <v> </v>
      </c>
      <c r="J4270" s="25" t="str">
        <f>IF(OR(E4270="",E4270="!!!",F4270="NEW"),"",COUNTBLANK(OFFSET(A$1,,,SUMPRODUCT(MAX(ROW(E$2:E4270)*(E4270=E$2:E4270)))))-COUNTBLANK(OFFSET(A$1,,,SUMPRODUCT(MAX(ROW(E$1:E4269)*(E2=E$1:E4269))))))</f>
        <v> </v>
      </c>
      <c r="K4270" s="25" t="str">
        <f>IF(OR(E4270="",E4270="!!!",F4270="NEW"),"",INDEX(J$1:J4269,SUMPRODUCT(MAX(ROW(E$1:E4269)*(E4270=E$1:E4269)))))</f>
        <v> </v>
      </c>
      <c r="L4270" s="26"/>
    </row>
    <row r="4271" spans="1:12">
      <c r="A4271" s="20" t="s">
        <v>2552</v>
      </c>
      <c r="E4271" s="21">
        <f>IF(D4271="?OLD","!!!","")</f>
        <v/>
      </c>
      <c r="F4271" s="22" t="str">
        <f>IF(OR(E4271="",E4271="!!!"),"",IF(NOT(ISNA(VLOOKUP(E4271,E$1:E4270,1,FALSE()))),"OLD",IF(AND(E4271&lt;&gt;"",E4271&lt;&gt;"!!!"),"NEW","")))</f>
        <v> </v>
      </c>
      <c r="G4271" s="23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4" t="str">
        <f>IF(J4271&lt;&gt;1,"",IF(I4271="SBJ","CB","?"))</f>
        <v> </v>
      </c>
      <c r="I4271" s="25" t="str">
        <f>IF(OR(E4271="",E4271="!!!",F4271="NEW"),"",INDEX(B4270:B$2,-1+SUMPRODUCT(MAX(ROW(E4270:E$2)*(E4271=E4270:E$2)))))</f>
        <v> </v>
      </c>
      <c r="J4271" s="25" t="str">
        <f>IF(OR(E4271="",E4271="!!!",F4271="NEW"),"",COUNTBLANK(OFFSET(A$1,,,SUMPRODUCT(MAX(ROW(E$2:E4271)*(E4271=E$2:E4271)))))-COUNTBLANK(OFFSET(A$1,,,SUMPRODUCT(MAX(ROW(E$1:E4270)*(E2=E$1:E4270))))))</f>
        <v> </v>
      </c>
      <c r="K4271" s="25" t="str">
        <f>IF(OR(E4271="",E4271="!!!",F4271="NEW"),"",INDEX(J$1:J4270,SUMPRODUCT(MAX(ROW(E$1:E4270)*(E4271=E$1:E4270)))))</f>
        <v> </v>
      </c>
      <c r="L4271" s="26"/>
    </row>
    <row r="4272" spans="1:12">
      <c r="A4272" s="20" t="s">
        <v>2783</v>
      </c>
      <c r="E4272" s="21">
        <f>IF(D4272="?OLD","!!!","")</f>
        <v/>
      </c>
      <c r="F4272" s="22" t="str">
        <f>IF(OR(E4272="",E4272="!!!"),"",IF(NOT(ISNA(VLOOKUP(E4272,E$1:E4271,1,FALSE()))),"OLD",IF(AND(E4272&lt;&gt;"",E4272&lt;&gt;"!!!"),"NEW","")))</f>
        <v> </v>
      </c>
      <c r="G4272" s="23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4" t="str">
        <f>IF(J4272&lt;&gt;1,"",IF(I4272="SBJ","CB","?"))</f>
        <v> </v>
      </c>
      <c r="I4272" s="25" t="str">
        <f>IF(OR(E4272="",E4272="!!!",F4272="NEW"),"",INDEX(B4271:B$2,-1+SUMPRODUCT(MAX(ROW(E4271:E$2)*(E4272=E4271:E$2)))))</f>
        <v> </v>
      </c>
      <c r="J4272" s="25" t="str">
        <f>IF(OR(E4272="",E4272="!!!",F4272="NEW"),"",COUNTBLANK(OFFSET(A$1,,,SUMPRODUCT(MAX(ROW(E$2:E4272)*(E4272=E$2:E4272)))))-COUNTBLANK(OFFSET(A$1,,,SUMPRODUCT(MAX(ROW(E$1:E4271)*(E2=E$1:E4271))))))</f>
        <v> </v>
      </c>
      <c r="K4272" s="25" t="str">
        <f>IF(OR(E4272="",E4272="!!!",F4272="NEW"),"",INDEX(J$1:J4271,SUMPRODUCT(MAX(ROW(E$1:E4271)*(E4272=E$1:E4271)))))</f>
        <v> </v>
      </c>
      <c r="L4272" s="26"/>
    </row>
    <row r="4273" spans="1:12">
      <c r="A4273" s="20" t="s">
        <v>1041</v>
      </c>
      <c r="E4273" s="21">
        <f>IF(D4273="?OLD","!!!","")</f>
        <v/>
      </c>
      <c r="F4273" s="22" t="str">
        <f>IF(OR(E4273="",E4273="!!!"),"",IF(NOT(ISNA(VLOOKUP(E4273,E$1:E4272,1,FALSE()))),"OLD",IF(AND(E4273&lt;&gt;"",E4273&lt;&gt;"!!!"),"NEW","")))</f>
        <v> </v>
      </c>
      <c r="G4273" s="23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4" t="str">
        <f>IF(J4273&lt;&gt;1,"",IF(I4273="SBJ","CB","?"))</f>
        <v> </v>
      </c>
      <c r="I4273" s="25" t="str">
        <f>IF(OR(E4273="",E4273="!!!",F4273="NEW"),"",INDEX(B4272:B$2,-1+SUMPRODUCT(MAX(ROW(E4272:E$2)*(E4273=E4272:E$2)))))</f>
        <v> </v>
      </c>
      <c r="J4273" s="25" t="str">
        <f>IF(OR(E4273="",E4273="!!!",F4273="NEW"),"",COUNTBLANK(OFFSET(A$1,,,SUMPRODUCT(MAX(ROW(E$2:E4273)*(E4273=E$2:E4273)))))-COUNTBLANK(OFFSET(A$1,,,SUMPRODUCT(MAX(ROW(E$1:E4272)*(E2=E$1:E4272))))))</f>
        <v> </v>
      </c>
      <c r="K4273" s="25" t="str">
        <f>IF(OR(E4273="",E4273="!!!",F4273="NEW"),"",INDEX(J$1:J4272,SUMPRODUCT(MAX(ROW(E$1:E4272)*(E4273=E$1:E4272)))))</f>
        <v> </v>
      </c>
      <c r="L4273" s="26"/>
    </row>
    <row r="4274" spans="1:12">
      <c r="A4274" s="20" t="s">
        <v>1489</v>
      </c>
      <c r="E4274" s="21">
        <f>IF(D4274="?OLD","!!!","")</f>
        <v/>
      </c>
      <c r="F4274" s="22" t="str">
        <f>IF(OR(E4274="",E4274="!!!"),"",IF(NOT(ISNA(VLOOKUP(E4274,E$1:E4273,1,FALSE()))),"OLD",IF(AND(E4274&lt;&gt;"",E4274&lt;&gt;"!!!"),"NEW","")))</f>
        <v> </v>
      </c>
      <c r="G4274" s="23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4" t="str">
        <f>IF(J4274&lt;&gt;1,"",IF(I4274="SBJ","CB","?"))</f>
        <v> </v>
      </c>
      <c r="I4274" s="25" t="str">
        <f>IF(OR(E4274="",E4274="!!!",F4274="NEW"),"",INDEX(B4273:B$2,-1+SUMPRODUCT(MAX(ROW(E4273:E$2)*(E4274=E4273:E$2)))))</f>
        <v> </v>
      </c>
      <c r="J4274" s="25" t="str">
        <f>IF(OR(E4274="",E4274="!!!",F4274="NEW"),"",COUNTBLANK(OFFSET(A$1,,,SUMPRODUCT(MAX(ROW(E$2:E4274)*(E4274=E$2:E4274)))))-COUNTBLANK(OFFSET(A$1,,,SUMPRODUCT(MAX(ROW(E$1:E4273)*(E2=E$1:E4273))))))</f>
        <v> </v>
      </c>
      <c r="K4274" s="25" t="str">
        <f>IF(OR(E4274="",E4274="!!!",F4274="NEW"),"",INDEX(J$1:J4273,SUMPRODUCT(MAX(ROW(E$1:E4273)*(E4274=E$1:E4273)))))</f>
        <v> </v>
      </c>
      <c r="L4274" s="26"/>
    </row>
    <row r="4275" spans="1:12">
      <c r="A4275" s="20" t="s">
        <v>2784</v>
      </c>
      <c r="E4275" s="21">
        <f>IF(D4275="?OLD","!!!","")</f>
        <v/>
      </c>
      <c r="F4275" s="22" t="str">
        <f>IF(OR(E4275="",E4275="!!!"),"",IF(NOT(ISNA(VLOOKUP(E4275,E$1:E4274,1,FALSE()))),"OLD",IF(AND(E4275&lt;&gt;"",E4275&lt;&gt;"!!!"),"NEW","")))</f>
        <v> </v>
      </c>
      <c r="G4275" s="23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4" t="str">
        <f>IF(J4275&lt;&gt;1,"",IF(I4275="SBJ","CB","?"))</f>
        <v> </v>
      </c>
      <c r="I4275" s="25" t="str">
        <f>IF(OR(E4275="",E4275="!!!",F4275="NEW"),"",INDEX(B4274:B$2,-1+SUMPRODUCT(MAX(ROW(E4274:E$2)*(E4275=E4274:E$2)))))</f>
        <v> </v>
      </c>
      <c r="J4275" s="25" t="str">
        <f>IF(OR(E4275="",E4275="!!!",F4275="NEW"),"",COUNTBLANK(OFFSET(A$1,,,SUMPRODUCT(MAX(ROW(E$2:E4275)*(E4275=E$2:E4275)))))-COUNTBLANK(OFFSET(A$1,,,SUMPRODUCT(MAX(ROW(E$1:E4274)*(E2=E$1:E4274))))))</f>
        <v> </v>
      </c>
      <c r="K4275" s="25" t="str">
        <f>IF(OR(E4275="",E4275="!!!",F4275="NEW"),"",INDEX(J$1:J4274,SUMPRODUCT(MAX(ROW(E$1:E4274)*(E4275=E$1:E4274)))))</f>
        <v> </v>
      </c>
      <c r="L4275" s="26"/>
    </row>
    <row r="4276" spans="1:12">
      <c r="A4276" s="20" t="s">
        <v>2141</v>
      </c>
      <c r="E4276" s="21">
        <f>IF(D4276="?OLD","!!!","")</f>
        <v/>
      </c>
      <c r="F4276" s="22" t="str">
        <f>IF(OR(E4276="",E4276="!!!"),"",IF(NOT(ISNA(VLOOKUP(E4276,E$1:E4275,1,FALSE()))),"OLD",IF(AND(E4276&lt;&gt;"",E4276&lt;&gt;"!!!"),"NEW","")))</f>
        <v> </v>
      </c>
      <c r="G4276" s="23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4" t="str">
        <f>IF(J4276&lt;&gt;1,"",IF(I4276="SBJ","CB","?"))</f>
        <v> </v>
      </c>
      <c r="I4276" s="25" t="str">
        <f>IF(OR(E4276="",E4276="!!!",F4276="NEW"),"",INDEX(B4275:B$2,-1+SUMPRODUCT(MAX(ROW(E4275:E$2)*(E4276=E4275:E$2)))))</f>
        <v> </v>
      </c>
      <c r="J4276" s="25" t="str">
        <f>IF(OR(E4276="",E4276="!!!",F4276="NEW"),"",COUNTBLANK(OFFSET(A$1,,,SUMPRODUCT(MAX(ROW(E$2:E4276)*(E4276=E$2:E4276)))))-COUNTBLANK(OFFSET(A$1,,,SUMPRODUCT(MAX(ROW(E$1:E4275)*(E2=E$1:E4275))))))</f>
        <v> </v>
      </c>
      <c r="K4276" s="25" t="str">
        <f>IF(OR(E4276="",E4276="!!!",F4276="NEW"),"",INDEX(J$1:J4275,SUMPRODUCT(MAX(ROW(E$1:E4275)*(E4276=E$1:E4275)))))</f>
        <v> </v>
      </c>
      <c r="L4276" s="26"/>
    </row>
    <row r="4277" spans="1:12">
      <c r="A4277" s="20" t="s">
        <v>1099</v>
      </c>
      <c r="E4277" s="21">
        <f>IF(D4277="?OLD","!!!","")</f>
        <v/>
      </c>
      <c r="F4277" s="22" t="str">
        <f>IF(OR(E4277="",E4277="!!!"),"",IF(NOT(ISNA(VLOOKUP(E4277,E$1:E4276,1,FALSE()))),"OLD",IF(AND(E4277&lt;&gt;"",E4277&lt;&gt;"!!!"),"NEW","")))</f>
        <v> </v>
      </c>
      <c r="G4277" s="23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4" t="str">
        <f>IF(J4277&lt;&gt;1,"",IF(I4277="SBJ","CB","?"))</f>
        <v> </v>
      </c>
      <c r="I4277" s="25" t="str">
        <f>IF(OR(E4277="",E4277="!!!",F4277="NEW"),"",INDEX(B4276:B$2,-1+SUMPRODUCT(MAX(ROW(E4276:E$2)*(E4277=E4276:E$2)))))</f>
        <v> </v>
      </c>
      <c r="J4277" s="25" t="str">
        <f>IF(OR(E4277="",E4277="!!!",F4277="NEW"),"",COUNTBLANK(OFFSET(A$1,,,SUMPRODUCT(MAX(ROW(E$2:E4277)*(E4277=E$2:E4277)))))-COUNTBLANK(OFFSET(A$1,,,SUMPRODUCT(MAX(ROW(E$1:E4276)*(E2=E$1:E4276))))))</f>
        <v> </v>
      </c>
      <c r="K4277" s="25" t="str">
        <f>IF(OR(E4277="",E4277="!!!",F4277="NEW"),"",INDEX(J$1:J4276,SUMPRODUCT(MAX(ROW(E$1:E4276)*(E4277=E$1:E4276)))))</f>
        <v> </v>
      </c>
      <c r="L4277" s="26"/>
    </row>
    <row r="4278" spans="1:12">
      <c r="A4278" s="20" t="s">
        <v>2785</v>
      </c>
      <c r="E4278" s="21">
        <f>IF(D4278="?OLD","!!!","")</f>
        <v/>
      </c>
      <c r="F4278" s="22" t="str">
        <f>IF(OR(E4278="",E4278="!!!"),"",IF(NOT(ISNA(VLOOKUP(E4278,E$1:E4277,1,FALSE()))),"OLD",IF(AND(E4278&lt;&gt;"",E4278&lt;&gt;"!!!"),"NEW","")))</f>
        <v> </v>
      </c>
      <c r="G4278" s="23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4" t="str">
        <f>IF(J4278&lt;&gt;1,"",IF(I4278="SBJ","CB","?"))</f>
        <v> </v>
      </c>
      <c r="I4278" s="25" t="str">
        <f>IF(OR(E4278="",E4278="!!!",F4278="NEW"),"",INDEX(B4277:B$2,-1+SUMPRODUCT(MAX(ROW(E4277:E$2)*(E4278=E4277:E$2)))))</f>
        <v> </v>
      </c>
      <c r="J4278" s="25" t="str">
        <f>IF(OR(E4278="",E4278="!!!",F4278="NEW"),"",COUNTBLANK(OFFSET(A$1,,,SUMPRODUCT(MAX(ROW(E$2:E4278)*(E4278=E$2:E4278)))))-COUNTBLANK(OFFSET(A$1,,,SUMPRODUCT(MAX(ROW(E$1:E4277)*(E2=E$1:E4277))))))</f>
        <v> </v>
      </c>
      <c r="K4278" s="25" t="str">
        <f>IF(OR(E4278="",E4278="!!!",F4278="NEW"),"",INDEX(J$1:J4277,SUMPRODUCT(MAX(ROW(E$1:E4277)*(E4278=E$1:E4277)))))</f>
        <v> </v>
      </c>
      <c r="L4278" s="26"/>
    </row>
    <row r="4279" spans="1:12">
      <c r="A4279" s="20" t="s">
        <v>2786</v>
      </c>
      <c r="E4279" s="21">
        <f>IF(D4279="?OLD","!!!","")</f>
        <v/>
      </c>
      <c r="F4279" s="22" t="str">
        <f>IF(OR(E4279="",E4279="!!!"),"",IF(NOT(ISNA(VLOOKUP(E4279,E$1:E4278,1,FALSE()))),"OLD",IF(AND(E4279&lt;&gt;"",E4279&lt;&gt;"!!!"),"NEW","")))</f>
        <v> </v>
      </c>
      <c r="G4279" s="23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4" t="str">
        <f>IF(J4279&lt;&gt;1,"",IF(I4279="SBJ","CB","?"))</f>
        <v> </v>
      </c>
      <c r="I4279" s="25" t="str">
        <f>IF(OR(E4279="",E4279="!!!",F4279="NEW"),"",INDEX(B4278:B$2,-1+SUMPRODUCT(MAX(ROW(E4278:E$2)*(E4279=E4278:E$2)))))</f>
        <v> </v>
      </c>
      <c r="J4279" s="25" t="str">
        <f>IF(OR(E4279="",E4279="!!!",F4279="NEW"),"",COUNTBLANK(OFFSET(A$1,,,SUMPRODUCT(MAX(ROW(E$2:E4279)*(E4279=E$2:E4279)))))-COUNTBLANK(OFFSET(A$1,,,SUMPRODUCT(MAX(ROW(E$1:E4278)*(E2=E$1:E4278))))))</f>
        <v> </v>
      </c>
      <c r="K4279" s="25" t="str">
        <f>IF(OR(E4279="",E4279="!!!",F4279="NEW"),"",INDEX(J$1:J4278,SUMPRODUCT(MAX(ROW(E$1:E4278)*(E4279=E$1:E4278)))))</f>
        <v> </v>
      </c>
      <c r="L4279" s="26"/>
    </row>
    <row r="4280" spans="1:12">
      <c r="A4280" s="20" t="s">
        <v>2787</v>
      </c>
      <c r="E4280" s="21">
        <f>IF(D4280="?OLD","!!!","")</f>
        <v/>
      </c>
      <c r="F4280" s="22" t="str">
        <f>IF(OR(E4280="",E4280="!!!"),"",IF(NOT(ISNA(VLOOKUP(E4280,E$1:E4279,1,FALSE()))),"OLD",IF(AND(E4280&lt;&gt;"",E4280&lt;&gt;"!!!"),"NEW","")))</f>
        <v> </v>
      </c>
      <c r="G4280" s="23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4" t="str">
        <f>IF(J4280&lt;&gt;1,"",IF(I4280="SBJ","CB","?"))</f>
        <v> </v>
      </c>
      <c r="I4280" s="25" t="str">
        <f>IF(OR(E4280="",E4280="!!!",F4280="NEW"),"",INDEX(B4279:B$2,-1+SUMPRODUCT(MAX(ROW(E4279:E$2)*(E4280=E4279:E$2)))))</f>
        <v> </v>
      </c>
      <c r="J4280" s="25" t="str">
        <f>IF(OR(E4280="",E4280="!!!",F4280="NEW"),"",COUNTBLANK(OFFSET(A$1,,,SUMPRODUCT(MAX(ROW(E$2:E4280)*(E4280=E$2:E4280)))))-COUNTBLANK(OFFSET(A$1,,,SUMPRODUCT(MAX(ROW(E$1:E4279)*(E2=E$1:E4279))))))</f>
        <v> </v>
      </c>
      <c r="K4280" s="25" t="str">
        <f>IF(OR(E4280="",E4280="!!!",F4280="NEW"),"",INDEX(J$1:J4279,SUMPRODUCT(MAX(ROW(E$1:E4279)*(E4280=E$1:E4279)))))</f>
        <v> </v>
      </c>
      <c r="L4280" s="26"/>
    </row>
    <row r="4281" spans="1:12">
      <c r="A4281" s="20" t="s">
        <v>1032</v>
      </c>
      <c r="E4281" s="21">
        <f>IF(D4281="?OLD","!!!","")</f>
        <v/>
      </c>
      <c r="F4281" s="22" t="str">
        <f>IF(OR(E4281="",E4281="!!!"),"",IF(NOT(ISNA(VLOOKUP(E4281,E$1:E4280,1,FALSE()))),"OLD",IF(AND(E4281&lt;&gt;"",E4281&lt;&gt;"!!!"),"NEW","")))</f>
        <v> </v>
      </c>
      <c r="G4281" s="23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4" t="str">
        <f>IF(J4281&lt;&gt;1,"",IF(I4281="SBJ","CB","?"))</f>
        <v> </v>
      </c>
      <c r="I4281" s="25" t="str">
        <f>IF(OR(E4281="",E4281="!!!",F4281="NEW"),"",INDEX(B4280:B$2,-1+SUMPRODUCT(MAX(ROW(E4280:E$2)*(E4281=E4280:E$2)))))</f>
        <v> </v>
      </c>
      <c r="J4281" s="25" t="str">
        <f>IF(OR(E4281="",E4281="!!!",F4281="NEW"),"",COUNTBLANK(OFFSET(A$1,,,SUMPRODUCT(MAX(ROW(E$2:E4281)*(E4281=E$2:E4281)))))-COUNTBLANK(OFFSET(A$1,,,SUMPRODUCT(MAX(ROW(E$1:E4280)*(E2=E$1:E4280))))))</f>
        <v> </v>
      </c>
      <c r="K4281" s="25" t="str">
        <f>IF(OR(E4281="",E4281="!!!",F4281="NEW"),"",INDEX(J$1:J4280,SUMPRODUCT(MAX(ROW(E$1:E4280)*(E4281=E$1:E4280)))))</f>
        <v> </v>
      </c>
      <c r="L4281" s="26"/>
    </row>
    <row r="4282" spans="1:12">
      <c r="A4282" s="20"/>
    </row>
    <row r="4283" spans="1:12">
      <c r="A4283" s="20" t="s">
        <v>2788</v>
      </c>
    </row>
    <row r="4284" spans="1:12">
      <c r="A4284" s="20" t="s">
        <v>2789</v>
      </c>
      <c r="E4284" s="21">
        <f>IF(D4284="?OLD","!!!","")</f>
        <v/>
      </c>
      <c r="F4284" s="22" t="str">
        <f>IF(OR(E4284="",E4284="!!!"),"",IF(NOT(ISNA(VLOOKUP(E4284,E$1:E4283,1,FALSE()))),"OLD",IF(AND(E4284&lt;&gt;"",E4284&lt;&gt;"!!!"),"NEW","")))</f>
        <v> </v>
      </c>
      <c r="G4284" s="23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4" t="str">
        <f>IF(J4284&lt;&gt;1,"",IF(I4284="SBJ","CB","?"))</f>
        <v> </v>
      </c>
      <c r="I4284" s="25" t="str">
        <f>IF(OR(E4284="",E4284="!!!",F4284="NEW"),"",INDEX(B4283:B$2,-1+SUMPRODUCT(MAX(ROW(E4283:E$2)*(E4284=E4283:E$2)))))</f>
        <v> </v>
      </c>
      <c r="J4284" s="25" t="str">
        <f>IF(OR(E4284="",E4284="!!!",F4284="NEW"),"",COUNTBLANK(OFFSET(A$1,,,SUMPRODUCT(MAX(ROW(E$2:E4284)*(E4284=E$2:E4284)))))-COUNTBLANK(OFFSET(A$1,,,SUMPRODUCT(MAX(ROW(E$1:E4283)*(E2=E$1:E4283))))))</f>
        <v> </v>
      </c>
      <c r="K4284" s="25" t="str">
        <f>IF(OR(E4284="",E4284="!!!",F4284="NEW"),"",INDEX(J$1:J4283,SUMPRODUCT(MAX(ROW(E$1:E4283)*(E4284=E$1:E4283)))))</f>
        <v> </v>
      </c>
      <c r="L4284" s="26"/>
    </row>
    <row r="4285" spans="1:12">
      <c r="A4285" s="20" t="s">
        <v>881</v>
      </c>
      <c r="E4285" s="21">
        <f>IF(D4285="?OLD","!!!","")</f>
        <v/>
      </c>
      <c r="F4285" s="22" t="str">
        <f>IF(OR(E4285="",E4285="!!!"),"",IF(NOT(ISNA(VLOOKUP(E4285,E$1:E4284,1,FALSE()))),"OLD",IF(AND(E4285&lt;&gt;"",E4285&lt;&gt;"!!!"),"NEW","")))</f>
        <v> </v>
      </c>
      <c r="G4285" s="23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4" t="str">
        <f>IF(J4285&lt;&gt;1,"",IF(I4285="SBJ","CB","?"))</f>
        <v> </v>
      </c>
      <c r="I4285" s="25" t="str">
        <f>IF(OR(E4285="",E4285="!!!",F4285="NEW"),"",INDEX(B4284:B$2,-1+SUMPRODUCT(MAX(ROW(E4284:E$2)*(E4285=E4284:E$2)))))</f>
        <v> </v>
      </c>
      <c r="J4285" s="25" t="str">
        <f>IF(OR(E4285="",E4285="!!!",F4285="NEW"),"",COUNTBLANK(OFFSET(A$1,,,SUMPRODUCT(MAX(ROW(E$2:E4285)*(E4285=E$2:E4285)))))-COUNTBLANK(OFFSET(A$1,,,SUMPRODUCT(MAX(ROW(E$1:E4284)*(E2=E$1:E4284))))))</f>
        <v> </v>
      </c>
      <c r="K4285" s="25" t="str">
        <f>IF(OR(E4285="",E4285="!!!",F4285="NEW"),"",INDEX(J$1:J4284,SUMPRODUCT(MAX(ROW(E$1:E4284)*(E4285=E$1:E4284)))))</f>
        <v> </v>
      </c>
      <c r="L4285" s="26"/>
    </row>
    <row r="4286" spans="1:12">
      <c r="A4286" s="20" t="s">
        <v>1307</v>
      </c>
      <c r="E4286" s="21">
        <f>IF(D4286="?OLD","!!!","")</f>
        <v/>
      </c>
      <c r="F4286" s="22" t="str">
        <f>IF(OR(E4286="",E4286="!!!"),"",IF(NOT(ISNA(VLOOKUP(E4286,E$1:E4285,1,FALSE()))),"OLD",IF(AND(E4286&lt;&gt;"",E4286&lt;&gt;"!!!"),"NEW","")))</f>
        <v> </v>
      </c>
      <c r="G4286" s="23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4" t="str">
        <f>IF(J4286&lt;&gt;1,"",IF(I4286="SBJ","CB","?"))</f>
        <v> </v>
      </c>
      <c r="I4286" s="25" t="str">
        <f>IF(OR(E4286="",E4286="!!!",F4286="NEW"),"",INDEX(B4285:B$2,-1+SUMPRODUCT(MAX(ROW(E4285:E$2)*(E4286=E4285:E$2)))))</f>
        <v> </v>
      </c>
      <c r="J4286" s="25" t="str">
        <f>IF(OR(E4286="",E4286="!!!",F4286="NEW"),"",COUNTBLANK(OFFSET(A$1,,,SUMPRODUCT(MAX(ROW(E$2:E4286)*(E4286=E$2:E4286)))))-COUNTBLANK(OFFSET(A$1,,,SUMPRODUCT(MAX(ROW(E$1:E4285)*(E2=E$1:E4285))))))</f>
        <v> </v>
      </c>
      <c r="K4286" s="25" t="str">
        <f>IF(OR(E4286="",E4286="!!!",F4286="NEW"),"",INDEX(J$1:J4285,SUMPRODUCT(MAX(ROW(E$1:E4285)*(E4286=E$1:E4285)))))</f>
        <v> </v>
      </c>
      <c r="L4286" s="26"/>
    </row>
    <row r="4287" spans="1:12">
      <c r="A4287" s="20"/>
    </row>
    <row r="4288" spans="1:12">
      <c r="A4288" s="20" t="s">
        <v>2790</v>
      </c>
    </row>
    <row r="4289" spans="1:12">
      <c r="A4289" s="20" t="s">
        <v>2791</v>
      </c>
      <c r="E4289" s="21">
        <f>IF(D4289="?OLD","!!!","")</f>
        <v/>
      </c>
      <c r="F4289" s="22" t="str">
        <f>IF(OR(E4289="",E4289="!!!"),"",IF(NOT(ISNA(VLOOKUP(E4289,E$1:E4288,1,FALSE()))),"OLD",IF(AND(E4289&lt;&gt;"",E4289&lt;&gt;"!!!"),"NEW","")))</f>
        <v> </v>
      </c>
      <c r="G4289" s="23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4" t="str">
        <f>IF(J4289&lt;&gt;1,"",IF(I4289="SBJ","CB","?"))</f>
        <v> </v>
      </c>
      <c r="I4289" s="25" t="str">
        <f>IF(OR(E4289="",E4289="!!!",F4289="NEW"),"",INDEX(B4288:B$2,-1+SUMPRODUCT(MAX(ROW(E4288:E$2)*(E4289=E4288:E$2)))))</f>
        <v> </v>
      </c>
      <c r="J4289" s="25" t="str">
        <f>IF(OR(E4289="",E4289="!!!",F4289="NEW"),"",COUNTBLANK(OFFSET(A$1,,,SUMPRODUCT(MAX(ROW(E$2:E4289)*(E4289=E$2:E4289)))))-COUNTBLANK(OFFSET(A$1,,,SUMPRODUCT(MAX(ROW(E$1:E4288)*(E2=E$1:E4288))))))</f>
        <v> </v>
      </c>
      <c r="K4289" s="25" t="str">
        <f>IF(OR(E4289="",E4289="!!!",F4289="NEW"),"",INDEX(J$1:J4288,SUMPRODUCT(MAX(ROW(E$1:E4288)*(E4289=E$1:E4288)))))</f>
        <v> </v>
      </c>
      <c r="L4289" s="26"/>
    </row>
    <row r="4290" spans="1:12">
      <c r="A4290" s="20" t="s">
        <v>2792</v>
      </c>
      <c r="B4290" s="27" t="s">
        <v>1024</v>
      </c>
      <c r="E4290" s="21">
        <f>IF(D4290="?OLD","!!!","")</f>
        <v/>
      </c>
      <c r="F4290" s="22" t="str">
        <f>IF(OR(E4290="",E4290="!!!"),"",IF(NOT(ISNA(VLOOKUP(E4290,E$1:E4289,1,FALSE()))),"OLD",IF(AND(E4290&lt;&gt;"",E4290&lt;&gt;"!!!"),"NEW","")))</f>
        <v> </v>
      </c>
      <c r="G4290" s="23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4" t="str">
        <f>IF(J4290&lt;&gt;1,"",IF(I4290="SBJ","CB","?"))</f>
        <v> </v>
      </c>
      <c r="I4290" s="25" t="str">
        <f>IF(OR(E4290="",E4290="!!!",F4290="NEW"),"",INDEX(B4289:B$2,-1+SUMPRODUCT(MAX(ROW(E4289:E$2)*(E4290=E4289:E$2)))))</f>
        <v> </v>
      </c>
      <c r="J4290" s="25" t="str">
        <f>IF(OR(E4290="",E4290="!!!",F4290="NEW"),"",COUNTBLANK(OFFSET(A$1,,,SUMPRODUCT(MAX(ROW(E$2:E4290)*(E4290=E$2:E4290)))))-COUNTBLANK(OFFSET(A$1,,,SUMPRODUCT(MAX(ROW(E$1:E4289)*(E2=E$1:E4289))))))</f>
        <v> </v>
      </c>
      <c r="K4290" s="25" t="str">
        <f>IF(OR(E4290="",E4290="!!!",F4290="NEW"),"",INDEX(J$1:J4289,SUMPRODUCT(MAX(ROW(E$1:E4289)*(E4290=E$1:E4289)))))</f>
        <v> </v>
      </c>
      <c r="L4290" s="26"/>
    </row>
    <row r="4291" spans="1:12">
      <c r="A4291" s="20" t="s">
        <v>1099</v>
      </c>
      <c r="E4291" s="21">
        <f>IF(D4291="?OLD","!!!","")</f>
        <v/>
      </c>
      <c r="F4291" s="22" t="str">
        <f>IF(OR(E4291="",E4291="!!!"),"",IF(NOT(ISNA(VLOOKUP(E4291,E$1:E4290,1,FALSE()))),"OLD",IF(AND(E4291&lt;&gt;"",E4291&lt;&gt;"!!!"),"NEW","")))</f>
        <v> </v>
      </c>
      <c r="G4291" s="23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4" t="str">
        <f>IF(J4291&lt;&gt;1,"",IF(I4291="SBJ","CB","?"))</f>
        <v> </v>
      </c>
      <c r="I4291" s="25" t="str">
        <f>IF(OR(E4291="",E4291="!!!",F4291="NEW"),"",INDEX(B4290:B$2,-1+SUMPRODUCT(MAX(ROW(E4290:E$2)*(E4291=E4290:E$2)))))</f>
        <v> </v>
      </c>
      <c r="J4291" s="25" t="str">
        <f>IF(OR(E4291="",E4291="!!!",F4291="NEW"),"",COUNTBLANK(OFFSET(A$1,,,SUMPRODUCT(MAX(ROW(E$2:E4291)*(E4291=E$2:E4291)))))-COUNTBLANK(OFFSET(A$1,,,SUMPRODUCT(MAX(ROW(E$1:E4290)*(E2=E$1:E4290))))))</f>
        <v> </v>
      </c>
      <c r="K4291" s="25" t="str">
        <f>IF(OR(E4291="",E4291="!!!",F4291="NEW"),"",INDEX(J$1:J4290,SUMPRODUCT(MAX(ROW(E$1:E4290)*(E4291=E$1:E4290)))))</f>
        <v> </v>
      </c>
      <c r="L4291" s="26"/>
    </row>
    <row r="4292" spans="1:12">
      <c r="A4292" s="20" t="s">
        <v>2793</v>
      </c>
      <c r="E4292" s="21">
        <f>IF(D4292="?OLD","!!!","")</f>
        <v/>
      </c>
      <c r="F4292" s="22" t="str">
        <f>IF(OR(E4292="",E4292="!!!"),"",IF(NOT(ISNA(VLOOKUP(E4292,E$1:E4291,1,FALSE()))),"OLD",IF(AND(E4292&lt;&gt;"",E4292&lt;&gt;"!!!"),"NEW","")))</f>
        <v> </v>
      </c>
      <c r="G4292" s="23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4" t="str">
        <f>IF(J4292&lt;&gt;1,"",IF(I4292="SBJ","CB","?"))</f>
        <v> </v>
      </c>
      <c r="I4292" s="25" t="str">
        <f>IF(OR(E4292="",E4292="!!!",F4292="NEW"),"",INDEX(B4291:B$2,-1+SUMPRODUCT(MAX(ROW(E4291:E$2)*(E4292=E4291:E$2)))))</f>
        <v> </v>
      </c>
      <c r="J4292" s="25" t="str">
        <f>IF(OR(E4292="",E4292="!!!",F4292="NEW"),"",COUNTBLANK(OFFSET(A$1,,,SUMPRODUCT(MAX(ROW(E$2:E4292)*(E4292=E$2:E4292)))))-COUNTBLANK(OFFSET(A$1,,,SUMPRODUCT(MAX(ROW(E$1:E4291)*(E2=E$1:E4291))))))</f>
        <v> </v>
      </c>
      <c r="K4292" s="25" t="str">
        <f>IF(OR(E4292="",E4292="!!!",F4292="NEW"),"",INDEX(J$1:J4291,SUMPRODUCT(MAX(ROW(E$1:E4291)*(E4292=E$1:E4291)))))</f>
        <v> </v>
      </c>
      <c r="L4292" s="26"/>
    </row>
    <row r="4293" spans="1:12">
      <c r="A4293" s="20" t="s">
        <v>1310</v>
      </c>
      <c r="E4293" s="21">
        <f>IF(D4293="?OLD","!!!","")</f>
        <v/>
      </c>
      <c r="F4293" s="22" t="str">
        <f>IF(OR(E4293="",E4293="!!!"),"",IF(NOT(ISNA(VLOOKUP(E4293,E$1:E4292,1,FALSE()))),"OLD",IF(AND(E4293&lt;&gt;"",E4293&lt;&gt;"!!!"),"NEW","")))</f>
        <v> </v>
      </c>
      <c r="G4293" s="23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4" t="str">
        <f>IF(J4293&lt;&gt;1,"",IF(I4293="SBJ","CB","?"))</f>
        <v> </v>
      </c>
      <c r="I4293" s="25" t="str">
        <f>IF(OR(E4293="",E4293="!!!",F4293="NEW"),"",INDEX(B4292:B$2,-1+SUMPRODUCT(MAX(ROW(E4292:E$2)*(E4293=E4292:E$2)))))</f>
        <v> </v>
      </c>
      <c r="J4293" s="25" t="str">
        <f>IF(OR(E4293="",E4293="!!!",F4293="NEW"),"",COUNTBLANK(OFFSET(A$1,,,SUMPRODUCT(MAX(ROW(E$2:E4293)*(E4293=E$2:E4293)))))-COUNTBLANK(OFFSET(A$1,,,SUMPRODUCT(MAX(ROW(E$1:E4292)*(E2=E$1:E4292))))))</f>
        <v> </v>
      </c>
      <c r="K4293" s="25" t="str">
        <f>IF(OR(E4293="",E4293="!!!",F4293="NEW"),"",INDEX(J$1:J4292,SUMPRODUCT(MAX(ROW(E$1:E4292)*(E4293=E$1:E4292)))))</f>
        <v> </v>
      </c>
      <c r="L4293" s="26"/>
    </row>
    <row r="4294" spans="1:12">
      <c r="A4294" s="20" t="s">
        <v>1638</v>
      </c>
      <c r="B4294" s="27" t="s">
        <v>1136</v>
      </c>
      <c r="C4294" s="27" t="s">
        <v>1036</v>
      </c>
      <c r="D4294" s="27" t="s">
        <v>1026</v>
      </c>
      <c r="E4294" s="21">
        <f>IF(D4294="?OLD","!!!","")</f>
        <v/>
      </c>
      <c r="F4294" s="22" t="str">
        <f>IF(OR(E4294="",E4294="!!!"),"",IF(NOT(ISNA(VLOOKUP(E4294,E$1:E4293,1,FALSE()))),"OLD",IF(AND(E4294&lt;&gt;"",E4294&lt;&gt;"!!!"),"NEW","")))</f>
        <v> </v>
      </c>
      <c r="G4294" s="23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4" t="str">
        <f>IF(J4294&lt;&gt;1,"",IF(I4294="SBJ","CB","?"))</f>
        <v> </v>
      </c>
      <c r="I4294" s="25" t="str">
        <f>IF(OR(E4294="",E4294="!!!",F4294="NEW"),"",INDEX(B4293:B$2,-1+SUMPRODUCT(MAX(ROW(E4293:E$2)*(E4294=E4293:E$2)))))</f>
        <v> </v>
      </c>
      <c r="J4294" s="25" t="str">
        <f>IF(OR(E4294="",E4294="!!!",F4294="NEW"),"",COUNTBLANK(OFFSET(A$1,,,SUMPRODUCT(MAX(ROW(E$2:E4294)*(E4294=E$2:E4294)))))-COUNTBLANK(OFFSET(A$1,,,SUMPRODUCT(MAX(ROW(E$1:E4293)*(E2=E$1:E4293))))))</f>
        <v> </v>
      </c>
      <c r="K4294" s="25" t="str">
        <f>IF(OR(E4294="",E4294="!!!",F4294="NEW"),"",INDEX(J$1:J4293,SUMPRODUCT(MAX(ROW(E$1:E4293)*(E4294=E$1:E4293)))))</f>
        <v> </v>
      </c>
      <c r="L4294" s="26"/>
    </row>
    <row r="4295" spans="1:12">
      <c r="A4295" s="20" t="s">
        <v>2794</v>
      </c>
      <c r="E4295" s="21">
        <f>IF(D4295="?OLD","!!!","")</f>
        <v/>
      </c>
      <c r="F4295" s="22" t="str">
        <f>IF(OR(E4295="",E4295="!!!"),"",IF(NOT(ISNA(VLOOKUP(E4295,E$1:E4294,1,FALSE()))),"OLD",IF(AND(E4295&lt;&gt;"",E4295&lt;&gt;"!!!"),"NEW","")))</f>
        <v> </v>
      </c>
      <c r="G4295" s="23" t="str">
        <f>IF(OR(E4295="",E4295="!!!"),"",IF(OR(J4295=0,AND(J4295=1,K4295=1),AND(J4295=1,I4295="SBJ"),AND(J4295=1,I4295=0)),"?IN_FOCUS",IF(J4295&lt;=2,"?ACTIVATED",IF(J4295&lt;&gt;"","?FAMILIAR",IF(F4295="NEW",IF(ISNA(VLOOKUP(E4295,#REF!,1,FALSE())),"?TYPE_IDENTIFIABLE","?REFERENTIAL"),"_")))))</f>
        <v> </v>
      </c>
      <c r="H4295" s="24" t="str">
        <f>IF(J4295&lt;&gt;1,"",IF(I4295="SBJ","CB","?"))</f>
        <v> </v>
      </c>
      <c r="I4295" s="25" t="str">
        <f>IF(OR(E4295="",E4295="!!!",F4295="NEW"),"",INDEX(B4294:B$2,-1+SUMPRODUCT(MAX(ROW(E4294:E$2)*(E4295=E4294:E$2)))))</f>
        <v> </v>
      </c>
      <c r="J4295" s="25" t="str">
        <f>IF(OR(E4295="",E4295="!!!",F4295="NEW"),"",COUNTBLANK(OFFSET(A$1,,,SUMPRODUCT(MAX(ROW(E$2:E4295)*(E4295=E$2:E4295)))))-COUNTBLANK(OFFSET(A$1,,,SUMPRODUCT(MAX(ROW(E$1:E4294)*(E2=E$1:E4294))))))</f>
        <v> </v>
      </c>
      <c r="K4295" s="25" t="str">
        <f>IF(OR(E4295="",E4295="!!!",F4295="NEW"),"",INDEX(J$1:J4294,SUMPRODUCT(MAX(ROW(E$1:E4294)*(E4295=E$1:E4294)))))</f>
        <v> </v>
      </c>
      <c r="L4295" s="26"/>
    </row>
    <row r="4296" spans="1:12">
      <c r="A4296" s="20" t="s">
        <v>1032</v>
      </c>
      <c r="E4296" s="21">
        <f>IF(D4296="?OLD","!!!","")</f>
        <v/>
      </c>
      <c r="F4296" s="22" t="str">
        <f>IF(OR(E4296="",E4296="!!!"),"",IF(NOT(ISNA(VLOOKUP(E4296,E$1:E4295,1,FALSE()))),"OLD",IF(AND(E4296&lt;&gt;"",E4296&lt;&gt;"!!!"),"NEW","")))</f>
        <v> </v>
      </c>
      <c r="G4296" s="23" t="str">
        <f>IF(OR(E4296="",E4296="!!!"),"",IF(OR(J4296=0,AND(J4296=1,K4296=1),AND(J4296=1,I4296="SBJ"),AND(J4296=1,I4296=0)),"?IN_FOCUS",IF(J4296&lt;=2,"?ACTIVATED",IF(J4296&lt;&gt;"","?FAMILIAR",IF(F4296="NEW",IF(ISNA(VLOOKUP(E4296,#REF!,1,FALSE())),"?TYPE_IDENTIFIABLE","?REFERENTIAL"),"_")))))</f>
        <v> </v>
      </c>
      <c r="H4296" s="24" t="str">
        <f>IF(J4296&lt;&gt;1,"",IF(I4296="SBJ","CB","?"))</f>
        <v> </v>
      </c>
      <c r="I4296" s="25" t="str">
        <f>IF(OR(E4296="",E4296="!!!",F4296="NEW"),"",INDEX(B4295:B$2,-1+SUMPRODUCT(MAX(ROW(E4295:E$2)*(E4296=E4295:E$2)))))</f>
        <v> </v>
      </c>
      <c r="J4296" s="25" t="str">
        <f>IF(OR(E4296="",E4296="!!!",F4296="NEW"),"",COUNTBLANK(OFFSET(A$1,,,SUMPRODUCT(MAX(ROW(E$2:E4296)*(E4296=E$2:E4296)))))-COUNTBLANK(OFFSET(A$1,,,SUMPRODUCT(MAX(ROW(E$1:E4295)*(E2=E$1:E4295))))))</f>
        <v> </v>
      </c>
      <c r="K4296" s="25" t="str">
        <f>IF(OR(E4296="",E4296="!!!",F4296="NEW"),"",INDEX(J$1:J4295,SUMPRODUCT(MAX(ROW(E$1:E4295)*(E4296=E$1:E4295)))))</f>
        <v> </v>
      </c>
      <c r="L4296" s="26"/>
    </row>
    <row r="4297" spans="1:12">
      <c r="A4297" s="20"/>
    </row>
    <row r="4298" spans="1:12">
      <c r="A4298" s="20" t="s">
        <v>2795</v>
      </c>
    </row>
    <row r="4299" spans="1:12">
      <c r="A4299" s="20" t="s">
        <v>1125</v>
      </c>
      <c r="E4299" s="21">
        <f>IF(D4299="?OLD","!!!","")</f>
        <v/>
      </c>
      <c r="F4299" s="22" t="str">
        <f>IF(OR(E4299="",E4299="!!!"),"",IF(NOT(ISNA(VLOOKUP(E4299,E$1:E4298,1,FALSE()))),"OLD",IF(AND(E4299&lt;&gt;"",E4299&lt;&gt;"!!!"),"NEW","")))</f>
        <v> </v>
      </c>
      <c r="G4299" s="23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4" t="str">
        <f>IF(J4299&lt;&gt;1,"",IF(I4299="SBJ","CB","?"))</f>
        <v> </v>
      </c>
      <c r="I4299" s="25" t="str">
        <f>IF(OR(E4299="",E4299="!!!",F4299="NEW"),"",INDEX(B4298:B$2,-1+SUMPRODUCT(MAX(ROW(E4298:E$2)*(E4299=E4298:E$2)))))</f>
        <v> </v>
      </c>
      <c r="J4299" s="25" t="str">
        <f>IF(OR(E4299="",E4299="!!!",F4299="NEW"),"",COUNTBLANK(OFFSET(A$1,,,SUMPRODUCT(MAX(ROW(E$2:E4299)*(E4299=E$2:E4299)))))-COUNTBLANK(OFFSET(A$1,,,SUMPRODUCT(MAX(ROW(E$1:E4298)*(E2=E$1:E4298))))))</f>
        <v> </v>
      </c>
      <c r="K4299" s="25" t="str">
        <f>IF(OR(E4299="",E4299="!!!",F4299="NEW"),"",INDEX(J$1:J4298,SUMPRODUCT(MAX(ROW(E$1:E4298)*(E4299=E$1:E4298)))))</f>
        <v> </v>
      </c>
      <c r="L4299" s="26"/>
    </row>
    <row r="4300" spans="1:12">
      <c r="A4300" s="20" t="s">
        <v>2140</v>
      </c>
      <c r="B4300" s="27" t="s">
        <v>1024</v>
      </c>
      <c r="C4300" s="27" t="s">
        <v>1088</v>
      </c>
      <c r="D4300" s="27" t="s">
        <v>1026</v>
      </c>
      <c r="E4300" s="21">
        <f>IF(D4300="?OLD","!!!","")</f>
        <v/>
      </c>
      <c r="F4300" s="22" t="str">
        <f>IF(OR(E4300="",E4300="!!!"),"",IF(NOT(ISNA(VLOOKUP(E4300,E$1:E4299,1,FALSE()))),"OLD",IF(AND(E4300&lt;&gt;"",E4300&lt;&gt;"!!!"),"NEW","")))</f>
        <v> </v>
      </c>
      <c r="G4300" s="23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4" t="str">
        <f>IF(J4300&lt;&gt;1,"",IF(I4300="SBJ","CB","?"))</f>
        <v> </v>
      </c>
      <c r="I4300" s="25" t="str">
        <f>IF(OR(E4300="",E4300="!!!",F4300="NEW"),"",INDEX(B4299:B$2,-1+SUMPRODUCT(MAX(ROW(E4299:E$2)*(E4300=E4299:E$2)))))</f>
        <v> </v>
      </c>
      <c r="J4300" s="25" t="str">
        <f>IF(OR(E4300="",E4300="!!!",F4300="NEW"),"",COUNTBLANK(OFFSET(A$1,,,SUMPRODUCT(MAX(ROW(E$2:E4300)*(E4300=E$2:E4300)))))-COUNTBLANK(OFFSET(A$1,,,SUMPRODUCT(MAX(ROW(E$1:E4299)*(E2=E$1:E4299))))))</f>
        <v> </v>
      </c>
      <c r="K4300" s="25" t="str">
        <f>IF(OR(E4300="",E4300="!!!",F4300="NEW"),"",INDEX(J$1:J4299,SUMPRODUCT(MAX(ROW(E$1:E4299)*(E4300=E$1:E4299)))))</f>
        <v> </v>
      </c>
      <c r="L4300" s="26"/>
    </row>
    <row r="4301" spans="1:12">
      <c r="A4301" s="20" t="s">
        <v>2796</v>
      </c>
      <c r="E4301" s="21">
        <f>IF(D4301="?OLD","!!!","")</f>
        <v/>
      </c>
      <c r="F4301" s="22" t="str">
        <f>IF(OR(E4301="",E4301="!!!"),"",IF(NOT(ISNA(VLOOKUP(E4301,E$1:E4300,1,FALSE()))),"OLD",IF(AND(E4301&lt;&gt;"",E4301&lt;&gt;"!!!"),"NEW","")))</f>
        <v> </v>
      </c>
      <c r="G4301" s="23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4" t="str">
        <f>IF(J4301&lt;&gt;1,"",IF(I4301="SBJ","CB","?"))</f>
        <v> </v>
      </c>
      <c r="I4301" s="25" t="str">
        <f>IF(OR(E4301="",E4301="!!!",F4301="NEW"),"",INDEX(B4300:B$2,-1+SUMPRODUCT(MAX(ROW(E4300:E$2)*(E4301=E4300:E$2)))))</f>
        <v> </v>
      </c>
      <c r="J4301" s="25" t="str">
        <f>IF(OR(E4301="",E4301="!!!",F4301="NEW"),"",COUNTBLANK(OFFSET(A$1,,,SUMPRODUCT(MAX(ROW(E$2:E4301)*(E4301=E$2:E4301)))))-COUNTBLANK(OFFSET(A$1,,,SUMPRODUCT(MAX(ROW(E$1:E4300)*(E2=E$1:E4300))))))</f>
        <v> </v>
      </c>
      <c r="K4301" s="25" t="str">
        <f>IF(OR(E4301="",E4301="!!!",F4301="NEW"),"",INDEX(J$1:J4300,SUMPRODUCT(MAX(ROW(E$1:E4300)*(E4301=E$1:E4300)))))</f>
        <v> </v>
      </c>
      <c r="L4301" s="26"/>
    </row>
    <row r="4302" spans="1:12">
      <c r="A4302" s="20" t="s">
        <v>2055</v>
      </c>
      <c r="E4302" s="21">
        <f>IF(D4302="?OLD","!!!","")</f>
        <v/>
      </c>
      <c r="F4302" s="22" t="str">
        <f>IF(OR(E4302="",E4302="!!!"),"",IF(NOT(ISNA(VLOOKUP(E4302,E$1:E4301,1,FALSE()))),"OLD",IF(AND(E4302&lt;&gt;"",E4302&lt;&gt;"!!!"),"NEW","")))</f>
        <v> </v>
      </c>
      <c r="G4302" s="23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4" t="str">
        <f>IF(J4302&lt;&gt;1,"",IF(I4302="SBJ","CB","?"))</f>
        <v> </v>
      </c>
      <c r="I4302" s="25" t="str">
        <f>IF(OR(E4302="",E4302="!!!",F4302="NEW"),"",INDEX(B4301:B$2,-1+SUMPRODUCT(MAX(ROW(E4301:E$2)*(E4302=E4301:E$2)))))</f>
        <v> </v>
      </c>
      <c r="J4302" s="25" t="str">
        <f>IF(OR(E4302="",E4302="!!!",F4302="NEW"),"",COUNTBLANK(OFFSET(A$1,,,SUMPRODUCT(MAX(ROW(E$2:E4302)*(E4302=E$2:E4302)))))-COUNTBLANK(OFFSET(A$1,,,SUMPRODUCT(MAX(ROW(E$1:E4301)*(E2=E$1:E4301))))))</f>
        <v> </v>
      </c>
      <c r="K4302" s="25" t="str">
        <f>IF(OR(E4302="",E4302="!!!",F4302="NEW"),"",INDEX(J$1:J4301,SUMPRODUCT(MAX(ROW(E$1:E4301)*(E4302=E$1:E4301)))))</f>
        <v> </v>
      </c>
      <c r="L4302" s="26"/>
    </row>
    <row r="4303" spans="1:12">
      <c r="A4303" s="20" t="s">
        <v>2797</v>
      </c>
      <c r="E4303" s="21">
        <f>IF(D4303="?OLD","!!!","")</f>
        <v/>
      </c>
      <c r="F4303" s="22" t="str">
        <f>IF(OR(E4303="",E4303="!!!"),"",IF(NOT(ISNA(VLOOKUP(E4303,E$1:E4302,1,FALSE()))),"OLD",IF(AND(E4303&lt;&gt;"",E4303&lt;&gt;"!!!"),"NEW","")))</f>
        <v> </v>
      </c>
      <c r="G4303" s="23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4" t="str">
        <f>IF(J4303&lt;&gt;1,"",IF(I4303="SBJ","CB","?"))</f>
        <v> </v>
      </c>
      <c r="I4303" s="25" t="str">
        <f>IF(OR(E4303="",E4303="!!!",F4303="NEW"),"",INDEX(B4302:B$2,-1+SUMPRODUCT(MAX(ROW(E4302:E$2)*(E4303=E4302:E$2)))))</f>
        <v> </v>
      </c>
      <c r="J4303" s="25" t="str">
        <f>IF(OR(E4303="",E4303="!!!",F4303="NEW"),"",COUNTBLANK(OFFSET(A$1,,,SUMPRODUCT(MAX(ROW(E$2:E4303)*(E4303=E$2:E4303)))))-COUNTBLANK(OFFSET(A$1,,,SUMPRODUCT(MAX(ROW(E$1:E4302)*(E2=E$1:E4302))))))</f>
        <v> </v>
      </c>
      <c r="K4303" s="25" t="str">
        <f>IF(OR(E4303="",E4303="!!!",F4303="NEW"),"",INDEX(J$1:J4302,SUMPRODUCT(MAX(ROW(E$1:E4302)*(E4303=E$1:E4302)))))</f>
        <v> </v>
      </c>
      <c r="L4303" s="26"/>
    </row>
    <row r="4304" spans="1:12">
      <c r="A4304" s="20" t="s">
        <v>1041</v>
      </c>
      <c r="E4304" s="21">
        <f>IF(D4304="?OLD","!!!","")</f>
        <v/>
      </c>
      <c r="F4304" s="22" t="str">
        <f>IF(OR(E4304="",E4304="!!!"),"",IF(NOT(ISNA(VLOOKUP(E4304,E$1:E4303,1,FALSE()))),"OLD",IF(AND(E4304&lt;&gt;"",E4304&lt;&gt;"!!!"),"NEW","")))</f>
        <v> </v>
      </c>
      <c r="G4304" s="23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4" t="str">
        <f>IF(J4304&lt;&gt;1,"",IF(I4304="SBJ","CB","?"))</f>
        <v> </v>
      </c>
      <c r="I4304" s="25" t="str">
        <f>IF(OR(E4304="",E4304="!!!",F4304="NEW"),"",INDEX(B4303:B$2,-1+SUMPRODUCT(MAX(ROW(E4303:E$2)*(E4304=E4303:E$2)))))</f>
        <v> </v>
      </c>
      <c r="J4304" s="25" t="str">
        <f>IF(OR(E4304="",E4304="!!!",F4304="NEW"),"",COUNTBLANK(OFFSET(A$1,,,SUMPRODUCT(MAX(ROW(E$2:E4304)*(E4304=E$2:E4304)))))-COUNTBLANK(OFFSET(A$1,,,SUMPRODUCT(MAX(ROW(E$1:E4303)*(E2=E$1:E4303))))))</f>
        <v> </v>
      </c>
      <c r="K4304" s="25" t="str">
        <f>IF(OR(E4304="",E4304="!!!",F4304="NEW"),"",INDEX(J$1:J4303,SUMPRODUCT(MAX(ROW(E$1:E4303)*(E4304=E$1:E4303)))))</f>
        <v> </v>
      </c>
      <c r="L4304" s="26"/>
    </row>
    <row r="4305" spans="1:12">
      <c r="A4305" s="20" t="s">
        <v>1373</v>
      </c>
      <c r="B4305" s="27" t="s">
        <v>1082</v>
      </c>
      <c r="C4305" s="27" t="s">
        <v>1025</v>
      </c>
      <c r="D4305" s="27" t="s">
        <v>1026</v>
      </c>
      <c r="E4305" s="21">
        <f>IF(D4305="?OLD","!!!","")</f>
        <v/>
      </c>
      <c r="F4305" s="22" t="str">
        <f>IF(OR(E4305="",E4305="!!!"),"",IF(NOT(ISNA(VLOOKUP(E4305,E$1:E4304,1,FALSE()))),"OLD",IF(AND(E4305&lt;&gt;"",E4305&lt;&gt;"!!!"),"NEW","")))</f>
        <v> </v>
      </c>
      <c r="G4305" s="23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4" t="str">
        <f>IF(J4305&lt;&gt;1,"",IF(I4305="SBJ","CB","?"))</f>
        <v> </v>
      </c>
      <c r="I4305" s="25" t="str">
        <f>IF(OR(E4305="",E4305="!!!",F4305="NEW"),"",INDEX(B4304:B$2,-1+SUMPRODUCT(MAX(ROW(E4304:E$2)*(E4305=E4304:E$2)))))</f>
        <v> </v>
      </c>
      <c r="J4305" s="25" t="str">
        <f>IF(OR(E4305="",E4305="!!!",F4305="NEW"),"",COUNTBLANK(OFFSET(A$1,,,SUMPRODUCT(MAX(ROW(E$2:E4305)*(E4305=E$2:E4305)))))-COUNTBLANK(OFFSET(A$1,,,SUMPRODUCT(MAX(ROW(E$1:E4304)*(E2=E$1:E4304))))))</f>
        <v> </v>
      </c>
      <c r="K4305" s="25" t="str">
        <f>IF(OR(E4305="",E4305="!!!",F4305="NEW"),"",INDEX(J$1:J4304,SUMPRODUCT(MAX(ROW(E$1:E4304)*(E4305=E$1:E4304)))))</f>
        <v> </v>
      </c>
      <c r="L4305" s="26"/>
    </row>
    <row r="4306" spans="1:12">
      <c r="A4306" s="20" t="s">
        <v>1481</v>
      </c>
      <c r="E4306" s="21">
        <f>IF(D4306="?OLD","!!!","")</f>
        <v/>
      </c>
      <c r="F4306" s="22" t="str">
        <f>IF(OR(E4306="",E4306="!!!"),"",IF(NOT(ISNA(VLOOKUP(E4306,E$1:E4305,1,FALSE()))),"OLD",IF(AND(E4306&lt;&gt;"",E4306&lt;&gt;"!!!"),"NEW","")))</f>
        <v> </v>
      </c>
      <c r="G4306" s="23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4" t="str">
        <f>IF(J4306&lt;&gt;1,"",IF(I4306="SBJ","CB","?"))</f>
        <v> </v>
      </c>
      <c r="I4306" s="25" t="str">
        <f>IF(OR(E4306="",E4306="!!!",F4306="NEW"),"",INDEX(B4305:B$2,-1+SUMPRODUCT(MAX(ROW(E4305:E$2)*(E4306=E4305:E$2)))))</f>
        <v> </v>
      </c>
      <c r="J4306" s="25" t="str">
        <f>IF(OR(E4306="",E4306="!!!",F4306="NEW"),"",COUNTBLANK(OFFSET(A$1,,,SUMPRODUCT(MAX(ROW(E$2:E4306)*(E4306=E$2:E4306)))))-COUNTBLANK(OFFSET(A$1,,,SUMPRODUCT(MAX(ROW(E$1:E4305)*(E2=E$1:E4305))))))</f>
        <v> </v>
      </c>
      <c r="K4306" s="25" t="str">
        <f>IF(OR(E4306="",E4306="!!!",F4306="NEW"),"",INDEX(J$1:J4305,SUMPRODUCT(MAX(ROW(E$1:E4305)*(E4306=E$1:E4305)))))</f>
        <v> </v>
      </c>
      <c r="L4306" s="26"/>
    </row>
    <row r="4307" spans="1:12">
      <c r="A4307" s="20" t="s">
        <v>2798</v>
      </c>
      <c r="E4307" s="21">
        <f>IF(D4307="?OLD","!!!","")</f>
        <v/>
      </c>
      <c r="F4307" s="22" t="str">
        <f>IF(OR(E4307="",E4307="!!!"),"",IF(NOT(ISNA(VLOOKUP(E4307,E$1:E4306,1,FALSE()))),"OLD",IF(AND(E4307&lt;&gt;"",E4307&lt;&gt;"!!!"),"NEW","")))</f>
        <v> </v>
      </c>
      <c r="G4307" s="23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4" t="str">
        <f>IF(J4307&lt;&gt;1,"",IF(I4307="SBJ","CB","?"))</f>
        <v> </v>
      </c>
      <c r="I4307" s="25" t="str">
        <f>IF(OR(E4307="",E4307="!!!",F4307="NEW"),"",INDEX(B4306:B$2,-1+SUMPRODUCT(MAX(ROW(E4306:E$2)*(E4307=E4306:E$2)))))</f>
        <v> </v>
      </c>
      <c r="J4307" s="25" t="str">
        <f>IF(OR(E4307="",E4307="!!!",F4307="NEW"),"",COUNTBLANK(OFFSET(A$1,,,SUMPRODUCT(MAX(ROW(E$2:E4307)*(E4307=E$2:E4307)))))-COUNTBLANK(OFFSET(A$1,,,SUMPRODUCT(MAX(ROW(E$1:E4306)*(E2=E$1:E4306))))))</f>
        <v> </v>
      </c>
      <c r="K4307" s="25" t="str">
        <f>IF(OR(E4307="",E4307="!!!",F4307="NEW"),"",INDEX(J$1:J4306,SUMPRODUCT(MAX(ROW(E$1:E4306)*(E4307=E$1:E4306)))))</f>
        <v> </v>
      </c>
      <c r="L4307" s="26"/>
    </row>
    <row r="4308" spans="1:12">
      <c r="A4308" s="20" t="s">
        <v>2799</v>
      </c>
      <c r="B4308" s="27" t="s">
        <v>1150</v>
      </c>
      <c r="E4308" s="21">
        <f>IF(D4308="?OLD","!!!","")</f>
        <v/>
      </c>
      <c r="F4308" s="22" t="str">
        <f>IF(OR(E4308="",E4308="!!!"),"",IF(NOT(ISNA(VLOOKUP(E4308,E$1:E4307,1,FALSE()))),"OLD",IF(AND(E4308&lt;&gt;"",E4308&lt;&gt;"!!!"),"NEW","")))</f>
        <v> </v>
      </c>
      <c r="G4308" s="23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4" t="str">
        <f>IF(J4308&lt;&gt;1,"",IF(I4308="SBJ","CB","?"))</f>
        <v> </v>
      </c>
      <c r="I4308" s="25" t="str">
        <f>IF(OR(E4308="",E4308="!!!",F4308="NEW"),"",INDEX(B4307:B$2,-1+SUMPRODUCT(MAX(ROW(E4307:E$2)*(E4308=E4307:E$2)))))</f>
        <v> </v>
      </c>
      <c r="J4308" s="25" t="str">
        <f>IF(OR(E4308="",E4308="!!!",F4308="NEW"),"",COUNTBLANK(OFFSET(A$1,,,SUMPRODUCT(MAX(ROW(E$2:E4308)*(E4308=E$2:E4308)))))-COUNTBLANK(OFFSET(A$1,,,SUMPRODUCT(MAX(ROW(E$1:E4307)*(E2=E$1:E4307))))))</f>
        <v> </v>
      </c>
      <c r="K4308" s="25" t="str">
        <f>IF(OR(E4308="",E4308="!!!",F4308="NEW"),"",INDEX(J$1:J4307,SUMPRODUCT(MAX(ROW(E$1:E4307)*(E4308=E$1:E4307)))))</f>
        <v> </v>
      </c>
      <c r="L4308" s="26"/>
    </row>
    <row r="4309" spans="1:12">
      <c r="A4309" s="20" t="s">
        <v>2800</v>
      </c>
      <c r="E4309" s="21">
        <f>IF(D4309="?OLD","!!!","")</f>
        <v/>
      </c>
      <c r="F4309" s="22" t="str">
        <f>IF(OR(E4309="",E4309="!!!"),"",IF(NOT(ISNA(VLOOKUP(E4309,E$1:E4308,1,FALSE()))),"OLD",IF(AND(E4309&lt;&gt;"",E4309&lt;&gt;"!!!"),"NEW","")))</f>
        <v> </v>
      </c>
      <c r="G4309" s="23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4" t="str">
        <f>IF(J4309&lt;&gt;1,"",IF(I4309="SBJ","CB","?"))</f>
        <v> </v>
      </c>
      <c r="I4309" s="25" t="str">
        <f>IF(OR(E4309="",E4309="!!!",F4309="NEW"),"",INDEX(B4308:B$2,-1+SUMPRODUCT(MAX(ROW(E4308:E$2)*(E4309=E4308:E$2)))))</f>
        <v> </v>
      </c>
      <c r="J4309" s="25" t="str">
        <f>IF(OR(E4309="",E4309="!!!",F4309="NEW"),"",COUNTBLANK(OFFSET(A$1,,,SUMPRODUCT(MAX(ROW(E$2:E4309)*(E4309=E$2:E4309)))))-COUNTBLANK(OFFSET(A$1,,,SUMPRODUCT(MAX(ROW(E$1:E4308)*(E2=E$1:E4308))))))</f>
        <v> </v>
      </c>
      <c r="K4309" s="25" t="str">
        <f>IF(OR(E4309="",E4309="!!!",F4309="NEW"),"",INDEX(J$1:J4308,SUMPRODUCT(MAX(ROW(E$1:E4308)*(E4309=E$1:E4308)))))</f>
        <v> </v>
      </c>
      <c r="L4309" s="26"/>
    </row>
    <row r="4310" spans="1:12">
      <c r="A4310" s="20" t="s">
        <v>2801</v>
      </c>
      <c r="E4310" s="21">
        <f>IF(D4310="?OLD","!!!","")</f>
        <v/>
      </c>
      <c r="F4310" s="22" t="str">
        <f>IF(OR(E4310="",E4310="!!!"),"",IF(NOT(ISNA(VLOOKUP(E4310,E$1:E4309,1,FALSE()))),"OLD",IF(AND(E4310&lt;&gt;"",E4310&lt;&gt;"!!!"),"NEW","")))</f>
        <v> </v>
      </c>
      <c r="G4310" s="23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4" t="str">
        <f>IF(J4310&lt;&gt;1,"",IF(I4310="SBJ","CB","?"))</f>
        <v> </v>
      </c>
      <c r="I4310" s="25" t="str">
        <f>IF(OR(E4310="",E4310="!!!",F4310="NEW"),"",INDEX(B4309:B$2,-1+SUMPRODUCT(MAX(ROW(E4309:E$2)*(E4310=E4309:E$2)))))</f>
        <v> </v>
      </c>
      <c r="J4310" s="25" t="str">
        <f>IF(OR(E4310="",E4310="!!!",F4310="NEW"),"",COUNTBLANK(OFFSET(A$1,,,SUMPRODUCT(MAX(ROW(E$2:E4310)*(E4310=E$2:E4310)))))-COUNTBLANK(OFFSET(A$1,,,SUMPRODUCT(MAX(ROW(E$1:E4309)*(E2=E$1:E4309))))))</f>
        <v> </v>
      </c>
      <c r="K4310" s="25" t="str">
        <f>IF(OR(E4310="",E4310="!!!",F4310="NEW"),"",INDEX(J$1:J4309,SUMPRODUCT(MAX(ROW(E$1:E4309)*(E4310=E$1:E4309)))))</f>
        <v> </v>
      </c>
      <c r="L4310" s="26"/>
    </row>
    <row r="4311" spans="1:12">
      <c r="A4311" s="20" t="s">
        <v>2802</v>
      </c>
      <c r="E4311" s="21">
        <f>IF(D4311="?OLD","!!!","")</f>
        <v/>
      </c>
      <c r="F4311" s="22" t="str">
        <f>IF(OR(E4311="",E4311="!!!"),"",IF(NOT(ISNA(VLOOKUP(E4311,E$1:E4310,1,FALSE()))),"OLD",IF(AND(E4311&lt;&gt;"",E4311&lt;&gt;"!!!"),"NEW","")))</f>
        <v> </v>
      </c>
      <c r="G4311" s="23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4" t="str">
        <f>IF(J4311&lt;&gt;1,"",IF(I4311="SBJ","CB","?"))</f>
        <v> </v>
      </c>
      <c r="I4311" s="25" t="str">
        <f>IF(OR(E4311="",E4311="!!!",F4311="NEW"),"",INDEX(B4310:B$2,-1+SUMPRODUCT(MAX(ROW(E4310:E$2)*(E4311=E4310:E$2)))))</f>
        <v> </v>
      </c>
      <c r="J4311" s="25" t="str">
        <f>IF(OR(E4311="",E4311="!!!",F4311="NEW"),"",COUNTBLANK(OFFSET(A$1,,,SUMPRODUCT(MAX(ROW(E$2:E4311)*(E4311=E$2:E4311)))))-COUNTBLANK(OFFSET(A$1,,,SUMPRODUCT(MAX(ROW(E$1:E4310)*(E2=E$1:E4310))))))</f>
        <v> </v>
      </c>
      <c r="K4311" s="25" t="str">
        <f>IF(OR(E4311="",E4311="!!!",F4311="NEW"),"",INDEX(J$1:J4310,SUMPRODUCT(MAX(ROW(E$1:E4310)*(E4311=E$1:E4310)))))</f>
        <v> </v>
      </c>
      <c r="L4311" s="26"/>
    </row>
    <row r="4312" spans="1:12">
      <c r="A4312" s="20" t="s">
        <v>1109</v>
      </c>
      <c r="E4312" s="21">
        <f>IF(D4312="?OLD","!!!","")</f>
        <v/>
      </c>
      <c r="F4312" s="22" t="str">
        <f>IF(OR(E4312="",E4312="!!!"),"",IF(NOT(ISNA(VLOOKUP(E4312,E$1:E4311,1,FALSE()))),"OLD",IF(AND(E4312&lt;&gt;"",E4312&lt;&gt;"!!!"),"NEW","")))</f>
        <v> </v>
      </c>
      <c r="G4312" s="23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4" t="str">
        <f>IF(J4312&lt;&gt;1,"",IF(I4312="SBJ","CB","?"))</f>
        <v> </v>
      </c>
      <c r="I4312" s="25" t="str">
        <f>IF(OR(E4312="",E4312="!!!",F4312="NEW"),"",INDEX(B4311:B$2,-1+SUMPRODUCT(MAX(ROW(E4311:E$2)*(E4312=E4311:E$2)))))</f>
        <v> </v>
      </c>
      <c r="J4312" s="25" t="str">
        <f>IF(OR(E4312="",E4312="!!!",F4312="NEW"),"",COUNTBLANK(OFFSET(A$1,,,SUMPRODUCT(MAX(ROW(E$2:E4312)*(E4312=E$2:E4312)))))-COUNTBLANK(OFFSET(A$1,,,SUMPRODUCT(MAX(ROW(E$1:E4311)*(E2=E$1:E4311))))))</f>
        <v> </v>
      </c>
      <c r="K4312" s="25" t="str">
        <f>IF(OR(E4312="",E4312="!!!",F4312="NEW"),"",INDEX(J$1:J4311,SUMPRODUCT(MAX(ROW(E$1:E4311)*(E4312=E$1:E4311)))))</f>
        <v> </v>
      </c>
      <c r="L4312" s="26"/>
    </row>
    <row r="4313" spans="1:12">
      <c r="A4313" s="20" t="s">
        <v>1099</v>
      </c>
      <c r="E4313" s="21">
        <f>IF(D4313="?OLD","!!!","")</f>
        <v/>
      </c>
      <c r="F4313" s="22" t="str">
        <f>IF(OR(E4313="",E4313="!!!"),"",IF(NOT(ISNA(VLOOKUP(E4313,E$1:E4312,1,FALSE()))),"OLD",IF(AND(E4313&lt;&gt;"",E4313&lt;&gt;"!!!"),"NEW","")))</f>
        <v> </v>
      </c>
      <c r="G4313" s="23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4" t="str">
        <f>IF(J4313&lt;&gt;1,"",IF(I4313="SBJ","CB","?"))</f>
        <v> </v>
      </c>
      <c r="I4313" s="25" t="str">
        <f>IF(OR(E4313="",E4313="!!!",F4313="NEW"),"",INDEX(B4312:B$2,-1+SUMPRODUCT(MAX(ROW(E4312:E$2)*(E4313=E4312:E$2)))))</f>
        <v> </v>
      </c>
      <c r="J4313" s="25" t="str">
        <f>IF(OR(E4313="",E4313="!!!",F4313="NEW"),"",COUNTBLANK(OFFSET(A$1,,,SUMPRODUCT(MAX(ROW(E$2:E4313)*(E4313=E$2:E4313)))))-COUNTBLANK(OFFSET(A$1,,,SUMPRODUCT(MAX(ROW(E$1:E4312)*(E2=E$1:E4312))))))</f>
        <v> </v>
      </c>
      <c r="K4313" s="25" t="str">
        <f>IF(OR(E4313="",E4313="!!!",F4313="NEW"),"",INDEX(J$1:J4312,SUMPRODUCT(MAX(ROW(E$1:E4312)*(E4313=E$1:E4312)))))</f>
        <v> </v>
      </c>
      <c r="L4313" s="26"/>
    </row>
    <row r="4314" spans="1:12">
      <c r="A4314" s="20" t="s">
        <v>87</v>
      </c>
      <c r="E4314" s="21">
        <f>IF(D4314="?OLD","!!!","")</f>
        <v/>
      </c>
      <c r="F4314" s="22" t="str">
        <f>IF(OR(E4314="",E4314="!!!"),"",IF(NOT(ISNA(VLOOKUP(E4314,E$1:E4313,1,FALSE()))),"OLD",IF(AND(E4314&lt;&gt;"",E4314&lt;&gt;"!!!"),"NEW","")))</f>
        <v> </v>
      </c>
      <c r="G4314" s="23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4" t="str">
        <f>IF(J4314&lt;&gt;1,"",IF(I4314="SBJ","CB","?"))</f>
        <v> </v>
      </c>
      <c r="I4314" s="25" t="str">
        <f>IF(OR(E4314="",E4314="!!!",F4314="NEW"),"",INDEX(B4313:B$2,-1+SUMPRODUCT(MAX(ROW(E4313:E$2)*(E4314=E4313:E$2)))))</f>
        <v> </v>
      </c>
      <c r="J4314" s="25" t="str">
        <f>IF(OR(E4314="",E4314="!!!",F4314="NEW"),"",COUNTBLANK(OFFSET(A$1,,,SUMPRODUCT(MAX(ROW(E$2:E4314)*(E4314=E$2:E4314)))))-COUNTBLANK(OFFSET(A$1,,,SUMPRODUCT(MAX(ROW(E$1:E4313)*(E2=E$1:E4313))))))</f>
        <v> </v>
      </c>
      <c r="K4314" s="25" t="str">
        <f>IF(OR(E4314="",E4314="!!!",F4314="NEW"),"",INDEX(J$1:J4313,SUMPRODUCT(MAX(ROW(E$1:E4313)*(E4314=E$1:E4313)))))</f>
        <v> </v>
      </c>
      <c r="L4314" s="26"/>
    </row>
    <row r="4315" spans="1:12">
      <c r="A4315" s="20" t="s">
        <v>12</v>
      </c>
      <c r="E4315" s="21">
        <f>IF(D4315="?OLD","!!!","")</f>
        <v/>
      </c>
      <c r="F4315" s="22" t="str">
        <f>IF(OR(E4315="",E4315="!!!"),"",IF(NOT(ISNA(VLOOKUP(E4315,E$1:E4314,1,FALSE()))),"OLD",IF(AND(E4315&lt;&gt;"",E4315&lt;&gt;"!!!"),"NEW","")))</f>
        <v> </v>
      </c>
      <c r="G4315" s="23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4" t="str">
        <f>IF(J4315&lt;&gt;1,"",IF(I4315="SBJ","CB","?"))</f>
        <v> </v>
      </c>
      <c r="I4315" s="25" t="str">
        <f>IF(OR(E4315="",E4315="!!!",F4315="NEW"),"",INDEX(B4314:B$2,-1+SUMPRODUCT(MAX(ROW(E4314:E$2)*(E4315=E4314:E$2)))))</f>
        <v> </v>
      </c>
      <c r="J4315" s="25" t="str">
        <f>IF(OR(E4315="",E4315="!!!",F4315="NEW"),"",COUNTBLANK(OFFSET(A$1,,,SUMPRODUCT(MAX(ROW(E$2:E4315)*(E4315=E$2:E4315)))))-COUNTBLANK(OFFSET(A$1,,,SUMPRODUCT(MAX(ROW(E$1:E4314)*(E2=E$1:E4314))))))</f>
        <v> </v>
      </c>
      <c r="K4315" s="25" t="str">
        <f>IF(OR(E4315="",E4315="!!!",F4315="NEW"),"",INDEX(J$1:J4314,SUMPRODUCT(MAX(ROW(E$1:E4314)*(E4315=E$1:E4314)))))</f>
        <v> </v>
      </c>
      <c r="L4315" s="26"/>
    </row>
    <row r="4316" spans="1:12">
      <c r="A4316" s="20" t="s">
        <v>125</v>
      </c>
      <c r="E4316" s="21">
        <f>IF(D4316="?OLD","!!!","")</f>
        <v/>
      </c>
      <c r="F4316" s="22" t="str">
        <f>IF(OR(E4316="",E4316="!!!"),"",IF(NOT(ISNA(VLOOKUP(E4316,E$1:E4315,1,FALSE()))),"OLD",IF(AND(E4316&lt;&gt;"",E4316&lt;&gt;"!!!"),"NEW","")))</f>
        <v> </v>
      </c>
      <c r="G4316" s="23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4" t="str">
        <f>IF(J4316&lt;&gt;1,"",IF(I4316="SBJ","CB","?"))</f>
        <v> </v>
      </c>
      <c r="I4316" s="25" t="str">
        <f>IF(OR(E4316="",E4316="!!!",F4316="NEW"),"",INDEX(B4315:B$2,-1+SUMPRODUCT(MAX(ROW(E4315:E$2)*(E4316=E4315:E$2)))))</f>
        <v> </v>
      </c>
      <c r="J4316" s="25" t="str">
        <f>IF(OR(E4316="",E4316="!!!",F4316="NEW"),"",COUNTBLANK(OFFSET(A$1,,,SUMPRODUCT(MAX(ROW(E$2:E4316)*(E4316=E$2:E4316)))))-COUNTBLANK(OFFSET(A$1,,,SUMPRODUCT(MAX(ROW(E$1:E4315)*(E2=E$1:E4315))))))</f>
        <v> </v>
      </c>
      <c r="K4316" s="25" t="str">
        <f>IF(OR(E4316="",E4316="!!!",F4316="NEW"),"",INDEX(J$1:J4315,SUMPRODUCT(MAX(ROW(E$1:E4315)*(E4316=E$1:E4315)))))</f>
        <v> </v>
      </c>
      <c r="L4316" s="26"/>
    </row>
    <row r="4317" spans="1:12">
      <c r="A4317" s="20" t="s">
        <v>1122</v>
      </c>
      <c r="E4317" s="21">
        <f>IF(D4317="?OLD","!!!","")</f>
        <v/>
      </c>
      <c r="F4317" s="22" t="str">
        <f>IF(OR(E4317="",E4317="!!!"),"",IF(NOT(ISNA(VLOOKUP(E4317,E$1:E4316,1,FALSE()))),"OLD",IF(AND(E4317&lt;&gt;"",E4317&lt;&gt;"!!!"),"NEW","")))</f>
        <v> </v>
      </c>
      <c r="G4317" s="23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4" t="str">
        <f>IF(J4317&lt;&gt;1,"",IF(I4317="SBJ","CB","?"))</f>
        <v> </v>
      </c>
      <c r="I4317" s="25" t="str">
        <f>IF(OR(E4317="",E4317="!!!",F4317="NEW"),"",INDEX(B4316:B$2,-1+SUMPRODUCT(MAX(ROW(E4316:E$2)*(E4317=E4316:E$2)))))</f>
        <v> </v>
      </c>
      <c r="J4317" s="25" t="str">
        <f>IF(OR(E4317="",E4317="!!!",F4317="NEW"),"",COUNTBLANK(OFFSET(A$1,,,SUMPRODUCT(MAX(ROW(E$2:E4317)*(E4317=E$2:E4317)))))-COUNTBLANK(OFFSET(A$1,,,SUMPRODUCT(MAX(ROW(E$1:E4316)*(E2=E$1:E4316))))))</f>
        <v> </v>
      </c>
      <c r="K4317" s="25" t="str">
        <f>IF(OR(E4317="",E4317="!!!",F4317="NEW"),"",INDEX(J$1:J4316,SUMPRODUCT(MAX(ROW(E$1:E4316)*(E4317=E$1:E4316)))))</f>
        <v> </v>
      </c>
      <c r="L4317" s="26"/>
    </row>
    <row r="4318" spans="1:12">
      <c r="A4318" s="20" t="s">
        <v>1708</v>
      </c>
      <c r="B4318" s="27" t="s">
        <v>1084</v>
      </c>
      <c r="C4318" s="27" t="s">
        <v>1036</v>
      </c>
      <c r="D4318" s="27" t="s">
        <v>1026</v>
      </c>
      <c r="E4318" s="21">
        <f>IF(D4318="?OLD","!!!","")</f>
        <v/>
      </c>
      <c r="F4318" s="22" t="str">
        <f>IF(OR(E4318="",E4318="!!!"),"",IF(NOT(ISNA(VLOOKUP(E4318,E$1:E4317,1,FALSE()))),"OLD",IF(AND(E4318&lt;&gt;"",E4318&lt;&gt;"!!!"),"NEW","")))</f>
        <v> </v>
      </c>
      <c r="G4318" s="23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4" t="str">
        <f>IF(J4318&lt;&gt;1,"",IF(I4318="SBJ","CB","?"))</f>
        <v> </v>
      </c>
      <c r="I4318" s="25" t="str">
        <f>IF(OR(E4318="",E4318="!!!",F4318="NEW"),"",INDEX(B4317:B$2,-1+SUMPRODUCT(MAX(ROW(E4317:E$2)*(E4318=E4317:E$2)))))</f>
        <v> </v>
      </c>
      <c r="J4318" s="25" t="str">
        <f>IF(OR(E4318="",E4318="!!!",F4318="NEW"),"",COUNTBLANK(OFFSET(A$1,,,SUMPRODUCT(MAX(ROW(E$2:E4318)*(E4318=E$2:E4318)))))-COUNTBLANK(OFFSET(A$1,,,SUMPRODUCT(MAX(ROW(E$1:E4317)*(E2=E$1:E4317))))))</f>
        <v> </v>
      </c>
      <c r="K4318" s="25" t="str">
        <f>IF(OR(E4318="",E4318="!!!",F4318="NEW"),"",INDEX(J$1:J4317,SUMPRODUCT(MAX(ROW(E$1:E4317)*(E4318=E$1:E4317)))))</f>
        <v> </v>
      </c>
      <c r="L4318" s="26"/>
    </row>
    <row r="4319" spans="1:12">
      <c r="A4319" s="20" t="s">
        <v>1041</v>
      </c>
      <c r="E4319" s="21">
        <f>IF(D4319="?OLD","!!!","")</f>
        <v/>
      </c>
      <c r="F4319" s="22" t="str">
        <f>IF(OR(E4319="",E4319="!!!"),"",IF(NOT(ISNA(VLOOKUP(E4319,E$1:E4318,1,FALSE()))),"OLD",IF(AND(E4319&lt;&gt;"",E4319&lt;&gt;"!!!"),"NEW","")))</f>
        <v> </v>
      </c>
      <c r="G4319" s="23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4" t="str">
        <f>IF(J4319&lt;&gt;1,"",IF(I4319="SBJ","CB","?"))</f>
        <v> </v>
      </c>
      <c r="I4319" s="25" t="str">
        <f>IF(OR(E4319="",E4319="!!!",F4319="NEW"),"",INDEX(B4318:B$2,-1+SUMPRODUCT(MAX(ROW(E4318:E$2)*(E4319=E4318:E$2)))))</f>
        <v> </v>
      </c>
      <c r="J4319" s="25" t="str">
        <f>IF(OR(E4319="",E4319="!!!",F4319="NEW"),"",COUNTBLANK(OFFSET(A$1,,,SUMPRODUCT(MAX(ROW(E$2:E4319)*(E4319=E$2:E4319)))))-COUNTBLANK(OFFSET(A$1,,,SUMPRODUCT(MAX(ROW(E$1:E4318)*(E2=E$1:E4318))))))</f>
        <v> </v>
      </c>
      <c r="K4319" s="25" t="str">
        <f>IF(OR(E4319="",E4319="!!!",F4319="NEW"),"",INDEX(J$1:J4318,SUMPRODUCT(MAX(ROW(E$1:E4318)*(E4319=E$1:E4318)))))</f>
        <v> </v>
      </c>
      <c r="L4319" s="26"/>
    </row>
    <row r="4320" spans="1:12">
      <c r="A4320" s="20" t="s">
        <v>1062</v>
      </c>
      <c r="E4320" s="21">
        <f>IF(D4320="?OLD","!!!","")</f>
        <v/>
      </c>
      <c r="F4320" s="22" t="str">
        <f>IF(OR(E4320="",E4320="!!!"),"",IF(NOT(ISNA(VLOOKUP(E4320,E$1:E4319,1,FALSE()))),"OLD",IF(AND(E4320&lt;&gt;"",E4320&lt;&gt;"!!!"),"NEW","")))</f>
        <v> </v>
      </c>
      <c r="G4320" s="23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4" t="str">
        <f>IF(J4320&lt;&gt;1,"",IF(I4320="SBJ","CB","?"))</f>
        <v> </v>
      </c>
      <c r="I4320" s="25" t="str">
        <f>IF(OR(E4320="",E4320="!!!",F4320="NEW"),"",INDEX(B4319:B$2,-1+SUMPRODUCT(MAX(ROW(E4319:E$2)*(E4320=E4319:E$2)))))</f>
        <v> </v>
      </c>
      <c r="J4320" s="25" t="str">
        <f>IF(OR(E4320="",E4320="!!!",F4320="NEW"),"",COUNTBLANK(OFFSET(A$1,,,SUMPRODUCT(MAX(ROW(E$2:E4320)*(E4320=E$2:E4320)))))-COUNTBLANK(OFFSET(A$1,,,SUMPRODUCT(MAX(ROW(E$1:E4319)*(E2=E$1:E4319))))))</f>
        <v> </v>
      </c>
      <c r="K4320" s="25" t="str">
        <f>IF(OR(E4320="",E4320="!!!",F4320="NEW"),"",INDEX(J$1:J4319,SUMPRODUCT(MAX(ROW(E$1:E4319)*(E4320=E$1:E4319)))))</f>
        <v> </v>
      </c>
      <c r="L4320" s="26"/>
    </row>
    <row r="4321" spans="1:12">
      <c r="A4321" s="20" t="s">
        <v>1213</v>
      </c>
      <c r="B4321" s="27" t="s">
        <v>1225</v>
      </c>
      <c r="C4321" s="27" t="s">
        <v>1025</v>
      </c>
      <c r="D4321" s="27" t="s">
        <v>1026</v>
      </c>
      <c r="E4321" s="21">
        <f>IF(D4321="?OLD","!!!","")</f>
        <v/>
      </c>
      <c r="F4321" s="22" t="str">
        <f>IF(OR(E4321="",E4321="!!!"),"",IF(NOT(ISNA(VLOOKUP(E4321,E$1:E4320,1,FALSE()))),"OLD",IF(AND(E4321&lt;&gt;"",E4321&lt;&gt;"!!!"),"NEW","")))</f>
        <v> </v>
      </c>
      <c r="G4321" s="23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4" t="str">
        <f>IF(J4321&lt;&gt;1,"",IF(I4321="SBJ","CB","?"))</f>
        <v> </v>
      </c>
      <c r="I4321" s="25" t="str">
        <f>IF(OR(E4321="",E4321="!!!",F4321="NEW"),"",INDEX(B4320:B$2,-1+SUMPRODUCT(MAX(ROW(E4320:E$2)*(E4321=E4320:E$2)))))</f>
        <v> </v>
      </c>
      <c r="J4321" s="25" t="str">
        <f>IF(OR(E4321="",E4321="!!!",F4321="NEW"),"",COUNTBLANK(OFFSET(A$1,,,SUMPRODUCT(MAX(ROW(E$2:E4321)*(E4321=E$2:E4321)))))-COUNTBLANK(OFFSET(A$1,,,SUMPRODUCT(MAX(ROW(E$1:E4320)*(E2=E$1:E4320))))))</f>
        <v> </v>
      </c>
      <c r="K4321" s="25" t="str">
        <f>IF(OR(E4321="",E4321="!!!",F4321="NEW"),"",INDEX(J$1:J4320,SUMPRODUCT(MAX(ROW(E$1:E4320)*(E4321=E$1:E4320)))))</f>
        <v> </v>
      </c>
      <c r="L4321" s="26"/>
    </row>
    <row r="4322" spans="1:12">
      <c r="A4322" s="20" t="s">
        <v>2803</v>
      </c>
      <c r="E4322" s="21">
        <f>IF(D4322="?OLD","!!!","")</f>
        <v/>
      </c>
      <c r="F4322" s="22" t="str">
        <f>IF(OR(E4322="",E4322="!!!"),"",IF(NOT(ISNA(VLOOKUP(E4322,E$1:E4321,1,FALSE()))),"OLD",IF(AND(E4322&lt;&gt;"",E4322&lt;&gt;"!!!"),"NEW","")))</f>
        <v> </v>
      </c>
      <c r="G4322" s="23" t="str">
        <f>IF(OR(E4322="",E4322="!!!"),"",IF(OR(J4322=0,AND(J4322=1,K4322=1),AND(J4322=1,I4322="SBJ"),AND(J4322=1,I4322=0)),"?IN_FOCUS",IF(J4322&lt;=2,"?ACTIVATED",IF(J4322&lt;&gt;"","?FAMILIAR",IF(F4322="NEW",IF(ISNA(VLOOKUP(E4322,#REF!,1,FALSE())),"?TYPE_IDENTIFIABLE","?REFERENTIAL"),"_")))))</f>
        <v> </v>
      </c>
      <c r="H4322" s="24" t="str">
        <f>IF(J4322&lt;&gt;1,"",IF(I4322="SBJ","CB","?"))</f>
        <v> </v>
      </c>
      <c r="I4322" s="25" t="str">
        <f>IF(OR(E4322="",E4322="!!!",F4322="NEW"),"",INDEX(B4321:B$2,-1+SUMPRODUCT(MAX(ROW(E4321:E$2)*(E4322=E4321:E$2)))))</f>
        <v> </v>
      </c>
      <c r="J4322" s="25" t="str">
        <f>IF(OR(E4322="",E4322="!!!",F4322="NEW"),"",COUNTBLANK(OFFSET(A$1,,,SUMPRODUCT(MAX(ROW(E$2:E4322)*(E4322=E$2:E4322)))))-COUNTBLANK(OFFSET(A$1,,,SUMPRODUCT(MAX(ROW(E$1:E4321)*(E2=E$1:E4321))))))</f>
        <v> </v>
      </c>
      <c r="K4322" s="25" t="str">
        <f>IF(OR(E4322="",E4322="!!!",F4322="NEW"),"",INDEX(J$1:J4321,SUMPRODUCT(MAX(ROW(E$1:E4321)*(E4322=E$1:E4321)))))</f>
        <v> </v>
      </c>
      <c r="L4322" s="26"/>
    </row>
    <row r="4323" spans="1:12">
      <c r="A4323" s="20" t="s">
        <v>2804</v>
      </c>
      <c r="E4323" s="21">
        <f>IF(D4323="?OLD","!!!","")</f>
        <v/>
      </c>
      <c r="F4323" s="22" t="str">
        <f>IF(OR(E4323="",E4323="!!!"),"",IF(NOT(ISNA(VLOOKUP(E4323,E$1:E4322,1,FALSE()))),"OLD",IF(AND(E4323&lt;&gt;"",E4323&lt;&gt;"!!!"),"NEW","")))</f>
        <v> </v>
      </c>
      <c r="G4323" s="23" t="str">
        <f>IF(OR(E4323="",E4323="!!!"),"",IF(OR(J4323=0,AND(J4323=1,K4323=1),AND(J4323=1,I4323="SBJ"),AND(J4323=1,I4323=0)),"?IN_FOCUS",IF(J4323&lt;=2,"?ACTIVATED",IF(J4323&lt;&gt;"","?FAMILIAR",IF(F4323="NEW",IF(ISNA(VLOOKUP(E4323,#REF!,1,FALSE())),"?TYPE_IDENTIFIABLE","?REFERENTIAL"),"_")))))</f>
        <v> </v>
      </c>
      <c r="H4323" s="24" t="str">
        <f>IF(J4323&lt;&gt;1,"",IF(I4323="SBJ","CB","?"))</f>
        <v> </v>
      </c>
      <c r="I4323" s="25" t="str">
        <f>IF(OR(E4323="",E4323="!!!",F4323="NEW"),"",INDEX(B4322:B$2,-1+SUMPRODUCT(MAX(ROW(E4322:E$2)*(E4323=E4322:E$2)))))</f>
        <v> </v>
      </c>
      <c r="J4323" s="25" t="str">
        <f>IF(OR(E4323="",E4323="!!!",F4323="NEW"),"",COUNTBLANK(OFFSET(A$1,,,SUMPRODUCT(MAX(ROW(E$2:E4323)*(E4323=E$2:E4323)))))-COUNTBLANK(OFFSET(A$1,,,SUMPRODUCT(MAX(ROW(E$1:E4322)*(E2=E$1:E4322))))))</f>
        <v> </v>
      </c>
      <c r="K4323" s="25" t="str">
        <f>IF(OR(E4323="",E4323="!!!",F4323="NEW"),"",INDEX(J$1:J4322,SUMPRODUCT(MAX(ROW(E$1:E4322)*(E4323=E$1:E4322)))))</f>
        <v> </v>
      </c>
      <c r="L4323" s="26"/>
    </row>
    <row r="4324" spans="1:12">
      <c r="A4324" s="20" t="s">
        <v>2805</v>
      </c>
      <c r="E4324" s="21">
        <f>IF(D4324="?OLD","!!!","")</f>
        <v/>
      </c>
      <c r="F4324" s="22" t="str">
        <f>IF(OR(E4324="",E4324="!!!"),"",IF(NOT(ISNA(VLOOKUP(E4324,E$1:E4323,1,FALSE()))),"OLD",IF(AND(E4324&lt;&gt;"",E4324&lt;&gt;"!!!"),"NEW","")))</f>
        <v> </v>
      </c>
      <c r="G4324" s="23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4" t="str">
        <f>IF(J4324&lt;&gt;1,"",IF(I4324="SBJ","CB","?"))</f>
        <v> </v>
      </c>
      <c r="I4324" s="25" t="str">
        <f>IF(OR(E4324="",E4324="!!!",F4324="NEW"),"",INDEX(B4323:B$2,-1+SUMPRODUCT(MAX(ROW(E4323:E$2)*(E4324=E4323:E$2)))))</f>
        <v> </v>
      </c>
      <c r="J4324" s="25" t="str">
        <f>IF(OR(E4324="",E4324="!!!",F4324="NEW"),"",COUNTBLANK(OFFSET(A$1,,,SUMPRODUCT(MAX(ROW(E$2:E4324)*(E4324=E$2:E4324)))))-COUNTBLANK(OFFSET(A$1,,,SUMPRODUCT(MAX(ROW(E$1:E4323)*(E2=E$1:E4323))))))</f>
        <v> </v>
      </c>
      <c r="K4324" s="25" t="str">
        <f>IF(OR(E4324="",E4324="!!!",F4324="NEW"),"",INDEX(J$1:J4323,SUMPRODUCT(MAX(ROW(E$1:E4323)*(E4324=E$1:E4323)))))</f>
        <v> </v>
      </c>
      <c r="L4324" s="26"/>
    </row>
    <row r="4325" spans="1:12">
      <c r="A4325" s="20" t="s">
        <v>2319</v>
      </c>
      <c r="B4325" s="27" t="s">
        <v>2366</v>
      </c>
      <c r="E4325" s="21">
        <f>IF(D4325="?OLD","!!!","")</f>
        <v/>
      </c>
      <c r="F4325" s="22" t="str">
        <f>IF(OR(E4325="",E4325="!!!"),"",IF(NOT(ISNA(VLOOKUP(E4325,E$1:E4324,1,FALSE()))),"OLD",IF(AND(E4325&lt;&gt;"",E4325&lt;&gt;"!!!"),"NEW","")))</f>
        <v> </v>
      </c>
      <c r="G4325" s="23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4" t="str">
        <f>IF(J4325&lt;&gt;1,"",IF(I4325="SBJ","CB","?"))</f>
        <v> </v>
      </c>
      <c r="I4325" s="25" t="str">
        <f>IF(OR(E4325="",E4325="!!!",F4325="NEW"),"",INDEX(B4324:B$2,-1+SUMPRODUCT(MAX(ROW(E4324:E$2)*(E4325=E4324:E$2)))))</f>
        <v> </v>
      </c>
      <c r="J4325" s="25" t="str">
        <f>IF(OR(E4325="",E4325="!!!",F4325="NEW"),"",COUNTBLANK(OFFSET(A$1,,,SUMPRODUCT(MAX(ROW(E$2:E4325)*(E4325=E$2:E4325)))))-COUNTBLANK(OFFSET(A$1,,,SUMPRODUCT(MAX(ROW(E$1:E4324)*(E2=E$1:E4324))))))</f>
        <v> </v>
      </c>
      <c r="K4325" s="25" t="str">
        <f>IF(OR(E4325="",E4325="!!!",F4325="NEW"),"",INDEX(J$1:J4324,SUMPRODUCT(MAX(ROW(E$1:E4324)*(E4325=E$1:E4324)))))</f>
        <v> </v>
      </c>
      <c r="L4325" s="26"/>
    </row>
    <row r="4326" spans="1:12">
      <c r="A4326" s="20" t="s">
        <v>1032</v>
      </c>
      <c r="E4326" s="21">
        <f>IF(D4326="?OLD","!!!","")</f>
        <v/>
      </c>
      <c r="F4326" s="22" t="str">
        <f>IF(OR(E4326="",E4326="!!!"),"",IF(NOT(ISNA(VLOOKUP(E4326,E$1:E4325,1,FALSE()))),"OLD",IF(AND(E4326&lt;&gt;"",E4326&lt;&gt;"!!!"),"NEW","")))</f>
        <v> </v>
      </c>
      <c r="G4326" s="23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4" t="str">
        <f>IF(J4326&lt;&gt;1,"",IF(I4326="SBJ","CB","?"))</f>
        <v> </v>
      </c>
      <c r="I4326" s="25" t="str">
        <f>IF(OR(E4326="",E4326="!!!",F4326="NEW"),"",INDEX(B4325:B$2,-1+SUMPRODUCT(MAX(ROW(E4325:E$2)*(E4326=E4325:E$2)))))</f>
        <v> </v>
      </c>
      <c r="J4326" s="25" t="str">
        <f>IF(OR(E4326="",E4326="!!!",F4326="NEW"),"",COUNTBLANK(OFFSET(A$1,,,SUMPRODUCT(MAX(ROW(E$2:E4326)*(E4326=E$2:E4326)))))-COUNTBLANK(OFFSET(A$1,,,SUMPRODUCT(MAX(ROW(E$1:E4325)*(E2=E$1:E4325))))))</f>
        <v> </v>
      </c>
      <c r="K4326" s="25" t="str">
        <f>IF(OR(E4326="",E4326="!!!",F4326="NEW"),"",INDEX(J$1:J4325,SUMPRODUCT(MAX(ROW(E$1:E4325)*(E4326=E$1:E4325)))))</f>
        <v> </v>
      </c>
      <c r="L4326" s="26"/>
    </row>
    <row r="4327" spans="1:12">
      <c r="A4327" s="20"/>
    </row>
    <row r="4328" spans="1:12">
      <c r="A4328" s="20" t="s">
        <v>2806</v>
      </c>
    </row>
    <row r="4329" spans="1:12">
      <c r="A4329" s="20" t="s">
        <v>1736</v>
      </c>
      <c r="E4329" s="21">
        <f>IF(D4329="?OLD","!!!","")</f>
        <v/>
      </c>
      <c r="F4329" s="22" t="str">
        <f>IF(OR(E4329="",E4329="!!!"),"",IF(NOT(ISNA(VLOOKUP(E4329,E$1:E4328,1,FALSE()))),"OLD",IF(AND(E4329&lt;&gt;"",E4329&lt;&gt;"!!!"),"NEW","")))</f>
        <v> </v>
      </c>
      <c r="G4329" s="23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4" t="str">
        <f>IF(J4329&lt;&gt;1,"",IF(I4329="SBJ","CB","?"))</f>
        <v> </v>
      </c>
      <c r="I4329" s="25" t="str">
        <f>IF(OR(E4329="",E4329="!!!",F4329="NEW"),"",INDEX(B4328:B$2,-1+SUMPRODUCT(MAX(ROW(E4328:E$2)*(E4329=E4328:E$2)))))</f>
        <v> </v>
      </c>
      <c r="J4329" s="25" t="str">
        <f>IF(OR(E4329="",E4329="!!!",F4329="NEW"),"",COUNTBLANK(OFFSET(A$1,,,SUMPRODUCT(MAX(ROW(E$2:E4329)*(E4329=E$2:E4329)))))-COUNTBLANK(OFFSET(A$1,,,SUMPRODUCT(MAX(ROW(E$1:E4328)*(E2=E$1:E4328))))))</f>
        <v> </v>
      </c>
      <c r="K4329" s="25" t="str">
        <f>IF(OR(E4329="",E4329="!!!",F4329="NEW"),"",INDEX(J$1:J4328,SUMPRODUCT(MAX(ROW(E$1:E4328)*(E4329=E$1:E4328)))))</f>
        <v> </v>
      </c>
      <c r="L4329" s="26"/>
    </row>
    <row r="4330" spans="1:12">
      <c r="A4330" s="20" t="s">
        <v>305</v>
      </c>
      <c r="E4330" s="21">
        <f>IF(D4330="?OLD","!!!","")</f>
        <v/>
      </c>
      <c r="F4330" s="22" t="str">
        <f>IF(OR(E4330="",E4330="!!!"),"",IF(NOT(ISNA(VLOOKUP(E4330,E$1:E4329,1,FALSE()))),"OLD",IF(AND(E4330&lt;&gt;"",E4330&lt;&gt;"!!!"),"NEW","")))</f>
        <v> </v>
      </c>
      <c r="G4330" s="23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4" t="str">
        <f>IF(J4330&lt;&gt;1,"",IF(I4330="SBJ","CB","?"))</f>
        <v> </v>
      </c>
      <c r="I4330" s="25" t="str">
        <f>IF(OR(E4330="",E4330="!!!",F4330="NEW"),"",INDEX(B4329:B$2,-1+SUMPRODUCT(MAX(ROW(E4329:E$2)*(E4330=E4329:E$2)))))</f>
        <v> </v>
      </c>
      <c r="J4330" s="25" t="str">
        <f>IF(OR(E4330="",E4330="!!!",F4330="NEW"),"",COUNTBLANK(OFFSET(A$1,,,SUMPRODUCT(MAX(ROW(E$2:E4330)*(E4330=E$2:E4330)))))-COUNTBLANK(OFFSET(A$1,,,SUMPRODUCT(MAX(ROW(E$1:E4329)*(E2=E$1:E4329))))))</f>
        <v> </v>
      </c>
      <c r="K4330" s="25" t="str">
        <f>IF(OR(E4330="",E4330="!!!",F4330="NEW"),"",INDEX(J$1:J4329,SUMPRODUCT(MAX(ROW(E$1:E4329)*(E4330=E$1:E4329)))))</f>
        <v> </v>
      </c>
      <c r="L4330" s="26"/>
    </row>
    <row r="4331" spans="1:12">
      <c r="A4331" s="20" t="s">
        <v>1041</v>
      </c>
      <c r="E4331" s="21">
        <f>IF(D4331="?OLD","!!!","")</f>
        <v/>
      </c>
      <c r="F4331" s="22" t="str">
        <f>IF(OR(E4331="",E4331="!!!"),"",IF(NOT(ISNA(VLOOKUP(E4331,E$1:E4330,1,FALSE()))),"OLD",IF(AND(E4331&lt;&gt;"",E4331&lt;&gt;"!!!"),"NEW","")))</f>
        <v> </v>
      </c>
      <c r="G4331" s="23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4" t="str">
        <f>IF(J4331&lt;&gt;1,"",IF(I4331="SBJ","CB","?"))</f>
        <v> </v>
      </c>
      <c r="I4331" s="25" t="str">
        <f>IF(OR(E4331="",E4331="!!!",F4331="NEW"),"",INDEX(B4330:B$2,-1+SUMPRODUCT(MAX(ROW(E4330:E$2)*(E4331=E4330:E$2)))))</f>
        <v> </v>
      </c>
      <c r="J4331" s="25" t="str">
        <f>IF(OR(E4331="",E4331="!!!",F4331="NEW"),"",COUNTBLANK(OFFSET(A$1,,,SUMPRODUCT(MAX(ROW(E$2:E4331)*(E4331=E$2:E4331)))))-COUNTBLANK(OFFSET(A$1,,,SUMPRODUCT(MAX(ROW(E$1:E4330)*(E2=E$1:E4330))))))</f>
        <v> </v>
      </c>
      <c r="K4331" s="25" t="str">
        <f>IF(OR(E4331="",E4331="!!!",F4331="NEW"),"",INDEX(J$1:J4330,SUMPRODUCT(MAX(ROW(E$1:E4330)*(E4331=E$1:E4330)))))</f>
        <v> </v>
      </c>
      <c r="L4331" s="26"/>
    </row>
    <row r="4332" spans="1:12">
      <c r="A4332" s="20" t="s">
        <v>1678</v>
      </c>
      <c r="B4332" s="27" t="s">
        <v>1080</v>
      </c>
      <c r="C4332" s="27" t="s">
        <v>1036</v>
      </c>
      <c r="D4332" s="27" t="s">
        <v>1026</v>
      </c>
      <c r="E4332" s="21">
        <f>IF(D4332="?OLD","!!!","")</f>
        <v/>
      </c>
      <c r="F4332" s="22" t="str">
        <f>IF(OR(E4332="",E4332="!!!"),"",IF(NOT(ISNA(VLOOKUP(E4332,E$1:E4331,1,FALSE()))),"OLD",IF(AND(E4332&lt;&gt;"",E4332&lt;&gt;"!!!"),"NEW","")))</f>
        <v> </v>
      </c>
      <c r="G4332" s="23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4" t="str">
        <f>IF(J4332&lt;&gt;1,"",IF(I4332="SBJ","CB","?"))</f>
        <v> </v>
      </c>
      <c r="I4332" s="25" t="str">
        <f>IF(OR(E4332="",E4332="!!!",F4332="NEW"),"",INDEX(B4331:B$2,-1+SUMPRODUCT(MAX(ROW(E4331:E$2)*(E4332=E4331:E$2)))))</f>
        <v> </v>
      </c>
      <c r="J4332" s="25" t="str">
        <f>IF(OR(E4332="",E4332="!!!",F4332="NEW"),"",COUNTBLANK(OFFSET(A$1,,,SUMPRODUCT(MAX(ROW(E$2:E4332)*(E4332=E$2:E4332)))))-COUNTBLANK(OFFSET(A$1,,,SUMPRODUCT(MAX(ROW(E$1:E4331)*(E2=E$1:E4331))))))</f>
        <v> </v>
      </c>
      <c r="K4332" s="25" t="str">
        <f>IF(OR(E4332="",E4332="!!!",F4332="NEW"),"",INDEX(J$1:J4331,SUMPRODUCT(MAX(ROW(E$1:E4331)*(E4332=E$1:E4331)))))</f>
        <v> </v>
      </c>
      <c r="L4332" s="26"/>
    </row>
    <row r="4333" spans="1:12">
      <c r="A4333" s="20" t="s">
        <v>1213</v>
      </c>
      <c r="B4333" s="27" t="s">
        <v>1024</v>
      </c>
      <c r="C4333" s="27" t="s">
        <v>1025</v>
      </c>
      <c r="D4333" s="27" t="s">
        <v>1026</v>
      </c>
      <c r="E4333" s="21">
        <f>IF(D4333="?OLD","!!!","")</f>
        <v/>
      </c>
      <c r="F4333" s="22" t="str">
        <f>IF(OR(E4333="",E4333="!!!"),"",IF(NOT(ISNA(VLOOKUP(E4333,E$1:E4332,1,FALSE()))),"OLD",IF(AND(E4333&lt;&gt;"",E4333&lt;&gt;"!!!"),"NEW","")))</f>
        <v> </v>
      </c>
      <c r="G4333" s="23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4" t="str">
        <f>IF(J4333&lt;&gt;1,"",IF(I4333="SBJ","CB","?"))</f>
        <v> </v>
      </c>
      <c r="I4333" s="25" t="str">
        <f>IF(OR(E4333="",E4333="!!!",F4333="NEW"),"",INDEX(B4332:B$2,-1+SUMPRODUCT(MAX(ROW(E4332:E$2)*(E4333=E4332:E$2)))))</f>
        <v> </v>
      </c>
      <c r="J4333" s="25" t="str">
        <f>IF(OR(E4333="",E4333="!!!",F4333="NEW"),"",COUNTBLANK(OFFSET(A$1,,,SUMPRODUCT(MAX(ROW(E$2:E4333)*(E4333=E$2:E4333)))))-COUNTBLANK(OFFSET(A$1,,,SUMPRODUCT(MAX(ROW(E$1:E4332)*(E2=E$1:E4332))))))</f>
        <v> </v>
      </c>
      <c r="K4333" s="25" t="str">
        <f>IF(OR(E4333="",E4333="!!!",F4333="NEW"),"",INDEX(J$1:J4332,SUMPRODUCT(MAX(ROW(E$1:E4332)*(E4333=E$1:E4332)))))</f>
        <v> </v>
      </c>
      <c r="L4333" s="26"/>
    </row>
    <row r="4334" spans="1:12">
      <c r="A4334" s="20" t="s">
        <v>1119</v>
      </c>
      <c r="E4334" s="21">
        <f>IF(D4334="?OLD","!!!","")</f>
        <v/>
      </c>
      <c r="F4334" s="22" t="str">
        <f>IF(OR(E4334="",E4334="!!!"),"",IF(NOT(ISNA(VLOOKUP(E4334,E$1:E4333,1,FALSE()))),"OLD",IF(AND(E4334&lt;&gt;"",E4334&lt;&gt;"!!!"),"NEW","")))</f>
        <v> </v>
      </c>
      <c r="G4334" s="23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4" t="str">
        <f>IF(J4334&lt;&gt;1,"",IF(I4334="SBJ","CB","?"))</f>
        <v> </v>
      </c>
      <c r="I4334" s="25" t="str">
        <f>IF(OR(E4334="",E4334="!!!",F4334="NEW"),"",INDEX(B4333:B$2,-1+SUMPRODUCT(MAX(ROW(E4333:E$2)*(E4334=E4333:E$2)))))</f>
        <v> </v>
      </c>
      <c r="J4334" s="25" t="str">
        <f>IF(OR(E4334="",E4334="!!!",F4334="NEW"),"",COUNTBLANK(OFFSET(A$1,,,SUMPRODUCT(MAX(ROW(E$2:E4334)*(E4334=E$2:E4334)))))-COUNTBLANK(OFFSET(A$1,,,SUMPRODUCT(MAX(ROW(E$1:E4333)*(E2=E$1:E4333))))))</f>
        <v> </v>
      </c>
      <c r="K4334" s="25" t="str">
        <f>IF(OR(E4334="",E4334="!!!",F4334="NEW"),"",INDEX(J$1:J4333,SUMPRODUCT(MAX(ROW(E$1:E4333)*(E4334=E$1:E4333)))))</f>
        <v> </v>
      </c>
      <c r="L4334" s="26"/>
    </row>
    <row r="4335" spans="1:12">
      <c r="A4335" s="20" t="s">
        <v>2807</v>
      </c>
      <c r="E4335" s="21">
        <f>IF(D4335="?OLD","!!!","")</f>
        <v/>
      </c>
      <c r="F4335" s="22" t="str">
        <f>IF(OR(E4335="",E4335="!!!"),"",IF(NOT(ISNA(VLOOKUP(E4335,E$1:E4334,1,FALSE()))),"OLD",IF(AND(E4335&lt;&gt;"",E4335&lt;&gt;"!!!"),"NEW","")))</f>
        <v> </v>
      </c>
      <c r="G4335" s="23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4" t="str">
        <f>IF(J4335&lt;&gt;1,"",IF(I4335="SBJ","CB","?"))</f>
        <v> </v>
      </c>
      <c r="I4335" s="25" t="str">
        <f>IF(OR(E4335="",E4335="!!!",F4335="NEW"),"",INDEX(B4334:B$2,-1+SUMPRODUCT(MAX(ROW(E4334:E$2)*(E4335=E4334:E$2)))))</f>
        <v> </v>
      </c>
      <c r="J4335" s="25" t="str">
        <f>IF(OR(E4335="",E4335="!!!",F4335="NEW"),"",COUNTBLANK(OFFSET(A$1,,,SUMPRODUCT(MAX(ROW(E$2:E4335)*(E4335=E$2:E4335)))))-COUNTBLANK(OFFSET(A$1,,,SUMPRODUCT(MAX(ROW(E$1:E4334)*(E2=E$1:E4334))))))</f>
        <v> </v>
      </c>
      <c r="K4335" s="25" t="str">
        <f>IF(OR(E4335="",E4335="!!!",F4335="NEW"),"",INDEX(J$1:J4334,SUMPRODUCT(MAX(ROW(E$1:E4334)*(E4335=E$1:E4334)))))</f>
        <v> </v>
      </c>
      <c r="L4335" s="26"/>
    </row>
    <row r="4336" spans="1:12">
      <c r="A4336" s="20" t="s">
        <v>2808</v>
      </c>
      <c r="E4336" s="21">
        <f>IF(D4336="?OLD","!!!","")</f>
        <v/>
      </c>
      <c r="F4336" s="22" t="str">
        <f>IF(OR(E4336="",E4336="!!!"),"",IF(NOT(ISNA(VLOOKUP(E4336,E$1:E4335,1,FALSE()))),"OLD",IF(AND(E4336&lt;&gt;"",E4336&lt;&gt;"!!!"),"NEW","")))</f>
        <v> </v>
      </c>
      <c r="G4336" s="23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4" t="str">
        <f>IF(J4336&lt;&gt;1,"",IF(I4336="SBJ","CB","?"))</f>
        <v> </v>
      </c>
      <c r="I4336" s="25" t="str">
        <f>IF(OR(E4336="",E4336="!!!",F4336="NEW"),"",INDEX(B4335:B$2,-1+SUMPRODUCT(MAX(ROW(E4335:E$2)*(E4336=E4335:E$2)))))</f>
        <v> </v>
      </c>
      <c r="J4336" s="25" t="str">
        <f>IF(OR(E4336="",E4336="!!!",F4336="NEW"),"",COUNTBLANK(OFFSET(A$1,,,SUMPRODUCT(MAX(ROW(E$2:E4336)*(E4336=E$2:E4336)))))-COUNTBLANK(OFFSET(A$1,,,SUMPRODUCT(MAX(ROW(E$1:E4335)*(E2=E$1:E4335))))))</f>
        <v> </v>
      </c>
      <c r="K4336" s="25" t="str">
        <f>IF(OR(E4336="",E4336="!!!",F4336="NEW"),"",INDEX(J$1:J4335,SUMPRODUCT(MAX(ROW(E$1:E4335)*(E4336=E$1:E4335)))))</f>
        <v> </v>
      </c>
      <c r="L4336" s="26"/>
    </row>
    <row r="4337" spans="1:12">
      <c r="A4337" s="20" t="s">
        <v>2809</v>
      </c>
      <c r="B4337" s="27" t="s">
        <v>1143</v>
      </c>
      <c r="E4337" s="21">
        <f>IF(D4337="?OLD","!!!","")</f>
        <v/>
      </c>
      <c r="F4337" s="22" t="str">
        <f>IF(OR(E4337="",E4337="!!!"),"",IF(NOT(ISNA(VLOOKUP(E4337,E$1:E4336,1,FALSE()))),"OLD",IF(AND(E4337&lt;&gt;"",E4337&lt;&gt;"!!!"),"NEW","")))</f>
        <v> </v>
      </c>
      <c r="G4337" s="23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4" t="str">
        <f>IF(J4337&lt;&gt;1,"",IF(I4337="SBJ","CB","?"))</f>
        <v> </v>
      </c>
      <c r="I4337" s="25" t="str">
        <f>IF(OR(E4337="",E4337="!!!",F4337="NEW"),"",INDEX(B4336:B$2,-1+SUMPRODUCT(MAX(ROW(E4336:E$2)*(E4337=E4336:E$2)))))</f>
        <v> </v>
      </c>
      <c r="J4337" s="25" t="str">
        <f>IF(OR(E4337="",E4337="!!!",F4337="NEW"),"",COUNTBLANK(OFFSET(A$1,,,SUMPRODUCT(MAX(ROW(E$2:E4337)*(E4337=E$2:E4337)))))-COUNTBLANK(OFFSET(A$1,,,SUMPRODUCT(MAX(ROW(E$1:E4336)*(E2=E$1:E4336))))))</f>
        <v> </v>
      </c>
      <c r="K4337" s="25" t="str">
        <f>IF(OR(E4337="",E4337="!!!",F4337="NEW"),"",INDEX(J$1:J4336,SUMPRODUCT(MAX(ROW(E$1:E4336)*(E4337=E$1:E4336)))))</f>
        <v> </v>
      </c>
      <c r="L4337" s="26"/>
    </row>
    <row r="4338" spans="1:12">
      <c r="A4338" s="20" t="s">
        <v>1032</v>
      </c>
      <c r="E4338" s="21">
        <f>IF(D4338="?OLD","!!!","")</f>
        <v/>
      </c>
      <c r="F4338" s="22" t="str">
        <f>IF(OR(E4338="",E4338="!!!"),"",IF(NOT(ISNA(VLOOKUP(E4338,E$1:E4337,1,FALSE()))),"OLD",IF(AND(E4338&lt;&gt;"",E4338&lt;&gt;"!!!"),"NEW","")))</f>
        <v> </v>
      </c>
      <c r="G4338" s="23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4" t="str">
        <f>IF(J4338&lt;&gt;1,"",IF(I4338="SBJ","CB","?"))</f>
        <v> </v>
      </c>
      <c r="I4338" s="25" t="str">
        <f>IF(OR(E4338="",E4338="!!!",F4338="NEW"),"",INDEX(B4337:B$2,-1+SUMPRODUCT(MAX(ROW(E4337:E$2)*(E4338=E4337:E$2)))))</f>
        <v> </v>
      </c>
      <c r="J4338" s="25" t="str">
        <f>IF(OR(E4338="",E4338="!!!",F4338="NEW"),"",COUNTBLANK(OFFSET(A$1,,,SUMPRODUCT(MAX(ROW(E$2:E4338)*(E4338=E$2:E4338)))))-COUNTBLANK(OFFSET(A$1,,,SUMPRODUCT(MAX(ROW(E$1:E4337)*(E2=E$1:E4337))))))</f>
        <v> </v>
      </c>
      <c r="K4338" s="25" t="str">
        <f>IF(OR(E4338="",E4338="!!!",F4338="NEW"),"",INDEX(J$1:J4337,SUMPRODUCT(MAX(ROW(E$1:E4337)*(E4338=E$1:E4337)))))</f>
        <v> </v>
      </c>
      <c r="L4338" s="26"/>
    </row>
    <row r="4339" spans="1:12">
      <c r="A4339" s="20"/>
    </row>
    <row r="4340" spans="1:12">
      <c r="A4340" s="20" t="s">
        <v>2810</v>
      </c>
    </row>
    <row r="4341" spans="1:12">
      <c r="A4341" s="20" t="s">
        <v>2260</v>
      </c>
      <c r="E4341" s="21">
        <f>IF(D4341="?OLD","!!!","")</f>
        <v/>
      </c>
      <c r="F4341" s="22" t="str">
        <f>IF(OR(E4341="",E4341="!!!"),"",IF(NOT(ISNA(VLOOKUP(E4341,E$1:E4340,1,FALSE()))),"OLD",IF(AND(E4341&lt;&gt;"",E4341&lt;&gt;"!!!"),"NEW","")))</f>
        <v> </v>
      </c>
      <c r="G4341" s="23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4" t="str">
        <f>IF(J4341&lt;&gt;1,"",IF(I4341="SBJ","CB","?"))</f>
        <v> </v>
      </c>
      <c r="I4341" s="25" t="str">
        <f>IF(OR(E4341="",E4341="!!!",F4341="NEW"),"",INDEX(B4340:B$2,-1+SUMPRODUCT(MAX(ROW(E4340:E$2)*(E4341=E4340:E$2)))))</f>
        <v> </v>
      </c>
      <c r="J4341" s="25" t="str">
        <f>IF(OR(E4341="",E4341="!!!",F4341="NEW"),"",COUNTBLANK(OFFSET(A$1,,,SUMPRODUCT(MAX(ROW(E$2:E4341)*(E4341=E$2:E4341)))))-COUNTBLANK(OFFSET(A$1,,,SUMPRODUCT(MAX(ROW(E$1:E4340)*(E2=E$1:E4340))))))</f>
        <v> </v>
      </c>
      <c r="K4341" s="25" t="str">
        <f>IF(OR(E4341="",E4341="!!!",F4341="NEW"),"",INDEX(J$1:J4340,SUMPRODUCT(MAX(ROW(E$1:E4340)*(E4341=E$1:E4340)))))</f>
        <v> </v>
      </c>
      <c r="L4341" s="26"/>
    </row>
    <row r="4342" spans="1:12">
      <c r="A4342" s="20" t="s">
        <v>1811</v>
      </c>
      <c r="E4342" s="21">
        <f>IF(D4342="?OLD","!!!","")</f>
        <v/>
      </c>
      <c r="F4342" s="22" t="str">
        <f>IF(OR(E4342="",E4342="!!!"),"",IF(NOT(ISNA(VLOOKUP(E4342,E$1:E4341,1,FALSE()))),"OLD",IF(AND(E4342&lt;&gt;"",E4342&lt;&gt;"!!!"),"NEW","")))</f>
        <v> </v>
      </c>
      <c r="G4342" s="23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4" t="str">
        <f>IF(J4342&lt;&gt;1,"",IF(I4342="SBJ","CB","?"))</f>
        <v> </v>
      </c>
      <c r="I4342" s="25" t="str">
        <f>IF(OR(E4342="",E4342="!!!",F4342="NEW"),"",INDEX(B4341:B$2,-1+SUMPRODUCT(MAX(ROW(E4341:E$2)*(E4342=E4341:E$2)))))</f>
        <v> </v>
      </c>
      <c r="J4342" s="25" t="str">
        <f>IF(OR(E4342="",E4342="!!!",F4342="NEW"),"",COUNTBLANK(OFFSET(A$1,,,SUMPRODUCT(MAX(ROW(E$2:E4342)*(E4342=E$2:E4342)))))-COUNTBLANK(OFFSET(A$1,,,SUMPRODUCT(MAX(ROW(E$1:E4341)*(E2=E$1:E4341))))))</f>
        <v> </v>
      </c>
      <c r="K4342" s="25" t="str">
        <f>IF(OR(E4342="",E4342="!!!",F4342="NEW"),"",INDEX(J$1:J4341,SUMPRODUCT(MAX(ROW(E$1:E4341)*(E4342=E$1:E4341)))))</f>
        <v> </v>
      </c>
      <c r="L4342" s="26"/>
    </row>
    <row r="4343" spans="1:12">
      <c r="A4343" s="20" t="s">
        <v>1041</v>
      </c>
      <c r="E4343" s="21">
        <f>IF(D4343="?OLD","!!!","")</f>
        <v/>
      </c>
      <c r="F4343" s="22" t="str">
        <f>IF(OR(E4343="",E4343="!!!"),"",IF(NOT(ISNA(VLOOKUP(E4343,E$1:E4342,1,FALSE()))),"OLD",IF(AND(E4343&lt;&gt;"",E4343&lt;&gt;"!!!"),"NEW","")))</f>
        <v> </v>
      </c>
      <c r="G4343" s="23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4" t="str">
        <f>IF(J4343&lt;&gt;1,"",IF(I4343="SBJ","CB","?"))</f>
        <v> </v>
      </c>
      <c r="I4343" s="25" t="str">
        <f>IF(OR(E4343="",E4343="!!!",F4343="NEW"),"",INDEX(B4342:B$2,-1+SUMPRODUCT(MAX(ROW(E4342:E$2)*(E4343=E4342:E$2)))))</f>
        <v> </v>
      </c>
      <c r="J4343" s="25" t="str">
        <f>IF(OR(E4343="",E4343="!!!",F4343="NEW"),"",COUNTBLANK(OFFSET(A$1,,,SUMPRODUCT(MAX(ROW(E$2:E4343)*(E4343=E$2:E4343)))))-COUNTBLANK(OFFSET(A$1,,,SUMPRODUCT(MAX(ROW(E$1:E4342)*(E2=E$1:E4342))))))</f>
        <v> </v>
      </c>
      <c r="K4343" s="25" t="str">
        <f>IF(OR(E4343="",E4343="!!!",F4343="NEW"),"",INDEX(J$1:J4342,SUMPRODUCT(MAX(ROW(E$1:E4342)*(E4343=E$1:E4342)))))</f>
        <v> </v>
      </c>
      <c r="L4343" s="26"/>
    </row>
    <row r="4344" spans="1:12">
      <c r="A4344" s="20" t="s">
        <v>201</v>
      </c>
      <c r="E4344" s="21">
        <f>IF(D4344="?OLD","!!!","")</f>
        <v/>
      </c>
      <c r="F4344" s="22" t="str">
        <f>IF(OR(E4344="",E4344="!!!"),"",IF(NOT(ISNA(VLOOKUP(E4344,E$1:E4343,1,FALSE()))),"OLD",IF(AND(E4344&lt;&gt;"",E4344&lt;&gt;"!!!"),"NEW","")))</f>
        <v> </v>
      </c>
      <c r="G4344" s="23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4" t="str">
        <f>IF(J4344&lt;&gt;1,"",IF(I4344="SBJ","CB","?"))</f>
        <v> </v>
      </c>
      <c r="I4344" s="25" t="str">
        <f>IF(OR(E4344="",E4344="!!!",F4344="NEW"),"",INDEX(B4343:B$2,-1+SUMPRODUCT(MAX(ROW(E4343:E$2)*(E4344=E4343:E$2)))))</f>
        <v> </v>
      </c>
      <c r="J4344" s="25" t="str">
        <f>IF(OR(E4344="",E4344="!!!",F4344="NEW"),"",COUNTBLANK(OFFSET(A$1,,,SUMPRODUCT(MAX(ROW(E$2:E4344)*(E4344=E$2:E4344)))))-COUNTBLANK(OFFSET(A$1,,,SUMPRODUCT(MAX(ROW(E$1:E4343)*(E2=E$1:E4343))))))</f>
        <v> </v>
      </c>
      <c r="K4344" s="25" t="str">
        <f>IF(OR(E4344="",E4344="!!!",F4344="NEW"),"",INDEX(J$1:J4343,SUMPRODUCT(MAX(ROW(E$1:E4343)*(E4344=E$1:E4343)))))</f>
        <v> </v>
      </c>
      <c r="L4344" s="26"/>
    </row>
    <row r="4345" spans="1:12">
      <c r="A4345" s="20" t="s">
        <v>1086</v>
      </c>
      <c r="B4345" s="27" t="s">
        <v>1048</v>
      </c>
      <c r="C4345" s="27" t="s">
        <v>1036</v>
      </c>
      <c r="D4345" s="27" t="s">
        <v>1026</v>
      </c>
      <c r="E4345" s="21">
        <f>IF(D4345="?OLD","!!!","")</f>
        <v/>
      </c>
      <c r="F4345" s="22" t="str">
        <f>IF(OR(E4345="",E4345="!!!"),"",IF(NOT(ISNA(VLOOKUP(E4345,E$1:E4344,1,FALSE()))),"OLD",IF(AND(E4345&lt;&gt;"",E4345&lt;&gt;"!!!"),"NEW","")))</f>
        <v> </v>
      </c>
      <c r="G4345" s="23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4" t="str">
        <f>IF(J4345&lt;&gt;1,"",IF(I4345="SBJ","CB","?"))</f>
        <v> </v>
      </c>
      <c r="I4345" s="25" t="str">
        <f>IF(OR(E4345="",E4345="!!!",F4345="NEW"),"",INDEX(B4344:B$2,-1+SUMPRODUCT(MAX(ROW(E4344:E$2)*(E4345=E4344:E$2)))))</f>
        <v> </v>
      </c>
      <c r="J4345" s="25" t="str">
        <f>IF(OR(E4345="",E4345="!!!",F4345="NEW"),"",COUNTBLANK(OFFSET(A$1,,,SUMPRODUCT(MAX(ROW(E$2:E4345)*(E4345=E$2:E4345)))))-COUNTBLANK(OFFSET(A$1,,,SUMPRODUCT(MAX(ROW(E$1:E4344)*(E2=E$1:E4344))))))</f>
        <v> </v>
      </c>
      <c r="K4345" s="25" t="str">
        <f>IF(OR(E4345="",E4345="!!!",F4345="NEW"),"",INDEX(J$1:J4344,SUMPRODUCT(MAX(ROW(E$1:E4344)*(E4345=E$1:E4344)))))</f>
        <v> </v>
      </c>
      <c r="L4345" s="26"/>
    </row>
    <row r="4346" spans="1:12">
      <c r="A4346" s="20" t="s">
        <v>1107</v>
      </c>
      <c r="E4346" s="21">
        <f>IF(D4346="?OLD","!!!","")</f>
        <v/>
      </c>
      <c r="F4346" s="22" t="str">
        <f>IF(OR(E4346="",E4346="!!!"),"",IF(NOT(ISNA(VLOOKUP(E4346,E$1:E4345,1,FALSE()))),"OLD",IF(AND(E4346&lt;&gt;"",E4346&lt;&gt;"!!!"),"NEW","")))</f>
        <v> </v>
      </c>
      <c r="G4346" s="23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4" t="str">
        <f>IF(J4346&lt;&gt;1,"",IF(I4346="SBJ","CB","?"))</f>
        <v> </v>
      </c>
      <c r="I4346" s="25" t="str">
        <f>IF(OR(E4346="",E4346="!!!",F4346="NEW"),"",INDEX(B4345:B$2,-1+SUMPRODUCT(MAX(ROW(E4345:E$2)*(E4346=E4345:E$2)))))</f>
        <v> </v>
      </c>
      <c r="J4346" s="25" t="str">
        <f>IF(OR(E4346="",E4346="!!!",F4346="NEW"),"",COUNTBLANK(OFFSET(A$1,,,SUMPRODUCT(MAX(ROW(E$2:E4346)*(E4346=E$2:E4346)))))-COUNTBLANK(OFFSET(A$1,,,SUMPRODUCT(MAX(ROW(E$1:E4345)*(E2=E$1:E4345))))))</f>
        <v> </v>
      </c>
      <c r="K4346" s="25" t="str">
        <f>IF(OR(E4346="",E4346="!!!",F4346="NEW"),"",INDEX(J$1:J4345,SUMPRODUCT(MAX(ROW(E$1:E4345)*(E4346=E$1:E4345)))))</f>
        <v> </v>
      </c>
      <c r="L4346" s="26"/>
    </row>
    <row r="4347" spans="1:12">
      <c r="A4347" s="20" t="s">
        <v>2811</v>
      </c>
      <c r="E4347" s="21">
        <f>IF(D4347="?OLD","!!!","")</f>
        <v/>
      </c>
      <c r="F4347" s="22" t="str">
        <f>IF(OR(E4347="",E4347="!!!"),"",IF(NOT(ISNA(VLOOKUP(E4347,E$1:E4346,1,FALSE()))),"OLD",IF(AND(E4347&lt;&gt;"",E4347&lt;&gt;"!!!"),"NEW","")))</f>
        <v> </v>
      </c>
      <c r="G4347" s="23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4" t="str">
        <f>IF(J4347&lt;&gt;1,"",IF(I4347="SBJ","CB","?"))</f>
        <v> </v>
      </c>
      <c r="I4347" s="25" t="str">
        <f>IF(OR(E4347="",E4347="!!!",F4347="NEW"),"",INDEX(B4346:B$2,-1+SUMPRODUCT(MAX(ROW(E4346:E$2)*(E4347=E4346:E$2)))))</f>
        <v> </v>
      </c>
      <c r="J4347" s="25" t="str">
        <f>IF(OR(E4347="",E4347="!!!",F4347="NEW"),"",COUNTBLANK(OFFSET(A$1,,,SUMPRODUCT(MAX(ROW(E$2:E4347)*(E4347=E$2:E4347)))))-COUNTBLANK(OFFSET(A$1,,,SUMPRODUCT(MAX(ROW(E$1:E4346)*(E2=E$1:E4346))))))</f>
        <v> </v>
      </c>
      <c r="K4347" s="25" t="str">
        <f>IF(OR(E4347="",E4347="!!!",F4347="NEW"),"",INDEX(J$1:J4346,SUMPRODUCT(MAX(ROW(E$1:E4346)*(E4347=E$1:E4346)))))</f>
        <v> </v>
      </c>
      <c r="L4347" s="26"/>
    </row>
    <row r="4348" spans="1:12">
      <c r="A4348" s="20" t="s">
        <v>380</v>
      </c>
      <c r="E4348" s="21">
        <f>IF(D4348="?OLD","!!!","")</f>
        <v/>
      </c>
      <c r="F4348" s="22" t="str">
        <f>IF(OR(E4348="",E4348="!!!"),"",IF(NOT(ISNA(VLOOKUP(E4348,E$1:E4347,1,FALSE()))),"OLD",IF(AND(E4348&lt;&gt;"",E4348&lt;&gt;"!!!"),"NEW","")))</f>
        <v> </v>
      </c>
      <c r="G4348" s="23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4" t="str">
        <f>IF(J4348&lt;&gt;1,"",IF(I4348="SBJ","CB","?"))</f>
        <v> </v>
      </c>
      <c r="I4348" s="25" t="str">
        <f>IF(OR(E4348="",E4348="!!!",F4348="NEW"),"",INDEX(B4347:B$2,-1+SUMPRODUCT(MAX(ROW(E4347:E$2)*(E4348=E4347:E$2)))))</f>
        <v> </v>
      </c>
      <c r="J4348" s="25" t="str">
        <f>IF(OR(E4348="",E4348="!!!",F4348="NEW"),"",COUNTBLANK(OFFSET(A$1,,,SUMPRODUCT(MAX(ROW(E$2:E4348)*(E4348=E$2:E4348)))))-COUNTBLANK(OFFSET(A$1,,,SUMPRODUCT(MAX(ROW(E$1:E4347)*(E2=E$1:E4347))))))</f>
        <v> </v>
      </c>
      <c r="K4348" s="25" t="str">
        <f>IF(OR(E4348="",E4348="!!!",F4348="NEW"),"",INDEX(J$1:J4347,SUMPRODUCT(MAX(ROW(E$1:E4347)*(E4348=E$1:E4347)))))</f>
        <v> </v>
      </c>
      <c r="L4348" s="26"/>
    </row>
    <row r="4349" spans="1:12">
      <c r="A4349" s="20" t="s">
        <v>1032</v>
      </c>
      <c r="E4349" s="21">
        <f>IF(D4349="?OLD","!!!","")</f>
        <v/>
      </c>
      <c r="F4349" s="22" t="str">
        <f>IF(OR(E4349="",E4349="!!!"),"",IF(NOT(ISNA(VLOOKUP(E4349,E$1:E4348,1,FALSE()))),"OLD",IF(AND(E4349&lt;&gt;"",E4349&lt;&gt;"!!!"),"NEW","")))</f>
        <v> </v>
      </c>
      <c r="G4349" s="23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4" t="str">
        <f>IF(J4349&lt;&gt;1,"",IF(I4349="SBJ","CB","?"))</f>
        <v> </v>
      </c>
      <c r="I4349" s="25" t="str">
        <f>IF(OR(E4349="",E4349="!!!",F4349="NEW"),"",INDEX(B4348:B$2,-1+SUMPRODUCT(MAX(ROW(E4348:E$2)*(E4349=E4348:E$2)))))</f>
        <v> </v>
      </c>
      <c r="J4349" s="25" t="str">
        <f>IF(OR(E4349="",E4349="!!!",F4349="NEW"),"",COUNTBLANK(OFFSET(A$1,,,SUMPRODUCT(MAX(ROW(E$2:E4349)*(E4349=E$2:E4349)))))-COUNTBLANK(OFFSET(A$1,,,SUMPRODUCT(MAX(ROW(E$1:E4348)*(E2=E$1:E4348))))))</f>
        <v> </v>
      </c>
      <c r="K4349" s="25" t="str">
        <f>IF(OR(E4349="",E4349="!!!",F4349="NEW"),"",INDEX(J$1:J4348,SUMPRODUCT(MAX(ROW(E$1:E4348)*(E4349=E$1:E4348)))))</f>
        <v> </v>
      </c>
      <c r="L4349" s="26"/>
    </row>
    <row r="4350" spans="1:12">
      <c r="A4350" s="20"/>
    </row>
    <row r="4351" spans="1:12">
      <c r="A4351" s="20" t="s">
        <v>2812</v>
      </c>
    </row>
    <row r="4352" spans="1:12">
      <c r="A4352" s="20" t="s">
        <v>2813</v>
      </c>
      <c r="B4352" s="27" t="s">
        <v>1024</v>
      </c>
      <c r="E4352" s="21">
        <f>IF(D4352="?OLD","!!!","")</f>
        <v/>
      </c>
      <c r="F4352" s="22" t="str">
        <f>IF(OR(E4352="",E4352="!!!"),"",IF(NOT(ISNA(VLOOKUP(E4352,E$1:E4351,1,FALSE()))),"OLD",IF(AND(E4352&lt;&gt;"",E4352&lt;&gt;"!!!"),"NEW","")))</f>
        <v> </v>
      </c>
      <c r="G4352" s="23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4" t="str">
        <f>IF(J4352&lt;&gt;1,"",IF(I4352="SBJ","CB","?"))</f>
        <v> </v>
      </c>
      <c r="I4352" s="25" t="str">
        <f>IF(OR(E4352="",E4352="!!!",F4352="NEW"),"",INDEX(B4351:B$2,-1+SUMPRODUCT(MAX(ROW(E4351:E$2)*(E4352=E4351:E$2)))))</f>
        <v> </v>
      </c>
      <c r="J4352" s="25" t="str">
        <f>IF(OR(E4352="",E4352="!!!",F4352="NEW"),"",COUNTBLANK(OFFSET(A$1,,,SUMPRODUCT(MAX(ROW(E$2:E4352)*(E4352=E$2:E4352)))))-COUNTBLANK(OFFSET(A$1,,,SUMPRODUCT(MAX(ROW(E$1:E4351)*(E2=E$1:E4351))))))</f>
        <v> </v>
      </c>
      <c r="K4352" s="25" t="str">
        <f>IF(OR(E4352="",E4352="!!!",F4352="NEW"),"",INDEX(J$1:J4351,SUMPRODUCT(MAX(ROW(E$1:E4351)*(E4352=E$1:E4351)))))</f>
        <v> </v>
      </c>
      <c r="L4352" s="26"/>
    </row>
    <row r="4353" spans="1:12">
      <c r="A4353" s="20" t="s">
        <v>2814</v>
      </c>
      <c r="E4353" s="21">
        <f>IF(D4353="?OLD","!!!","")</f>
        <v/>
      </c>
      <c r="F4353" s="22" t="str">
        <f>IF(OR(E4353="",E4353="!!!"),"",IF(NOT(ISNA(VLOOKUP(E4353,E$1:E4352,1,FALSE()))),"OLD",IF(AND(E4353&lt;&gt;"",E4353&lt;&gt;"!!!"),"NEW","")))</f>
        <v> </v>
      </c>
      <c r="G4353" s="23" t="str">
        <f>IF(OR(E4353="",E4353="!!!"),"",IF(OR(J4353=0,AND(J4353=1,K4353=1),AND(J4353=1,I4353="SBJ"),AND(J4353=1,I4353=0)),"?IN_FOCUS",IF(J4353&lt;=2,"?ACTIVATED",IF(J4353&lt;&gt;"","?FAMILIAR",IF(F4353="NEW",IF(ISNA(VLOOKUP(E4353,#REF!,1,FALSE())),"?TYPE_IDENTIFIABLE","?REFERENTIAL"),"_")))))</f>
        <v> </v>
      </c>
      <c r="H4353" s="24" t="str">
        <f>IF(J4353&lt;&gt;1,"",IF(I4353="SBJ","CB","?"))</f>
        <v> </v>
      </c>
      <c r="I4353" s="25" t="str">
        <f>IF(OR(E4353="",E4353="!!!",F4353="NEW"),"",INDEX(B4352:B$2,-1+SUMPRODUCT(MAX(ROW(E4352:E$2)*(E4353=E4352:E$2)))))</f>
        <v> </v>
      </c>
      <c r="J4353" s="25" t="str">
        <f>IF(OR(E4353="",E4353="!!!",F4353="NEW"),"",COUNTBLANK(OFFSET(A$1,,,SUMPRODUCT(MAX(ROW(E$2:E4353)*(E4353=E$2:E4353)))))-COUNTBLANK(OFFSET(A$1,,,SUMPRODUCT(MAX(ROW(E$1:E4352)*(E2=E$1:E4352))))))</f>
        <v> </v>
      </c>
      <c r="K4353" s="25" t="str">
        <f>IF(OR(E4353="",E4353="!!!",F4353="NEW"),"",INDEX(J$1:J4352,SUMPRODUCT(MAX(ROW(E$1:E4352)*(E4353=E$1:E4352)))))</f>
        <v> </v>
      </c>
      <c r="L4353" s="26"/>
    </row>
    <row r="4354" spans="1:12">
      <c r="A4354" s="20" t="s">
        <v>1041</v>
      </c>
      <c r="E4354" s="21">
        <f>IF(D4354="?OLD","!!!","")</f>
        <v/>
      </c>
      <c r="F4354" s="22" t="str">
        <f>IF(OR(E4354="",E4354="!!!"),"",IF(NOT(ISNA(VLOOKUP(E4354,E$1:E4353,1,FALSE()))),"OLD",IF(AND(E4354&lt;&gt;"",E4354&lt;&gt;"!!!"),"NEW","")))</f>
        <v> </v>
      </c>
      <c r="G4354" s="23" t="str">
        <f>IF(OR(E4354="",E4354="!!!"),"",IF(OR(J4354=0,AND(J4354=1,K4354=1),AND(J4354=1,I4354="SBJ"),AND(J4354=1,I4354=0)),"?IN_FOCUS",IF(J4354&lt;=2,"?ACTIVATED",IF(J4354&lt;&gt;"","?FAMILIAR",IF(F4354="NEW",IF(ISNA(VLOOKUP(E4354,#REF!,1,FALSE())),"?TYPE_IDENTIFIABLE","?REFERENTIAL"),"_")))))</f>
        <v> </v>
      </c>
      <c r="H4354" s="24" t="str">
        <f>IF(J4354&lt;&gt;1,"",IF(I4354="SBJ","CB","?"))</f>
        <v> </v>
      </c>
      <c r="I4354" s="25" t="str">
        <f>IF(OR(E4354="",E4354="!!!",F4354="NEW"),"",INDEX(B4353:B$2,-1+SUMPRODUCT(MAX(ROW(E4353:E$2)*(E4354=E4353:E$2)))))</f>
        <v> </v>
      </c>
      <c r="J4354" s="25" t="str">
        <f>IF(OR(E4354="",E4354="!!!",F4354="NEW"),"",COUNTBLANK(OFFSET(A$1,,,SUMPRODUCT(MAX(ROW(E$2:E4354)*(E4354=E$2:E4354)))))-COUNTBLANK(OFFSET(A$1,,,SUMPRODUCT(MAX(ROW(E$1:E4353)*(E2=E$1:E4353))))))</f>
        <v> </v>
      </c>
      <c r="K4354" s="25" t="str">
        <f>IF(OR(E4354="",E4354="!!!",F4354="NEW"),"",INDEX(J$1:J4353,SUMPRODUCT(MAX(ROW(E$1:E4353)*(E4354=E$1:E4353)))))</f>
        <v> </v>
      </c>
      <c r="L4354" s="26"/>
    </row>
    <row r="4355" spans="1:12">
      <c r="A4355" s="20" t="s">
        <v>201</v>
      </c>
      <c r="E4355" s="21">
        <f>IF(D4355="?OLD","!!!","")</f>
        <v/>
      </c>
      <c r="F4355" s="22" t="str">
        <f>IF(OR(E4355="",E4355="!!!"),"",IF(NOT(ISNA(VLOOKUP(E4355,E$1:E4354,1,FALSE()))),"OLD",IF(AND(E4355&lt;&gt;"",E4355&lt;&gt;"!!!"),"NEW","")))</f>
        <v> </v>
      </c>
      <c r="G4355" s="23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4" t="str">
        <f>IF(J4355&lt;&gt;1,"",IF(I4355="SBJ","CB","?"))</f>
        <v> </v>
      </c>
      <c r="I4355" s="25" t="str">
        <f>IF(OR(E4355="",E4355="!!!",F4355="NEW"),"",INDEX(B4354:B$2,-1+SUMPRODUCT(MAX(ROW(E4354:E$2)*(E4355=E4354:E$2)))))</f>
        <v> </v>
      </c>
      <c r="J4355" s="25" t="str">
        <f>IF(OR(E4355="",E4355="!!!",F4355="NEW"),"",COUNTBLANK(OFFSET(A$1,,,SUMPRODUCT(MAX(ROW(E$2:E4355)*(E4355=E$2:E4355)))))-COUNTBLANK(OFFSET(A$1,,,SUMPRODUCT(MAX(ROW(E$1:E4354)*(E2=E$1:E4354))))))</f>
        <v> </v>
      </c>
      <c r="K4355" s="25" t="str">
        <f>IF(OR(E4355="",E4355="!!!",F4355="NEW"),"",INDEX(J$1:J4354,SUMPRODUCT(MAX(ROW(E$1:E4354)*(E4355=E$1:E4354)))))</f>
        <v> </v>
      </c>
      <c r="L4355" s="26"/>
    </row>
    <row r="4356" spans="1:12">
      <c r="A4356" s="20" t="s">
        <v>1764</v>
      </c>
      <c r="E4356" s="21">
        <f>IF(D4356="?OLD","!!!","")</f>
        <v/>
      </c>
      <c r="F4356" s="22" t="str">
        <f>IF(OR(E4356="",E4356="!!!"),"",IF(NOT(ISNA(VLOOKUP(E4356,E$1:E4355,1,FALSE()))),"OLD",IF(AND(E4356&lt;&gt;"",E4356&lt;&gt;"!!!"),"NEW","")))</f>
        <v> </v>
      </c>
      <c r="G4356" s="23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4" t="str">
        <f>IF(J4356&lt;&gt;1,"",IF(I4356="SBJ","CB","?"))</f>
        <v> </v>
      </c>
      <c r="I4356" s="25" t="str">
        <f>IF(OR(E4356="",E4356="!!!",F4356="NEW"),"",INDEX(B4355:B$2,-1+SUMPRODUCT(MAX(ROW(E4355:E$2)*(E4356=E4355:E$2)))))</f>
        <v> </v>
      </c>
      <c r="J4356" s="25" t="str">
        <f>IF(OR(E4356="",E4356="!!!",F4356="NEW"),"",COUNTBLANK(OFFSET(A$1,,,SUMPRODUCT(MAX(ROW(E$2:E4356)*(E4356=E$2:E4356)))))-COUNTBLANK(OFFSET(A$1,,,SUMPRODUCT(MAX(ROW(E$1:E4355)*(E2=E$1:E4355))))))</f>
        <v> </v>
      </c>
      <c r="K4356" s="25" t="str">
        <f>IF(OR(E4356="",E4356="!!!",F4356="NEW"),"",INDEX(J$1:J4355,SUMPRODUCT(MAX(ROW(E$1:E4355)*(E4356=E$1:E4355)))))</f>
        <v> </v>
      </c>
      <c r="L4356" s="26"/>
    </row>
    <row r="4357" spans="1:12">
      <c r="A4357" s="20" t="s">
        <v>2815</v>
      </c>
      <c r="E4357" s="21">
        <f>IF(D4357="?OLD","!!!","")</f>
        <v/>
      </c>
      <c r="F4357" s="22" t="str">
        <f>IF(OR(E4357="",E4357="!!!"),"",IF(NOT(ISNA(VLOOKUP(E4357,E$1:E4356,1,FALSE()))),"OLD",IF(AND(E4357&lt;&gt;"",E4357&lt;&gt;"!!!"),"NEW","")))</f>
        <v> </v>
      </c>
      <c r="G4357" s="23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4" t="str">
        <f>IF(J4357&lt;&gt;1,"",IF(I4357="SBJ","CB","?"))</f>
        <v> </v>
      </c>
      <c r="I4357" s="25" t="str">
        <f>IF(OR(E4357="",E4357="!!!",F4357="NEW"),"",INDEX(B4356:B$2,-1+SUMPRODUCT(MAX(ROW(E4356:E$2)*(E4357=E4356:E$2)))))</f>
        <v> </v>
      </c>
      <c r="J4357" s="25" t="str">
        <f>IF(OR(E4357="",E4357="!!!",F4357="NEW"),"",COUNTBLANK(OFFSET(A$1,,,SUMPRODUCT(MAX(ROW(E$2:E4357)*(E4357=E$2:E4357)))))-COUNTBLANK(OFFSET(A$1,,,SUMPRODUCT(MAX(ROW(E$1:E4356)*(E2=E$1:E4356))))))</f>
        <v> </v>
      </c>
      <c r="K4357" s="25" t="str">
        <f>IF(OR(E4357="",E4357="!!!",F4357="NEW"),"",INDEX(J$1:J4356,SUMPRODUCT(MAX(ROW(E$1:E4356)*(E4357=E$1:E4356)))))</f>
        <v> </v>
      </c>
      <c r="L4357" s="26"/>
    </row>
    <row r="4358" spans="1:12">
      <c r="A4358" s="20" t="s">
        <v>2816</v>
      </c>
      <c r="E4358" s="21">
        <f>IF(D4358="?OLD","!!!","")</f>
        <v/>
      </c>
      <c r="F4358" s="22" t="str">
        <f>IF(OR(E4358="",E4358="!!!"),"",IF(NOT(ISNA(VLOOKUP(E4358,E$1:E4357,1,FALSE()))),"OLD",IF(AND(E4358&lt;&gt;"",E4358&lt;&gt;"!!!"),"NEW","")))</f>
        <v> </v>
      </c>
      <c r="G4358" s="23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4" t="str">
        <f>IF(J4358&lt;&gt;1,"",IF(I4358="SBJ","CB","?"))</f>
        <v> </v>
      </c>
      <c r="I4358" s="25" t="str">
        <f>IF(OR(E4358="",E4358="!!!",F4358="NEW"),"",INDEX(B4357:B$2,-1+SUMPRODUCT(MAX(ROW(E4357:E$2)*(E4358=E4357:E$2)))))</f>
        <v> </v>
      </c>
      <c r="J4358" s="25" t="str">
        <f>IF(OR(E4358="",E4358="!!!",F4358="NEW"),"",COUNTBLANK(OFFSET(A$1,,,SUMPRODUCT(MAX(ROW(E$2:E4358)*(E4358=E$2:E4358)))))-COUNTBLANK(OFFSET(A$1,,,SUMPRODUCT(MAX(ROW(E$1:E4357)*(E2=E$1:E4357))))))</f>
        <v> </v>
      </c>
      <c r="K4358" s="25" t="str">
        <f>IF(OR(E4358="",E4358="!!!",F4358="NEW"),"",INDEX(J$1:J4357,SUMPRODUCT(MAX(ROW(E$1:E4357)*(E4358=E$1:E4357)))))</f>
        <v> </v>
      </c>
      <c r="L4358" s="26"/>
    </row>
    <row r="4359" spans="1:12">
      <c r="A4359" s="20" t="s">
        <v>1030</v>
      </c>
      <c r="E4359" s="21">
        <f>IF(D4359="?OLD","!!!","")</f>
        <v/>
      </c>
      <c r="F4359" s="22" t="str">
        <f>IF(OR(E4359="",E4359="!!!"),"",IF(NOT(ISNA(VLOOKUP(E4359,E$1:E4358,1,FALSE()))),"OLD",IF(AND(E4359&lt;&gt;"",E4359&lt;&gt;"!!!"),"NEW","")))</f>
        <v> </v>
      </c>
      <c r="G4359" s="23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4" t="str">
        <f>IF(J4359&lt;&gt;1,"",IF(I4359="SBJ","CB","?"))</f>
        <v> </v>
      </c>
      <c r="I4359" s="25" t="str">
        <f>IF(OR(E4359="",E4359="!!!",F4359="NEW"),"",INDEX(B4358:B$2,-1+SUMPRODUCT(MAX(ROW(E4358:E$2)*(E4359=E4358:E$2)))))</f>
        <v> </v>
      </c>
      <c r="J4359" s="25" t="str">
        <f>IF(OR(E4359="",E4359="!!!",F4359="NEW"),"",COUNTBLANK(OFFSET(A$1,,,SUMPRODUCT(MAX(ROW(E$2:E4359)*(E4359=E$2:E4359)))))-COUNTBLANK(OFFSET(A$1,,,SUMPRODUCT(MAX(ROW(E$1:E4358)*(E2=E$1:E4358))))))</f>
        <v> </v>
      </c>
      <c r="K4359" s="25" t="str">
        <f>IF(OR(E4359="",E4359="!!!",F4359="NEW"),"",INDEX(J$1:J4358,SUMPRODUCT(MAX(ROW(E$1:E4358)*(E4359=E$1:E4358)))))</f>
        <v> </v>
      </c>
      <c r="L4359" s="26"/>
    </row>
    <row r="4360" spans="1:12">
      <c r="A4360" s="20" t="s">
        <v>491</v>
      </c>
      <c r="E4360" s="21">
        <f>IF(D4360="?OLD","!!!","")</f>
        <v/>
      </c>
      <c r="F4360" s="22" t="str">
        <f>IF(OR(E4360="",E4360="!!!"),"",IF(NOT(ISNA(VLOOKUP(E4360,E$1:E4359,1,FALSE()))),"OLD",IF(AND(E4360&lt;&gt;"",E4360&lt;&gt;"!!!"),"NEW","")))</f>
        <v> </v>
      </c>
      <c r="G4360" s="23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4" t="str">
        <f>IF(J4360&lt;&gt;1,"",IF(I4360="SBJ","CB","?"))</f>
        <v> </v>
      </c>
      <c r="I4360" s="25" t="str">
        <f>IF(OR(E4360="",E4360="!!!",F4360="NEW"),"",INDEX(B4359:B$2,-1+SUMPRODUCT(MAX(ROW(E4359:E$2)*(E4360=E4359:E$2)))))</f>
        <v> </v>
      </c>
      <c r="J4360" s="25" t="str">
        <f>IF(OR(E4360="",E4360="!!!",F4360="NEW"),"",COUNTBLANK(OFFSET(A$1,,,SUMPRODUCT(MAX(ROW(E$2:E4360)*(E4360=E$2:E4360)))))-COUNTBLANK(OFFSET(A$1,,,SUMPRODUCT(MAX(ROW(E$1:E4359)*(E2=E$1:E4359))))))</f>
        <v> </v>
      </c>
      <c r="K4360" s="25" t="str">
        <f>IF(OR(E4360="",E4360="!!!",F4360="NEW"),"",INDEX(J$1:J4359,SUMPRODUCT(MAX(ROW(E$1:E4359)*(E4360=E$1:E4359)))))</f>
        <v> </v>
      </c>
      <c r="L4360" s="26"/>
    </row>
    <row r="4361" spans="1:12">
      <c r="A4361" s="20" t="s">
        <v>1107</v>
      </c>
      <c r="E4361" s="21">
        <f>IF(D4361="?OLD","!!!","")</f>
        <v/>
      </c>
      <c r="F4361" s="22" t="str">
        <f>IF(OR(E4361="",E4361="!!!"),"",IF(NOT(ISNA(VLOOKUP(E4361,E$1:E4360,1,FALSE()))),"OLD",IF(AND(E4361&lt;&gt;"",E4361&lt;&gt;"!!!"),"NEW","")))</f>
        <v> </v>
      </c>
      <c r="G4361" s="23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4" t="str">
        <f>IF(J4361&lt;&gt;1,"",IF(I4361="SBJ","CB","?"))</f>
        <v> </v>
      </c>
      <c r="I4361" s="25" t="str">
        <f>IF(OR(E4361="",E4361="!!!",F4361="NEW"),"",INDEX(B4360:B$2,-1+SUMPRODUCT(MAX(ROW(E4360:E$2)*(E4361=E4360:E$2)))))</f>
        <v> </v>
      </c>
      <c r="J4361" s="25" t="str">
        <f>IF(OR(E4361="",E4361="!!!",F4361="NEW"),"",COUNTBLANK(OFFSET(A$1,,,SUMPRODUCT(MAX(ROW(E$2:E4361)*(E4361=E$2:E4361)))))-COUNTBLANK(OFFSET(A$1,,,SUMPRODUCT(MAX(ROW(E$1:E4360)*(E2=E$1:E4360))))))</f>
        <v> </v>
      </c>
      <c r="K4361" s="25" t="str">
        <f>IF(OR(E4361="",E4361="!!!",F4361="NEW"),"",INDEX(J$1:J4360,SUMPRODUCT(MAX(ROW(E$1:E4360)*(E4361=E$1:E4360)))))</f>
        <v> </v>
      </c>
      <c r="L4361" s="26"/>
    </row>
    <row r="4362" spans="1:12">
      <c r="A4362" s="20" t="s">
        <v>1896</v>
      </c>
      <c r="E4362" s="21">
        <f>IF(D4362="?OLD","!!!","")</f>
        <v/>
      </c>
      <c r="F4362" s="22" t="str">
        <f>IF(OR(E4362="",E4362="!!!"),"",IF(NOT(ISNA(VLOOKUP(E4362,E$1:E4361,1,FALSE()))),"OLD",IF(AND(E4362&lt;&gt;"",E4362&lt;&gt;"!!!"),"NEW","")))</f>
        <v> </v>
      </c>
      <c r="G4362" s="23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4" t="str">
        <f>IF(J4362&lt;&gt;1,"",IF(I4362="SBJ","CB","?"))</f>
        <v> </v>
      </c>
      <c r="I4362" s="25" t="str">
        <f>IF(OR(E4362="",E4362="!!!",F4362="NEW"),"",INDEX(B4361:B$2,-1+SUMPRODUCT(MAX(ROW(E4361:E$2)*(E4362=E4361:E$2)))))</f>
        <v> </v>
      </c>
      <c r="J4362" s="25" t="str">
        <f>IF(OR(E4362="",E4362="!!!",F4362="NEW"),"",COUNTBLANK(OFFSET(A$1,,,SUMPRODUCT(MAX(ROW(E$2:E4362)*(E4362=E$2:E4362)))))-COUNTBLANK(OFFSET(A$1,,,SUMPRODUCT(MAX(ROW(E$1:E4361)*(E2=E$1:E4361))))))</f>
        <v> </v>
      </c>
      <c r="K4362" s="25" t="str">
        <f>IF(OR(E4362="",E4362="!!!",F4362="NEW"),"",INDEX(J$1:J4361,SUMPRODUCT(MAX(ROW(E$1:E4361)*(E4362=E$1:E4361)))))</f>
        <v> </v>
      </c>
      <c r="L4362" s="26"/>
    </row>
    <row r="4363" spans="1:12">
      <c r="A4363" s="20" t="s">
        <v>1041</v>
      </c>
      <c r="E4363" s="21">
        <f>IF(D4363="?OLD","!!!","")</f>
        <v/>
      </c>
      <c r="F4363" s="22" t="str">
        <f>IF(OR(E4363="",E4363="!!!"),"",IF(NOT(ISNA(VLOOKUP(E4363,E$1:E4362,1,FALSE()))),"OLD",IF(AND(E4363&lt;&gt;"",E4363&lt;&gt;"!!!"),"NEW","")))</f>
        <v> </v>
      </c>
      <c r="G4363" s="23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4" t="str">
        <f>IF(J4363&lt;&gt;1,"",IF(I4363="SBJ","CB","?"))</f>
        <v> </v>
      </c>
      <c r="I4363" s="25" t="str">
        <f>IF(OR(E4363="",E4363="!!!",F4363="NEW"),"",INDEX(B4362:B$2,-1+SUMPRODUCT(MAX(ROW(E4362:E$2)*(E4363=E4362:E$2)))))</f>
        <v> </v>
      </c>
      <c r="J4363" s="25" t="str">
        <f>IF(OR(E4363="",E4363="!!!",F4363="NEW"),"",COUNTBLANK(OFFSET(A$1,,,SUMPRODUCT(MAX(ROW(E$2:E4363)*(E4363=E$2:E4363)))))-COUNTBLANK(OFFSET(A$1,,,SUMPRODUCT(MAX(ROW(E$1:E4362)*(E2=E$1:E4362))))))</f>
        <v> </v>
      </c>
      <c r="K4363" s="25" t="str">
        <f>IF(OR(E4363="",E4363="!!!",F4363="NEW"),"",INDEX(J$1:J4362,SUMPRODUCT(MAX(ROW(E$1:E4362)*(E4363=E$1:E4362)))))</f>
        <v> </v>
      </c>
      <c r="L4363" s="26"/>
    </row>
    <row r="4364" spans="1:12">
      <c r="A4364" s="20" t="s">
        <v>1042</v>
      </c>
      <c r="E4364" s="21">
        <f>IF(D4364="?OLD","!!!","")</f>
        <v/>
      </c>
      <c r="F4364" s="22" t="str">
        <f>IF(OR(E4364="",E4364="!!!"),"",IF(NOT(ISNA(VLOOKUP(E4364,E$1:E4363,1,FALSE()))),"OLD",IF(AND(E4364&lt;&gt;"",E4364&lt;&gt;"!!!"),"NEW","")))</f>
        <v> </v>
      </c>
      <c r="G4364" s="23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4" t="str">
        <f>IF(J4364&lt;&gt;1,"",IF(I4364="SBJ","CB","?"))</f>
        <v> </v>
      </c>
      <c r="I4364" s="25" t="str">
        <f>IF(OR(E4364="",E4364="!!!",F4364="NEW"),"",INDEX(B4363:B$2,-1+SUMPRODUCT(MAX(ROW(E4363:E$2)*(E4364=E4363:E$2)))))</f>
        <v> </v>
      </c>
      <c r="J4364" s="25" t="str">
        <f>IF(OR(E4364="",E4364="!!!",F4364="NEW"),"",COUNTBLANK(OFFSET(A$1,,,SUMPRODUCT(MAX(ROW(E$2:E4364)*(E4364=E$2:E4364)))))-COUNTBLANK(OFFSET(A$1,,,SUMPRODUCT(MAX(ROW(E$1:E4363)*(E2=E$1:E4363))))))</f>
        <v> </v>
      </c>
      <c r="K4364" s="25" t="str">
        <f>IF(OR(E4364="",E4364="!!!",F4364="NEW"),"",INDEX(J$1:J4363,SUMPRODUCT(MAX(ROW(E$1:E4363)*(E4364=E$1:E4363)))))</f>
        <v> </v>
      </c>
      <c r="L4364" s="26"/>
    </row>
    <row r="4365" spans="1:12">
      <c r="A4365" s="20" t="s">
        <v>201</v>
      </c>
      <c r="E4365" s="21">
        <f>IF(D4365="?OLD","!!!","")</f>
        <v/>
      </c>
      <c r="F4365" s="22" t="str">
        <f>IF(OR(E4365="",E4365="!!!"),"",IF(NOT(ISNA(VLOOKUP(E4365,E$1:E4364,1,FALSE()))),"OLD",IF(AND(E4365&lt;&gt;"",E4365&lt;&gt;"!!!"),"NEW","")))</f>
        <v> </v>
      </c>
      <c r="G4365" s="23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4" t="str">
        <f>IF(J4365&lt;&gt;1,"",IF(I4365="SBJ","CB","?"))</f>
        <v> </v>
      </c>
      <c r="I4365" s="25" t="str">
        <f>IF(OR(E4365="",E4365="!!!",F4365="NEW"),"",INDEX(B4364:B$2,-1+SUMPRODUCT(MAX(ROW(E4364:E$2)*(E4365=E4364:E$2)))))</f>
        <v> </v>
      </c>
      <c r="J4365" s="25" t="str">
        <f>IF(OR(E4365="",E4365="!!!",F4365="NEW"),"",COUNTBLANK(OFFSET(A$1,,,SUMPRODUCT(MAX(ROW(E$2:E4365)*(E4365=E$2:E4365)))))-COUNTBLANK(OFFSET(A$1,,,SUMPRODUCT(MAX(ROW(E$1:E4364)*(E2=E$1:E4364))))))</f>
        <v> </v>
      </c>
      <c r="K4365" s="25" t="str">
        <f>IF(OR(E4365="",E4365="!!!",F4365="NEW"),"",INDEX(J$1:J4364,SUMPRODUCT(MAX(ROW(E$1:E4364)*(E4365=E$1:E4364)))))</f>
        <v> </v>
      </c>
      <c r="L4365" s="26"/>
    </row>
    <row r="4366" spans="1:12">
      <c r="A4366" s="20" t="s">
        <v>1035</v>
      </c>
      <c r="B4366" s="27" t="s">
        <v>1048</v>
      </c>
      <c r="C4366" s="27" t="s">
        <v>1036</v>
      </c>
      <c r="D4366" s="27" t="s">
        <v>1026</v>
      </c>
      <c r="E4366" s="21">
        <f>IF(D4366="?OLD","!!!","")</f>
        <v/>
      </c>
      <c r="F4366" s="22" t="str">
        <f>IF(OR(E4366="",E4366="!!!"),"",IF(NOT(ISNA(VLOOKUP(E4366,E$1:E4365,1,FALSE()))),"OLD",IF(AND(E4366&lt;&gt;"",E4366&lt;&gt;"!!!"),"NEW","")))</f>
        <v> </v>
      </c>
      <c r="G4366" s="23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4" t="str">
        <f>IF(J4366&lt;&gt;1,"",IF(I4366="SBJ","CB","?"))</f>
        <v> </v>
      </c>
      <c r="I4366" s="25" t="str">
        <f>IF(OR(E4366="",E4366="!!!",F4366="NEW"),"",INDEX(B4365:B$2,-1+SUMPRODUCT(MAX(ROW(E4365:E$2)*(E4366=E4365:E$2)))))</f>
        <v> </v>
      </c>
      <c r="J4366" s="25" t="str">
        <f>IF(OR(E4366="",E4366="!!!",F4366="NEW"),"",COUNTBLANK(OFFSET(A$1,,,SUMPRODUCT(MAX(ROW(E$2:E4366)*(E4366=E$2:E4366)))))-COUNTBLANK(OFFSET(A$1,,,SUMPRODUCT(MAX(ROW(E$1:E4365)*(E2=E$1:E4365))))))</f>
        <v> </v>
      </c>
      <c r="K4366" s="25" t="str">
        <f>IF(OR(E4366="",E4366="!!!",F4366="NEW"),"",INDEX(J$1:J4365,SUMPRODUCT(MAX(ROW(E$1:E4365)*(E4366=E$1:E4365)))))</f>
        <v> </v>
      </c>
      <c r="L4366" s="26"/>
    </row>
    <row r="4367" spans="1:12">
      <c r="A4367" s="20" t="s">
        <v>2817</v>
      </c>
      <c r="E4367" s="21">
        <f>IF(D4367="?OLD","!!!","")</f>
        <v/>
      </c>
      <c r="F4367" s="22" t="str">
        <f>IF(OR(E4367="",E4367="!!!"),"",IF(NOT(ISNA(VLOOKUP(E4367,E$1:E4366,1,FALSE()))),"OLD",IF(AND(E4367&lt;&gt;"",E4367&lt;&gt;"!!!"),"NEW","")))</f>
        <v> </v>
      </c>
      <c r="G4367" s="23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4" t="str">
        <f>IF(J4367&lt;&gt;1,"",IF(I4367="SBJ","CB","?"))</f>
        <v> </v>
      </c>
      <c r="I4367" s="25" t="str">
        <f>IF(OR(E4367="",E4367="!!!",F4367="NEW"),"",INDEX(B4366:B$2,-1+SUMPRODUCT(MAX(ROW(E4366:E$2)*(E4367=E4366:E$2)))))</f>
        <v> </v>
      </c>
      <c r="J4367" s="25" t="str">
        <f>IF(OR(E4367="",E4367="!!!",F4367="NEW"),"",COUNTBLANK(OFFSET(A$1,,,SUMPRODUCT(MAX(ROW(E$2:E4367)*(E4367=E$2:E4367)))))-COUNTBLANK(OFFSET(A$1,,,SUMPRODUCT(MAX(ROW(E$1:E4366)*(E2=E$1:E4366))))))</f>
        <v> </v>
      </c>
      <c r="K4367" s="25" t="str">
        <f>IF(OR(E4367="",E4367="!!!",F4367="NEW"),"",INDEX(J$1:J4366,SUMPRODUCT(MAX(ROW(E$1:E4366)*(E4367=E$1:E4366)))))</f>
        <v> </v>
      </c>
      <c r="L4367" s="26"/>
    </row>
    <row r="4368" spans="1:12">
      <c r="A4368" s="20" t="s">
        <v>1030</v>
      </c>
      <c r="E4368" s="21">
        <f>IF(D4368="?OLD","!!!","")</f>
        <v/>
      </c>
      <c r="F4368" s="22" t="str">
        <f>IF(OR(E4368="",E4368="!!!"),"",IF(NOT(ISNA(VLOOKUP(E4368,E$1:E4367,1,FALSE()))),"OLD",IF(AND(E4368&lt;&gt;"",E4368&lt;&gt;"!!!"),"NEW","")))</f>
        <v> </v>
      </c>
      <c r="G4368" s="23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4" t="str">
        <f>IF(J4368&lt;&gt;1,"",IF(I4368="SBJ","CB","?"))</f>
        <v> </v>
      </c>
      <c r="I4368" s="25" t="str">
        <f>IF(OR(E4368="",E4368="!!!",F4368="NEW"),"",INDEX(B4367:B$2,-1+SUMPRODUCT(MAX(ROW(E4367:E$2)*(E4368=E4367:E$2)))))</f>
        <v> </v>
      </c>
      <c r="J4368" s="25" t="str">
        <f>IF(OR(E4368="",E4368="!!!",F4368="NEW"),"",COUNTBLANK(OFFSET(A$1,,,SUMPRODUCT(MAX(ROW(E$2:E4368)*(E4368=E$2:E4368)))))-COUNTBLANK(OFFSET(A$1,,,SUMPRODUCT(MAX(ROW(E$1:E4367)*(E2=E$1:E4367))))))</f>
        <v> </v>
      </c>
      <c r="K4368" s="25" t="str">
        <f>IF(OR(E4368="",E4368="!!!",F4368="NEW"),"",INDEX(J$1:J4367,SUMPRODUCT(MAX(ROW(E$1:E4367)*(E4368=E$1:E4367)))))</f>
        <v> </v>
      </c>
      <c r="L4368" s="26"/>
    </row>
    <row r="4369" spans="1:12">
      <c r="A4369" s="20" t="s">
        <v>1239</v>
      </c>
      <c r="E4369" s="21">
        <f>IF(D4369="?OLD","!!!","")</f>
        <v/>
      </c>
      <c r="F4369" s="22" t="str">
        <f>IF(OR(E4369="",E4369="!!!"),"",IF(NOT(ISNA(VLOOKUP(E4369,E$1:E4368,1,FALSE()))),"OLD",IF(AND(E4369&lt;&gt;"",E4369&lt;&gt;"!!!"),"NEW","")))</f>
        <v> </v>
      </c>
      <c r="G4369" s="23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4" t="str">
        <f>IF(J4369&lt;&gt;1,"",IF(I4369="SBJ","CB","?"))</f>
        <v> </v>
      </c>
      <c r="I4369" s="25" t="str">
        <f>IF(OR(E4369="",E4369="!!!",F4369="NEW"),"",INDEX(B4368:B$2,-1+SUMPRODUCT(MAX(ROW(E4368:E$2)*(E4369=E4368:E$2)))))</f>
        <v> </v>
      </c>
      <c r="J4369" s="25" t="str">
        <f>IF(OR(E4369="",E4369="!!!",F4369="NEW"),"",COUNTBLANK(OFFSET(A$1,,,SUMPRODUCT(MAX(ROW(E$2:E4369)*(E4369=E$2:E4369)))))-COUNTBLANK(OFFSET(A$1,,,SUMPRODUCT(MAX(ROW(E$1:E4368)*(E2=E$1:E4368))))))</f>
        <v> </v>
      </c>
      <c r="K4369" s="25" t="str">
        <f>IF(OR(E4369="",E4369="!!!",F4369="NEW"),"",INDEX(J$1:J4368,SUMPRODUCT(MAX(ROW(E$1:E4368)*(E4369=E$1:E4368)))))</f>
        <v> </v>
      </c>
      <c r="L4369" s="26"/>
    </row>
    <row r="4370" spans="1:12">
      <c r="A4370" s="20" t="s">
        <v>1127</v>
      </c>
      <c r="E4370" s="21">
        <f>IF(D4370="?OLD","!!!","")</f>
        <v/>
      </c>
      <c r="F4370" s="22" t="str">
        <f>IF(OR(E4370="",E4370="!!!"),"",IF(NOT(ISNA(VLOOKUP(E4370,E$1:E4369,1,FALSE()))),"OLD",IF(AND(E4370&lt;&gt;"",E4370&lt;&gt;"!!!"),"NEW","")))</f>
        <v> </v>
      </c>
      <c r="G4370" s="23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4" t="str">
        <f>IF(J4370&lt;&gt;1,"",IF(I4370="SBJ","CB","?"))</f>
        <v> </v>
      </c>
      <c r="I4370" s="25" t="str">
        <f>IF(OR(E4370="",E4370="!!!",F4370="NEW"),"",INDEX(B4369:B$2,-1+SUMPRODUCT(MAX(ROW(E4369:E$2)*(E4370=E4369:E$2)))))</f>
        <v> </v>
      </c>
      <c r="J4370" s="25" t="str">
        <f>IF(OR(E4370="",E4370="!!!",F4370="NEW"),"",COUNTBLANK(OFFSET(A$1,,,SUMPRODUCT(MAX(ROW(E$2:E4370)*(E4370=E$2:E4370)))))-COUNTBLANK(OFFSET(A$1,,,SUMPRODUCT(MAX(ROW(E$1:E4369)*(E2=E$1:E4369))))))</f>
        <v> </v>
      </c>
      <c r="K4370" s="25" t="str">
        <f>IF(OR(E4370="",E4370="!!!",F4370="NEW"),"",INDEX(J$1:J4369,SUMPRODUCT(MAX(ROW(E$1:E4369)*(E4370=E$1:E4369)))))</f>
        <v> </v>
      </c>
      <c r="L4370" s="26"/>
    </row>
    <row r="4371" spans="1:12">
      <c r="A4371" s="20" t="s">
        <v>2818</v>
      </c>
      <c r="E4371" s="21">
        <f>IF(D4371="?OLD","!!!","")</f>
        <v/>
      </c>
      <c r="F4371" s="22" t="str">
        <f>IF(OR(E4371="",E4371="!!!"),"",IF(NOT(ISNA(VLOOKUP(E4371,E$1:E4370,1,FALSE()))),"OLD",IF(AND(E4371&lt;&gt;"",E4371&lt;&gt;"!!!"),"NEW","")))</f>
        <v> </v>
      </c>
      <c r="G4371" s="23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4" t="str">
        <f>IF(J4371&lt;&gt;1,"",IF(I4371="SBJ","CB","?"))</f>
        <v> </v>
      </c>
      <c r="I4371" s="25" t="str">
        <f>IF(OR(E4371="",E4371="!!!",F4371="NEW"),"",INDEX(B4370:B$2,-1+SUMPRODUCT(MAX(ROW(E4370:E$2)*(E4371=E4370:E$2)))))</f>
        <v> </v>
      </c>
      <c r="J4371" s="25" t="str">
        <f>IF(OR(E4371="",E4371="!!!",F4371="NEW"),"",COUNTBLANK(OFFSET(A$1,,,SUMPRODUCT(MAX(ROW(E$2:E4371)*(E4371=E$2:E4371)))))-COUNTBLANK(OFFSET(A$1,,,SUMPRODUCT(MAX(ROW(E$1:E4370)*(E2=E$1:E4370))))))</f>
        <v> </v>
      </c>
      <c r="K4371" s="25" t="str">
        <f>IF(OR(E4371="",E4371="!!!",F4371="NEW"),"",INDEX(J$1:J4370,SUMPRODUCT(MAX(ROW(E$1:E4370)*(E4371=E$1:E4370)))))</f>
        <v> </v>
      </c>
      <c r="L4371" s="26"/>
    </row>
    <row r="4372" spans="1:12">
      <c r="A4372" s="20" t="s">
        <v>1032</v>
      </c>
      <c r="E4372" s="21">
        <f>IF(D4372="?OLD","!!!","")</f>
        <v/>
      </c>
      <c r="F4372" s="22" t="str">
        <f>IF(OR(E4372="",E4372="!!!"),"",IF(NOT(ISNA(VLOOKUP(E4372,E$1:E4371,1,FALSE()))),"OLD",IF(AND(E4372&lt;&gt;"",E4372&lt;&gt;"!!!"),"NEW","")))</f>
        <v> </v>
      </c>
      <c r="G4372" s="23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4" t="str">
        <f>IF(J4372&lt;&gt;1,"",IF(I4372="SBJ","CB","?"))</f>
        <v> </v>
      </c>
      <c r="I4372" s="25" t="str">
        <f>IF(OR(E4372="",E4372="!!!",F4372="NEW"),"",INDEX(B4371:B$2,-1+SUMPRODUCT(MAX(ROW(E4371:E$2)*(E4372=E4371:E$2)))))</f>
        <v> </v>
      </c>
      <c r="J4372" s="25" t="str">
        <f>IF(OR(E4372="",E4372="!!!",F4372="NEW"),"",COUNTBLANK(OFFSET(A$1,,,SUMPRODUCT(MAX(ROW(E$2:E4372)*(E4372=E$2:E4372)))))-COUNTBLANK(OFFSET(A$1,,,SUMPRODUCT(MAX(ROW(E$1:E4371)*(E2=E$1:E4371))))))</f>
        <v> </v>
      </c>
      <c r="K4372" s="25" t="str">
        <f>IF(OR(E4372="",E4372="!!!",F4372="NEW"),"",INDEX(J$1:J4371,SUMPRODUCT(MAX(ROW(E$1:E4371)*(E4372=E$1:E4371)))))</f>
        <v> </v>
      </c>
      <c r="L4372" s="26"/>
    </row>
    <row r="4373" spans="1:12">
      <c r="A4373" s="20"/>
    </row>
    <row r="4374" spans="1:12">
      <c r="A4374" s="20" t="s">
        <v>2819</v>
      </c>
    </row>
    <row r="4375" spans="1:12">
      <c r="A4375" s="20" t="s">
        <v>2820</v>
      </c>
      <c r="B4375" s="27" t="s">
        <v>1024</v>
      </c>
      <c r="E4375" s="21">
        <f>IF(D4375="?OLD","!!!","")</f>
        <v/>
      </c>
      <c r="F4375" s="22" t="str">
        <f>IF(OR(E4375="",E4375="!!!"),"",IF(NOT(ISNA(VLOOKUP(E4375,E$1:E4374,1,FALSE()))),"OLD",IF(AND(E4375&lt;&gt;"",E4375&lt;&gt;"!!!"),"NEW","")))</f>
        <v> </v>
      </c>
      <c r="G4375" s="23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4" t="str">
        <f>IF(J4375&lt;&gt;1,"",IF(I4375="SBJ","CB","?"))</f>
        <v> </v>
      </c>
      <c r="I4375" s="25" t="str">
        <f>IF(OR(E4375="",E4375="!!!",F4375="NEW"),"",INDEX(B4374:B$2,-1+SUMPRODUCT(MAX(ROW(E4374:E$2)*(E4375=E4374:E$2)))))</f>
        <v> </v>
      </c>
      <c r="J4375" s="25" t="str">
        <f>IF(OR(E4375="",E4375="!!!",F4375="NEW"),"",COUNTBLANK(OFFSET(A$1,,,SUMPRODUCT(MAX(ROW(E$2:E4375)*(E4375=E$2:E4375)))))-COUNTBLANK(OFFSET(A$1,,,SUMPRODUCT(MAX(ROW(E$1:E4374)*(E2=E$1:E4374))))))</f>
        <v> </v>
      </c>
      <c r="K4375" s="25" t="str">
        <f>IF(OR(E4375="",E4375="!!!",F4375="NEW"),"",INDEX(J$1:J4374,SUMPRODUCT(MAX(ROW(E$1:E4374)*(E4375=E$1:E4374)))))</f>
        <v> </v>
      </c>
      <c r="L4375" s="26"/>
    </row>
    <row r="4376" spans="1:12">
      <c r="A4376" s="20" t="s">
        <v>1108</v>
      </c>
      <c r="E4376" s="21">
        <f>IF(D4376="?OLD","!!!","")</f>
        <v/>
      </c>
      <c r="F4376" s="22" t="str">
        <f>IF(OR(E4376="",E4376="!!!"),"",IF(NOT(ISNA(VLOOKUP(E4376,E$1:E4375,1,FALSE()))),"OLD",IF(AND(E4376&lt;&gt;"",E4376&lt;&gt;"!!!"),"NEW","")))</f>
        <v> </v>
      </c>
      <c r="G4376" s="23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4" t="str">
        <f>IF(J4376&lt;&gt;1,"",IF(I4376="SBJ","CB","?"))</f>
        <v> </v>
      </c>
      <c r="I4376" s="25" t="str">
        <f>IF(OR(E4376="",E4376="!!!",F4376="NEW"),"",INDEX(B4375:B$2,-1+SUMPRODUCT(MAX(ROW(E4375:E$2)*(E4376=E4375:E$2)))))</f>
        <v> </v>
      </c>
      <c r="J4376" s="25" t="str">
        <f>IF(OR(E4376="",E4376="!!!",F4376="NEW"),"",COUNTBLANK(OFFSET(A$1,,,SUMPRODUCT(MAX(ROW(E$2:E4376)*(E4376=E$2:E4376)))))-COUNTBLANK(OFFSET(A$1,,,SUMPRODUCT(MAX(ROW(E$1:E4375)*(E2=E$1:E4375))))))</f>
        <v> </v>
      </c>
      <c r="K4376" s="25" t="str">
        <f>IF(OR(E4376="",E4376="!!!",F4376="NEW"),"",INDEX(J$1:J4375,SUMPRODUCT(MAX(ROW(E$1:E4375)*(E4376=E$1:E4375)))))</f>
        <v> </v>
      </c>
      <c r="L4376" s="26"/>
    </row>
    <row r="4377" spans="1:12">
      <c r="A4377" s="20" t="s">
        <v>901</v>
      </c>
      <c r="E4377" s="21">
        <f>IF(D4377="?OLD","!!!","")</f>
        <v/>
      </c>
      <c r="F4377" s="22" t="str">
        <f>IF(OR(E4377="",E4377="!!!"),"",IF(NOT(ISNA(VLOOKUP(E4377,E$1:E4376,1,FALSE()))),"OLD",IF(AND(E4377&lt;&gt;"",E4377&lt;&gt;"!!!"),"NEW","")))</f>
        <v> </v>
      </c>
      <c r="G4377" s="23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4" t="str">
        <f>IF(J4377&lt;&gt;1,"",IF(I4377="SBJ","CB","?"))</f>
        <v> </v>
      </c>
      <c r="I4377" s="25" t="str">
        <f>IF(OR(E4377="",E4377="!!!",F4377="NEW"),"",INDEX(B4376:B$2,-1+SUMPRODUCT(MAX(ROW(E4376:E$2)*(E4377=E4376:E$2)))))</f>
        <v> </v>
      </c>
      <c r="J4377" s="25" t="str">
        <f>IF(OR(E4377="",E4377="!!!",F4377="NEW"),"",COUNTBLANK(OFFSET(A$1,,,SUMPRODUCT(MAX(ROW(E$2:E4377)*(E4377=E$2:E4377)))))-COUNTBLANK(OFFSET(A$1,,,SUMPRODUCT(MAX(ROW(E$1:E4376)*(E2=E$1:E4376))))))</f>
        <v> </v>
      </c>
      <c r="K4377" s="25" t="str">
        <f>IF(OR(E4377="",E4377="!!!",F4377="NEW"),"",INDEX(J$1:J4376,SUMPRODUCT(MAX(ROW(E$1:E4376)*(E4377=E$1:E4376)))))</f>
        <v> </v>
      </c>
      <c r="L4377" s="26"/>
    </row>
    <row r="4378" spans="1:12">
      <c r="A4378" s="20" t="s">
        <v>2783</v>
      </c>
      <c r="E4378" s="21">
        <f>IF(D4378="?OLD","!!!","")</f>
        <v/>
      </c>
      <c r="F4378" s="22" t="str">
        <f>IF(OR(E4378="",E4378="!!!"),"",IF(NOT(ISNA(VLOOKUP(E4378,E$1:E4377,1,FALSE()))),"OLD",IF(AND(E4378&lt;&gt;"",E4378&lt;&gt;"!!!"),"NEW","")))</f>
        <v> </v>
      </c>
      <c r="G4378" s="23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4" t="str">
        <f>IF(J4378&lt;&gt;1,"",IF(I4378="SBJ","CB","?"))</f>
        <v> </v>
      </c>
      <c r="I4378" s="25" t="str">
        <f>IF(OR(E4378="",E4378="!!!",F4378="NEW"),"",INDEX(B4377:B$2,-1+SUMPRODUCT(MAX(ROW(E4377:E$2)*(E4378=E4377:E$2)))))</f>
        <v> </v>
      </c>
      <c r="J4378" s="25" t="str">
        <f>IF(OR(E4378="",E4378="!!!",F4378="NEW"),"",COUNTBLANK(OFFSET(A$1,,,SUMPRODUCT(MAX(ROW(E$2:E4378)*(E4378=E$2:E4378)))))-COUNTBLANK(OFFSET(A$1,,,SUMPRODUCT(MAX(ROW(E$1:E4377)*(E2=E$1:E4377))))))</f>
        <v> </v>
      </c>
      <c r="K4378" s="25" t="str">
        <f>IF(OR(E4378="",E4378="!!!",F4378="NEW"),"",INDEX(J$1:J4377,SUMPRODUCT(MAX(ROW(E$1:E4377)*(E4378=E$1:E4377)))))</f>
        <v> </v>
      </c>
      <c r="L4378" s="26"/>
    </row>
    <row r="4379" spans="1:12">
      <c r="A4379" s="20" t="s">
        <v>1041</v>
      </c>
      <c r="E4379" s="21">
        <f>IF(D4379="?OLD","!!!","")</f>
        <v/>
      </c>
      <c r="F4379" s="22" t="str">
        <f>IF(OR(E4379="",E4379="!!!"),"",IF(NOT(ISNA(VLOOKUP(E4379,E$1:E4378,1,FALSE()))),"OLD",IF(AND(E4379&lt;&gt;"",E4379&lt;&gt;"!!!"),"NEW","")))</f>
        <v> </v>
      </c>
      <c r="G4379" s="23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4" t="str">
        <f>IF(J4379&lt;&gt;1,"",IF(I4379="SBJ","CB","?"))</f>
        <v> </v>
      </c>
      <c r="I4379" s="25" t="str">
        <f>IF(OR(E4379="",E4379="!!!",F4379="NEW"),"",INDEX(B4378:B$2,-1+SUMPRODUCT(MAX(ROW(E4378:E$2)*(E4379=E4378:E$2)))))</f>
        <v> </v>
      </c>
      <c r="J4379" s="25" t="str">
        <f>IF(OR(E4379="",E4379="!!!",F4379="NEW"),"",COUNTBLANK(OFFSET(A$1,,,SUMPRODUCT(MAX(ROW(E$2:E4379)*(E4379=E$2:E4379)))))-COUNTBLANK(OFFSET(A$1,,,SUMPRODUCT(MAX(ROW(E$1:E4378)*(E2=E$1:E4378))))))</f>
        <v> </v>
      </c>
      <c r="K4379" s="25" t="str">
        <f>IF(OR(E4379="",E4379="!!!",F4379="NEW"),"",INDEX(J$1:J4378,SUMPRODUCT(MAX(ROW(E$1:E4378)*(E4379=E$1:E4378)))))</f>
        <v> </v>
      </c>
      <c r="L4379" s="26"/>
    </row>
    <row r="4380" spans="1:12">
      <c r="A4380" s="20" t="s">
        <v>2821</v>
      </c>
      <c r="E4380" s="21">
        <f>IF(D4380="?OLD","!!!","")</f>
        <v/>
      </c>
      <c r="F4380" s="22" t="str">
        <f>IF(OR(E4380="",E4380="!!!"),"",IF(NOT(ISNA(VLOOKUP(E4380,E$1:E4379,1,FALSE()))),"OLD",IF(AND(E4380&lt;&gt;"",E4380&lt;&gt;"!!!"),"NEW","")))</f>
        <v> </v>
      </c>
      <c r="G4380" s="23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4" t="str">
        <f>IF(J4380&lt;&gt;1,"",IF(I4380="SBJ","CB","?"))</f>
        <v> </v>
      </c>
      <c r="I4380" s="25" t="str">
        <f>IF(OR(E4380="",E4380="!!!",F4380="NEW"),"",INDEX(B4379:B$2,-1+SUMPRODUCT(MAX(ROW(E4379:E$2)*(E4380=E4379:E$2)))))</f>
        <v> </v>
      </c>
      <c r="J4380" s="25" t="str">
        <f>IF(OR(E4380="",E4380="!!!",F4380="NEW"),"",COUNTBLANK(OFFSET(A$1,,,SUMPRODUCT(MAX(ROW(E$2:E4380)*(E4380=E$2:E4380)))))-COUNTBLANK(OFFSET(A$1,,,SUMPRODUCT(MAX(ROW(E$1:E4379)*(E2=E$1:E4379))))))</f>
        <v> </v>
      </c>
      <c r="K4380" s="25" t="str">
        <f>IF(OR(E4380="",E4380="!!!",F4380="NEW"),"",INDEX(J$1:J4379,SUMPRODUCT(MAX(ROW(E$1:E4379)*(E4380=E$1:E4379)))))</f>
        <v> </v>
      </c>
      <c r="L4380" s="26"/>
    </row>
    <row r="4381" spans="1:12">
      <c r="A4381" s="20" t="s">
        <v>1041</v>
      </c>
      <c r="E4381" s="21">
        <f>IF(D4381="?OLD","!!!","")</f>
        <v/>
      </c>
      <c r="F4381" s="22" t="str">
        <f>IF(OR(E4381="",E4381="!!!"),"",IF(NOT(ISNA(VLOOKUP(E4381,E$1:E4380,1,FALSE()))),"OLD",IF(AND(E4381&lt;&gt;"",E4381&lt;&gt;"!!!"),"NEW","")))</f>
        <v> </v>
      </c>
      <c r="G4381" s="23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4" t="str">
        <f>IF(J4381&lt;&gt;1,"",IF(I4381="SBJ","CB","?"))</f>
        <v> </v>
      </c>
      <c r="I4381" s="25" t="str">
        <f>IF(OR(E4381="",E4381="!!!",F4381="NEW"),"",INDEX(B4380:B$2,-1+SUMPRODUCT(MAX(ROW(E4380:E$2)*(E4381=E4380:E$2)))))</f>
        <v> </v>
      </c>
      <c r="J4381" s="25" t="str">
        <f>IF(OR(E4381="",E4381="!!!",F4381="NEW"),"",COUNTBLANK(OFFSET(A$1,,,SUMPRODUCT(MAX(ROW(E$2:E4381)*(E4381=E$2:E4381)))))-COUNTBLANK(OFFSET(A$1,,,SUMPRODUCT(MAX(ROW(E$1:E4380)*(E2=E$1:E4380))))))</f>
        <v> </v>
      </c>
      <c r="K4381" s="25" t="str">
        <f>IF(OR(E4381="",E4381="!!!",F4381="NEW"),"",INDEX(J$1:J4380,SUMPRODUCT(MAX(ROW(E$1:E4380)*(E4381=E$1:E4380)))))</f>
        <v> </v>
      </c>
      <c r="L4381" s="26"/>
    </row>
    <row r="4382" spans="1:12">
      <c r="A4382" s="20" t="s">
        <v>201</v>
      </c>
      <c r="E4382" s="21">
        <f>IF(D4382="?OLD","!!!","")</f>
        <v/>
      </c>
      <c r="F4382" s="22" t="str">
        <f>IF(OR(E4382="",E4382="!!!"),"",IF(NOT(ISNA(VLOOKUP(E4382,E$1:E4381,1,FALSE()))),"OLD",IF(AND(E4382&lt;&gt;"",E4382&lt;&gt;"!!!"),"NEW","")))</f>
        <v> </v>
      </c>
      <c r="G4382" s="23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4" t="str">
        <f>IF(J4382&lt;&gt;1,"",IF(I4382="SBJ","CB","?"))</f>
        <v> </v>
      </c>
      <c r="I4382" s="25" t="str">
        <f>IF(OR(E4382="",E4382="!!!",F4382="NEW"),"",INDEX(B4381:B$2,-1+SUMPRODUCT(MAX(ROW(E4381:E$2)*(E4382=E4381:E$2)))))</f>
        <v> </v>
      </c>
      <c r="J4382" s="25" t="str">
        <f>IF(OR(E4382="",E4382="!!!",F4382="NEW"),"",COUNTBLANK(OFFSET(A$1,,,SUMPRODUCT(MAX(ROW(E$2:E4382)*(E4382=E$2:E4382)))))-COUNTBLANK(OFFSET(A$1,,,SUMPRODUCT(MAX(ROW(E$1:E4381)*(E2=E$1:E4381))))))</f>
        <v> </v>
      </c>
      <c r="K4382" s="25" t="str">
        <f>IF(OR(E4382="",E4382="!!!",F4382="NEW"),"",INDEX(J$1:J4381,SUMPRODUCT(MAX(ROW(E$1:E4381)*(E4382=E$1:E4381)))))</f>
        <v> </v>
      </c>
      <c r="L4382" s="26"/>
    </row>
    <row r="4383" spans="1:12">
      <c r="A4383" s="20" t="s">
        <v>2792</v>
      </c>
      <c r="B4383" s="27" t="s">
        <v>1235</v>
      </c>
      <c r="E4383" s="21">
        <f>IF(D4383="?OLD","!!!","")</f>
        <v/>
      </c>
      <c r="F4383" s="22" t="str">
        <f>IF(OR(E4383="",E4383="!!!"),"",IF(NOT(ISNA(VLOOKUP(E4383,E$1:E4382,1,FALSE()))),"OLD",IF(AND(E4383&lt;&gt;"",E4383&lt;&gt;"!!!"),"NEW","")))</f>
        <v> </v>
      </c>
      <c r="G4383" s="23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4" t="str">
        <f>IF(J4383&lt;&gt;1,"",IF(I4383="SBJ","CB","?"))</f>
        <v> </v>
      </c>
      <c r="I4383" s="25" t="str">
        <f>IF(OR(E4383="",E4383="!!!",F4383="NEW"),"",INDEX(B4382:B$2,-1+SUMPRODUCT(MAX(ROW(E4382:E$2)*(E4383=E4382:E$2)))))</f>
        <v> </v>
      </c>
      <c r="J4383" s="25" t="str">
        <f>IF(OR(E4383="",E4383="!!!",F4383="NEW"),"",COUNTBLANK(OFFSET(A$1,,,SUMPRODUCT(MAX(ROW(E$2:E4383)*(E4383=E$2:E4383)))))-COUNTBLANK(OFFSET(A$1,,,SUMPRODUCT(MAX(ROW(E$1:E4382)*(E2=E$1:E4382))))))</f>
        <v> </v>
      </c>
      <c r="K4383" s="25" t="str">
        <f>IF(OR(E4383="",E4383="!!!",F4383="NEW"),"",INDEX(J$1:J4382,SUMPRODUCT(MAX(ROW(E$1:E4382)*(E4383=E$1:E4382)))))</f>
        <v> </v>
      </c>
      <c r="L4383" s="26"/>
    </row>
    <row r="4384" spans="1:12">
      <c r="A4384" s="20" t="s">
        <v>1099</v>
      </c>
      <c r="E4384" s="21">
        <f>IF(D4384="?OLD","!!!","")</f>
        <v/>
      </c>
      <c r="F4384" s="22" t="str">
        <f>IF(OR(E4384="",E4384="!!!"),"",IF(NOT(ISNA(VLOOKUP(E4384,E$1:E4383,1,FALSE()))),"OLD",IF(AND(E4384&lt;&gt;"",E4384&lt;&gt;"!!!"),"NEW","")))</f>
        <v> </v>
      </c>
      <c r="G4384" s="23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4" t="str">
        <f>IF(J4384&lt;&gt;1,"",IF(I4384="SBJ","CB","?"))</f>
        <v> </v>
      </c>
      <c r="I4384" s="25" t="str">
        <f>IF(OR(E4384="",E4384="!!!",F4384="NEW"),"",INDEX(B4383:B$2,-1+SUMPRODUCT(MAX(ROW(E4383:E$2)*(E4384=E4383:E$2)))))</f>
        <v> </v>
      </c>
      <c r="J4384" s="25" t="str">
        <f>IF(OR(E4384="",E4384="!!!",F4384="NEW"),"",COUNTBLANK(OFFSET(A$1,,,SUMPRODUCT(MAX(ROW(E$2:E4384)*(E4384=E$2:E4384)))))-COUNTBLANK(OFFSET(A$1,,,SUMPRODUCT(MAX(ROW(E$1:E4383)*(E2=E$1:E4383))))))</f>
        <v> </v>
      </c>
      <c r="K4384" s="25" t="str">
        <f>IF(OR(E4384="",E4384="!!!",F4384="NEW"),"",INDEX(J$1:J4383,SUMPRODUCT(MAX(ROW(E$1:E4383)*(E4384=E$1:E4383)))))</f>
        <v> </v>
      </c>
      <c r="L4384" s="26"/>
    </row>
    <row r="4385" spans="1:12">
      <c r="A4385" s="20" t="s">
        <v>2793</v>
      </c>
      <c r="E4385" s="21">
        <f>IF(D4385="?OLD","!!!","")</f>
        <v/>
      </c>
      <c r="F4385" s="22" t="str">
        <f>IF(OR(E4385="",E4385="!!!"),"",IF(NOT(ISNA(VLOOKUP(E4385,E$1:E4384,1,FALSE()))),"OLD",IF(AND(E4385&lt;&gt;"",E4385&lt;&gt;"!!!"),"NEW","")))</f>
        <v> </v>
      </c>
      <c r="G4385" s="23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4" t="str">
        <f>IF(J4385&lt;&gt;1,"",IF(I4385="SBJ","CB","?"))</f>
        <v> </v>
      </c>
      <c r="I4385" s="25" t="str">
        <f>IF(OR(E4385="",E4385="!!!",F4385="NEW"),"",INDEX(B4384:B$2,-1+SUMPRODUCT(MAX(ROW(E4384:E$2)*(E4385=E4384:E$2)))))</f>
        <v> </v>
      </c>
      <c r="J4385" s="25" t="str">
        <f>IF(OR(E4385="",E4385="!!!",F4385="NEW"),"",COUNTBLANK(OFFSET(A$1,,,SUMPRODUCT(MAX(ROW(E$2:E4385)*(E4385=E$2:E4385)))))-COUNTBLANK(OFFSET(A$1,,,SUMPRODUCT(MAX(ROW(E$1:E4384)*(E2=E$1:E4384))))))</f>
        <v> </v>
      </c>
      <c r="K4385" s="25" t="str">
        <f>IF(OR(E4385="",E4385="!!!",F4385="NEW"),"",INDEX(J$1:J4384,SUMPRODUCT(MAX(ROW(E$1:E4384)*(E4385=E$1:E4384)))))</f>
        <v> </v>
      </c>
      <c r="L4385" s="26"/>
    </row>
    <row r="4386" spans="1:12">
      <c r="A4386" s="20" t="s">
        <v>1595</v>
      </c>
      <c r="B4386" s="27" t="s">
        <v>1409</v>
      </c>
      <c r="C4386" s="27" t="s">
        <v>1025</v>
      </c>
      <c r="D4386" s="27" t="s">
        <v>1026</v>
      </c>
      <c r="E4386" s="21">
        <f>IF(D4386="?OLD","!!!","")</f>
        <v/>
      </c>
      <c r="F4386" s="22" t="str">
        <f>IF(OR(E4386="",E4386="!!!"),"",IF(NOT(ISNA(VLOOKUP(E4386,E$1:E4385,1,FALSE()))),"OLD",IF(AND(E4386&lt;&gt;"",E4386&lt;&gt;"!!!"),"NEW","")))</f>
        <v> </v>
      </c>
      <c r="G4386" s="23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4" t="str">
        <f>IF(J4386&lt;&gt;1,"",IF(I4386="SBJ","CB","?"))</f>
        <v> </v>
      </c>
      <c r="I4386" s="25" t="str">
        <f>IF(OR(E4386="",E4386="!!!",F4386="NEW"),"",INDEX(B4385:B$2,-1+SUMPRODUCT(MAX(ROW(E4385:E$2)*(E4386=E4385:E$2)))))</f>
        <v> </v>
      </c>
      <c r="J4386" s="25" t="str">
        <f>IF(OR(E4386="",E4386="!!!",F4386="NEW"),"",COUNTBLANK(OFFSET(A$1,,,SUMPRODUCT(MAX(ROW(E$2:E4386)*(E4386=E$2:E4386)))))-COUNTBLANK(OFFSET(A$1,,,SUMPRODUCT(MAX(ROW(E$1:E4385)*(E2=E$1:E4385))))))</f>
        <v> </v>
      </c>
      <c r="K4386" s="25" t="str">
        <f>IF(OR(E4386="",E4386="!!!",F4386="NEW"),"",INDEX(J$1:J4385,SUMPRODUCT(MAX(ROW(E$1:E4385)*(E4386=E$1:E4385)))))</f>
        <v> </v>
      </c>
      <c r="L4386" s="26"/>
    </row>
    <row r="4387" spans="1:12">
      <c r="A4387" s="20" t="s">
        <v>1374</v>
      </c>
      <c r="E4387" s="21">
        <f>IF(D4387="?OLD","!!!","")</f>
        <v/>
      </c>
      <c r="F4387" s="22" t="str">
        <f>IF(OR(E4387="",E4387="!!!"),"",IF(NOT(ISNA(VLOOKUP(E4387,E$1:E4386,1,FALSE()))),"OLD",IF(AND(E4387&lt;&gt;"",E4387&lt;&gt;"!!!"),"NEW","")))</f>
        <v> </v>
      </c>
      <c r="G4387" s="23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4" t="str">
        <f>IF(J4387&lt;&gt;1,"",IF(I4387="SBJ","CB","?"))</f>
        <v> </v>
      </c>
      <c r="I4387" s="25" t="str">
        <f>IF(OR(E4387="",E4387="!!!",F4387="NEW"),"",INDEX(B4386:B$2,-1+SUMPRODUCT(MAX(ROW(E4386:E$2)*(E4387=E4386:E$2)))))</f>
        <v> </v>
      </c>
      <c r="J4387" s="25" t="str">
        <f>IF(OR(E4387="",E4387="!!!",F4387="NEW"),"",COUNTBLANK(OFFSET(A$1,,,SUMPRODUCT(MAX(ROW(E$2:E4387)*(E4387=E$2:E4387)))))-COUNTBLANK(OFFSET(A$1,,,SUMPRODUCT(MAX(ROW(E$1:E4386)*(E2=E$1:E4386))))))</f>
        <v> </v>
      </c>
      <c r="K4387" s="25" t="str">
        <f>IF(OR(E4387="",E4387="!!!",F4387="NEW"),"",INDEX(J$1:J4386,SUMPRODUCT(MAX(ROW(E$1:E4386)*(E4387=E$1:E4386)))))</f>
        <v> </v>
      </c>
      <c r="L4387" s="26"/>
    </row>
    <row r="4388" spans="1:12">
      <c r="A4388" s="20" t="s">
        <v>2822</v>
      </c>
      <c r="E4388" s="21">
        <f>IF(D4388="?OLD","!!!","")</f>
        <v/>
      </c>
      <c r="F4388" s="22" t="str">
        <f>IF(OR(E4388="",E4388="!!!"),"",IF(NOT(ISNA(VLOOKUP(E4388,E$1:E4387,1,FALSE()))),"OLD",IF(AND(E4388&lt;&gt;"",E4388&lt;&gt;"!!!"),"NEW","")))</f>
        <v> </v>
      </c>
      <c r="G4388" s="23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4" t="str">
        <f>IF(J4388&lt;&gt;1,"",IF(I4388="SBJ","CB","?"))</f>
        <v> </v>
      </c>
      <c r="I4388" s="25" t="str">
        <f>IF(OR(E4388="",E4388="!!!",F4388="NEW"),"",INDEX(B4387:B$2,-1+SUMPRODUCT(MAX(ROW(E4387:E$2)*(E4388=E4387:E$2)))))</f>
        <v> </v>
      </c>
      <c r="J4388" s="25" t="str">
        <f>IF(OR(E4388="",E4388="!!!",F4388="NEW"),"",COUNTBLANK(OFFSET(A$1,,,SUMPRODUCT(MAX(ROW(E$2:E4388)*(E4388=E$2:E4388)))))-COUNTBLANK(OFFSET(A$1,,,SUMPRODUCT(MAX(ROW(E$1:E4387)*(E2=E$1:E4387))))))</f>
        <v> </v>
      </c>
      <c r="K4388" s="25" t="str">
        <f>IF(OR(E4388="",E4388="!!!",F4388="NEW"),"",INDEX(J$1:J4387,SUMPRODUCT(MAX(ROW(E$1:E4387)*(E4388=E$1:E4387)))))</f>
        <v> </v>
      </c>
      <c r="L4388" s="26"/>
    </row>
    <row r="4389" spans="1:12">
      <c r="A4389" s="20" t="s">
        <v>1032</v>
      </c>
      <c r="E4389" s="21">
        <f>IF(D4389="?OLD","!!!","")</f>
        <v/>
      </c>
      <c r="F4389" s="22" t="str">
        <f>IF(OR(E4389="",E4389="!!!"),"",IF(NOT(ISNA(VLOOKUP(E4389,E$1:E4388,1,FALSE()))),"OLD",IF(AND(E4389&lt;&gt;"",E4389&lt;&gt;"!!!"),"NEW","")))</f>
        <v> </v>
      </c>
      <c r="G4389" s="23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4" t="str">
        <f>IF(J4389&lt;&gt;1,"",IF(I4389="SBJ","CB","?"))</f>
        <v> </v>
      </c>
      <c r="I4389" s="25" t="str">
        <f>IF(OR(E4389="",E4389="!!!",F4389="NEW"),"",INDEX(B4388:B$2,-1+SUMPRODUCT(MAX(ROW(E4388:E$2)*(E4389=E4388:E$2)))))</f>
        <v> </v>
      </c>
      <c r="J4389" s="25" t="str">
        <f>IF(OR(E4389="",E4389="!!!",F4389="NEW"),"",COUNTBLANK(OFFSET(A$1,,,SUMPRODUCT(MAX(ROW(E$2:E4389)*(E4389=E$2:E4389)))))-COUNTBLANK(OFFSET(A$1,,,SUMPRODUCT(MAX(ROW(E$1:E4388)*(E2=E$1:E4388))))))</f>
        <v> </v>
      </c>
      <c r="K4389" s="25" t="str">
        <f>IF(OR(E4389="",E4389="!!!",F4389="NEW"),"",INDEX(J$1:J4388,SUMPRODUCT(MAX(ROW(E$1:E4388)*(E4389=E$1:E4388)))))</f>
        <v> </v>
      </c>
      <c r="L4389" s="26"/>
    </row>
    <row r="4390" spans="1:12">
      <c r="A4390" s="20"/>
    </row>
    <row r="4391" spans="1:12">
      <c r="A4391" s="20" t="s">
        <v>2823</v>
      </c>
    </row>
    <row r="4392" spans="1:12">
      <c r="A4392" s="20" t="s">
        <v>2824</v>
      </c>
      <c r="E4392" s="21">
        <f>IF(D4392="?OLD","!!!","")</f>
        <v/>
      </c>
      <c r="F4392" s="22" t="str">
        <f>IF(OR(E4392="",E4392="!!!"),"",IF(NOT(ISNA(VLOOKUP(E4392,E$1:E4391,1,FALSE()))),"OLD",IF(AND(E4392&lt;&gt;"",E4392&lt;&gt;"!!!"),"NEW","")))</f>
        <v> </v>
      </c>
      <c r="G4392" s="23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4" t="str">
        <f>IF(J4392&lt;&gt;1,"",IF(I4392="SBJ","CB","?"))</f>
        <v> </v>
      </c>
      <c r="I4392" s="25" t="str">
        <f>IF(OR(E4392="",E4392="!!!",F4392="NEW"),"",INDEX(B4391:B$2,-1+SUMPRODUCT(MAX(ROW(E4391:E$2)*(E4392=E4391:E$2)))))</f>
        <v> </v>
      </c>
      <c r="J4392" s="25" t="str">
        <f>IF(OR(E4392="",E4392="!!!",F4392="NEW"),"",COUNTBLANK(OFFSET(A$1,,,SUMPRODUCT(MAX(ROW(E$2:E4392)*(E4392=E$2:E4392)))))-COUNTBLANK(OFFSET(A$1,,,SUMPRODUCT(MAX(ROW(E$1:E4391)*(E2=E$1:E4391))))))</f>
        <v> </v>
      </c>
      <c r="K4392" s="25" t="str">
        <f>IF(OR(E4392="",E4392="!!!",F4392="NEW"),"",INDEX(J$1:J4391,SUMPRODUCT(MAX(ROW(E$1:E4391)*(E4392=E$1:E4391)))))</f>
        <v> </v>
      </c>
      <c r="L4392" s="26"/>
    </row>
    <row r="4393" spans="1:12">
      <c r="A4393" s="20" t="s">
        <v>2825</v>
      </c>
      <c r="E4393" s="21">
        <f>IF(D4393="?OLD","!!!","")</f>
        <v/>
      </c>
      <c r="F4393" s="22" t="str">
        <f>IF(OR(E4393="",E4393="!!!"),"",IF(NOT(ISNA(VLOOKUP(E4393,E$1:E4392,1,FALSE()))),"OLD",IF(AND(E4393&lt;&gt;"",E4393&lt;&gt;"!!!"),"NEW","")))</f>
        <v> </v>
      </c>
      <c r="G4393" s="23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4" t="str">
        <f>IF(J4393&lt;&gt;1,"",IF(I4393="SBJ","CB","?"))</f>
        <v> </v>
      </c>
      <c r="I4393" s="25" t="str">
        <f>IF(OR(E4393="",E4393="!!!",F4393="NEW"),"",INDEX(B4392:B$2,-1+SUMPRODUCT(MAX(ROW(E4392:E$2)*(E4393=E4392:E$2)))))</f>
        <v> </v>
      </c>
      <c r="J4393" s="25" t="str">
        <f>IF(OR(E4393="",E4393="!!!",F4393="NEW"),"",COUNTBLANK(OFFSET(A$1,,,SUMPRODUCT(MAX(ROW(E$2:E4393)*(E4393=E$2:E4393)))))-COUNTBLANK(OFFSET(A$1,,,SUMPRODUCT(MAX(ROW(E$1:E4392)*(E2=E$1:E4392))))))</f>
        <v> </v>
      </c>
      <c r="K4393" s="25" t="str">
        <f>IF(OR(E4393="",E4393="!!!",F4393="NEW"),"",INDEX(J$1:J4392,SUMPRODUCT(MAX(ROW(E$1:E4392)*(E4393=E$1:E4392)))))</f>
        <v> </v>
      </c>
      <c r="L4393" s="26"/>
    </row>
    <row r="4394" spans="1:12">
      <c r="A4394" s="20" t="s">
        <v>1041</v>
      </c>
      <c r="E4394" s="21">
        <f>IF(D4394="?OLD","!!!","")</f>
        <v/>
      </c>
      <c r="F4394" s="22" t="str">
        <f>IF(OR(E4394="",E4394="!!!"),"",IF(NOT(ISNA(VLOOKUP(E4394,E$1:E4393,1,FALSE()))),"OLD",IF(AND(E4394&lt;&gt;"",E4394&lt;&gt;"!!!"),"NEW","")))</f>
        <v> </v>
      </c>
      <c r="G4394" s="23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4" t="str">
        <f>IF(J4394&lt;&gt;1,"",IF(I4394="SBJ","CB","?"))</f>
        <v> </v>
      </c>
      <c r="I4394" s="25" t="str">
        <f>IF(OR(E4394="",E4394="!!!",F4394="NEW"),"",INDEX(B4393:B$2,-1+SUMPRODUCT(MAX(ROW(E4393:E$2)*(E4394=E4393:E$2)))))</f>
        <v> </v>
      </c>
      <c r="J4394" s="25" t="str">
        <f>IF(OR(E4394="",E4394="!!!",F4394="NEW"),"",COUNTBLANK(OFFSET(A$1,,,SUMPRODUCT(MAX(ROW(E$2:E4394)*(E4394=E$2:E4394)))))-COUNTBLANK(OFFSET(A$1,,,SUMPRODUCT(MAX(ROW(E$1:E4393)*(E2=E$1:E4393))))))</f>
        <v> </v>
      </c>
      <c r="K4394" s="25" t="str">
        <f>IF(OR(E4394="",E4394="!!!",F4394="NEW"),"",INDEX(J$1:J4393,SUMPRODUCT(MAX(ROW(E$1:E4393)*(E4394=E$1:E4393)))))</f>
        <v> </v>
      </c>
      <c r="L4394" s="26"/>
    </row>
    <row r="4395" spans="1:12">
      <c r="A4395" s="20" t="s">
        <v>201</v>
      </c>
      <c r="E4395" s="21">
        <f>IF(D4395="?OLD","!!!","")</f>
        <v/>
      </c>
      <c r="F4395" s="22" t="str">
        <f>IF(OR(E4395="",E4395="!!!"),"",IF(NOT(ISNA(VLOOKUP(E4395,E$1:E4394,1,FALSE()))),"OLD",IF(AND(E4395&lt;&gt;"",E4395&lt;&gt;"!!!"),"NEW","")))</f>
        <v> </v>
      </c>
      <c r="G4395" s="23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4" t="str">
        <f>IF(J4395&lt;&gt;1,"",IF(I4395="SBJ","CB","?"))</f>
        <v> </v>
      </c>
      <c r="I4395" s="25" t="str">
        <f>IF(OR(E4395="",E4395="!!!",F4395="NEW"),"",INDEX(B4394:B$2,-1+SUMPRODUCT(MAX(ROW(E4394:E$2)*(E4395=E4394:E$2)))))</f>
        <v> </v>
      </c>
      <c r="J4395" s="25" t="str">
        <f>IF(OR(E4395="",E4395="!!!",F4395="NEW"),"",COUNTBLANK(OFFSET(A$1,,,SUMPRODUCT(MAX(ROW(E$2:E4395)*(E4395=E$2:E4395)))))-COUNTBLANK(OFFSET(A$1,,,SUMPRODUCT(MAX(ROW(E$1:E4394)*(E2=E$1:E4394))))))</f>
        <v> </v>
      </c>
      <c r="K4395" s="25" t="str">
        <f>IF(OR(E4395="",E4395="!!!",F4395="NEW"),"",INDEX(J$1:J4394,SUMPRODUCT(MAX(ROW(E$1:E4394)*(E4395=E$1:E4394)))))</f>
        <v> </v>
      </c>
      <c r="L4395" s="26"/>
    </row>
    <row r="4396" spans="1:12">
      <c r="A4396" s="20" t="s">
        <v>1035</v>
      </c>
      <c r="B4396" s="27" t="s">
        <v>1082</v>
      </c>
      <c r="C4396" s="27" t="s">
        <v>1036</v>
      </c>
      <c r="D4396" s="27" t="s">
        <v>1026</v>
      </c>
      <c r="E4396" s="21">
        <f>IF(D4396="?OLD","!!!","")</f>
        <v/>
      </c>
      <c r="F4396" s="22" t="str">
        <f>IF(OR(E4396="",E4396="!!!"),"",IF(NOT(ISNA(VLOOKUP(E4396,E$1:E4395,1,FALSE()))),"OLD",IF(AND(E4396&lt;&gt;"",E4396&lt;&gt;"!!!"),"NEW","")))</f>
        <v> </v>
      </c>
      <c r="G4396" s="23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4" t="str">
        <f>IF(J4396&lt;&gt;1,"",IF(I4396="SBJ","CB","?"))</f>
        <v> </v>
      </c>
      <c r="I4396" s="25" t="str">
        <f>IF(OR(E4396="",E4396="!!!",F4396="NEW"),"",INDEX(B4395:B$2,-1+SUMPRODUCT(MAX(ROW(E4395:E$2)*(E4396=E4395:E$2)))))</f>
        <v> </v>
      </c>
      <c r="J4396" s="25" t="str">
        <f>IF(OR(E4396="",E4396="!!!",F4396="NEW"),"",COUNTBLANK(OFFSET(A$1,,,SUMPRODUCT(MAX(ROW(E$2:E4396)*(E4396=E$2:E4396)))))-COUNTBLANK(OFFSET(A$1,,,SUMPRODUCT(MAX(ROW(E$1:E4395)*(E2=E$1:E4395))))))</f>
        <v> </v>
      </c>
      <c r="K4396" s="25" t="str">
        <f>IF(OR(E4396="",E4396="!!!",F4396="NEW"),"",INDEX(J$1:J4395,SUMPRODUCT(MAX(ROW(E$1:E4395)*(E4396=E$1:E4395)))))</f>
        <v> </v>
      </c>
      <c r="L4396" s="26"/>
    </row>
    <row r="4397" spans="1:12">
      <c r="A4397" s="20" t="s">
        <v>2826</v>
      </c>
      <c r="E4397" s="21">
        <f>IF(D4397="?OLD","!!!","")</f>
        <v/>
      </c>
      <c r="F4397" s="22" t="str">
        <f>IF(OR(E4397="",E4397="!!!"),"",IF(NOT(ISNA(VLOOKUP(E4397,E$1:E4396,1,FALSE()))),"OLD",IF(AND(E4397&lt;&gt;"",E4397&lt;&gt;"!!!"),"NEW","")))</f>
        <v> </v>
      </c>
      <c r="G4397" s="23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4" t="str">
        <f>IF(J4397&lt;&gt;1,"",IF(I4397="SBJ","CB","?"))</f>
        <v> </v>
      </c>
      <c r="I4397" s="25" t="str">
        <f>IF(OR(E4397="",E4397="!!!",F4397="NEW"),"",INDEX(B4396:B$2,-1+SUMPRODUCT(MAX(ROW(E4396:E$2)*(E4397=E4396:E$2)))))</f>
        <v> </v>
      </c>
      <c r="J4397" s="25" t="str">
        <f>IF(OR(E4397="",E4397="!!!",F4397="NEW"),"",COUNTBLANK(OFFSET(A$1,,,SUMPRODUCT(MAX(ROW(E$2:E4397)*(E4397=E$2:E4397)))))-COUNTBLANK(OFFSET(A$1,,,SUMPRODUCT(MAX(ROW(E$1:E4396)*(E2=E$1:E4396))))))</f>
        <v> </v>
      </c>
      <c r="K4397" s="25" t="str">
        <f>IF(OR(E4397="",E4397="!!!",F4397="NEW"),"",INDEX(J$1:J4396,SUMPRODUCT(MAX(ROW(E$1:E4396)*(E4397=E$1:E4396)))))</f>
        <v> </v>
      </c>
      <c r="L4397" s="26"/>
    </row>
    <row r="4398" spans="1:12">
      <c r="A4398" s="20" t="s">
        <v>2744</v>
      </c>
      <c r="E4398" s="21">
        <f>IF(D4398="?OLD","!!!","")</f>
        <v/>
      </c>
      <c r="F4398" s="22" t="str">
        <f>IF(OR(E4398="",E4398="!!!"),"",IF(NOT(ISNA(VLOOKUP(E4398,E$1:E4397,1,FALSE()))),"OLD",IF(AND(E4398&lt;&gt;"",E4398&lt;&gt;"!!!"),"NEW","")))</f>
        <v> </v>
      </c>
      <c r="G4398" s="23" t="str">
        <f>IF(OR(E4398="",E4398="!!!"),"",IF(OR(J4398=0,AND(J4398=1,K4398=1),AND(J4398=1,I4398="SBJ"),AND(J4398=1,I4398=0)),"?IN_FOCUS",IF(J4398&lt;=2,"?ACTIVATED",IF(J4398&lt;&gt;"","?FAMILIAR",IF(F4398="NEW",IF(ISNA(VLOOKUP(E4398,#REF!,1,FALSE())),"?TYPE_IDENTIFIABLE","?REFERENTIAL"),"_")))))</f>
        <v> </v>
      </c>
      <c r="H4398" s="24" t="str">
        <f>IF(J4398&lt;&gt;1,"",IF(I4398="SBJ","CB","?"))</f>
        <v> </v>
      </c>
      <c r="I4398" s="25" t="str">
        <f>IF(OR(E4398="",E4398="!!!",F4398="NEW"),"",INDEX(B4397:B$2,-1+SUMPRODUCT(MAX(ROW(E4397:E$2)*(E4398=E4397:E$2)))))</f>
        <v> </v>
      </c>
      <c r="J4398" s="25" t="str">
        <f>IF(OR(E4398="",E4398="!!!",F4398="NEW"),"",COUNTBLANK(OFFSET(A$1,,,SUMPRODUCT(MAX(ROW(E$2:E4398)*(E4398=E$2:E4398)))))-COUNTBLANK(OFFSET(A$1,,,SUMPRODUCT(MAX(ROW(E$1:E4397)*(E2=E$1:E4397))))))</f>
        <v> </v>
      </c>
      <c r="K4398" s="25" t="str">
        <f>IF(OR(E4398="",E4398="!!!",F4398="NEW"),"",INDEX(J$1:J4397,SUMPRODUCT(MAX(ROW(E$1:E4397)*(E4398=E$1:E4397)))))</f>
        <v> </v>
      </c>
      <c r="L4398" s="26"/>
    </row>
    <row r="4399" spans="1:12">
      <c r="A4399" s="20" t="s">
        <v>1127</v>
      </c>
      <c r="E4399" s="21">
        <f>IF(D4399="?OLD","!!!","")</f>
        <v/>
      </c>
      <c r="F4399" s="22" t="str">
        <f>IF(OR(E4399="",E4399="!!!"),"",IF(NOT(ISNA(VLOOKUP(E4399,E$1:E4398,1,FALSE()))),"OLD",IF(AND(E4399&lt;&gt;"",E4399&lt;&gt;"!!!"),"NEW","")))</f>
        <v> </v>
      </c>
      <c r="G4399" s="23" t="str">
        <f>IF(OR(E4399="",E4399="!!!"),"",IF(OR(J4399=0,AND(J4399=1,K4399=1),AND(J4399=1,I4399="SBJ"),AND(J4399=1,I4399=0)),"?IN_FOCUS",IF(J4399&lt;=2,"?ACTIVATED",IF(J4399&lt;&gt;"","?FAMILIAR",IF(F4399="NEW",IF(ISNA(VLOOKUP(E4399,#REF!,1,FALSE())),"?TYPE_IDENTIFIABLE","?REFERENTIAL"),"_")))))</f>
        <v> </v>
      </c>
      <c r="H4399" s="24" t="str">
        <f>IF(J4399&lt;&gt;1,"",IF(I4399="SBJ","CB","?"))</f>
        <v> </v>
      </c>
      <c r="I4399" s="25" t="str">
        <f>IF(OR(E4399="",E4399="!!!",F4399="NEW"),"",INDEX(B4398:B$2,-1+SUMPRODUCT(MAX(ROW(E4398:E$2)*(E4399=E4398:E$2)))))</f>
        <v> </v>
      </c>
      <c r="J4399" s="25" t="str">
        <f>IF(OR(E4399="",E4399="!!!",F4399="NEW"),"",COUNTBLANK(OFFSET(A$1,,,SUMPRODUCT(MAX(ROW(E$2:E4399)*(E4399=E$2:E4399)))))-COUNTBLANK(OFFSET(A$1,,,SUMPRODUCT(MAX(ROW(E$1:E4398)*(E2=E$1:E4398))))))</f>
        <v> </v>
      </c>
      <c r="K4399" s="25" t="str">
        <f>IF(OR(E4399="",E4399="!!!",F4399="NEW"),"",INDEX(J$1:J4398,SUMPRODUCT(MAX(ROW(E$1:E4398)*(E4399=E$1:E4398)))))</f>
        <v> </v>
      </c>
      <c r="L4399" s="26"/>
    </row>
    <row r="4400" spans="1:12">
      <c r="A4400" s="20" t="s">
        <v>2020</v>
      </c>
      <c r="E4400" s="21">
        <f>IF(D4400="?OLD","!!!","")</f>
        <v/>
      </c>
      <c r="F4400" s="22" t="str">
        <f>IF(OR(E4400="",E4400="!!!"),"",IF(NOT(ISNA(VLOOKUP(E4400,E$1:E4399,1,FALSE()))),"OLD",IF(AND(E4400&lt;&gt;"",E4400&lt;&gt;"!!!"),"NEW","")))</f>
        <v> </v>
      </c>
      <c r="G4400" s="23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4" t="str">
        <f>IF(J4400&lt;&gt;1,"",IF(I4400="SBJ","CB","?"))</f>
        <v> </v>
      </c>
      <c r="I4400" s="25" t="str">
        <f>IF(OR(E4400="",E4400="!!!",F4400="NEW"),"",INDEX(B4399:B$2,-1+SUMPRODUCT(MAX(ROW(E4399:E$2)*(E4400=E4399:E$2)))))</f>
        <v> </v>
      </c>
      <c r="J4400" s="25" t="str">
        <f>IF(OR(E4400="",E4400="!!!",F4400="NEW"),"",COUNTBLANK(OFFSET(A$1,,,SUMPRODUCT(MAX(ROW(E$2:E4400)*(E4400=E$2:E4400)))))-COUNTBLANK(OFFSET(A$1,,,SUMPRODUCT(MAX(ROW(E$1:E4399)*(E2=E$1:E4399))))))</f>
        <v> </v>
      </c>
      <c r="K4400" s="25" t="str">
        <f>IF(OR(E4400="",E4400="!!!",F4400="NEW"),"",INDEX(J$1:J4399,SUMPRODUCT(MAX(ROW(E$1:E4399)*(E4400=E$1:E4399)))))</f>
        <v> </v>
      </c>
      <c r="L4400" s="26"/>
    </row>
    <row r="4401" spans="1:12">
      <c r="A4401" s="20" t="s">
        <v>1041</v>
      </c>
      <c r="E4401" s="21">
        <f>IF(D4401="?OLD","!!!","")</f>
        <v/>
      </c>
      <c r="F4401" s="22" t="str">
        <f>IF(OR(E4401="",E4401="!!!"),"",IF(NOT(ISNA(VLOOKUP(E4401,E$1:E4400,1,FALSE()))),"OLD",IF(AND(E4401&lt;&gt;"",E4401&lt;&gt;"!!!"),"NEW","")))</f>
        <v> </v>
      </c>
      <c r="G4401" s="23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4" t="str">
        <f>IF(J4401&lt;&gt;1,"",IF(I4401="SBJ","CB","?"))</f>
        <v> </v>
      </c>
      <c r="I4401" s="25" t="str">
        <f>IF(OR(E4401="",E4401="!!!",F4401="NEW"),"",INDEX(B4400:B$2,-1+SUMPRODUCT(MAX(ROW(E4400:E$2)*(E4401=E4400:E$2)))))</f>
        <v> </v>
      </c>
      <c r="J4401" s="25" t="str">
        <f>IF(OR(E4401="",E4401="!!!",F4401="NEW"),"",COUNTBLANK(OFFSET(A$1,,,SUMPRODUCT(MAX(ROW(E$2:E4401)*(E4401=E$2:E4401)))))-COUNTBLANK(OFFSET(A$1,,,SUMPRODUCT(MAX(ROW(E$1:E4400)*(E2=E$1:E4400))))))</f>
        <v> </v>
      </c>
      <c r="K4401" s="25" t="str">
        <f>IF(OR(E4401="",E4401="!!!",F4401="NEW"),"",INDEX(J$1:J4400,SUMPRODUCT(MAX(ROW(E$1:E4400)*(E4401=E$1:E4400)))))</f>
        <v> </v>
      </c>
      <c r="L4401" s="26"/>
    </row>
    <row r="4402" spans="1:12">
      <c r="A4402" s="20" t="s">
        <v>1122</v>
      </c>
      <c r="E4402" s="21">
        <f>IF(D4402="?OLD","!!!","")</f>
        <v/>
      </c>
      <c r="F4402" s="22" t="str">
        <f>IF(OR(E4402="",E4402="!!!"),"",IF(NOT(ISNA(VLOOKUP(E4402,E$1:E4401,1,FALSE()))),"OLD",IF(AND(E4402&lt;&gt;"",E4402&lt;&gt;"!!!"),"NEW","")))</f>
        <v> </v>
      </c>
      <c r="G4402" s="23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4" t="str">
        <f>IF(J4402&lt;&gt;1,"",IF(I4402="SBJ","CB","?"))</f>
        <v> </v>
      </c>
      <c r="I4402" s="25" t="str">
        <f>IF(OR(E4402="",E4402="!!!",F4402="NEW"),"",INDEX(B4401:B$2,-1+SUMPRODUCT(MAX(ROW(E4401:E$2)*(E4402=E4401:E$2)))))</f>
        <v> </v>
      </c>
      <c r="J4402" s="25" t="str">
        <f>IF(OR(E4402="",E4402="!!!",F4402="NEW"),"",COUNTBLANK(OFFSET(A$1,,,SUMPRODUCT(MAX(ROW(E$2:E4402)*(E4402=E$2:E4402)))))-COUNTBLANK(OFFSET(A$1,,,SUMPRODUCT(MAX(ROW(E$1:E4401)*(E2=E$1:E4401))))))</f>
        <v> </v>
      </c>
      <c r="K4402" s="25" t="str">
        <f>IF(OR(E4402="",E4402="!!!",F4402="NEW"),"",INDEX(J$1:J4401,SUMPRODUCT(MAX(ROW(E$1:E4401)*(E4402=E$1:E4401)))))</f>
        <v> </v>
      </c>
      <c r="L4402" s="26"/>
    </row>
    <row r="4403" spans="1:12">
      <c r="A4403" s="20" t="s">
        <v>2827</v>
      </c>
      <c r="E4403" s="21">
        <f>IF(D4403="?OLD","!!!","")</f>
        <v/>
      </c>
      <c r="F4403" s="22" t="str">
        <f>IF(OR(E4403="",E4403="!!!"),"",IF(NOT(ISNA(VLOOKUP(E4403,E$1:E4402,1,FALSE()))),"OLD",IF(AND(E4403&lt;&gt;"",E4403&lt;&gt;"!!!"),"NEW","")))</f>
        <v> </v>
      </c>
      <c r="G4403" s="23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4" t="str">
        <f>IF(J4403&lt;&gt;1,"",IF(I4403="SBJ","CB","?"))</f>
        <v> </v>
      </c>
      <c r="I4403" s="25" t="str">
        <f>IF(OR(E4403="",E4403="!!!",F4403="NEW"),"",INDEX(B4402:B$2,-1+SUMPRODUCT(MAX(ROW(E4402:E$2)*(E4403=E4402:E$2)))))</f>
        <v> </v>
      </c>
      <c r="J4403" s="25" t="str">
        <f>IF(OR(E4403="",E4403="!!!",F4403="NEW"),"",COUNTBLANK(OFFSET(A$1,,,SUMPRODUCT(MAX(ROW(E$2:E4403)*(E4403=E$2:E4403)))))-COUNTBLANK(OFFSET(A$1,,,SUMPRODUCT(MAX(ROW(E$1:E4402)*(E2=E$1:E4402))))))</f>
        <v> </v>
      </c>
      <c r="K4403" s="25" t="str">
        <f>IF(OR(E4403="",E4403="!!!",F4403="NEW"),"",INDEX(J$1:J4402,SUMPRODUCT(MAX(ROW(E$1:E4402)*(E4403=E$1:E4402)))))</f>
        <v> </v>
      </c>
      <c r="L4403" s="26"/>
    </row>
    <row r="4404" spans="1:12">
      <c r="A4404" s="20" t="s">
        <v>1210</v>
      </c>
      <c r="B4404" s="27" t="s">
        <v>1238</v>
      </c>
      <c r="C4404" s="27" t="s">
        <v>1046</v>
      </c>
      <c r="D4404" s="27" t="s">
        <v>1026</v>
      </c>
      <c r="E4404" s="21">
        <f>IF(D4404="?OLD","!!!","")</f>
        <v/>
      </c>
      <c r="F4404" s="22" t="str">
        <f>IF(OR(E4404="",E4404="!!!"),"",IF(NOT(ISNA(VLOOKUP(E4404,E$1:E4403,1,FALSE()))),"OLD",IF(AND(E4404&lt;&gt;"",E4404&lt;&gt;"!!!"),"NEW","")))</f>
        <v> </v>
      </c>
      <c r="G4404" s="23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4" t="str">
        <f>IF(J4404&lt;&gt;1,"",IF(I4404="SBJ","CB","?"))</f>
        <v> </v>
      </c>
      <c r="I4404" s="25" t="str">
        <f>IF(OR(E4404="",E4404="!!!",F4404="NEW"),"",INDEX(B4403:B$2,-1+SUMPRODUCT(MAX(ROW(E4403:E$2)*(E4404=E4403:E$2)))))</f>
        <v> </v>
      </c>
      <c r="J4404" s="25" t="str">
        <f>IF(OR(E4404="",E4404="!!!",F4404="NEW"),"",COUNTBLANK(OFFSET(A$1,,,SUMPRODUCT(MAX(ROW(E$2:E4404)*(E4404=E$2:E4404)))))-COUNTBLANK(OFFSET(A$1,,,SUMPRODUCT(MAX(ROW(E$1:E4403)*(E2=E$1:E4403))))))</f>
        <v> </v>
      </c>
      <c r="K4404" s="25" t="str">
        <f>IF(OR(E4404="",E4404="!!!",F4404="NEW"),"",INDEX(J$1:J4403,SUMPRODUCT(MAX(ROW(E$1:E4403)*(E4404=E$1:E4403)))))</f>
        <v> </v>
      </c>
      <c r="L4404" s="26"/>
    </row>
    <row r="4405" spans="1:12">
      <c r="A4405" s="20" t="s">
        <v>2828</v>
      </c>
      <c r="E4405" s="21">
        <f>IF(D4405="?OLD","!!!","")</f>
        <v/>
      </c>
      <c r="F4405" s="22" t="str">
        <f>IF(OR(E4405="",E4405="!!!"),"",IF(NOT(ISNA(VLOOKUP(E4405,E$1:E4404,1,FALSE()))),"OLD",IF(AND(E4405&lt;&gt;"",E4405&lt;&gt;"!!!"),"NEW","")))</f>
        <v> </v>
      </c>
      <c r="G4405" s="23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4" t="str">
        <f>IF(J4405&lt;&gt;1,"",IF(I4405="SBJ","CB","?"))</f>
        <v> </v>
      </c>
      <c r="I4405" s="25" t="str">
        <f>IF(OR(E4405="",E4405="!!!",F4405="NEW"),"",INDEX(B4404:B$2,-1+SUMPRODUCT(MAX(ROW(E4404:E$2)*(E4405=E4404:E$2)))))</f>
        <v> </v>
      </c>
      <c r="J4405" s="25" t="str">
        <f>IF(OR(E4405="",E4405="!!!",F4405="NEW"),"",COUNTBLANK(OFFSET(A$1,,,SUMPRODUCT(MAX(ROW(E$2:E4405)*(E4405=E$2:E4405)))))-COUNTBLANK(OFFSET(A$1,,,SUMPRODUCT(MAX(ROW(E$1:E4404)*(E2=E$1:E4404))))))</f>
        <v> </v>
      </c>
      <c r="K4405" s="25" t="str">
        <f>IF(OR(E4405="",E4405="!!!",F4405="NEW"),"",INDEX(J$1:J4404,SUMPRODUCT(MAX(ROW(E$1:E4404)*(E4405=E$1:E4404)))))</f>
        <v> </v>
      </c>
      <c r="L4405" s="26"/>
    </row>
    <row r="4406" spans="1:12">
      <c r="A4406" s="20" t="s">
        <v>1032</v>
      </c>
      <c r="E4406" s="21">
        <f>IF(D4406="?OLD","!!!","")</f>
        <v/>
      </c>
      <c r="F4406" s="22" t="str">
        <f>IF(OR(E4406="",E4406="!!!"),"",IF(NOT(ISNA(VLOOKUP(E4406,E$1:E4405,1,FALSE()))),"OLD",IF(AND(E4406&lt;&gt;"",E4406&lt;&gt;"!!!"),"NEW","")))</f>
        <v> </v>
      </c>
      <c r="G4406" s="23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4" t="str">
        <f>IF(J4406&lt;&gt;1,"",IF(I4406="SBJ","CB","?"))</f>
        <v> </v>
      </c>
      <c r="I4406" s="25" t="str">
        <f>IF(OR(E4406="",E4406="!!!",F4406="NEW"),"",INDEX(B4405:B$2,-1+SUMPRODUCT(MAX(ROW(E4405:E$2)*(E4406=E4405:E$2)))))</f>
        <v> </v>
      </c>
      <c r="J4406" s="25" t="str">
        <f>IF(OR(E4406="",E4406="!!!",F4406="NEW"),"",COUNTBLANK(OFFSET(A$1,,,SUMPRODUCT(MAX(ROW(E$2:E4406)*(E4406=E$2:E4406)))))-COUNTBLANK(OFFSET(A$1,,,SUMPRODUCT(MAX(ROW(E$1:E4405)*(E2=E$1:E4405))))))</f>
        <v> </v>
      </c>
      <c r="K4406" s="25" t="str">
        <f>IF(OR(E4406="",E4406="!!!",F4406="NEW"),"",INDEX(J$1:J4405,SUMPRODUCT(MAX(ROW(E$1:E4405)*(E4406=E$1:E4405)))))</f>
        <v> </v>
      </c>
      <c r="L4406" s="26"/>
    </row>
    <row r="4407" spans="1:12">
      <c r="A4407" s="20"/>
    </row>
    <row r="4408" spans="1:12">
      <c r="A4408" s="20" t="s">
        <v>2829</v>
      </c>
    </row>
    <row r="4409" spans="1:12">
      <c r="A4409" s="20" t="s">
        <v>2241</v>
      </c>
      <c r="E4409" s="21">
        <f>IF(D4409="?OLD","!!!","")</f>
        <v/>
      </c>
      <c r="F4409" s="22" t="str">
        <f>IF(OR(E4409="",E4409="!!!"),"",IF(NOT(ISNA(VLOOKUP(E4409,E$1:E4408,1,FALSE()))),"OLD",IF(AND(E4409&lt;&gt;"",E4409&lt;&gt;"!!!"),"NEW","")))</f>
        <v> </v>
      </c>
      <c r="G4409" s="23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4" t="str">
        <f>IF(J4409&lt;&gt;1,"",IF(I4409="SBJ","CB","?"))</f>
        <v> </v>
      </c>
      <c r="I4409" s="25" t="str">
        <f>IF(OR(E4409="",E4409="!!!",F4409="NEW"),"",INDEX(B4408:B$2,-1+SUMPRODUCT(MAX(ROW(E4408:E$2)*(E4409=E4408:E$2)))))</f>
        <v> </v>
      </c>
      <c r="J4409" s="25" t="str">
        <f>IF(OR(E4409="",E4409="!!!",F4409="NEW"),"",COUNTBLANK(OFFSET(A$1,,,SUMPRODUCT(MAX(ROW(E$2:E4409)*(E4409=E$2:E4409)))))-COUNTBLANK(OFFSET(A$1,,,SUMPRODUCT(MAX(ROW(E$1:E4408)*(E2=E$1:E4408))))))</f>
        <v> </v>
      </c>
      <c r="K4409" s="25" t="str">
        <f>IF(OR(E4409="",E4409="!!!",F4409="NEW"),"",INDEX(J$1:J4408,SUMPRODUCT(MAX(ROW(E$1:E4408)*(E4409=E$1:E4408)))))</f>
        <v> </v>
      </c>
      <c r="L4409" s="26"/>
    </row>
    <row r="4410" spans="1:12">
      <c r="A4410" s="20" t="s">
        <v>2830</v>
      </c>
      <c r="E4410" s="21">
        <f>IF(D4410="?OLD","!!!","")</f>
        <v/>
      </c>
      <c r="F4410" s="22" t="str">
        <f>IF(OR(E4410="",E4410="!!!"),"",IF(NOT(ISNA(VLOOKUP(E4410,E$1:E4409,1,FALSE()))),"OLD",IF(AND(E4410&lt;&gt;"",E4410&lt;&gt;"!!!"),"NEW","")))</f>
        <v> </v>
      </c>
      <c r="G4410" s="23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4" t="str">
        <f>IF(J4410&lt;&gt;1,"",IF(I4410="SBJ","CB","?"))</f>
        <v> </v>
      </c>
      <c r="I4410" s="25" t="str">
        <f>IF(OR(E4410="",E4410="!!!",F4410="NEW"),"",INDEX(B4409:B$2,-1+SUMPRODUCT(MAX(ROW(E4409:E$2)*(E4410=E4409:E$2)))))</f>
        <v> </v>
      </c>
      <c r="J4410" s="25" t="str">
        <f>IF(OR(E4410="",E4410="!!!",F4410="NEW"),"",COUNTBLANK(OFFSET(A$1,,,SUMPRODUCT(MAX(ROW(E$2:E4410)*(E4410=E$2:E4410)))))-COUNTBLANK(OFFSET(A$1,,,SUMPRODUCT(MAX(ROW(E$1:E4409)*(E2=E$1:E4409))))))</f>
        <v> </v>
      </c>
      <c r="K4410" s="25" t="str">
        <f>IF(OR(E4410="",E4410="!!!",F4410="NEW"),"",INDEX(J$1:J4409,SUMPRODUCT(MAX(ROW(E$1:E4409)*(E4410=E$1:E4409)))))</f>
        <v> </v>
      </c>
      <c r="L4410" s="26"/>
    </row>
    <row r="4411" spans="1:12">
      <c r="A4411" s="20" t="s">
        <v>2831</v>
      </c>
      <c r="E4411" s="21">
        <f>IF(D4411="?OLD","!!!","")</f>
        <v/>
      </c>
      <c r="F4411" s="22" t="str">
        <f>IF(OR(E4411="",E4411="!!!"),"",IF(NOT(ISNA(VLOOKUP(E4411,E$1:E4410,1,FALSE()))),"OLD",IF(AND(E4411&lt;&gt;"",E4411&lt;&gt;"!!!"),"NEW","")))</f>
        <v> </v>
      </c>
      <c r="G4411" s="23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4" t="str">
        <f>IF(J4411&lt;&gt;1,"",IF(I4411="SBJ","CB","?"))</f>
        <v> </v>
      </c>
      <c r="I4411" s="25" t="str">
        <f>IF(OR(E4411="",E4411="!!!",F4411="NEW"),"",INDEX(B4410:B$2,-1+SUMPRODUCT(MAX(ROW(E4410:E$2)*(E4411=E4410:E$2)))))</f>
        <v> </v>
      </c>
      <c r="J4411" s="25" t="str">
        <f>IF(OR(E4411="",E4411="!!!",F4411="NEW"),"",COUNTBLANK(OFFSET(A$1,,,SUMPRODUCT(MAX(ROW(E$2:E4411)*(E4411=E$2:E4411)))))-COUNTBLANK(OFFSET(A$1,,,SUMPRODUCT(MAX(ROW(E$1:E4410)*(E2=E$1:E4410))))))</f>
        <v> </v>
      </c>
      <c r="K4411" s="25" t="str">
        <f>IF(OR(E4411="",E4411="!!!",F4411="NEW"),"",INDEX(J$1:J4410,SUMPRODUCT(MAX(ROW(E$1:E4410)*(E4411=E$1:E4410)))))</f>
        <v> </v>
      </c>
      <c r="L4411" s="26"/>
    </row>
    <row r="4412" spans="1:12">
      <c r="A4412" s="20" t="s">
        <v>2832</v>
      </c>
      <c r="E4412" s="21">
        <f>IF(D4412="?OLD","!!!","")</f>
        <v/>
      </c>
      <c r="F4412" s="22" t="str">
        <f>IF(OR(E4412="",E4412="!!!"),"",IF(NOT(ISNA(VLOOKUP(E4412,E$1:E4411,1,FALSE()))),"OLD",IF(AND(E4412&lt;&gt;"",E4412&lt;&gt;"!!!"),"NEW","")))</f>
        <v> </v>
      </c>
      <c r="G4412" s="23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4" t="str">
        <f>IF(J4412&lt;&gt;1,"",IF(I4412="SBJ","CB","?"))</f>
        <v> </v>
      </c>
      <c r="I4412" s="25" t="str">
        <f>IF(OR(E4412="",E4412="!!!",F4412="NEW"),"",INDEX(B4411:B$2,-1+SUMPRODUCT(MAX(ROW(E4411:E$2)*(E4412=E4411:E$2)))))</f>
        <v> </v>
      </c>
      <c r="J4412" s="25" t="str">
        <f>IF(OR(E4412="",E4412="!!!",F4412="NEW"),"",COUNTBLANK(OFFSET(A$1,,,SUMPRODUCT(MAX(ROW(E$2:E4412)*(E4412=E$2:E4412)))))-COUNTBLANK(OFFSET(A$1,,,SUMPRODUCT(MAX(ROW(E$1:E4411)*(E2=E$1:E4411))))))</f>
        <v> </v>
      </c>
      <c r="K4412" s="25" t="str">
        <f>IF(OR(E4412="",E4412="!!!",F4412="NEW"),"",INDEX(J$1:J4411,SUMPRODUCT(MAX(ROW(E$1:E4411)*(E4412=E$1:E4411)))))</f>
        <v> </v>
      </c>
      <c r="L4412" s="26"/>
    </row>
    <row r="4413" spans="1:12">
      <c r="A4413" s="20" t="s">
        <v>2833</v>
      </c>
      <c r="B4413" s="27" t="s">
        <v>1024</v>
      </c>
      <c r="C4413" s="27" t="s">
        <v>1072</v>
      </c>
      <c r="D4413" s="27" t="s">
        <v>1026</v>
      </c>
      <c r="E4413" s="21">
        <f>IF(D4413="?OLD","!!!","")</f>
        <v/>
      </c>
      <c r="F4413" s="22" t="str">
        <f>IF(OR(E4413="",E4413="!!!"),"",IF(NOT(ISNA(VLOOKUP(E4413,E$1:E4412,1,FALSE()))),"OLD",IF(AND(E4413&lt;&gt;"",E4413&lt;&gt;"!!!"),"NEW","")))</f>
        <v> </v>
      </c>
      <c r="G4413" s="23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4" t="str">
        <f>IF(J4413&lt;&gt;1,"",IF(I4413="SBJ","CB","?"))</f>
        <v> </v>
      </c>
      <c r="I4413" s="25" t="str">
        <f>IF(OR(E4413="",E4413="!!!",F4413="NEW"),"",INDEX(B4412:B$2,-1+SUMPRODUCT(MAX(ROW(E4412:E$2)*(E4413=E4412:E$2)))))</f>
        <v> </v>
      </c>
      <c r="J4413" s="25" t="str">
        <f>IF(OR(E4413="",E4413="!!!",F4413="NEW"),"",COUNTBLANK(OFFSET(A$1,,,SUMPRODUCT(MAX(ROW(E$2:E4413)*(E4413=E$2:E4413)))))-COUNTBLANK(OFFSET(A$1,,,SUMPRODUCT(MAX(ROW(E$1:E4412)*(E2=E$1:E4412))))))</f>
        <v> </v>
      </c>
      <c r="K4413" s="25" t="str">
        <f>IF(OR(E4413="",E4413="!!!",F4413="NEW"),"",INDEX(J$1:J4412,SUMPRODUCT(MAX(ROW(E$1:E4412)*(E4413=E$1:E4412)))))</f>
        <v> </v>
      </c>
      <c r="L4413" s="26"/>
    </row>
    <row r="4414" spans="1:12">
      <c r="A4414" s="20" t="s">
        <v>1764</v>
      </c>
      <c r="E4414" s="21">
        <f>IF(D4414="?OLD","!!!","")</f>
        <v/>
      </c>
      <c r="F4414" s="22" t="str">
        <f>IF(OR(E4414="",E4414="!!!"),"",IF(NOT(ISNA(VLOOKUP(E4414,E$1:E4413,1,FALSE()))),"OLD",IF(AND(E4414&lt;&gt;"",E4414&lt;&gt;"!!!"),"NEW","")))</f>
        <v> </v>
      </c>
      <c r="G4414" s="23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4" t="str">
        <f>IF(J4414&lt;&gt;1,"",IF(I4414="SBJ","CB","?"))</f>
        <v> </v>
      </c>
      <c r="I4414" s="25" t="str">
        <f>IF(OR(E4414="",E4414="!!!",F4414="NEW"),"",INDEX(B4413:B$2,-1+SUMPRODUCT(MAX(ROW(E4413:E$2)*(E4414=E4413:E$2)))))</f>
        <v> </v>
      </c>
      <c r="J4414" s="25" t="str">
        <f>IF(OR(E4414="",E4414="!!!",F4414="NEW"),"",COUNTBLANK(OFFSET(A$1,,,SUMPRODUCT(MAX(ROW(E$2:E4414)*(E4414=E$2:E4414)))))-COUNTBLANK(OFFSET(A$1,,,SUMPRODUCT(MAX(ROW(E$1:E4413)*(E2=E$1:E4413))))))</f>
        <v> </v>
      </c>
      <c r="K4414" s="25" t="str">
        <f>IF(OR(E4414="",E4414="!!!",F4414="NEW"),"",INDEX(J$1:J4413,SUMPRODUCT(MAX(ROW(E$1:E4413)*(E4414=E$1:E4413)))))</f>
        <v> </v>
      </c>
      <c r="L4414" s="26"/>
    </row>
    <row r="4415" spans="1:12">
      <c r="A4415" s="20" t="s">
        <v>1079</v>
      </c>
      <c r="B4415" s="27" t="s">
        <v>1136</v>
      </c>
      <c r="C4415" s="27" t="s">
        <v>1036</v>
      </c>
      <c r="D4415" s="27" t="s">
        <v>1026</v>
      </c>
      <c r="E4415" s="21">
        <f>IF(D4415="?OLD","!!!","")</f>
        <v/>
      </c>
      <c r="F4415" s="22" t="str">
        <f>IF(OR(E4415="",E4415="!!!"),"",IF(NOT(ISNA(VLOOKUP(E4415,E$1:E4414,1,FALSE()))),"OLD",IF(AND(E4415&lt;&gt;"",E4415&lt;&gt;"!!!"),"NEW","")))</f>
        <v> </v>
      </c>
      <c r="G4415" s="23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4" t="str">
        <f>IF(J4415&lt;&gt;1,"",IF(I4415="SBJ","CB","?"))</f>
        <v> </v>
      </c>
      <c r="I4415" s="25" t="str">
        <f>IF(OR(E4415="",E4415="!!!",F4415="NEW"),"",INDEX(B4414:B$2,-1+SUMPRODUCT(MAX(ROW(E4414:E$2)*(E4415=E4414:E$2)))))</f>
        <v> </v>
      </c>
      <c r="J4415" s="25" t="str">
        <f>IF(OR(E4415="",E4415="!!!",F4415="NEW"),"",COUNTBLANK(OFFSET(A$1,,,SUMPRODUCT(MAX(ROW(E$2:E4415)*(E4415=E$2:E4415)))))-COUNTBLANK(OFFSET(A$1,,,SUMPRODUCT(MAX(ROW(E$1:E4414)*(E2=E$1:E4414))))))</f>
        <v> </v>
      </c>
      <c r="K4415" s="25" t="str">
        <f>IF(OR(E4415="",E4415="!!!",F4415="NEW"),"",INDEX(J$1:J4414,SUMPRODUCT(MAX(ROW(E$1:E4414)*(E4415=E$1:E4414)))))</f>
        <v> </v>
      </c>
      <c r="L4415" s="26"/>
    </row>
    <row r="4416" spans="1:12">
      <c r="A4416" s="20" t="s">
        <v>1041</v>
      </c>
      <c r="E4416" s="21">
        <f>IF(D4416="?OLD","!!!","")</f>
        <v/>
      </c>
      <c r="F4416" s="22" t="str">
        <f>IF(OR(E4416="",E4416="!!!"),"",IF(NOT(ISNA(VLOOKUP(E4416,E$1:E4415,1,FALSE()))),"OLD",IF(AND(E4416&lt;&gt;"",E4416&lt;&gt;"!!!"),"NEW","")))</f>
        <v> </v>
      </c>
      <c r="G4416" s="23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4" t="str">
        <f>IF(J4416&lt;&gt;1,"",IF(I4416="SBJ","CB","?"))</f>
        <v> </v>
      </c>
      <c r="I4416" s="25" t="str">
        <f>IF(OR(E4416="",E4416="!!!",F4416="NEW"),"",INDEX(B4415:B$2,-1+SUMPRODUCT(MAX(ROW(E4415:E$2)*(E4416=E4415:E$2)))))</f>
        <v> </v>
      </c>
      <c r="J4416" s="25" t="str">
        <f>IF(OR(E4416="",E4416="!!!",F4416="NEW"),"",COUNTBLANK(OFFSET(A$1,,,SUMPRODUCT(MAX(ROW(E$2:E4416)*(E4416=E$2:E4416)))))-COUNTBLANK(OFFSET(A$1,,,SUMPRODUCT(MAX(ROW(E$1:E4415)*(E2=E$1:E4415))))))</f>
        <v> </v>
      </c>
      <c r="K4416" s="25" t="str">
        <f>IF(OR(E4416="",E4416="!!!",F4416="NEW"),"",INDEX(J$1:J4415,SUMPRODUCT(MAX(ROW(E$1:E4415)*(E4416=E$1:E4415)))))</f>
        <v> </v>
      </c>
      <c r="L4416" s="26"/>
    </row>
    <row r="4417" spans="1:12">
      <c r="A4417" s="20" t="s">
        <v>284</v>
      </c>
      <c r="E4417" s="21">
        <f>IF(D4417="?OLD","!!!","")</f>
        <v/>
      </c>
      <c r="F4417" s="22" t="str">
        <f>IF(OR(E4417="",E4417="!!!"),"",IF(NOT(ISNA(VLOOKUP(E4417,E$1:E4416,1,FALSE()))),"OLD",IF(AND(E4417&lt;&gt;"",E4417&lt;&gt;"!!!"),"NEW","")))</f>
        <v> </v>
      </c>
      <c r="G4417" s="23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4" t="str">
        <f>IF(J4417&lt;&gt;1,"",IF(I4417="SBJ","CB","?"))</f>
        <v> </v>
      </c>
      <c r="I4417" s="25" t="str">
        <f>IF(OR(E4417="",E4417="!!!",F4417="NEW"),"",INDEX(B4416:B$2,-1+SUMPRODUCT(MAX(ROW(E4416:E$2)*(E4417=E4416:E$2)))))</f>
        <v> </v>
      </c>
      <c r="J4417" s="25" t="str">
        <f>IF(OR(E4417="",E4417="!!!",F4417="NEW"),"",COUNTBLANK(OFFSET(A$1,,,SUMPRODUCT(MAX(ROW(E$2:E4417)*(E4417=E$2:E4417)))))-COUNTBLANK(OFFSET(A$1,,,SUMPRODUCT(MAX(ROW(E$1:E4416)*(E2=E$1:E4416))))))</f>
        <v> </v>
      </c>
      <c r="K4417" s="25" t="str">
        <f>IF(OR(E4417="",E4417="!!!",F4417="NEW"),"",INDEX(J$1:J4416,SUMPRODUCT(MAX(ROW(E$1:E4416)*(E4417=E$1:E4416)))))</f>
        <v> </v>
      </c>
      <c r="L4417" s="26"/>
    </row>
    <row r="4418" spans="1:12">
      <c r="A4418" s="20" t="s">
        <v>1299</v>
      </c>
      <c r="E4418" s="21">
        <f>IF(D4418="?OLD","!!!","")</f>
        <v/>
      </c>
      <c r="F4418" s="22" t="str">
        <f>IF(OR(E4418="",E4418="!!!"),"",IF(NOT(ISNA(VLOOKUP(E4418,E$1:E4417,1,FALSE()))),"OLD",IF(AND(E4418&lt;&gt;"",E4418&lt;&gt;"!!!"),"NEW","")))</f>
        <v> </v>
      </c>
      <c r="G4418" s="23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4" t="str">
        <f>IF(J4418&lt;&gt;1,"",IF(I4418="SBJ","CB","?"))</f>
        <v> </v>
      </c>
      <c r="I4418" s="25" t="str">
        <f>IF(OR(E4418="",E4418="!!!",F4418="NEW"),"",INDEX(B4417:B$2,-1+SUMPRODUCT(MAX(ROW(E4417:E$2)*(E4418=E4417:E$2)))))</f>
        <v> </v>
      </c>
      <c r="J4418" s="25" t="str">
        <f>IF(OR(E4418="",E4418="!!!",F4418="NEW"),"",COUNTBLANK(OFFSET(A$1,,,SUMPRODUCT(MAX(ROW(E$2:E4418)*(E4418=E$2:E4418)))))-COUNTBLANK(OFFSET(A$1,,,SUMPRODUCT(MAX(ROW(E$1:E4417)*(E2=E$1:E4417))))))</f>
        <v> </v>
      </c>
      <c r="K4418" s="25" t="str">
        <f>IF(OR(E4418="",E4418="!!!",F4418="NEW"),"",INDEX(J$1:J4417,SUMPRODUCT(MAX(ROW(E$1:E4417)*(E4418=E$1:E4417)))))</f>
        <v> </v>
      </c>
      <c r="L4418" s="26"/>
    </row>
    <row r="4419" spans="1:12">
      <c r="A4419" s="20" t="s">
        <v>1035</v>
      </c>
      <c r="B4419" s="27" t="s">
        <v>1229</v>
      </c>
      <c r="C4419" s="27" t="s">
        <v>1036</v>
      </c>
      <c r="D4419" s="27" t="s">
        <v>1026</v>
      </c>
      <c r="E4419" s="21">
        <f>IF(D4419="?OLD","!!!","")</f>
        <v/>
      </c>
      <c r="F4419" s="22" t="str">
        <f>IF(OR(E4419="",E4419="!!!"),"",IF(NOT(ISNA(VLOOKUP(E4419,E$1:E4418,1,FALSE()))),"OLD",IF(AND(E4419&lt;&gt;"",E4419&lt;&gt;"!!!"),"NEW","")))</f>
        <v> </v>
      </c>
      <c r="G4419" s="23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4" t="str">
        <f>IF(J4419&lt;&gt;1,"",IF(I4419="SBJ","CB","?"))</f>
        <v> </v>
      </c>
      <c r="I4419" s="25" t="str">
        <f>IF(OR(E4419="",E4419="!!!",F4419="NEW"),"",INDEX(B4418:B$2,-1+SUMPRODUCT(MAX(ROW(E4418:E$2)*(E4419=E4418:E$2)))))</f>
        <v> </v>
      </c>
      <c r="J4419" s="25" t="str">
        <f>IF(OR(E4419="",E4419="!!!",F4419="NEW"),"",COUNTBLANK(OFFSET(A$1,,,SUMPRODUCT(MAX(ROW(E$2:E4419)*(E4419=E$2:E4419)))))-COUNTBLANK(OFFSET(A$1,,,SUMPRODUCT(MAX(ROW(E$1:E4418)*(E2=E$1:E4418))))))</f>
        <v> </v>
      </c>
      <c r="K4419" s="25" t="str">
        <f>IF(OR(E4419="",E4419="!!!",F4419="NEW"),"",INDEX(J$1:J4418,SUMPRODUCT(MAX(ROW(E$1:E4418)*(E4419=E$1:E4418)))))</f>
        <v> </v>
      </c>
      <c r="L4419" s="26"/>
    </row>
    <row r="4420" spans="1:12">
      <c r="A4420" s="20" t="s">
        <v>2834</v>
      </c>
      <c r="E4420" s="21">
        <f>IF(D4420="?OLD","!!!","")</f>
        <v/>
      </c>
      <c r="F4420" s="22" t="str">
        <f>IF(OR(E4420="",E4420="!!!"),"",IF(NOT(ISNA(VLOOKUP(E4420,E$1:E4419,1,FALSE()))),"OLD",IF(AND(E4420&lt;&gt;"",E4420&lt;&gt;"!!!"),"NEW","")))</f>
        <v> </v>
      </c>
      <c r="G4420" s="23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4" t="str">
        <f>IF(J4420&lt;&gt;1,"",IF(I4420="SBJ","CB","?"))</f>
        <v> </v>
      </c>
      <c r="I4420" s="25" t="str">
        <f>IF(OR(E4420="",E4420="!!!",F4420="NEW"),"",INDEX(B4419:B$2,-1+SUMPRODUCT(MAX(ROW(E4419:E$2)*(E4420=E4419:E$2)))))</f>
        <v> </v>
      </c>
      <c r="J4420" s="25" t="str">
        <f>IF(OR(E4420="",E4420="!!!",F4420="NEW"),"",COUNTBLANK(OFFSET(A$1,,,SUMPRODUCT(MAX(ROW(E$2:E4420)*(E4420=E$2:E4420)))))-COUNTBLANK(OFFSET(A$1,,,SUMPRODUCT(MAX(ROW(E$1:E4419)*(E2=E$1:E4419))))))</f>
        <v> </v>
      </c>
      <c r="K4420" s="25" t="str">
        <f>IF(OR(E4420="",E4420="!!!",F4420="NEW"),"",INDEX(J$1:J4419,SUMPRODUCT(MAX(ROW(E$1:E4419)*(E4420=E$1:E4419)))))</f>
        <v> </v>
      </c>
      <c r="L4420" s="26"/>
    </row>
    <row r="4421" spans="1:12">
      <c r="A4421" s="20" t="s">
        <v>1035</v>
      </c>
      <c r="B4421" s="27" t="s">
        <v>1339</v>
      </c>
      <c r="C4421" s="27" t="s">
        <v>1036</v>
      </c>
      <c r="D4421" s="27" t="s">
        <v>1026</v>
      </c>
      <c r="E4421" s="21">
        <f>IF(D4421="?OLD","!!!","")</f>
        <v/>
      </c>
      <c r="F4421" s="22" t="str">
        <f>IF(OR(E4421="",E4421="!!!"),"",IF(NOT(ISNA(VLOOKUP(E4421,E$1:E4420,1,FALSE()))),"OLD",IF(AND(E4421&lt;&gt;"",E4421&lt;&gt;"!!!"),"NEW","")))</f>
        <v> </v>
      </c>
      <c r="G4421" s="23" t="str">
        <f>IF(OR(E4421="",E4421="!!!"),"",IF(OR(J4421=0,AND(J4421=1,K4421=1),AND(J4421=1,I4421="SBJ"),AND(J4421=1,I4421=0)),"?IN_FOCUS",IF(J4421&lt;=2,"?ACTIVATED",IF(J4421&lt;&gt;"","?FAMILIAR",IF(F4421="NEW",IF(ISNA(VLOOKUP(E4421,#REF!,1,FALSE())),"?TYPE_IDENTIFIABLE","?REFERENTIAL"),"_")))))</f>
        <v> </v>
      </c>
      <c r="H4421" s="24" t="str">
        <f>IF(J4421&lt;&gt;1,"",IF(I4421="SBJ","CB","?"))</f>
        <v> </v>
      </c>
      <c r="I4421" s="25" t="str">
        <f>IF(OR(E4421="",E4421="!!!",F4421="NEW"),"",INDEX(B4420:B$2,-1+SUMPRODUCT(MAX(ROW(E4420:E$2)*(E4421=E4420:E$2)))))</f>
        <v> </v>
      </c>
      <c r="J4421" s="25" t="str">
        <f>IF(OR(E4421="",E4421="!!!",F4421="NEW"),"",COUNTBLANK(OFFSET(A$1,,,SUMPRODUCT(MAX(ROW(E$2:E4421)*(E4421=E$2:E4421)))))-COUNTBLANK(OFFSET(A$1,,,SUMPRODUCT(MAX(ROW(E$1:E4420)*(E2=E$1:E4420))))))</f>
        <v> </v>
      </c>
      <c r="K4421" s="25" t="str">
        <f>IF(OR(E4421="",E4421="!!!",F4421="NEW"),"",INDEX(J$1:J4420,SUMPRODUCT(MAX(ROW(E$1:E4420)*(E4421=E$1:E4420)))))</f>
        <v> </v>
      </c>
      <c r="L4421" s="26"/>
    </row>
    <row r="4422" spans="1:12">
      <c r="A4422" s="20" t="s">
        <v>2751</v>
      </c>
      <c r="E4422" s="21">
        <f>IF(D4422="?OLD","!!!","")</f>
        <v/>
      </c>
      <c r="F4422" s="22" t="str">
        <f>IF(OR(E4422="",E4422="!!!"),"",IF(NOT(ISNA(VLOOKUP(E4422,E$1:E4421,1,FALSE()))),"OLD",IF(AND(E4422&lt;&gt;"",E4422&lt;&gt;"!!!"),"NEW","")))</f>
        <v> </v>
      </c>
      <c r="G4422" s="23" t="str">
        <f>IF(OR(E4422="",E4422="!!!"),"",IF(OR(J4422=0,AND(J4422=1,K4422=1),AND(J4422=1,I4422="SBJ"),AND(J4422=1,I4422=0)),"?IN_FOCUS",IF(J4422&lt;=2,"?ACTIVATED",IF(J4422&lt;&gt;"","?FAMILIAR",IF(F4422="NEW",IF(ISNA(VLOOKUP(E4422,#REF!,1,FALSE())),"?TYPE_IDENTIFIABLE","?REFERENTIAL"),"_")))))</f>
        <v> </v>
      </c>
      <c r="H4422" s="24" t="str">
        <f>IF(J4422&lt;&gt;1,"",IF(I4422="SBJ","CB","?"))</f>
        <v> </v>
      </c>
      <c r="I4422" s="25" t="str">
        <f>IF(OR(E4422="",E4422="!!!",F4422="NEW"),"",INDEX(B4421:B$2,-1+SUMPRODUCT(MAX(ROW(E4421:E$2)*(E4422=E4421:E$2)))))</f>
        <v> </v>
      </c>
      <c r="J4422" s="25" t="str">
        <f>IF(OR(E4422="",E4422="!!!",F4422="NEW"),"",COUNTBLANK(OFFSET(A$1,,,SUMPRODUCT(MAX(ROW(E$2:E4422)*(E4422=E$2:E4422)))))-COUNTBLANK(OFFSET(A$1,,,SUMPRODUCT(MAX(ROW(E$1:E4421)*(E2=E$1:E4421))))))</f>
        <v> </v>
      </c>
      <c r="K4422" s="25" t="str">
        <f>IF(OR(E4422="",E4422="!!!",F4422="NEW"),"",INDEX(J$1:J4421,SUMPRODUCT(MAX(ROW(E$1:E4421)*(E4422=E$1:E4421)))))</f>
        <v> </v>
      </c>
      <c r="L4422" s="26"/>
    </row>
    <row r="4423" spans="1:12">
      <c r="A4423" s="20" t="s">
        <v>2686</v>
      </c>
      <c r="E4423" s="21">
        <f>IF(D4423="?OLD","!!!","")</f>
        <v/>
      </c>
      <c r="F4423" s="22" t="str">
        <f>IF(OR(E4423="",E4423="!!!"),"",IF(NOT(ISNA(VLOOKUP(E4423,E$1:E4422,1,FALSE()))),"OLD",IF(AND(E4423&lt;&gt;"",E4423&lt;&gt;"!!!"),"NEW","")))</f>
        <v> </v>
      </c>
      <c r="G4423" s="23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4" t="str">
        <f>IF(J4423&lt;&gt;1,"",IF(I4423="SBJ","CB","?"))</f>
        <v> </v>
      </c>
      <c r="I4423" s="25" t="str">
        <f>IF(OR(E4423="",E4423="!!!",F4423="NEW"),"",INDEX(B4422:B$2,-1+SUMPRODUCT(MAX(ROW(E4422:E$2)*(E4423=E4422:E$2)))))</f>
        <v> </v>
      </c>
      <c r="J4423" s="25" t="str">
        <f>IF(OR(E4423="",E4423="!!!",F4423="NEW"),"",COUNTBLANK(OFFSET(A$1,,,SUMPRODUCT(MAX(ROW(E$2:E4423)*(E4423=E$2:E4423)))))-COUNTBLANK(OFFSET(A$1,,,SUMPRODUCT(MAX(ROW(E$1:E4422)*(E2=E$1:E4422))))))</f>
        <v> </v>
      </c>
      <c r="K4423" s="25" t="str">
        <f>IF(OR(E4423="",E4423="!!!",F4423="NEW"),"",INDEX(J$1:J4422,SUMPRODUCT(MAX(ROW(E$1:E4422)*(E4423=E$1:E4422)))))</f>
        <v> </v>
      </c>
      <c r="L4423" s="26"/>
    </row>
    <row r="4424" spans="1:12">
      <c r="A4424" s="20" t="s">
        <v>1041</v>
      </c>
      <c r="E4424" s="21">
        <f>IF(D4424="?OLD","!!!","")</f>
        <v/>
      </c>
      <c r="F4424" s="22" t="str">
        <f>IF(OR(E4424="",E4424="!!!"),"",IF(NOT(ISNA(VLOOKUP(E4424,E$1:E4423,1,FALSE()))),"OLD",IF(AND(E4424&lt;&gt;"",E4424&lt;&gt;"!!!"),"NEW","")))</f>
        <v> </v>
      </c>
      <c r="G4424" s="23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4" t="str">
        <f>IF(J4424&lt;&gt;1,"",IF(I4424="SBJ","CB","?"))</f>
        <v> </v>
      </c>
      <c r="I4424" s="25" t="str">
        <f>IF(OR(E4424="",E4424="!!!",F4424="NEW"),"",INDEX(B4423:B$2,-1+SUMPRODUCT(MAX(ROW(E4423:E$2)*(E4424=E4423:E$2)))))</f>
        <v> </v>
      </c>
      <c r="J4424" s="25" t="str">
        <f>IF(OR(E4424="",E4424="!!!",F4424="NEW"),"",COUNTBLANK(OFFSET(A$1,,,SUMPRODUCT(MAX(ROW(E$2:E4424)*(E4424=E$2:E4424)))))-COUNTBLANK(OFFSET(A$1,,,SUMPRODUCT(MAX(ROW(E$1:E4423)*(E2=E$1:E4423))))))</f>
        <v> </v>
      </c>
      <c r="K4424" s="25" t="str">
        <f>IF(OR(E4424="",E4424="!!!",F4424="NEW"),"",INDEX(J$1:J4423,SUMPRODUCT(MAX(ROW(E$1:E4423)*(E4424=E$1:E4423)))))</f>
        <v> </v>
      </c>
      <c r="L4424" s="26"/>
    </row>
    <row r="4425" spans="1:12">
      <c r="A4425" s="20" t="s">
        <v>1147</v>
      </c>
      <c r="E4425" s="21">
        <f>IF(D4425="?OLD","!!!","")</f>
        <v/>
      </c>
      <c r="F4425" s="22" t="str">
        <f>IF(OR(E4425="",E4425="!!!"),"",IF(NOT(ISNA(VLOOKUP(E4425,E$1:E4424,1,FALSE()))),"OLD",IF(AND(E4425&lt;&gt;"",E4425&lt;&gt;"!!!"),"NEW","")))</f>
        <v> </v>
      </c>
      <c r="G4425" s="23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4" t="str">
        <f>IF(J4425&lt;&gt;1,"",IF(I4425="SBJ","CB","?"))</f>
        <v> </v>
      </c>
      <c r="I4425" s="25" t="str">
        <f>IF(OR(E4425="",E4425="!!!",F4425="NEW"),"",INDEX(B4424:B$2,-1+SUMPRODUCT(MAX(ROW(E4424:E$2)*(E4425=E4424:E$2)))))</f>
        <v> </v>
      </c>
      <c r="J4425" s="25" t="str">
        <f>IF(OR(E4425="",E4425="!!!",F4425="NEW"),"",COUNTBLANK(OFFSET(A$1,,,SUMPRODUCT(MAX(ROW(E$2:E4425)*(E4425=E$2:E4425)))))-COUNTBLANK(OFFSET(A$1,,,SUMPRODUCT(MAX(ROW(E$1:E4424)*(E2=E$1:E4424))))))</f>
        <v> </v>
      </c>
      <c r="K4425" s="25" t="str">
        <f>IF(OR(E4425="",E4425="!!!",F4425="NEW"),"",INDEX(J$1:J4424,SUMPRODUCT(MAX(ROW(E$1:E4424)*(E4425=E$1:E4424)))))</f>
        <v> </v>
      </c>
      <c r="L4425" s="26"/>
    </row>
    <row r="4426" spans="1:12">
      <c r="A4426" s="20" t="s">
        <v>1133</v>
      </c>
      <c r="B4426" s="27" t="s">
        <v>1225</v>
      </c>
      <c r="E4426" s="21">
        <f>IF(D4426="?OLD","!!!","")</f>
        <v/>
      </c>
      <c r="F4426" s="22" t="str">
        <f>IF(OR(E4426="",E4426="!!!"),"",IF(NOT(ISNA(VLOOKUP(E4426,E$1:E4425,1,FALSE()))),"OLD",IF(AND(E4426&lt;&gt;"",E4426&lt;&gt;"!!!"),"NEW","")))</f>
        <v> </v>
      </c>
      <c r="G4426" s="23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4" t="str">
        <f>IF(J4426&lt;&gt;1,"",IF(I4426="SBJ","CB","?"))</f>
        <v> </v>
      </c>
      <c r="I4426" s="25" t="str">
        <f>IF(OR(E4426="",E4426="!!!",F4426="NEW"),"",INDEX(B4425:B$2,-1+SUMPRODUCT(MAX(ROW(E4425:E$2)*(E4426=E4425:E$2)))))</f>
        <v> </v>
      </c>
      <c r="J4426" s="25" t="str">
        <f>IF(OR(E4426="",E4426="!!!",F4426="NEW"),"",COUNTBLANK(OFFSET(A$1,,,SUMPRODUCT(MAX(ROW(E$2:E4426)*(E4426=E$2:E4426)))))-COUNTBLANK(OFFSET(A$1,,,SUMPRODUCT(MAX(ROW(E$1:E4425)*(E2=E$1:E4425))))))</f>
        <v> </v>
      </c>
      <c r="K4426" s="25" t="str">
        <f>IF(OR(E4426="",E4426="!!!",F4426="NEW"),"",INDEX(J$1:J4425,SUMPRODUCT(MAX(ROW(E$1:E4425)*(E4426=E$1:E4425)))))</f>
        <v> </v>
      </c>
      <c r="L4426" s="26"/>
    </row>
    <row r="4427" spans="1:12">
      <c r="A4427" s="20" t="s">
        <v>2835</v>
      </c>
      <c r="E4427" s="21">
        <f>IF(D4427="?OLD","!!!","")</f>
        <v/>
      </c>
      <c r="F4427" s="22" t="str">
        <f>IF(OR(E4427="",E4427="!!!"),"",IF(NOT(ISNA(VLOOKUP(E4427,E$1:E4426,1,FALSE()))),"OLD",IF(AND(E4427&lt;&gt;"",E4427&lt;&gt;"!!!"),"NEW","")))</f>
        <v> </v>
      </c>
      <c r="G4427" s="23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4" t="str">
        <f>IF(J4427&lt;&gt;1,"",IF(I4427="SBJ","CB","?"))</f>
        <v> </v>
      </c>
      <c r="I4427" s="25" t="str">
        <f>IF(OR(E4427="",E4427="!!!",F4427="NEW"),"",INDEX(B4426:B$2,-1+SUMPRODUCT(MAX(ROW(E4426:E$2)*(E4427=E4426:E$2)))))</f>
        <v> </v>
      </c>
      <c r="J4427" s="25" t="str">
        <f>IF(OR(E4427="",E4427="!!!",F4427="NEW"),"",COUNTBLANK(OFFSET(A$1,,,SUMPRODUCT(MAX(ROW(E$2:E4427)*(E4427=E$2:E4427)))))-COUNTBLANK(OFFSET(A$1,,,SUMPRODUCT(MAX(ROW(E$1:E4426)*(E2=E$1:E4426))))))</f>
        <v> </v>
      </c>
      <c r="K4427" s="25" t="str">
        <f>IF(OR(E4427="",E4427="!!!",F4427="NEW"),"",INDEX(J$1:J4426,SUMPRODUCT(MAX(ROW(E$1:E4426)*(E4427=E$1:E4426)))))</f>
        <v> </v>
      </c>
      <c r="L4427" s="26"/>
    </row>
    <row r="4428" spans="1:12">
      <c r="A4428" s="20" t="s">
        <v>1041</v>
      </c>
      <c r="E4428" s="21">
        <f>IF(D4428="?OLD","!!!","")</f>
        <v/>
      </c>
      <c r="F4428" s="22" t="str">
        <f>IF(OR(E4428="",E4428="!!!"),"",IF(NOT(ISNA(VLOOKUP(E4428,E$1:E4427,1,FALSE()))),"OLD",IF(AND(E4428&lt;&gt;"",E4428&lt;&gt;"!!!"),"NEW","")))</f>
        <v> </v>
      </c>
      <c r="G4428" s="23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4" t="str">
        <f>IF(J4428&lt;&gt;1,"",IF(I4428="SBJ","CB","?"))</f>
        <v> </v>
      </c>
      <c r="I4428" s="25" t="str">
        <f>IF(OR(E4428="",E4428="!!!",F4428="NEW"),"",INDEX(B4427:B$2,-1+SUMPRODUCT(MAX(ROW(E4427:E$2)*(E4428=E4427:E$2)))))</f>
        <v> </v>
      </c>
      <c r="J4428" s="25" t="str">
        <f>IF(OR(E4428="",E4428="!!!",F4428="NEW"),"",COUNTBLANK(OFFSET(A$1,,,SUMPRODUCT(MAX(ROW(E$2:E4428)*(E4428=E$2:E4428)))))-COUNTBLANK(OFFSET(A$1,,,SUMPRODUCT(MAX(ROW(E$1:E4427)*(E2=E$1:E4427))))))</f>
        <v> </v>
      </c>
      <c r="K4428" s="25" t="str">
        <f>IF(OR(E4428="",E4428="!!!",F4428="NEW"),"",INDEX(J$1:J4427,SUMPRODUCT(MAX(ROW(E$1:E4427)*(E4428=E$1:E4427)))))</f>
        <v> </v>
      </c>
      <c r="L4428" s="26"/>
    </row>
    <row r="4429" spans="1:12">
      <c r="A4429" s="20" t="s">
        <v>1310</v>
      </c>
      <c r="E4429" s="21">
        <f>IF(D4429="?OLD","!!!","")</f>
        <v/>
      </c>
      <c r="F4429" s="22" t="str">
        <f>IF(OR(E4429="",E4429="!!!"),"",IF(NOT(ISNA(VLOOKUP(E4429,E$1:E4428,1,FALSE()))),"OLD",IF(AND(E4429&lt;&gt;"",E4429&lt;&gt;"!!!"),"NEW","")))</f>
        <v> </v>
      </c>
      <c r="G4429" s="23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4" t="str">
        <f>IF(J4429&lt;&gt;1,"",IF(I4429="SBJ","CB","?"))</f>
        <v> </v>
      </c>
      <c r="I4429" s="25" t="str">
        <f>IF(OR(E4429="",E4429="!!!",F4429="NEW"),"",INDEX(B4428:B$2,-1+SUMPRODUCT(MAX(ROW(E4428:E$2)*(E4429=E4428:E$2)))))</f>
        <v> </v>
      </c>
      <c r="J4429" s="25" t="str">
        <f>IF(OR(E4429="",E4429="!!!",F4429="NEW"),"",COUNTBLANK(OFFSET(A$1,,,SUMPRODUCT(MAX(ROW(E$2:E4429)*(E4429=E$2:E4429)))))-COUNTBLANK(OFFSET(A$1,,,SUMPRODUCT(MAX(ROW(E$1:E4428)*(E2=E$1:E4428))))))</f>
        <v> </v>
      </c>
      <c r="K4429" s="25" t="str">
        <f>IF(OR(E4429="",E4429="!!!",F4429="NEW"),"",INDEX(J$1:J4428,SUMPRODUCT(MAX(ROW(E$1:E4428)*(E4429=E$1:E4428)))))</f>
        <v> </v>
      </c>
      <c r="L4429" s="26"/>
    </row>
    <row r="4430" spans="1:12">
      <c r="A4430" s="20" t="s">
        <v>2436</v>
      </c>
      <c r="B4430" s="27" t="s">
        <v>1225</v>
      </c>
      <c r="E4430" s="21">
        <f>IF(D4430="?OLD","!!!","")</f>
        <v/>
      </c>
      <c r="F4430" s="22" t="str">
        <f>IF(OR(E4430="",E4430="!!!"),"",IF(NOT(ISNA(VLOOKUP(E4430,E$1:E4429,1,FALSE()))),"OLD",IF(AND(E4430&lt;&gt;"",E4430&lt;&gt;"!!!"),"NEW","")))</f>
        <v> </v>
      </c>
      <c r="G4430" s="23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4" t="str">
        <f>IF(J4430&lt;&gt;1,"",IF(I4430="SBJ","CB","?"))</f>
        <v> </v>
      </c>
      <c r="I4430" s="25" t="str">
        <f>IF(OR(E4430="",E4430="!!!",F4430="NEW"),"",INDEX(B4429:B$2,-1+SUMPRODUCT(MAX(ROW(E4429:E$2)*(E4430=E4429:E$2)))))</f>
        <v> </v>
      </c>
      <c r="J4430" s="25" t="str">
        <f>IF(OR(E4430="",E4430="!!!",F4430="NEW"),"",COUNTBLANK(OFFSET(A$1,,,SUMPRODUCT(MAX(ROW(E$2:E4430)*(E4430=E$2:E4430)))))-COUNTBLANK(OFFSET(A$1,,,SUMPRODUCT(MAX(ROW(E$1:E4429)*(E2=E$1:E4429))))))</f>
        <v> </v>
      </c>
      <c r="K4430" s="25" t="str">
        <f>IF(OR(E4430="",E4430="!!!",F4430="NEW"),"",INDEX(J$1:J4429,SUMPRODUCT(MAX(ROW(E$1:E4429)*(E4430=E$1:E4429)))))</f>
        <v> </v>
      </c>
      <c r="L4430" s="26"/>
    </row>
    <row r="4431" spans="1:12">
      <c r="A4431" s="20" t="s">
        <v>1030</v>
      </c>
      <c r="E4431" s="21">
        <f>IF(D4431="?OLD","!!!","")</f>
        <v/>
      </c>
      <c r="F4431" s="22" t="str">
        <f>IF(OR(E4431="",E4431="!!!"),"",IF(NOT(ISNA(VLOOKUP(E4431,E$1:E4430,1,FALSE()))),"OLD",IF(AND(E4431&lt;&gt;"",E4431&lt;&gt;"!!!"),"NEW","")))</f>
        <v> </v>
      </c>
      <c r="G4431" s="23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4" t="str">
        <f>IF(J4431&lt;&gt;1,"",IF(I4431="SBJ","CB","?"))</f>
        <v> </v>
      </c>
      <c r="I4431" s="25" t="str">
        <f>IF(OR(E4431="",E4431="!!!",F4431="NEW"),"",INDEX(B4430:B$2,-1+SUMPRODUCT(MAX(ROW(E4430:E$2)*(E4431=E4430:E$2)))))</f>
        <v> </v>
      </c>
      <c r="J4431" s="25" t="str">
        <f>IF(OR(E4431="",E4431="!!!",F4431="NEW"),"",COUNTBLANK(OFFSET(A$1,,,SUMPRODUCT(MAX(ROW(E$2:E4431)*(E4431=E$2:E4431)))))-COUNTBLANK(OFFSET(A$1,,,SUMPRODUCT(MAX(ROW(E$1:E4430)*(E2=E$1:E4430))))))</f>
        <v> </v>
      </c>
      <c r="K4431" s="25" t="str">
        <f>IF(OR(E4431="",E4431="!!!",F4431="NEW"),"",INDEX(J$1:J4430,SUMPRODUCT(MAX(ROW(E$1:E4430)*(E4431=E$1:E4430)))))</f>
        <v> </v>
      </c>
      <c r="L4431" s="26"/>
    </row>
    <row r="4432" spans="1:12">
      <c r="A4432" s="20" t="s">
        <v>2437</v>
      </c>
      <c r="E4432" s="21">
        <f>IF(D4432="?OLD","!!!","")</f>
        <v/>
      </c>
      <c r="F4432" s="22" t="str">
        <f>IF(OR(E4432="",E4432="!!!"),"",IF(NOT(ISNA(VLOOKUP(E4432,E$1:E4431,1,FALSE()))),"OLD",IF(AND(E4432&lt;&gt;"",E4432&lt;&gt;"!!!"),"NEW","")))</f>
        <v> </v>
      </c>
      <c r="G4432" s="23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4" t="str">
        <f>IF(J4432&lt;&gt;1,"",IF(I4432="SBJ","CB","?"))</f>
        <v> </v>
      </c>
      <c r="I4432" s="25" t="str">
        <f>IF(OR(E4432="",E4432="!!!",F4432="NEW"),"",INDEX(B4431:B$2,-1+SUMPRODUCT(MAX(ROW(E4431:E$2)*(E4432=E4431:E$2)))))</f>
        <v> </v>
      </c>
      <c r="J4432" s="25" t="str">
        <f>IF(OR(E4432="",E4432="!!!",F4432="NEW"),"",COUNTBLANK(OFFSET(A$1,,,SUMPRODUCT(MAX(ROW(E$2:E4432)*(E4432=E$2:E4432)))))-COUNTBLANK(OFFSET(A$1,,,SUMPRODUCT(MAX(ROW(E$1:E4431)*(E2=E$1:E4431))))))</f>
        <v> </v>
      </c>
      <c r="K4432" s="25" t="str">
        <f>IF(OR(E4432="",E4432="!!!",F4432="NEW"),"",INDEX(J$1:J4431,SUMPRODUCT(MAX(ROW(E$1:E4431)*(E4432=E$1:E4431)))))</f>
        <v> </v>
      </c>
      <c r="L4432" s="26"/>
    </row>
    <row r="4433" spans="1:12">
      <c r="A4433" s="20" t="s">
        <v>2836</v>
      </c>
      <c r="E4433" s="21">
        <f>IF(D4433="?OLD","!!!","")</f>
        <v/>
      </c>
      <c r="F4433" s="22" t="str">
        <f>IF(OR(E4433="",E4433="!!!"),"",IF(NOT(ISNA(VLOOKUP(E4433,E$1:E4432,1,FALSE()))),"OLD",IF(AND(E4433&lt;&gt;"",E4433&lt;&gt;"!!!"),"NEW","")))</f>
        <v> </v>
      </c>
      <c r="G4433" s="23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4" t="str">
        <f>IF(J4433&lt;&gt;1,"",IF(I4433="SBJ","CB","?"))</f>
        <v> </v>
      </c>
      <c r="I4433" s="25" t="str">
        <f>IF(OR(E4433="",E4433="!!!",F4433="NEW"),"",INDEX(B4432:B$2,-1+SUMPRODUCT(MAX(ROW(E4432:E$2)*(E4433=E4432:E$2)))))</f>
        <v> </v>
      </c>
      <c r="J4433" s="25" t="str">
        <f>IF(OR(E4433="",E4433="!!!",F4433="NEW"),"",COUNTBLANK(OFFSET(A$1,,,SUMPRODUCT(MAX(ROW(E$2:E4433)*(E4433=E$2:E4433)))))-COUNTBLANK(OFFSET(A$1,,,SUMPRODUCT(MAX(ROW(E$1:E4432)*(E2=E$1:E4432))))))</f>
        <v> </v>
      </c>
      <c r="K4433" s="25" t="str">
        <f>IF(OR(E4433="",E4433="!!!",F4433="NEW"),"",INDEX(J$1:J4432,SUMPRODUCT(MAX(ROW(E$1:E4432)*(E4433=E$1:E4432)))))</f>
        <v> </v>
      </c>
      <c r="L4433" s="26"/>
    </row>
    <row r="4434" spans="1:12">
      <c r="A4434" s="20" t="s">
        <v>2146</v>
      </c>
      <c r="E4434" s="21">
        <f>IF(D4434="?OLD","!!!","")</f>
        <v/>
      </c>
      <c r="F4434" s="22" t="str">
        <f>IF(OR(E4434="",E4434="!!!"),"",IF(NOT(ISNA(VLOOKUP(E4434,E$1:E4433,1,FALSE()))),"OLD",IF(AND(E4434&lt;&gt;"",E4434&lt;&gt;"!!!"),"NEW","")))</f>
        <v> </v>
      </c>
      <c r="G4434" s="23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4" t="str">
        <f>IF(J4434&lt;&gt;1,"",IF(I4434="SBJ","CB","?"))</f>
        <v> </v>
      </c>
      <c r="I4434" s="25" t="str">
        <f>IF(OR(E4434="",E4434="!!!",F4434="NEW"),"",INDEX(B4433:B$2,-1+SUMPRODUCT(MAX(ROW(E4433:E$2)*(E4434=E4433:E$2)))))</f>
        <v> </v>
      </c>
      <c r="J4434" s="25" t="str">
        <f>IF(OR(E4434="",E4434="!!!",F4434="NEW"),"",COUNTBLANK(OFFSET(A$1,,,SUMPRODUCT(MAX(ROW(E$2:E4434)*(E4434=E$2:E4434)))))-COUNTBLANK(OFFSET(A$1,,,SUMPRODUCT(MAX(ROW(E$1:E4433)*(E2=E$1:E4433))))))</f>
        <v> </v>
      </c>
      <c r="K4434" s="25" t="str">
        <f>IF(OR(E4434="",E4434="!!!",F4434="NEW"),"",INDEX(J$1:J4433,SUMPRODUCT(MAX(ROW(E$1:E4433)*(E4434=E$1:E4433)))))</f>
        <v> </v>
      </c>
      <c r="L4434" s="26"/>
    </row>
    <row r="4435" spans="1:12">
      <c r="A4435" s="20" t="s">
        <v>2837</v>
      </c>
      <c r="E4435" s="21">
        <f>IF(D4435="?OLD","!!!","")</f>
        <v/>
      </c>
      <c r="F4435" s="22" t="str">
        <f>IF(OR(E4435="",E4435="!!!"),"",IF(NOT(ISNA(VLOOKUP(E4435,E$1:E4434,1,FALSE()))),"OLD",IF(AND(E4435&lt;&gt;"",E4435&lt;&gt;"!!!"),"NEW","")))</f>
        <v> </v>
      </c>
      <c r="G4435" s="23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4" t="str">
        <f>IF(J4435&lt;&gt;1,"",IF(I4435="SBJ","CB","?"))</f>
        <v> </v>
      </c>
      <c r="I4435" s="25" t="str">
        <f>IF(OR(E4435="",E4435="!!!",F4435="NEW"),"",INDEX(B4434:B$2,-1+SUMPRODUCT(MAX(ROW(E4434:E$2)*(E4435=E4434:E$2)))))</f>
        <v> </v>
      </c>
      <c r="J4435" s="25" t="str">
        <f>IF(OR(E4435="",E4435="!!!",F4435="NEW"),"",COUNTBLANK(OFFSET(A$1,,,SUMPRODUCT(MAX(ROW(E$2:E4435)*(E4435=E$2:E4435)))))-COUNTBLANK(OFFSET(A$1,,,SUMPRODUCT(MAX(ROW(E$1:E4434)*(E2=E$1:E4434))))))</f>
        <v> </v>
      </c>
      <c r="K4435" s="25" t="str">
        <f>IF(OR(E4435="",E4435="!!!",F4435="NEW"),"",INDEX(J$1:J4434,SUMPRODUCT(MAX(ROW(E$1:E4434)*(E4435=E$1:E4434)))))</f>
        <v> </v>
      </c>
      <c r="L4435" s="26"/>
    </row>
    <row r="4436" spans="1:12">
      <c r="A4436" s="20" t="s">
        <v>2838</v>
      </c>
      <c r="E4436" s="21">
        <f>IF(D4436="?OLD","!!!","")</f>
        <v/>
      </c>
      <c r="F4436" s="22" t="str">
        <f>IF(OR(E4436="",E4436="!!!"),"",IF(NOT(ISNA(VLOOKUP(E4436,E$1:E4435,1,FALSE()))),"OLD",IF(AND(E4436&lt;&gt;"",E4436&lt;&gt;"!!!"),"NEW","")))</f>
        <v> </v>
      </c>
      <c r="G4436" s="23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4" t="str">
        <f>IF(J4436&lt;&gt;1,"",IF(I4436="SBJ","CB","?"))</f>
        <v> </v>
      </c>
      <c r="I4436" s="25" t="str">
        <f>IF(OR(E4436="",E4436="!!!",F4436="NEW"),"",INDEX(B4435:B$2,-1+SUMPRODUCT(MAX(ROW(E4435:E$2)*(E4436=E4435:E$2)))))</f>
        <v> </v>
      </c>
      <c r="J4436" s="25" t="str">
        <f>IF(OR(E4436="",E4436="!!!",F4436="NEW"),"",COUNTBLANK(OFFSET(A$1,,,SUMPRODUCT(MAX(ROW(E$2:E4436)*(E4436=E$2:E4436)))))-COUNTBLANK(OFFSET(A$1,,,SUMPRODUCT(MAX(ROW(E$1:E4435)*(E2=E$1:E4435))))))</f>
        <v> </v>
      </c>
      <c r="K4436" s="25" t="str">
        <f>IF(OR(E4436="",E4436="!!!",F4436="NEW"),"",INDEX(J$1:J4435,SUMPRODUCT(MAX(ROW(E$1:E4435)*(E4436=E$1:E4435)))))</f>
        <v> </v>
      </c>
      <c r="L4436" s="26"/>
    </row>
    <row r="4437" spans="1:12">
      <c r="A4437" s="20" t="s">
        <v>1032</v>
      </c>
      <c r="E4437" s="21">
        <f>IF(D4437="?OLD","!!!","")</f>
        <v/>
      </c>
      <c r="F4437" s="22" t="str">
        <f>IF(OR(E4437="",E4437="!!!"),"",IF(NOT(ISNA(VLOOKUP(E4437,E$1:E4436,1,FALSE()))),"OLD",IF(AND(E4437&lt;&gt;"",E4437&lt;&gt;"!!!"),"NEW","")))</f>
        <v> </v>
      </c>
      <c r="G4437" s="23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4" t="str">
        <f>IF(J4437&lt;&gt;1,"",IF(I4437="SBJ","CB","?"))</f>
        <v> </v>
      </c>
      <c r="I4437" s="25" t="str">
        <f>IF(OR(E4437="",E4437="!!!",F4437="NEW"),"",INDEX(B4436:B$2,-1+SUMPRODUCT(MAX(ROW(E4436:E$2)*(E4437=E4436:E$2)))))</f>
        <v> </v>
      </c>
      <c r="J4437" s="25" t="str">
        <f>IF(OR(E4437="",E4437="!!!",F4437="NEW"),"",COUNTBLANK(OFFSET(A$1,,,SUMPRODUCT(MAX(ROW(E$2:E4437)*(E4437=E$2:E4437)))))-COUNTBLANK(OFFSET(A$1,,,SUMPRODUCT(MAX(ROW(E$1:E4436)*(E2=E$1:E4436))))))</f>
        <v> </v>
      </c>
      <c r="K4437" s="25" t="str">
        <f>IF(OR(E4437="",E4437="!!!",F4437="NEW"),"",INDEX(J$1:J4436,SUMPRODUCT(MAX(ROW(E$1:E4436)*(E4437=E$1:E4436)))))</f>
        <v> </v>
      </c>
      <c r="L4437" s="26"/>
    </row>
    <row r="4438" spans="1:12">
      <c r="A4438" s="20"/>
    </row>
    <row r="4439" spans="1:12">
      <c r="A4439" s="20" t="s">
        <v>2839</v>
      </c>
    </row>
    <row r="4440" spans="1:12">
      <c r="A4440" s="20" t="s">
        <v>744</v>
      </c>
      <c r="B4440" s="27" t="s">
        <v>1080</v>
      </c>
      <c r="C4440" s="27" t="s">
        <v>1075</v>
      </c>
      <c r="D4440" s="27" t="s">
        <v>1026</v>
      </c>
      <c r="E4440" s="21">
        <f>IF(D4440="?OLD","!!!","")</f>
        <v/>
      </c>
      <c r="F4440" s="22" t="str">
        <f>IF(OR(E4440="",E4440="!!!"),"",IF(NOT(ISNA(VLOOKUP(E4440,E$1:E4439,1,FALSE()))),"OLD",IF(AND(E4440&lt;&gt;"",E4440&lt;&gt;"!!!"),"NEW","")))</f>
        <v> </v>
      </c>
      <c r="G4440" s="23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4" t="str">
        <f>IF(J4440&lt;&gt;1,"",IF(I4440="SBJ","CB","?"))</f>
        <v> </v>
      </c>
      <c r="I4440" s="25" t="str">
        <f>IF(OR(E4440="",E4440="!!!",F4440="NEW"),"",INDEX(B4439:B$2,-1+SUMPRODUCT(MAX(ROW(E4439:E$2)*(E4440=E4439:E$2)))))</f>
        <v> </v>
      </c>
      <c r="J4440" s="25" t="str">
        <f>IF(OR(E4440="",E4440="!!!",F4440="NEW"),"",COUNTBLANK(OFFSET(A$1,,,SUMPRODUCT(MAX(ROW(E$2:E4440)*(E4440=E$2:E4440)))))-COUNTBLANK(OFFSET(A$1,,,SUMPRODUCT(MAX(ROW(E$1:E4439)*(E2=E$1:E4439))))))</f>
        <v> </v>
      </c>
      <c r="K4440" s="25" t="str">
        <f>IF(OR(E4440="",E4440="!!!",F4440="NEW"),"",INDEX(J$1:J4439,SUMPRODUCT(MAX(ROW(E$1:E4439)*(E4440=E$1:E4439)))))</f>
        <v> </v>
      </c>
      <c r="L4440" s="26"/>
    </row>
    <row r="4441" spans="1:12">
      <c r="A4441" s="20" t="s">
        <v>2530</v>
      </c>
      <c r="B4441" s="27" t="s">
        <v>1080</v>
      </c>
      <c r="C4441" s="27" t="s">
        <v>1075</v>
      </c>
      <c r="D4441" s="27" t="s">
        <v>1026</v>
      </c>
      <c r="E4441" s="21">
        <f>IF(D4441="?OLD","!!!","")</f>
        <v/>
      </c>
      <c r="F4441" s="22" t="str">
        <f>IF(OR(E4441="",E4441="!!!"),"",IF(NOT(ISNA(VLOOKUP(E4441,E$1:E4440,1,FALSE()))),"OLD",IF(AND(E4441&lt;&gt;"",E4441&lt;&gt;"!!!"),"NEW","")))</f>
        <v> </v>
      </c>
      <c r="G4441" s="23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4" t="str">
        <f>IF(J4441&lt;&gt;1,"",IF(I4441="SBJ","CB","?"))</f>
        <v> </v>
      </c>
      <c r="I4441" s="25" t="str">
        <f>IF(OR(E4441="",E4441="!!!",F4441="NEW"),"",INDEX(B4440:B$2,-1+SUMPRODUCT(MAX(ROW(E4440:E$2)*(E4441=E4440:E$2)))))</f>
        <v> </v>
      </c>
      <c r="J4441" s="25" t="str">
        <f>IF(OR(E4441="",E4441="!!!",F4441="NEW"),"",COUNTBLANK(OFFSET(A$1,,,SUMPRODUCT(MAX(ROW(E$2:E4441)*(E4441=E$2:E4441)))))-COUNTBLANK(OFFSET(A$1,,,SUMPRODUCT(MAX(ROW(E$1:E4440)*(E2=E$1:E4440))))))</f>
        <v> </v>
      </c>
      <c r="K4441" s="25" t="str">
        <f>IF(OR(E4441="",E4441="!!!",F4441="NEW"),"",INDEX(J$1:J4440,SUMPRODUCT(MAX(ROW(E$1:E4440)*(E4441=E$1:E4440)))))</f>
        <v> </v>
      </c>
      <c r="L4441" s="26"/>
    </row>
    <row r="4442" spans="1:12">
      <c r="A4442" s="20" t="s">
        <v>1222</v>
      </c>
      <c r="E4442" s="21">
        <f>IF(D4442="?OLD","!!!","")</f>
        <v/>
      </c>
      <c r="F4442" s="22" t="str">
        <f>IF(OR(E4442="",E4442="!!!"),"",IF(NOT(ISNA(VLOOKUP(E4442,E$1:E4441,1,FALSE()))),"OLD",IF(AND(E4442&lt;&gt;"",E4442&lt;&gt;"!!!"),"NEW","")))</f>
        <v> </v>
      </c>
      <c r="G4442" s="23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4" t="str">
        <f>IF(J4442&lt;&gt;1,"",IF(I4442="SBJ","CB","?"))</f>
        <v> </v>
      </c>
      <c r="I4442" s="25" t="str">
        <f>IF(OR(E4442="",E4442="!!!",F4442="NEW"),"",INDEX(B4441:B$2,-1+SUMPRODUCT(MAX(ROW(E4441:E$2)*(E4442=E4441:E$2)))))</f>
        <v> </v>
      </c>
      <c r="J4442" s="25" t="str">
        <f>IF(OR(E4442="",E4442="!!!",F4442="NEW"),"",COUNTBLANK(OFFSET(A$1,,,SUMPRODUCT(MAX(ROW(E$2:E4442)*(E4442=E$2:E4442)))))-COUNTBLANK(OFFSET(A$1,,,SUMPRODUCT(MAX(ROW(E$1:E4441)*(E2=E$1:E4441))))))</f>
        <v> </v>
      </c>
      <c r="K4442" s="25" t="str">
        <f>IF(OR(E4442="",E4442="!!!",F4442="NEW"),"",INDEX(J$1:J4441,SUMPRODUCT(MAX(ROW(E$1:E4441)*(E4442=E$1:E4441)))))</f>
        <v> </v>
      </c>
      <c r="L4442" s="26"/>
    </row>
    <row r="4443" spans="1:12">
      <c r="A4443" s="20" t="s">
        <v>1680</v>
      </c>
      <c r="E4443" s="21">
        <f>IF(D4443="?OLD","!!!","")</f>
        <v/>
      </c>
      <c r="F4443" s="22" t="str">
        <f>IF(OR(E4443="",E4443="!!!"),"",IF(NOT(ISNA(VLOOKUP(E4443,E$1:E4442,1,FALSE()))),"OLD",IF(AND(E4443&lt;&gt;"",E4443&lt;&gt;"!!!"),"NEW","")))</f>
        <v> </v>
      </c>
      <c r="G4443" s="23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4" t="str">
        <f>IF(J4443&lt;&gt;1,"",IF(I4443="SBJ","CB","?"))</f>
        <v> </v>
      </c>
      <c r="I4443" s="25" t="str">
        <f>IF(OR(E4443="",E4443="!!!",F4443="NEW"),"",INDEX(B4442:B$2,-1+SUMPRODUCT(MAX(ROW(E4442:E$2)*(E4443=E4442:E$2)))))</f>
        <v> </v>
      </c>
      <c r="J4443" s="25" t="str">
        <f>IF(OR(E4443="",E4443="!!!",F4443="NEW"),"",COUNTBLANK(OFFSET(A$1,,,SUMPRODUCT(MAX(ROW(E$2:E4443)*(E4443=E$2:E4443)))))-COUNTBLANK(OFFSET(A$1,,,SUMPRODUCT(MAX(ROW(E$1:E4442)*(E2=E$1:E4442))))))</f>
        <v> </v>
      </c>
      <c r="K4443" s="25" t="str">
        <f>IF(OR(E4443="",E4443="!!!",F4443="NEW"),"",INDEX(J$1:J4442,SUMPRODUCT(MAX(ROW(E$1:E4442)*(E4443=E$1:E4442)))))</f>
        <v> </v>
      </c>
      <c r="L4443" s="26"/>
    </row>
    <row r="4444" spans="1:12">
      <c r="A4444" s="20" t="s">
        <v>2840</v>
      </c>
      <c r="B4444" s="27" t="s">
        <v>1082</v>
      </c>
      <c r="E4444" s="21">
        <f>IF(D4444="?OLD","!!!","")</f>
        <v/>
      </c>
      <c r="F4444" s="22" t="str">
        <f>IF(OR(E4444="",E4444="!!!"),"",IF(NOT(ISNA(VLOOKUP(E4444,E$1:E4443,1,FALSE()))),"OLD",IF(AND(E4444&lt;&gt;"",E4444&lt;&gt;"!!!"),"NEW","")))</f>
        <v> </v>
      </c>
      <c r="G4444" s="23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4" t="str">
        <f>IF(J4444&lt;&gt;1,"",IF(I4444="SBJ","CB","?"))</f>
        <v> </v>
      </c>
      <c r="I4444" s="25" t="str">
        <f>IF(OR(E4444="",E4444="!!!",F4444="NEW"),"",INDEX(B4443:B$2,-1+SUMPRODUCT(MAX(ROW(E4443:E$2)*(E4444=E4443:E$2)))))</f>
        <v> </v>
      </c>
      <c r="J4444" s="25" t="str">
        <f>IF(OR(E4444="",E4444="!!!",F4444="NEW"),"",COUNTBLANK(OFFSET(A$1,,,SUMPRODUCT(MAX(ROW(E$2:E4444)*(E4444=E$2:E4444)))))-COUNTBLANK(OFFSET(A$1,,,SUMPRODUCT(MAX(ROW(E$1:E4443)*(E2=E$1:E4443))))))</f>
        <v> </v>
      </c>
      <c r="K4444" s="25" t="str">
        <f>IF(OR(E4444="",E4444="!!!",F4444="NEW"),"",INDEX(J$1:J4443,SUMPRODUCT(MAX(ROW(E$1:E4443)*(E4444=E$1:E4443)))))</f>
        <v> </v>
      </c>
      <c r="L4444" s="26"/>
    </row>
    <row r="4445" spans="1:12">
      <c r="A4445" s="20" t="s">
        <v>1053</v>
      </c>
      <c r="E4445" s="21">
        <f>IF(D4445="?OLD","!!!","")</f>
        <v/>
      </c>
      <c r="F4445" s="22" t="str">
        <f>IF(OR(E4445="",E4445="!!!"),"",IF(NOT(ISNA(VLOOKUP(E4445,E$1:E4444,1,FALSE()))),"OLD",IF(AND(E4445&lt;&gt;"",E4445&lt;&gt;"!!!"),"NEW","")))</f>
        <v> </v>
      </c>
      <c r="G4445" s="23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4" t="str">
        <f>IF(J4445&lt;&gt;1,"",IF(I4445="SBJ","CB","?"))</f>
        <v> </v>
      </c>
      <c r="I4445" s="25" t="str">
        <f>IF(OR(E4445="",E4445="!!!",F4445="NEW"),"",INDEX(B4444:B$2,-1+SUMPRODUCT(MAX(ROW(E4444:E$2)*(E4445=E4444:E$2)))))</f>
        <v> </v>
      </c>
      <c r="J4445" s="25" t="str">
        <f>IF(OR(E4445="",E4445="!!!",F4445="NEW"),"",COUNTBLANK(OFFSET(A$1,,,SUMPRODUCT(MAX(ROW(E$2:E4445)*(E4445=E$2:E4445)))))-COUNTBLANK(OFFSET(A$1,,,SUMPRODUCT(MAX(ROW(E$1:E4444)*(E2=E$1:E4444))))))</f>
        <v> </v>
      </c>
      <c r="K4445" s="25" t="str">
        <f>IF(OR(E4445="",E4445="!!!",F4445="NEW"),"",INDEX(J$1:J4444,SUMPRODUCT(MAX(ROW(E$1:E4444)*(E4445=E$1:E4444)))))</f>
        <v> </v>
      </c>
      <c r="L4445" s="26"/>
    </row>
    <row r="4446" spans="1:12">
      <c r="A4446" s="20" t="s">
        <v>2841</v>
      </c>
      <c r="E4446" s="21">
        <f>IF(D4446="?OLD","!!!","")</f>
        <v/>
      </c>
      <c r="F4446" s="22" t="str">
        <f>IF(OR(E4446="",E4446="!!!"),"",IF(NOT(ISNA(VLOOKUP(E4446,E$1:E4445,1,FALSE()))),"OLD",IF(AND(E4446&lt;&gt;"",E4446&lt;&gt;"!!!"),"NEW","")))</f>
        <v> </v>
      </c>
      <c r="G4446" s="23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4" t="str">
        <f>IF(J4446&lt;&gt;1,"",IF(I4446="SBJ","CB","?"))</f>
        <v> </v>
      </c>
      <c r="I4446" s="25" t="str">
        <f>IF(OR(E4446="",E4446="!!!",F4446="NEW"),"",INDEX(B4445:B$2,-1+SUMPRODUCT(MAX(ROW(E4445:E$2)*(E4446=E4445:E$2)))))</f>
        <v> </v>
      </c>
      <c r="J4446" s="25" t="str">
        <f>IF(OR(E4446="",E4446="!!!",F4446="NEW"),"",COUNTBLANK(OFFSET(A$1,,,SUMPRODUCT(MAX(ROW(E$2:E4446)*(E4446=E$2:E4446)))))-COUNTBLANK(OFFSET(A$1,,,SUMPRODUCT(MAX(ROW(E$1:E4445)*(E2=E$1:E4445))))))</f>
        <v> </v>
      </c>
      <c r="K4446" s="25" t="str">
        <f>IF(OR(E4446="",E4446="!!!",F4446="NEW"),"",INDEX(J$1:J4445,SUMPRODUCT(MAX(ROW(E$1:E4445)*(E4446=E$1:E4445)))))</f>
        <v> </v>
      </c>
      <c r="L4446" s="26"/>
    </row>
    <row r="4447" spans="1:12">
      <c r="A4447" s="20" t="s">
        <v>2842</v>
      </c>
      <c r="E4447" s="21">
        <f>IF(D4447="?OLD","!!!","")</f>
        <v/>
      </c>
      <c r="F4447" s="22" t="str">
        <f>IF(OR(E4447="",E4447="!!!"),"",IF(NOT(ISNA(VLOOKUP(E4447,E$1:E4446,1,FALSE()))),"OLD",IF(AND(E4447&lt;&gt;"",E4447&lt;&gt;"!!!"),"NEW","")))</f>
        <v> </v>
      </c>
      <c r="G4447" s="23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4" t="str">
        <f>IF(J4447&lt;&gt;1,"",IF(I4447="SBJ","CB","?"))</f>
        <v> </v>
      </c>
      <c r="I4447" s="25" t="str">
        <f>IF(OR(E4447="",E4447="!!!",F4447="NEW"),"",INDEX(B4446:B$2,-1+SUMPRODUCT(MAX(ROW(E4446:E$2)*(E4447=E4446:E$2)))))</f>
        <v> </v>
      </c>
      <c r="J4447" s="25" t="str">
        <f>IF(OR(E4447="",E4447="!!!",F4447="NEW"),"",COUNTBLANK(OFFSET(A$1,,,SUMPRODUCT(MAX(ROW(E$2:E4447)*(E4447=E$2:E4447)))))-COUNTBLANK(OFFSET(A$1,,,SUMPRODUCT(MAX(ROW(E$1:E4446)*(E2=E$1:E4446))))))</f>
        <v> </v>
      </c>
      <c r="K4447" s="25" t="str">
        <f>IF(OR(E4447="",E4447="!!!",F4447="NEW"),"",INDEX(J$1:J4446,SUMPRODUCT(MAX(ROW(E$1:E4446)*(E4447=E$1:E4446)))))</f>
        <v> </v>
      </c>
      <c r="L4447" s="26"/>
    </row>
    <row r="4448" spans="1:12">
      <c r="A4448" s="20" t="s">
        <v>1133</v>
      </c>
      <c r="E4448" s="21">
        <f>IF(D4448="?OLD","!!!","")</f>
        <v/>
      </c>
      <c r="F4448" s="22" t="str">
        <f>IF(OR(E4448="",E4448="!!!"),"",IF(NOT(ISNA(VLOOKUP(E4448,E$1:E4447,1,FALSE()))),"OLD",IF(AND(E4448&lt;&gt;"",E4448&lt;&gt;"!!!"),"NEW","")))</f>
        <v> </v>
      </c>
      <c r="G4448" s="23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4" t="str">
        <f>IF(J4448&lt;&gt;1,"",IF(I4448="SBJ","CB","?"))</f>
        <v> </v>
      </c>
      <c r="I4448" s="25" t="str">
        <f>IF(OR(E4448="",E4448="!!!",F4448="NEW"),"",INDEX(B4447:B$2,-1+SUMPRODUCT(MAX(ROW(E4447:E$2)*(E4448=E4447:E$2)))))</f>
        <v> </v>
      </c>
      <c r="J4448" s="25" t="str">
        <f>IF(OR(E4448="",E4448="!!!",F4448="NEW"),"",COUNTBLANK(OFFSET(A$1,,,SUMPRODUCT(MAX(ROW(E$2:E4448)*(E4448=E$2:E4448)))))-COUNTBLANK(OFFSET(A$1,,,SUMPRODUCT(MAX(ROW(E$1:E4447)*(E2=E$1:E4447))))))</f>
        <v> </v>
      </c>
      <c r="K4448" s="25" t="str">
        <f>IF(OR(E4448="",E4448="!!!",F4448="NEW"),"",INDEX(J$1:J4447,SUMPRODUCT(MAX(ROW(E$1:E4447)*(E4448=E$1:E4447)))))</f>
        <v> </v>
      </c>
      <c r="L4448" s="26"/>
    </row>
    <row r="4449" spans="1:12">
      <c r="A4449" s="20" t="s">
        <v>1104</v>
      </c>
      <c r="E4449" s="21">
        <f>IF(D4449="?OLD","!!!","")</f>
        <v/>
      </c>
      <c r="F4449" s="22" t="str">
        <f>IF(OR(E4449="",E4449="!!!"),"",IF(NOT(ISNA(VLOOKUP(E4449,E$1:E4448,1,FALSE()))),"OLD",IF(AND(E4449&lt;&gt;"",E4449&lt;&gt;"!!!"),"NEW","")))</f>
        <v> </v>
      </c>
      <c r="G4449" s="23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4" t="str">
        <f>IF(J4449&lt;&gt;1,"",IF(I4449="SBJ","CB","?"))</f>
        <v> </v>
      </c>
      <c r="I4449" s="25" t="str">
        <f>IF(OR(E4449="",E4449="!!!",F4449="NEW"),"",INDEX(B4448:B$2,-1+SUMPRODUCT(MAX(ROW(E4448:E$2)*(E4449=E4448:E$2)))))</f>
        <v> </v>
      </c>
      <c r="J4449" s="25" t="str">
        <f>IF(OR(E4449="",E4449="!!!",F4449="NEW"),"",COUNTBLANK(OFFSET(A$1,,,SUMPRODUCT(MAX(ROW(E$2:E4449)*(E4449=E$2:E4449)))))-COUNTBLANK(OFFSET(A$1,,,SUMPRODUCT(MAX(ROW(E$1:E4448)*(E2=E$1:E4448))))))</f>
        <v> </v>
      </c>
      <c r="K4449" s="25" t="str">
        <f>IF(OR(E4449="",E4449="!!!",F4449="NEW"),"",INDEX(J$1:J4448,SUMPRODUCT(MAX(ROW(E$1:E4448)*(E4449=E$1:E4448)))))</f>
        <v> </v>
      </c>
      <c r="L4449" s="26"/>
    </row>
    <row r="4450" spans="1:12">
      <c r="A4450" s="20" t="s">
        <v>1032</v>
      </c>
      <c r="E4450" s="21">
        <f>IF(D4450="?OLD","!!!","")</f>
        <v/>
      </c>
      <c r="F4450" s="22" t="str">
        <f>IF(OR(E4450="",E4450="!!!"),"",IF(NOT(ISNA(VLOOKUP(E4450,E$1:E4449,1,FALSE()))),"OLD",IF(AND(E4450&lt;&gt;"",E4450&lt;&gt;"!!!"),"NEW","")))</f>
        <v> </v>
      </c>
      <c r="G4450" s="23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4" t="str">
        <f>IF(J4450&lt;&gt;1,"",IF(I4450="SBJ","CB","?"))</f>
        <v> </v>
      </c>
      <c r="I4450" s="25" t="str">
        <f>IF(OR(E4450="",E4450="!!!",F4450="NEW"),"",INDEX(B4449:B$2,-1+SUMPRODUCT(MAX(ROW(E4449:E$2)*(E4450=E4449:E$2)))))</f>
        <v> </v>
      </c>
      <c r="J4450" s="25" t="str">
        <f>IF(OR(E4450="",E4450="!!!",F4450="NEW"),"",COUNTBLANK(OFFSET(A$1,,,SUMPRODUCT(MAX(ROW(E$2:E4450)*(E4450=E$2:E4450)))))-COUNTBLANK(OFFSET(A$1,,,SUMPRODUCT(MAX(ROW(E$1:E4449)*(E2=E$1:E4449))))))</f>
        <v> </v>
      </c>
      <c r="K4450" s="25" t="str">
        <f>IF(OR(E4450="",E4450="!!!",F4450="NEW"),"",INDEX(J$1:J4449,SUMPRODUCT(MAX(ROW(E$1:E4449)*(E4450=E$1:E4449)))))</f>
        <v> </v>
      </c>
      <c r="L4450" s="26"/>
    </row>
    <row r="4451" spans="1:12">
      <c r="A4451" s="20"/>
    </row>
    <row r="4452" spans="1:12">
      <c r="A4452" s="20" t="s">
        <v>2843</v>
      </c>
    </row>
    <row r="4453" spans="1:12">
      <c r="A4453" s="20" t="s">
        <v>2844</v>
      </c>
      <c r="E4453" s="21">
        <f>IF(D4453="?OLD","!!!","")</f>
        <v/>
      </c>
      <c r="F4453" s="22" t="str">
        <f>IF(OR(E4453="",E4453="!!!"),"",IF(NOT(ISNA(VLOOKUP(E4453,E$1:E4452,1,FALSE()))),"OLD",IF(AND(E4453&lt;&gt;"",E4453&lt;&gt;"!!!"),"NEW","")))</f>
        <v> </v>
      </c>
      <c r="G4453" s="23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4" t="str">
        <f>IF(J4453&lt;&gt;1,"",IF(I4453="SBJ","CB","?"))</f>
        <v> </v>
      </c>
      <c r="I4453" s="25" t="str">
        <f>IF(OR(E4453="",E4453="!!!",F4453="NEW"),"",INDEX(B4452:B$2,-1+SUMPRODUCT(MAX(ROW(E4452:E$2)*(E4453=E4452:E$2)))))</f>
        <v> </v>
      </c>
      <c r="J4453" s="25" t="str">
        <f>IF(OR(E4453="",E4453="!!!",F4453="NEW"),"",COUNTBLANK(OFFSET(A$1,,,SUMPRODUCT(MAX(ROW(E$2:E4453)*(E4453=E$2:E4453)))))-COUNTBLANK(OFFSET(A$1,,,SUMPRODUCT(MAX(ROW(E$1:E4452)*(E2=E$1:E4452))))))</f>
        <v> </v>
      </c>
      <c r="K4453" s="25" t="str">
        <f>IF(OR(E4453="",E4453="!!!",F4453="NEW"),"",INDEX(J$1:J4452,SUMPRODUCT(MAX(ROW(E$1:E4452)*(E4453=E$1:E4452)))))</f>
        <v> </v>
      </c>
      <c r="L4453" s="26"/>
    </row>
    <row r="4454" spans="1:12">
      <c r="A4454" s="20" t="s">
        <v>1799</v>
      </c>
      <c r="E4454" s="21">
        <f>IF(D4454="?OLD","!!!","")</f>
        <v/>
      </c>
      <c r="F4454" s="22" t="str">
        <f>IF(OR(E4454="",E4454="!!!"),"",IF(NOT(ISNA(VLOOKUP(E4454,E$1:E4453,1,FALSE()))),"OLD",IF(AND(E4454&lt;&gt;"",E4454&lt;&gt;"!!!"),"NEW","")))</f>
        <v> </v>
      </c>
      <c r="G4454" s="23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4" t="str">
        <f>IF(J4454&lt;&gt;1,"",IF(I4454="SBJ","CB","?"))</f>
        <v> </v>
      </c>
      <c r="I4454" s="25" t="str">
        <f>IF(OR(E4454="",E4454="!!!",F4454="NEW"),"",INDEX(B4453:B$2,-1+SUMPRODUCT(MAX(ROW(E4453:E$2)*(E4454=E4453:E$2)))))</f>
        <v> </v>
      </c>
      <c r="J4454" s="25" t="str">
        <f>IF(OR(E4454="",E4454="!!!",F4454="NEW"),"",COUNTBLANK(OFFSET(A$1,,,SUMPRODUCT(MAX(ROW(E$2:E4454)*(E4454=E$2:E4454)))))-COUNTBLANK(OFFSET(A$1,,,SUMPRODUCT(MAX(ROW(E$1:E4453)*(E2=E$1:E4453))))))</f>
        <v> </v>
      </c>
      <c r="K4454" s="25" t="str">
        <f>IF(OR(E4454="",E4454="!!!",F4454="NEW"),"",INDEX(J$1:J4453,SUMPRODUCT(MAX(ROW(E$1:E4453)*(E4454=E$1:E4453)))))</f>
        <v> </v>
      </c>
      <c r="L4454" s="26"/>
    </row>
    <row r="4455" spans="1:12">
      <c r="A4455" s="20" t="s">
        <v>2167</v>
      </c>
      <c r="B4455" s="27" t="s">
        <v>1024</v>
      </c>
      <c r="C4455" s="27" t="s">
        <v>1025</v>
      </c>
      <c r="D4455" s="27" t="s">
        <v>1026</v>
      </c>
      <c r="E4455" s="21">
        <f>IF(D4455="?OLD","!!!","")</f>
        <v/>
      </c>
      <c r="F4455" s="22" t="str">
        <f>IF(OR(E4455="",E4455="!!!"),"",IF(NOT(ISNA(VLOOKUP(E4455,E$1:E4454,1,FALSE()))),"OLD",IF(AND(E4455&lt;&gt;"",E4455&lt;&gt;"!!!"),"NEW","")))</f>
        <v> </v>
      </c>
      <c r="G4455" s="23" t="str">
        <f>IF(OR(E4455="",E4455="!!!"),"",IF(OR(J4455=0,AND(J4455=1,K4455=1),AND(J4455=1,I4455="SBJ"),AND(J4455=1,I4455=0)),"?IN_FOCUS",IF(J4455&lt;=2,"?ACTIVATED",IF(J4455&lt;&gt;"","?FAMILIAR",IF(F4455="NEW",IF(ISNA(VLOOKUP(E4455,#REF!,1,FALSE())),"?TYPE_IDENTIFIABLE","?REFERENTIAL"),"_")))))</f>
        <v> </v>
      </c>
      <c r="H4455" s="24" t="str">
        <f>IF(J4455&lt;&gt;1,"",IF(I4455="SBJ","CB","?"))</f>
        <v> </v>
      </c>
      <c r="I4455" s="25" t="str">
        <f>IF(OR(E4455="",E4455="!!!",F4455="NEW"),"",INDEX(B4454:B$2,-1+SUMPRODUCT(MAX(ROW(E4454:E$2)*(E4455=E4454:E$2)))))</f>
        <v> </v>
      </c>
      <c r="J4455" s="25" t="str">
        <f>IF(OR(E4455="",E4455="!!!",F4455="NEW"),"",COUNTBLANK(OFFSET(A$1,,,SUMPRODUCT(MAX(ROW(E$2:E4455)*(E4455=E$2:E4455)))))-COUNTBLANK(OFFSET(A$1,,,SUMPRODUCT(MAX(ROW(E$1:E4454)*(E2=E$1:E4454))))))</f>
        <v> </v>
      </c>
      <c r="K4455" s="25" t="str">
        <f>IF(OR(E4455="",E4455="!!!",F4455="NEW"),"",INDEX(J$1:J4454,SUMPRODUCT(MAX(ROW(E$1:E4454)*(E4455=E$1:E4454)))))</f>
        <v> </v>
      </c>
      <c r="L4455" s="26"/>
    </row>
    <row r="4456" spans="1:12">
      <c r="A4456" s="20" t="s">
        <v>1050</v>
      </c>
      <c r="E4456" s="21">
        <f>IF(D4456="?OLD","!!!","")</f>
        <v/>
      </c>
      <c r="F4456" s="22" t="str">
        <f>IF(OR(E4456="",E4456="!!!"),"",IF(NOT(ISNA(VLOOKUP(E4456,E$1:E4455,1,FALSE()))),"OLD",IF(AND(E4456&lt;&gt;"",E4456&lt;&gt;"!!!"),"NEW","")))</f>
        <v> </v>
      </c>
      <c r="G4456" s="23" t="str">
        <f>IF(OR(E4456="",E4456="!!!"),"",IF(OR(J4456=0,AND(J4456=1,K4456=1),AND(J4456=1,I4456="SBJ"),AND(J4456=1,I4456=0)),"?IN_FOCUS",IF(J4456&lt;=2,"?ACTIVATED",IF(J4456&lt;&gt;"","?FAMILIAR",IF(F4456="NEW",IF(ISNA(VLOOKUP(E4456,#REF!,1,FALSE())),"?TYPE_IDENTIFIABLE","?REFERENTIAL"),"_")))))</f>
        <v> </v>
      </c>
      <c r="H4456" s="24" t="str">
        <f>IF(J4456&lt;&gt;1,"",IF(I4456="SBJ","CB","?"))</f>
        <v> </v>
      </c>
      <c r="I4456" s="25" t="str">
        <f>IF(OR(E4456="",E4456="!!!",F4456="NEW"),"",INDEX(B4455:B$2,-1+SUMPRODUCT(MAX(ROW(E4455:E$2)*(E4456=E4455:E$2)))))</f>
        <v> </v>
      </c>
      <c r="J4456" s="25" t="str">
        <f>IF(OR(E4456="",E4456="!!!",F4456="NEW"),"",COUNTBLANK(OFFSET(A$1,,,SUMPRODUCT(MAX(ROW(E$2:E4456)*(E4456=E$2:E4456)))))-COUNTBLANK(OFFSET(A$1,,,SUMPRODUCT(MAX(ROW(E$1:E4455)*(E2=E$1:E4455))))))</f>
        <v> </v>
      </c>
      <c r="K4456" s="25" t="str">
        <f>IF(OR(E4456="",E4456="!!!",F4456="NEW"),"",INDEX(J$1:J4455,SUMPRODUCT(MAX(ROW(E$1:E4455)*(E4456=E$1:E4455)))))</f>
        <v> </v>
      </c>
      <c r="L4456" s="26"/>
    </row>
    <row r="4457" spans="1:12">
      <c r="A4457" s="20" t="s">
        <v>1067</v>
      </c>
      <c r="E4457" s="21">
        <f>IF(D4457="?OLD","!!!","")</f>
        <v/>
      </c>
      <c r="F4457" s="22" t="str">
        <f>IF(OR(E4457="",E4457="!!!"),"",IF(NOT(ISNA(VLOOKUP(E4457,E$1:E4456,1,FALSE()))),"OLD",IF(AND(E4457&lt;&gt;"",E4457&lt;&gt;"!!!"),"NEW","")))</f>
        <v> </v>
      </c>
      <c r="G4457" s="23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4" t="str">
        <f>IF(J4457&lt;&gt;1,"",IF(I4457="SBJ","CB","?"))</f>
        <v> </v>
      </c>
      <c r="I4457" s="25" t="str">
        <f>IF(OR(E4457="",E4457="!!!",F4457="NEW"),"",INDEX(B4456:B$2,-1+SUMPRODUCT(MAX(ROW(E4456:E$2)*(E4457=E4456:E$2)))))</f>
        <v> </v>
      </c>
      <c r="J4457" s="25" t="str">
        <f>IF(OR(E4457="",E4457="!!!",F4457="NEW"),"",COUNTBLANK(OFFSET(A$1,,,SUMPRODUCT(MAX(ROW(E$2:E4457)*(E4457=E$2:E4457)))))-COUNTBLANK(OFFSET(A$1,,,SUMPRODUCT(MAX(ROW(E$1:E4456)*(E2=E$1:E4456))))))</f>
        <v> </v>
      </c>
      <c r="K4457" s="25" t="str">
        <f>IF(OR(E4457="",E4457="!!!",F4457="NEW"),"",INDEX(J$1:J4456,SUMPRODUCT(MAX(ROW(E$1:E4456)*(E4457=E$1:E4456)))))</f>
        <v> </v>
      </c>
      <c r="L4457" s="26"/>
    </row>
    <row r="4458" spans="1:12">
      <c r="A4458" s="20" t="s">
        <v>2845</v>
      </c>
      <c r="B4458" s="27" t="s">
        <v>1136</v>
      </c>
      <c r="C4458" s="27" t="s">
        <v>1049</v>
      </c>
      <c r="E4458" s="21">
        <f>IF(D4458="?OLD","!!!","")</f>
        <v/>
      </c>
      <c r="F4458" s="22" t="str">
        <f>IF(OR(E4458="",E4458="!!!"),"",IF(NOT(ISNA(VLOOKUP(E4458,E$1:E4457,1,FALSE()))),"OLD",IF(AND(E4458&lt;&gt;"",E4458&lt;&gt;"!!!"),"NEW","")))</f>
        <v> </v>
      </c>
      <c r="G4458" s="23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4" t="str">
        <f>IF(J4458&lt;&gt;1,"",IF(I4458="SBJ","CB","?"))</f>
        <v> </v>
      </c>
      <c r="I4458" s="25" t="str">
        <f>IF(OR(E4458="",E4458="!!!",F4458="NEW"),"",INDEX(B4457:B$2,-1+SUMPRODUCT(MAX(ROW(E4457:E$2)*(E4458=E4457:E$2)))))</f>
        <v> </v>
      </c>
      <c r="J4458" s="25" t="str">
        <f>IF(OR(E4458="",E4458="!!!",F4458="NEW"),"",COUNTBLANK(OFFSET(A$1,,,SUMPRODUCT(MAX(ROW(E$2:E4458)*(E4458=E$2:E4458)))))-COUNTBLANK(OFFSET(A$1,,,SUMPRODUCT(MAX(ROW(E$1:E4457)*(E2=E$1:E4457))))))</f>
        <v> </v>
      </c>
      <c r="K4458" s="25" t="str">
        <f>IF(OR(E4458="",E4458="!!!",F4458="NEW"),"",INDEX(J$1:J4457,SUMPRODUCT(MAX(ROW(E$1:E4457)*(E4458=E$1:E4457)))))</f>
        <v> </v>
      </c>
      <c r="L4458" s="26"/>
    </row>
    <row r="4459" spans="1:12">
      <c r="A4459" s="20" t="s">
        <v>2846</v>
      </c>
      <c r="E4459" s="21">
        <f>IF(D4459="?OLD","!!!","")</f>
        <v/>
      </c>
      <c r="F4459" s="22" t="str">
        <f>IF(OR(E4459="",E4459="!!!"),"",IF(NOT(ISNA(VLOOKUP(E4459,E$1:E4458,1,FALSE()))),"OLD",IF(AND(E4459&lt;&gt;"",E4459&lt;&gt;"!!!"),"NEW","")))</f>
        <v> </v>
      </c>
      <c r="G4459" s="23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4" t="str">
        <f>IF(J4459&lt;&gt;1,"",IF(I4459="SBJ","CB","?"))</f>
        <v> </v>
      </c>
      <c r="I4459" s="25" t="str">
        <f>IF(OR(E4459="",E4459="!!!",F4459="NEW"),"",INDEX(B4458:B$2,-1+SUMPRODUCT(MAX(ROW(E4458:E$2)*(E4459=E4458:E$2)))))</f>
        <v> </v>
      </c>
      <c r="J4459" s="25" t="str">
        <f>IF(OR(E4459="",E4459="!!!",F4459="NEW"),"",COUNTBLANK(OFFSET(A$1,,,SUMPRODUCT(MAX(ROW(E$2:E4459)*(E4459=E$2:E4459)))))-COUNTBLANK(OFFSET(A$1,,,SUMPRODUCT(MAX(ROW(E$1:E4458)*(E2=E$1:E4458))))))</f>
        <v> </v>
      </c>
      <c r="K4459" s="25" t="str">
        <f>IF(OR(E4459="",E4459="!!!",F4459="NEW"),"",INDEX(J$1:J4458,SUMPRODUCT(MAX(ROW(E$1:E4458)*(E4459=E$1:E4458)))))</f>
        <v> </v>
      </c>
      <c r="L4459" s="26"/>
    </row>
    <row r="4460" spans="1:12">
      <c r="A4460" s="20" t="s">
        <v>1115</v>
      </c>
      <c r="B4460" s="27" t="s">
        <v>1150</v>
      </c>
      <c r="C4460" s="27" t="s">
        <v>1025</v>
      </c>
      <c r="D4460" s="27" t="s">
        <v>1026</v>
      </c>
      <c r="E4460" s="21">
        <f>IF(D4460="?OLD","!!!","")</f>
        <v/>
      </c>
      <c r="F4460" s="22" t="str">
        <f>IF(OR(E4460="",E4460="!!!"),"",IF(NOT(ISNA(VLOOKUP(E4460,E$1:E4459,1,FALSE()))),"OLD",IF(AND(E4460&lt;&gt;"",E4460&lt;&gt;"!!!"),"NEW","")))</f>
        <v> </v>
      </c>
      <c r="G4460" s="23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4" t="str">
        <f>IF(J4460&lt;&gt;1,"",IF(I4460="SBJ","CB","?"))</f>
        <v> </v>
      </c>
      <c r="I4460" s="25" t="str">
        <f>IF(OR(E4460="",E4460="!!!",F4460="NEW"),"",INDEX(B4459:B$2,-1+SUMPRODUCT(MAX(ROW(E4459:E$2)*(E4460=E4459:E$2)))))</f>
        <v> </v>
      </c>
      <c r="J4460" s="25" t="str">
        <f>IF(OR(E4460="",E4460="!!!",F4460="NEW"),"",COUNTBLANK(OFFSET(A$1,,,SUMPRODUCT(MAX(ROW(E$2:E4460)*(E4460=E$2:E4460)))))-COUNTBLANK(OFFSET(A$1,,,SUMPRODUCT(MAX(ROW(E$1:E4459)*(E2=E$1:E4459))))))</f>
        <v> </v>
      </c>
      <c r="K4460" s="25" t="str">
        <f>IF(OR(E4460="",E4460="!!!",F4460="NEW"),"",INDEX(J$1:J4459,SUMPRODUCT(MAX(ROW(E$1:E4459)*(E4460=E$1:E4459)))))</f>
        <v> </v>
      </c>
      <c r="L4460" s="26"/>
    </row>
    <row r="4461" spans="1:12">
      <c r="A4461" s="20" t="s">
        <v>1041</v>
      </c>
      <c r="E4461" s="21">
        <f>IF(D4461="?OLD","!!!","")</f>
        <v/>
      </c>
      <c r="F4461" s="22" t="str">
        <f>IF(OR(E4461="",E4461="!!!"),"",IF(NOT(ISNA(VLOOKUP(E4461,E$1:E4460,1,FALSE()))),"OLD",IF(AND(E4461&lt;&gt;"",E4461&lt;&gt;"!!!"),"NEW","")))</f>
        <v> </v>
      </c>
      <c r="G4461" s="23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4" t="str">
        <f>IF(J4461&lt;&gt;1,"",IF(I4461="SBJ","CB","?"))</f>
        <v> </v>
      </c>
      <c r="I4461" s="25" t="str">
        <f>IF(OR(E4461="",E4461="!!!",F4461="NEW"),"",INDEX(B4460:B$2,-1+SUMPRODUCT(MAX(ROW(E4460:E$2)*(E4461=E4460:E$2)))))</f>
        <v> </v>
      </c>
      <c r="J4461" s="25" t="str">
        <f>IF(OR(E4461="",E4461="!!!",F4461="NEW"),"",COUNTBLANK(OFFSET(A$1,,,SUMPRODUCT(MAX(ROW(E$2:E4461)*(E4461=E$2:E4461)))))-COUNTBLANK(OFFSET(A$1,,,SUMPRODUCT(MAX(ROW(E$1:E4460)*(E2=E$1:E4460))))))</f>
        <v> </v>
      </c>
      <c r="K4461" s="25" t="str">
        <f>IF(OR(E4461="",E4461="!!!",F4461="NEW"),"",INDEX(J$1:J4460,SUMPRODUCT(MAX(ROW(E$1:E4460)*(E4461=E$1:E4460)))))</f>
        <v> </v>
      </c>
      <c r="L4461" s="26"/>
    </row>
    <row r="4462" spans="1:12">
      <c r="A4462" s="20" t="s">
        <v>201</v>
      </c>
      <c r="E4462" s="21">
        <f>IF(D4462="?OLD","!!!","")</f>
        <v/>
      </c>
      <c r="F4462" s="22" t="str">
        <f>IF(OR(E4462="",E4462="!!!"),"",IF(NOT(ISNA(VLOOKUP(E4462,E$1:E4461,1,FALSE()))),"OLD",IF(AND(E4462&lt;&gt;"",E4462&lt;&gt;"!!!"),"NEW","")))</f>
        <v> </v>
      </c>
      <c r="G4462" s="23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4" t="str">
        <f>IF(J4462&lt;&gt;1,"",IF(I4462="SBJ","CB","?"))</f>
        <v> </v>
      </c>
      <c r="I4462" s="25" t="str">
        <f>IF(OR(E4462="",E4462="!!!",F4462="NEW"),"",INDEX(B4461:B$2,-1+SUMPRODUCT(MAX(ROW(E4461:E$2)*(E4462=E4461:E$2)))))</f>
        <v> </v>
      </c>
      <c r="J4462" s="25" t="str">
        <f>IF(OR(E4462="",E4462="!!!",F4462="NEW"),"",COUNTBLANK(OFFSET(A$1,,,SUMPRODUCT(MAX(ROW(E$2:E4462)*(E4462=E$2:E4462)))))-COUNTBLANK(OFFSET(A$1,,,SUMPRODUCT(MAX(ROW(E$1:E4461)*(E2=E$1:E4461))))))</f>
        <v> </v>
      </c>
      <c r="K4462" s="25" t="str">
        <f>IF(OR(E4462="",E4462="!!!",F4462="NEW"),"",INDEX(J$1:J4461,SUMPRODUCT(MAX(ROW(E$1:E4461)*(E4462=E$1:E4461)))))</f>
        <v> </v>
      </c>
      <c r="L4462" s="26"/>
    </row>
    <row r="4463" spans="1:12">
      <c r="A4463" s="20" t="s">
        <v>510</v>
      </c>
      <c r="B4463" s="27" t="s">
        <v>1082</v>
      </c>
      <c r="C4463" s="27" t="s">
        <v>1025</v>
      </c>
      <c r="D4463" s="27" t="s">
        <v>1026</v>
      </c>
      <c r="E4463" s="21">
        <f>IF(D4463="?OLD","!!!","")</f>
        <v/>
      </c>
      <c r="F4463" s="22" t="str">
        <f>IF(OR(E4463="",E4463="!!!"),"",IF(NOT(ISNA(VLOOKUP(E4463,E$1:E4462,1,FALSE()))),"OLD",IF(AND(E4463&lt;&gt;"",E4463&lt;&gt;"!!!"),"NEW","")))</f>
        <v> </v>
      </c>
      <c r="G4463" s="23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4" t="str">
        <f>IF(J4463&lt;&gt;1,"",IF(I4463="SBJ","CB","?"))</f>
        <v> </v>
      </c>
      <c r="I4463" s="25" t="str">
        <f>IF(OR(E4463="",E4463="!!!",F4463="NEW"),"",INDEX(B4462:B$2,-1+SUMPRODUCT(MAX(ROW(E4462:E$2)*(E4463=E4462:E$2)))))</f>
        <v> </v>
      </c>
      <c r="J4463" s="25" t="str">
        <f>IF(OR(E4463="",E4463="!!!",F4463="NEW"),"",COUNTBLANK(OFFSET(A$1,,,SUMPRODUCT(MAX(ROW(E$2:E4463)*(E4463=E$2:E4463)))))-COUNTBLANK(OFFSET(A$1,,,SUMPRODUCT(MAX(ROW(E$1:E4462)*(E2=E$1:E4462))))))</f>
        <v> </v>
      </c>
      <c r="K4463" s="25" t="str">
        <f>IF(OR(E4463="",E4463="!!!",F4463="NEW"),"",INDEX(J$1:J4462,SUMPRODUCT(MAX(ROW(E$1:E4462)*(E4463=E$1:E4462)))))</f>
        <v> </v>
      </c>
      <c r="L4463" s="26"/>
    </row>
    <row r="4464" spans="1:12">
      <c r="A4464" s="20" t="s">
        <v>2847</v>
      </c>
      <c r="E4464" s="21">
        <f>IF(D4464="?OLD","!!!","")</f>
        <v/>
      </c>
      <c r="F4464" s="22" t="str">
        <f>IF(OR(E4464="",E4464="!!!"),"",IF(NOT(ISNA(VLOOKUP(E4464,E$1:E4463,1,FALSE()))),"OLD",IF(AND(E4464&lt;&gt;"",E4464&lt;&gt;"!!!"),"NEW","")))</f>
        <v> </v>
      </c>
      <c r="G4464" s="23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4" t="str">
        <f>IF(J4464&lt;&gt;1,"",IF(I4464="SBJ","CB","?"))</f>
        <v> </v>
      </c>
      <c r="I4464" s="25" t="str">
        <f>IF(OR(E4464="",E4464="!!!",F4464="NEW"),"",INDEX(B4463:B$2,-1+SUMPRODUCT(MAX(ROW(E4463:E$2)*(E4464=E4463:E$2)))))</f>
        <v> </v>
      </c>
      <c r="J4464" s="25" t="str">
        <f>IF(OR(E4464="",E4464="!!!",F4464="NEW"),"",COUNTBLANK(OFFSET(A$1,,,SUMPRODUCT(MAX(ROW(E$2:E4464)*(E4464=E$2:E4464)))))-COUNTBLANK(OFFSET(A$1,,,SUMPRODUCT(MAX(ROW(E$1:E4463)*(E2=E$1:E4463))))))</f>
        <v> </v>
      </c>
      <c r="K4464" s="25" t="str">
        <f>IF(OR(E4464="",E4464="!!!",F4464="NEW"),"",INDEX(J$1:J4463,SUMPRODUCT(MAX(ROW(E$1:E4463)*(E4464=E$1:E4463)))))</f>
        <v> </v>
      </c>
      <c r="L4464" s="26"/>
    </row>
    <row r="4465" spans="1:12">
      <c r="A4465" s="20" t="s">
        <v>1307</v>
      </c>
      <c r="E4465" s="21">
        <f>IF(D4465="?OLD","!!!","")</f>
        <v/>
      </c>
      <c r="F4465" s="22" t="str">
        <f>IF(OR(E4465="",E4465="!!!"),"",IF(NOT(ISNA(VLOOKUP(E4465,E$1:E4464,1,FALSE()))),"OLD",IF(AND(E4465&lt;&gt;"",E4465&lt;&gt;"!!!"),"NEW","")))</f>
        <v> </v>
      </c>
      <c r="G4465" s="23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4" t="str">
        <f>IF(J4465&lt;&gt;1,"",IF(I4465="SBJ","CB","?"))</f>
        <v> </v>
      </c>
      <c r="I4465" s="25" t="str">
        <f>IF(OR(E4465="",E4465="!!!",F4465="NEW"),"",INDEX(B4464:B$2,-1+SUMPRODUCT(MAX(ROW(E4464:E$2)*(E4465=E4464:E$2)))))</f>
        <v> </v>
      </c>
      <c r="J4465" s="25" t="str">
        <f>IF(OR(E4465="",E4465="!!!",F4465="NEW"),"",COUNTBLANK(OFFSET(A$1,,,SUMPRODUCT(MAX(ROW(E$2:E4465)*(E4465=E$2:E4465)))))-COUNTBLANK(OFFSET(A$1,,,SUMPRODUCT(MAX(ROW(E$1:E4464)*(E2=E$1:E4464))))))</f>
        <v> </v>
      </c>
      <c r="K4465" s="25" t="str">
        <f>IF(OR(E4465="",E4465="!!!",F4465="NEW"),"",INDEX(J$1:J4464,SUMPRODUCT(MAX(ROW(E$1:E4464)*(E4465=E$1:E4464)))))</f>
        <v> </v>
      </c>
      <c r="L4465" s="26"/>
    </row>
    <row r="4466" spans="1:12">
      <c r="A4466" s="20"/>
    </row>
    <row r="4467" spans="1:12">
      <c r="A4467" s="20" t="s">
        <v>2848</v>
      </c>
    </row>
    <row r="4468" spans="1:12">
      <c r="A4468" s="20" t="s">
        <v>752</v>
      </c>
      <c r="B4468" s="27" t="s">
        <v>1080</v>
      </c>
      <c r="C4468" s="27" t="s">
        <v>1075</v>
      </c>
      <c r="D4468" s="27" t="s">
        <v>1026</v>
      </c>
      <c r="E4468" s="21">
        <f>IF(D4468="?OLD","!!!","")</f>
        <v/>
      </c>
      <c r="F4468" s="22" t="str">
        <f>IF(OR(E4468="",E4468="!!!"),"",IF(NOT(ISNA(VLOOKUP(E4468,E$1:E4467,1,FALSE()))),"OLD",IF(AND(E4468&lt;&gt;"",E4468&lt;&gt;"!!!"),"NEW","")))</f>
        <v> </v>
      </c>
      <c r="G4468" s="23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4" t="str">
        <f>IF(J4468&lt;&gt;1,"",IF(I4468="SBJ","CB","?"))</f>
        <v> </v>
      </c>
      <c r="I4468" s="25" t="str">
        <f>IF(OR(E4468="",E4468="!!!",F4468="NEW"),"",INDEX(B4467:B$2,-1+SUMPRODUCT(MAX(ROW(E4467:E$2)*(E4468=E4467:E$2)))))</f>
        <v> </v>
      </c>
      <c r="J4468" s="25" t="str">
        <f>IF(OR(E4468="",E4468="!!!",F4468="NEW"),"",COUNTBLANK(OFFSET(A$1,,,SUMPRODUCT(MAX(ROW(E$2:E4468)*(E4468=E$2:E4468)))))-COUNTBLANK(OFFSET(A$1,,,SUMPRODUCT(MAX(ROW(E$1:E4467)*(E2=E$1:E4467))))))</f>
        <v> </v>
      </c>
      <c r="K4468" s="25" t="str">
        <f>IF(OR(E4468="",E4468="!!!",F4468="NEW"),"",INDEX(J$1:J4467,SUMPRODUCT(MAX(ROW(E$1:E4467)*(E4468=E$1:E4467)))))</f>
        <v> </v>
      </c>
      <c r="L4468" s="26"/>
    </row>
    <row r="4469" spans="1:12">
      <c r="A4469" s="20" t="s">
        <v>2548</v>
      </c>
      <c r="B4469" s="27" t="s">
        <v>1080</v>
      </c>
      <c r="C4469" s="27" t="s">
        <v>1075</v>
      </c>
      <c r="D4469" s="27" t="s">
        <v>1026</v>
      </c>
      <c r="E4469" s="21">
        <f>IF(D4469="?OLD","!!!","")</f>
        <v/>
      </c>
      <c r="F4469" s="22" t="str">
        <f>IF(OR(E4469="",E4469="!!!"),"",IF(NOT(ISNA(VLOOKUP(E4469,E$1:E4468,1,FALSE()))),"OLD",IF(AND(E4469&lt;&gt;"",E4469&lt;&gt;"!!!"),"NEW","")))</f>
        <v> </v>
      </c>
      <c r="G4469" s="23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4" t="str">
        <f>IF(J4469&lt;&gt;1,"",IF(I4469="SBJ","CB","?"))</f>
        <v> </v>
      </c>
      <c r="I4469" s="25" t="str">
        <f>IF(OR(E4469="",E4469="!!!",F4469="NEW"),"",INDEX(B4468:B$2,-1+SUMPRODUCT(MAX(ROW(E4468:E$2)*(E4469=E4468:E$2)))))</f>
        <v> </v>
      </c>
      <c r="J4469" s="25" t="str">
        <f>IF(OR(E4469="",E4469="!!!",F4469="NEW"),"",COUNTBLANK(OFFSET(A$1,,,SUMPRODUCT(MAX(ROW(E$2:E4469)*(E4469=E$2:E4469)))))-COUNTBLANK(OFFSET(A$1,,,SUMPRODUCT(MAX(ROW(E$1:E4468)*(E2=E$1:E4468))))))</f>
        <v> </v>
      </c>
      <c r="K4469" s="25" t="str">
        <f>IF(OR(E4469="",E4469="!!!",F4469="NEW"),"",INDEX(J$1:J4468,SUMPRODUCT(MAX(ROW(E$1:E4468)*(E4469=E$1:E4468)))))</f>
        <v> </v>
      </c>
      <c r="L4469" s="26"/>
    </row>
    <row r="4470" spans="1:12">
      <c r="A4470" s="20" t="s">
        <v>1222</v>
      </c>
      <c r="E4470" s="21">
        <f>IF(D4470="?OLD","!!!","")</f>
        <v/>
      </c>
      <c r="F4470" s="22" t="str">
        <f>IF(OR(E4470="",E4470="!!!"),"",IF(NOT(ISNA(VLOOKUP(E4470,E$1:E4469,1,FALSE()))),"OLD",IF(AND(E4470&lt;&gt;"",E4470&lt;&gt;"!!!"),"NEW","")))</f>
        <v> </v>
      </c>
      <c r="G4470" s="23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4" t="str">
        <f>IF(J4470&lt;&gt;1,"",IF(I4470="SBJ","CB","?"))</f>
        <v> </v>
      </c>
      <c r="I4470" s="25" t="str">
        <f>IF(OR(E4470="",E4470="!!!",F4470="NEW"),"",INDEX(B4469:B$2,-1+SUMPRODUCT(MAX(ROW(E4469:E$2)*(E4470=E4469:E$2)))))</f>
        <v> </v>
      </c>
      <c r="J4470" s="25" t="str">
        <f>IF(OR(E4470="",E4470="!!!",F4470="NEW"),"",COUNTBLANK(OFFSET(A$1,,,SUMPRODUCT(MAX(ROW(E$2:E4470)*(E4470=E$2:E4470)))))-COUNTBLANK(OFFSET(A$1,,,SUMPRODUCT(MAX(ROW(E$1:E4469)*(E2=E$1:E4469))))))</f>
        <v> </v>
      </c>
      <c r="K4470" s="25" t="str">
        <f>IF(OR(E4470="",E4470="!!!",F4470="NEW"),"",INDEX(J$1:J4469,SUMPRODUCT(MAX(ROW(E$1:E4469)*(E4470=E$1:E4469)))))</f>
        <v> </v>
      </c>
      <c r="L4470" s="26"/>
    </row>
    <row r="4471" spans="1:12">
      <c r="A4471" s="20" t="s">
        <v>2699</v>
      </c>
      <c r="E4471" s="21">
        <f>IF(D4471="?OLD","!!!","")</f>
        <v/>
      </c>
      <c r="F4471" s="22" t="str">
        <f>IF(OR(E4471="",E4471="!!!"),"",IF(NOT(ISNA(VLOOKUP(E4471,E$1:E4470,1,FALSE()))),"OLD",IF(AND(E4471&lt;&gt;"",E4471&lt;&gt;"!!!"),"NEW","")))</f>
        <v> </v>
      </c>
      <c r="G4471" s="23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4" t="str">
        <f>IF(J4471&lt;&gt;1,"",IF(I4471="SBJ","CB","?"))</f>
        <v> </v>
      </c>
      <c r="I4471" s="25" t="str">
        <f>IF(OR(E4471="",E4471="!!!",F4471="NEW"),"",INDEX(B4470:B$2,-1+SUMPRODUCT(MAX(ROW(E4470:E$2)*(E4471=E4470:E$2)))))</f>
        <v> </v>
      </c>
      <c r="J4471" s="25" t="str">
        <f>IF(OR(E4471="",E4471="!!!",F4471="NEW"),"",COUNTBLANK(OFFSET(A$1,,,SUMPRODUCT(MAX(ROW(E$2:E4471)*(E4471=E$2:E4471)))))-COUNTBLANK(OFFSET(A$1,,,SUMPRODUCT(MAX(ROW(E$1:E4470)*(E2=E$1:E4470))))))</f>
        <v> </v>
      </c>
      <c r="K4471" s="25" t="str">
        <f>IF(OR(E4471="",E4471="!!!",F4471="NEW"),"",INDEX(J$1:J4470,SUMPRODUCT(MAX(ROW(E$1:E4470)*(E4471=E$1:E4470)))))</f>
        <v> </v>
      </c>
      <c r="L4471" s="26"/>
    </row>
    <row r="4472" spans="1:12">
      <c r="A4472" s="20" t="s">
        <v>2849</v>
      </c>
      <c r="E4472" s="21">
        <f>IF(D4472="?OLD","!!!","")</f>
        <v/>
      </c>
      <c r="F4472" s="22" t="str">
        <f>IF(OR(E4472="",E4472="!!!"),"",IF(NOT(ISNA(VLOOKUP(E4472,E$1:E4471,1,FALSE()))),"OLD",IF(AND(E4472&lt;&gt;"",E4472&lt;&gt;"!!!"),"NEW","")))</f>
        <v> </v>
      </c>
      <c r="G4472" s="23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4" t="str">
        <f>IF(J4472&lt;&gt;1,"",IF(I4472="SBJ","CB","?"))</f>
        <v> </v>
      </c>
      <c r="I4472" s="25" t="str">
        <f>IF(OR(E4472="",E4472="!!!",F4472="NEW"),"",INDEX(B4471:B$2,-1+SUMPRODUCT(MAX(ROW(E4471:E$2)*(E4472=E4471:E$2)))))</f>
        <v> </v>
      </c>
      <c r="J4472" s="25" t="str">
        <f>IF(OR(E4472="",E4472="!!!",F4472="NEW"),"",COUNTBLANK(OFFSET(A$1,,,SUMPRODUCT(MAX(ROW(E$2:E4472)*(E4472=E$2:E4472)))))-COUNTBLANK(OFFSET(A$1,,,SUMPRODUCT(MAX(ROW(E$1:E4471)*(E2=E$1:E4471))))))</f>
        <v> </v>
      </c>
      <c r="K4472" s="25" t="str">
        <f>IF(OR(E4472="",E4472="!!!",F4472="NEW"),"",INDEX(J$1:J4471,SUMPRODUCT(MAX(ROW(E$1:E4471)*(E4472=E$1:E4471)))))</f>
        <v> </v>
      </c>
      <c r="L4472" s="26"/>
    </row>
    <row r="4473" spans="1:12">
      <c r="A4473" s="20" t="s">
        <v>1041</v>
      </c>
      <c r="E4473" s="21">
        <f>IF(D4473="?OLD","!!!","")</f>
        <v/>
      </c>
      <c r="F4473" s="22" t="str">
        <f>IF(OR(E4473="",E4473="!!!"),"",IF(NOT(ISNA(VLOOKUP(E4473,E$1:E4472,1,FALSE()))),"OLD",IF(AND(E4473&lt;&gt;"",E4473&lt;&gt;"!!!"),"NEW","")))</f>
        <v> </v>
      </c>
      <c r="G4473" s="23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4" t="str">
        <f>IF(J4473&lt;&gt;1,"",IF(I4473="SBJ","CB","?"))</f>
        <v> </v>
      </c>
      <c r="I4473" s="25" t="str">
        <f>IF(OR(E4473="",E4473="!!!",F4473="NEW"),"",INDEX(B4472:B$2,-1+SUMPRODUCT(MAX(ROW(E4472:E$2)*(E4473=E4472:E$2)))))</f>
        <v> </v>
      </c>
      <c r="J4473" s="25" t="str">
        <f>IF(OR(E4473="",E4473="!!!",F4473="NEW"),"",COUNTBLANK(OFFSET(A$1,,,SUMPRODUCT(MAX(ROW(E$2:E4473)*(E4473=E$2:E4473)))))-COUNTBLANK(OFFSET(A$1,,,SUMPRODUCT(MAX(ROW(E$1:E4472)*(E2=E$1:E4472))))))</f>
        <v> </v>
      </c>
      <c r="K4473" s="25" t="str">
        <f>IF(OR(E4473="",E4473="!!!",F4473="NEW"),"",INDEX(J$1:J4472,SUMPRODUCT(MAX(ROW(E$1:E4472)*(E4473=E$1:E4472)))))</f>
        <v> </v>
      </c>
      <c r="L4473" s="26"/>
    </row>
    <row r="4474" spans="1:12">
      <c r="A4474" s="20" t="s">
        <v>2850</v>
      </c>
      <c r="B4474" s="27" t="s">
        <v>1082</v>
      </c>
      <c r="E4474" s="21">
        <f>IF(D4474="?OLD","!!!","")</f>
        <v/>
      </c>
      <c r="F4474" s="22" t="str">
        <f>IF(OR(E4474="",E4474="!!!"),"",IF(NOT(ISNA(VLOOKUP(E4474,E$1:E4473,1,FALSE()))),"OLD",IF(AND(E4474&lt;&gt;"",E4474&lt;&gt;"!!!"),"NEW","")))</f>
        <v> </v>
      </c>
      <c r="G4474" s="23" t="str">
        <f>IF(OR(E4474="",E4474="!!!"),"",IF(OR(J4474=0,AND(J4474=1,K4474=1),AND(J4474=1,I4474="SBJ"),AND(J4474=1,I4474=0)),"?IN_FOCUS",IF(J4474&lt;=2,"?ACTIVATED",IF(J4474&lt;&gt;"","?FAMILIAR",IF(F4474="NEW",IF(ISNA(VLOOKUP(E4474,#REF!,1,FALSE())),"?TYPE_IDENTIFIABLE","?REFERENTIAL"),"_")))))</f>
        <v> </v>
      </c>
      <c r="H4474" s="24" t="str">
        <f>IF(J4474&lt;&gt;1,"",IF(I4474="SBJ","CB","?"))</f>
        <v> </v>
      </c>
      <c r="I4474" s="25" t="str">
        <f>IF(OR(E4474="",E4474="!!!",F4474="NEW"),"",INDEX(B4473:B$2,-1+SUMPRODUCT(MAX(ROW(E4473:E$2)*(E4474=E4473:E$2)))))</f>
        <v> </v>
      </c>
      <c r="J4474" s="25" t="str">
        <f>IF(OR(E4474="",E4474="!!!",F4474="NEW"),"",COUNTBLANK(OFFSET(A$1,,,SUMPRODUCT(MAX(ROW(E$2:E4474)*(E4474=E$2:E4474)))))-COUNTBLANK(OFFSET(A$1,,,SUMPRODUCT(MAX(ROW(E$1:E4473)*(E2=E$1:E4473))))))</f>
        <v> </v>
      </c>
      <c r="K4474" s="25" t="str">
        <f>IF(OR(E4474="",E4474="!!!",F4474="NEW"),"",INDEX(J$1:J4473,SUMPRODUCT(MAX(ROW(E$1:E4473)*(E4474=E$1:E4473)))))</f>
        <v> </v>
      </c>
      <c r="L4474" s="26"/>
    </row>
    <row r="4475" spans="1:12">
      <c r="A4475" s="20" t="s">
        <v>2851</v>
      </c>
      <c r="E4475" s="21">
        <f>IF(D4475="?OLD","!!!","")</f>
        <v/>
      </c>
      <c r="F4475" s="22" t="str">
        <f>IF(OR(E4475="",E4475="!!!"),"",IF(NOT(ISNA(VLOOKUP(E4475,E$1:E4474,1,FALSE()))),"OLD",IF(AND(E4475&lt;&gt;"",E4475&lt;&gt;"!!!"),"NEW","")))</f>
        <v> </v>
      </c>
      <c r="G4475" s="23" t="str">
        <f>IF(OR(E4475="",E4475="!!!"),"",IF(OR(J4475=0,AND(J4475=1,K4475=1),AND(J4475=1,I4475="SBJ"),AND(J4475=1,I4475=0)),"?IN_FOCUS",IF(J4475&lt;=2,"?ACTIVATED",IF(J4475&lt;&gt;"","?FAMILIAR",IF(F4475="NEW",IF(ISNA(VLOOKUP(E4475,#REF!,1,FALSE())),"?TYPE_IDENTIFIABLE","?REFERENTIAL"),"_")))))</f>
        <v> </v>
      </c>
      <c r="H4475" s="24" t="str">
        <f>IF(J4475&lt;&gt;1,"",IF(I4475="SBJ","CB","?"))</f>
        <v> </v>
      </c>
      <c r="I4475" s="25" t="str">
        <f>IF(OR(E4475="",E4475="!!!",F4475="NEW"),"",INDEX(B4474:B$2,-1+SUMPRODUCT(MAX(ROW(E4474:E$2)*(E4475=E4474:E$2)))))</f>
        <v> </v>
      </c>
      <c r="J4475" s="25" t="str">
        <f>IF(OR(E4475="",E4475="!!!",F4475="NEW"),"",COUNTBLANK(OFFSET(A$1,,,SUMPRODUCT(MAX(ROW(E$2:E4475)*(E4475=E$2:E4475)))))-COUNTBLANK(OFFSET(A$1,,,SUMPRODUCT(MAX(ROW(E$1:E4474)*(E2=E$1:E4474))))))</f>
        <v> </v>
      </c>
      <c r="K4475" s="25" t="str">
        <f>IF(OR(E4475="",E4475="!!!",F4475="NEW"),"",INDEX(J$1:J4474,SUMPRODUCT(MAX(ROW(E$1:E4474)*(E4475=E$1:E4474)))))</f>
        <v> </v>
      </c>
      <c r="L4475" s="26"/>
    </row>
    <row r="4476" spans="1:12">
      <c r="A4476" s="20" t="s">
        <v>1232</v>
      </c>
      <c r="E4476" s="21">
        <f>IF(D4476="?OLD","!!!","")</f>
        <v/>
      </c>
      <c r="F4476" s="22" t="str">
        <f>IF(OR(E4476="",E4476="!!!"),"",IF(NOT(ISNA(VLOOKUP(E4476,E$1:E4475,1,FALSE()))),"OLD",IF(AND(E4476&lt;&gt;"",E4476&lt;&gt;"!!!"),"NEW","")))</f>
        <v> </v>
      </c>
      <c r="G4476" s="23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4" t="str">
        <f>IF(J4476&lt;&gt;1,"",IF(I4476="SBJ","CB","?"))</f>
        <v> </v>
      </c>
      <c r="I4476" s="25" t="str">
        <f>IF(OR(E4476="",E4476="!!!",F4476="NEW"),"",INDEX(B4475:B$2,-1+SUMPRODUCT(MAX(ROW(E4475:E$2)*(E4476=E4475:E$2)))))</f>
        <v> </v>
      </c>
      <c r="J4476" s="25" t="str">
        <f>IF(OR(E4476="",E4476="!!!",F4476="NEW"),"",COUNTBLANK(OFFSET(A$1,,,SUMPRODUCT(MAX(ROW(E$2:E4476)*(E4476=E$2:E4476)))))-COUNTBLANK(OFFSET(A$1,,,SUMPRODUCT(MAX(ROW(E$1:E4475)*(E2=E$1:E4475))))))</f>
        <v> </v>
      </c>
      <c r="K4476" s="25" t="str">
        <f>IF(OR(E4476="",E4476="!!!",F4476="NEW"),"",INDEX(J$1:J4475,SUMPRODUCT(MAX(ROW(E$1:E4475)*(E4476=E$1:E4475)))))</f>
        <v> </v>
      </c>
      <c r="L4476" s="26"/>
    </row>
    <row r="4477" spans="1:12">
      <c r="A4477" s="20" t="s">
        <v>2852</v>
      </c>
      <c r="E4477" s="21">
        <f>IF(D4477="?OLD","!!!","")</f>
        <v/>
      </c>
      <c r="F4477" s="22" t="str">
        <f>IF(OR(E4477="",E4477="!!!"),"",IF(NOT(ISNA(VLOOKUP(E4477,E$1:E4476,1,FALSE()))),"OLD",IF(AND(E4477&lt;&gt;"",E4477&lt;&gt;"!!!"),"NEW","")))</f>
        <v> </v>
      </c>
      <c r="G4477" s="23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4" t="str">
        <f>IF(J4477&lt;&gt;1,"",IF(I4477="SBJ","CB","?"))</f>
        <v> </v>
      </c>
      <c r="I4477" s="25" t="str">
        <f>IF(OR(E4477="",E4477="!!!",F4477="NEW"),"",INDEX(B4476:B$2,-1+SUMPRODUCT(MAX(ROW(E4476:E$2)*(E4477=E4476:E$2)))))</f>
        <v> </v>
      </c>
      <c r="J4477" s="25" t="str">
        <f>IF(OR(E4477="",E4477="!!!",F4477="NEW"),"",COUNTBLANK(OFFSET(A$1,,,SUMPRODUCT(MAX(ROW(E$2:E4477)*(E4477=E$2:E4477)))))-COUNTBLANK(OFFSET(A$1,,,SUMPRODUCT(MAX(ROW(E$1:E4476)*(E2=E$1:E4476))))))</f>
        <v> </v>
      </c>
      <c r="K4477" s="25" t="str">
        <f>IF(OR(E4477="",E4477="!!!",F4477="NEW"),"",INDEX(J$1:J4476,SUMPRODUCT(MAX(ROW(E$1:E4476)*(E4477=E$1:E4476)))))</f>
        <v> </v>
      </c>
      <c r="L4477" s="26"/>
    </row>
    <row r="4478" spans="1:12">
      <c r="A4478" s="20" t="s">
        <v>2853</v>
      </c>
      <c r="E4478" s="21">
        <f>IF(D4478="?OLD","!!!","")</f>
        <v/>
      </c>
      <c r="F4478" s="22" t="str">
        <f>IF(OR(E4478="",E4478="!!!"),"",IF(NOT(ISNA(VLOOKUP(E4478,E$1:E4477,1,FALSE()))),"OLD",IF(AND(E4478&lt;&gt;"",E4478&lt;&gt;"!!!"),"NEW","")))</f>
        <v> </v>
      </c>
      <c r="G4478" s="23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4" t="str">
        <f>IF(J4478&lt;&gt;1,"",IF(I4478="SBJ","CB","?"))</f>
        <v> </v>
      </c>
      <c r="I4478" s="25" t="str">
        <f>IF(OR(E4478="",E4478="!!!",F4478="NEW"),"",INDEX(B4477:B$2,-1+SUMPRODUCT(MAX(ROW(E4477:E$2)*(E4478=E4477:E$2)))))</f>
        <v> </v>
      </c>
      <c r="J4478" s="25" t="str">
        <f>IF(OR(E4478="",E4478="!!!",F4478="NEW"),"",COUNTBLANK(OFFSET(A$1,,,SUMPRODUCT(MAX(ROW(E$2:E4478)*(E4478=E$2:E4478)))))-COUNTBLANK(OFFSET(A$1,,,SUMPRODUCT(MAX(ROW(E$1:E4477)*(E2=E$1:E4477))))))</f>
        <v> </v>
      </c>
      <c r="K4478" s="25" t="str">
        <f>IF(OR(E4478="",E4478="!!!",F4478="NEW"),"",INDEX(J$1:J4477,SUMPRODUCT(MAX(ROW(E$1:E4477)*(E4478=E$1:E4477)))))</f>
        <v> </v>
      </c>
      <c r="L4478" s="26"/>
    </row>
    <row r="4479" spans="1:12">
      <c r="A4479" s="20" t="s">
        <v>1032</v>
      </c>
      <c r="E4479" s="21">
        <f>IF(D4479="?OLD","!!!","")</f>
        <v/>
      </c>
      <c r="F4479" s="22" t="str">
        <f>IF(OR(E4479="",E4479="!!!"),"",IF(NOT(ISNA(VLOOKUP(E4479,E$1:E4478,1,FALSE()))),"OLD",IF(AND(E4479&lt;&gt;"",E4479&lt;&gt;"!!!"),"NEW","")))</f>
        <v> </v>
      </c>
      <c r="G4479" s="23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4" t="str">
        <f>IF(J4479&lt;&gt;1,"",IF(I4479="SBJ","CB","?"))</f>
        <v> </v>
      </c>
      <c r="I4479" s="25" t="str">
        <f>IF(OR(E4479="",E4479="!!!",F4479="NEW"),"",INDEX(B4478:B$2,-1+SUMPRODUCT(MAX(ROW(E4478:E$2)*(E4479=E4478:E$2)))))</f>
        <v> </v>
      </c>
      <c r="J4479" s="25" t="str">
        <f>IF(OR(E4479="",E4479="!!!",F4479="NEW"),"",COUNTBLANK(OFFSET(A$1,,,SUMPRODUCT(MAX(ROW(E$2:E4479)*(E4479=E$2:E4479)))))-COUNTBLANK(OFFSET(A$1,,,SUMPRODUCT(MAX(ROW(E$1:E4478)*(E2=E$1:E4478))))))</f>
        <v> </v>
      </c>
      <c r="K4479" s="25" t="str">
        <f>IF(OR(E4479="",E4479="!!!",F4479="NEW"),"",INDEX(J$1:J4478,SUMPRODUCT(MAX(ROW(E$1:E4478)*(E4479=E$1:E4478)))))</f>
        <v> </v>
      </c>
      <c r="L4479" s="26"/>
    </row>
    <row r="4480" spans="1:12">
      <c r="A4480" s="20"/>
    </row>
    <row r="4481" spans="1:12">
      <c r="A4481" s="20" t="s">
        <v>2854</v>
      </c>
    </row>
    <row r="4482" spans="1:12">
      <c r="A4482" s="20" t="s">
        <v>2855</v>
      </c>
      <c r="E4482" s="21">
        <f>IF(D4482="?OLD","!!!","")</f>
        <v/>
      </c>
      <c r="F4482" s="22" t="str">
        <f>IF(OR(E4482="",E4482="!!!"),"",IF(NOT(ISNA(VLOOKUP(E4482,E$1:E4481,1,FALSE()))),"OLD",IF(AND(E4482&lt;&gt;"",E4482&lt;&gt;"!!!"),"NEW","")))</f>
        <v> </v>
      </c>
      <c r="G4482" s="23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4" t="str">
        <f>IF(J4482&lt;&gt;1,"",IF(I4482="SBJ","CB","?"))</f>
        <v> </v>
      </c>
      <c r="I4482" s="25" t="str">
        <f>IF(OR(E4482="",E4482="!!!",F4482="NEW"),"",INDEX(B4481:B$2,-1+SUMPRODUCT(MAX(ROW(E4481:E$2)*(E4482=E4481:E$2)))))</f>
        <v> </v>
      </c>
      <c r="J4482" s="25" t="str">
        <f>IF(OR(E4482="",E4482="!!!",F4482="NEW"),"",COUNTBLANK(OFFSET(A$1,,,SUMPRODUCT(MAX(ROW(E$2:E4482)*(E4482=E$2:E4482)))))-COUNTBLANK(OFFSET(A$1,,,SUMPRODUCT(MAX(ROW(E$1:E4481)*(E2=E$1:E4481))))))</f>
        <v> </v>
      </c>
      <c r="K4482" s="25" t="str">
        <f>IF(OR(E4482="",E4482="!!!",F4482="NEW"),"",INDEX(J$1:J4481,SUMPRODUCT(MAX(ROW(E$1:E4481)*(E4482=E$1:E4481)))))</f>
        <v> </v>
      </c>
      <c r="L4482" s="26"/>
    </row>
    <row r="4483" spans="1:12">
      <c r="A4483" s="20" t="s">
        <v>2856</v>
      </c>
      <c r="B4483" s="27" t="s">
        <v>1024</v>
      </c>
      <c r="E4483" s="21">
        <f>IF(D4483="?OLD","!!!","")</f>
        <v/>
      </c>
      <c r="F4483" s="22" t="str">
        <f>IF(OR(E4483="",E4483="!!!"),"",IF(NOT(ISNA(VLOOKUP(E4483,E$1:E4482,1,FALSE()))),"OLD",IF(AND(E4483&lt;&gt;"",E4483&lt;&gt;"!!!"),"NEW","")))</f>
        <v> </v>
      </c>
      <c r="G4483" s="23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4" t="str">
        <f>IF(J4483&lt;&gt;1,"",IF(I4483="SBJ","CB","?"))</f>
        <v> </v>
      </c>
      <c r="I4483" s="25" t="str">
        <f>IF(OR(E4483="",E4483="!!!",F4483="NEW"),"",INDEX(B4482:B$2,-1+SUMPRODUCT(MAX(ROW(E4482:E$2)*(E4483=E4482:E$2)))))</f>
        <v> </v>
      </c>
      <c r="J4483" s="25" t="str">
        <f>IF(OR(E4483="",E4483="!!!",F4483="NEW"),"",COUNTBLANK(OFFSET(A$1,,,SUMPRODUCT(MAX(ROW(E$2:E4483)*(E4483=E$2:E4483)))))-COUNTBLANK(OFFSET(A$1,,,SUMPRODUCT(MAX(ROW(E$1:E4482)*(E2=E$1:E4482))))))</f>
        <v> </v>
      </c>
      <c r="K4483" s="25" t="str">
        <f>IF(OR(E4483="",E4483="!!!",F4483="NEW"),"",INDEX(J$1:J4482,SUMPRODUCT(MAX(ROW(E$1:E4482)*(E4483=E$1:E4482)))))</f>
        <v> </v>
      </c>
      <c r="L4483" s="26"/>
    </row>
    <row r="4484" spans="1:12">
      <c r="A4484" s="20" t="s">
        <v>2857</v>
      </c>
      <c r="E4484" s="21">
        <f>IF(D4484="?OLD","!!!","")</f>
        <v/>
      </c>
      <c r="F4484" s="22" t="str">
        <f>IF(OR(E4484="",E4484="!!!"),"",IF(NOT(ISNA(VLOOKUP(E4484,E$1:E4483,1,FALSE()))),"OLD",IF(AND(E4484&lt;&gt;"",E4484&lt;&gt;"!!!"),"NEW","")))</f>
        <v> </v>
      </c>
      <c r="G4484" s="23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4" t="str">
        <f>IF(J4484&lt;&gt;1,"",IF(I4484="SBJ","CB","?"))</f>
        <v> </v>
      </c>
      <c r="I4484" s="25" t="str">
        <f>IF(OR(E4484="",E4484="!!!",F4484="NEW"),"",INDEX(B4483:B$2,-1+SUMPRODUCT(MAX(ROW(E4483:E$2)*(E4484=E4483:E$2)))))</f>
        <v> </v>
      </c>
      <c r="J4484" s="25" t="str">
        <f>IF(OR(E4484="",E4484="!!!",F4484="NEW"),"",COUNTBLANK(OFFSET(A$1,,,SUMPRODUCT(MAX(ROW(E$2:E4484)*(E4484=E$2:E4484)))))-COUNTBLANK(OFFSET(A$1,,,SUMPRODUCT(MAX(ROW(E$1:E4483)*(E2=E$1:E4483))))))</f>
        <v> </v>
      </c>
      <c r="K4484" s="25" t="str">
        <f>IF(OR(E4484="",E4484="!!!",F4484="NEW"),"",INDEX(J$1:J4483,SUMPRODUCT(MAX(ROW(E$1:E4483)*(E4484=E$1:E4483)))))</f>
        <v> </v>
      </c>
      <c r="L4484" s="26"/>
    </row>
    <row r="4485" spans="1:12">
      <c r="A4485" s="20" t="s">
        <v>1232</v>
      </c>
      <c r="E4485" s="21">
        <f>IF(D4485="?OLD","!!!","")</f>
        <v/>
      </c>
      <c r="F4485" s="22" t="str">
        <f>IF(OR(E4485="",E4485="!!!"),"",IF(NOT(ISNA(VLOOKUP(E4485,E$1:E4484,1,FALSE()))),"OLD",IF(AND(E4485&lt;&gt;"",E4485&lt;&gt;"!!!"),"NEW","")))</f>
        <v> </v>
      </c>
      <c r="G4485" s="23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4" t="str">
        <f>IF(J4485&lt;&gt;1,"",IF(I4485="SBJ","CB","?"))</f>
        <v> </v>
      </c>
      <c r="I4485" s="25" t="str">
        <f>IF(OR(E4485="",E4485="!!!",F4485="NEW"),"",INDEX(B4484:B$2,-1+SUMPRODUCT(MAX(ROW(E4484:E$2)*(E4485=E4484:E$2)))))</f>
        <v> </v>
      </c>
      <c r="J4485" s="25" t="str">
        <f>IF(OR(E4485="",E4485="!!!",F4485="NEW"),"",COUNTBLANK(OFFSET(A$1,,,SUMPRODUCT(MAX(ROW(E$2:E4485)*(E4485=E$2:E4485)))))-COUNTBLANK(OFFSET(A$1,,,SUMPRODUCT(MAX(ROW(E$1:E4484)*(E2=E$1:E4484))))))</f>
        <v> </v>
      </c>
      <c r="K4485" s="25" t="str">
        <f>IF(OR(E4485="",E4485="!!!",F4485="NEW"),"",INDEX(J$1:J4484,SUMPRODUCT(MAX(ROW(E$1:E4484)*(E4485=E$1:E4484)))))</f>
        <v> </v>
      </c>
      <c r="L4485" s="26"/>
    </row>
    <row r="4486" spans="1:12">
      <c r="A4486" s="20" t="s">
        <v>225</v>
      </c>
      <c r="E4486" s="21">
        <f>IF(D4486="?OLD","!!!","")</f>
        <v/>
      </c>
      <c r="F4486" s="22" t="str">
        <f>IF(OR(E4486="",E4486="!!!"),"",IF(NOT(ISNA(VLOOKUP(E4486,E$1:E4485,1,FALSE()))),"OLD",IF(AND(E4486&lt;&gt;"",E4486&lt;&gt;"!!!"),"NEW","")))</f>
        <v> </v>
      </c>
      <c r="G4486" s="23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4" t="str">
        <f>IF(J4486&lt;&gt;1,"",IF(I4486="SBJ","CB","?"))</f>
        <v> </v>
      </c>
      <c r="I4486" s="25" t="str">
        <f>IF(OR(E4486="",E4486="!!!",F4486="NEW"),"",INDEX(B4485:B$2,-1+SUMPRODUCT(MAX(ROW(E4485:E$2)*(E4486=E4485:E$2)))))</f>
        <v> </v>
      </c>
      <c r="J4486" s="25" t="str">
        <f>IF(OR(E4486="",E4486="!!!",F4486="NEW"),"",COUNTBLANK(OFFSET(A$1,,,SUMPRODUCT(MAX(ROW(E$2:E4486)*(E4486=E$2:E4486)))))-COUNTBLANK(OFFSET(A$1,,,SUMPRODUCT(MAX(ROW(E$1:E4485)*(E2=E$1:E4485))))))</f>
        <v> </v>
      </c>
      <c r="K4486" s="25" t="str">
        <f>IF(OR(E4486="",E4486="!!!",F4486="NEW"),"",INDEX(J$1:J4485,SUMPRODUCT(MAX(ROW(E$1:E4485)*(E4486=E$1:E4485)))))</f>
        <v> </v>
      </c>
      <c r="L4486" s="26"/>
    </row>
    <row r="4487" spans="1:12">
      <c r="A4487" s="20" t="s">
        <v>1709</v>
      </c>
      <c r="B4487" s="27" t="s">
        <v>1136</v>
      </c>
      <c r="C4487" s="27" t="s">
        <v>1151</v>
      </c>
      <c r="E4487" s="21">
        <f>IF(D4487="?OLD","!!!","")</f>
        <v/>
      </c>
      <c r="F4487" s="22" t="str">
        <f>IF(OR(E4487="",E4487="!!!"),"",IF(NOT(ISNA(VLOOKUP(E4487,E$1:E4486,1,FALSE()))),"OLD",IF(AND(E4487&lt;&gt;"",E4487&lt;&gt;"!!!"),"NEW","")))</f>
        <v> </v>
      </c>
      <c r="G4487" s="23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4" t="str">
        <f>IF(J4487&lt;&gt;1,"",IF(I4487="SBJ","CB","?"))</f>
        <v> </v>
      </c>
      <c r="I4487" s="25" t="str">
        <f>IF(OR(E4487="",E4487="!!!",F4487="NEW"),"",INDEX(B4486:B$2,-1+SUMPRODUCT(MAX(ROW(E4486:E$2)*(E4487=E4486:E$2)))))</f>
        <v> </v>
      </c>
      <c r="J4487" s="25" t="str">
        <f>IF(OR(E4487="",E4487="!!!",F4487="NEW"),"",COUNTBLANK(OFFSET(A$1,,,SUMPRODUCT(MAX(ROW(E$2:E4487)*(E4487=E$2:E4487)))))-COUNTBLANK(OFFSET(A$1,,,SUMPRODUCT(MAX(ROW(E$1:E4486)*(E2=E$1:E4486))))))</f>
        <v> </v>
      </c>
      <c r="K4487" s="25" t="str">
        <f>IF(OR(E4487="",E4487="!!!",F4487="NEW"),"",INDEX(J$1:J4486,SUMPRODUCT(MAX(ROW(E$1:E4486)*(E4487=E$1:E4486)))))</f>
        <v> </v>
      </c>
      <c r="L4487" s="26"/>
    </row>
    <row r="4488" spans="1:12">
      <c r="A4488" s="20" t="s">
        <v>1032</v>
      </c>
      <c r="E4488" s="21">
        <f>IF(D4488="?OLD","!!!","")</f>
        <v/>
      </c>
      <c r="F4488" s="22" t="str">
        <f>IF(OR(E4488="",E4488="!!!"),"",IF(NOT(ISNA(VLOOKUP(E4488,E$1:E4487,1,FALSE()))),"OLD",IF(AND(E4488&lt;&gt;"",E4488&lt;&gt;"!!!"),"NEW","")))</f>
        <v> </v>
      </c>
      <c r="G4488" s="23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4" t="str">
        <f>IF(J4488&lt;&gt;1,"",IF(I4488="SBJ","CB","?"))</f>
        <v> </v>
      </c>
      <c r="I4488" s="25" t="str">
        <f>IF(OR(E4488="",E4488="!!!",F4488="NEW"),"",INDEX(B4487:B$2,-1+SUMPRODUCT(MAX(ROW(E4487:E$2)*(E4488=E4487:E$2)))))</f>
        <v> </v>
      </c>
      <c r="J4488" s="25" t="str">
        <f>IF(OR(E4488="",E4488="!!!",F4488="NEW"),"",COUNTBLANK(OFFSET(A$1,,,SUMPRODUCT(MAX(ROW(E$2:E4488)*(E4488=E$2:E4488)))))-COUNTBLANK(OFFSET(A$1,,,SUMPRODUCT(MAX(ROW(E$1:E4487)*(E2=E$1:E4487))))))</f>
        <v> </v>
      </c>
      <c r="K4488" s="25" t="str">
        <f>IF(OR(E4488="",E4488="!!!",F4488="NEW"),"",INDEX(J$1:J4487,SUMPRODUCT(MAX(ROW(E$1:E4487)*(E4488=E$1:E4487)))))</f>
        <v> </v>
      </c>
      <c r="L4488" s="26"/>
    </row>
    <row r="4489" spans="1:12">
      <c r="A4489" s="20"/>
    </row>
    <row r="4490" spans="1:12">
      <c r="A4490" s="20" t="s">
        <v>2858</v>
      </c>
    </row>
    <row r="4491" spans="1:12">
      <c r="A4491" s="20" t="s">
        <v>2859</v>
      </c>
      <c r="E4491" s="21">
        <f>IF(D4491="?OLD","!!!","")</f>
        <v/>
      </c>
      <c r="F4491" s="22" t="str">
        <f>IF(OR(E4491="",E4491="!!!"),"",IF(NOT(ISNA(VLOOKUP(E4491,E$1:E4490,1,FALSE()))),"OLD",IF(AND(E4491&lt;&gt;"",E4491&lt;&gt;"!!!"),"NEW","")))</f>
        <v> </v>
      </c>
      <c r="G4491" s="23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4" t="str">
        <f>IF(J4491&lt;&gt;1,"",IF(I4491="SBJ","CB","?"))</f>
        <v> </v>
      </c>
      <c r="I4491" s="25" t="str">
        <f>IF(OR(E4491="",E4491="!!!",F4491="NEW"),"",INDEX(B4490:B$2,-1+SUMPRODUCT(MAX(ROW(E4490:E$2)*(E4491=E4490:E$2)))))</f>
        <v> </v>
      </c>
      <c r="J4491" s="25" t="str">
        <f>IF(OR(E4491="",E4491="!!!",F4491="NEW"),"",COUNTBLANK(OFFSET(A$1,,,SUMPRODUCT(MAX(ROW(E$2:E4491)*(E4491=E$2:E4491)))))-COUNTBLANK(OFFSET(A$1,,,SUMPRODUCT(MAX(ROW(E$1:E4490)*(E2=E$1:E4490))))))</f>
        <v> </v>
      </c>
      <c r="K4491" s="25" t="str">
        <f>IF(OR(E4491="",E4491="!!!",F4491="NEW"),"",INDEX(J$1:J4490,SUMPRODUCT(MAX(ROW(E$1:E4490)*(E4491=E$1:E4490)))))</f>
        <v> </v>
      </c>
      <c r="L4491" s="26"/>
    </row>
    <row r="4492" spans="1:12">
      <c r="A4492" s="20" t="s">
        <v>2860</v>
      </c>
      <c r="B4492" s="27" t="s">
        <v>1024</v>
      </c>
      <c r="E4492" s="21">
        <f>IF(D4492="?OLD","!!!","")</f>
        <v/>
      </c>
      <c r="F4492" s="22" t="str">
        <f>IF(OR(E4492="",E4492="!!!"),"",IF(NOT(ISNA(VLOOKUP(E4492,E$1:E4491,1,FALSE()))),"OLD",IF(AND(E4492&lt;&gt;"",E4492&lt;&gt;"!!!"),"NEW","")))</f>
        <v> </v>
      </c>
      <c r="G4492" s="23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4" t="str">
        <f>IF(J4492&lt;&gt;1,"",IF(I4492="SBJ","CB","?"))</f>
        <v> </v>
      </c>
      <c r="I4492" s="25" t="str">
        <f>IF(OR(E4492="",E4492="!!!",F4492="NEW"),"",INDEX(B4491:B$2,-1+SUMPRODUCT(MAX(ROW(E4491:E$2)*(E4492=E4491:E$2)))))</f>
        <v> </v>
      </c>
      <c r="J4492" s="25" t="str">
        <f>IF(OR(E4492="",E4492="!!!",F4492="NEW"),"",COUNTBLANK(OFFSET(A$1,,,SUMPRODUCT(MAX(ROW(E$2:E4492)*(E4492=E$2:E4492)))))-COUNTBLANK(OFFSET(A$1,,,SUMPRODUCT(MAX(ROW(E$1:E4491)*(E2=E$1:E4491))))))</f>
        <v> </v>
      </c>
      <c r="K4492" s="25" t="str">
        <f>IF(OR(E4492="",E4492="!!!",F4492="NEW"),"",INDEX(J$1:J4491,SUMPRODUCT(MAX(ROW(E$1:E4491)*(E4492=E$1:E4491)))))</f>
        <v> </v>
      </c>
      <c r="L4492" s="26"/>
    </row>
    <row r="4493" spans="1:12">
      <c r="A4493" s="20" t="s">
        <v>1764</v>
      </c>
      <c r="E4493" s="21">
        <f>IF(D4493="?OLD","!!!","")</f>
        <v/>
      </c>
      <c r="F4493" s="22" t="str">
        <f>IF(OR(E4493="",E4493="!!!"),"",IF(NOT(ISNA(VLOOKUP(E4493,E$1:E4492,1,FALSE()))),"OLD",IF(AND(E4493&lt;&gt;"",E4493&lt;&gt;"!!!"),"NEW","")))</f>
        <v> </v>
      </c>
      <c r="G4493" s="23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4" t="str">
        <f>IF(J4493&lt;&gt;1,"",IF(I4493="SBJ","CB","?"))</f>
        <v> </v>
      </c>
      <c r="I4493" s="25" t="str">
        <f>IF(OR(E4493="",E4493="!!!",F4493="NEW"),"",INDEX(B4492:B$2,-1+SUMPRODUCT(MAX(ROW(E4492:E$2)*(E4493=E4492:E$2)))))</f>
        <v> </v>
      </c>
      <c r="J4493" s="25" t="str">
        <f>IF(OR(E4493="",E4493="!!!",F4493="NEW"),"",COUNTBLANK(OFFSET(A$1,,,SUMPRODUCT(MAX(ROW(E$2:E4493)*(E4493=E$2:E4493)))))-COUNTBLANK(OFFSET(A$1,,,SUMPRODUCT(MAX(ROW(E$1:E4492)*(E2=E$1:E4492))))))</f>
        <v> </v>
      </c>
      <c r="K4493" s="25" t="str">
        <f>IF(OR(E4493="",E4493="!!!",F4493="NEW"),"",INDEX(J$1:J4492,SUMPRODUCT(MAX(ROW(E$1:E4492)*(E4493=E$1:E4492)))))</f>
        <v> </v>
      </c>
      <c r="L4493" s="26"/>
    </row>
    <row r="4494" spans="1:12">
      <c r="A4494" s="20" t="s">
        <v>2861</v>
      </c>
      <c r="E4494" s="21">
        <f>IF(D4494="?OLD","!!!","")</f>
        <v/>
      </c>
      <c r="F4494" s="22" t="str">
        <f>IF(OR(E4494="",E4494="!!!"),"",IF(NOT(ISNA(VLOOKUP(E4494,E$1:E4493,1,FALSE()))),"OLD",IF(AND(E4494&lt;&gt;"",E4494&lt;&gt;"!!!"),"NEW","")))</f>
        <v> </v>
      </c>
      <c r="G4494" s="23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4" t="str">
        <f>IF(J4494&lt;&gt;1,"",IF(I4494="SBJ","CB","?"))</f>
        <v> </v>
      </c>
      <c r="I4494" s="25" t="str">
        <f>IF(OR(E4494="",E4494="!!!",F4494="NEW"),"",INDEX(B4493:B$2,-1+SUMPRODUCT(MAX(ROW(E4493:E$2)*(E4494=E4493:E$2)))))</f>
        <v> </v>
      </c>
      <c r="J4494" s="25" t="str">
        <f>IF(OR(E4494="",E4494="!!!",F4494="NEW"),"",COUNTBLANK(OFFSET(A$1,,,SUMPRODUCT(MAX(ROW(E$2:E4494)*(E4494=E$2:E4494)))))-COUNTBLANK(OFFSET(A$1,,,SUMPRODUCT(MAX(ROW(E$1:E4493)*(E2=E$1:E4493))))))</f>
        <v> </v>
      </c>
      <c r="K4494" s="25" t="str">
        <f>IF(OR(E4494="",E4494="!!!",F4494="NEW"),"",INDEX(J$1:J4493,SUMPRODUCT(MAX(ROW(E$1:E4493)*(E4494=E$1:E4493)))))</f>
        <v> </v>
      </c>
      <c r="L4494" s="26"/>
    </row>
    <row r="4495" spans="1:12">
      <c r="A4495" s="20" t="s">
        <v>2862</v>
      </c>
      <c r="E4495" s="21">
        <f>IF(D4495="?OLD","!!!","")</f>
        <v/>
      </c>
      <c r="F4495" s="22" t="str">
        <f>IF(OR(E4495="",E4495="!!!"),"",IF(NOT(ISNA(VLOOKUP(E4495,E$1:E4494,1,FALSE()))),"OLD",IF(AND(E4495&lt;&gt;"",E4495&lt;&gt;"!!!"),"NEW","")))</f>
        <v> </v>
      </c>
      <c r="G4495" s="23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4" t="str">
        <f>IF(J4495&lt;&gt;1,"",IF(I4495="SBJ","CB","?"))</f>
        <v> </v>
      </c>
      <c r="I4495" s="25" t="str">
        <f>IF(OR(E4495="",E4495="!!!",F4495="NEW"),"",INDEX(B4494:B$2,-1+SUMPRODUCT(MAX(ROW(E4494:E$2)*(E4495=E4494:E$2)))))</f>
        <v> </v>
      </c>
      <c r="J4495" s="25" t="str">
        <f>IF(OR(E4495="",E4495="!!!",F4495="NEW"),"",COUNTBLANK(OFFSET(A$1,,,SUMPRODUCT(MAX(ROW(E$2:E4495)*(E4495=E$2:E4495)))))-COUNTBLANK(OFFSET(A$1,,,SUMPRODUCT(MAX(ROW(E$1:E4494)*(E2=E$1:E4494))))))</f>
        <v> </v>
      </c>
      <c r="K4495" s="25" t="str">
        <f>IF(OR(E4495="",E4495="!!!",F4495="NEW"),"",INDEX(J$1:J4494,SUMPRODUCT(MAX(ROW(E$1:E4494)*(E4495=E$1:E4494)))))</f>
        <v> </v>
      </c>
      <c r="L4495" s="26"/>
    </row>
    <row r="4496" spans="1:12">
      <c r="A4496" s="20" t="s">
        <v>2863</v>
      </c>
      <c r="B4496" s="27" t="s">
        <v>1136</v>
      </c>
      <c r="C4496" s="27" t="s">
        <v>1072</v>
      </c>
      <c r="D4496" s="27" t="s">
        <v>1026</v>
      </c>
      <c r="E4496" s="21">
        <f>IF(D4496="?OLD","!!!","")</f>
        <v/>
      </c>
      <c r="F4496" s="22" t="str">
        <f>IF(OR(E4496="",E4496="!!!"),"",IF(NOT(ISNA(VLOOKUP(E4496,E$1:E4495,1,FALSE()))),"OLD",IF(AND(E4496&lt;&gt;"",E4496&lt;&gt;"!!!"),"NEW","")))</f>
        <v> </v>
      </c>
      <c r="G4496" s="23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4" t="str">
        <f>IF(J4496&lt;&gt;1,"",IF(I4496="SBJ","CB","?"))</f>
        <v> </v>
      </c>
      <c r="I4496" s="25" t="str">
        <f>IF(OR(E4496="",E4496="!!!",F4496="NEW"),"",INDEX(B4495:B$2,-1+SUMPRODUCT(MAX(ROW(E4495:E$2)*(E4496=E4495:E$2)))))</f>
        <v> </v>
      </c>
      <c r="J4496" s="25" t="str">
        <f>IF(OR(E4496="",E4496="!!!",F4496="NEW"),"",COUNTBLANK(OFFSET(A$1,,,SUMPRODUCT(MAX(ROW(E$2:E4496)*(E4496=E$2:E4496)))))-COUNTBLANK(OFFSET(A$1,,,SUMPRODUCT(MAX(ROW(E$1:E4495)*(E2=E$1:E4495))))))</f>
        <v> </v>
      </c>
      <c r="K4496" s="25" t="str">
        <f>IF(OR(E4496="",E4496="!!!",F4496="NEW"),"",INDEX(J$1:J4495,SUMPRODUCT(MAX(ROW(E$1:E4495)*(E4496=E$1:E4495)))))</f>
        <v> </v>
      </c>
      <c r="L4496" s="26"/>
    </row>
    <row r="4497" spans="1:12">
      <c r="A4497" s="20" t="s">
        <v>1041</v>
      </c>
      <c r="E4497" s="21">
        <f>IF(D4497="?OLD","!!!","")</f>
        <v/>
      </c>
      <c r="F4497" s="22" t="str">
        <f>IF(OR(E4497="",E4497="!!!"),"",IF(NOT(ISNA(VLOOKUP(E4497,E$1:E4496,1,FALSE()))),"OLD",IF(AND(E4497&lt;&gt;"",E4497&lt;&gt;"!!!"),"NEW","")))</f>
        <v> </v>
      </c>
      <c r="G4497" s="23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4" t="str">
        <f>IF(J4497&lt;&gt;1,"",IF(I4497="SBJ","CB","?"))</f>
        <v> </v>
      </c>
      <c r="I4497" s="25" t="str">
        <f>IF(OR(E4497="",E4497="!!!",F4497="NEW"),"",INDEX(B4496:B$2,-1+SUMPRODUCT(MAX(ROW(E4496:E$2)*(E4497=E4496:E$2)))))</f>
        <v> </v>
      </c>
      <c r="J4497" s="25" t="str">
        <f>IF(OR(E4497="",E4497="!!!",F4497="NEW"),"",COUNTBLANK(OFFSET(A$1,,,SUMPRODUCT(MAX(ROW(E$2:E4497)*(E4497=E$2:E4497)))))-COUNTBLANK(OFFSET(A$1,,,SUMPRODUCT(MAX(ROW(E$1:E4496)*(E2=E$1:E4496))))))</f>
        <v> </v>
      </c>
      <c r="K4497" s="25" t="str">
        <f>IF(OR(E4497="",E4497="!!!",F4497="NEW"),"",INDEX(J$1:J4496,SUMPRODUCT(MAX(ROW(E$1:E4496)*(E4497=E$1:E4496)))))</f>
        <v> </v>
      </c>
      <c r="L4497" s="26"/>
    </row>
    <row r="4498" spans="1:12">
      <c r="A4498" s="20" t="s">
        <v>1739</v>
      </c>
      <c r="B4498" s="27" t="s">
        <v>1084</v>
      </c>
      <c r="C4498" s="27" t="s">
        <v>1072</v>
      </c>
      <c r="D4498" s="27" t="s">
        <v>1026</v>
      </c>
      <c r="E4498" s="21">
        <f>IF(D4498="?OLD","!!!","")</f>
        <v/>
      </c>
      <c r="F4498" s="22" t="str">
        <f>IF(OR(E4498="",E4498="!!!"),"",IF(NOT(ISNA(VLOOKUP(E4498,E$1:E4497,1,FALSE()))),"OLD",IF(AND(E4498&lt;&gt;"",E4498&lt;&gt;"!!!"),"NEW","")))</f>
        <v> </v>
      </c>
      <c r="G4498" s="23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4" t="str">
        <f>IF(J4498&lt;&gt;1,"",IF(I4498="SBJ","CB","?"))</f>
        <v> </v>
      </c>
      <c r="I4498" s="25" t="str">
        <f>IF(OR(E4498="",E4498="!!!",F4498="NEW"),"",INDEX(B4497:B$2,-1+SUMPRODUCT(MAX(ROW(E4497:E$2)*(E4498=E4497:E$2)))))</f>
        <v> </v>
      </c>
      <c r="J4498" s="25" t="str">
        <f>IF(OR(E4498="",E4498="!!!",F4498="NEW"),"",COUNTBLANK(OFFSET(A$1,,,SUMPRODUCT(MAX(ROW(E$2:E4498)*(E4498=E$2:E4498)))))-COUNTBLANK(OFFSET(A$1,,,SUMPRODUCT(MAX(ROW(E$1:E4497)*(E2=E$1:E4497))))))</f>
        <v> </v>
      </c>
      <c r="K4498" s="25" t="str">
        <f>IF(OR(E4498="",E4498="!!!",F4498="NEW"),"",INDEX(J$1:J4497,SUMPRODUCT(MAX(ROW(E$1:E4497)*(E4498=E$1:E4497)))))</f>
        <v> </v>
      </c>
      <c r="L4498" s="26"/>
    </row>
    <row r="4499" spans="1:12">
      <c r="A4499" s="20" t="s">
        <v>1093</v>
      </c>
      <c r="B4499" s="27" t="s">
        <v>1045</v>
      </c>
      <c r="C4499" s="27" t="s">
        <v>1036</v>
      </c>
      <c r="D4499" s="27" t="s">
        <v>1026</v>
      </c>
      <c r="E4499" s="21">
        <f>IF(D4499="?OLD","!!!","")</f>
        <v/>
      </c>
      <c r="F4499" s="22" t="str">
        <f>IF(OR(E4499="",E4499="!!!"),"",IF(NOT(ISNA(VLOOKUP(E4499,E$1:E4498,1,FALSE()))),"OLD",IF(AND(E4499&lt;&gt;"",E4499&lt;&gt;"!!!"),"NEW","")))</f>
        <v> </v>
      </c>
      <c r="G4499" s="23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4" t="str">
        <f>IF(J4499&lt;&gt;1,"",IF(I4499="SBJ","CB","?"))</f>
        <v> </v>
      </c>
      <c r="I4499" s="25" t="str">
        <f>IF(OR(E4499="",E4499="!!!",F4499="NEW"),"",INDEX(B4498:B$2,-1+SUMPRODUCT(MAX(ROW(E4498:E$2)*(E4499=E4498:E$2)))))</f>
        <v> </v>
      </c>
      <c r="J4499" s="25" t="str">
        <f>IF(OR(E4499="",E4499="!!!",F4499="NEW"),"",COUNTBLANK(OFFSET(A$1,,,SUMPRODUCT(MAX(ROW(E$2:E4499)*(E4499=E$2:E4499)))))-COUNTBLANK(OFFSET(A$1,,,SUMPRODUCT(MAX(ROW(E$1:E4498)*(E2=E$1:E4498))))))</f>
        <v> </v>
      </c>
      <c r="K4499" s="25" t="str">
        <f>IF(OR(E4499="",E4499="!!!",F4499="NEW"),"",INDEX(J$1:J4498,SUMPRODUCT(MAX(ROW(E$1:E4498)*(E4499=E$1:E4498)))))</f>
        <v> </v>
      </c>
      <c r="L4499" s="26"/>
    </row>
    <row r="4500" spans="1:12">
      <c r="A4500" s="20" t="s">
        <v>1041</v>
      </c>
      <c r="E4500" s="21">
        <f>IF(D4500="?OLD","!!!","")</f>
        <v/>
      </c>
      <c r="F4500" s="22" t="str">
        <f>IF(OR(E4500="",E4500="!!!"),"",IF(NOT(ISNA(VLOOKUP(E4500,E$1:E4499,1,FALSE()))),"OLD",IF(AND(E4500&lt;&gt;"",E4500&lt;&gt;"!!!"),"NEW","")))</f>
        <v> </v>
      </c>
      <c r="G4500" s="23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4" t="str">
        <f>IF(J4500&lt;&gt;1,"",IF(I4500="SBJ","CB","?"))</f>
        <v> </v>
      </c>
      <c r="I4500" s="25" t="str">
        <f>IF(OR(E4500="",E4500="!!!",F4500="NEW"),"",INDEX(B4499:B$2,-1+SUMPRODUCT(MAX(ROW(E4499:E$2)*(E4500=E4499:E$2)))))</f>
        <v> </v>
      </c>
      <c r="J4500" s="25" t="str">
        <f>IF(OR(E4500="",E4500="!!!",F4500="NEW"),"",COUNTBLANK(OFFSET(A$1,,,SUMPRODUCT(MAX(ROW(E$2:E4500)*(E4500=E$2:E4500)))))-COUNTBLANK(OFFSET(A$1,,,SUMPRODUCT(MAX(ROW(E$1:E4499)*(E2=E$1:E4499))))))</f>
        <v> </v>
      </c>
      <c r="K4500" s="25" t="str">
        <f>IF(OR(E4500="",E4500="!!!",F4500="NEW"),"",INDEX(J$1:J4499,SUMPRODUCT(MAX(ROW(E$1:E4499)*(E4500=E$1:E4499)))))</f>
        <v> </v>
      </c>
      <c r="L4500" s="26"/>
    </row>
    <row r="4501" spans="1:12">
      <c r="A4501" s="20" t="s">
        <v>201</v>
      </c>
      <c r="E4501" s="21">
        <f>IF(D4501="?OLD","!!!","")</f>
        <v/>
      </c>
      <c r="F4501" s="22" t="str">
        <f>IF(OR(E4501="",E4501="!!!"),"",IF(NOT(ISNA(VLOOKUP(E4501,E$1:E4500,1,FALSE()))),"OLD",IF(AND(E4501&lt;&gt;"",E4501&lt;&gt;"!!!"),"NEW","")))</f>
        <v> </v>
      </c>
      <c r="G4501" s="23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4" t="str">
        <f>IF(J4501&lt;&gt;1,"",IF(I4501="SBJ","CB","?"))</f>
        <v> </v>
      </c>
      <c r="I4501" s="25" t="str">
        <f>IF(OR(E4501="",E4501="!!!",F4501="NEW"),"",INDEX(B4500:B$2,-1+SUMPRODUCT(MAX(ROW(E4500:E$2)*(E4501=E4500:E$2)))))</f>
        <v> </v>
      </c>
      <c r="J4501" s="25" t="str">
        <f>IF(OR(E4501="",E4501="!!!",F4501="NEW"),"",COUNTBLANK(OFFSET(A$1,,,SUMPRODUCT(MAX(ROW(E$2:E4501)*(E4501=E$2:E4501)))))-COUNTBLANK(OFFSET(A$1,,,SUMPRODUCT(MAX(ROW(E$1:E4500)*(E2=E$1:E4500))))))</f>
        <v> </v>
      </c>
      <c r="K4501" s="25" t="str">
        <f>IF(OR(E4501="",E4501="!!!",F4501="NEW"),"",INDEX(J$1:J4500,SUMPRODUCT(MAX(ROW(E$1:E4500)*(E4501=E$1:E4500)))))</f>
        <v> </v>
      </c>
      <c r="L4501" s="26"/>
    </row>
    <row r="4502" spans="1:12">
      <c r="A4502" s="20" t="s">
        <v>2864</v>
      </c>
      <c r="B4502" s="27" t="s">
        <v>1290</v>
      </c>
      <c r="E4502" s="21">
        <f>IF(D4502="?OLD","!!!","")</f>
        <v/>
      </c>
      <c r="F4502" s="22" t="str">
        <f>IF(OR(E4502="",E4502="!!!"),"",IF(NOT(ISNA(VLOOKUP(E4502,E$1:E4501,1,FALSE()))),"OLD",IF(AND(E4502&lt;&gt;"",E4502&lt;&gt;"!!!"),"NEW","")))</f>
        <v> </v>
      </c>
      <c r="G4502" s="23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4" t="str">
        <f>IF(J4502&lt;&gt;1,"",IF(I4502="SBJ","CB","?"))</f>
        <v> </v>
      </c>
      <c r="I4502" s="25" t="str">
        <f>IF(OR(E4502="",E4502="!!!",F4502="NEW"),"",INDEX(B4501:B$2,-1+SUMPRODUCT(MAX(ROW(E4501:E$2)*(E4502=E4501:E$2)))))</f>
        <v> </v>
      </c>
      <c r="J4502" s="25" t="str">
        <f>IF(OR(E4502="",E4502="!!!",F4502="NEW"),"",COUNTBLANK(OFFSET(A$1,,,SUMPRODUCT(MAX(ROW(E$2:E4502)*(E4502=E$2:E4502)))))-COUNTBLANK(OFFSET(A$1,,,SUMPRODUCT(MAX(ROW(E$1:E4501)*(E2=E$1:E4501))))))</f>
        <v> </v>
      </c>
      <c r="K4502" s="25" t="str">
        <f>IF(OR(E4502="",E4502="!!!",F4502="NEW"),"",INDEX(J$1:J4501,SUMPRODUCT(MAX(ROW(E$1:E4501)*(E4502=E$1:E4501)))))</f>
        <v> </v>
      </c>
      <c r="L4502" s="26"/>
    </row>
    <row r="4503" spans="1:12">
      <c r="A4503" s="20" t="s">
        <v>1141</v>
      </c>
      <c r="E4503" s="21">
        <f>IF(D4503="?OLD","!!!","")</f>
        <v/>
      </c>
      <c r="F4503" s="22" t="str">
        <f>IF(OR(E4503="",E4503="!!!"),"",IF(NOT(ISNA(VLOOKUP(E4503,E$1:E4502,1,FALSE()))),"OLD",IF(AND(E4503&lt;&gt;"",E4503&lt;&gt;"!!!"),"NEW","")))</f>
        <v> </v>
      </c>
      <c r="G4503" s="23" t="str">
        <f>IF(OR(E4503="",E4503="!!!"),"",IF(OR(J4503=0,AND(J4503=1,K4503=1),AND(J4503=1,I4503="SBJ"),AND(J4503=1,I4503=0)),"?IN_FOCUS",IF(J4503&lt;=2,"?ACTIVATED",IF(J4503&lt;&gt;"","?FAMILIAR",IF(F4503="NEW",IF(ISNA(VLOOKUP(E4503,#REF!,1,FALSE())),"?TYPE_IDENTIFIABLE","?REFERENTIAL"),"_")))))</f>
        <v> </v>
      </c>
      <c r="H4503" s="24" t="str">
        <f>IF(J4503&lt;&gt;1,"",IF(I4503="SBJ","CB","?"))</f>
        <v> </v>
      </c>
      <c r="I4503" s="25" t="str">
        <f>IF(OR(E4503="",E4503="!!!",F4503="NEW"),"",INDEX(B4502:B$2,-1+SUMPRODUCT(MAX(ROW(E4502:E$2)*(E4503=E4502:E$2)))))</f>
        <v> </v>
      </c>
      <c r="J4503" s="25" t="str">
        <f>IF(OR(E4503="",E4503="!!!",F4503="NEW"),"",COUNTBLANK(OFFSET(A$1,,,SUMPRODUCT(MAX(ROW(E$2:E4503)*(E4503=E$2:E4503)))))-COUNTBLANK(OFFSET(A$1,,,SUMPRODUCT(MAX(ROW(E$1:E4502)*(E2=E$1:E4502))))))</f>
        <v> </v>
      </c>
      <c r="K4503" s="25" t="str">
        <f>IF(OR(E4503="",E4503="!!!",F4503="NEW"),"",INDEX(J$1:J4502,SUMPRODUCT(MAX(ROW(E$1:E4502)*(E4503=E$1:E4502)))))</f>
        <v> </v>
      </c>
      <c r="L4503" s="26"/>
    </row>
    <row r="4504" spans="1:12">
      <c r="A4504" s="20" t="s">
        <v>2865</v>
      </c>
      <c r="E4504" s="21">
        <f>IF(D4504="?OLD","!!!","")</f>
        <v/>
      </c>
      <c r="F4504" s="22" t="str">
        <f>IF(OR(E4504="",E4504="!!!"),"",IF(NOT(ISNA(VLOOKUP(E4504,E$1:E4503,1,FALSE()))),"OLD",IF(AND(E4504&lt;&gt;"",E4504&lt;&gt;"!!!"),"NEW","")))</f>
        <v> </v>
      </c>
      <c r="G4504" s="23" t="str">
        <f>IF(OR(E4504="",E4504="!!!"),"",IF(OR(J4504=0,AND(J4504=1,K4504=1),AND(J4504=1,I4504="SBJ"),AND(J4504=1,I4504=0)),"?IN_FOCUS",IF(J4504&lt;=2,"?ACTIVATED",IF(J4504&lt;&gt;"","?FAMILIAR",IF(F4504="NEW",IF(ISNA(VLOOKUP(E4504,#REF!,1,FALSE())),"?TYPE_IDENTIFIABLE","?REFERENTIAL"),"_")))))</f>
        <v> </v>
      </c>
      <c r="H4504" s="24" t="str">
        <f>IF(J4504&lt;&gt;1,"",IF(I4504="SBJ","CB","?"))</f>
        <v> </v>
      </c>
      <c r="I4504" s="25" t="str">
        <f>IF(OR(E4504="",E4504="!!!",F4504="NEW"),"",INDEX(B4503:B$2,-1+SUMPRODUCT(MAX(ROW(E4503:E$2)*(E4504=E4503:E$2)))))</f>
        <v> </v>
      </c>
      <c r="J4504" s="25" t="str">
        <f>IF(OR(E4504="",E4504="!!!",F4504="NEW"),"",COUNTBLANK(OFFSET(A$1,,,SUMPRODUCT(MAX(ROW(E$2:E4504)*(E4504=E$2:E4504)))))-COUNTBLANK(OFFSET(A$1,,,SUMPRODUCT(MAX(ROW(E$1:E4503)*(E2=E$1:E4503))))))</f>
        <v> </v>
      </c>
      <c r="K4504" s="25" t="str">
        <f>IF(OR(E4504="",E4504="!!!",F4504="NEW"),"",INDEX(J$1:J4503,SUMPRODUCT(MAX(ROW(E$1:E4503)*(E4504=E$1:E4503)))))</f>
        <v> </v>
      </c>
      <c r="L4504" s="26"/>
    </row>
    <row r="4505" spans="1:12">
      <c r="A4505" s="20" t="s">
        <v>2866</v>
      </c>
      <c r="B4505" s="27" t="s">
        <v>2366</v>
      </c>
      <c r="E4505" s="21">
        <f>IF(D4505="?OLD","!!!","")</f>
        <v/>
      </c>
      <c r="F4505" s="22" t="str">
        <f>IF(OR(E4505="",E4505="!!!"),"",IF(NOT(ISNA(VLOOKUP(E4505,E$1:E4504,1,FALSE()))),"OLD",IF(AND(E4505&lt;&gt;"",E4505&lt;&gt;"!!!"),"NEW","")))</f>
        <v> </v>
      </c>
      <c r="G4505" s="23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4" t="str">
        <f>IF(J4505&lt;&gt;1,"",IF(I4505="SBJ","CB","?"))</f>
        <v> </v>
      </c>
      <c r="I4505" s="25" t="str">
        <f>IF(OR(E4505="",E4505="!!!",F4505="NEW"),"",INDEX(B4504:B$2,-1+SUMPRODUCT(MAX(ROW(E4504:E$2)*(E4505=E4504:E$2)))))</f>
        <v> </v>
      </c>
      <c r="J4505" s="25" t="str">
        <f>IF(OR(E4505="",E4505="!!!",F4505="NEW"),"",COUNTBLANK(OFFSET(A$1,,,SUMPRODUCT(MAX(ROW(E$2:E4505)*(E4505=E$2:E4505)))))-COUNTBLANK(OFFSET(A$1,,,SUMPRODUCT(MAX(ROW(E$1:E4504)*(E2=E$1:E4504))))))</f>
        <v> </v>
      </c>
      <c r="K4505" s="25" t="str">
        <f>IF(OR(E4505="",E4505="!!!",F4505="NEW"),"",INDEX(J$1:J4504,SUMPRODUCT(MAX(ROW(E$1:E4504)*(E4505=E$1:E4504)))))</f>
        <v> </v>
      </c>
      <c r="L4505" s="26"/>
    </row>
    <row r="4506" spans="1:12">
      <c r="A4506" s="20" t="s">
        <v>1032</v>
      </c>
      <c r="E4506" s="21">
        <f>IF(D4506="?OLD","!!!","")</f>
        <v/>
      </c>
      <c r="F4506" s="22" t="str">
        <f>IF(OR(E4506="",E4506="!!!"),"",IF(NOT(ISNA(VLOOKUP(E4506,E$1:E4505,1,FALSE()))),"OLD",IF(AND(E4506&lt;&gt;"",E4506&lt;&gt;"!!!"),"NEW","")))</f>
        <v> </v>
      </c>
      <c r="G4506" s="23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4" t="str">
        <f>IF(J4506&lt;&gt;1,"",IF(I4506="SBJ","CB","?"))</f>
        <v> </v>
      </c>
      <c r="I4506" s="25" t="str">
        <f>IF(OR(E4506="",E4506="!!!",F4506="NEW"),"",INDEX(B4505:B$2,-1+SUMPRODUCT(MAX(ROW(E4505:E$2)*(E4506=E4505:E$2)))))</f>
        <v> </v>
      </c>
      <c r="J4506" s="25" t="str">
        <f>IF(OR(E4506="",E4506="!!!",F4506="NEW"),"",COUNTBLANK(OFFSET(A$1,,,SUMPRODUCT(MAX(ROW(E$2:E4506)*(E4506=E$2:E4506)))))-COUNTBLANK(OFFSET(A$1,,,SUMPRODUCT(MAX(ROW(E$1:E4505)*(E2=E$1:E4505))))))</f>
        <v> </v>
      </c>
      <c r="K4506" s="25" t="str">
        <f>IF(OR(E4506="",E4506="!!!",F4506="NEW"),"",INDEX(J$1:J4505,SUMPRODUCT(MAX(ROW(E$1:E4505)*(E4506=E$1:E4505)))))</f>
        <v> </v>
      </c>
      <c r="L4506" s="26"/>
    </row>
    <row r="4507" spans="1:12">
      <c r="A4507" s="20"/>
    </row>
    <row r="4508" spans="1:12">
      <c r="A4508" s="20" t="s">
        <v>2867</v>
      </c>
    </row>
    <row r="4509" spans="1:12">
      <c r="A4509" s="20" t="s">
        <v>2034</v>
      </c>
      <c r="E4509" s="21">
        <f>IF(D4509="?OLD","!!!","")</f>
        <v/>
      </c>
      <c r="F4509" s="22" t="str">
        <f>IF(OR(E4509="",E4509="!!!"),"",IF(NOT(ISNA(VLOOKUP(E4509,E$1:E4508,1,FALSE()))),"OLD",IF(AND(E4509&lt;&gt;"",E4509&lt;&gt;"!!!"),"NEW","")))</f>
        <v> </v>
      </c>
      <c r="G4509" s="23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4" t="str">
        <f>IF(J4509&lt;&gt;1,"",IF(I4509="SBJ","CB","?"))</f>
        <v> </v>
      </c>
      <c r="I4509" s="25" t="str">
        <f>IF(OR(E4509="",E4509="!!!",F4509="NEW"),"",INDEX(B4508:B$2,-1+SUMPRODUCT(MAX(ROW(E4508:E$2)*(E4509=E4508:E$2)))))</f>
        <v> </v>
      </c>
      <c r="J4509" s="25" t="str">
        <f>IF(OR(E4509="",E4509="!!!",F4509="NEW"),"",COUNTBLANK(OFFSET(A$1,,,SUMPRODUCT(MAX(ROW(E$2:E4509)*(E4509=E$2:E4509)))))-COUNTBLANK(OFFSET(A$1,,,SUMPRODUCT(MAX(ROW(E$1:E4508)*(E2=E$1:E4508))))))</f>
        <v> </v>
      </c>
      <c r="K4509" s="25" t="str">
        <f>IF(OR(E4509="",E4509="!!!",F4509="NEW"),"",INDEX(J$1:J4508,SUMPRODUCT(MAX(ROW(E$1:E4508)*(E4509=E$1:E4508)))))</f>
        <v> </v>
      </c>
      <c r="L4509" s="26"/>
    </row>
    <row r="4510" spans="1:12">
      <c r="A4510" s="20" t="s">
        <v>2031</v>
      </c>
      <c r="E4510" s="21">
        <f>IF(D4510="?OLD","!!!","")</f>
        <v/>
      </c>
      <c r="F4510" s="22" t="str">
        <f>IF(OR(E4510="",E4510="!!!"),"",IF(NOT(ISNA(VLOOKUP(E4510,E$1:E4509,1,FALSE()))),"OLD",IF(AND(E4510&lt;&gt;"",E4510&lt;&gt;"!!!"),"NEW","")))</f>
        <v> </v>
      </c>
      <c r="G4510" s="23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4" t="str">
        <f>IF(J4510&lt;&gt;1,"",IF(I4510="SBJ","CB","?"))</f>
        <v> </v>
      </c>
      <c r="I4510" s="25" t="str">
        <f>IF(OR(E4510="",E4510="!!!",F4510="NEW"),"",INDEX(B4509:B$2,-1+SUMPRODUCT(MAX(ROW(E4509:E$2)*(E4510=E4509:E$2)))))</f>
        <v> </v>
      </c>
      <c r="J4510" s="25" t="str">
        <f>IF(OR(E4510="",E4510="!!!",F4510="NEW"),"",COUNTBLANK(OFFSET(A$1,,,SUMPRODUCT(MAX(ROW(E$2:E4510)*(E4510=E$2:E4510)))))-COUNTBLANK(OFFSET(A$1,,,SUMPRODUCT(MAX(ROW(E$1:E4509)*(E2=E$1:E4509))))))</f>
        <v> </v>
      </c>
      <c r="K4510" s="25" t="str">
        <f>IF(OR(E4510="",E4510="!!!",F4510="NEW"),"",INDEX(J$1:J4509,SUMPRODUCT(MAX(ROW(E$1:E4509)*(E4510=E$1:E4509)))))</f>
        <v> </v>
      </c>
      <c r="L4510" s="26"/>
    </row>
    <row r="4511" spans="1:12">
      <c r="A4511" s="20" t="s">
        <v>2841</v>
      </c>
      <c r="B4511" s="27" t="s">
        <v>1136</v>
      </c>
      <c r="C4511" s="27" t="s">
        <v>1088</v>
      </c>
      <c r="D4511" s="27" t="s">
        <v>1026</v>
      </c>
      <c r="E4511" s="21">
        <f>IF(D4511="?OLD","!!!","")</f>
        <v/>
      </c>
      <c r="F4511" s="22" t="str">
        <f>IF(OR(E4511="",E4511="!!!"),"",IF(NOT(ISNA(VLOOKUP(E4511,E$1:E4510,1,FALSE()))),"OLD",IF(AND(E4511&lt;&gt;"",E4511&lt;&gt;"!!!"),"NEW","")))</f>
        <v> </v>
      </c>
      <c r="G4511" s="23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4" t="str">
        <f>IF(J4511&lt;&gt;1,"",IF(I4511="SBJ","CB","?"))</f>
        <v> </v>
      </c>
      <c r="I4511" s="25" t="str">
        <f>IF(OR(E4511="",E4511="!!!",F4511="NEW"),"",INDEX(B4510:B$2,-1+SUMPRODUCT(MAX(ROW(E4510:E$2)*(E4511=E4510:E$2)))))</f>
        <v> </v>
      </c>
      <c r="J4511" s="25" t="str">
        <f>IF(OR(E4511="",E4511="!!!",F4511="NEW"),"",COUNTBLANK(OFFSET(A$1,,,SUMPRODUCT(MAX(ROW(E$2:E4511)*(E4511=E$2:E4511)))))-COUNTBLANK(OFFSET(A$1,,,SUMPRODUCT(MAX(ROW(E$1:E4510)*(E2=E$1:E4510))))))</f>
        <v> </v>
      </c>
      <c r="K4511" s="25" t="str">
        <f>IF(OR(E4511="",E4511="!!!",F4511="NEW"),"",INDEX(J$1:J4510,SUMPRODUCT(MAX(ROW(E$1:E4510)*(E4511=E$1:E4510)))))</f>
        <v> </v>
      </c>
      <c r="L4511" s="26"/>
    </row>
    <row r="4512" spans="1:12">
      <c r="A4512" s="20" t="s">
        <v>2868</v>
      </c>
      <c r="B4512" s="27" t="s">
        <v>1150</v>
      </c>
      <c r="E4512" s="21">
        <f>IF(D4512="?OLD","!!!","")</f>
        <v/>
      </c>
      <c r="F4512" s="22" t="str">
        <f>IF(OR(E4512="",E4512="!!!"),"",IF(NOT(ISNA(VLOOKUP(E4512,E$1:E4511,1,FALSE()))),"OLD",IF(AND(E4512&lt;&gt;"",E4512&lt;&gt;"!!!"),"NEW","")))</f>
        <v> </v>
      </c>
      <c r="G4512" s="23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4" t="str">
        <f>IF(J4512&lt;&gt;1,"",IF(I4512="SBJ","CB","?"))</f>
        <v> </v>
      </c>
      <c r="I4512" s="25" t="str">
        <f>IF(OR(E4512="",E4512="!!!",F4512="NEW"),"",INDEX(B4511:B$2,-1+SUMPRODUCT(MAX(ROW(E4511:E$2)*(E4512=E4511:E$2)))))</f>
        <v> </v>
      </c>
      <c r="J4512" s="25" t="str">
        <f>IF(OR(E4512="",E4512="!!!",F4512="NEW"),"",COUNTBLANK(OFFSET(A$1,,,SUMPRODUCT(MAX(ROW(E$2:E4512)*(E4512=E$2:E4512)))))-COUNTBLANK(OFFSET(A$1,,,SUMPRODUCT(MAX(ROW(E$1:E4511)*(E2=E$1:E4511))))))</f>
        <v> </v>
      </c>
      <c r="K4512" s="25" t="str">
        <f>IF(OR(E4512="",E4512="!!!",F4512="NEW"),"",INDEX(J$1:J4511,SUMPRODUCT(MAX(ROW(E$1:E4511)*(E4512=E$1:E4511)))))</f>
        <v> </v>
      </c>
      <c r="L4512" s="26"/>
    </row>
    <row r="4513" spans="1:12">
      <c r="A4513" s="20" t="s">
        <v>2869</v>
      </c>
      <c r="E4513" s="21">
        <f>IF(D4513="?OLD","!!!","")</f>
        <v/>
      </c>
      <c r="F4513" s="22" t="str">
        <f>IF(OR(E4513="",E4513="!!!"),"",IF(NOT(ISNA(VLOOKUP(E4513,E$1:E4512,1,FALSE()))),"OLD",IF(AND(E4513&lt;&gt;"",E4513&lt;&gt;"!!!"),"NEW","")))</f>
        <v> </v>
      </c>
      <c r="G4513" s="23" t="str">
        <f>IF(OR(E4513="",E4513="!!!"),"",IF(OR(J4513=0,AND(J4513=1,K4513=1),AND(J4513=1,I4513="SBJ"),AND(J4513=1,I4513=0)),"?IN_FOCUS",IF(J4513&lt;=2,"?ACTIVATED",IF(J4513&lt;&gt;"","?FAMILIAR",IF(F4513="NEW",IF(ISNA(VLOOKUP(E4513,#REF!,1,FALSE())),"?TYPE_IDENTIFIABLE","?REFERENTIAL"),"_")))))</f>
        <v> </v>
      </c>
      <c r="H4513" s="24" t="str">
        <f>IF(J4513&lt;&gt;1,"",IF(I4513="SBJ","CB","?"))</f>
        <v> </v>
      </c>
      <c r="I4513" s="25" t="str">
        <f>IF(OR(E4513="",E4513="!!!",F4513="NEW"),"",INDEX(B4512:B$2,-1+SUMPRODUCT(MAX(ROW(E4512:E$2)*(E4513=E4512:E$2)))))</f>
        <v> </v>
      </c>
      <c r="J4513" s="25" t="str">
        <f>IF(OR(E4513="",E4513="!!!",F4513="NEW"),"",COUNTBLANK(OFFSET(A$1,,,SUMPRODUCT(MAX(ROW(E$2:E4513)*(E4513=E$2:E4513)))))-COUNTBLANK(OFFSET(A$1,,,SUMPRODUCT(MAX(ROW(E$1:E4512)*(E2=E$1:E4512))))))</f>
        <v> </v>
      </c>
      <c r="K4513" s="25" t="str">
        <f>IF(OR(E4513="",E4513="!!!",F4513="NEW"),"",INDEX(J$1:J4512,SUMPRODUCT(MAX(ROW(E$1:E4512)*(E4513=E$1:E4512)))))</f>
        <v> </v>
      </c>
      <c r="L4513" s="26"/>
    </row>
    <row r="4514" spans="1:12">
      <c r="A4514" s="20" t="s">
        <v>1305</v>
      </c>
      <c r="E4514" s="21">
        <f>IF(D4514="?OLD","!!!","")</f>
        <v/>
      </c>
      <c r="F4514" s="22" t="str">
        <f>IF(OR(E4514="",E4514="!!!"),"",IF(NOT(ISNA(VLOOKUP(E4514,E$1:E4513,1,FALSE()))),"OLD",IF(AND(E4514&lt;&gt;"",E4514&lt;&gt;"!!!"),"NEW","")))</f>
        <v> </v>
      </c>
      <c r="G4514" s="23" t="str">
        <f>IF(OR(E4514="",E4514="!!!"),"",IF(OR(J4514=0,AND(J4514=1,K4514=1),AND(J4514=1,I4514="SBJ"),AND(J4514=1,I4514=0)),"?IN_FOCUS",IF(J4514&lt;=2,"?ACTIVATED",IF(J4514&lt;&gt;"","?FAMILIAR",IF(F4514="NEW",IF(ISNA(VLOOKUP(E4514,#REF!,1,FALSE())),"?TYPE_IDENTIFIABLE","?REFERENTIAL"),"_")))))</f>
        <v> </v>
      </c>
      <c r="H4514" s="24" t="str">
        <f>IF(J4514&lt;&gt;1,"",IF(I4514="SBJ","CB","?"))</f>
        <v> </v>
      </c>
      <c r="I4514" s="25" t="str">
        <f>IF(OR(E4514="",E4514="!!!",F4514="NEW"),"",INDEX(B4513:B$2,-1+SUMPRODUCT(MAX(ROW(E4513:E$2)*(E4514=E4513:E$2)))))</f>
        <v> </v>
      </c>
      <c r="J4514" s="25" t="str">
        <f>IF(OR(E4514="",E4514="!!!",F4514="NEW"),"",COUNTBLANK(OFFSET(A$1,,,SUMPRODUCT(MAX(ROW(E$2:E4514)*(E4514=E$2:E4514)))))-COUNTBLANK(OFFSET(A$1,,,SUMPRODUCT(MAX(ROW(E$1:E4513)*(E2=E$1:E4513))))))</f>
        <v> </v>
      </c>
      <c r="K4514" s="25" t="str">
        <f>IF(OR(E4514="",E4514="!!!",F4514="NEW"),"",INDEX(J$1:J4513,SUMPRODUCT(MAX(ROW(E$1:E4513)*(E4514=E$1:E4513)))))</f>
        <v> </v>
      </c>
      <c r="L4514" s="26"/>
    </row>
    <row r="4515" spans="1:12">
      <c r="A4515" s="20" t="s">
        <v>2870</v>
      </c>
      <c r="B4515" s="27" t="s">
        <v>1024</v>
      </c>
      <c r="C4515" s="27" t="s">
        <v>1025</v>
      </c>
      <c r="D4515" s="27" t="s">
        <v>1026</v>
      </c>
      <c r="E4515" s="21">
        <f>IF(D4515="?OLD","!!!","")</f>
        <v/>
      </c>
      <c r="F4515" s="22" t="str">
        <f>IF(OR(E4515="",E4515="!!!"),"",IF(NOT(ISNA(VLOOKUP(E4515,E$1:E4514,1,FALSE()))),"OLD",IF(AND(E4515&lt;&gt;"",E4515&lt;&gt;"!!!"),"NEW","")))</f>
        <v> </v>
      </c>
      <c r="G4515" s="23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4" t="str">
        <f>IF(J4515&lt;&gt;1,"",IF(I4515="SBJ","CB","?"))</f>
        <v> </v>
      </c>
      <c r="I4515" s="25" t="str">
        <f>IF(OR(E4515="",E4515="!!!",F4515="NEW"),"",INDEX(B4514:B$2,-1+SUMPRODUCT(MAX(ROW(E4514:E$2)*(E4515=E4514:E$2)))))</f>
        <v> </v>
      </c>
      <c r="J4515" s="25" t="str">
        <f>IF(OR(E4515="",E4515="!!!",F4515="NEW"),"",COUNTBLANK(OFFSET(A$1,,,SUMPRODUCT(MAX(ROW(E$2:E4515)*(E4515=E$2:E4515)))))-COUNTBLANK(OFFSET(A$1,,,SUMPRODUCT(MAX(ROW(E$1:E4514)*(E2=E$1:E4514))))))</f>
        <v> </v>
      </c>
      <c r="K4515" s="25" t="str">
        <f>IF(OR(E4515="",E4515="!!!",F4515="NEW"),"",INDEX(J$1:J4514,SUMPRODUCT(MAX(ROW(E$1:E4514)*(E4515=E$1:E4514)))))</f>
        <v> </v>
      </c>
      <c r="L4515" s="26"/>
    </row>
    <row r="4516" spans="1:12">
      <c r="A4516" s="20" t="s">
        <v>309</v>
      </c>
      <c r="E4516" s="21">
        <f>IF(D4516="?OLD","!!!","")</f>
        <v/>
      </c>
      <c r="F4516" s="22" t="str">
        <f>IF(OR(E4516="",E4516="!!!"),"",IF(NOT(ISNA(VLOOKUP(E4516,E$1:E4515,1,FALSE()))),"OLD",IF(AND(E4516&lt;&gt;"",E4516&lt;&gt;"!!!"),"NEW","")))</f>
        <v> </v>
      </c>
      <c r="G4516" s="23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4" t="str">
        <f>IF(J4516&lt;&gt;1,"",IF(I4516="SBJ","CB","?"))</f>
        <v> </v>
      </c>
      <c r="I4516" s="25" t="str">
        <f>IF(OR(E4516="",E4516="!!!",F4516="NEW"),"",INDEX(B4515:B$2,-1+SUMPRODUCT(MAX(ROW(E4515:E$2)*(E4516=E4515:E$2)))))</f>
        <v> </v>
      </c>
      <c r="J4516" s="25" t="str">
        <f>IF(OR(E4516="",E4516="!!!",F4516="NEW"),"",COUNTBLANK(OFFSET(A$1,,,SUMPRODUCT(MAX(ROW(E$2:E4516)*(E4516=E$2:E4516)))))-COUNTBLANK(OFFSET(A$1,,,SUMPRODUCT(MAX(ROW(E$1:E4515)*(E2=E$1:E4515))))))</f>
        <v> </v>
      </c>
      <c r="K4516" s="25" t="str">
        <f>IF(OR(E4516="",E4516="!!!",F4516="NEW"),"",INDEX(J$1:J4515,SUMPRODUCT(MAX(ROW(E$1:E4515)*(E4516=E$1:E4515)))))</f>
        <v> </v>
      </c>
      <c r="L4516" s="26"/>
    </row>
    <row r="4517" spans="1:12">
      <c r="A4517" s="20" t="s">
        <v>1041</v>
      </c>
      <c r="E4517" s="21">
        <f>IF(D4517="?OLD","!!!","")</f>
        <v/>
      </c>
      <c r="F4517" s="22" t="str">
        <f>IF(OR(E4517="",E4517="!!!"),"",IF(NOT(ISNA(VLOOKUP(E4517,E$1:E4516,1,FALSE()))),"OLD",IF(AND(E4517&lt;&gt;"",E4517&lt;&gt;"!!!"),"NEW","")))</f>
        <v> </v>
      </c>
      <c r="G4517" s="23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4" t="str">
        <f>IF(J4517&lt;&gt;1,"",IF(I4517="SBJ","CB","?"))</f>
        <v> </v>
      </c>
      <c r="I4517" s="25" t="str">
        <f>IF(OR(E4517="",E4517="!!!",F4517="NEW"),"",INDEX(B4516:B$2,-1+SUMPRODUCT(MAX(ROW(E4516:E$2)*(E4517=E4516:E$2)))))</f>
        <v> </v>
      </c>
      <c r="J4517" s="25" t="str">
        <f>IF(OR(E4517="",E4517="!!!",F4517="NEW"),"",COUNTBLANK(OFFSET(A$1,,,SUMPRODUCT(MAX(ROW(E$2:E4517)*(E4517=E$2:E4517)))))-COUNTBLANK(OFFSET(A$1,,,SUMPRODUCT(MAX(ROW(E$1:E4516)*(E2=E$1:E4516))))))</f>
        <v> </v>
      </c>
      <c r="K4517" s="25" t="str">
        <f>IF(OR(E4517="",E4517="!!!",F4517="NEW"),"",INDEX(J$1:J4516,SUMPRODUCT(MAX(ROW(E$1:E4516)*(E4517=E$1:E4516)))))</f>
        <v> </v>
      </c>
      <c r="L4517" s="26"/>
    </row>
    <row r="4518" spans="1:12">
      <c r="A4518" s="20" t="s">
        <v>2871</v>
      </c>
      <c r="E4518" s="21">
        <f>IF(D4518="?OLD","!!!","")</f>
        <v/>
      </c>
      <c r="F4518" s="22" t="str">
        <f>IF(OR(E4518="",E4518="!!!"),"",IF(NOT(ISNA(VLOOKUP(E4518,E$1:E4517,1,FALSE()))),"OLD",IF(AND(E4518&lt;&gt;"",E4518&lt;&gt;"!!!"),"NEW","")))</f>
        <v> </v>
      </c>
      <c r="G4518" s="23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4" t="str">
        <f>IF(J4518&lt;&gt;1,"",IF(I4518="SBJ","CB","?"))</f>
        <v> </v>
      </c>
      <c r="I4518" s="25" t="str">
        <f>IF(OR(E4518="",E4518="!!!",F4518="NEW"),"",INDEX(B4517:B$2,-1+SUMPRODUCT(MAX(ROW(E4517:E$2)*(E4518=E4517:E$2)))))</f>
        <v> </v>
      </c>
      <c r="J4518" s="25" t="str">
        <f>IF(OR(E4518="",E4518="!!!",F4518="NEW"),"",COUNTBLANK(OFFSET(A$1,,,SUMPRODUCT(MAX(ROW(E$2:E4518)*(E4518=E$2:E4518)))))-COUNTBLANK(OFFSET(A$1,,,SUMPRODUCT(MAX(ROW(E$1:E4517)*(E2=E$1:E4517))))))</f>
        <v> </v>
      </c>
      <c r="K4518" s="25" t="str">
        <f>IF(OR(E4518="",E4518="!!!",F4518="NEW"),"",INDEX(J$1:J4517,SUMPRODUCT(MAX(ROW(E$1:E4517)*(E4518=E$1:E4517)))))</f>
        <v> </v>
      </c>
      <c r="L4518" s="26"/>
    </row>
    <row r="4519" spans="1:12">
      <c r="A4519" s="20" t="s">
        <v>1041</v>
      </c>
      <c r="E4519" s="21">
        <f>IF(D4519="?OLD","!!!","")</f>
        <v/>
      </c>
      <c r="F4519" s="22" t="str">
        <f>IF(OR(E4519="",E4519="!!!"),"",IF(NOT(ISNA(VLOOKUP(E4519,E$1:E4518,1,FALSE()))),"OLD",IF(AND(E4519&lt;&gt;"",E4519&lt;&gt;"!!!"),"NEW","")))</f>
        <v> </v>
      </c>
      <c r="G4519" s="23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4" t="str">
        <f>IF(J4519&lt;&gt;1,"",IF(I4519="SBJ","CB","?"))</f>
        <v> </v>
      </c>
      <c r="I4519" s="25" t="str">
        <f>IF(OR(E4519="",E4519="!!!",F4519="NEW"),"",INDEX(B4518:B$2,-1+SUMPRODUCT(MAX(ROW(E4518:E$2)*(E4519=E4518:E$2)))))</f>
        <v> </v>
      </c>
      <c r="J4519" s="25" t="str">
        <f>IF(OR(E4519="",E4519="!!!",F4519="NEW"),"",COUNTBLANK(OFFSET(A$1,,,SUMPRODUCT(MAX(ROW(E$2:E4519)*(E4519=E$2:E4519)))))-COUNTBLANK(OFFSET(A$1,,,SUMPRODUCT(MAX(ROW(E$1:E4518)*(E2=E$1:E4518))))))</f>
        <v> </v>
      </c>
      <c r="K4519" s="25" t="str">
        <f>IF(OR(E4519="",E4519="!!!",F4519="NEW"),"",INDEX(J$1:J4518,SUMPRODUCT(MAX(ROW(E$1:E4518)*(E4519=E$1:E4518)))))</f>
        <v> </v>
      </c>
      <c r="L4519" s="26"/>
    </row>
    <row r="4520" spans="1:12">
      <c r="A4520" s="20" t="s">
        <v>1439</v>
      </c>
      <c r="E4520" s="21">
        <f>IF(D4520="?OLD","!!!","")</f>
        <v/>
      </c>
      <c r="F4520" s="22" t="str">
        <f>IF(OR(E4520="",E4520="!!!"),"",IF(NOT(ISNA(VLOOKUP(E4520,E$1:E4519,1,FALSE()))),"OLD",IF(AND(E4520&lt;&gt;"",E4520&lt;&gt;"!!!"),"NEW","")))</f>
        <v> </v>
      </c>
      <c r="G4520" s="23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4" t="str">
        <f>IF(J4520&lt;&gt;1,"",IF(I4520="SBJ","CB","?"))</f>
        <v> </v>
      </c>
      <c r="I4520" s="25" t="str">
        <f>IF(OR(E4520="",E4520="!!!",F4520="NEW"),"",INDEX(B4519:B$2,-1+SUMPRODUCT(MAX(ROW(E4519:E$2)*(E4520=E4519:E$2)))))</f>
        <v> </v>
      </c>
      <c r="J4520" s="25" t="str">
        <f>IF(OR(E4520="",E4520="!!!",F4520="NEW"),"",COUNTBLANK(OFFSET(A$1,,,SUMPRODUCT(MAX(ROW(E$2:E4520)*(E4520=E$2:E4520)))))-COUNTBLANK(OFFSET(A$1,,,SUMPRODUCT(MAX(ROW(E$1:E4519)*(E2=E$1:E4519))))))</f>
        <v> </v>
      </c>
      <c r="K4520" s="25" t="str">
        <f>IF(OR(E4520="",E4520="!!!",F4520="NEW"),"",INDEX(J$1:J4519,SUMPRODUCT(MAX(ROW(E$1:E4519)*(E4520=E$1:E4519)))))</f>
        <v> </v>
      </c>
      <c r="L4520" s="26"/>
    </row>
    <row r="4521" spans="1:12">
      <c r="A4521" s="20" t="s">
        <v>930</v>
      </c>
      <c r="B4521" s="27" t="s">
        <v>1080</v>
      </c>
      <c r="C4521" s="27" t="s">
        <v>1049</v>
      </c>
      <c r="E4521" s="21">
        <f>IF(D4521="?OLD","!!!","")</f>
        <v/>
      </c>
      <c r="F4521" s="22" t="str">
        <f>IF(OR(E4521="",E4521="!!!"),"",IF(NOT(ISNA(VLOOKUP(E4521,E$1:E4520,1,FALSE()))),"OLD",IF(AND(E4521&lt;&gt;"",E4521&lt;&gt;"!!!"),"NEW","")))</f>
        <v> </v>
      </c>
      <c r="G4521" s="23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4" t="str">
        <f>IF(J4521&lt;&gt;1,"",IF(I4521="SBJ","CB","?"))</f>
        <v> </v>
      </c>
      <c r="I4521" s="25" t="str">
        <f>IF(OR(E4521="",E4521="!!!",F4521="NEW"),"",INDEX(B4520:B$2,-1+SUMPRODUCT(MAX(ROW(E4520:E$2)*(E4521=E4520:E$2)))))</f>
        <v> </v>
      </c>
      <c r="J4521" s="25" t="str">
        <f>IF(OR(E4521="",E4521="!!!",F4521="NEW"),"",COUNTBLANK(OFFSET(A$1,,,SUMPRODUCT(MAX(ROW(E$2:E4521)*(E4521=E$2:E4521)))))-COUNTBLANK(OFFSET(A$1,,,SUMPRODUCT(MAX(ROW(E$1:E4520)*(E2=E$1:E4520))))))</f>
        <v> </v>
      </c>
      <c r="K4521" s="25" t="str">
        <f>IF(OR(E4521="",E4521="!!!",F4521="NEW"),"",INDEX(J$1:J4520,SUMPRODUCT(MAX(ROW(E$1:E4520)*(E4521=E$1:E4520)))))</f>
        <v> </v>
      </c>
      <c r="L4521" s="26"/>
    </row>
    <row r="4522" spans="1:12">
      <c r="A4522" s="20" t="s">
        <v>1419</v>
      </c>
      <c r="E4522" s="21">
        <f>IF(D4522="?OLD","!!!","")</f>
        <v/>
      </c>
      <c r="F4522" s="22" t="str">
        <f>IF(OR(E4522="",E4522="!!!"),"",IF(NOT(ISNA(VLOOKUP(E4522,E$1:E4521,1,FALSE()))),"OLD",IF(AND(E4522&lt;&gt;"",E4522&lt;&gt;"!!!"),"NEW","")))</f>
        <v> </v>
      </c>
      <c r="G4522" s="23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4" t="str">
        <f>IF(J4522&lt;&gt;1,"",IF(I4522="SBJ","CB","?"))</f>
        <v> </v>
      </c>
      <c r="I4522" s="25" t="str">
        <f>IF(OR(E4522="",E4522="!!!",F4522="NEW"),"",INDEX(B4521:B$2,-1+SUMPRODUCT(MAX(ROW(E4521:E$2)*(E4522=E4521:E$2)))))</f>
        <v> </v>
      </c>
      <c r="J4522" s="25" t="str">
        <f>IF(OR(E4522="",E4522="!!!",F4522="NEW"),"",COUNTBLANK(OFFSET(A$1,,,SUMPRODUCT(MAX(ROW(E$2:E4522)*(E4522=E$2:E4522)))))-COUNTBLANK(OFFSET(A$1,,,SUMPRODUCT(MAX(ROW(E$1:E4521)*(E2=E$1:E4521))))))</f>
        <v> </v>
      </c>
      <c r="K4522" s="25" t="str">
        <f>IF(OR(E4522="",E4522="!!!",F4522="NEW"),"",INDEX(J$1:J4521,SUMPRODUCT(MAX(ROW(E$1:E4521)*(E4522=E$1:E4521)))))</f>
        <v> </v>
      </c>
      <c r="L4522" s="26"/>
    </row>
    <row r="4523" spans="1:12">
      <c r="A4523" s="20" t="s">
        <v>2872</v>
      </c>
      <c r="E4523" s="21">
        <f>IF(D4523="?OLD","!!!","")</f>
        <v/>
      </c>
      <c r="F4523" s="22" t="str">
        <f>IF(OR(E4523="",E4523="!!!"),"",IF(NOT(ISNA(VLOOKUP(E4523,E$1:E4522,1,FALSE()))),"OLD",IF(AND(E4523&lt;&gt;"",E4523&lt;&gt;"!!!"),"NEW","")))</f>
        <v> </v>
      </c>
      <c r="G4523" s="23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4" t="str">
        <f>IF(J4523&lt;&gt;1,"",IF(I4523="SBJ","CB","?"))</f>
        <v> </v>
      </c>
      <c r="I4523" s="25" t="str">
        <f>IF(OR(E4523="",E4523="!!!",F4523="NEW"),"",INDEX(B4522:B$2,-1+SUMPRODUCT(MAX(ROW(E4522:E$2)*(E4523=E4522:E$2)))))</f>
        <v> </v>
      </c>
      <c r="J4523" s="25" t="str">
        <f>IF(OR(E4523="",E4523="!!!",F4523="NEW"),"",COUNTBLANK(OFFSET(A$1,,,SUMPRODUCT(MAX(ROW(E$2:E4523)*(E4523=E$2:E4523)))))-COUNTBLANK(OFFSET(A$1,,,SUMPRODUCT(MAX(ROW(E$1:E4522)*(E2=E$1:E4522))))))</f>
        <v> </v>
      </c>
      <c r="K4523" s="25" t="str">
        <f>IF(OR(E4523="",E4523="!!!",F4523="NEW"),"",INDEX(J$1:J4522,SUMPRODUCT(MAX(ROW(E$1:E4522)*(E4523=E$1:E4522)))))</f>
        <v> </v>
      </c>
      <c r="L4523" s="26"/>
    </row>
    <row r="4524" spans="1:12">
      <c r="A4524" s="20" t="s">
        <v>1041</v>
      </c>
      <c r="E4524" s="21">
        <f>IF(D4524="?OLD","!!!","")</f>
        <v/>
      </c>
      <c r="F4524" s="22" t="str">
        <f>IF(OR(E4524="",E4524="!!!"),"",IF(NOT(ISNA(VLOOKUP(E4524,E$1:E4523,1,FALSE()))),"OLD",IF(AND(E4524&lt;&gt;"",E4524&lt;&gt;"!!!"),"NEW","")))</f>
        <v> </v>
      </c>
      <c r="G4524" s="23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4" t="str">
        <f>IF(J4524&lt;&gt;1,"",IF(I4524="SBJ","CB","?"))</f>
        <v> </v>
      </c>
      <c r="I4524" s="25" t="str">
        <f>IF(OR(E4524="",E4524="!!!",F4524="NEW"),"",INDEX(B4523:B$2,-1+SUMPRODUCT(MAX(ROW(E4523:E$2)*(E4524=E4523:E$2)))))</f>
        <v> </v>
      </c>
      <c r="J4524" s="25" t="str">
        <f>IF(OR(E4524="",E4524="!!!",F4524="NEW"),"",COUNTBLANK(OFFSET(A$1,,,SUMPRODUCT(MAX(ROW(E$2:E4524)*(E4524=E$2:E4524)))))-COUNTBLANK(OFFSET(A$1,,,SUMPRODUCT(MAX(ROW(E$1:E4523)*(E2=E$1:E4523))))))</f>
        <v> </v>
      </c>
      <c r="K4524" s="25" t="str">
        <f>IF(OR(E4524="",E4524="!!!",F4524="NEW"),"",INDEX(J$1:J4523,SUMPRODUCT(MAX(ROW(E$1:E4523)*(E4524=E$1:E4523)))))</f>
        <v> </v>
      </c>
      <c r="L4524" s="26"/>
    </row>
    <row r="4525" spans="1:12">
      <c r="A4525" s="20" t="s">
        <v>201</v>
      </c>
      <c r="E4525" s="21">
        <f>IF(D4525="?OLD","!!!","")</f>
        <v/>
      </c>
      <c r="F4525" s="22" t="str">
        <f>IF(OR(E4525="",E4525="!!!"),"",IF(NOT(ISNA(VLOOKUP(E4525,E$1:E4524,1,FALSE()))),"OLD",IF(AND(E4525&lt;&gt;"",E4525&lt;&gt;"!!!"),"NEW","")))</f>
        <v> </v>
      </c>
      <c r="G4525" s="23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4" t="str">
        <f>IF(J4525&lt;&gt;1,"",IF(I4525="SBJ","CB","?"))</f>
        <v> </v>
      </c>
      <c r="I4525" s="25" t="str">
        <f>IF(OR(E4525="",E4525="!!!",F4525="NEW"),"",INDEX(B4524:B$2,-1+SUMPRODUCT(MAX(ROW(E4524:E$2)*(E4525=E4524:E$2)))))</f>
        <v> </v>
      </c>
      <c r="J4525" s="25" t="str">
        <f>IF(OR(E4525="",E4525="!!!",F4525="NEW"),"",COUNTBLANK(OFFSET(A$1,,,SUMPRODUCT(MAX(ROW(E$2:E4525)*(E4525=E$2:E4525)))))-COUNTBLANK(OFFSET(A$1,,,SUMPRODUCT(MAX(ROW(E$1:E4524)*(E2=E$1:E4524))))))</f>
        <v> </v>
      </c>
      <c r="K4525" s="25" t="str">
        <f>IF(OR(E4525="",E4525="!!!",F4525="NEW"),"",INDEX(J$1:J4524,SUMPRODUCT(MAX(ROW(E$1:E4524)*(E4525=E$1:E4524)))))</f>
        <v> </v>
      </c>
      <c r="L4525" s="26"/>
    </row>
    <row r="4526" spans="1:12">
      <c r="A4526" s="20" t="s">
        <v>510</v>
      </c>
      <c r="B4526" s="27" t="s">
        <v>1082</v>
      </c>
      <c r="C4526" s="27" t="s">
        <v>1025</v>
      </c>
      <c r="D4526" s="27" t="s">
        <v>1026</v>
      </c>
      <c r="E4526" s="21">
        <f>IF(D4526="?OLD","!!!","")</f>
        <v/>
      </c>
      <c r="F4526" s="22" t="str">
        <f>IF(OR(E4526="",E4526="!!!"),"",IF(NOT(ISNA(VLOOKUP(E4526,E$1:E4525,1,FALSE()))),"OLD",IF(AND(E4526&lt;&gt;"",E4526&lt;&gt;"!!!"),"NEW","")))</f>
        <v> </v>
      </c>
      <c r="G4526" s="23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4" t="str">
        <f>IF(J4526&lt;&gt;1,"",IF(I4526="SBJ","CB","?"))</f>
        <v> </v>
      </c>
      <c r="I4526" s="25" t="str">
        <f>IF(OR(E4526="",E4526="!!!",F4526="NEW"),"",INDEX(B4525:B$2,-1+SUMPRODUCT(MAX(ROW(E4525:E$2)*(E4526=E4525:E$2)))))</f>
        <v> </v>
      </c>
      <c r="J4526" s="25" t="str">
        <f>IF(OR(E4526="",E4526="!!!",F4526="NEW"),"",COUNTBLANK(OFFSET(A$1,,,SUMPRODUCT(MAX(ROW(E$2:E4526)*(E4526=E$2:E4526)))))-COUNTBLANK(OFFSET(A$1,,,SUMPRODUCT(MAX(ROW(E$1:E4525)*(E2=E$1:E4525))))))</f>
        <v> </v>
      </c>
      <c r="K4526" s="25" t="str">
        <f>IF(OR(E4526="",E4526="!!!",F4526="NEW"),"",INDEX(J$1:J4525,SUMPRODUCT(MAX(ROW(E$1:E4525)*(E4526=E$1:E4525)))))</f>
        <v> </v>
      </c>
      <c r="L4526" s="26"/>
    </row>
    <row r="4527" spans="1:12">
      <c r="A4527" s="20" t="s">
        <v>2873</v>
      </c>
      <c r="E4527" s="21">
        <f>IF(D4527="?OLD","!!!","")</f>
        <v/>
      </c>
      <c r="F4527" s="22" t="str">
        <f>IF(OR(E4527="",E4527="!!!"),"",IF(NOT(ISNA(VLOOKUP(E4527,E$1:E4526,1,FALSE()))),"OLD",IF(AND(E4527&lt;&gt;"",E4527&lt;&gt;"!!!"),"NEW","")))</f>
        <v> </v>
      </c>
      <c r="G4527" s="23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4" t="str">
        <f>IF(J4527&lt;&gt;1,"",IF(I4527="SBJ","CB","?"))</f>
        <v> </v>
      </c>
      <c r="I4527" s="25" t="str">
        <f>IF(OR(E4527="",E4527="!!!",F4527="NEW"),"",INDEX(B4526:B$2,-1+SUMPRODUCT(MAX(ROW(E4526:E$2)*(E4527=E4526:E$2)))))</f>
        <v> </v>
      </c>
      <c r="J4527" s="25" t="str">
        <f>IF(OR(E4527="",E4527="!!!",F4527="NEW"),"",COUNTBLANK(OFFSET(A$1,,,SUMPRODUCT(MAX(ROW(E$2:E4527)*(E4527=E$2:E4527)))))-COUNTBLANK(OFFSET(A$1,,,SUMPRODUCT(MAX(ROW(E$1:E4526)*(E2=E$1:E4526))))))</f>
        <v> </v>
      </c>
      <c r="K4527" s="25" t="str">
        <f>IF(OR(E4527="",E4527="!!!",F4527="NEW"),"",INDEX(J$1:J4526,SUMPRODUCT(MAX(ROW(E$1:E4526)*(E4527=E$1:E4526)))))</f>
        <v> </v>
      </c>
      <c r="L4527" s="26"/>
    </row>
    <row r="4528" spans="1:12">
      <c r="A4528" s="20" t="s">
        <v>1032</v>
      </c>
      <c r="E4528" s="21">
        <f>IF(D4528="?OLD","!!!","")</f>
        <v/>
      </c>
      <c r="F4528" s="22" t="str">
        <f>IF(OR(E4528="",E4528="!!!"),"",IF(NOT(ISNA(VLOOKUP(E4528,E$1:E4527,1,FALSE()))),"OLD",IF(AND(E4528&lt;&gt;"",E4528&lt;&gt;"!!!"),"NEW","")))</f>
        <v> </v>
      </c>
      <c r="G4528" s="23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4" t="str">
        <f>IF(J4528&lt;&gt;1,"",IF(I4528="SBJ","CB","?"))</f>
        <v> </v>
      </c>
      <c r="I4528" s="25" t="str">
        <f>IF(OR(E4528="",E4528="!!!",F4528="NEW"),"",INDEX(B4527:B$2,-1+SUMPRODUCT(MAX(ROW(E4527:E$2)*(E4528=E4527:E$2)))))</f>
        <v> </v>
      </c>
      <c r="J4528" s="25" t="str">
        <f>IF(OR(E4528="",E4528="!!!",F4528="NEW"),"",COUNTBLANK(OFFSET(A$1,,,SUMPRODUCT(MAX(ROW(E$2:E4528)*(E4528=E$2:E4528)))))-COUNTBLANK(OFFSET(A$1,,,SUMPRODUCT(MAX(ROW(E$1:E4527)*(E2=E$1:E4527))))))</f>
        <v> </v>
      </c>
      <c r="K4528" s="25" t="str">
        <f>IF(OR(E4528="",E4528="!!!",F4528="NEW"),"",INDEX(J$1:J4527,SUMPRODUCT(MAX(ROW(E$1:E4527)*(E4528=E$1:E4527)))))</f>
        <v> </v>
      </c>
      <c r="L4528" s="26"/>
    </row>
    <row r="4529" spans="1:12">
      <c r="A4529" s="20"/>
    </row>
    <row r="4530" spans="1:12">
      <c r="A4530" s="20" t="s">
        <v>2874</v>
      </c>
    </row>
    <row r="4531" spans="1:12">
      <c r="A4531" s="20" t="s">
        <v>1341</v>
      </c>
      <c r="E4531" s="21">
        <f>IF(D4531="?OLD","!!!","")</f>
        <v/>
      </c>
      <c r="F4531" s="22" t="str">
        <f>IF(OR(E4531="",E4531="!!!"),"",IF(NOT(ISNA(VLOOKUP(E4531,E$1:E4530,1,FALSE()))),"OLD",IF(AND(E4531&lt;&gt;"",E4531&lt;&gt;"!!!"),"NEW","")))</f>
        <v> </v>
      </c>
      <c r="G4531" s="23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4" t="str">
        <f>IF(J4531&lt;&gt;1,"",IF(I4531="SBJ","CB","?"))</f>
        <v> </v>
      </c>
      <c r="I4531" s="25" t="str">
        <f>IF(OR(E4531="",E4531="!!!",F4531="NEW"),"",INDEX(B4530:B$2,-1+SUMPRODUCT(MAX(ROW(E4530:E$2)*(E4531=E4530:E$2)))))</f>
        <v> </v>
      </c>
      <c r="J4531" s="25" t="str">
        <f>IF(OR(E4531="",E4531="!!!",F4531="NEW"),"",COUNTBLANK(OFFSET(A$1,,,SUMPRODUCT(MAX(ROW(E$2:E4531)*(E4531=E$2:E4531)))))-COUNTBLANK(OFFSET(A$1,,,SUMPRODUCT(MAX(ROW(E$1:E4530)*(E2=E$1:E4530))))))</f>
        <v> </v>
      </c>
      <c r="K4531" s="25" t="str">
        <f>IF(OR(E4531="",E4531="!!!",F4531="NEW"),"",INDEX(J$1:J4530,SUMPRODUCT(MAX(ROW(E$1:E4530)*(E4531=E$1:E4530)))))</f>
        <v> </v>
      </c>
      <c r="L4531" s="26"/>
    </row>
    <row r="4532" spans="1:12">
      <c r="A4532" s="20" t="s">
        <v>103</v>
      </c>
      <c r="B4532" s="27" t="s">
        <v>1024</v>
      </c>
      <c r="E4532" s="21">
        <f>IF(D4532="?OLD","!!!","")</f>
        <v/>
      </c>
      <c r="F4532" s="22" t="str">
        <f>IF(OR(E4532="",E4532="!!!"),"",IF(NOT(ISNA(VLOOKUP(E4532,E$1:E4531,1,FALSE()))),"OLD",IF(AND(E4532&lt;&gt;"",E4532&lt;&gt;"!!!"),"NEW","")))</f>
        <v> </v>
      </c>
      <c r="G4532" s="23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4" t="str">
        <f>IF(J4532&lt;&gt;1,"",IF(I4532="SBJ","CB","?"))</f>
        <v> </v>
      </c>
      <c r="I4532" s="25" t="str">
        <f>IF(OR(E4532="",E4532="!!!",F4532="NEW"),"",INDEX(B4531:B$2,-1+SUMPRODUCT(MAX(ROW(E4531:E$2)*(E4532=E4531:E$2)))))</f>
        <v> </v>
      </c>
      <c r="J4532" s="25" t="str">
        <f>IF(OR(E4532="",E4532="!!!",F4532="NEW"),"",COUNTBLANK(OFFSET(A$1,,,SUMPRODUCT(MAX(ROW(E$2:E4532)*(E4532=E$2:E4532)))))-COUNTBLANK(OFFSET(A$1,,,SUMPRODUCT(MAX(ROW(E$1:E4531)*(E2=E$1:E4531))))))</f>
        <v> </v>
      </c>
      <c r="K4532" s="25" t="str">
        <f>IF(OR(E4532="",E4532="!!!",F4532="NEW"),"",INDEX(J$1:J4531,SUMPRODUCT(MAX(ROW(E$1:E4531)*(E4532=E$1:E4531)))))</f>
        <v> </v>
      </c>
      <c r="L4532" s="26"/>
    </row>
    <row r="4533" spans="1:12">
      <c r="A4533" s="20" t="s">
        <v>2782</v>
      </c>
      <c r="E4533" s="21">
        <f>IF(D4533="?OLD","!!!","")</f>
        <v/>
      </c>
      <c r="F4533" s="22" t="str">
        <f>IF(OR(E4533="",E4533="!!!"),"",IF(NOT(ISNA(VLOOKUP(E4533,E$1:E4532,1,FALSE()))),"OLD",IF(AND(E4533&lt;&gt;"",E4533&lt;&gt;"!!!"),"NEW","")))</f>
        <v> </v>
      </c>
      <c r="G4533" s="23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4" t="str">
        <f>IF(J4533&lt;&gt;1,"",IF(I4533="SBJ","CB","?"))</f>
        <v> </v>
      </c>
      <c r="I4533" s="25" t="str">
        <f>IF(OR(E4533="",E4533="!!!",F4533="NEW"),"",INDEX(B4532:B$2,-1+SUMPRODUCT(MAX(ROW(E4532:E$2)*(E4533=E4532:E$2)))))</f>
        <v> </v>
      </c>
      <c r="J4533" s="25" t="str">
        <f>IF(OR(E4533="",E4533="!!!",F4533="NEW"),"",COUNTBLANK(OFFSET(A$1,,,SUMPRODUCT(MAX(ROW(E$2:E4533)*(E4533=E$2:E4533)))))-COUNTBLANK(OFFSET(A$1,,,SUMPRODUCT(MAX(ROW(E$1:E4532)*(E2=E$1:E4532))))))</f>
        <v> </v>
      </c>
      <c r="K4533" s="25" t="str">
        <f>IF(OR(E4533="",E4533="!!!",F4533="NEW"),"",INDEX(J$1:J4532,SUMPRODUCT(MAX(ROW(E$1:E4532)*(E4533=E$1:E4532)))))</f>
        <v> </v>
      </c>
      <c r="L4533" s="26"/>
    </row>
    <row r="4534" spans="1:12">
      <c r="A4534" s="20" t="s">
        <v>1099</v>
      </c>
      <c r="E4534" s="21">
        <f>IF(D4534="?OLD","!!!","")</f>
        <v/>
      </c>
      <c r="F4534" s="22" t="str">
        <f>IF(OR(E4534="",E4534="!!!"),"",IF(NOT(ISNA(VLOOKUP(E4534,E$1:E4533,1,FALSE()))),"OLD",IF(AND(E4534&lt;&gt;"",E4534&lt;&gt;"!!!"),"NEW","")))</f>
        <v> </v>
      </c>
      <c r="G4534" s="23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4" t="str">
        <f>IF(J4534&lt;&gt;1,"",IF(I4534="SBJ","CB","?"))</f>
        <v> </v>
      </c>
      <c r="I4534" s="25" t="str">
        <f>IF(OR(E4534="",E4534="!!!",F4534="NEW"),"",INDEX(B4533:B$2,-1+SUMPRODUCT(MAX(ROW(E4533:E$2)*(E4534=E4533:E$2)))))</f>
        <v> </v>
      </c>
      <c r="J4534" s="25" t="str">
        <f>IF(OR(E4534="",E4534="!!!",F4534="NEW"),"",COUNTBLANK(OFFSET(A$1,,,SUMPRODUCT(MAX(ROW(E$2:E4534)*(E4534=E$2:E4534)))))-COUNTBLANK(OFFSET(A$1,,,SUMPRODUCT(MAX(ROW(E$1:E4533)*(E2=E$1:E4533))))))</f>
        <v> </v>
      </c>
      <c r="K4534" s="25" t="str">
        <f>IF(OR(E4534="",E4534="!!!",F4534="NEW"),"",INDEX(J$1:J4533,SUMPRODUCT(MAX(ROW(E$1:E4533)*(E4534=E$1:E4533)))))</f>
        <v> </v>
      </c>
      <c r="L4534" s="26"/>
    </row>
    <row r="4535" spans="1:12">
      <c r="A4535" s="20" t="s">
        <v>2875</v>
      </c>
      <c r="E4535" s="21">
        <f>IF(D4535="?OLD","!!!","")</f>
        <v/>
      </c>
      <c r="F4535" s="22" t="str">
        <f>IF(OR(E4535="",E4535="!!!"),"",IF(NOT(ISNA(VLOOKUP(E4535,E$1:E4534,1,FALSE()))),"OLD",IF(AND(E4535&lt;&gt;"",E4535&lt;&gt;"!!!"),"NEW","")))</f>
        <v> </v>
      </c>
      <c r="G4535" s="23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4" t="str">
        <f>IF(J4535&lt;&gt;1,"",IF(I4535="SBJ","CB","?"))</f>
        <v> </v>
      </c>
      <c r="I4535" s="25" t="str">
        <f>IF(OR(E4535="",E4535="!!!",F4535="NEW"),"",INDEX(B4534:B$2,-1+SUMPRODUCT(MAX(ROW(E4534:E$2)*(E4535=E4534:E$2)))))</f>
        <v> </v>
      </c>
      <c r="J4535" s="25" t="str">
        <f>IF(OR(E4535="",E4535="!!!",F4535="NEW"),"",COUNTBLANK(OFFSET(A$1,,,SUMPRODUCT(MAX(ROW(E$2:E4535)*(E4535=E$2:E4535)))))-COUNTBLANK(OFFSET(A$1,,,SUMPRODUCT(MAX(ROW(E$1:E4534)*(E2=E$1:E4534))))))</f>
        <v> </v>
      </c>
      <c r="K4535" s="25" t="str">
        <f>IF(OR(E4535="",E4535="!!!",F4535="NEW"),"",INDEX(J$1:J4534,SUMPRODUCT(MAX(ROW(E$1:E4534)*(E4535=E$1:E4534)))))</f>
        <v> </v>
      </c>
      <c r="L4535" s="26"/>
    </row>
    <row r="4536" spans="1:12">
      <c r="A4536" s="20" t="s">
        <v>1862</v>
      </c>
      <c r="E4536" s="21">
        <f>IF(D4536="?OLD","!!!","")</f>
        <v/>
      </c>
      <c r="F4536" s="22" t="str">
        <f>IF(OR(E4536="",E4536="!!!"),"",IF(NOT(ISNA(VLOOKUP(E4536,E$1:E4535,1,FALSE()))),"OLD",IF(AND(E4536&lt;&gt;"",E4536&lt;&gt;"!!!"),"NEW","")))</f>
        <v> </v>
      </c>
      <c r="G4536" s="23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4" t="str">
        <f>IF(J4536&lt;&gt;1,"",IF(I4536="SBJ","CB","?"))</f>
        <v> </v>
      </c>
      <c r="I4536" s="25" t="str">
        <f>IF(OR(E4536="",E4536="!!!",F4536="NEW"),"",INDEX(B4535:B$2,-1+SUMPRODUCT(MAX(ROW(E4535:E$2)*(E4536=E4535:E$2)))))</f>
        <v> </v>
      </c>
      <c r="J4536" s="25" t="str">
        <f>IF(OR(E4536="",E4536="!!!",F4536="NEW"),"",COUNTBLANK(OFFSET(A$1,,,SUMPRODUCT(MAX(ROW(E$2:E4536)*(E4536=E$2:E4536)))))-COUNTBLANK(OFFSET(A$1,,,SUMPRODUCT(MAX(ROW(E$1:E4535)*(E2=E$1:E4535))))))</f>
        <v> </v>
      </c>
      <c r="K4536" s="25" t="str">
        <f>IF(OR(E4536="",E4536="!!!",F4536="NEW"),"",INDEX(J$1:J4535,SUMPRODUCT(MAX(ROW(E$1:E4535)*(E4536=E$1:E4535)))))</f>
        <v> </v>
      </c>
      <c r="L4536" s="26"/>
    </row>
    <row r="4537" spans="1:12">
      <c r="A4537" s="20" t="s">
        <v>2876</v>
      </c>
      <c r="E4537" s="21">
        <f>IF(D4537="?OLD","!!!","")</f>
        <v/>
      </c>
      <c r="F4537" s="22" t="str">
        <f>IF(OR(E4537="",E4537="!!!"),"",IF(NOT(ISNA(VLOOKUP(E4537,E$1:E4536,1,FALSE()))),"OLD",IF(AND(E4537&lt;&gt;"",E4537&lt;&gt;"!!!"),"NEW","")))</f>
        <v> </v>
      </c>
      <c r="G4537" s="23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4" t="str">
        <f>IF(J4537&lt;&gt;1,"",IF(I4537="SBJ","CB","?"))</f>
        <v> </v>
      </c>
      <c r="I4537" s="25" t="str">
        <f>IF(OR(E4537="",E4537="!!!",F4537="NEW"),"",INDEX(B4536:B$2,-1+SUMPRODUCT(MAX(ROW(E4536:E$2)*(E4537=E4536:E$2)))))</f>
        <v> </v>
      </c>
      <c r="J4537" s="25" t="str">
        <f>IF(OR(E4537="",E4537="!!!",F4537="NEW"),"",COUNTBLANK(OFFSET(A$1,,,SUMPRODUCT(MAX(ROW(E$2:E4537)*(E4537=E$2:E4537)))))-COUNTBLANK(OFFSET(A$1,,,SUMPRODUCT(MAX(ROW(E$1:E4536)*(E2=E$1:E4536))))))</f>
        <v> </v>
      </c>
      <c r="K4537" s="25" t="str">
        <f>IF(OR(E4537="",E4537="!!!",F4537="NEW"),"",INDEX(J$1:J4536,SUMPRODUCT(MAX(ROW(E$1:E4536)*(E4537=E$1:E4536)))))</f>
        <v> </v>
      </c>
      <c r="L4537" s="26"/>
    </row>
    <row r="4538" spans="1:12">
      <c r="A4538" s="20" t="s">
        <v>1032</v>
      </c>
      <c r="E4538" s="21">
        <f>IF(D4538="?OLD","!!!","")</f>
        <v/>
      </c>
      <c r="F4538" s="22" t="str">
        <f>IF(OR(E4538="",E4538="!!!"),"",IF(NOT(ISNA(VLOOKUP(E4538,E$1:E4537,1,FALSE()))),"OLD",IF(AND(E4538&lt;&gt;"",E4538&lt;&gt;"!!!"),"NEW","")))</f>
        <v> </v>
      </c>
      <c r="G4538" s="23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4" t="str">
        <f>IF(J4538&lt;&gt;1,"",IF(I4538="SBJ","CB","?"))</f>
        <v> </v>
      </c>
      <c r="I4538" s="25" t="str">
        <f>IF(OR(E4538="",E4538="!!!",F4538="NEW"),"",INDEX(B4537:B$2,-1+SUMPRODUCT(MAX(ROW(E4537:E$2)*(E4538=E4537:E$2)))))</f>
        <v> </v>
      </c>
      <c r="J4538" s="25" t="str">
        <f>IF(OR(E4538="",E4538="!!!",F4538="NEW"),"",COUNTBLANK(OFFSET(A$1,,,SUMPRODUCT(MAX(ROW(E$2:E4538)*(E4538=E$2:E4538)))))-COUNTBLANK(OFFSET(A$1,,,SUMPRODUCT(MAX(ROW(E$1:E4537)*(E2=E$1:E4537))))))</f>
        <v> </v>
      </c>
      <c r="K4538" s="25" t="str">
        <f>IF(OR(E4538="",E4538="!!!",F4538="NEW"),"",INDEX(J$1:J4537,SUMPRODUCT(MAX(ROW(E$1:E4537)*(E4538=E$1:E4537)))))</f>
        <v> </v>
      </c>
      <c r="L4538" s="26"/>
    </row>
    <row r="4539" spans="1:12">
      <c r="A4539" s="20"/>
    </row>
    <row r="4540" spans="1:12">
      <c r="A4540" s="20" t="s">
        <v>2877</v>
      </c>
    </row>
    <row r="4541" spans="1:12">
      <c r="A4541" s="20" t="s">
        <v>1125</v>
      </c>
      <c r="B4541" s="27" t="s">
        <v>1082</v>
      </c>
      <c r="C4541" s="27" t="s">
        <v>1036</v>
      </c>
      <c r="D4541" s="27" t="s">
        <v>1026</v>
      </c>
      <c r="E4541" s="21">
        <f>IF(D4541="?OLD","!!!","")</f>
        <v/>
      </c>
      <c r="F4541" s="22" t="str">
        <f>IF(OR(E4541="",E4541="!!!"),"",IF(NOT(ISNA(VLOOKUP(E4541,E$1:E4540,1,FALSE()))),"OLD",IF(AND(E4541&lt;&gt;"",E4541&lt;&gt;"!!!"),"NEW","")))</f>
        <v> </v>
      </c>
      <c r="G4541" s="23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4" t="str">
        <f>IF(J4541&lt;&gt;1,"",IF(I4541="SBJ","CB","?"))</f>
        <v> </v>
      </c>
      <c r="I4541" s="25" t="str">
        <f>IF(OR(E4541="",E4541="!!!",F4541="NEW"),"",INDEX(B4540:B$2,-1+SUMPRODUCT(MAX(ROW(E4540:E$2)*(E4541=E4540:E$2)))))</f>
        <v> </v>
      </c>
      <c r="J4541" s="25" t="str">
        <f>IF(OR(E4541="",E4541="!!!",F4541="NEW"),"",COUNTBLANK(OFFSET(A$1,,,SUMPRODUCT(MAX(ROW(E$2:E4541)*(E4541=E$2:E4541)))))-COUNTBLANK(OFFSET(A$1,,,SUMPRODUCT(MAX(ROW(E$1:E4540)*(E2=E$1:E4540))))))</f>
        <v> </v>
      </c>
      <c r="K4541" s="25" t="str">
        <f>IF(OR(E4541="",E4541="!!!",F4541="NEW"),"",INDEX(J$1:J4540,SUMPRODUCT(MAX(ROW(E$1:E4540)*(E4541=E$1:E4540)))))</f>
        <v> </v>
      </c>
      <c r="L4541" s="26"/>
    </row>
    <row r="4542" spans="1:12">
      <c r="A4542" s="20" t="s">
        <v>1666</v>
      </c>
      <c r="E4542" s="21">
        <f>IF(D4542="?OLD","!!!","")</f>
        <v/>
      </c>
      <c r="F4542" s="22" t="str">
        <f>IF(OR(E4542="",E4542="!!!"),"",IF(NOT(ISNA(VLOOKUP(E4542,E$1:E4541,1,FALSE()))),"OLD",IF(AND(E4542&lt;&gt;"",E4542&lt;&gt;"!!!"),"NEW","")))</f>
        <v> </v>
      </c>
      <c r="G4542" s="23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4" t="str">
        <f>IF(J4542&lt;&gt;1,"",IF(I4542="SBJ","CB","?"))</f>
        <v> </v>
      </c>
      <c r="I4542" s="25" t="str">
        <f>IF(OR(E4542="",E4542="!!!",F4542="NEW"),"",INDEX(B4541:B$2,-1+SUMPRODUCT(MAX(ROW(E4541:E$2)*(E4542=E4541:E$2)))))</f>
        <v> </v>
      </c>
      <c r="J4542" s="25" t="str">
        <f>IF(OR(E4542="",E4542="!!!",F4542="NEW"),"",COUNTBLANK(OFFSET(A$1,,,SUMPRODUCT(MAX(ROW(E$2:E4542)*(E4542=E$2:E4542)))))-COUNTBLANK(OFFSET(A$1,,,SUMPRODUCT(MAX(ROW(E$1:E4541)*(E2=E$1:E4541))))))</f>
        <v> </v>
      </c>
      <c r="K4542" s="25" t="str">
        <f>IF(OR(E4542="",E4542="!!!",F4542="NEW"),"",INDEX(J$1:J4541,SUMPRODUCT(MAX(ROW(E$1:E4541)*(E4542=E$1:E4541)))))</f>
        <v> </v>
      </c>
      <c r="L4542" s="26"/>
    </row>
    <row r="4543" spans="1:12">
      <c r="A4543" s="20" t="s">
        <v>1607</v>
      </c>
      <c r="E4543" s="21">
        <f>IF(D4543="?OLD","!!!","")</f>
        <v/>
      </c>
      <c r="F4543" s="22" t="str">
        <f>IF(OR(E4543="",E4543="!!!"),"",IF(NOT(ISNA(VLOOKUP(E4543,E$1:E4542,1,FALSE()))),"OLD",IF(AND(E4543&lt;&gt;"",E4543&lt;&gt;"!!!"),"NEW","")))</f>
        <v> </v>
      </c>
      <c r="G4543" s="23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4" t="str">
        <f>IF(J4543&lt;&gt;1,"",IF(I4543="SBJ","CB","?"))</f>
        <v> </v>
      </c>
      <c r="I4543" s="25" t="str">
        <f>IF(OR(E4543="",E4543="!!!",F4543="NEW"),"",INDEX(B4542:B$2,-1+SUMPRODUCT(MAX(ROW(E4542:E$2)*(E4543=E4542:E$2)))))</f>
        <v> </v>
      </c>
      <c r="J4543" s="25" t="str">
        <f>IF(OR(E4543="",E4543="!!!",F4543="NEW"),"",COUNTBLANK(OFFSET(A$1,,,SUMPRODUCT(MAX(ROW(E$2:E4543)*(E4543=E$2:E4543)))))-COUNTBLANK(OFFSET(A$1,,,SUMPRODUCT(MAX(ROW(E$1:E4542)*(E2=E$1:E4542))))))</f>
        <v> </v>
      </c>
      <c r="K4543" s="25" t="str">
        <f>IF(OR(E4543="",E4543="!!!",F4543="NEW"),"",INDEX(J$1:J4542,SUMPRODUCT(MAX(ROW(E$1:E4542)*(E4543=E$1:E4542)))))</f>
        <v> </v>
      </c>
      <c r="L4543" s="26"/>
    </row>
    <row r="4544" spans="1:12">
      <c r="A4544" s="20" t="s">
        <v>2878</v>
      </c>
      <c r="E4544" s="21">
        <f>IF(D4544="?OLD","!!!","")</f>
        <v/>
      </c>
      <c r="F4544" s="22" t="str">
        <f>IF(OR(E4544="",E4544="!!!"),"",IF(NOT(ISNA(VLOOKUP(E4544,E$1:E4543,1,FALSE()))),"OLD",IF(AND(E4544&lt;&gt;"",E4544&lt;&gt;"!!!"),"NEW","")))</f>
        <v> </v>
      </c>
      <c r="G4544" s="23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4" t="str">
        <f>IF(J4544&lt;&gt;1,"",IF(I4544="SBJ","CB","?"))</f>
        <v> </v>
      </c>
      <c r="I4544" s="25" t="str">
        <f>IF(OR(E4544="",E4544="!!!",F4544="NEW"),"",INDEX(B4543:B$2,-1+SUMPRODUCT(MAX(ROW(E4543:E$2)*(E4544=E4543:E$2)))))</f>
        <v> </v>
      </c>
      <c r="J4544" s="25" t="str">
        <f>IF(OR(E4544="",E4544="!!!",F4544="NEW"),"",COUNTBLANK(OFFSET(A$1,,,SUMPRODUCT(MAX(ROW(E$2:E4544)*(E4544=E$2:E4544)))))-COUNTBLANK(OFFSET(A$1,,,SUMPRODUCT(MAX(ROW(E$1:E4543)*(E2=E$1:E4543))))))</f>
        <v> </v>
      </c>
      <c r="K4544" s="25" t="str">
        <f>IF(OR(E4544="",E4544="!!!",F4544="NEW"),"",INDEX(J$1:J4543,SUMPRODUCT(MAX(ROW(E$1:E4543)*(E4544=E$1:E4543)))))</f>
        <v> </v>
      </c>
      <c r="L4544" s="26"/>
    </row>
    <row r="4545" spans="1:12">
      <c r="A4545" s="20" t="s">
        <v>2879</v>
      </c>
      <c r="E4545" s="21">
        <f>IF(D4545="?OLD","!!!","")</f>
        <v/>
      </c>
      <c r="F4545" s="22" t="str">
        <f>IF(OR(E4545="",E4545="!!!"),"",IF(NOT(ISNA(VLOOKUP(E4545,E$1:E4544,1,FALSE()))),"OLD",IF(AND(E4545&lt;&gt;"",E4545&lt;&gt;"!!!"),"NEW","")))</f>
        <v> </v>
      </c>
      <c r="G4545" s="23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4" t="str">
        <f>IF(J4545&lt;&gt;1,"",IF(I4545="SBJ","CB","?"))</f>
        <v> </v>
      </c>
      <c r="I4545" s="25" t="str">
        <f>IF(OR(E4545="",E4545="!!!",F4545="NEW"),"",INDEX(B4544:B$2,-1+SUMPRODUCT(MAX(ROW(E4544:E$2)*(E4545=E4544:E$2)))))</f>
        <v> </v>
      </c>
      <c r="J4545" s="25" t="str">
        <f>IF(OR(E4545="",E4545="!!!",F4545="NEW"),"",COUNTBLANK(OFFSET(A$1,,,SUMPRODUCT(MAX(ROW(E$2:E4545)*(E4545=E$2:E4545)))))-COUNTBLANK(OFFSET(A$1,,,SUMPRODUCT(MAX(ROW(E$1:E4544)*(E2=E$1:E4544))))))</f>
        <v> </v>
      </c>
      <c r="K4545" s="25" t="str">
        <f>IF(OR(E4545="",E4545="!!!",F4545="NEW"),"",INDEX(J$1:J4544,SUMPRODUCT(MAX(ROW(E$1:E4544)*(E4545=E$1:E4544)))))</f>
        <v> </v>
      </c>
      <c r="L4545" s="26"/>
    </row>
    <row r="4546" spans="1:12">
      <c r="A4546" s="20" t="s">
        <v>284</v>
      </c>
      <c r="E4546" s="21">
        <f>IF(D4546="?OLD","!!!","")</f>
        <v/>
      </c>
      <c r="F4546" s="22" t="str">
        <f>IF(OR(E4546="",E4546="!!!"),"",IF(NOT(ISNA(VLOOKUP(E4546,E$1:E4545,1,FALSE()))),"OLD",IF(AND(E4546&lt;&gt;"",E4546&lt;&gt;"!!!"),"NEW","")))</f>
        <v> </v>
      </c>
      <c r="G4546" s="23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4" t="str">
        <f>IF(J4546&lt;&gt;1,"",IF(I4546="SBJ","CB","?"))</f>
        <v> </v>
      </c>
      <c r="I4546" s="25" t="str">
        <f>IF(OR(E4546="",E4546="!!!",F4546="NEW"),"",INDEX(B4545:B$2,-1+SUMPRODUCT(MAX(ROW(E4545:E$2)*(E4546=E4545:E$2)))))</f>
        <v> </v>
      </c>
      <c r="J4546" s="25" t="str">
        <f>IF(OR(E4546="",E4546="!!!",F4546="NEW"),"",COUNTBLANK(OFFSET(A$1,,,SUMPRODUCT(MAX(ROW(E$2:E4546)*(E4546=E$2:E4546)))))-COUNTBLANK(OFFSET(A$1,,,SUMPRODUCT(MAX(ROW(E$1:E4545)*(E2=E$1:E4545))))))</f>
        <v> </v>
      </c>
      <c r="K4546" s="25" t="str">
        <f>IF(OR(E4546="",E4546="!!!",F4546="NEW"),"",INDEX(J$1:J4545,SUMPRODUCT(MAX(ROW(E$1:E4545)*(E4546=E$1:E4545)))))</f>
        <v> </v>
      </c>
      <c r="L4546" s="26"/>
    </row>
    <row r="4547" spans="1:12">
      <c r="A4547" s="20" t="s">
        <v>2880</v>
      </c>
      <c r="E4547" s="21">
        <f>IF(D4547="?OLD","!!!","")</f>
        <v/>
      </c>
      <c r="F4547" s="22" t="str">
        <f>IF(OR(E4547="",E4547="!!!"),"",IF(NOT(ISNA(VLOOKUP(E4547,E$1:E4546,1,FALSE()))),"OLD",IF(AND(E4547&lt;&gt;"",E4547&lt;&gt;"!!!"),"NEW","")))</f>
        <v> </v>
      </c>
      <c r="G4547" s="23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4" t="str">
        <f>IF(J4547&lt;&gt;1,"",IF(I4547="SBJ","CB","?"))</f>
        <v> </v>
      </c>
      <c r="I4547" s="25" t="str">
        <f>IF(OR(E4547="",E4547="!!!",F4547="NEW"),"",INDEX(B4546:B$2,-1+SUMPRODUCT(MAX(ROW(E4546:E$2)*(E4547=E4546:E$2)))))</f>
        <v> </v>
      </c>
      <c r="J4547" s="25" t="str">
        <f>IF(OR(E4547="",E4547="!!!",F4547="NEW"),"",COUNTBLANK(OFFSET(A$1,,,SUMPRODUCT(MAX(ROW(E$2:E4547)*(E4547=E$2:E4547)))))-COUNTBLANK(OFFSET(A$1,,,SUMPRODUCT(MAX(ROW(E$1:E4546)*(E2=E$1:E4546))))))</f>
        <v> </v>
      </c>
      <c r="K4547" s="25" t="str">
        <f>IF(OR(E4547="",E4547="!!!",F4547="NEW"),"",INDEX(J$1:J4546,SUMPRODUCT(MAX(ROW(E$1:E4546)*(E4547=E$1:E4546)))))</f>
        <v> </v>
      </c>
      <c r="L4547" s="26"/>
    </row>
    <row r="4548" spans="1:12">
      <c r="A4548" s="20" t="s">
        <v>2146</v>
      </c>
      <c r="E4548" s="21">
        <f>IF(D4548="?OLD","!!!","")</f>
        <v/>
      </c>
      <c r="F4548" s="22" t="str">
        <f>IF(OR(E4548="",E4548="!!!"),"",IF(NOT(ISNA(VLOOKUP(E4548,E$1:E4547,1,FALSE()))),"OLD",IF(AND(E4548&lt;&gt;"",E4548&lt;&gt;"!!!"),"NEW","")))</f>
        <v> </v>
      </c>
      <c r="G4548" s="23" t="str">
        <f>IF(OR(E4548="",E4548="!!!"),"",IF(OR(J4548=0,AND(J4548=1,K4548=1),AND(J4548=1,I4548="SBJ"),AND(J4548=1,I4548=0)),"?IN_FOCUS",IF(J4548&lt;=2,"?ACTIVATED",IF(J4548&lt;&gt;"","?FAMILIAR",IF(F4548="NEW",IF(ISNA(VLOOKUP(E4548,#REF!,1,FALSE())),"?TYPE_IDENTIFIABLE","?REFERENTIAL"),"_")))))</f>
        <v> </v>
      </c>
      <c r="H4548" s="24" t="str">
        <f>IF(J4548&lt;&gt;1,"",IF(I4548="SBJ","CB","?"))</f>
        <v> </v>
      </c>
      <c r="I4548" s="25" t="str">
        <f>IF(OR(E4548="",E4548="!!!",F4548="NEW"),"",INDEX(B4547:B$2,-1+SUMPRODUCT(MAX(ROW(E4547:E$2)*(E4548=E4547:E$2)))))</f>
        <v> </v>
      </c>
      <c r="J4548" s="25" t="str">
        <f>IF(OR(E4548="",E4548="!!!",F4548="NEW"),"",COUNTBLANK(OFFSET(A$1,,,SUMPRODUCT(MAX(ROW(E$2:E4548)*(E4548=E$2:E4548)))))-COUNTBLANK(OFFSET(A$1,,,SUMPRODUCT(MAX(ROW(E$1:E4547)*(E2=E$1:E4547))))))</f>
        <v> </v>
      </c>
      <c r="K4548" s="25" t="str">
        <f>IF(OR(E4548="",E4548="!!!",F4548="NEW"),"",INDEX(J$1:J4547,SUMPRODUCT(MAX(ROW(E$1:E4547)*(E4548=E$1:E4547)))))</f>
        <v> </v>
      </c>
      <c r="L4548" s="26"/>
    </row>
    <row r="4549" spans="1:12">
      <c r="A4549" s="20" t="s">
        <v>2881</v>
      </c>
      <c r="E4549" s="21">
        <f>IF(D4549="?OLD","!!!","")</f>
        <v/>
      </c>
      <c r="F4549" s="22" t="str">
        <f>IF(OR(E4549="",E4549="!!!"),"",IF(NOT(ISNA(VLOOKUP(E4549,E$1:E4548,1,FALSE()))),"OLD",IF(AND(E4549&lt;&gt;"",E4549&lt;&gt;"!!!"),"NEW","")))</f>
        <v> </v>
      </c>
      <c r="G4549" s="23" t="str">
        <f>IF(OR(E4549="",E4549="!!!"),"",IF(OR(J4549=0,AND(J4549=1,K4549=1),AND(J4549=1,I4549="SBJ"),AND(J4549=1,I4549=0)),"?IN_FOCUS",IF(J4549&lt;=2,"?ACTIVATED",IF(J4549&lt;&gt;"","?FAMILIAR",IF(F4549="NEW",IF(ISNA(VLOOKUP(E4549,#REF!,1,FALSE())),"?TYPE_IDENTIFIABLE","?REFERENTIAL"),"_")))))</f>
        <v> </v>
      </c>
      <c r="H4549" s="24" t="str">
        <f>IF(J4549&lt;&gt;1,"",IF(I4549="SBJ","CB","?"))</f>
        <v> </v>
      </c>
      <c r="I4549" s="25" t="str">
        <f>IF(OR(E4549="",E4549="!!!",F4549="NEW"),"",INDEX(B4548:B$2,-1+SUMPRODUCT(MAX(ROW(E4548:E$2)*(E4549=E4548:E$2)))))</f>
        <v> </v>
      </c>
      <c r="J4549" s="25" t="str">
        <f>IF(OR(E4549="",E4549="!!!",F4549="NEW"),"",COUNTBLANK(OFFSET(A$1,,,SUMPRODUCT(MAX(ROW(E$2:E4549)*(E4549=E$2:E4549)))))-COUNTBLANK(OFFSET(A$1,,,SUMPRODUCT(MAX(ROW(E$1:E4548)*(E2=E$1:E4548))))))</f>
        <v> </v>
      </c>
      <c r="K4549" s="25" t="str">
        <f>IF(OR(E4549="",E4549="!!!",F4549="NEW"),"",INDEX(J$1:J4548,SUMPRODUCT(MAX(ROW(E$1:E4548)*(E4549=E$1:E4548)))))</f>
        <v> </v>
      </c>
      <c r="L4549" s="26"/>
    </row>
    <row r="4550" spans="1:12">
      <c r="A4550" s="20" t="s">
        <v>1032</v>
      </c>
      <c r="E4550" s="21">
        <f>IF(D4550="?OLD","!!!","")</f>
        <v/>
      </c>
      <c r="F4550" s="22" t="str">
        <f>IF(OR(E4550="",E4550="!!!"),"",IF(NOT(ISNA(VLOOKUP(E4550,E$1:E4549,1,FALSE()))),"OLD",IF(AND(E4550&lt;&gt;"",E4550&lt;&gt;"!!!"),"NEW","")))</f>
        <v> </v>
      </c>
      <c r="G4550" s="23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4" t="str">
        <f>IF(J4550&lt;&gt;1,"",IF(I4550="SBJ","CB","?"))</f>
        <v> </v>
      </c>
      <c r="I4550" s="25" t="str">
        <f>IF(OR(E4550="",E4550="!!!",F4550="NEW"),"",INDEX(B4549:B$2,-1+SUMPRODUCT(MAX(ROW(E4549:E$2)*(E4550=E4549:E$2)))))</f>
        <v> </v>
      </c>
      <c r="J4550" s="25" t="str">
        <f>IF(OR(E4550="",E4550="!!!",F4550="NEW"),"",COUNTBLANK(OFFSET(A$1,,,SUMPRODUCT(MAX(ROW(E$2:E4550)*(E4550=E$2:E4550)))))-COUNTBLANK(OFFSET(A$1,,,SUMPRODUCT(MAX(ROW(E$1:E4549)*(E2=E$1:E4549))))))</f>
        <v> </v>
      </c>
      <c r="K4550" s="25" t="str">
        <f>IF(OR(E4550="",E4550="!!!",F4550="NEW"),"",INDEX(J$1:J4549,SUMPRODUCT(MAX(ROW(E$1:E4549)*(E4550=E$1:E4549)))))</f>
        <v> </v>
      </c>
      <c r="L4550" s="26"/>
    </row>
    <row r="4551" spans="1:12">
      <c r="A4551" s="20"/>
    </row>
    <row r="4552" spans="1:12">
      <c r="A4552" s="20" t="s">
        <v>2882</v>
      </c>
    </row>
    <row r="4553" spans="1:12">
      <c r="A4553" s="20" t="s">
        <v>1597</v>
      </c>
      <c r="E4553" s="21">
        <f>IF(D4553="?OLD","!!!","")</f>
        <v/>
      </c>
      <c r="F4553" s="22" t="str">
        <f>IF(OR(E4553="",E4553="!!!"),"",IF(NOT(ISNA(VLOOKUP(E4553,E$1:E4552,1,FALSE()))),"OLD",IF(AND(E4553&lt;&gt;"",E4553&lt;&gt;"!!!"),"NEW","")))</f>
        <v> </v>
      </c>
      <c r="G4553" s="23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4" t="str">
        <f>IF(J4553&lt;&gt;1,"",IF(I4553="SBJ","CB","?"))</f>
        <v> </v>
      </c>
      <c r="I4553" s="25" t="str">
        <f>IF(OR(E4553="",E4553="!!!",F4553="NEW"),"",INDEX(B4552:B$2,-1+SUMPRODUCT(MAX(ROW(E4552:E$2)*(E4553=E4552:E$2)))))</f>
        <v> </v>
      </c>
      <c r="J4553" s="25" t="str">
        <f>IF(OR(E4553="",E4553="!!!",F4553="NEW"),"",COUNTBLANK(OFFSET(A$1,,,SUMPRODUCT(MAX(ROW(E$2:E4553)*(E4553=E$2:E4553)))))-COUNTBLANK(OFFSET(A$1,,,SUMPRODUCT(MAX(ROW(E$1:E4552)*(E2=E$1:E4552))))))</f>
        <v> </v>
      </c>
      <c r="K4553" s="25" t="str">
        <f>IF(OR(E4553="",E4553="!!!",F4553="NEW"),"",INDEX(J$1:J4552,SUMPRODUCT(MAX(ROW(E$1:E4552)*(E4553=E$1:E4552)))))</f>
        <v> </v>
      </c>
      <c r="L4553" s="26"/>
    </row>
    <row r="4554" spans="1:12">
      <c r="A4554" s="20" t="s">
        <v>2830</v>
      </c>
      <c r="E4554" s="21">
        <f>IF(D4554="?OLD","!!!","")</f>
        <v/>
      </c>
      <c r="F4554" s="22" t="str">
        <f>IF(OR(E4554="",E4554="!!!"),"",IF(NOT(ISNA(VLOOKUP(E4554,E$1:E4553,1,FALSE()))),"OLD",IF(AND(E4554&lt;&gt;"",E4554&lt;&gt;"!!!"),"NEW","")))</f>
        <v> </v>
      </c>
      <c r="G4554" s="23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4" t="str">
        <f>IF(J4554&lt;&gt;1,"",IF(I4554="SBJ","CB","?"))</f>
        <v> </v>
      </c>
      <c r="I4554" s="25" t="str">
        <f>IF(OR(E4554="",E4554="!!!",F4554="NEW"),"",INDEX(B4553:B$2,-1+SUMPRODUCT(MAX(ROW(E4553:E$2)*(E4554=E4553:E$2)))))</f>
        <v> </v>
      </c>
      <c r="J4554" s="25" t="str">
        <f>IF(OR(E4554="",E4554="!!!",F4554="NEW"),"",COUNTBLANK(OFFSET(A$1,,,SUMPRODUCT(MAX(ROW(E$2:E4554)*(E4554=E$2:E4554)))))-COUNTBLANK(OFFSET(A$1,,,SUMPRODUCT(MAX(ROW(E$1:E4553)*(E2=E$1:E4553))))))</f>
        <v> </v>
      </c>
      <c r="K4554" s="25" t="str">
        <f>IF(OR(E4554="",E4554="!!!",F4554="NEW"),"",INDEX(J$1:J4553,SUMPRODUCT(MAX(ROW(E$1:E4553)*(E4554=E$1:E4553)))))</f>
        <v> </v>
      </c>
      <c r="L4554" s="26"/>
    </row>
    <row r="4555" spans="1:12">
      <c r="A4555" s="20" t="s">
        <v>2883</v>
      </c>
      <c r="E4555" s="21">
        <f>IF(D4555="?OLD","!!!","")</f>
        <v/>
      </c>
      <c r="F4555" s="22" t="str">
        <f>IF(OR(E4555="",E4555="!!!"),"",IF(NOT(ISNA(VLOOKUP(E4555,E$1:E4554,1,FALSE()))),"OLD",IF(AND(E4555&lt;&gt;"",E4555&lt;&gt;"!!!"),"NEW","")))</f>
        <v> </v>
      </c>
      <c r="G4555" s="23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4" t="str">
        <f>IF(J4555&lt;&gt;1,"",IF(I4555="SBJ","CB","?"))</f>
        <v> </v>
      </c>
      <c r="I4555" s="25" t="str">
        <f>IF(OR(E4555="",E4555="!!!",F4555="NEW"),"",INDEX(B4554:B$2,-1+SUMPRODUCT(MAX(ROW(E4554:E$2)*(E4555=E4554:E$2)))))</f>
        <v> </v>
      </c>
      <c r="J4555" s="25" t="str">
        <f>IF(OR(E4555="",E4555="!!!",F4555="NEW"),"",COUNTBLANK(OFFSET(A$1,,,SUMPRODUCT(MAX(ROW(E$2:E4555)*(E4555=E$2:E4555)))))-COUNTBLANK(OFFSET(A$1,,,SUMPRODUCT(MAX(ROW(E$1:E4554)*(E2=E$1:E4554))))))</f>
        <v> </v>
      </c>
      <c r="K4555" s="25" t="str">
        <f>IF(OR(E4555="",E4555="!!!",F4555="NEW"),"",INDEX(J$1:J4554,SUMPRODUCT(MAX(ROW(E$1:E4554)*(E4555=E$1:E4554)))))</f>
        <v> </v>
      </c>
      <c r="L4555" s="26"/>
    </row>
    <row r="4556" spans="1:12">
      <c r="A4556" s="20" t="s">
        <v>1855</v>
      </c>
      <c r="B4556" s="27" t="s">
        <v>1024</v>
      </c>
      <c r="E4556" s="21">
        <f>IF(D4556="?OLD","!!!","")</f>
        <v/>
      </c>
      <c r="F4556" s="22" t="str">
        <f>IF(OR(E4556="",E4556="!!!"),"",IF(NOT(ISNA(VLOOKUP(E4556,E$1:E4555,1,FALSE()))),"OLD",IF(AND(E4556&lt;&gt;"",E4556&lt;&gt;"!!!"),"NEW","")))</f>
        <v> </v>
      </c>
      <c r="G4556" s="23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4" t="str">
        <f>IF(J4556&lt;&gt;1,"",IF(I4556="SBJ","CB","?"))</f>
        <v> </v>
      </c>
      <c r="I4556" s="25" t="str">
        <f>IF(OR(E4556="",E4556="!!!",F4556="NEW"),"",INDEX(B4555:B$2,-1+SUMPRODUCT(MAX(ROW(E4555:E$2)*(E4556=E4555:E$2)))))</f>
        <v> </v>
      </c>
      <c r="J4556" s="25" t="str">
        <f>IF(OR(E4556="",E4556="!!!",F4556="NEW"),"",COUNTBLANK(OFFSET(A$1,,,SUMPRODUCT(MAX(ROW(E$2:E4556)*(E4556=E$2:E4556)))))-COUNTBLANK(OFFSET(A$1,,,SUMPRODUCT(MAX(ROW(E$1:E4555)*(E2=E$1:E4555))))))</f>
        <v> </v>
      </c>
      <c r="K4556" s="25" t="str">
        <f>IF(OR(E4556="",E4556="!!!",F4556="NEW"),"",INDEX(J$1:J4555,SUMPRODUCT(MAX(ROW(E$1:E4555)*(E4556=E$1:E4555)))))</f>
        <v> </v>
      </c>
      <c r="L4556" s="26"/>
    </row>
    <row r="4557" spans="1:12">
      <c r="A4557" s="20" t="s">
        <v>1041</v>
      </c>
      <c r="E4557" s="21">
        <f>IF(D4557="?OLD","!!!","")</f>
        <v/>
      </c>
      <c r="F4557" s="22" t="str">
        <f>IF(OR(E4557="",E4557="!!!"),"",IF(NOT(ISNA(VLOOKUP(E4557,E$1:E4556,1,FALSE()))),"OLD",IF(AND(E4557&lt;&gt;"",E4557&lt;&gt;"!!!"),"NEW","")))</f>
        <v> </v>
      </c>
      <c r="G4557" s="23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4" t="str">
        <f>IF(J4557&lt;&gt;1,"",IF(I4557="SBJ","CB","?"))</f>
        <v> </v>
      </c>
      <c r="I4557" s="25" t="str">
        <f>IF(OR(E4557="",E4557="!!!",F4557="NEW"),"",INDEX(B4556:B$2,-1+SUMPRODUCT(MAX(ROW(E4556:E$2)*(E4557=E4556:E$2)))))</f>
        <v> </v>
      </c>
      <c r="J4557" s="25" t="str">
        <f>IF(OR(E4557="",E4557="!!!",F4557="NEW"),"",COUNTBLANK(OFFSET(A$1,,,SUMPRODUCT(MAX(ROW(E$2:E4557)*(E4557=E$2:E4557)))))-COUNTBLANK(OFFSET(A$1,,,SUMPRODUCT(MAX(ROW(E$1:E4556)*(E2=E$1:E4556))))))</f>
        <v> </v>
      </c>
      <c r="K4557" s="25" t="str">
        <f>IF(OR(E4557="",E4557="!!!",F4557="NEW"),"",INDEX(J$1:J4556,SUMPRODUCT(MAX(ROW(E$1:E4556)*(E4557=E$1:E4556)))))</f>
        <v> </v>
      </c>
      <c r="L4557" s="26"/>
    </row>
    <row r="4558" spans="1:12">
      <c r="A4558" s="20" t="s">
        <v>2884</v>
      </c>
      <c r="E4558" s="21">
        <f>IF(D4558="?OLD","!!!","")</f>
        <v/>
      </c>
      <c r="F4558" s="22" t="str">
        <f>IF(OR(E4558="",E4558="!!!"),"",IF(NOT(ISNA(VLOOKUP(E4558,E$1:E4557,1,FALSE()))),"OLD",IF(AND(E4558&lt;&gt;"",E4558&lt;&gt;"!!!"),"NEW","")))</f>
        <v> </v>
      </c>
      <c r="G4558" s="23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4" t="str">
        <f>IF(J4558&lt;&gt;1,"",IF(I4558="SBJ","CB","?"))</f>
        <v> </v>
      </c>
      <c r="I4558" s="25" t="str">
        <f>IF(OR(E4558="",E4558="!!!",F4558="NEW"),"",INDEX(B4557:B$2,-1+SUMPRODUCT(MAX(ROW(E4557:E$2)*(E4558=E4557:E$2)))))</f>
        <v> </v>
      </c>
      <c r="J4558" s="25" t="str">
        <f>IF(OR(E4558="",E4558="!!!",F4558="NEW"),"",COUNTBLANK(OFFSET(A$1,,,SUMPRODUCT(MAX(ROW(E$2:E4558)*(E4558=E$2:E4558)))))-COUNTBLANK(OFFSET(A$1,,,SUMPRODUCT(MAX(ROW(E$1:E4557)*(E2=E$1:E4557))))))</f>
        <v> </v>
      </c>
      <c r="K4558" s="25" t="str">
        <f>IF(OR(E4558="",E4558="!!!",F4558="NEW"),"",INDEX(J$1:J4557,SUMPRODUCT(MAX(ROW(E$1:E4557)*(E4558=E$1:E4557)))))</f>
        <v> </v>
      </c>
      <c r="L4558" s="26"/>
    </row>
    <row r="4559" spans="1:12">
      <c r="A4559" s="20" t="s">
        <v>2885</v>
      </c>
      <c r="E4559" s="21">
        <f>IF(D4559="?OLD","!!!","")</f>
        <v/>
      </c>
      <c r="F4559" s="22" t="str">
        <f>IF(OR(E4559="",E4559="!!!"),"",IF(NOT(ISNA(VLOOKUP(E4559,E$1:E4558,1,FALSE()))),"OLD",IF(AND(E4559&lt;&gt;"",E4559&lt;&gt;"!!!"),"NEW","")))</f>
        <v> </v>
      </c>
      <c r="G4559" s="23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4" t="str">
        <f>IF(J4559&lt;&gt;1,"",IF(I4559="SBJ","CB","?"))</f>
        <v> </v>
      </c>
      <c r="I4559" s="25" t="str">
        <f>IF(OR(E4559="",E4559="!!!",F4559="NEW"),"",INDEX(B4558:B$2,-1+SUMPRODUCT(MAX(ROW(E4558:E$2)*(E4559=E4558:E$2)))))</f>
        <v> </v>
      </c>
      <c r="J4559" s="25" t="str">
        <f>IF(OR(E4559="",E4559="!!!",F4559="NEW"),"",COUNTBLANK(OFFSET(A$1,,,SUMPRODUCT(MAX(ROW(E$2:E4559)*(E4559=E$2:E4559)))))-COUNTBLANK(OFFSET(A$1,,,SUMPRODUCT(MAX(ROW(E$1:E4558)*(E2=E$1:E4558))))))</f>
        <v> </v>
      </c>
      <c r="K4559" s="25" t="str">
        <f>IF(OR(E4559="",E4559="!!!",F4559="NEW"),"",INDEX(J$1:J4558,SUMPRODUCT(MAX(ROW(E$1:E4558)*(E4559=E$1:E4558)))))</f>
        <v> </v>
      </c>
      <c r="L4559" s="26"/>
    </row>
    <row r="4560" spans="1:12">
      <c r="A4560" s="20" t="s">
        <v>1746</v>
      </c>
      <c r="E4560" s="21">
        <f>IF(D4560="?OLD","!!!","")</f>
        <v/>
      </c>
      <c r="F4560" s="22" t="str">
        <f>IF(OR(E4560="",E4560="!!!"),"",IF(NOT(ISNA(VLOOKUP(E4560,E$1:E4559,1,FALSE()))),"OLD",IF(AND(E4560&lt;&gt;"",E4560&lt;&gt;"!!!"),"NEW","")))</f>
        <v> </v>
      </c>
      <c r="G4560" s="23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4" t="str">
        <f>IF(J4560&lt;&gt;1,"",IF(I4560="SBJ","CB","?"))</f>
        <v> </v>
      </c>
      <c r="I4560" s="25" t="str">
        <f>IF(OR(E4560="",E4560="!!!",F4560="NEW"),"",INDEX(B4559:B$2,-1+SUMPRODUCT(MAX(ROW(E4559:E$2)*(E4560=E4559:E$2)))))</f>
        <v> </v>
      </c>
      <c r="J4560" s="25" t="str">
        <f>IF(OR(E4560="",E4560="!!!",F4560="NEW"),"",COUNTBLANK(OFFSET(A$1,,,SUMPRODUCT(MAX(ROW(E$2:E4560)*(E4560=E$2:E4560)))))-COUNTBLANK(OFFSET(A$1,,,SUMPRODUCT(MAX(ROW(E$1:E4559)*(E2=E$1:E4559))))))</f>
        <v> </v>
      </c>
      <c r="K4560" s="25" t="str">
        <f>IF(OR(E4560="",E4560="!!!",F4560="NEW"),"",INDEX(J$1:J4559,SUMPRODUCT(MAX(ROW(E$1:E4559)*(E4560=E$1:E4559)))))</f>
        <v> </v>
      </c>
      <c r="L4560" s="26"/>
    </row>
    <row r="4561" spans="1:12">
      <c r="A4561" s="20" t="s">
        <v>1041</v>
      </c>
      <c r="E4561" s="21">
        <f>IF(D4561="?OLD","!!!","")</f>
        <v/>
      </c>
      <c r="F4561" s="22" t="str">
        <f>IF(OR(E4561="",E4561="!!!"),"",IF(NOT(ISNA(VLOOKUP(E4561,E$1:E4560,1,FALSE()))),"OLD",IF(AND(E4561&lt;&gt;"",E4561&lt;&gt;"!!!"),"NEW","")))</f>
        <v> </v>
      </c>
      <c r="G4561" s="23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4" t="str">
        <f>IF(J4561&lt;&gt;1,"",IF(I4561="SBJ","CB","?"))</f>
        <v> </v>
      </c>
      <c r="I4561" s="25" t="str">
        <f>IF(OR(E4561="",E4561="!!!",F4561="NEW"),"",INDEX(B4560:B$2,-1+SUMPRODUCT(MAX(ROW(E4560:E$2)*(E4561=E4560:E$2)))))</f>
        <v> </v>
      </c>
      <c r="J4561" s="25" t="str">
        <f>IF(OR(E4561="",E4561="!!!",F4561="NEW"),"",COUNTBLANK(OFFSET(A$1,,,SUMPRODUCT(MAX(ROW(E$2:E4561)*(E4561=E$2:E4561)))))-COUNTBLANK(OFFSET(A$1,,,SUMPRODUCT(MAX(ROW(E$1:E4560)*(E2=E$1:E4560))))))</f>
        <v> </v>
      </c>
      <c r="K4561" s="25" t="str">
        <f>IF(OR(E4561="",E4561="!!!",F4561="NEW"),"",INDEX(J$1:J4560,SUMPRODUCT(MAX(ROW(E$1:E4560)*(E4561=E$1:E4560)))))</f>
        <v> </v>
      </c>
      <c r="L4561" s="26"/>
    </row>
    <row r="4562" spans="1:12">
      <c r="A4562" s="20" t="s">
        <v>21</v>
      </c>
      <c r="E4562" s="21">
        <f>IF(D4562="?OLD","!!!","")</f>
        <v/>
      </c>
      <c r="F4562" s="22" t="str">
        <f>IF(OR(E4562="",E4562="!!!"),"",IF(NOT(ISNA(VLOOKUP(E4562,E$1:E4561,1,FALSE()))),"OLD",IF(AND(E4562&lt;&gt;"",E4562&lt;&gt;"!!!"),"NEW","")))</f>
        <v> </v>
      </c>
      <c r="G4562" s="23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4" t="str">
        <f>IF(J4562&lt;&gt;1,"",IF(I4562="SBJ","CB","?"))</f>
        <v> </v>
      </c>
      <c r="I4562" s="25" t="str">
        <f>IF(OR(E4562="",E4562="!!!",F4562="NEW"),"",INDEX(B4561:B$2,-1+SUMPRODUCT(MAX(ROW(E4561:E$2)*(E4562=E4561:E$2)))))</f>
        <v> </v>
      </c>
      <c r="J4562" s="25" t="str">
        <f>IF(OR(E4562="",E4562="!!!",F4562="NEW"),"",COUNTBLANK(OFFSET(A$1,,,SUMPRODUCT(MAX(ROW(E$2:E4562)*(E4562=E$2:E4562)))))-COUNTBLANK(OFFSET(A$1,,,SUMPRODUCT(MAX(ROW(E$1:E4561)*(E2=E$1:E4561))))))</f>
        <v> </v>
      </c>
      <c r="K4562" s="25" t="str">
        <f>IF(OR(E4562="",E4562="!!!",F4562="NEW"),"",INDEX(J$1:J4561,SUMPRODUCT(MAX(ROW(E$1:E4561)*(E4562=E$1:E4561)))))</f>
        <v> </v>
      </c>
      <c r="L4562" s="26"/>
    </row>
    <row r="4563" spans="1:12">
      <c r="A4563" s="20" t="s">
        <v>941</v>
      </c>
      <c r="B4563" s="27" t="s">
        <v>1080</v>
      </c>
      <c r="C4563" s="27" t="s">
        <v>1072</v>
      </c>
      <c r="D4563" s="27" t="s">
        <v>1026</v>
      </c>
      <c r="E4563" s="21">
        <f>IF(D4563="?OLD","!!!","")</f>
        <v/>
      </c>
      <c r="F4563" s="22" t="str">
        <f>IF(OR(E4563="",E4563="!!!"),"",IF(NOT(ISNA(VLOOKUP(E4563,E$1:E4562,1,FALSE()))),"OLD",IF(AND(E4563&lt;&gt;"",E4563&lt;&gt;"!!!"),"NEW","")))</f>
        <v> </v>
      </c>
      <c r="G4563" s="23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4" t="str">
        <f>IF(J4563&lt;&gt;1,"",IF(I4563="SBJ","CB","?"))</f>
        <v> </v>
      </c>
      <c r="I4563" s="25" t="str">
        <f>IF(OR(E4563="",E4563="!!!",F4563="NEW"),"",INDEX(B4562:B$2,-1+SUMPRODUCT(MAX(ROW(E4562:E$2)*(E4563=E4562:E$2)))))</f>
        <v> </v>
      </c>
      <c r="J4563" s="25" t="str">
        <f>IF(OR(E4563="",E4563="!!!",F4563="NEW"),"",COUNTBLANK(OFFSET(A$1,,,SUMPRODUCT(MAX(ROW(E$2:E4563)*(E4563=E$2:E4563)))))-COUNTBLANK(OFFSET(A$1,,,SUMPRODUCT(MAX(ROW(E$1:E4562)*(E2=E$1:E4562))))))</f>
        <v> </v>
      </c>
      <c r="K4563" s="25" t="str">
        <f>IF(OR(E4563="",E4563="!!!",F4563="NEW"),"",INDEX(J$1:J4562,SUMPRODUCT(MAX(ROW(E$1:E4562)*(E4563=E$1:E4562)))))</f>
        <v> </v>
      </c>
      <c r="L4563" s="26"/>
    </row>
    <row r="4564" spans="1:12">
      <c r="A4564" s="20" t="s">
        <v>1764</v>
      </c>
      <c r="E4564" s="21">
        <f>IF(D4564="?OLD","!!!","")</f>
        <v/>
      </c>
      <c r="F4564" s="22" t="str">
        <f>IF(OR(E4564="",E4564="!!!"),"",IF(NOT(ISNA(VLOOKUP(E4564,E$1:E4563,1,FALSE()))),"OLD",IF(AND(E4564&lt;&gt;"",E4564&lt;&gt;"!!!"),"NEW","")))</f>
        <v> </v>
      </c>
      <c r="G4564" s="23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4" t="str">
        <f>IF(J4564&lt;&gt;1,"",IF(I4564="SBJ","CB","?"))</f>
        <v> </v>
      </c>
      <c r="I4564" s="25" t="str">
        <f>IF(OR(E4564="",E4564="!!!",F4564="NEW"),"",INDEX(B4563:B$2,-1+SUMPRODUCT(MAX(ROW(E4563:E$2)*(E4564=E4563:E$2)))))</f>
        <v> </v>
      </c>
      <c r="J4564" s="25" t="str">
        <f>IF(OR(E4564="",E4564="!!!",F4564="NEW"),"",COUNTBLANK(OFFSET(A$1,,,SUMPRODUCT(MAX(ROW(E$2:E4564)*(E4564=E$2:E4564)))))-COUNTBLANK(OFFSET(A$1,,,SUMPRODUCT(MAX(ROW(E$1:E4563)*(E2=E$1:E4563))))))</f>
        <v> </v>
      </c>
      <c r="K4564" s="25" t="str">
        <f>IF(OR(E4564="",E4564="!!!",F4564="NEW"),"",INDEX(J$1:J4563,SUMPRODUCT(MAX(ROW(E$1:E4563)*(E4564=E$1:E4563)))))</f>
        <v> </v>
      </c>
      <c r="L4564" s="26"/>
    </row>
    <row r="4565" spans="1:12">
      <c r="A4565" s="20" t="s">
        <v>1079</v>
      </c>
      <c r="B4565" s="27" t="s">
        <v>1080</v>
      </c>
      <c r="C4565" s="27" t="s">
        <v>1036</v>
      </c>
      <c r="D4565" s="27" t="s">
        <v>1026</v>
      </c>
      <c r="E4565" s="21">
        <f>IF(D4565="?OLD","!!!","")</f>
        <v/>
      </c>
      <c r="F4565" s="22" t="str">
        <f>IF(OR(E4565="",E4565="!!!"),"",IF(NOT(ISNA(VLOOKUP(E4565,E$1:E4564,1,FALSE()))),"OLD",IF(AND(E4565&lt;&gt;"",E4565&lt;&gt;"!!!"),"NEW","")))</f>
        <v> </v>
      </c>
      <c r="G4565" s="23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4" t="str">
        <f>IF(J4565&lt;&gt;1,"",IF(I4565="SBJ","CB","?"))</f>
        <v> </v>
      </c>
      <c r="I4565" s="25" t="str">
        <f>IF(OR(E4565="",E4565="!!!",F4565="NEW"),"",INDEX(B4564:B$2,-1+SUMPRODUCT(MAX(ROW(E4564:E$2)*(E4565=E4564:E$2)))))</f>
        <v> </v>
      </c>
      <c r="J4565" s="25" t="str">
        <f>IF(OR(E4565="",E4565="!!!",F4565="NEW"),"",COUNTBLANK(OFFSET(A$1,,,SUMPRODUCT(MAX(ROW(E$2:E4565)*(E4565=E$2:E4565)))))-COUNTBLANK(OFFSET(A$1,,,SUMPRODUCT(MAX(ROW(E$1:E4564)*(E2=E$1:E4564))))))</f>
        <v> </v>
      </c>
      <c r="K4565" s="25" t="str">
        <f>IF(OR(E4565="",E4565="!!!",F4565="NEW"),"",INDEX(J$1:J4564,SUMPRODUCT(MAX(ROW(E$1:E4564)*(E4565=E$1:E4564)))))</f>
        <v> </v>
      </c>
      <c r="L4565" s="26"/>
    </row>
    <row r="4566" spans="1:12">
      <c r="A4566" s="20" t="s">
        <v>1041</v>
      </c>
      <c r="E4566" s="21">
        <f>IF(D4566="?OLD","!!!","")</f>
        <v/>
      </c>
      <c r="F4566" s="22" t="str">
        <f>IF(OR(E4566="",E4566="!!!"),"",IF(NOT(ISNA(VLOOKUP(E4566,E$1:E4565,1,FALSE()))),"OLD",IF(AND(E4566&lt;&gt;"",E4566&lt;&gt;"!!!"),"NEW","")))</f>
        <v> </v>
      </c>
      <c r="G4566" s="23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4" t="str">
        <f>IF(J4566&lt;&gt;1,"",IF(I4566="SBJ","CB","?"))</f>
        <v> </v>
      </c>
      <c r="I4566" s="25" t="str">
        <f>IF(OR(E4566="",E4566="!!!",F4566="NEW"),"",INDEX(B4565:B$2,-1+SUMPRODUCT(MAX(ROW(E4565:E$2)*(E4566=E4565:E$2)))))</f>
        <v> </v>
      </c>
      <c r="J4566" s="25" t="str">
        <f>IF(OR(E4566="",E4566="!!!",F4566="NEW"),"",COUNTBLANK(OFFSET(A$1,,,SUMPRODUCT(MAX(ROW(E$2:E4566)*(E4566=E$2:E4566)))))-COUNTBLANK(OFFSET(A$1,,,SUMPRODUCT(MAX(ROW(E$1:E4565)*(E2=E$1:E4565))))))</f>
        <v> </v>
      </c>
      <c r="K4566" s="25" t="str">
        <f>IF(OR(E4566="",E4566="!!!",F4566="NEW"),"",INDEX(J$1:J4565,SUMPRODUCT(MAX(ROW(E$1:E4565)*(E4566=E$1:E4565)))))</f>
        <v> </v>
      </c>
      <c r="L4566" s="26"/>
    </row>
    <row r="4567" spans="1:12">
      <c r="A4567" s="20" t="s">
        <v>201</v>
      </c>
      <c r="E4567" s="21">
        <f>IF(D4567="?OLD","!!!","")</f>
        <v/>
      </c>
      <c r="F4567" s="22" t="str">
        <f>IF(OR(E4567="",E4567="!!!"),"",IF(NOT(ISNA(VLOOKUP(E4567,E$1:E4566,1,FALSE()))),"OLD",IF(AND(E4567&lt;&gt;"",E4567&lt;&gt;"!!!"),"NEW","")))</f>
        <v> </v>
      </c>
      <c r="G4567" s="23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4" t="str">
        <f>IF(J4567&lt;&gt;1,"",IF(I4567="SBJ","CB","?"))</f>
        <v> </v>
      </c>
      <c r="I4567" s="25" t="str">
        <f>IF(OR(E4567="",E4567="!!!",F4567="NEW"),"",INDEX(B4566:B$2,-1+SUMPRODUCT(MAX(ROW(E4566:E$2)*(E4567=E4566:E$2)))))</f>
        <v> </v>
      </c>
      <c r="J4567" s="25" t="str">
        <f>IF(OR(E4567="",E4567="!!!",F4567="NEW"),"",COUNTBLANK(OFFSET(A$1,,,SUMPRODUCT(MAX(ROW(E$2:E4567)*(E4567=E$2:E4567)))))-COUNTBLANK(OFFSET(A$1,,,SUMPRODUCT(MAX(ROW(E$1:E4566)*(E2=E$1:E4566))))))</f>
        <v> </v>
      </c>
      <c r="K4567" s="25" t="str">
        <f>IF(OR(E4567="",E4567="!!!",F4567="NEW"),"",INDEX(J$1:J4566,SUMPRODUCT(MAX(ROW(E$1:E4566)*(E4567=E$1:E4566)))))</f>
        <v> </v>
      </c>
      <c r="L4567" s="26"/>
    </row>
    <row r="4568" spans="1:12">
      <c r="A4568" s="20" t="s">
        <v>2886</v>
      </c>
      <c r="B4568" s="27" t="s">
        <v>1045</v>
      </c>
      <c r="C4568" s="27" t="s">
        <v>1151</v>
      </c>
      <c r="E4568" s="21">
        <f>IF(D4568="?OLD","!!!","")</f>
        <v/>
      </c>
      <c r="F4568" s="22" t="str">
        <f>IF(OR(E4568="",E4568="!!!"),"",IF(NOT(ISNA(VLOOKUP(E4568,E$1:E4567,1,FALSE()))),"OLD",IF(AND(E4568&lt;&gt;"",E4568&lt;&gt;"!!!"),"NEW","")))</f>
        <v> </v>
      </c>
      <c r="G4568" s="23" t="str">
        <f>IF(OR(E4568="",E4568="!!!"),"",IF(OR(J4568=0,AND(J4568=1,K4568=1),AND(J4568=1,I4568="SBJ"),AND(J4568=1,I4568=0)),"?IN_FOCUS",IF(J4568&lt;=2,"?ACTIVATED",IF(J4568&lt;&gt;"","?FAMILIAR",IF(F4568="NEW",IF(ISNA(VLOOKUP(E4568,#REF!,1,FALSE())),"?TYPE_IDENTIFIABLE","?REFERENTIAL"),"_")))))</f>
        <v> </v>
      </c>
      <c r="H4568" s="24" t="str">
        <f>IF(J4568&lt;&gt;1,"",IF(I4568="SBJ","CB","?"))</f>
        <v> </v>
      </c>
      <c r="I4568" s="25" t="str">
        <f>IF(OR(E4568="",E4568="!!!",F4568="NEW"),"",INDEX(B4567:B$2,-1+SUMPRODUCT(MAX(ROW(E4567:E$2)*(E4568=E4567:E$2)))))</f>
        <v> </v>
      </c>
      <c r="J4568" s="25" t="str">
        <f>IF(OR(E4568="",E4568="!!!",F4568="NEW"),"",COUNTBLANK(OFFSET(A$1,,,SUMPRODUCT(MAX(ROW(E$2:E4568)*(E4568=E$2:E4568)))))-COUNTBLANK(OFFSET(A$1,,,SUMPRODUCT(MAX(ROW(E$1:E4567)*(E2=E$1:E4567))))))</f>
        <v> </v>
      </c>
      <c r="K4568" s="25" t="str">
        <f>IF(OR(E4568="",E4568="!!!",F4568="NEW"),"",INDEX(J$1:J4567,SUMPRODUCT(MAX(ROW(E$1:E4567)*(E4568=E$1:E4567)))))</f>
        <v> </v>
      </c>
      <c r="L4568" s="26"/>
    </row>
    <row r="4569" spans="1:12">
      <c r="A4569" s="20" t="s">
        <v>284</v>
      </c>
      <c r="E4569" s="21">
        <f>IF(D4569="?OLD","!!!","")</f>
        <v/>
      </c>
      <c r="F4569" s="22" t="str">
        <f>IF(OR(E4569="",E4569="!!!"),"",IF(NOT(ISNA(VLOOKUP(E4569,E$1:E4568,1,FALSE()))),"OLD",IF(AND(E4569&lt;&gt;"",E4569&lt;&gt;"!!!"),"NEW","")))</f>
        <v> </v>
      </c>
      <c r="G4569" s="23" t="str">
        <f>IF(OR(E4569="",E4569="!!!"),"",IF(OR(J4569=0,AND(J4569=1,K4569=1),AND(J4569=1,I4569="SBJ"),AND(J4569=1,I4569=0)),"?IN_FOCUS",IF(J4569&lt;=2,"?ACTIVATED",IF(J4569&lt;&gt;"","?FAMILIAR",IF(F4569="NEW",IF(ISNA(VLOOKUP(E4569,#REF!,1,FALSE())),"?TYPE_IDENTIFIABLE","?REFERENTIAL"),"_")))))</f>
        <v> </v>
      </c>
      <c r="H4569" s="24" t="str">
        <f>IF(J4569&lt;&gt;1,"",IF(I4569="SBJ","CB","?"))</f>
        <v> </v>
      </c>
      <c r="I4569" s="25" t="str">
        <f>IF(OR(E4569="",E4569="!!!",F4569="NEW"),"",INDEX(B4568:B$2,-1+SUMPRODUCT(MAX(ROW(E4568:E$2)*(E4569=E4568:E$2)))))</f>
        <v> </v>
      </c>
      <c r="J4569" s="25" t="str">
        <f>IF(OR(E4569="",E4569="!!!",F4569="NEW"),"",COUNTBLANK(OFFSET(A$1,,,SUMPRODUCT(MAX(ROW(E$2:E4569)*(E4569=E$2:E4569)))))-COUNTBLANK(OFFSET(A$1,,,SUMPRODUCT(MAX(ROW(E$1:E4568)*(E2=E$1:E4568))))))</f>
        <v> </v>
      </c>
      <c r="K4569" s="25" t="str">
        <f>IF(OR(E4569="",E4569="!!!",F4569="NEW"),"",INDEX(J$1:J4568,SUMPRODUCT(MAX(ROW(E$1:E4568)*(E4569=E$1:E4568)))))</f>
        <v> </v>
      </c>
      <c r="L4569" s="26"/>
    </row>
    <row r="4570" spans="1:12">
      <c r="A4570" s="20" t="s">
        <v>1990</v>
      </c>
      <c r="E4570" s="21">
        <f>IF(D4570="?OLD","!!!","")</f>
        <v/>
      </c>
      <c r="F4570" s="22" t="str">
        <f>IF(OR(E4570="",E4570="!!!"),"",IF(NOT(ISNA(VLOOKUP(E4570,E$1:E4569,1,FALSE()))),"OLD",IF(AND(E4570&lt;&gt;"",E4570&lt;&gt;"!!!"),"NEW","")))</f>
        <v> </v>
      </c>
      <c r="G4570" s="23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4" t="str">
        <f>IF(J4570&lt;&gt;1,"",IF(I4570="SBJ","CB","?"))</f>
        <v> </v>
      </c>
      <c r="I4570" s="25" t="str">
        <f>IF(OR(E4570="",E4570="!!!",F4570="NEW"),"",INDEX(B4569:B$2,-1+SUMPRODUCT(MAX(ROW(E4569:E$2)*(E4570=E4569:E$2)))))</f>
        <v> </v>
      </c>
      <c r="J4570" s="25" t="str">
        <f>IF(OR(E4570="",E4570="!!!",F4570="NEW"),"",COUNTBLANK(OFFSET(A$1,,,SUMPRODUCT(MAX(ROW(E$2:E4570)*(E4570=E$2:E4570)))))-COUNTBLANK(OFFSET(A$1,,,SUMPRODUCT(MAX(ROW(E$1:E4569)*(E2=E$1:E4569))))))</f>
        <v> </v>
      </c>
      <c r="K4570" s="25" t="str">
        <f>IF(OR(E4570="",E4570="!!!",F4570="NEW"),"",INDEX(J$1:J4569,SUMPRODUCT(MAX(ROW(E$1:E4569)*(E4570=E$1:E4569)))))</f>
        <v> </v>
      </c>
      <c r="L4570" s="26"/>
    </row>
    <row r="4571" spans="1:12">
      <c r="A4571" s="20" t="s">
        <v>2887</v>
      </c>
      <c r="E4571" s="21">
        <f>IF(D4571="?OLD","!!!","")</f>
        <v/>
      </c>
      <c r="F4571" s="22" t="str">
        <f>IF(OR(E4571="",E4571="!!!"),"",IF(NOT(ISNA(VLOOKUP(E4571,E$1:E4570,1,FALSE()))),"OLD",IF(AND(E4571&lt;&gt;"",E4571&lt;&gt;"!!!"),"NEW","")))</f>
        <v> </v>
      </c>
      <c r="G4571" s="23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4" t="str">
        <f>IF(J4571&lt;&gt;1,"",IF(I4571="SBJ","CB","?"))</f>
        <v> </v>
      </c>
      <c r="I4571" s="25" t="str">
        <f>IF(OR(E4571="",E4571="!!!",F4571="NEW"),"",INDEX(B4570:B$2,-1+SUMPRODUCT(MAX(ROW(E4570:E$2)*(E4571=E4570:E$2)))))</f>
        <v> </v>
      </c>
      <c r="J4571" s="25" t="str">
        <f>IF(OR(E4571="",E4571="!!!",F4571="NEW"),"",COUNTBLANK(OFFSET(A$1,,,SUMPRODUCT(MAX(ROW(E$2:E4571)*(E4571=E$2:E4571)))))-COUNTBLANK(OFFSET(A$1,,,SUMPRODUCT(MAX(ROW(E$1:E4570)*(E2=E$1:E4570))))))</f>
        <v> </v>
      </c>
      <c r="K4571" s="25" t="str">
        <f>IF(OR(E4571="",E4571="!!!",F4571="NEW"),"",INDEX(J$1:J4570,SUMPRODUCT(MAX(ROW(E$1:E4570)*(E4571=E$1:E4570)))))</f>
        <v> </v>
      </c>
      <c r="L4571" s="26"/>
    </row>
    <row r="4572" spans="1:12">
      <c r="A4572" s="20" t="s">
        <v>1041</v>
      </c>
      <c r="E4572" s="21">
        <f>IF(D4572="?OLD","!!!","")</f>
        <v/>
      </c>
      <c r="F4572" s="22" t="str">
        <f>IF(OR(E4572="",E4572="!!!"),"",IF(NOT(ISNA(VLOOKUP(E4572,E$1:E4571,1,FALSE()))),"OLD",IF(AND(E4572&lt;&gt;"",E4572&lt;&gt;"!!!"),"NEW","")))</f>
        <v> </v>
      </c>
      <c r="G4572" s="23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4" t="str">
        <f>IF(J4572&lt;&gt;1,"",IF(I4572="SBJ","CB","?"))</f>
        <v> </v>
      </c>
      <c r="I4572" s="25" t="str">
        <f>IF(OR(E4572="",E4572="!!!",F4572="NEW"),"",INDEX(B4571:B$2,-1+SUMPRODUCT(MAX(ROW(E4571:E$2)*(E4572=E4571:E$2)))))</f>
        <v> </v>
      </c>
      <c r="J4572" s="25" t="str">
        <f>IF(OR(E4572="",E4572="!!!",F4572="NEW"),"",COUNTBLANK(OFFSET(A$1,,,SUMPRODUCT(MAX(ROW(E$2:E4572)*(E4572=E$2:E4572)))))-COUNTBLANK(OFFSET(A$1,,,SUMPRODUCT(MAX(ROW(E$1:E4571)*(E2=E$1:E4571))))))</f>
        <v> </v>
      </c>
      <c r="K4572" s="25" t="str">
        <f>IF(OR(E4572="",E4572="!!!",F4572="NEW"),"",INDEX(J$1:J4571,SUMPRODUCT(MAX(ROW(E$1:E4571)*(E4572=E$1:E4571)))))</f>
        <v> </v>
      </c>
      <c r="L4572" s="26"/>
    </row>
    <row r="4573" spans="1:12">
      <c r="A4573" s="20" t="s">
        <v>1062</v>
      </c>
      <c r="E4573" s="21">
        <f>IF(D4573="?OLD","!!!","")</f>
        <v/>
      </c>
      <c r="F4573" s="22" t="str">
        <f>IF(OR(E4573="",E4573="!!!"),"",IF(NOT(ISNA(VLOOKUP(E4573,E$1:E4572,1,FALSE()))),"OLD",IF(AND(E4573&lt;&gt;"",E4573&lt;&gt;"!!!"),"NEW","")))</f>
        <v> </v>
      </c>
      <c r="G4573" s="23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4" t="str">
        <f>IF(J4573&lt;&gt;1,"",IF(I4573="SBJ","CB","?"))</f>
        <v> </v>
      </c>
      <c r="I4573" s="25" t="str">
        <f>IF(OR(E4573="",E4573="!!!",F4573="NEW"),"",INDEX(B4572:B$2,-1+SUMPRODUCT(MAX(ROW(E4572:E$2)*(E4573=E4572:E$2)))))</f>
        <v> </v>
      </c>
      <c r="J4573" s="25" t="str">
        <f>IF(OR(E4573="",E4573="!!!",F4573="NEW"),"",COUNTBLANK(OFFSET(A$1,,,SUMPRODUCT(MAX(ROW(E$2:E4573)*(E4573=E$2:E4573)))))-COUNTBLANK(OFFSET(A$1,,,SUMPRODUCT(MAX(ROW(E$1:E4572)*(E2=E$1:E4572))))))</f>
        <v> </v>
      </c>
      <c r="K4573" s="25" t="str">
        <f>IF(OR(E4573="",E4573="!!!",F4573="NEW"),"",INDEX(J$1:J4572,SUMPRODUCT(MAX(ROW(E$1:E4572)*(E4573=E$1:E4572)))))</f>
        <v> </v>
      </c>
      <c r="L4573" s="26"/>
    </row>
    <row r="4574" spans="1:12">
      <c r="A4574" s="20" t="s">
        <v>2784</v>
      </c>
      <c r="E4574" s="21">
        <f>IF(D4574="?OLD","!!!","")</f>
        <v/>
      </c>
      <c r="F4574" s="22" t="str">
        <f>IF(OR(E4574="",E4574="!!!"),"",IF(NOT(ISNA(VLOOKUP(E4574,E$1:E4573,1,FALSE()))),"OLD",IF(AND(E4574&lt;&gt;"",E4574&lt;&gt;"!!!"),"NEW","")))</f>
        <v> </v>
      </c>
      <c r="G4574" s="23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4" t="str">
        <f>IF(J4574&lt;&gt;1,"",IF(I4574="SBJ","CB","?"))</f>
        <v> </v>
      </c>
      <c r="I4574" s="25" t="str">
        <f>IF(OR(E4574="",E4574="!!!",F4574="NEW"),"",INDEX(B4573:B$2,-1+SUMPRODUCT(MAX(ROW(E4573:E$2)*(E4574=E4573:E$2)))))</f>
        <v> </v>
      </c>
      <c r="J4574" s="25" t="str">
        <f>IF(OR(E4574="",E4574="!!!",F4574="NEW"),"",COUNTBLANK(OFFSET(A$1,,,SUMPRODUCT(MAX(ROW(E$2:E4574)*(E4574=E$2:E4574)))))-COUNTBLANK(OFFSET(A$1,,,SUMPRODUCT(MAX(ROW(E$1:E4573)*(E2=E$1:E4573))))))</f>
        <v> </v>
      </c>
      <c r="K4574" s="25" t="str">
        <f>IF(OR(E4574="",E4574="!!!",F4574="NEW"),"",INDEX(J$1:J4573,SUMPRODUCT(MAX(ROW(E$1:E4573)*(E4574=E$1:E4573)))))</f>
        <v> </v>
      </c>
      <c r="L4574" s="26"/>
    </row>
    <row r="4575" spans="1:12">
      <c r="A4575" s="20" t="s">
        <v>2126</v>
      </c>
      <c r="E4575" s="21">
        <f>IF(D4575="?OLD","!!!","")</f>
        <v/>
      </c>
      <c r="F4575" s="22" t="str">
        <f>IF(OR(E4575="",E4575="!!!"),"",IF(NOT(ISNA(VLOOKUP(E4575,E$1:E4574,1,FALSE()))),"OLD",IF(AND(E4575&lt;&gt;"",E4575&lt;&gt;"!!!"),"NEW","")))</f>
        <v> </v>
      </c>
      <c r="G4575" s="23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4" t="str">
        <f>IF(J4575&lt;&gt;1,"",IF(I4575="SBJ","CB","?"))</f>
        <v> </v>
      </c>
      <c r="I4575" s="25" t="str">
        <f>IF(OR(E4575="",E4575="!!!",F4575="NEW"),"",INDEX(B4574:B$2,-1+SUMPRODUCT(MAX(ROW(E4574:E$2)*(E4575=E4574:E$2)))))</f>
        <v> </v>
      </c>
      <c r="J4575" s="25" t="str">
        <f>IF(OR(E4575="",E4575="!!!",F4575="NEW"),"",COUNTBLANK(OFFSET(A$1,,,SUMPRODUCT(MAX(ROW(E$2:E4575)*(E4575=E$2:E4575)))))-COUNTBLANK(OFFSET(A$1,,,SUMPRODUCT(MAX(ROW(E$1:E4574)*(E2=E$1:E4574))))))</f>
        <v> </v>
      </c>
      <c r="K4575" s="25" t="str">
        <f>IF(OR(E4575="",E4575="!!!",F4575="NEW"),"",INDEX(J$1:J4574,SUMPRODUCT(MAX(ROW(E$1:E4574)*(E4575=E$1:E4574)))))</f>
        <v> </v>
      </c>
      <c r="L4575" s="26"/>
    </row>
    <row r="4576" spans="1:12">
      <c r="A4576" s="20" t="s">
        <v>1778</v>
      </c>
      <c r="E4576" s="21">
        <f>IF(D4576="?OLD","!!!","")</f>
        <v/>
      </c>
      <c r="F4576" s="22" t="str">
        <f>IF(OR(E4576="",E4576="!!!"),"",IF(NOT(ISNA(VLOOKUP(E4576,E$1:E4575,1,FALSE()))),"OLD",IF(AND(E4576&lt;&gt;"",E4576&lt;&gt;"!!!"),"NEW","")))</f>
        <v> </v>
      </c>
      <c r="G4576" s="23" t="str">
        <f>IF(OR(E4576="",E4576="!!!"),"",IF(OR(J4576=0,AND(J4576=1,K4576=1),AND(J4576=1,I4576="SBJ"),AND(J4576=1,I4576=0)),"?IN_FOCUS",IF(J4576&lt;=2,"?ACTIVATED",IF(J4576&lt;&gt;"","?FAMILIAR",IF(F4576="NEW",IF(ISNA(VLOOKUP(E4576,#REF!,1,FALSE())),"?TYPE_IDENTIFIABLE","?REFERENTIAL"),"_")))))</f>
        <v> </v>
      </c>
      <c r="H4576" s="24" t="str">
        <f>IF(J4576&lt;&gt;1,"",IF(I4576="SBJ","CB","?"))</f>
        <v> </v>
      </c>
      <c r="I4576" s="25" t="str">
        <f>IF(OR(E4576="",E4576="!!!",F4576="NEW"),"",INDEX(B4575:B$2,-1+SUMPRODUCT(MAX(ROW(E4575:E$2)*(E4576=E4575:E$2)))))</f>
        <v> </v>
      </c>
      <c r="J4576" s="25" t="str">
        <f>IF(OR(E4576="",E4576="!!!",F4576="NEW"),"",COUNTBLANK(OFFSET(A$1,,,SUMPRODUCT(MAX(ROW(E$2:E4576)*(E4576=E$2:E4576)))))-COUNTBLANK(OFFSET(A$1,,,SUMPRODUCT(MAX(ROW(E$1:E4575)*(E2=E$1:E4575))))))</f>
        <v> </v>
      </c>
      <c r="K4576" s="25" t="str">
        <f>IF(OR(E4576="",E4576="!!!",F4576="NEW"),"",INDEX(J$1:J4575,SUMPRODUCT(MAX(ROW(E$1:E4575)*(E4576=E$1:E4575)))))</f>
        <v> </v>
      </c>
      <c r="L4576" s="26"/>
    </row>
    <row r="4577" spans="1:12">
      <c r="A4577" s="20" t="s">
        <v>2483</v>
      </c>
      <c r="E4577" s="21">
        <f>IF(D4577="?OLD","!!!","")</f>
        <v/>
      </c>
      <c r="F4577" s="22" t="str">
        <f>IF(OR(E4577="",E4577="!!!"),"",IF(NOT(ISNA(VLOOKUP(E4577,E$1:E4576,1,FALSE()))),"OLD",IF(AND(E4577&lt;&gt;"",E4577&lt;&gt;"!!!"),"NEW","")))</f>
        <v> </v>
      </c>
      <c r="G4577" s="23" t="str">
        <f>IF(OR(E4577="",E4577="!!!"),"",IF(OR(J4577=0,AND(J4577=1,K4577=1),AND(J4577=1,I4577="SBJ"),AND(J4577=1,I4577=0)),"?IN_FOCUS",IF(J4577&lt;=2,"?ACTIVATED",IF(J4577&lt;&gt;"","?FAMILIAR",IF(F4577="NEW",IF(ISNA(VLOOKUP(E4577,#REF!,1,FALSE())),"?TYPE_IDENTIFIABLE","?REFERENTIAL"),"_")))))</f>
        <v> </v>
      </c>
      <c r="H4577" s="24" t="str">
        <f>IF(J4577&lt;&gt;1,"",IF(I4577="SBJ","CB","?"))</f>
        <v> </v>
      </c>
      <c r="I4577" s="25" t="str">
        <f>IF(OR(E4577="",E4577="!!!",F4577="NEW"),"",INDEX(B4576:B$2,-1+SUMPRODUCT(MAX(ROW(E4576:E$2)*(E4577=E4576:E$2)))))</f>
        <v> </v>
      </c>
      <c r="J4577" s="25" t="str">
        <f>IF(OR(E4577="",E4577="!!!",F4577="NEW"),"",COUNTBLANK(OFFSET(A$1,,,SUMPRODUCT(MAX(ROW(E$2:E4577)*(E4577=E$2:E4577)))))-COUNTBLANK(OFFSET(A$1,,,SUMPRODUCT(MAX(ROW(E$1:E4576)*(E2=E$1:E4576))))))</f>
        <v> </v>
      </c>
      <c r="K4577" s="25" t="str">
        <f>IF(OR(E4577="",E4577="!!!",F4577="NEW"),"",INDEX(J$1:J4576,SUMPRODUCT(MAX(ROW(E$1:E4576)*(E4577=E$1:E4576)))))</f>
        <v> </v>
      </c>
      <c r="L4577" s="26"/>
    </row>
    <row r="4578" spans="1:12">
      <c r="A4578" s="20" t="s">
        <v>1385</v>
      </c>
      <c r="E4578" s="21">
        <f>IF(D4578="?OLD","!!!","")</f>
        <v/>
      </c>
      <c r="F4578" s="22" t="str">
        <f>IF(OR(E4578="",E4578="!!!"),"",IF(NOT(ISNA(VLOOKUP(E4578,E$1:E4577,1,FALSE()))),"OLD",IF(AND(E4578&lt;&gt;"",E4578&lt;&gt;"!!!"),"NEW","")))</f>
        <v> </v>
      </c>
      <c r="G4578" s="23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4" t="str">
        <f>IF(J4578&lt;&gt;1,"",IF(I4578="SBJ","CB","?"))</f>
        <v> </v>
      </c>
      <c r="I4578" s="25" t="str">
        <f>IF(OR(E4578="",E4578="!!!",F4578="NEW"),"",INDEX(B4577:B$2,-1+SUMPRODUCT(MAX(ROW(E4577:E$2)*(E4578=E4577:E$2)))))</f>
        <v> </v>
      </c>
      <c r="J4578" s="25" t="str">
        <f>IF(OR(E4578="",E4578="!!!",F4578="NEW"),"",COUNTBLANK(OFFSET(A$1,,,SUMPRODUCT(MAX(ROW(E$2:E4578)*(E4578=E$2:E4578)))))-COUNTBLANK(OFFSET(A$1,,,SUMPRODUCT(MAX(ROW(E$1:E4577)*(E2=E$1:E4577))))))</f>
        <v> </v>
      </c>
      <c r="K4578" s="25" t="str">
        <f>IF(OR(E4578="",E4578="!!!",F4578="NEW"),"",INDEX(J$1:J4577,SUMPRODUCT(MAX(ROW(E$1:E4577)*(E4578=E$1:E4577)))))</f>
        <v> </v>
      </c>
      <c r="L4578" s="26"/>
    </row>
    <row r="4579" spans="1:12">
      <c r="A4579" s="20" t="s">
        <v>1030</v>
      </c>
      <c r="E4579" s="21">
        <f>IF(D4579="?OLD","!!!","")</f>
        <v/>
      </c>
      <c r="F4579" s="22" t="str">
        <f>IF(OR(E4579="",E4579="!!!"),"",IF(NOT(ISNA(VLOOKUP(E4579,E$1:E4578,1,FALSE()))),"OLD",IF(AND(E4579&lt;&gt;"",E4579&lt;&gt;"!!!"),"NEW","")))</f>
        <v> </v>
      </c>
      <c r="G4579" s="23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4" t="str">
        <f>IF(J4579&lt;&gt;1,"",IF(I4579="SBJ","CB","?"))</f>
        <v> </v>
      </c>
      <c r="I4579" s="25" t="str">
        <f>IF(OR(E4579="",E4579="!!!",F4579="NEW"),"",INDEX(B4578:B$2,-1+SUMPRODUCT(MAX(ROW(E4578:E$2)*(E4579=E4578:E$2)))))</f>
        <v> </v>
      </c>
      <c r="J4579" s="25" t="str">
        <f>IF(OR(E4579="",E4579="!!!",F4579="NEW"),"",COUNTBLANK(OFFSET(A$1,,,SUMPRODUCT(MAX(ROW(E$2:E4579)*(E4579=E$2:E4579)))))-COUNTBLANK(OFFSET(A$1,,,SUMPRODUCT(MAX(ROW(E$1:E4578)*(E2=E$1:E4578))))))</f>
        <v> </v>
      </c>
      <c r="K4579" s="25" t="str">
        <f>IF(OR(E4579="",E4579="!!!",F4579="NEW"),"",INDEX(J$1:J4578,SUMPRODUCT(MAX(ROW(E$1:E4578)*(E4579=E$1:E4578)))))</f>
        <v> </v>
      </c>
      <c r="L4579" s="26"/>
    </row>
    <row r="4580" spans="1:12">
      <c r="A4580" s="20" t="s">
        <v>1096</v>
      </c>
      <c r="B4580" s="27" t="s">
        <v>1339</v>
      </c>
      <c r="C4580" s="27" t="s">
        <v>1620</v>
      </c>
      <c r="E4580" s="21">
        <f>IF(D4580="?OLD","!!!","")</f>
        <v/>
      </c>
      <c r="F4580" s="22" t="str">
        <f>IF(OR(E4580="",E4580="!!!"),"",IF(NOT(ISNA(VLOOKUP(E4580,E$1:E4579,1,FALSE()))),"OLD",IF(AND(E4580&lt;&gt;"",E4580&lt;&gt;"!!!"),"NEW","")))</f>
        <v> </v>
      </c>
      <c r="G4580" s="23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4" t="str">
        <f>IF(J4580&lt;&gt;1,"",IF(I4580="SBJ","CB","?"))</f>
        <v> </v>
      </c>
      <c r="I4580" s="25" t="str">
        <f>IF(OR(E4580="",E4580="!!!",F4580="NEW"),"",INDEX(B4579:B$2,-1+SUMPRODUCT(MAX(ROW(E4579:E$2)*(E4580=E4579:E$2)))))</f>
        <v> </v>
      </c>
      <c r="J4580" s="25" t="str">
        <f>IF(OR(E4580="",E4580="!!!",F4580="NEW"),"",COUNTBLANK(OFFSET(A$1,,,SUMPRODUCT(MAX(ROW(E$2:E4580)*(E4580=E$2:E4580)))))-COUNTBLANK(OFFSET(A$1,,,SUMPRODUCT(MAX(ROW(E$1:E4579)*(E2=E$1:E4579))))))</f>
        <v> </v>
      </c>
      <c r="K4580" s="25" t="str">
        <f>IF(OR(E4580="",E4580="!!!",F4580="NEW"),"",INDEX(J$1:J4579,SUMPRODUCT(MAX(ROW(E$1:E4579)*(E4580=E$1:E4579)))))</f>
        <v> </v>
      </c>
      <c r="L4580" s="26"/>
    </row>
    <row r="4581" spans="1:12">
      <c r="A4581" s="20" t="s">
        <v>2887</v>
      </c>
      <c r="E4581" s="21">
        <f>IF(D4581="?OLD","!!!","")</f>
        <v/>
      </c>
      <c r="F4581" s="22" t="str">
        <f>IF(OR(E4581="",E4581="!!!"),"",IF(NOT(ISNA(VLOOKUP(E4581,E$1:E4580,1,FALSE()))),"OLD",IF(AND(E4581&lt;&gt;"",E4581&lt;&gt;"!!!"),"NEW","")))</f>
        <v> </v>
      </c>
      <c r="G4581" s="23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4" t="str">
        <f>IF(J4581&lt;&gt;1,"",IF(I4581="SBJ","CB","?"))</f>
        <v> </v>
      </c>
      <c r="I4581" s="25" t="str">
        <f>IF(OR(E4581="",E4581="!!!",F4581="NEW"),"",INDEX(B4580:B$2,-1+SUMPRODUCT(MAX(ROW(E4580:E$2)*(E4581=E4580:E$2)))))</f>
        <v> </v>
      </c>
      <c r="J4581" s="25" t="str">
        <f>IF(OR(E4581="",E4581="!!!",F4581="NEW"),"",COUNTBLANK(OFFSET(A$1,,,SUMPRODUCT(MAX(ROW(E$2:E4581)*(E4581=E$2:E4581)))))-COUNTBLANK(OFFSET(A$1,,,SUMPRODUCT(MAX(ROW(E$1:E4580)*(E2=E$1:E4580))))))</f>
        <v> </v>
      </c>
      <c r="K4581" s="25" t="str">
        <f>IF(OR(E4581="",E4581="!!!",F4581="NEW"),"",INDEX(J$1:J4580,SUMPRODUCT(MAX(ROW(E$1:E4580)*(E4581=E$1:E4580)))))</f>
        <v> </v>
      </c>
      <c r="L4581" s="26"/>
    </row>
    <row r="4582" spans="1:12">
      <c r="A4582" s="20" t="s">
        <v>1107</v>
      </c>
      <c r="E4582" s="21">
        <f>IF(D4582="?OLD","!!!","")</f>
        <v/>
      </c>
      <c r="F4582" s="22" t="str">
        <f>IF(OR(E4582="",E4582="!!!"),"",IF(NOT(ISNA(VLOOKUP(E4582,E$1:E4581,1,FALSE()))),"OLD",IF(AND(E4582&lt;&gt;"",E4582&lt;&gt;"!!!"),"NEW","")))</f>
        <v> </v>
      </c>
      <c r="G4582" s="23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4" t="str">
        <f>IF(J4582&lt;&gt;1,"",IF(I4582="SBJ","CB","?"))</f>
        <v> </v>
      </c>
      <c r="I4582" s="25" t="str">
        <f>IF(OR(E4582="",E4582="!!!",F4582="NEW"),"",INDEX(B4581:B$2,-1+SUMPRODUCT(MAX(ROW(E4581:E$2)*(E4582=E4581:E$2)))))</f>
        <v> </v>
      </c>
      <c r="J4582" s="25" t="str">
        <f>IF(OR(E4582="",E4582="!!!",F4582="NEW"),"",COUNTBLANK(OFFSET(A$1,,,SUMPRODUCT(MAX(ROW(E$2:E4582)*(E4582=E$2:E4582)))))-COUNTBLANK(OFFSET(A$1,,,SUMPRODUCT(MAX(ROW(E$1:E4581)*(E2=E$1:E4581))))))</f>
        <v> </v>
      </c>
      <c r="K4582" s="25" t="str">
        <f>IF(OR(E4582="",E4582="!!!",F4582="NEW"),"",INDEX(J$1:J4581,SUMPRODUCT(MAX(ROW(E$1:E4581)*(E4582=E$1:E4581)))))</f>
        <v> </v>
      </c>
      <c r="L4582" s="26"/>
    </row>
    <row r="4583" spans="1:12">
      <c r="A4583" s="20" t="s">
        <v>1324</v>
      </c>
      <c r="E4583" s="21">
        <f>IF(D4583="?OLD","!!!","")</f>
        <v/>
      </c>
      <c r="F4583" s="22" t="str">
        <f>IF(OR(E4583="",E4583="!!!"),"",IF(NOT(ISNA(VLOOKUP(E4583,E$1:E4582,1,FALSE()))),"OLD",IF(AND(E4583&lt;&gt;"",E4583&lt;&gt;"!!!"),"NEW","")))</f>
        <v> </v>
      </c>
      <c r="G4583" s="23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4" t="str">
        <f>IF(J4583&lt;&gt;1,"",IF(I4583="SBJ","CB","?"))</f>
        <v> </v>
      </c>
      <c r="I4583" s="25" t="str">
        <f>IF(OR(E4583="",E4583="!!!",F4583="NEW"),"",INDEX(B4582:B$2,-1+SUMPRODUCT(MAX(ROW(E4582:E$2)*(E4583=E4582:E$2)))))</f>
        <v> </v>
      </c>
      <c r="J4583" s="25" t="str">
        <f>IF(OR(E4583="",E4583="!!!",F4583="NEW"),"",COUNTBLANK(OFFSET(A$1,,,SUMPRODUCT(MAX(ROW(E$2:E4583)*(E4583=E$2:E4583)))))-COUNTBLANK(OFFSET(A$1,,,SUMPRODUCT(MAX(ROW(E$1:E4582)*(E2=E$1:E4582))))))</f>
        <v> </v>
      </c>
      <c r="K4583" s="25" t="str">
        <f>IF(OR(E4583="",E4583="!!!",F4583="NEW"),"",INDEX(J$1:J4582,SUMPRODUCT(MAX(ROW(E$1:E4582)*(E4583=E$1:E4582)))))</f>
        <v> </v>
      </c>
      <c r="L4583" s="26"/>
    </row>
    <row r="4584" spans="1:12">
      <c r="A4584" s="20" t="s">
        <v>1289</v>
      </c>
      <c r="E4584" s="21">
        <f>IF(D4584="?OLD","!!!","")</f>
        <v/>
      </c>
      <c r="F4584" s="22" t="str">
        <f>IF(OR(E4584="",E4584="!!!"),"",IF(NOT(ISNA(VLOOKUP(E4584,E$1:E4583,1,FALSE()))),"OLD",IF(AND(E4584&lt;&gt;"",E4584&lt;&gt;"!!!"),"NEW","")))</f>
        <v> </v>
      </c>
      <c r="G4584" s="23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4" t="str">
        <f>IF(J4584&lt;&gt;1,"",IF(I4584="SBJ","CB","?"))</f>
        <v> </v>
      </c>
      <c r="I4584" s="25" t="str">
        <f>IF(OR(E4584="",E4584="!!!",F4584="NEW"),"",INDEX(B4583:B$2,-1+SUMPRODUCT(MAX(ROW(E4583:E$2)*(E4584=E4583:E$2)))))</f>
        <v> </v>
      </c>
      <c r="J4584" s="25" t="str">
        <f>IF(OR(E4584="",E4584="!!!",F4584="NEW"),"",COUNTBLANK(OFFSET(A$1,,,SUMPRODUCT(MAX(ROW(E$2:E4584)*(E4584=E$2:E4584)))))-COUNTBLANK(OFFSET(A$1,,,SUMPRODUCT(MAX(ROW(E$1:E4583)*(E2=E$1:E4583))))))</f>
        <v> </v>
      </c>
      <c r="K4584" s="25" t="str">
        <f>IF(OR(E4584="",E4584="!!!",F4584="NEW"),"",INDEX(J$1:J4583,SUMPRODUCT(MAX(ROW(E$1:E4583)*(E4584=E$1:E4583)))))</f>
        <v> </v>
      </c>
      <c r="L4584" s="26"/>
    </row>
    <row r="4585" spans="1:12">
      <c r="A4585" s="20" t="s">
        <v>2483</v>
      </c>
      <c r="E4585" s="21">
        <f>IF(D4585="?OLD","!!!","")</f>
        <v/>
      </c>
      <c r="F4585" s="22" t="str">
        <f>IF(OR(E4585="",E4585="!!!"),"",IF(NOT(ISNA(VLOOKUP(E4585,E$1:E4584,1,FALSE()))),"OLD",IF(AND(E4585&lt;&gt;"",E4585&lt;&gt;"!!!"),"NEW","")))</f>
        <v> </v>
      </c>
      <c r="G4585" s="23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4" t="str">
        <f>IF(J4585&lt;&gt;1,"",IF(I4585="SBJ","CB","?"))</f>
        <v> </v>
      </c>
      <c r="I4585" s="25" t="str">
        <f>IF(OR(E4585="",E4585="!!!",F4585="NEW"),"",INDEX(B4584:B$2,-1+SUMPRODUCT(MAX(ROW(E4584:E$2)*(E4585=E4584:E$2)))))</f>
        <v> </v>
      </c>
      <c r="J4585" s="25" t="str">
        <f>IF(OR(E4585="",E4585="!!!",F4585="NEW"),"",COUNTBLANK(OFFSET(A$1,,,SUMPRODUCT(MAX(ROW(E$2:E4585)*(E4585=E$2:E4585)))))-COUNTBLANK(OFFSET(A$1,,,SUMPRODUCT(MAX(ROW(E$1:E4584)*(E2=E$1:E4584))))))</f>
        <v> </v>
      </c>
      <c r="K4585" s="25" t="str">
        <f>IF(OR(E4585="",E4585="!!!",F4585="NEW"),"",INDEX(J$1:J4584,SUMPRODUCT(MAX(ROW(E$1:E4584)*(E4585=E$1:E4584)))))</f>
        <v> </v>
      </c>
      <c r="L4585" s="26"/>
    </row>
    <row r="4586" spans="1:12">
      <c r="A4586" s="20"/>
    </row>
    <row r="4587" spans="1:12">
      <c r="A4587" s="20" t="s">
        <v>2888</v>
      </c>
    </row>
    <row r="4588" spans="1:12">
      <c r="A4588" s="20" t="s">
        <v>1162</v>
      </c>
      <c r="E4588" s="21">
        <f>IF(D4588="?OLD","!!!","")</f>
        <v/>
      </c>
      <c r="F4588" s="22" t="str">
        <f>IF(OR(E4588="",E4588="!!!"),"",IF(NOT(ISNA(VLOOKUP(E4588,E$1:E4587,1,FALSE()))),"OLD",IF(AND(E4588&lt;&gt;"",E4588&lt;&gt;"!!!"),"NEW","")))</f>
        <v> </v>
      </c>
      <c r="G4588" s="23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4" t="str">
        <f>IF(J4588&lt;&gt;1,"",IF(I4588="SBJ","CB","?"))</f>
        <v> </v>
      </c>
      <c r="I4588" s="25" t="str">
        <f>IF(OR(E4588="",E4588="!!!",F4588="NEW"),"",INDEX(B4587:B$2,-1+SUMPRODUCT(MAX(ROW(E4587:E$2)*(E4588=E4587:E$2)))))</f>
        <v> </v>
      </c>
      <c r="J4588" s="25" t="str">
        <f>IF(OR(E4588="",E4588="!!!",F4588="NEW"),"",COUNTBLANK(OFFSET(A$1,,,SUMPRODUCT(MAX(ROW(E$2:E4588)*(E4588=E$2:E4588)))))-COUNTBLANK(OFFSET(A$1,,,SUMPRODUCT(MAX(ROW(E$1:E4587)*(E2=E$1:E4587))))))</f>
        <v> </v>
      </c>
      <c r="K4588" s="25" t="str">
        <f>IF(OR(E4588="",E4588="!!!",F4588="NEW"),"",INDEX(J$1:J4587,SUMPRODUCT(MAX(ROW(E$1:E4587)*(E4588=E$1:E4587)))))</f>
        <v> </v>
      </c>
      <c r="L4588" s="26"/>
    </row>
    <row r="4589" spans="1:12">
      <c r="A4589" s="20" t="s">
        <v>2889</v>
      </c>
      <c r="E4589" s="21">
        <f>IF(D4589="?OLD","!!!","")</f>
        <v/>
      </c>
      <c r="F4589" s="22" t="str">
        <f>IF(OR(E4589="",E4589="!!!"),"",IF(NOT(ISNA(VLOOKUP(E4589,E$1:E4588,1,FALSE()))),"OLD",IF(AND(E4589&lt;&gt;"",E4589&lt;&gt;"!!!"),"NEW","")))</f>
        <v> </v>
      </c>
      <c r="G4589" s="23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4" t="str">
        <f>IF(J4589&lt;&gt;1,"",IF(I4589="SBJ","CB","?"))</f>
        <v> </v>
      </c>
      <c r="I4589" s="25" t="str">
        <f>IF(OR(E4589="",E4589="!!!",F4589="NEW"),"",INDEX(B4588:B$2,-1+SUMPRODUCT(MAX(ROW(E4588:E$2)*(E4589=E4588:E$2)))))</f>
        <v> </v>
      </c>
      <c r="J4589" s="25" t="str">
        <f>IF(OR(E4589="",E4589="!!!",F4589="NEW"),"",COUNTBLANK(OFFSET(A$1,,,SUMPRODUCT(MAX(ROW(E$2:E4589)*(E4589=E$2:E4589)))))-COUNTBLANK(OFFSET(A$1,,,SUMPRODUCT(MAX(ROW(E$1:E4588)*(E2=E$1:E4588))))))</f>
        <v> </v>
      </c>
      <c r="K4589" s="25" t="str">
        <f>IF(OR(E4589="",E4589="!!!",F4589="NEW"),"",INDEX(J$1:J4588,SUMPRODUCT(MAX(ROW(E$1:E4588)*(E4589=E$1:E4588)))))</f>
        <v> </v>
      </c>
      <c r="L4589" s="26"/>
    </row>
    <row r="4590" spans="1:12">
      <c r="A4590" s="20" t="s">
        <v>1861</v>
      </c>
      <c r="E4590" s="21">
        <f>IF(D4590="?OLD","!!!","")</f>
        <v/>
      </c>
      <c r="F4590" s="22" t="str">
        <f>IF(OR(E4590="",E4590="!!!"),"",IF(NOT(ISNA(VLOOKUP(E4590,E$1:E4589,1,FALSE()))),"OLD",IF(AND(E4590&lt;&gt;"",E4590&lt;&gt;"!!!"),"NEW","")))</f>
        <v> </v>
      </c>
      <c r="G4590" s="23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4" t="str">
        <f>IF(J4590&lt;&gt;1,"",IF(I4590="SBJ","CB","?"))</f>
        <v> </v>
      </c>
      <c r="I4590" s="25" t="str">
        <f>IF(OR(E4590="",E4590="!!!",F4590="NEW"),"",INDEX(B4589:B$2,-1+SUMPRODUCT(MAX(ROW(E4589:E$2)*(E4590=E4589:E$2)))))</f>
        <v> </v>
      </c>
      <c r="J4590" s="25" t="str">
        <f>IF(OR(E4590="",E4590="!!!",F4590="NEW"),"",COUNTBLANK(OFFSET(A$1,,,SUMPRODUCT(MAX(ROW(E$2:E4590)*(E4590=E$2:E4590)))))-COUNTBLANK(OFFSET(A$1,,,SUMPRODUCT(MAX(ROW(E$1:E4589)*(E2=E$1:E4589))))))</f>
        <v> </v>
      </c>
      <c r="K4590" s="25" t="str">
        <f>IF(OR(E4590="",E4590="!!!",F4590="NEW"),"",INDEX(J$1:J4589,SUMPRODUCT(MAX(ROW(E$1:E4589)*(E4590=E$1:E4589)))))</f>
        <v> </v>
      </c>
      <c r="L4590" s="26"/>
    </row>
    <row r="4591" spans="1:12">
      <c r="A4591" s="20" t="s">
        <v>2890</v>
      </c>
      <c r="B4591" s="27" t="s">
        <v>1024</v>
      </c>
      <c r="C4591" s="27" t="s">
        <v>1151</v>
      </c>
      <c r="E4591" s="21">
        <f>IF(D4591="?OLD","!!!","")</f>
        <v/>
      </c>
      <c r="F4591" s="22" t="str">
        <f>IF(OR(E4591="",E4591="!!!"),"",IF(NOT(ISNA(VLOOKUP(E4591,E$1:E4590,1,FALSE()))),"OLD",IF(AND(E4591&lt;&gt;"",E4591&lt;&gt;"!!!"),"NEW","")))</f>
        <v> </v>
      </c>
      <c r="G4591" s="23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4" t="str">
        <f>IF(J4591&lt;&gt;1,"",IF(I4591="SBJ","CB","?"))</f>
        <v> </v>
      </c>
      <c r="I4591" s="25" t="str">
        <f>IF(OR(E4591="",E4591="!!!",F4591="NEW"),"",INDEX(B4590:B$2,-1+SUMPRODUCT(MAX(ROW(E4590:E$2)*(E4591=E4590:E$2)))))</f>
        <v> </v>
      </c>
      <c r="J4591" s="25" t="str">
        <f>IF(OR(E4591="",E4591="!!!",F4591="NEW"),"",COUNTBLANK(OFFSET(A$1,,,SUMPRODUCT(MAX(ROW(E$2:E4591)*(E4591=E$2:E4591)))))-COUNTBLANK(OFFSET(A$1,,,SUMPRODUCT(MAX(ROW(E$1:E4590)*(E2=E$1:E4590))))))</f>
        <v> </v>
      </c>
      <c r="K4591" s="25" t="str">
        <f>IF(OR(E4591="",E4591="!!!",F4591="NEW"),"",INDEX(J$1:J4590,SUMPRODUCT(MAX(ROW(E$1:E4590)*(E4591=E$1:E4590)))))</f>
        <v> </v>
      </c>
      <c r="L4591" s="26"/>
    </row>
    <row r="4592" spans="1:12">
      <c r="A4592" s="20" t="s">
        <v>2891</v>
      </c>
      <c r="E4592" s="21">
        <f>IF(D4592="?OLD","!!!","")</f>
        <v/>
      </c>
      <c r="F4592" s="22" t="str">
        <f>IF(OR(E4592="",E4592="!!!"),"",IF(NOT(ISNA(VLOOKUP(E4592,E$1:E4591,1,FALSE()))),"OLD",IF(AND(E4592&lt;&gt;"",E4592&lt;&gt;"!!!"),"NEW","")))</f>
        <v> </v>
      </c>
      <c r="G4592" s="23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4" t="str">
        <f>IF(J4592&lt;&gt;1,"",IF(I4592="SBJ","CB","?"))</f>
        <v> </v>
      </c>
      <c r="I4592" s="25" t="str">
        <f>IF(OR(E4592="",E4592="!!!",F4592="NEW"),"",INDEX(B4591:B$2,-1+SUMPRODUCT(MAX(ROW(E4591:E$2)*(E4592=E4591:E$2)))))</f>
        <v> </v>
      </c>
      <c r="J4592" s="25" t="str">
        <f>IF(OR(E4592="",E4592="!!!",F4592="NEW"),"",COUNTBLANK(OFFSET(A$1,,,SUMPRODUCT(MAX(ROW(E$2:E4592)*(E4592=E$2:E4592)))))-COUNTBLANK(OFFSET(A$1,,,SUMPRODUCT(MAX(ROW(E$1:E4591)*(E2=E$1:E4591))))))</f>
        <v> </v>
      </c>
      <c r="K4592" s="25" t="str">
        <f>IF(OR(E4592="",E4592="!!!",F4592="NEW"),"",INDEX(J$1:J4591,SUMPRODUCT(MAX(ROW(E$1:E4591)*(E4592=E$1:E4591)))))</f>
        <v> </v>
      </c>
      <c r="L4592" s="26"/>
    </row>
    <row r="4593" spans="1:12">
      <c r="A4593" s="20" t="s">
        <v>2892</v>
      </c>
      <c r="B4593" s="27" t="s">
        <v>1143</v>
      </c>
      <c r="E4593" s="21">
        <f>IF(D4593="?OLD","!!!","")</f>
        <v/>
      </c>
      <c r="F4593" s="22" t="str">
        <f>IF(OR(E4593="",E4593="!!!"),"",IF(NOT(ISNA(VLOOKUP(E4593,E$1:E4592,1,FALSE()))),"OLD",IF(AND(E4593&lt;&gt;"",E4593&lt;&gt;"!!!"),"NEW","")))</f>
        <v> </v>
      </c>
      <c r="G4593" s="23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4" t="str">
        <f>IF(J4593&lt;&gt;1,"",IF(I4593="SBJ","CB","?"))</f>
        <v> </v>
      </c>
      <c r="I4593" s="25" t="str">
        <f>IF(OR(E4593="",E4593="!!!",F4593="NEW"),"",INDEX(B4592:B$2,-1+SUMPRODUCT(MAX(ROW(E4592:E$2)*(E4593=E4592:E$2)))))</f>
        <v> </v>
      </c>
      <c r="J4593" s="25" t="str">
        <f>IF(OR(E4593="",E4593="!!!",F4593="NEW"),"",COUNTBLANK(OFFSET(A$1,,,SUMPRODUCT(MAX(ROW(E$2:E4593)*(E4593=E$2:E4593)))))-COUNTBLANK(OFFSET(A$1,,,SUMPRODUCT(MAX(ROW(E$1:E4592)*(E2=E$1:E4592))))))</f>
        <v> </v>
      </c>
      <c r="K4593" s="25" t="str">
        <f>IF(OR(E4593="",E4593="!!!",F4593="NEW"),"",INDEX(J$1:J4592,SUMPRODUCT(MAX(ROW(E$1:E4592)*(E4593=E$1:E4592)))))</f>
        <v> </v>
      </c>
      <c r="L4593" s="26"/>
    </row>
    <row r="4594" spans="1:12">
      <c r="A4594" s="20" t="s">
        <v>2893</v>
      </c>
      <c r="B4594" s="27" t="s">
        <v>1136</v>
      </c>
      <c r="C4594" s="27" t="s">
        <v>1075</v>
      </c>
      <c r="D4594" s="27" t="s">
        <v>1026</v>
      </c>
      <c r="E4594" s="21">
        <f>IF(D4594="?OLD","!!!","")</f>
        <v/>
      </c>
      <c r="F4594" s="22" t="str">
        <f>IF(OR(E4594="",E4594="!!!"),"",IF(NOT(ISNA(VLOOKUP(E4594,E$1:E4593,1,FALSE()))),"OLD",IF(AND(E4594&lt;&gt;"",E4594&lt;&gt;"!!!"),"NEW","")))</f>
        <v> </v>
      </c>
      <c r="G4594" s="23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4" t="str">
        <f>IF(J4594&lt;&gt;1,"",IF(I4594="SBJ","CB","?"))</f>
        <v> </v>
      </c>
      <c r="I4594" s="25" t="str">
        <f>IF(OR(E4594="",E4594="!!!",F4594="NEW"),"",INDEX(B4593:B$2,-1+SUMPRODUCT(MAX(ROW(E4593:E$2)*(E4594=E4593:E$2)))))</f>
        <v> </v>
      </c>
      <c r="J4594" s="25" t="str">
        <f>IF(OR(E4594="",E4594="!!!",F4594="NEW"),"",COUNTBLANK(OFFSET(A$1,,,SUMPRODUCT(MAX(ROW(E$2:E4594)*(E4594=E$2:E4594)))))-COUNTBLANK(OFFSET(A$1,,,SUMPRODUCT(MAX(ROW(E$1:E4593)*(E2=E$1:E4593))))))</f>
        <v> </v>
      </c>
      <c r="K4594" s="25" t="str">
        <f>IF(OR(E4594="",E4594="!!!",F4594="NEW"),"",INDEX(J$1:J4593,SUMPRODUCT(MAX(ROW(E$1:E4593)*(E4594=E$1:E4593)))))</f>
        <v> </v>
      </c>
      <c r="L4594" s="26"/>
    </row>
    <row r="4595" spans="1:12">
      <c r="A4595" s="20" t="s">
        <v>1693</v>
      </c>
      <c r="E4595" s="21">
        <f>IF(D4595="?OLD","!!!","")</f>
        <v/>
      </c>
      <c r="F4595" s="22" t="str">
        <f>IF(OR(E4595="",E4595="!!!"),"",IF(NOT(ISNA(VLOOKUP(E4595,E$1:E4594,1,FALSE()))),"OLD",IF(AND(E4595&lt;&gt;"",E4595&lt;&gt;"!!!"),"NEW","")))</f>
        <v> </v>
      </c>
      <c r="G4595" s="23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4" t="str">
        <f>IF(J4595&lt;&gt;1,"",IF(I4595="SBJ","CB","?"))</f>
        <v> </v>
      </c>
      <c r="I4595" s="25" t="str">
        <f>IF(OR(E4595="",E4595="!!!",F4595="NEW"),"",INDEX(B4594:B$2,-1+SUMPRODUCT(MAX(ROW(E4594:E$2)*(E4595=E4594:E$2)))))</f>
        <v> </v>
      </c>
      <c r="J4595" s="25" t="str">
        <f>IF(OR(E4595="",E4595="!!!",F4595="NEW"),"",COUNTBLANK(OFFSET(A$1,,,SUMPRODUCT(MAX(ROW(E$2:E4595)*(E4595=E$2:E4595)))))-COUNTBLANK(OFFSET(A$1,,,SUMPRODUCT(MAX(ROW(E$1:E4594)*(E2=E$1:E4594))))))</f>
        <v> </v>
      </c>
      <c r="K4595" s="25" t="str">
        <f>IF(OR(E4595="",E4595="!!!",F4595="NEW"),"",INDEX(J$1:J4594,SUMPRODUCT(MAX(ROW(E$1:E4594)*(E4595=E$1:E4594)))))</f>
        <v> </v>
      </c>
      <c r="L4595" s="26"/>
    </row>
    <row r="4596" spans="1:12">
      <c r="A4596" s="20" t="s">
        <v>2894</v>
      </c>
      <c r="E4596" s="21">
        <f>IF(D4596="?OLD","!!!","")</f>
        <v/>
      </c>
      <c r="F4596" s="22" t="str">
        <f>IF(OR(E4596="",E4596="!!!"),"",IF(NOT(ISNA(VLOOKUP(E4596,E$1:E4595,1,FALSE()))),"OLD",IF(AND(E4596&lt;&gt;"",E4596&lt;&gt;"!!!"),"NEW","")))</f>
        <v> </v>
      </c>
      <c r="G4596" s="23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4" t="str">
        <f>IF(J4596&lt;&gt;1,"",IF(I4596="SBJ","CB","?"))</f>
        <v> </v>
      </c>
      <c r="I4596" s="25" t="str">
        <f>IF(OR(E4596="",E4596="!!!",F4596="NEW"),"",INDEX(B4595:B$2,-1+SUMPRODUCT(MAX(ROW(E4595:E$2)*(E4596=E4595:E$2)))))</f>
        <v> </v>
      </c>
      <c r="J4596" s="25" t="str">
        <f>IF(OR(E4596="",E4596="!!!",F4596="NEW"),"",COUNTBLANK(OFFSET(A$1,,,SUMPRODUCT(MAX(ROW(E$2:E4596)*(E4596=E$2:E4596)))))-COUNTBLANK(OFFSET(A$1,,,SUMPRODUCT(MAX(ROW(E$1:E4595)*(E2=E$1:E4595))))))</f>
        <v> </v>
      </c>
      <c r="K4596" s="25" t="str">
        <f>IF(OR(E4596="",E4596="!!!",F4596="NEW"),"",INDEX(J$1:J4595,SUMPRODUCT(MAX(ROW(E$1:E4595)*(E4596=E$1:E4595)))))</f>
        <v> </v>
      </c>
      <c r="L4596" s="26"/>
    </row>
    <row r="4597" spans="1:12">
      <c r="A4597" s="20" t="s">
        <v>2895</v>
      </c>
      <c r="B4597" s="27" t="s">
        <v>1024</v>
      </c>
      <c r="E4597" s="21">
        <f>IF(D4597="?OLD","!!!","")</f>
        <v/>
      </c>
      <c r="F4597" s="22" t="str">
        <f>IF(OR(E4597="",E4597="!!!"),"",IF(NOT(ISNA(VLOOKUP(E4597,E$1:E4596,1,FALSE()))),"OLD",IF(AND(E4597&lt;&gt;"",E4597&lt;&gt;"!!!"),"NEW","")))</f>
        <v> </v>
      </c>
      <c r="G4597" s="23" t="str">
        <f>IF(OR(E4597="",E4597="!!!"),"",IF(OR(J4597=0,AND(J4597=1,K4597=1),AND(J4597=1,I4597="SBJ"),AND(J4597=1,I4597=0)),"?IN_FOCUS",IF(J4597&lt;=2,"?ACTIVATED",IF(J4597&lt;&gt;"","?FAMILIAR",IF(F4597="NEW",IF(ISNA(VLOOKUP(E4597,#REF!,1,FALSE())),"?TYPE_IDENTIFIABLE","?REFERENTIAL"),"_")))))</f>
        <v> </v>
      </c>
      <c r="H4597" s="24" t="str">
        <f>IF(J4597&lt;&gt;1,"",IF(I4597="SBJ","CB","?"))</f>
        <v> </v>
      </c>
      <c r="I4597" s="25" t="str">
        <f>IF(OR(E4597="",E4597="!!!",F4597="NEW"),"",INDEX(B4596:B$2,-1+SUMPRODUCT(MAX(ROW(E4596:E$2)*(E4597=E4596:E$2)))))</f>
        <v> </v>
      </c>
      <c r="J4597" s="25" t="str">
        <f>IF(OR(E4597="",E4597="!!!",F4597="NEW"),"",COUNTBLANK(OFFSET(A$1,,,SUMPRODUCT(MAX(ROW(E$2:E4597)*(E4597=E$2:E4597)))))-COUNTBLANK(OFFSET(A$1,,,SUMPRODUCT(MAX(ROW(E$1:E4596)*(E2=E$1:E4596))))))</f>
        <v> </v>
      </c>
      <c r="K4597" s="25" t="str">
        <f>IF(OR(E4597="",E4597="!!!",F4597="NEW"),"",INDEX(J$1:J4596,SUMPRODUCT(MAX(ROW(E$1:E4596)*(E4597=E$1:E4596)))))</f>
        <v> </v>
      </c>
      <c r="L4597" s="26"/>
    </row>
    <row r="4598" spans="1:12">
      <c r="A4598" s="20" t="s">
        <v>2896</v>
      </c>
      <c r="E4598" s="21">
        <f>IF(D4598="?OLD","!!!","")</f>
        <v/>
      </c>
      <c r="F4598" s="22" t="str">
        <f>IF(OR(E4598="",E4598="!!!"),"",IF(NOT(ISNA(VLOOKUP(E4598,E$1:E4597,1,FALSE()))),"OLD",IF(AND(E4598&lt;&gt;"",E4598&lt;&gt;"!!!"),"NEW","")))</f>
        <v> </v>
      </c>
      <c r="G4598" s="23" t="str">
        <f>IF(OR(E4598="",E4598="!!!"),"",IF(OR(J4598=0,AND(J4598=1,K4598=1),AND(J4598=1,I4598="SBJ"),AND(J4598=1,I4598=0)),"?IN_FOCUS",IF(J4598&lt;=2,"?ACTIVATED",IF(J4598&lt;&gt;"","?FAMILIAR",IF(F4598="NEW",IF(ISNA(VLOOKUP(E4598,#REF!,1,FALSE())),"?TYPE_IDENTIFIABLE","?REFERENTIAL"),"_")))))</f>
        <v> </v>
      </c>
      <c r="H4598" s="24" t="str">
        <f>IF(J4598&lt;&gt;1,"",IF(I4598="SBJ","CB","?"))</f>
        <v> </v>
      </c>
      <c r="I4598" s="25" t="str">
        <f>IF(OR(E4598="",E4598="!!!",F4598="NEW"),"",INDEX(B4597:B$2,-1+SUMPRODUCT(MAX(ROW(E4597:E$2)*(E4598=E4597:E$2)))))</f>
        <v> </v>
      </c>
      <c r="J4598" s="25" t="str">
        <f>IF(OR(E4598="",E4598="!!!",F4598="NEW"),"",COUNTBLANK(OFFSET(A$1,,,SUMPRODUCT(MAX(ROW(E$2:E4598)*(E4598=E$2:E4598)))))-COUNTBLANK(OFFSET(A$1,,,SUMPRODUCT(MAX(ROW(E$1:E4597)*(E2=E$1:E4597))))))</f>
        <v> </v>
      </c>
      <c r="K4598" s="25" t="str">
        <f>IF(OR(E4598="",E4598="!!!",F4598="NEW"),"",INDEX(J$1:J4597,SUMPRODUCT(MAX(ROW(E$1:E4597)*(E4598=E$1:E4597)))))</f>
        <v> </v>
      </c>
      <c r="L4598" s="26"/>
    </row>
    <row r="4599" spans="1:12">
      <c r="A4599" s="20" t="s">
        <v>1053</v>
      </c>
      <c r="E4599" s="21">
        <f>IF(D4599="?OLD","!!!","")</f>
        <v/>
      </c>
      <c r="F4599" s="22" t="str">
        <f>IF(OR(E4599="",E4599="!!!"),"",IF(NOT(ISNA(VLOOKUP(E4599,E$1:E4598,1,FALSE()))),"OLD",IF(AND(E4599&lt;&gt;"",E4599&lt;&gt;"!!!"),"NEW","")))</f>
        <v> </v>
      </c>
      <c r="G4599" s="23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4" t="str">
        <f>IF(J4599&lt;&gt;1,"",IF(I4599="SBJ","CB","?"))</f>
        <v> </v>
      </c>
      <c r="I4599" s="25" t="str">
        <f>IF(OR(E4599="",E4599="!!!",F4599="NEW"),"",INDEX(B4598:B$2,-1+SUMPRODUCT(MAX(ROW(E4598:E$2)*(E4599=E4598:E$2)))))</f>
        <v> </v>
      </c>
      <c r="J4599" s="25" t="str">
        <f>IF(OR(E4599="",E4599="!!!",F4599="NEW"),"",COUNTBLANK(OFFSET(A$1,,,SUMPRODUCT(MAX(ROW(E$2:E4599)*(E4599=E$2:E4599)))))-COUNTBLANK(OFFSET(A$1,,,SUMPRODUCT(MAX(ROW(E$1:E4598)*(E2=E$1:E4598))))))</f>
        <v> </v>
      </c>
      <c r="K4599" s="25" t="str">
        <f>IF(OR(E4599="",E4599="!!!",F4599="NEW"),"",INDEX(J$1:J4598,SUMPRODUCT(MAX(ROW(E$1:E4598)*(E4599=E$1:E4598)))))</f>
        <v> </v>
      </c>
      <c r="L4599" s="26"/>
    </row>
    <row r="4600" spans="1:12">
      <c r="A4600" s="20" t="s">
        <v>2897</v>
      </c>
      <c r="E4600" s="21">
        <f>IF(D4600="?OLD","!!!","")</f>
        <v/>
      </c>
      <c r="F4600" s="22" t="str">
        <f>IF(OR(E4600="",E4600="!!!"),"",IF(NOT(ISNA(VLOOKUP(E4600,E$1:E4599,1,FALSE()))),"OLD",IF(AND(E4600&lt;&gt;"",E4600&lt;&gt;"!!!"),"NEW","")))</f>
        <v> </v>
      </c>
      <c r="G4600" s="23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4" t="str">
        <f>IF(J4600&lt;&gt;1,"",IF(I4600="SBJ","CB","?"))</f>
        <v> </v>
      </c>
      <c r="I4600" s="25" t="str">
        <f>IF(OR(E4600="",E4600="!!!",F4600="NEW"),"",INDEX(B4599:B$2,-1+SUMPRODUCT(MAX(ROW(E4599:E$2)*(E4600=E4599:E$2)))))</f>
        <v> </v>
      </c>
      <c r="J4600" s="25" t="str">
        <f>IF(OR(E4600="",E4600="!!!",F4600="NEW"),"",COUNTBLANK(OFFSET(A$1,,,SUMPRODUCT(MAX(ROW(E$2:E4600)*(E4600=E$2:E4600)))))-COUNTBLANK(OFFSET(A$1,,,SUMPRODUCT(MAX(ROW(E$1:E4599)*(E2=E$1:E4599))))))</f>
        <v> </v>
      </c>
      <c r="K4600" s="25" t="str">
        <f>IF(OR(E4600="",E4600="!!!",F4600="NEW"),"",INDEX(J$1:J4599,SUMPRODUCT(MAX(ROW(E$1:E4599)*(E4600=E$1:E4599)))))</f>
        <v> </v>
      </c>
      <c r="L4600" s="26"/>
    </row>
    <row r="4601" spans="1:12">
      <c r="A4601" s="20" t="s">
        <v>1104</v>
      </c>
      <c r="E4601" s="21">
        <f>IF(D4601="?OLD","!!!","")</f>
        <v/>
      </c>
      <c r="F4601" s="22" t="str">
        <f>IF(OR(E4601="",E4601="!!!"),"",IF(NOT(ISNA(VLOOKUP(E4601,E$1:E4600,1,FALSE()))),"OLD",IF(AND(E4601&lt;&gt;"",E4601&lt;&gt;"!!!"),"NEW","")))</f>
        <v> </v>
      </c>
      <c r="G4601" s="23" t="str">
        <f>IF(OR(E4601="",E4601="!!!"),"",IF(OR(J4601=0,AND(J4601=1,K4601=1),AND(J4601=1,I4601="SBJ"),AND(J4601=1,I4601=0)),"?IN_FOCUS",IF(J4601&lt;=2,"?ACTIVATED",IF(J4601&lt;&gt;"","?FAMILIAR",IF(F4601="NEW",IF(ISNA(VLOOKUP(E4601,#REF!,1,FALSE())),"?TYPE_IDENTIFIABLE","?REFERENTIAL"),"_")))))</f>
        <v> </v>
      </c>
      <c r="H4601" s="24" t="str">
        <f>IF(J4601&lt;&gt;1,"",IF(I4601="SBJ","CB","?"))</f>
        <v> </v>
      </c>
      <c r="I4601" s="25" t="str">
        <f>IF(OR(E4601="",E4601="!!!",F4601="NEW"),"",INDEX(B4600:B$2,-1+SUMPRODUCT(MAX(ROW(E4600:E$2)*(E4601=E4600:E$2)))))</f>
        <v> </v>
      </c>
      <c r="J4601" s="25" t="str">
        <f>IF(OR(E4601="",E4601="!!!",F4601="NEW"),"",COUNTBLANK(OFFSET(A$1,,,SUMPRODUCT(MAX(ROW(E$2:E4601)*(E4601=E$2:E4601)))))-COUNTBLANK(OFFSET(A$1,,,SUMPRODUCT(MAX(ROW(E$1:E4600)*(E2=E$1:E4600))))))</f>
        <v> </v>
      </c>
      <c r="K4601" s="25" t="str">
        <f>IF(OR(E4601="",E4601="!!!",F4601="NEW"),"",INDEX(J$1:J4600,SUMPRODUCT(MAX(ROW(E$1:E4600)*(E4601=E$1:E4600)))))</f>
        <v> </v>
      </c>
      <c r="L4601" s="26"/>
    </row>
    <row r="4602" spans="1:12">
      <c r="A4602" s="20" t="s">
        <v>1695</v>
      </c>
      <c r="E4602" s="21">
        <f>IF(D4602="?OLD","!!!","")</f>
        <v/>
      </c>
      <c r="F4602" s="22" t="str">
        <f>IF(OR(E4602="",E4602="!!!"),"",IF(NOT(ISNA(VLOOKUP(E4602,E$1:E4601,1,FALSE()))),"OLD",IF(AND(E4602&lt;&gt;"",E4602&lt;&gt;"!!!"),"NEW","")))</f>
        <v> </v>
      </c>
      <c r="G4602" s="23" t="str">
        <f>IF(OR(E4602="",E4602="!!!"),"",IF(OR(J4602=0,AND(J4602=1,K4602=1),AND(J4602=1,I4602="SBJ"),AND(J4602=1,I4602=0)),"?IN_FOCUS",IF(J4602&lt;=2,"?ACTIVATED",IF(J4602&lt;&gt;"","?FAMILIAR",IF(F4602="NEW",IF(ISNA(VLOOKUP(E4602,#REF!,1,FALSE())),"?TYPE_IDENTIFIABLE","?REFERENTIAL"),"_")))))</f>
        <v> </v>
      </c>
      <c r="H4602" s="24" t="str">
        <f>IF(J4602&lt;&gt;1,"",IF(I4602="SBJ","CB","?"))</f>
        <v> </v>
      </c>
      <c r="I4602" s="25" t="str">
        <f>IF(OR(E4602="",E4602="!!!",F4602="NEW"),"",INDEX(B4601:B$2,-1+SUMPRODUCT(MAX(ROW(E4601:E$2)*(E4602=E4601:E$2)))))</f>
        <v> </v>
      </c>
      <c r="J4602" s="25" t="str">
        <f>IF(OR(E4602="",E4602="!!!",F4602="NEW"),"",COUNTBLANK(OFFSET(A$1,,,SUMPRODUCT(MAX(ROW(E$2:E4602)*(E4602=E$2:E4602)))))-COUNTBLANK(OFFSET(A$1,,,SUMPRODUCT(MAX(ROW(E$1:E4601)*(E2=E$1:E4601))))))</f>
        <v> </v>
      </c>
      <c r="K4602" s="25" t="str">
        <f>IF(OR(E4602="",E4602="!!!",F4602="NEW"),"",INDEX(J$1:J4601,SUMPRODUCT(MAX(ROW(E$1:E4601)*(E4602=E$1:E4601)))))</f>
        <v> </v>
      </c>
      <c r="L4602" s="26"/>
    </row>
    <row r="4603" spans="1:12">
      <c r="A4603" s="20" t="s">
        <v>1041</v>
      </c>
      <c r="E4603" s="21">
        <f>IF(D4603="?OLD","!!!","")</f>
        <v/>
      </c>
      <c r="F4603" s="22" t="str">
        <f>IF(OR(E4603="",E4603="!!!"),"",IF(NOT(ISNA(VLOOKUP(E4603,E$1:E4602,1,FALSE()))),"OLD",IF(AND(E4603&lt;&gt;"",E4603&lt;&gt;"!!!"),"NEW","")))</f>
        <v> </v>
      </c>
      <c r="G4603" s="23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4" t="str">
        <f>IF(J4603&lt;&gt;1,"",IF(I4603="SBJ","CB","?"))</f>
        <v> </v>
      </c>
      <c r="I4603" s="25" t="str">
        <f>IF(OR(E4603="",E4603="!!!",F4603="NEW"),"",INDEX(B4602:B$2,-1+SUMPRODUCT(MAX(ROW(E4602:E$2)*(E4603=E4602:E$2)))))</f>
        <v> </v>
      </c>
      <c r="J4603" s="25" t="str">
        <f>IF(OR(E4603="",E4603="!!!",F4603="NEW"),"",COUNTBLANK(OFFSET(A$1,,,SUMPRODUCT(MAX(ROW(E$2:E4603)*(E4603=E$2:E4603)))))-COUNTBLANK(OFFSET(A$1,,,SUMPRODUCT(MAX(ROW(E$1:E4602)*(E2=E$1:E4602))))))</f>
        <v> </v>
      </c>
      <c r="K4603" s="25" t="str">
        <f>IF(OR(E4603="",E4603="!!!",F4603="NEW"),"",INDEX(J$1:J4602,SUMPRODUCT(MAX(ROW(E$1:E4602)*(E4603=E$1:E4602)))))</f>
        <v> </v>
      </c>
      <c r="L4603" s="26"/>
    </row>
    <row r="4604" spans="1:12">
      <c r="A4604" s="20" t="s">
        <v>1272</v>
      </c>
      <c r="E4604" s="21">
        <f>IF(D4604="?OLD","!!!","")</f>
        <v/>
      </c>
      <c r="F4604" s="22" t="str">
        <f>IF(OR(E4604="",E4604="!!!"),"",IF(NOT(ISNA(VLOOKUP(E4604,E$1:E4603,1,FALSE()))),"OLD",IF(AND(E4604&lt;&gt;"",E4604&lt;&gt;"!!!"),"NEW","")))</f>
        <v> </v>
      </c>
      <c r="G4604" s="23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4" t="str">
        <f>IF(J4604&lt;&gt;1,"",IF(I4604="SBJ","CB","?"))</f>
        <v> </v>
      </c>
      <c r="I4604" s="25" t="str">
        <f>IF(OR(E4604="",E4604="!!!",F4604="NEW"),"",INDEX(B4603:B$2,-1+SUMPRODUCT(MAX(ROW(E4603:E$2)*(E4604=E4603:E$2)))))</f>
        <v> </v>
      </c>
      <c r="J4604" s="25" t="str">
        <f>IF(OR(E4604="",E4604="!!!",F4604="NEW"),"",COUNTBLANK(OFFSET(A$1,,,SUMPRODUCT(MAX(ROW(E$2:E4604)*(E4604=E$2:E4604)))))-COUNTBLANK(OFFSET(A$1,,,SUMPRODUCT(MAX(ROW(E$1:E4603)*(E2=E$1:E4603))))))</f>
        <v> </v>
      </c>
      <c r="K4604" s="25" t="str">
        <f>IF(OR(E4604="",E4604="!!!",F4604="NEW"),"",INDEX(J$1:J4603,SUMPRODUCT(MAX(ROW(E$1:E4603)*(E4604=E$1:E4603)))))</f>
        <v> </v>
      </c>
      <c r="L4604" s="26"/>
    </row>
    <row r="4605" spans="1:12">
      <c r="A4605" s="20" t="s">
        <v>2898</v>
      </c>
      <c r="E4605" s="21">
        <f>IF(D4605="?OLD","!!!","")</f>
        <v/>
      </c>
      <c r="F4605" s="22" t="str">
        <f>IF(OR(E4605="",E4605="!!!"),"",IF(NOT(ISNA(VLOOKUP(E4605,E$1:E4604,1,FALSE()))),"OLD",IF(AND(E4605&lt;&gt;"",E4605&lt;&gt;"!!!"),"NEW","")))</f>
        <v> </v>
      </c>
      <c r="G4605" s="23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4" t="str">
        <f>IF(J4605&lt;&gt;1,"",IF(I4605="SBJ","CB","?"))</f>
        <v> </v>
      </c>
      <c r="I4605" s="25" t="str">
        <f>IF(OR(E4605="",E4605="!!!",F4605="NEW"),"",INDEX(B4604:B$2,-1+SUMPRODUCT(MAX(ROW(E4604:E$2)*(E4605=E4604:E$2)))))</f>
        <v> </v>
      </c>
      <c r="J4605" s="25" t="str">
        <f>IF(OR(E4605="",E4605="!!!",F4605="NEW"),"",COUNTBLANK(OFFSET(A$1,,,SUMPRODUCT(MAX(ROW(E$2:E4605)*(E4605=E$2:E4605)))))-COUNTBLANK(OFFSET(A$1,,,SUMPRODUCT(MAX(ROW(E$1:E4604)*(E2=E$1:E4604))))))</f>
        <v> </v>
      </c>
      <c r="K4605" s="25" t="str">
        <f>IF(OR(E4605="",E4605="!!!",F4605="NEW"),"",INDEX(J$1:J4604,SUMPRODUCT(MAX(ROW(E$1:E4604)*(E4605=E$1:E4604)))))</f>
        <v> </v>
      </c>
      <c r="L4605" s="26"/>
    </row>
    <row r="4606" spans="1:12">
      <c r="A4606" s="20" t="s">
        <v>1324</v>
      </c>
      <c r="E4606" s="21">
        <f>IF(D4606="?OLD","!!!","")</f>
        <v/>
      </c>
      <c r="F4606" s="22" t="str">
        <f>IF(OR(E4606="",E4606="!!!"),"",IF(NOT(ISNA(VLOOKUP(E4606,E$1:E4605,1,FALSE()))),"OLD",IF(AND(E4606&lt;&gt;"",E4606&lt;&gt;"!!!"),"NEW","")))</f>
        <v> </v>
      </c>
      <c r="G4606" s="23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4" t="str">
        <f>IF(J4606&lt;&gt;1,"",IF(I4606="SBJ","CB","?"))</f>
        <v> </v>
      </c>
      <c r="I4606" s="25" t="str">
        <f>IF(OR(E4606="",E4606="!!!",F4606="NEW"),"",INDEX(B4605:B$2,-1+SUMPRODUCT(MAX(ROW(E4605:E$2)*(E4606=E4605:E$2)))))</f>
        <v> </v>
      </c>
      <c r="J4606" s="25" t="str">
        <f>IF(OR(E4606="",E4606="!!!",F4606="NEW"),"",COUNTBLANK(OFFSET(A$1,,,SUMPRODUCT(MAX(ROW(E$2:E4606)*(E4606=E$2:E4606)))))-COUNTBLANK(OFFSET(A$1,,,SUMPRODUCT(MAX(ROW(E$1:E4605)*(E2=E$1:E4605))))))</f>
        <v> </v>
      </c>
      <c r="K4606" s="25" t="str">
        <f>IF(OR(E4606="",E4606="!!!",F4606="NEW"),"",INDEX(J$1:J4605,SUMPRODUCT(MAX(ROW(E$1:E4605)*(E4606=E$1:E4605)))))</f>
        <v> </v>
      </c>
      <c r="L4606" s="26"/>
    </row>
    <row r="4607" spans="1:12">
      <c r="A4607" s="20" t="s">
        <v>1107</v>
      </c>
      <c r="E4607" s="21">
        <f>IF(D4607="?OLD","!!!","")</f>
        <v/>
      </c>
      <c r="F4607" s="22" t="str">
        <f>IF(OR(E4607="",E4607="!!!"),"",IF(NOT(ISNA(VLOOKUP(E4607,E$1:E4606,1,FALSE()))),"OLD",IF(AND(E4607&lt;&gt;"",E4607&lt;&gt;"!!!"),"NEW","")))</f>
        <v> </v>
      </c>
      <c r="G4607" s="23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4" t="str">
        <f>IF(J4607&lt;&gt;1,"",IF(I4607="SBJ","CB","?"))</f>
        <v> </v>
      </c>
      <c r="I4607" s="25" t="str">
        <f>IF(OR(E4607="",E4607="!!!",F4607="NEW"),"",INDEX(B4606:B$2,-1+SUMPRODUCT(MAX(ROW(E4606:E$2)*(E4607=E4606:E$2)))))</f>
        <v> </v>
      </c>
      <c r="J4607" s="25" t="str">
        <f>IF(OR(E4607="",E4607="!!!",F4607="NEW"),"",COUNTBLANK(OFFSET(A$1,,,SUMPRODUCT(MAX(ROW(E$2:E4607)*(E4607=E$2:E4607)))))-COUNTBLANK(OFFSET(A$1,,,SUMPRODUCT(MAX(ROW(E$1:E4606)*(E2=E$1:E4606))))))</f>
        <v> </v>
      </c>
      <c r="K4607" s="25" t="str">
        <f>IF(OR(E4607="",E4607="!!!",F4607="NEW"),"",INDEX(J$1:J4606,SUMPRODUCT(MAX(ROW(E$1:E4606)*(E4607=E$1:E4606)))))</f>
        <v> </v>
      </c>
      <c r="L4607" s="26"/>
    </row>
    <row r="4608" spans="1:12">
      <c r="A4608" s="20" t="s">
        <v>2899</v>
      </c>
      <c r="E4608" s="21">
        <f>IF(D4608="?OLD","!!!","")</f>
        <v/>
      </c>
      <c r="F4608" s="22" t="str">
        <f>IF(OR(E4608="",E4608="!!!"),"",IF(NOT(ISNA(VLOOKUP(E4608,E$1:E4607,1,FALSE()))),"OLD",IF(AND(E4608&lt;&gt;"",E4608&lt;&gt;"!!!"),"NEW","")))</f>
        <v> </v>
      </c>
      <c r="G4608" s="23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4" t="str">
        <f>IF(J4608&lt;&gt;1,"",IF(I4608="SBJ","CB","?"))</f>
        <v> </v>
      </c>
      <c r="I4608" s="25" t="str">
        <f>IF(OR(E4608="",E4608="!!!",F4608="NEW"),"",INDEX(B4607:B$2,-1+SUMPRODUCT(MAX(ROW(E4607:E$2)*(E4608=E4607:E$2)))))</f>
        <v> </v>
      </c>
      <c r="J4608" s="25" t="str">
        <f>IF(OR(E4608="",E4608="!!!",F4608="NEW"),"",COUNTBLANK(OFFSET(A$1,,,SUMPRODUCT(MAX(ROW(E$2:E4608)*(E4608=E$2:E4608)))))-COUNTBLANK(OFFSET(A$1,,,SUMPRODUCT(MAX(ROW(E$1:E4607)*(E2=E$1:E4607))))))</f>
        <v> </v>
      </c>
      <c r="K4608" s="25" t="str">
        <f>IF(OR(E4608="",E4608="!!!",F4608="NEW"),"",INDEX(J$1:J4607,SUMPRODUCT(MAX(ROW(E$1:E4607)*(E4608=E$1:E4607)))))</f>
        <v> </v>
      </c>
      <c r="L4608" s="26"/>
    </row>
    <row r="4609" spans="1:12">
      <c r="A4609" s="20" t="s">
        <v>2666</v>
      </c>
      <c r="B4609" s="27" t="s">
        <v>1048</v>
      </c>
      <c r="E4609" s="21">
        <f>IF(D4609="?OLD","!!!","")</f>
        <v/>
      </c>
      <c r="F4609" s="22" t="str">
        <f>IF(OR(E4609="",E4609="!!!"),"",IF(NOT(ISNA(VLOOKUP(E4609,E$1:E4608,1,FALSE()))),"OLD",IF(AND(E4609&lt;&gt;"",E4609&lt;&gt;"!!!"),"NEW","")))</f>
        <v> </v>
      </c>
      <c r="G4609" s="23" t="str">
        <f>IF(OR(E4609="",E4609="!!!"),"",IF(OR(J4609=0,AND(J4609=1,K4609=1),AND(J4609=1,I4609="SBJ"),AND(J4609=1,I4609=0)),"?IN_FOCUS",IF(J4609&lt;=2,"?ACTIVATED",IF(J4609&lt;&gt;"","?FAMILIAR",IF(F4609="NEW",IF(ISNA(VLOOKUP(E4609,#REF!,1,FALSE())),"?TYPE_IDENTIFIABLE","?REFERENTIAL"),"_")))))</f>
        <v> </v>
      </c>
      <c r="H4609" s="24" t="str">
        <f>IF(J4609&lt;&gt;1,"",IF(I4609="SBJ","CB","?"))</f>
        <v> </v>
      </c>
      <c r="I4609" s="25" t="str">
        <f>IF(OR(E4609="",E4609="!!!",F4609="NEW"),"",INDEX(B4608:B$2,-1+SUMPRODUCT(MAX(ROW(E4608:E$2)*(E4609=E4608:E$2)))))</f>
        <v> </v>
      </c>
      <c r="J4609" s="25" t="str">
        <f>IF(OR(E4609="",E4609="!!!",F4609="NEW"),"",COUNTBLANK(OFFSET(A$1,,,SUMPRODUCT(MAX(ROW(E$2:E4609)*(E4609=E$2:E4609)))))-COUNTBLANK(OFFSET(A$1,,,SUMPRODUCT(MAX(ROW(E$1:E4608)*(E2=E$1:E4608))))))</f>
        <v> </v>
      </c>
      <c r="K4609" s="25" t="str">
        <f>IF(OR(E4609="",E4609="!!!",F4609="NEW"),"",INDEX(J$1:J4608,SUMPRODUCT(MAX(ROW(E$1:E4608)*(E4609=E$1:E4608)))))</f>
        <v> </v>
      </c>
      <c r="L4609" s="26"/>
    </row>
    <row r="4610" spans="1:12">
      <c r="A4610" s="20" t="s">
        <v>1041</v>
      </c>
      <c r="E4610" s="21">
        <f>IF(D4610="?OLD","!!!","")</f>
        <v/>
      </c>
      <c r="F4610" s="22" t="str">
        <f>IF(OR(E4610="",E4610="!!!"),"",IF(NOT(ISNA(VLOOKUP(E4610,E$1:E4609,1,FALSE()))),"OLD",IF(AND(E4610&lt;&gt;"",E4610&lt;&gt;"!!!"),"NEW","")))</f>
        <v> </v>
      </c>
      <c r="G4610" s="23" t="str">
        <f>IF(OR(E4610="",E4610="!!!"),"",IF(OR(J4610=0,AND(J4610=1,K4610=1),AND(J4610=1,I4610="SBJ"),AND(J4610=1,I4610=0)),"?IN_FOCUS",IF(J4610&lt;=2,"?ACTIVATED",IF(J4610&lt;&gt;"","?FAMILIAR",IF(F4610="NEW",IF(ISNA(VLOOKUP(E4610,#REF!,1,FALSE())),"?TYPE_IDENTIFIABLE","?REFERENTIAL"),"_")))))</f>
        <v> </v>
      </c>
      <c r="H4610" s="24" t="str">
        <f>IF(J4610&lt;&gt;1,"",IF(I4610="SBJ","CB","?"))</f>
        <v> </v>
      </c>
      <c r="I4610" s="25" t="str">
        <f>IF(OR(E4610="",E4610="!!!",F4610="NEW"),"",INDEX(B4609:B$2,-1+SUMPRODUCT(MAX(ROW(E4609:E$2)*(E4610=E4609:E$2)))))</f>
        <v> </v>
      </c>
      <c r="J4610" s="25" t="str">
        <f>IF(OR(E4610="",E4610="!!!",F4610="NEW"),"",COUNTBLANK(OFFSET(A$1,,,SUMPRODUCT(MAX(ROW(E$2:E4610)*(E4610=E$2:E4610)))))-COUNTBLANK(OFFSET(A$1,,,SUMPRODUCT(MAX(ROW(E$1:E4609)*(E2=E$1:E4609))))))</f>
        <v> </v>
      </c>
      <c r="K4610" s="25" t="str">
        <f>IF(OR(E4610="",E4610="!!!",F4610="NEW"),"",INDEX(J$1:J4609,SUMPRODUCT(MAX(ROW(E$1:E4609)*(E4610=E$1:E4609)))))</f>
        <v> </v>
      </c>
      <c r="L4610" s="26"/>
    </row>
    <row r="4611" spans="1:12">
      <c r="A4611" s="20" t="s">
        <v>1030</v>
      </c>
      <c r="E4611" s="21">
        <f>IF(D4611="?OLD","!!!","")</f>
        <v/>
      </c>
      <c r="F4611" s="22" t="str">
        <f>IF(OR(E4611="",E4611="!!!"),"",IF(NOT(ISNA(VLOOKUP(E4611,E$1:E4610,1,FALSE()))),"OLD",IF(AND(E4611&lt;&gt;"",E4611&lt;&gt;"!!!"),"NEW","")))</f>
        <v> </v>
      </c>
      <c r="G4611" s="23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4" t="str">
        <f>IF(J4611&lt;&gt;1,"",IF(I4611="SBJ","CB","?"))</f>
        <v> </v>
      </c>
      <c r="I4611" s="25" t="str">
        <f>IF(OR(E4611="",E4611="!!!",F4611="NEW"),"",INDEX(B4610:B$2,-1+SUMPRODUCT(MAX(ROW(E4610:E$2)*(E4611=E4610:E$2)))))</f>
        <v> </v>
      </c>
      <c r="J4611" s="25" t="str">
        <f>IF(OR(E4611="",E4611="!!!",F4611="NEW"),"",COUNTBLANK(OFFSET(A$1,,,SUMPRODUCT(MAX(ROW(E$2:E4611)*(E4611=E$2:E4611)))))-COUNTBLANK(OFFSET(A$1,,,SUMPRODUCT(MAX(ROW(E$1:E4610)*(E2=E$1:E4610))))))</f>
        <v> </v>
      </c>
      <c r="K4611" s="25" t="str">
        <f>IF(OR(E4611="",E4611="!!!",F4611="NEW"),"",INDEX(J$1:J4610,SUMPRODUCT(MAX(ROW(E$1:E4610)*(E4611=E$1:E4610)))))</f>
        <v> </v>
      </c>
      <c r="L4611" s="26"/>
    </row>
    <row r="4612" spans="1:12">
      <c r="A4612" s="20" t="s">
        <v>2900</v>
      </c>
      <c r="E4612" s="21">
        <f>IF(D4612="?OLD","!!!","")</f>
        <v/>
      </c>
      <c r="F4612" s="22" t="str">
        <f>IF(OR(E4612="",E4612="!!!"),"",IF(NOT(ISNA(VLOOKUP(E4612,E$1:E4611,1,FALSE()))),"OLD",IF(AND(E4612&lt;&gt;"",E4612&lt;&gt;"!!!"),"NEW","")))</f>
        <v> </v>
      </c>
      <c r="G4612" s="23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4" t="str">
        <f>IF(J4612&lt;&gt;1,"",IF(I4612="SBJ","CB","?"))</f>
        <v> </v>
      </c>
      <c r="I4612" s="25" t="str">
        <f>IF(OR(E4612="",E4612="!!!",F4612="NEW"),"",INDEX(B4611:B$2,-1+SUMPRODUCT(MAX(ROW(E4611:E$2)*(E4612=E4611:E$2)))))</f>
        <v> </v>
      </c>
      <c r="J4612" s="25" t="str">
        <f>IF(OR(E4612="",E4612="!!!",F4612="NEW"),"",COUNTBLANK(OFFSET(A$1,,,SUMPRODUCT(MAX(ROW(E$2:E4612)*(E4612=E$2:E4612)))))-COUNTBLANK(OFFSET(A$1,,,SUMPRODUCT(MAX(ROW(E$1:E4611)*(E2=E$1:E4611))))))</f>
        <v> </v>
      </c>
      <c r="K4612" s="25" t="str">
        <f>IF(OR(E4612="",E4612="!!!",F4612="NEW"),"",INDEX(J$1:J4611,SUMPRODUCT(MAX(ROW(E$1:E4611)*(E4612=E$1:E4611)))))</f>
        <v> </v>
      </c>
      <c r="L4612" s="26"/>
    </row>
    <row r="4613" spans="1:12">
      <c r="A4613" s="20" t="s">
        <v>1041</v>
      </c>
      <c r="E4613" s="21">
        <f>IF(D4613="?OLD","!!!","")</f>
        <v/>
      </c>
      <c r="F4613" s="22" t="str">
        <f>IF(OR(E4613="",E4613="!!!"),"",IF(NOT(ISNA(VLOOKUP(E4613,E$1:E4612,1,FALSE()))),"OLD",IF(AND(E4613&lt;&gt;"",E4613&lt;&gt;"!!!"),"NEW","")))</f>
        <v> </v>
      </c>
      <c r="G4613" s="23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4" t="str">
        <f>IF(J4613&lt;&gt;1,"",IF(I4613="SBJ","CB","?"))</f>
        <v> </v>
      </c>
      <c r="I4613" s="25" t="str">
        <f>IF(OR(E4613="",E4613="!!!",F4613="NEW"),"",INDEX(B4612:B$2,-1+SUMPRODUCT(MAX(ROW(E4612:E$2)*(E4613=E4612:E$2)))))</f>
        <v> </v>
      </c>
      <c r="J4613" s="25" t="str">
        <f>IF(OR(E4613="",E4613="!!!",F4613="NEW"),"",COUNTBLANK(OFFSET(A$1,,,SUMPRODUCT(MAX(ROW(E$2:E4613)*(E4613=E$2:E4613)))))-COUNTBLANK(OFFSET(A$1,,,SUMPRODUCT(MAX(ROW(E$1:E4612)*(E2=E$1:E4612))))))</f>
        <v> </v>
      </c>
      <c r="K4613" s="25" t="str">
        <f>IF(OR(E4613="",E4613="!!!",F4613="NEW"),"",INDEX(J$1:J4612,SUMPRODUCT(MAX(ROW(E$1:E4612)*(E4613=E$1:E4612)))))</f>
        <v> </v>
      </c>
      <c r="L4613" s="26"/>
    </row>
    <row r="4614" spans="1:12">
      <c r="A4614" s="20" t="s">
        <v>201</v>
      </c>
      <c r="E4614" s="21">
        <f>IF(D4614="?OLD","!!!","")</f>
        <v/>
      </c>
      <c r="F4614" s="22" t="str">
        <f>IF(OR(E4614="",E4614="!!!"),"",IF(NOT(ISNA(VLOOKUP(E4614,E$1:E4613,1,FALSE()))),"OLD",IF(AND(E4614&lt;&gt;"",E4614&lt;&gt;"!!!"),"NEW","")))</f>
        <v> </v>
      </c>
      <c r="G4614" s="23" t="str">
        <f>IF(OR(E4614="",E4614="!!!"),"",IF(OR(J4614=0,AND(J4614=1,K4614=1),AND(J4614=1,I4614="SBJ"),AND(J4614=1,I4614=0)),"?IN_FOCUS",IF(J4614&lt;=2,"?ACTIVATED",IF(J4614&lt;&gt;"","?FAMILIAR",IF(F4614="NEW",IF(ISNA(VLOOKUP(E4614,#REF!,1,FALSE())),"?TYPE_IDENTIFIABLE","?REFERENTIAL"),"_")))))</f>
        <v> </v>
      </c>
      <c r="H4614" s="24" t="str">
        <f>IF(J4614&lt;&gt;1,"",IF(I4614="SBJ","CB","?"))</f>
        <v> </v>
      </c>
      <c r="I4614" s="25" t="str">
        <f>IF(OR(E4614="",E4614="!!!",F4614="NEW"),"",INDEX(B4613:B$2,-1+SUMPRODUCT(MAX(ROW(E4613:E$2)*(E4614=E4613:E$2)))))</f>
        <v> </v>
      </c>
      <c r="J4614" s="25" t="str">
        <f>IF(OR(E4614="",E4614="!!!",F4614="NEW"),"",COUNTBLANK(OFFSET(A$1,,,SUMPRODUCT(MAX(ROW(E$2:E4614)*(E4614=E$2:E4614)))))-COUNTBLANK(OFFSET(A$1,,,SUMPRODUCT(MAX(ROW(E$1:E4613)*(E2=E$1:E4613))))))</f>
        <v> </v>
      </c>
      <c r="K4614" s="25" t="str">
        <f>IF(OR(E4614="",E4614="!!!",F4614="NEW"),"",INDEX(J$1:J4613,SUMPRODUCT(MAX(ROW(E$1:E4613)*(E4614=E$1:E4613)))))</f>
        <v> </v>
      </c>
      <c r="L4614" s="26"/>
    </row>
    <row r="4615" spans="1:12">
      <c r="A4615" s="20" t="s">
        <v>103</v>
      </c>
      <c r="B4615" s="27" t="s">
        <v>1048</v>
      </c>
      <c r="E4615" s="21">
        <f>IF(D4615="?OLD","!!!","")</f>
        <v/>
      </c>
      <c r="F4615" s="22" t="str">
        <f>IF(OR(E4615="",E4615="!!!"),"",IF(NOT(ISNA(VLOOKUP(E4615,E$1:E4614,1,FALSE()))),"OLD",IF(AND(E4615&lt;&gt;"",E4615&lt;&gt;"!!!"),"NEW","")))</f>
        <v> </v>
      </c>
      <c r="G4615" s="23" t="str">
        <f>IF(OR(E4615="",E4615="!!!"),"",IF(OR(J4615=0,AND(J4615=1,K4615=1),AND(J4615=1,I4615="SBJ"),AND(J4615=1,I4615=0)),"?IN_FOCUS",IF(J4615&lt;=2,"?ACTIVATED",IF(J4615&lt;&gt;"","?FAMILIAR",IF(F4615="NEW",IF(ISNA(VLOOKUP(E4615,#REF!,1,FALSE())),"?TYPE_IDENTIFIABLE","?REFERENTIAL"),"_")))))</f>
        <v> </v>
      </c>
      <c r="H4615" s="24" t="str">
        <f>IF(J4615&lt;&gt;1,"",IF(I4615="SBJ","CB","?"))</f>
        <v> </v>
      </c>
      <c r="I4615" s="25" t="str">
        <f>IF(OR(E4615="",E4615="!!!",F4615="NEW"),"",INDEX(B4614:B$2,-1+SUMPRODUCT(MAX(ROW(E4614:E$2)*(E4615=E4614:E$2)))))</f>
        <v> </v>
      </c>
      <c r="J4615" s="25" t="str">
        <f>IF(OR(E4615="",E4615="!!!",F4615="NEW"),"",COUNTBLANK(OFFSET(A$1,,,SUMPRODUCT(MAX(ROW(E$2:E4615)*(E4615=E$2:E4615)))))-COUNTBLANK(OFFSET(A$1,,,SUMPRODUCT(MAX(ROW(E$1:E4614)*(E2=E$1:E4614))))))</f>
        <v> </v>
      </c>
      <c r="K4615" s="25" t="str">
        <f>IF(OR(E4615="",E4615="!!!",F4615="NEW"),"",INDEX(J$1:J4614,SUMPRODUCT(MAX(ROW(E$1:E4614)*(E4615=E$1:E4614)))))</f>
        <v> </v>
      </c>
      <c r="L4615" s="26"/>
    </row>
    <row r="4616" spans="1:12">
      <c r="A4616" s="20" t="s">
        <v>1107</v>
      </c>
      <c r="E4616" s="21">
        <f>IF(D4616="?OLD","!!!","")</f>
        <v/>
      </c>
      <c r="F4616" s="22" t="str">
        <f>IF(OR(E4616="",E4616="!!!"),"",IF(NOT(ISNA(VLOOKUP(E4616,E$1:E4615,1,FALSE()))),"OLD",IF(AND(E4616&lt;&gt;"",E4616&lt;&gt;"!!!"),"NEW","")))</f>
        <v> </v>
      </c>
      <c r="G4616" s="23" t="str">
        <f>IF(OR(E4616="",E4616="!!!"),"",IF(OR(J4616=0,AND(J4616=1,K4616=1),AND(J4616=1,I4616="SBJ"),AND(J4616=1,I4616=0)),"?IN_FOCUS",IF(J4616&lt;=2,"?ACTIVATED",IF(J4616&lt;&gt;"","?FAMILIAR",IF(F4616="NEW",IF(ISNA(VLOOKUP(E4616,#REF!,1,FALSE())),"?TYPE_IDENTIFIABLE","?REFERENTIAL"),"_")))))</f>
        <v> </v>
      </c>
      <c r="H4616" s="24" t="str">
        <f>IF(J4616&lt;&gt;1,"",IF(I4616="SBJ","CB","?"))</f>
        <v> </v>
      </c>
      <c r="I4616" s="25" t="str">
        <f>IF(OR(E4616="",E4616="!!!",F4616="NEW"),"",INDEX(B4615:B$2,-1+SUMPRODUCT(MAX(ROW(E4615:E$2)*(E4616=E4615:E$2)))))</f>
        <v> </v>
      </c>
      <c r="J4616" s="25" t="str">
        <f>IF(OR(E4616="",E4616="!!!",F4616="NEW"),"",COUNTBLANK(OFFSET(A$1,,,SUMPRODUCT(MAX(ROW(E$2:E4616)*(E4616=E$2:E4616)))))-COUNTBLANK(OFFSET(A$1,,,SUMPRODUCT(MAX(ROW(E$1:E4615)*(E2=E$1:E4615))))))</f>
        <v> </v>
      </c>
      <c r="K4616" s="25" t="str">
        <f>IF(OR(E4616="",E4616="!!!",F4616="NEW"),"",INDEX(J$1:J4615,SUMPRODUCT(MAX(ROW(E$1:E4615)*(E4616=E$1:E4615)))))</f>
        <v> </v>
      </c>
      <c r="L4616" s="26"/>
    </row>
    <row r="4617" spans="1:12">
      <c r="A4617" s="20" t="s">
        <v>2901</v>
      </c>
      <c r="E4617" s="21">
        <f>IF(D4617="?OLD","!!!","")</f>
        <v/>
      </c>
      <c r="F4617" s="22" t="str">
        <f>IF(OR(E4617="",E4617="!!!"),"",IF(NOT(ISNA(VLOOKUP(E4617,E$1:E4616,1,FALSE()))),"OLD",IF(AND(E4617&lt;&gt;"",E4617&lt;&gt;"!!!"),"NEW","")))</f>
        <v> </v>
      </c>
      <c r="G4617" s="23" t="str">
        <f>IF(OR(E4617="",E4617="!!!"),"",IF(OR(J4617=0,AND(J4617=1,K4617=1),AND(J4617=1,I4617="SBJ"),AND(J4617=1,I4617=0)),"?IN_FOCUS",IF(J4617&lt;=2,"?ACTIVATED",IF(J4617&lt;&gt;"","?FAMILIAR",IF(F4617="NEW",IF(ISNA(VLOOKUP(E4617,#REF!,1,FALSE())),"?TYPE_IDENTIFIABLE","?REFERENTIAL"),"_")))))</f>
        <v> </v>
      </c>
      <c r="H4617" s="24" t="str">
        <f>IF(J4617&lt;&gt;1,"",IF(I4617="SBJ","CB","?"))</f>
        <v> </v>
      </c>
      <c r="I4617" s="25" t="str">
        <f>IF(OR(E4617="",E4617="!!!",F4617="NEW"),"",INDEX(B4616:B$2,-1+SUMPRODUCT(MAX(ROW(E4616:E$2)*(E4617=E4616:E$2)))))</f>
        <v> </v>
      </c>
      <c r="J4617" s="25" t="str">
        <f>IF(OR(E4617="",E4617="!!!",F4617="NEW"),"",COUNTBLANK(OFFSET(A$1,,,SUMPRODUCT(MAX(ROW(E$2:E4617)*(E4617=E$2:E4617)))))-COUNTBLANK(OFFSET(A$1,,,SUMPRODUCT(MAX(ROW(E$1:E4616)*(E2=E$1:E4616))))))</f>
        <v> </v>
      </c>
      <c r="K4617" s="25" t="str">
        <f>IF(OR(E4617="",E4617="!!!",F4617="NEW"),"",INDEX(J$1:J4616,SUMPRODUCT(MAX(ROW(E$1:E4616)*(E4617=E$1:E4616)))))</f>
        <v> </v>
      </c>
      <c r="L4617" s="26"/>
    </row>
    <row r="4618" spans="1:12">
      <c r="A4618" s="20" t="s">
        <v>2299</v>
      </c>
      <c r="E4618" s="21">
        <f>IF(D4618="?OLD","!!!","")</f>
        <v/>
      </c>
      <c r="F4618" s="22" t="str">
        <f>IF(OR(E4618="",E4618="!!!"),"",IF(NOT(ISNA(VLOOKUP(E4618,E$1:E4617,1,FALSE()))),"OLD",IF(AND(E4618&lt;&gt;"",E4618&lt;&gt;"!!!"),"NEW","")))</f>
        <v> </v>
      </c>
      <c r="G4618" s="23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4" t="str">
        <f>IF(J4618&lt;&gt;1,"",IF(I4618="SBJ","CB","?"))</f>
        <v> </v>
      </c>
      <c r="I4618" s="25" t="str">
        <f>IF(OR(E4618="",E4618="!!!",F4618="NEW"),"",INDEX(B4617:B$2,-1+SUMPRODUCT(MAX(ROW(E4617:E$2)*(E4618=E4617:E$2)))))</f>
        <v> </v>
      </c>
      <c r="J4618" s="25" t="str">
        <f>IF(OR(E4618="",E4618="!!!",F4618="NEW"),"",COUNTBLANK(OFFSET(A$1,,,SUMPRODUCT(MAX(ROW(E$2:E4618)*(E4618=E$2:E4618)))))-COUNTBLANK(OFFSET(A$1,,,SUMPRODUCT(MAX(ROW(E$1:E4617)*(E2=E$1:E4617))))))</f>
        <v> </v>
      </c>
      <c r="K4618" s="25" t="str">
        <f>IF(OR(E4618="",E4618="!!!",F4618="NEW"),"",INDEX(J$1:J4617,SUMPRODUCT(MAX(ROW(E$1:E4617)*(E4618=E$1:E4617)))))</f>
        <v> </v>
      </c>
      <c r="L4618" s="26"/>
    </row>
    <row r="4619" spans="1:12">
      <c r="A4619" s="20" t="s">
        <v>1032</v>
      </c>
      <c r="E4619" s="21">
        <f>IF(D4619="?OLD","!!!","")</f>
        <v/>
      </c>
      <c r="F4619" s="22" t="str">
        <f>IF(OR(E4619="",E4619="!!!"),"",IF(NOT(ISNA(VLOOKUP(E4619,E$1:E4618,1,FALSE()))),"OLD",IF(AND(E4619&lt;&gt;"",E4619&lt;&gt;"!!!"),"NEW","")))</f>
        <v> </v>
      </c>
      <c r="G4619" s="23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4" t="str">
        <f>IF(J4619&lt;&gt;1,"",IF(I4619="SBJ","CB","?"))</f>
        <v> </v>
      </c>
      <c r="I4619" s="25" t="str">
        <f>IF(OR(E4619="",E4619="!!!",F4619="NEW"),"",INDEX(B4618:B$2,-1+SUMPRODUCT(MAX(ROW(E4618:E$2)*(E4619=E4618:E$2)))))</f>
        <v> </v>
      </c>
      <c r="J4619" s="25" t="str">
        <f>IF(OR(E4619="",E4619="!!!",F4619="NEW"),"",COUNTBLANK(OFFSET(A$1,,,SUMPRODUCT(MAX(ROW(E$2:E4619)*(E4619=E$2:E4619)))))-COUNTBLANK(OFFSET(A$1,,,SUMPRODUCT(MAX(ROW(E$1:E4618)*(E2=E$1:E4618))))))</f>
        <v> </v>
      </c>
      <c r="K4619" s="25" t="str">
        <f>IF(OR(E4619="",E4619="!!!",F4619="NEW"),"",INDEX(J$1:J4618,SUMPRODUCT(MAX(ROW(E$1:E4618)*(E4619=E$1:E4618)))))</f>
        <v> </v>
      </c>
      <c r="L4619" s="26"/>
    </row>
    <row r="4620" spans="1:12">
      <c r="A4620" s="20"/>
    </row>
    <row r="4621" spans="1:12">
      <c r="A4621" s="20" t="s">
        <v>2902</v>
      </c>
    </row>
    <row r="4622" spans="1:12">
      <c r="A4622" s="20" t="s">
        <v>1077</v>
      </c>
      <c r="E4622" s="21">
        <f>IF(D4622="?OLD","!!!","")</f>
        <v/>
      </c>
      <c r="F4622" s="22" t="str">
        <f>IF(OR(E4622="",E4622="!!!"),"",IF(NOT(ISNA(VLOOKUP(E4622,E$1:E4621,1,FALSE()))),"OLD",IF(AND(E4622&lt;&gt;"",E4622&lt;&gt;"!!!"),"NEW","")))</f>
        <v> </v>
      </c>
      <c r="G4622" s="23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4" t="str">
        <f>IF(J4622&lt;&gt;1,"",IF(I4622="SBJ","CB","?"))</f>
        <v> </v>
      </c>
      <c r="I4622" s="25" t="str">
        <f>IF(OR(E4622="",E4622="!!!",F4622="NEW"),"",INDEX(B4621:B$2,-1+SUMPRODUCT(MAX(ROW(E4621:E$2)*(E4622=E4621:E$2)))))</f>
        <v> </v>
      </c>
      <c r="J4622" s="25" t="str">
        <f>IF(OR(E4622="",E4622="!!!",F4622="NEW"),"",COUNTBLANK(OFFSET(A$1,,,SUMPRODUCT(MAX(ROW(E$2:E4622)*(E4622=E$2:E4622)))))-COUNTBLANK(OFFSET(A$1,,,SUMPRODUCT(MAX(ROW(E$1:E4621)*(E2=E$1:E4621))))))</f>
        <v> </v>
      </c>
      <c r="K4622" s="25" t="str">
        <f>IF(OR(E4622="",E4622="!!!",F4622="NEW"),"",INDEX(J$1:J4621,SUMPRODUCT(MAX(ROW(E$1:E4621)*(E4622=E$1:E4621)))))</f>
        <v> </v>
      </c>
      <c r="L4622" s="26"/>
    </row>
    <row r="4623" spans="1:12">
      <c r="A4623" s="20" t="s">
        <v>2369</v>
      </c>
      <c r="E4623" s="21">
        <f>IF(D4623="?OLD","!!!","")</f>
        <v/>
      </c>
      <c r="F4623" s="22" t="str">
        <f>IF(OR(E4623="",E4623="!!!"),"",IF(NOT(ISNA(VLOOKUP(E4623,E$1:E4622,1,FALSE()))),"OLD",IF(AND(E4623&lt;&gt;"",E4623&lt;&gt;"!!!"),"NEW","")))</f>
        <v> </v>
      </c>
      <c r="G4623" s="23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4" t="str">
        <f>IF(J4623&lt;&gt;1,"",IF(I4623="SBJ","CB","?"))</f>
        <v> </v>
      </c>
      <c r="I4623" s="25" t="str">
        <f>IF(OR(E4623="",E4623="!!!",F4623="NEW"),"",INDEX(B4622:B$2,-1+SUMPRODUCT(MAX(ROW(E4622:E$2)*(E4623=E4622:E$2)))))</f>
        <v> </v>
      </c>
      <c r="J4623" s="25" t="str">
        <f>IF(OR(E4623="",E4623="!!!",F4623="NEW"),"",COUNTBLANK(OFFSET(A$1,,,SUMPRODUCT(MAX(ROW(E$2:E4623)*(E4623=E$2:E4623)))))-COUNTBLANK(OFFSET(A$1,,,SUMPRODUCT(MAX(ROW(E$1:E4622)*(E2=E$1:E4622))))))</f>
        <v> </v>
      </c>
      <c r="K4623" s="25" t="str">
        <f>IF(OR(E4623="",E4623="!!!",F4623="NEW"),"",INDEX(J$1:J4622,SUMPRODUCT(MAX(ROW(E$1:E4622)*(E4623=E$1:E4622)))))</f>
        <v> </v>
      </c>
      <c r="L4623" s="26"/>
    </row>
    <row r="4624" spans="1:12">
      <c r="A4624" s="20" t="s">
        <v>1267</v>
      </c>
      <c r="E4624" s="21">
        <f>IF(D4624="?OLD","!!!","")</f>
        <v/>
      </c>
      <c r="F4624" s="22" t="str">
        <f>IF(OR(E4624="",E4624="!!!"),"",IF(NOT(ISNA(VLOOKUP(E4624,E$1:E4623,1,FALSE()))),"OLD",IF(AND(E4624&lt;&gt;"",E4624&lt;&gt;"!!!"),"NEW","")))</f>
        <v> </v>
      </c>
      <c r="G4624" s="23" t="str">
        <f>IF(OR(E4624="",E4624="!!!"),"",IF(OR(J4624=0,AND(J4624=1,K4624=1),AND(J4624=1,I4624="SBJ"),AND(J4624=1,I4624=0)),"?IN_FOCUS",IF(J4624&lt;=2,"?ACTIVATED",IF(J4624&lt;&gt;"","?FAMILIAR",IF(F4624="NEW",IF(ISNA(VLOOKUP(E4624,#REF!,1,FALSE())),"?TYPE_IDENTIFIABLE","?REFERENTIAL"),"_")))))</f>
        <v> </v>
      </c>
      <c r="H4624" s="24" t="str">
        <f>IF(J4624&lt;&gt;1,"",IF(I4624="SBJ","CB","?"))</f>
        <v> </v>
      </c>
      <c r="I4624" s="25" t="str">
        <f>IF(OR(E4624="",E4624="!!!",F4624="NEW"),"",INDEX(B4623:B$2,-1+SUMPRODUCT(MAX(ROW(E4623:E$2)*(E4624=E4623:E$2)))))</f>
        <v> </v>
      </c>
      <c r="J4624" s="25" t="str">
        <f>IF(OR(E4624="",E4624="!!!",F4624="NEW"),"",COUNTBLANK(OFFSET(A$1,,,SUMPRODUCT(MAX(ROW(E$2:E4624)*(E4624=E$2:E4624)))))-COUNTBLANK(OFFSET(A$1,,,SUMPRODUCT(MAX(ROW(E$1:E4623)*(E2=E$1:E4623))))))</f>
        <v> </v>
      </c>
      <c r="K4624" s="25" t="str">
        <f>IF(OR(E4624="",E4624="!!!",F4624="NEW"),"",INDEX(J$1:J4623,SUMPRODUCT(MAX(ROW(E$1:E4623)*(E4624=E$1:E4623)))))</f>
        <v> </v>
      </c>
      <c r="L4624" s="26"/>
    </row>
    <row r="4625" spans="1:12">
      <c r="A4625" s="20" t="s">
        <v>1285</v>
      </c>
      <c r="B4625" s="27" t="s">
        <v>1024</v>
      </c>
      <c r="E4625" s="21">
        <f>IF(D4625="?OLD","!!!","")</f>
        <v/>
      </c>
      <c r="F4625" s="22" t="str">
        <f>IF(OR(E4625="",E4625="!!!"),"",IF(NOT(ISNA(VLOOKUP(E4625,E$1:E4624,1,FALSE()))),"OLD",IF(AND(E4625&lt;&gt;"",E4625&lt;&gt;"!!!"),"NEW","")))</f>
        <v> </v>
      </c>
      <c r="G4625" s="23" t="str">
        <f>IF(OR(E4625="",E4625="!!!"),"",IF(OR(J4625=0,AND(J4625=1,K4625=1),AND(J4625=1,I4625="SBJ"),AND(J4625=1,I4625=0)),"?IN_FOCUS",IF(J4625&lt;=2,"?ACTIVATED",IF(J4625&lt;&gt;"","?FAMILIAR",IF(F4625="NEW",IF(ISNA(VLOOKUP(E4625,#REF!,1,FALSE())),"?TYPE_IDENTIFIABLE","?REFERENTIAL"),"_")))))</f>
        <v> </v>
      </c>
      <c r="H4625" s="24" t="str">
        <f>IF(J4625&lt;&gt;1,"",IF(I4625="SBJ","CB","?"))</f>
        <v> </v>
      </c>
      <c r="I4625" s="25" t="str">
        <f>IF(OR(E4625="",E4625="!!!",F4625="NEW"),"",INDEX(B4624:B$2,-1+SUMPRODUCT(MAX(ROW(E4624:E$2)*(E4625=E4624:E$2)))))</f>
        <v> </v>
      </c>
      <c r="J4625" s="25" t="str">
        <f>IF(OR(E4625="",E4625="!!!",F4625="NEW"),"",COUNTBLANK(OFFSET(A$1,,,SUMPRODUCT(MAX(ROW(E$2:E4625)*(E4625=E$2:E4625)))))-COUNTBLANK(OFFSET(A$1,,,SUMPRODUCT(MAX(ROW(E$1:E4624)*(E2=E$1:E4624))))))</f>
        <v> </v>
      </c>
      <c r="K4625" s="25" t="str">
        <f>IF(OR(E4625="",E4625="!!!",F4625="NEW"),"",INDEX(J$1:J4624,SUMPRODUCT(MAX(ROW(E$1:E4624)*(E4625=E$1:E4624)))))</f>
        <v> </v>
      </c>
      <c r="L4625" s="26"/>
    </row>
    <row r="4626" spans="1:12">
      <c r="A4626" s="20" t="s">
        <v>2227</v>
      </c>
      <c r="E4626" s="21">
        <f>IF(D4626="?OLD","!!!","")</f>
        <v/>
      </c>
      <c r="F4626" s="22" t="str">
        <f>IF(OR(E4626="",E4626="!!!"),"",IF(NOT(ISNA(VLOOKUP(E4626,E$1:E4625,1,FALSE()))),"OLD",IF(AND(E4626&lt;&gt;"",E4626&lt;&gt;"!!!"),"NEW","")))</f>
        <v> </v>
      </c>
      <c r="G4626" s="23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4" t="str">
        <f>IF(J4626&lt;&gt;1,"",IF(I4626="SBJ","CB","?"))</f>
        <v> </v>
      </c>
      <c r="I4626" s="25" t="str">
        <f>IF(OR(E4626="",E4626="!!!",F4626="NEW"),"",INDEX(B4625:B$2,-1+SUMPRODUCT(MAX(ROW(E4625:E$2)*(E4626=E4625:E$2)))))</f>
        <v> </v>
      </c>
      <c r="J4626" s="25" t="str">
        <f>IF(OR(E4626="",E4626="!!!",F4626="NEW"),"",COUNTBLANK(OFFSET(A$1,,,SUMPRODUCT(MAX(ROW(E$2:E4626)*(E4626=E$2:E4626)))))-COUNTBLANK(OFFSET(A$1,,,SUMPRODUCT(MAX(ROW(E$1:E4625)*(E2=E$1:E4625))))))</f>
        <v> </v>
      </c>
      <c r="K4626" s="25" t="str">
        <f>IF(OR(E4626="",E4626="!!!",F4626="NEW"),"",INDEX(J$1:J4625,SUMPRODUCT(MAX(ROW(E$1:E4625)*(E4626=E$1:E4625)))))</f>
        <v> </v>
      </c>
      <c r="L4626" s="26"/>
    </row>
    <row r="4627" spans="1:12">
      <c r="A4627" s="20" t="s">
        <v>2903</v>
      </c>
      <c r="E4627" s="21">
        <f>IF(D4627="?OLD","!!!","")</f>
        <v/>
      </c>
      <c r="F4627" s="22" t="str">
        <f>IF(OR(E4627="",E4627="!!!"),"",IF(NOT(ISNA(VLOOKUP(E4627,E$1:E4626,1,FALSE()))),"OLD",IF(AND(E4627&lt;&gt;"",E4627&lt;&gt;"!!!"),"NEW","")))</f>
        <v> </v>
      </c>
      <c r="G4627" s="23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4" t="str">
        <f>IF(J4627&lt;&gt;1,"",IF(I4627="SBJ","CB","?"))</f>
        <v> </v>
      </c>
      <c r="I4627" s="25" t="str">
        <f>IF(OR(E4627="",E4627="!!!",F4627="NEW"),"",INDEX(B4626:B$2,-1+SUMPRODUCT(MAX(ROW(E4626:E$2)*(E4627=E4626:E$2)))))</f>
        <v> </v>
      </c>
      <c r="J4627" s="25" t="str">
        <f>IF(OR(E4627="",E4627="!!!",F4627="NEW"),"",COUNTBLANK(OFFSET(A$1,,,SUMPRODUCT(MAX(ROW(E$2:E4627)*(E4627=E$2:E4627)))))-COUNTBLANK(OFFSET(A$1,,,SUMPRODUCT(MAX(ROW(E$1:E4626)*(E2=E$1:E4626))))))</f>
        <v> </v>
      </c>
      <c r="K4627" s="25" t="str">
        <f>IF(OR(E4627="",E4627="!!!",F4627="NEW"),"",INDEX(J$1:J4626,SUMPRODUCT(MAX(ROW(E$1:E4626)*(E4627=E$1:E4626)))))</f>
        <v> </v>
      </c>
      <c r="L4627" s="26"/>
    </row>
    <row r="4628" spans="1:12">
      <c r="A4628" s="20" t="s">
        <v>2279</v>
      </c>
      <c r="B4628" s="27" t="s">
        <v>1150</v>
      </c>
      <c r="C4628" s="27" t="s">
        <v>1025</v>
      </c>
      <c r="D4628" s="27" t="s">
        <v>1026</v>
      </c>
      <c r="E4628" s="21">
        <f>IF(D4628="?OLD","!!!","")</f>
        <v/>
      </c>
      <c r="F4628" s="22" t="str">
        <f>IF(OR(E4628="",E4628="!!!"),"",IF(NOT(ISNA(VLOOKUP(E4628,E$1:E4627,1,FALSE()))),"OLD",IF(AND(E4628&lt;&gt;"",E4628&lt;&gt;"!!!"),"NEW","")))</f>
        <v> </v>
      </c>
      <c r="G4628" s="23" t="str">
        <f>IF(OR(E4628="",E4628="!!!"),"",IF(OR(J4628=0,AND(J4628=1,K4628=1),AND(J4628=1,I4628="SBJ"),AND(J4628=1,I4628=0)),"?IN_FOCUS",IF(J4628&lt;=2,"?ACTIVATED",IF(J4628&lt;&gt;"","?FAMILIAR",IF(F4628="NEW",IF(ISNA(VLOOKUP(E4628,#REF!,1,FALSE())),"?TYPE_IDENTIFIABLE","?REFERENTIAL"),"_")))))</f>
        <v> </v>
      </c>
      <c r="H4628" s="24" t="str">
        <f>IF(J4628&lt;&gt;1,"",IF(I4628="SBJ","CB","?"))</f>
        <v> </v>
      </c>
      <c r="I4628" s="25" t="str">
        <f>IF(OR(E4628="",E4628="!!!",F4628="NEW"),"",INDEX(B4627:B$2,-1+SUMPRODUCT(MAX(ROW(E4627:E$2)*(E4628=E4627:E$2)))))</f>
        <v> </v>
      </c>
      <c r="J4628" s="25" t="str">
        <f>IF(OR(E4628="",E4628="!!!",F4628="NEW"),"",COUNTBLANK(OFFSET(A$1,,,SUMPRODUCT(MAX(ROW(E$2:E4628)*(E4628=E$2:E4628)))))-COUNTBLANK(OFFSET(A$1,,,SUMPRODUCT(MAX(ROW(E$1:E4627)*(E2=E$1:E4627))))))</f>
        <v> </v>
      </c>
      <c r="K4628" s="25" t="str">
        <f>IF(OR(E4628="",E4628="!!!",F4628="NEW"),"",INDEX(J$1:J4627,SUMPRODUCT(MAX(ROW(E$1:E4627)*(E4628=E$1:E4627)))))</f>
        <v> </v>
      </c>
      <c r="L4628" s="26"/>
    </row>
    <row r="4629" spans="1:12">
      <c r="A4629" s="20" t="s">
        <v>1099</v>
      </c>
      <c r="E4629" s="21">
        <f>IF(D4629="?OLD","!!!","")</f>
        <v/>
      </c>
      <c r="F4629" s="22" t="str">
        <f>IF(OR(E4629="",E4629="!!!"),"",IF(NOT(ISNA(VLOOKUP(E4629,E$1:E4628,1,FALSE()))),"OLD",IF(AND(E4629&lt;&gt;"",E4629&lt;&gt;"!!!"),"NEW","")))</f>
        <v> </v>
      </c>
      <c r="G4629" s="23" t="str">
        <f>IF(OR(E4629="",E4629="!!!"),"",IF(OR(J4629=0,AND(J4629=1,K4629=1),AND(J4629=1,I4629="SBJ"),AND(J4629=1,I4629=0)),"?IN_FOCUS",IF(J4629&lt;=2,"?ACTIVATED",IF(J4629&lt;&gt;"","?FAMILIAR",IF(F4629="NEW",IF(ISNA(VLOOKUP(E4629,#REF!,1,FALSE())),"?TYPE_IDENTIFIABLE","?REFERENTIAL"),"_")))))</f>
        <v> </v>
      </c>
      <c r="H4629" s="24" t="str">
        <f>IF(J4629&lt;&gt;1,"",IF(I4629="SBJ","CB","?"))</f>
        <v> </v>
      </c>
      <c r="I4629" s="25" t="str">
        <f>IF(OR(E4629="",E4629="!!!",F4629="NEW"),"",INDEX(B4628:B$2,-1+SUMPRODUCT(MAX(ROW(E4628:E$2)*(E4629=E4628:E$2)))))</f>
        <v> </v>
      </c>
      <c r="J4629" s="25" t="str">
        <f>IF(OR(E4629="",E4629="!!!",F4629="NEW"),"",COUNTBLANK(OFFSET(A$1,,,SUMPRODUCT(MAX(ROW(E$2:E4629)*(E4629=E$2:E4629)))))-COUNTBLANK(OFFSET(A$1,,,SUMPRODUCT(MAX(ROW(E$1:E4628)*(E2=E$1:E4628))))))</f>
        <v> </v>
      </c>
      <c r="K4629" s="25" t="str">
        <f>IF(OR(E4629="",E4629="!!!",F4629="NEW"),"",INDEX(J$1:J4628,SUMPRODUCT(MAX(ROW(E$1:E4628)*(E4629=E$1:E4628)))))</f>
        <v> </v>
      </c>
      <c r="L4629" s="26"/>
    </row>
    <row r="4630" spans="1:12">
      <c r="A4630" s="20" t="s">
        <v>2319</v>
      </c>
      <c r="E4630" s="21">
        <f>IF(D4630="?OLD","!!!","")</f>
        <v/>
      </c>
      <c r="F4630" s="22" t="str">
        <f>IF(OR(E4630="",E4630="!!!"),"",IF(NOT(ISNA(VLOOKUP(E4630,E$1:E4629,1,FALSE()))),"OLD",IF(AND(E4630&lt;&gt;"",E4630&lt;&gt;"!!!"),"NEW","")))</f>
        <v> </v>
      </c>
      <c r="G4630" s="23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4" t="str">
        <f>IF(J4630&lt;&gt;1,"",IF(I4630="SBJ","CB","?"))</f>
        <v> </v>
      </c>
      <c r="I4630" s="25" t="str">
        <f>IF(OR(E4630="",E4630="!!!",F4630="NEW"),"",INDEX(B4629:B$2,-1+SUMPRODUCT(MAX(ROW(E4629:E$2)*(E4630=E4629:E$2)))))</f>
        <v> </v>
      </c>
      <c r="J4630" s="25" t="str">
        <f>IF(OR(E4630="",E4630="!!!",F4630="NEW"),"",COUNTBLANK(OFFSET(A$1,,,SUMPRODUCT(MAX(ROW(E$2:E4630)*(E4630=E$2:E4630)))))-COUNTBLANK(OFFSET(A$1,,,SUMPRODUCT(MAX(ROW(E$1:E4629)*(E2=E$1:E4629))))))</f>
        <v> </v>
      </c>
      <c r="K4630" s="25" t="str">
        <f>IF(OR(E4630="",E4630="!!!",F4630="NEW"),"",INDEX(J$1:J4629,SUMPRODUCT(MAX(ROW(E$1:E4629)*(E4630=E$1:E4629)))))</f>
        <v> </v>
      </c>
      <c r="L4630" s="26"/>
    </row>
    <row r="4631" spans="1:12">
      <c r="A4631" s="20" t="s">
        <v>1032</v>
      </c>
      <c r="E4631" s="21">
        <f>IF(D4631="?OLD","!!!","")</f>
        <v/>
      </c>
      <c r="F4631" s="22" t="str">
        <f>IF(OR(E4631="",E4631="!!!"),"",IF(NOT(ISNA(VLOOKUP(E4631,E$1:E4630,1,FALSE()))),"OLD",IF(AND(E4631&lt;&gt;"",E4631&lt;&gt;"!!!"),"NEW","")))</f>
        <v> </v>
      </c>
      <c r="G4631" s="23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4" t="str">
        <f>IF(J4631&lt;&gt;1,"",IF(I4631="SBJ","CB","?"))</f>
        <v> </v>
      </c>
      <c r="I4631" s="25" t="str">
        <f>IF(OR(E4631="",E4631="!!!",F4631="NEW"),"",INDEX(B4630:B$2,-1+SUMPRODUCT(MAX(ROW(E4630:E$2)*(E4631=E4630:E$2)))))</f>
        <v> </v>
      </c>
      <c r="J4631" s="25" t="str">
        <f>IF(OR(E4631="",E4631="!!!",F4631="NEW"),"",COUNTBLANK(OFFSET(A$1,,,SUMPRODUCT(MAX(ROW(E$2:E4631)*(E4631=E$2:E4631)))))-COUNTBLANK(OFFSET(A$1,,,SUMPRODUCT(MAX(ROW(E$1:E4630)*(E2=E$1:E4630))))))</f>
        <v> </v>
      </c>
      <c r="K4631" s="25" t="str">
        <f>IF(OR(E4631="",E4631="!!!",F4631="NEW"),"",INDEX(J$1:J4630,SUMPRODUCT(MAX(ROW(E$1:E4630)*(E4631=E$1:E4630)))))</f>
        <v> </v>
      </c>
      <c r="L4631" s="26"/>
    </row>
    <row r="4632" spans="1:12">
      <c r="A4632" s="20"/>
    </row>
    <row r="4633" spans="1:12">
      <c r="A4633" s="20" t="s">
        <v>2904</v>
      </c>
    </row>
    <row r="4634" spans="1:12">
      <c r="A4634" s="20" t="s">
        <v>1520</v>
      </c>
      <c r="E4634" s="21">
        <f>IF(D4634="?OLD","!!!","")</f>
        <v/>
      </c>
      <c r="F4634" s="22" t="str">
        <f>IF(OR(E4634="",E4634="!!!"),"",IF(NOT(ISNA(VLOOKUP(E4634,E$1:E4633,1,FALSE()))),"OLD",IF(AND(E4634&lt;&gt;"",E4634&lt;&gt;"!!!"),"NEW","")))</f>
        <v> </v>
      </c>
      <c r="G4634" s="23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4" t="str">
        <f>IF(J4634&lt;&gt;1,"",IF(I4634="SBJ","CB","?"))</f>
        <v> </v>
      </c>
      <c r="I4634" s="25" t="str">
        <f>IF(OR(E4634="",E4634="!!!",F4634="NEW"),"",INDEX(B4633:B$2,-1+SUMPRODUCT(MAX(ROW(E4633:E$2)*(E4634=E4633:E$2)))))</f>
        <v> </v>
      </c>
      <c r="J4634" s="25" t="str">
        <f>IF(OR(E4634="",E4634="!!!",F4634="NEW"),"",COUNTBLANK(OFFSET(A$1,,,SUMPRODUCT(MAX(ROW(E$2:E4634)*(E4634=E$2:E4634)))))-COUNTBLANK(OFFSET(A$1,,,SUMPRODUCT(MAX(ROW(E$1:E4633)*(E2=E$1:E4633))))))</f>
        <v> </v>
      </c>
      <c r="K4634" s="25" t="str">
        <f>IF(OR(E4634="",E4634="!!!",F4634="NEW"),"",INDEX(J$1:J4633,SUMPRODUCT(MAX(ROW(E$1:E4633)*(E4634=E$1:E4633)))))</f>
        <v> </v>
      </c>
      <c r="L4634" s="26"/>
    </row>
    <row r="4635" spans="1:12">
      <c r="A4635" s="20" t="s">
        <v>2905</v>
      </c>
      <c r="B4635" s="27" t="s">
        <v>1080</v>
      </c>
      <c r="C4635" s="27" t="s">
        <v>1025</v>
      </c>
      <c r="D4635" s="27" t="s">
        <v>1026</v>
      </c>
      <c r="E4635" s="21">
        <f>IF(D4635="?OLD","!!!","")</f>
        <v/>
      </c>
      <c r="F4635" s="22" t="str">
        <f>IF(OR(E4635="",E4635="!!!"),"",IF(NOT(ISNA(VLOOKUP(E4635,E$1:E4634,1,FALSE()))),"OLD",IF(AND(E4635&lt;&gt;"",E4635&lt;&gt;"!!!"),"NEW","")))</f>
        <v> </v>
      </c>
      <c r="G4635" s="23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4" t="str">
        <f>IF(J4635&lt;&gt;1,"",IF(I4635="SBJ","CB","?"))</f>
        <v> </v>
      </c>
      <c r="I4635" s="25" t="str">
        <f>IF(OR(E4635="",E4635="!!!",F4635="NEW"),"",INDEX(B4634:B$2,-1+SUMPRODUCT(MAX(ROW(E4634:E$2)*(E4635=E4634:E$2)))))</f>
        <v> </v>
      </c>
      <c r="J4635" s="25" t="str">
        <f>IF(OR(E4635="",E4635="!!!",F4635="NEW"),"",COUNTBLANK(OFFSET(A$1,,,SUMPRODUCT(MAX(ROW(E$2:E4635)*(E4635=E$2:E4635)))))-COUNTBLANK(OFFSET(A$1,,,SUMPRODUCT(MAX(ROW(E$1:E4634)*(E2=E$1:E4634))))))</f>
        <v> </v>
      </c>
      <c r="K4635" s="25" t="str">
        <f>IF(OR(E4635="",E4635="!!!",F4635="NEW"),"",INDEX(J$1:J4634,SUMPRODUCT(MAX(ROW(E$1:E4634)*(E4635=E$1:E4634)))))</f>
        <v> </v>
      </c>
      <c r="L4635" s="26"/>
    </row>
    <row r="4636" spans="1:12">
      <c r="A4636" s="20" t="s">
        <v>305</v>
      </c>
      <c r="E4636" s="21">
        <f>IF(D4636="?OLD","!!!","")</f>
        <v/>
      </c>
      <c r="F4636" s="22" t="str">
        <f>IF(OR(E4636="",E4636="!!!"),"",IF(NOT(ISNA(VLOOKUP(E4636,E$1:E4635,1,FALSE()))),"OLD",IF(AND(E4636&lt;&gt;"",E4636&lt;&gt;"!!!"),"NEW","")))</f>
        <v> </v>
      </c>
      <c r="G4636" s="23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4" t="str">
        <f>IF(J4636&lt;&gt;1,"",IF(I4636="SBJ","CB","?"))</f>
        <v> </v>
      </c>
      <c r="I4636" s="25" t="str">
        <f>IF(OR(E4636="",E4636="!!!",F4636="NEW"),"",INDEX(B4635:B$2,-1+SUMPRODUCT(MAX(ROW(E4635:E$2)*(E4636=E4635:E$2)))))</f>
        <v> </v>
      </c>
      <c r="J4636" s="25" t="str">
        <f>IF(OR(E4636="",E4636="!!!",F4636="NEW"),"",COUNTBLANK(OFFSET(A$1,,,SUMPRODUCT(MAX(ROW(E$2:E4636)*(E4636=E$2:E4636)))))-COUNTBLANK(OFFSET(A$1,,,SUMPRODUCT(MAX(ROW(E$1:E4635)*(E2=E$1:E4635))))))</f>
        <v> </v>
      </c>
      <c r="K4636" s="25" t="str">
        <f>IF(OR(E4636="",E4636="!!!",F4636="NEW"),"",INDEX(J$1:J4635,SUMPRODUCT(MAX(ROW(E$1:E4635)*(E4636=E$1:E4635)))))</f>
        <v> </v>
      </c>
      <c r="L4636" s="26"/>
    </row>
    <row r="4637" spans="1:12">
      <c r="A4637" s="20" t="s">
        <v>2299</v>
      </c>
      <c r="E4637" s="21">
        <f>IF(D4637="?OLD","!!!","")</f>
        <v/>
      </c>
      <c r="F4637" s="22" t="str">
        <f>IF(OR(E4637="",E4637="!!!"),"",IF(NOT(ISNA(VLOOKUP(E4637,E$1:E4636,1,FALSE()))),"OLD",IF(AND(E4637&lt;&gt;"",E4637&lt;&gt;"!!!"),"NEW","")))</f>
        <v> </v>
      </c>
      <c r="G4637" s="23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4" t="str">
        <f>IF(J4637&lt;&gt;1,"",IF(I4637="SBJ","CB","?"))</f>
        <v> </v>
      </c>
      <c r="I4637" s="25" t="str">
        <f>IF(OR(E4637="",E4637="!!!",F4637="NEW"),"",INDEX(B4636:B$2,-1+SUMPRODUCT(MAX(ROW(E4636:E$2)*(E4637=E4636:E$2)))))</f>
        <v> </v>
      </c>
      <c r="J4637" s="25" t="str">
        <f>IF(OR(E4637="",E4637="!!!",F4637="NEW"),"",COUNTBLANK(OFFSET(A$1,,,SUMPRODUCT(MAX(ROW(E$2:E4637)*(E4637=E$2:E4637)))))-COUNTBLANK(OFFSET(A$1,,,SUMPRODUCT(MAX(ROW(E$1:E4636)*(E2=E$1:E4636))))))</f>
        <v> </v>
      </c>
      <c r="K4637" s="25" t="str">
        <f>IF(OR(E4637="",E4637="!!!",F4637="NEW"),"",INDEX(J$1:J4636,SUMPRODUCT(MAX(ROW(E$1:E4636)*(E4637=E$1:E4636)))))</f>
        <v> </v>
      </c>
      <c r="L4637" s="26"/>
    </row>
    <row r="4638" spans="1:12">
      <c r="A4638" s="20" t="s">
        <v>2906</v>
      </c>
      <c r="B4638" s="27" t="s">
        <v>1024</v>
      </c>
      <c r="C4638" s="27" t="s">
        <v>1271</v>
      </c>
      <c r="E4638" s="21">
        <f>IF(D4638="?OLD","!!!","")</f>
        <v/>
      </c>
      <c r="F4638" s="22" t="str">
        <f>IF(OR(E4638="",E4638="!!!"),"",IF(NOT(ISNA(VLOOKUP(E4638,E$1:E4637,1,FALSE()))),"OLD",IF(AND(E4638&lt;&gt;"",E4638&lt;&gt;"!!!"),"NEW","")))</f>
        <v> </v>
      </c>
      <c r="G4638" s="23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4" t="str">
        <f>IF(J4638&lt;&gt;1,"",IF(I4638="SBJ","CB","?"))</f>
        <v> </v>
      </c>
      <c r="I4638" s="25" t="str">
        <f>IF(OR(E4638="",E4638="!!!",F4638="NEW"),"",INDEX(B4637:B$2,-1+SUMPRODUCT(MAX(ROW(E4637:E$2)*(E4638=E4637:E$2)))))</f>
        <v> </v>
      </c>
      <c r="J4638" s="25" t="str">
        <f>IF(OR(E4638="",E4638="!!!",F4638="NEW"),"",COUNTBLANK(OFFSET(A$1,,,SUMPRODUCT(MAX(ROW(E$2:E4638)*(E4638=E$2:E4638)))))-COUNTBLANK(OFFSET(A$1,,,SUMPRODUCT(MAX(ROW(E$1:E4637)*(E2=E$1:E4637))))))</f>
        <v> </v>
      </c>
      <c r="K4638" s="25" t="str">
        <f>IF(OR(E4638="",E4638="!!!",F4638="NEW"),"",INDEX(J$1:J4637,SUMPRODUCT(MAX(ROW(E$1:E4637)*(E4638=E$1:E4637)))))</f>
        <v> </v>
      </c>
      <c r="L4638" s="26"/>
    </row>
    <row r="4639" spans="1:12">
      <c r="A4639" s="20" t="s">
        <v>1222</v>
      </c>
      <c r="E4639" s="21">
        <f>IF(D4639="?OLD","!!!","")</f>
        <v/>
      </c>
      <c r="F4639" s="22" t="str">
        <f>IF(OR(E4639="",E4639="!!!"),"",IF(NOT(ISNA(VLOOKUP(E4639,E$1:E4638,1,FALSE()))),"OLD",IF(AND(E4639&lt;&gt;"",E4639&lt;&gt;"!!!"),"NEW","")))</f>
        <v> </v>
      </c>
      <c r="G4639" s="23" t="str">
        <f>IF(OR(E4639="",E4639="!!!"),"",IF(OR(J4639=0,AND(J4639=1,K4639=1),AND(J4639=1,I4639="SBJ"),AND(J4639=1,I4639=0)),"?IN_FOCUS",IF(J4639&lt;=2,"?ACTIVATED",IF(J4639&lt;&gt;"","?FAMILIAR",IF(F4639="NEW",IF(ISNA(VLOOKUP(E4639,#REF!,1,FALSE())),"?TYPE_IDENTIFIABLE","?REFERENTIAL"),"_")))))</f>
        <v> </v>
      </c>
      <c r="H4639" s="24" t="str">
        <f>IF(J4639&lt;&gt;1,"",IF(I4639="SBJ","CB","?"))</f>
        <v> </v>
      </c>
      <c r="I4639" s="25" t="str">
        <f>IF(OR(E4639="",E4639="!!!",F4639="NEW"),"",INDEX(B4638:B$2,-1+SUMPRODUCT(MAX(ROW(E4638:E$2)*(E4639=E4638:E$2)))))</f>
        <v> </v>
      </c>
      <c r="J4639" s="25" t="str">
        <f>IF(OR(E4639="",E4639="!!!",F4639="NEW"),"",COUNTBLANK(OFFSET(A$1,,,SUMPRODUCT(MAX(ROW(E$2:E4639)*(E4639=E$2:E4639)))))-COUNTBLANK(OFFSET(A$1,,,SUMPRODUCT(MAX(ROW(E$1:E4638)*(E2=E$1:E4638))))))</f>
        <v> </v>
      </c>
      <c r="K4639" s="25" t="str">
        <f>IF(OR(E4639="",E4639="!!!",F4639="NEW"),"",INDEX(J$1:J4638,SUMPRODUCT(MAX(ROW(E$1:E4638)*(E4639=E$1:E4638)))))</f>
        <v> </v>
      </c>
      <c r="L4639" s="26"/>
    </row>
    <row r="4640" spans="1:12">
      <c r="A4640" s="20" t="s">
        <v>1147</v>
      </c>
      <c r="E4640" s="21">
        <f>IF(D4640="?OLD","!!!","")</f>
        <v/>
      </c>
      <c r="F4640" s="22" t="str">
        <f>IF(OR(E4640="",E4640="!!!"),"",IF(NOT(ISNA(VLOOKUP(E4640,E$1:E4639,1,FALSE()))),"OLD",IF(AND(E4640&lt;&gt;"",E4640&lt;&gt;"!!!"),"NEW","")))</f>
        <v> </v>
      </c>
      <c r="G4640" s="23" t="str">
        <f>IF(OR(E4640="",E4640="!!!"),"",IF(OR(J4640=0,AND(J4640=1,K4640=1),AND(J4640=1,I4640="SBJ"),AND(J4640=1,I4640=0)),"?IN_FOCUS",IF(J4640&lt;=2,"?ACTIVATED",IF(J4640&lt;&gt;"","?FAMILIAR",IF(F4640="NEW",IF(ISNA(VLOOKUP(E4640,#REF!,1,FALSE())),"?TYPE_IDENTIFIABLE","?REFERENTIAL"),"_")))))</f>
        <v> </v>
      </c>
      <c r="H4640" s="24" t="str">
        <f>IF(J4640&lt;&gt;1,"",IF(I4640="SBJ","CB","?"))</f>
        <v> </v>
      </c>
      <c r="I4640" s="25" t="str">
        <f>IF(OR(E4640="",E4640="!!!",F4640="NEW"),"",INDEX(B4639:B$2,-1+SUMPRODUCT(MAX(ROW(E4639:E$2)*(E4640=E4639:E$2)))))</f>
        <v> </v>
      </c>
      <c r="J4640" s="25" t="str">
        <f>IF(OR(E4640="",E4640="!!!",F4640="NEW"),"",COUNTBLANK(OFFSET(A$1,,,SUMPRODUCT(MAX(ROW(E$2:E4640)*(E4640=E$2:E4640)))))-COUNTBLANK(OFFSET(A$1,,,SUMPRODUCT(MAX(ROW(E$1:E4639)*(E2=E$1:E4639))))))</f>
        <v> </v>
      </c>
      <c r="K4640" s="25" t="str">
        <f>IF(OR(E4640="",E4640="!!!",F4640="NEW"),"",INDEX(J$1:J4639,SUMPRODUCT(MAX(ROW(E$1:E4639)*(E4640=E$1:E4639)))))</f>
        <v> </v>
      </c>
      <c r="L4640" s="26"/>
    </row>
    <row r="4641" spans="1:12">
      <c r="A4641" s="20" t="s">
        <v>2759</v>
      </c>
      <c r="E4641" s="21">
        <f>IF(D4641="?OLD","!!!","")</f>
        <v/>
      </c>
      <c r="F4641" s="22" t="str">
        <f>IF(OR(E4641="",E4641="!!!"),"",IF(NOT(ISNA(VLOOKUP(E4641,E$1:E4640,1,FALSE()))),"OLD",IF(AND(E4641&lt;&gt;"",E4641&lt;&gt;"!!!"),"NEW","")))</f>
        <v> </v>
      </c>
      <c r="G4641" s="23" t="str">
        <f>IF(OR(E4641="",E4641="!!!"),"",IF(OR(J4641=0,AND(J4641=1,K4641=1),AND(J4641=1,I4641="SBJ"),AND(J4641=1,I4641=0)),"?IN_FOCUS",IF(J4641&lt;=2,"?ACTIVATED",IF(J4641&lt;&gt;"","?FAMILIAR",IF(F4641="NEW",IF(ISNA(VLOOKUP(E4641,#REF!,1,FALSE())),"?TYPE_IDENTIFIABLE","?REFERENTIAL"),"_")))))</f>
        <v> </v>
      </c>
      <c r="H4641" s="24" t="str">
        <f>IF(J4641&lt;&gt;1,"",IF(I4641="SBJ","CB","?"))</f>
        <v> </v>
      </c>
      <c r="I4641" s="25" t="str">
        <f>IF(OR(E4641="",E4641="!!!",F4641="NEW"),"",INDEX(B4640:B$2,-1+SUMPRODUCT(MAX(ROW(E4640:E$2)*(E4641=E4640:E$2)))))</f>
        <v> </v>
      </c>
      <c r="J4641" s="25" t="str">
        <f>IF(OR(E4641="",E4641="!!!",F4641="NEW"),"",COUNTBLANK(OFFSET(A$1,,,SUMPRODUCT(MAX(ROW(E$2:E4641)*(E4641=E$2:E4641)))))-COUNTBLANK(OFFSET(A$1,,,SUMPRODUCT(MAX(ROW(E$1:E4640)*(E2=E$1:E4640))))))</f>
        <v> </v>
      </c>
      <c r="K4641" s="25" t="str">
        <f>IF(OR(E4641="",E4641="!!!",F4641="NEW"),"",INDEX(J$1:J4640,SUMPRODUCT(MAX(ROW(E$1:E4640)*(E4641=E$1:E4640)))))</f>
        <v> </v>
      </c>
      <c r="L4641" s="26"/>
    </row>
    <row r="4642" spans="1:12">
      <c r="A4642" s="20" t="s">
        <v>2128</v>
      </c>
      <c r="E4642" s="21">
        <f>IF(D4642="?OLD","!!!","")</f>
        <v/>
      </c>
      <c r="F4642" s="22" t="str">
        <f>IF(OR(E4642="",E4642="!!!"),"",IF(NOT(ISNA(VLOOKUP(E4642,E$1:E4641,1,FALSE()))),"OLD",IF(AND(E4642&lt;&gt;"",E4642&lt;&gt;"!!!"),"NEW","")))</f>
        <v> </v>
      </c>
      <c r="G4642" s="23" t="str">
        <f>IF(OR(E4642="",E4642="!!!"),"",IF(OR(J4642=0,AND(J4642=1,K4642=1),AND(J4642=1,I4642="SBJ"),AND(J4642=1,I4642=0)),"?IN_FOCUS",IF(J4642&lt;=2,"?ACTIVATED",IF(J4642&lt;&gt;"","?FAMILIAR",IF(F4642="NEW",IF(ISNA(VLOOKUP(E4642,#REF!,1,FALSE())),"?TYPE_IDENTIFIABLE","?REFERENTIAL"),"_")))))</f>
        <v> </v>
      </c>
      <c r="H4642" s="24" t="str">
        <f>IF(J4642&lt;&gt;1,"",IF(I4642="SBJ","CB","?"))</f>
        <v> </v>
      </c>
      <c r="I4642" s="25" t="str">
        <f>IF(OR(E4642="",E4642="!!!",F4642="NEW"),"",INDEX(B4641:B$2,-1+SUMPRODUCT(MAX(ROW(E4641:E$2)*(E4642=E4641:E$2)))))</f>
        <v> </v>
      </c>
      <c r="J4642" s="25" t="str">
        <f>IF(OR(E4642="",E4642="!!!",F4642="NEW"),"",COUNTBLANK(OFFSET(A$1,,,SUMPRODUCT(MAX(ROW(E$2:E4642)*(E4642=E$2:E4642)))))-COUNTBLANK(OFFSET(A$1,,,SUMPRODUCT(MAX(ROW(E$1:E4641)*(E2=E$1:E4641))))))</f>
        <v> </v>
      </c>
      <c r="K4642" s="25" t="str">
        <f>IF(OR(E4642="",E4642="!!!",F4642="NEW"),"",INDEX(J$1:J4641,SUMPRODUCT(MAX(ROW(E$1:E4641)*(E4642=E$1:E4641)))))</f>
        <v> </v>
      </c>
      <c r="L4642" s="26"/>
    </row>
    <row r="4643" spans="1:12">
      <c r="A4643" s="20" t="s">
        <v>1638</v>
      </c>
      <c r="B4643" s="27" t="s">
        <v>1080</v>
      </c>
      <c r="C4643" s="27" t="s">
        <v>1036</v>
      </c>
      <c r="D4643" s="27" t="s">
        <v>1026</v>
      </c>
      <c r="E4643" s="21">
        <f>IF(D4643="?OLD","!!!","")</f>
        <v/>
      </c>
      <c r="F4643" s="22" t="str">
        <f>IF(OR(E4643="",E4643="!!!"),"",IF(NOT(ISNA(VLOOKUP(E4643,E$1:E4642,1,FALSE()))),"OLD",IF(AND(E4643&lt;&gt;"",E4643&lt;&gt;"!!!"),"NEW","")))</f>
        <v> </v>
      </c>
      <c r="G4643" s="23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4" t="str">
        <f>IF(J4643&lt;&gt;1,"",IF(I4643="SBJ","CB","?"))</f>
        <v> </v>
      </c>
      <c r="I4643" s="25" t="str">
        <f>IF(OR(E4643="",E4643="!!!",F4643="NEW"),"",INDEX(B4642:B$2,-1+SUMPRODUCT(MAX(ROW(E4642:E$2)*(E4643=E4642:E$2)))))</f>
        <v> </v>
      </c>
      <c r="J4643" s="25" t="str">
        <f>IF(OR(E4643="",E4643="!!!",F4643="NEW"),"",COUNTBLANK(OFFSET(A$1,,,SUMPRODUCT(MAX(ROW(E$2:E4643)*(E4643=E$2:E4643)))))-COUNTBLANK(OFFSET(A$1,,,SUMPRODUCT(MAX(ROW(E$1:E4642)*(E2=E$1:E4642))))))</f>
        <v> </v>
      </c>
      <c r="K4643" s="25" t="str">
        <f>IF(OR(E4643="",E4643="!!!",F4643="NEW"),"",INDEX(J$1:J4642,SUMPRODUCT(MAX(ROW(E$1:E4642)*(E4643=E$1:E4642)))))</f>
        <v> </v>
      </c>
      <c r="L4643" s="26"/>
    </row>
    <row r="4644" spans="1:12">
      <c r="A4644" s="20" t="s">
        <v>1041</v>
      </c>
      <c r="E4644" s="21">
        <f>IF(D4644="?OLD","!!!","")</f>
        <v/>
      </c>
      <c r="F4644" s="22" t="str">
        <f>IF(OR(E4644="",E4644="!!!"),"",IF(NOT(ISNA(VLOOKUP(E4644,E$1:E4643,1,FALSE()))),"OLD",IF(AND(E4644&lt;&gt;"",E4644&lt;&gt;"!!!"),"NEW","")))</f>
        <v> </v>
      </c>
      <c r="G4644" s="23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4" t="str">
        <f>IF(J4644&lt;&gt;1,"",IF(I4644="SBJ","CB","?"))</f>
        <v> </v>
      </c>
      <c r="I4644" s="25" t="str">
        <f>IF(OR(E4644="",E4644="!!!",F4644="NEW"),"",INDEX(B4643:B$2,-1+SUMPRODUCT(MAX(ROW(E4643:E$2)*(E4644=E4643:E$2)))))</f>
        <v> </v>
      </c>
      <c r="J4644" s="25" t="str">
        <f>IF(OR(E4644="",E4644="!!!",F4644="NEW"),"",COUNTBLANK(OFFSET(A$1,,,SUMPRODUCT(MAX(ROW(E$2:E4644)*(E4644=E$2:E4644)))))-COUNTBLANK(OFFSET(A$1,,,SUMPRODUCT(MAX(ROW(E$1:E4643)*(E2=E$1:E4643))))))</f>
        <v> </v>
      </c>
      <c r="K4644" s="25" t="str">
        <f>IF(OR(E4644="",E4644="!!!",F4644="NEW"),"",INDEX(J$1:J4643,SUMPRODUCT(MAX(ROW(E$1:E4643)*(E4644=E$1:E4643)))))</f>
        <v> </v>
      </c>
      <c r="L4644" s="26"/>
    </row>
    <row r="4645" spans="1:12">
      <c r="A4645" s="20" t="s">
        <v>201</v>
      </c>
      <c r="B4645" s="27" t="s">
        <v>1048</v>
      </c>
      <c r="C4645" s="27" t="s">
        <v>1151</v>
      </c>
      <c r="E4645" s="21">
        <f>IF(D4645="?OLD","!!!","")</f>
        <v/>
      </c>
      <c r="F4645" s="22" t="str">
        <f>IF(OR(E4645="",E4645="!!!"),"",IF(NOT(ISNA(VLOOKUP(E4645,E$1:E4644,1,FALSE()))),"OLD",IF(AND(E4645&lt;&gt;"",E4645&lt;&gt;"!!!"),"NEW","")))</f>
        <v> </v>
      </c>
      <c r="G4645" s="23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4" t="str">
        <f>IF(J4645&lt;&gt;1,"",IF(I4645="SBJ","CB","?"))</f>
        <v> </v>
      </c>
      <c r="I4645" s="25" t="str">
        <f>IF(OR(E4645="",E4645="!!!",F4645="NEW"),"",INDEX(B4644:B$2,-1+SUMPRODUCT(MAX(ROW(E4644:E$2)*(E4645=E4644:E$2)))))</f>
        <v> </v>
      </c>
      <c r="J4645" s="25" t="str">
        <f>IF(OR(E4645="",E4645="!!!",F4645="NEW"),"",COUNTBLANK(OFFSET(A$1,,,SUMPRODUCT(MAX(ROW(E$2:E4645)*(E4645=E$2:E4645)))))-COUNTBLANK(OFFSET(A$1,,,SUMPRODUCT(MAX(ROW(E$1:E4644)*(E2=E$1:E4644))))))</f>
        <v> </v>
      </c>
      <c r="K4645" s="25" t="str">
        <f>IF(OR(E4645="",E4645="!!!",F4645="NEW"),"",INDEX(J$1:J4644,SUMPRODUCT(MAX(ROW(E$1:E4644)*(E4645=E$1:E4644)))))</f>
        <v> </v>
      </c>
      <c r="L4645" s="26"/>
    </row>
    <row r="4646" spans="1:12">
      <c r="A4646" s="20" t="s">
        <v>1108</v>
      </c>
      <c r="E4646" s="21">
        <f>IF(D4646="?OLD","!!!","")</f>
        <v/>
      </c>
      <c r="F4646" s="22" t="str">
        <f>IF(OR(E4646="",E4646="!!!"),"",IF(NOT(ISNA(VLOOKUP(E4646,E$1:E4645,1,FALSE()))),"OLD",IF(AND(E4646&lt;&gt;"",E4646&lt;&gt;"!!!"),"NEW","")))</f>
        <v> </v>
      </c>
      <c r="G4646" s="23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4" t="str">
        <f>IF(J4646&lt;&gt;1,"",IF(I4646="SBJ","CB","?"))</f>
        <v> </v>
      </c>
      <c r="I4646" s="25" t="str">
        <f>IF(OR(E4646="",E4646="!!!",F4646="NEW"),"",INDEX(B4645:B$2,-1+SUMPRODUCT(MAX(ROW(E4645:E$2)*(E4646=E4645:E$2)))))</f>
        <v> </v>
      </c>
      <c r="J4646" s="25" t="str">
        <f>IF(OR(E4646="",E4646="!!!",F4646="NEW"),"",COUNTBLANK(OFFSET(A$1,,,SUMPRODUCT(MAX(ROW(E$2:E4646)*(E4646=E$2:E4646)))))-COUNTBLANK(OFFSET(A$1,,,SUMPRODUCT(MAX(ROW(E$1:E4645)*(E2=E$1:E4645))))))</f>
        <v> </v>
      </c>
      <c r="K4646" s="25" t="str">
        <f>IF(OR(E4646="",E4646="!!!",F4646="NEW"),"",INDEX(J$1:J4645,SUMPRODUCT(MAX(ROW(E$1:E4645)*(E4646=E$1:E4645)))))</f>
        <v> </v>
      </c>
      <c r="L4646" s="26"/>
    </row>
    <row r="4647" spans="1:12">
      <c r="A4647" s="20" t="s">
        <v>2907</v>
      </c>
      <c r="E4647" s="21">
        <f>IF(D4647="?OLD","!!!","")</f>
        <v/>
      </c>
      <c r="F4647" s="22" t="str">
        <f>IF(OR(E4647="",E4647="!!!"),"",IF(NOT(ISNA(VLOOKUP(E4647,E$1:E4646,1,FALSE()))),"OLD",IF(AND(E4647&lt;&gt;"",E4647&lt;&gt;"!!!"),"NEW","")))</f>
        <v> </v>
      </c>
      <c r="G4647" s="23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4" t="str">
        <f>IF(J4647&lt;&gt;1,"",IF(I4647="SBJ","CB","?"))</f>
        <v> </v>
      </c>
      <c r="I4647" s="25" t="str">
        <f>IF(OR(E4647="",E4647="!!!",F4647="NEW"),"",INDEX(B4646:B$2,-1+SUMPRODUCT(MAX(ROW(E4646:E$2)*(E4647=E4646:E$2)))))</f>
        <v> </v>
      </c>
      <c r="J4647" s="25" t="str">
        <f>IF(OR(E4647="",E4647="!!!",F4647="NEW"),"",COUNTBLANK(OFFSET(A$1,,,SUMPRODUCT(MAX(ROW(E$2:E4647)*(E4647=E$2:E4647)))))-COUNTBLANK(OFFSET(A$1,,,SUMPRODUCT(MAX(ROW(E$1:E4646)*(E2=E$1:E4646))))))</f>
        <v> </v>
      </c>
      <c r="K4647" s="25" t="str">
        <f>IF(OR(E4647="",E4647="!!!",F4647="NEW"),"",INDEX(J$1:J4646,SUMPRODUCT(MAX(ROW(E$1:E4646)*(E4647=E$1:E4646)))))</f>
        <v> </v>
      </c>
      <c r="L4647" s="26"/>
    </row>
    <row r="4648" spans="1:12">
      <c r="A4648" s="20" t="s">
        <v>2908</v>
      </c>
      <c r="E4648" s="21">
        <f>IF(D4648="?OLD","!!!","")</f>
        <v/>
      </c>
      <c r="F4648" s="22" t="str">
        <f>IF(OR(E4648="",E4648="!!!"),"",IF(NOT(ISNA(VLOOKUP(E4648,E$1:E4647,1,FALSE()))),"OLD",IF(AND(E4648&lt;&gt;"",E4648&lt;&gt;"!!!"),"NEW","")))</f>
        <v> </v>
      </c>
      <c r="G4648" s="23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4" t="str">
        <f>IF(J4648&lt;&gt;1,"",IF(I4648="SBJ","CB","?"))</f>
        <v> </v>
      </c>
      <c r="I4648" s="25" t="str">
        <f>IF(OR(E4648="",E4648="!!!",F4648="NEW"),"",INDEX(B4647:B$2,-1+SUMPRODUCT(MAX(ROW(E4647:E$2)*(E4648=E4647:E$2)))))</f>
        <v> </v>
      </c>
      <c r="J4648" s="25" t="str">
        <f>IF(OR(E4648="",E4648="!!!",F4648="NEW"),"",COUNTBLANK(OFFSET(A$1,,,SUMPRODUCT(MAX(ROW(E$2:E4648)*(E4648=E$2:E4648)))))-COUNTBLANK(OFFSET(A$1,,,SUMPRODUCT(MAX(ROW(E$1:E4647)*(E2=E$1:E4647))))))</f>
        <v> </v>
      </c>
      <c r="K4648" s="25" t="str">
        <f>IF(OR(E4648="",E4648="!!!",F4648="NEW"),"",INDEX(J$1:J4647,SUMPRODUCT(MAX(ROW(E$1:E4647)*(E4648=E$1:E4647)))))</f>
        <v> </v>
      </c>
      <c r="L4648" s="26"/>
    </row>
    <row r="4649" spans="1:12">
      <c r="A4649" s="20" t="s">
        <v>1030</v>
      </c>
      <c r="E4649" s="21">
        <f>IF(D4649="?OLD","!!!","")</f>
        <v/>
      </c>
      <c r="F4649" s="22" t="str">
        <f>IF(OR(E4649="",E4649="!!!"),"",IF(NOT(ISNA(VLOOKUP(E4649,E$1:E4648,1,FALSE()))),"OLD",IF(AND(E4649&lt;&gt;"",E4649&lt;&gt;"!!!"),"NEW","")))</f>
        <v> </v>
      </c>
      <c r="G4649" s="23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4" t="str">
        <f>IF(J4649&lt;&gt;1,"",IF(I4649="SBJ","CB","?"))</f>
        <v> </v>
      </c>
      <c r="I4649" s="25" t="str">
        <f>IF(OR(E4649="",E4649="!!!",F4649="NEW"),"",INDEX(B4648:B$2,-1+SUMPRODUCT(MAX(ROW(E4648:E$2)*(E4649=E4648:E$2)))))</f>
        <v> </v>
      </c>
      <c r="J4649" s="25" t="str">
        <f>IF(OR(E4649="",E4649="!!!",F4649="NEW"),"",COUNTBLANK(OFFSET(A$1,,,SUMPRODUCT(MAX(ROW(E$2:E4649)*(E4649=E$2:E4649)))))-COUNTBLANK(OFFSET(A$1,,,SUMPRODUCT(MAX(ROW(E$1:E4648)*(E2=E$1:E4648))))))</f>
        <v> </v>
      </c>
      <c r="K4649" s="25" t="str">
        <f>IF(OR(E4649="",E4649="!!!",F4649="NEW"),"",INDEX(J$1:J4648,SUMPRODUCT(MAX(ROW(E$1:E4648)*(E4649=E$1:E4648)))))</f>
        <v> </v>
      </c>
      <c r="L4649" s="26"/>
    </row>
    <row r="4650" spans="1:12">
      <c r="A4650" s="20" t="s">
        <v>2909</v>
      </c>
      <c r="E4650" s="21">
        <f>IF(D4650="?OLD","!!!","")</f>
        <v/>
      </c>
      <c r="F4650" s="22" t="str">
        <f>IF(OR(E4650="",E4650="!!!"),"",IF(NOT(ISNA(VLOOKUP(E4650,E$1:E4649,1,FALSE()))),"OLD",IF(AND(E4650&lt;&gt;"",E4650&lt;&gt;"!!!"),"NEW","")))</f>
        <v> </v>
      </c>
      <c r="G4650" s="23" t="str">
        <f>IF(OR(E4650="",E4650="!!!"),"",IF(OR(J4650=0,AND(J4650=1,K4650=1),AND(J4650=1,I4650="SBJ"),AND(J4650=1,I4650=0)),"?IN_FOCUS",IF(J4650&lt;=2,"?ACTIVATED",IF(J4650&lt;&gt;"","?FAMILIAR",IF(F4650="NEW",IF(ISNA(VLOOKUP(E4650,#REF!,1,FALSE())),"?TYPE_IDENTIFIABLE","?REFERENTIAL"),"_")))))</f>
        <v> </v>
      </c>
      <c r="H4650" s="24" t="str">
        <f>IF(J4650&lt;&gt;1,"",IF(I4650="SBJ","CB","?"))</f>
        <v> </v>
      </c>
      <c r="I4650" s="25" t="str">
        <f>IF(OR(E4650="",E4650="!!!",F4650="NEW"),"",INDEX(B4649:B$2,-1+SUMPRODUCT(MAX(ROW(E4649:E$2)*(E4650=E4649:E$2)))))</f>
        <v> </v>
      </c>
      <c r="J4650" s="25" t="str">
        <f>IF(OR(E4650="",E4650="!!!",F4650="NEW"),"",COUNTBLANK(OFFSET(A$1,,,SUMPRODUCT(MAX(ROW(E$2:E4650)*(E4650=E$2:E4650)))))-COUNTBLANK(OFFSET(A$1,,,SUMPRODUCT(MAX(ROW(E$1:E4649)*(E2=E$1:E4649))))))</f>
        <v> </v>
      </c>
      <c r="K4650" s="25" t="str">
        <f>IF(OR(E4650="",E4650="!!!",F4650="NEW"),"",INDEX(J$1:J4649,SUMPRODUCT(MAX(ROW(E$1:E4649)*(E4650=E$1:E4649)))))</f>
        <v> </v>
      </c>
      <c r="L4650" s="26"/>
    </row>
    <row r="4651" spans="1:12">
      <c r="A4651" s="20" t="s">
        <v>2910</v>
      </c>
      <c r="B4651" s="27" t="s">
        <v>1409</v>
      </c>
      <c r="E4651" s="21">
        <f>IF(D4651="?OLD","!!!","")</f>
        <v/>
      </c>
      <c r="F4651" s="22" t="str">
        <f>IF(OR(E4651="",E4651="!!!"),"",IF(NOT(ISNA(VLOOKUP(E4651,E$1:E4650,1,FALSE()))),"OLD",IF(AND(E4651&lt;&gt;"",E4651&lt;&gt;"!!!"),"NEW","")))</f>
        <v> </v>
      </c>
      <c r="G4651" s="23" t="str">
        <f>IF(OR(E4651="",E4651="!!!"),"",IF(OR(J4651=0,AND(J4651=1,K4651=1),AND(J4651=1,I4651="SBJ"),AND(J4651=1,I4651=0)),"?IN_FOCUS",IF(J4651&lt;=2,"?ACTIVATED",IF(J4651&lt;&gt;"","?FAMILIAR",IF(F4651="NEW",IF(ISNA(VLOOKUP(E4651,#REF!,1,FALSE())),"?TYPE_IDENTIFIABLE","?REFERENTIAL"),"_")))))</f>
        <v> </v>
      </c>
      <c r="H4651" s="24" t="str">
        <f>IF(J4651&lt;&gt;1,"",IF(I4651="SBJ","CB","?"))</f>
        <v> </v>
      </c>
      <c r="I4651" s="25" t="str">
        <f>IF(OR(E4651="",E4651="!!!",F4651="NEW"),"",INDEX(B4650:B$2,-1+SUMPRODUCT(MAX(ROW(E4650:E$2)*(E4651=E4650:E$2)))))</f>
        <v> </v>
      </c>
      <c r="J4651" s="25" t="str">
        <f>IF(OR(E4651="",E4651="!!!",F4651="NEW"),"",COUNTBLANK(OFFSET(A$1,,,SUMPRODUCT(MAX(ROW(E$2:E4651)*(E4651=E$2:E4651)))))-COUNTBLANK(OFFSET(A$1,,,SUMPRODUCT(MAX(ROW(E$1:E4650)*(E2=E$1:E4650))))))</f>
        <v> </v>
      </c>
      <c r="K4651" s="25" t="str">
        <f>IF(OR(E4651="",E4651="!!!",F4651="NEW"),"",INDEX(J$1:J4650,SUMPRODUCT(MAX(ROW(E$1:E4650)*(E4651=E$1:E4650)))))</f>
        <v> </v>
      </c>
      <c r="L4651" s="26"/>
    </row>
    <row r="4652" spans="1:12">
      <c r="A4652" s="20" t="s">
        <v>1099</v>
      </c>
      <c r="E4652" s="21">
        <f>IF(D4652="?OLD","!!!","")</f>
        <v/>
      </c>
      <c r="F4652" s="22" t="str">
        <f>IF(OR(E4652="",E4652="!!!"),"",IF(NOT(ISNA(VLOOKUP(E4652,E$1:E4651,1,FALSE()))),"OLD",IF(AND(E4652&lt;&gt;"",E4652&lt;&gt;"!!!"),"NEW","")))</f>
        <v> </v>
      </c>
      <c r="G4652" s="23" t="str">
        <f>IF(OR(E4652="",E4652="!!!"),"",IF(OR(J4652=0,AND(J4652=1,K4652=1),AND(J4652=1,I4652="SBJ"),AND(J4652=1,I4652=0)),"?IN_FOCUS",IF(J4652&lt;=2,"?ACTIVATED",IF(J4652&lt;&gt;"","?FAMILIAR",IF(F4652="NEW",IF(ISNA(VLOOKUP(E4652,#REF!,1,FALSE())),"?TYPE_IDENTIFIABLE","?REFERENTIAL"),"_")))))</f>
        <v> </v>
      </c>
      <c r="H4652" s="24" t="str">
        <f>IF(J4652&lt;&gt;1,"",IF(I4652="SBJ","CB","?"))</f>
        <v> </v>
      </c>
      <c r="I4652" s="25" t="str">
        <f>IF(OR(E4652="",E4652="!!!",F4652="NEW"),"",INDEX(B4651:B$2,-1+SUMPRODUCT(MAX(ROW(E4651:E$2)*(E4652=E4651:E$2)))))</f>
        <v> </v>
      </c>
      <c r="J4652" s="25" t="str">
        <f>IF(OR(E4652="",E4652="!!!",F4652="NEW"),"",COUNTBLANK(OFFSET(A$1,,,SUMPRODUCT(MAX(ROW(E$2:E4652)*(E4652=E$2:E4652)))))-COUNTBLANK(OFFSET(A$1,,,SUMPRODUCT(MAX(ROW(E$1:E4651)*(E2=E$1:E4651))))))</f>
        <v> </v>
      </c>
      <c r="K4652" s="25" t="str">
        <f>IF(OR(E4652="",E4652="!!!",F4652="NEW"),"",INDEX(J$1:J4651,SUMPRODUCT(MAX(ROW(E$1:E4651)*(E4652=E$1:E4651)))))</f>
        <v> </v>
      </c>
      <c r="L4652" s="26"/>
    </row>
    <row r="4653" spans="1:12">
      <c r="A4653" s="20" t="s">
        <v>2911</v>
      </c>
      <c r="B4653" s="27" t="s">
        <v>1045</v>
      </c>
      <c r="C4653" s="27" t="s">
        <v>1072</v>
      </c>
      <c r="D4653" s="27" t="s">
        <v>1026</v>
      </c>
      <c r="E4653" s="21">
        <f>IF(D4653="?OLD","!!!","")</f>
        <v/>
      </c>
      <c r="F4653" s="22" t="str">
        <f>IF(OR(E4653="",E4653="!!!"),"",IF(NOT(ISNA(VLOOKUP(E4653,E$1:E4652,1,FALSE()))),"OLD",IF(AND(E4653&lt;&gt;"",E4653&lt;&gt;"!!!"),"NEW","")))</f>
        <v> </v>
      </c>
      <c r="G4653" s="23" t="str">
        <f>IF(OR(E4653="",E4653="!!!"),"",IF(OR(J4653=0,AND(J4653=1,K4653=1),AND(J4653=1,I4653="SBJ"),AND(J4653=1,I4653=0)),"?IN_FOCUS",IF(J4653&lt;=2,"?ACTIVATED",IF(J4653&lt;&gt;"","?FAMILIAR",IF(F4653="NEW",IF(ISNA(VLOOKUP(E4653,#REF!,1,FALSE())),"?TYPE_IDENTIFIABLE","?REFERENTIAL"),"_")))))</f>
        <v> </v>
      </c>
      <c r="H4653" s="24" t="str">
        <f>IF(J4653&lt;&gt;1,"",IF(I4653="SBJ","CB","?"))</f>
        <v> </v>
      </c>
      <c r="I4653" s="25" t="str">
        <f>IF(OR(E4653="",E4653="!!!",F4653="NEW"),"",INDEX(B4652:B$2,-1+SUMPRODUCT(MAX(ROW(E4652:E$2)*(E4653=E4652:E$2)))))</f>
        <v> </v>
      </c>
      <c r="J4653" s="25" t="str">
        <f>IF(OR(E4653="",E4653="!!!",F4653="NEW"),"",COUNTBLANK(OFFSET(A$1,,,SUMPRODUCT(MAX(ROW(E$2:E4653)*(E4653=E$2:E4653)))))-COUNTBLANK(OFFSET(A$1,,,SUMPRODUCT(MAX(ROW(E$1:E4652)*(E2=E$1:E4652))))))</f>
        <v> </v>
      </c>
      <c r="K4653" s="25" t="str">
        <f>IF(OR(E4653="",E4653="!!!",F4653="NEW"),"",INDEX(J$1:J4652,SUMPRODUCT(MAX(ROW(E$1:E4652)*(E4653=E$1:E4652)))))</f>
        <v> </v>
      </c>
      <c r="L4653" s="26"/>
    </row>
    <row r="4654" spans="1:12">
      <c r="A4654" s="20" t="s">
        <v>1221</v>
      </c>
      <c r="B4654" s="27" t="s">
        <v>1238</v>
      </c>
      <c r="C4654" s="27" t="s">
        <v>1075</v>
      </c>
      <c r="D4654" s="27" t="s">
        <v>1026</v>
      </c>
      <c r="E4654" s="21">
        <f>IF(D4654="?OLD","!!!","")</f>
        <v/>
      </c>
      <c r="F4654" s="22" t="str">
        <f>IF(OR(E4654="",E4654="!!!"),"",IF(NOT(ISNA(VLOOKUP(E4654,E$1:E4653,1,FALSE()))),"OLD",IF(AND(E4654&lt;&gt;"",E4654&lt;&gt;"!!!"),"NEW","")))</f>
        <v> </v>
      </c>
      <c r="G4654" s="23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4" t="str">
        <f>IF(J4654&lt;&gt;1,"",IF(I4654="SBJ","CB","?"))</f>
        <v> </v>
      </c>
      <c r="I4654" s="25" t="str">
        <f>IF(OR(E4654="",E4654="!!!",F4654="NEW"),"",INDEX(B4653:B$2,-1+SUMPRODUCT(MAX(ROW(E4653:E$2)*(E4654=E4653:E$2)))))</f>
        <v> </v>
      </c>
      <c r="J4654" s="25" t="str">
        <f>IF(OR(E4654="",E4654="!!!",F4654="NEW"),"",COUNTBLANK(OFFSET(A$1,,,SUMPRODUCT(MAX(ROW(E$2:E4654)*(E4654=E$2:E4654)))))-COUNTBLANK(OFFSET(A$1,,,SUMPRODUCT(MAX(ROW(E$1:E4653)*(E2=E$1:E4653))))))</f>
        <v> </v>
      </c>
      <c r="K4654" s="25" t="str">
        <f>IF(OR(E4654="",E4654="!!!",F4654="NEW"),"",INDEX(J$1:J4653,SUMPRODUCT(MAX(ROW(E$1:E4653)*(E4654=E$1:E4653)))))</f>
        <v> </v>
      </c>
      <c r="L4654" s="26"/>
    </row>
    <row r="4655" spans="1:12">
      <c r="A4655" s="20" t="s">
        <v>1041</v>
      </c>
      <c r="E4655" s="21">
        <f>IF(D4655="?OLD","!!!","")</f>
        <v/>
      </c>
      <c r="F4655" s="22" t="str">
        <f>IF(OR(E4655="",E4655="!!!"),"",IF(NOT(ISNA(VLOOKUP(E4655,E$1:E4654,1,FALSE()))),"OLD",IF(AND(E4655&lt;&gt;"",E4655&lt;&gt;"!!!"),"NEW","")))</f>
        <v> </v>
      </c>
      <c r="G4655" s="23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4" t="str">
        <f>IF(J4655&lt;&gt;1,"",IF(I4655="SBJ","CB","?"))</f>
        <v> </v>
      </c>
      <c r="I4655" s="25" t="str">
        <f>IF(OR(E4655="",E4655="!!!",F4655="NEW"),"",INDEX(B4654:B$2,-1+SUMPRODUCT(MAX(ROW(E4654:E$2)*(E4655=E4654:E$2)))))</f>
        <v> </v>
      </c>
      <c r="J4655" s="25" t="str">
        <f>IF(OR(E4655="",E4655="!!!",F4655="NEW"),"",COUNTBLANK(OFFSET(A$1,,,SUMPRODUCT(MAX(ROW(E$2:E4655)*(E4655=E$2:E4655)))))-COUNTBLANK(OFFSET(A$1,,,SUMPRODUCT(MAX(ROW(E$1:E4654)*(E2=E$1:E4654))))))</f>
        <v> </v>
      </c>
      <c r="K4655" s="25" t="str">
        <f>IF(OR(E4655="",E4655="!!!",F4655="NEW"),"",INDEX(J$1:J4654,SUMPRODUCT(MAX(ROW(E$1:E4654)*(E4655=E$1:E4654)))))</f>
        <v> </v>
      </c>
      <c r="L4655" s="26"/>
    </row>
    <row r="4656" spans="1:12">
      <c r="A4656" s="20" t="s">
        <v>21</v>
      </c>
      <c r="E4656" s="21">
        <f>IF(D4656="?OLD","!!!","")</f>
        <v/>
      </c>
      <c r="F4656" s="22" t="str">
        <f>IF(OR(E4656="",E4656="!!!"),"",IF(NOT(ISNA(VLOOKUP(E4656,E$1:E4655,1,FALSE()))),"OLD",IF(AND(E4656&lt;&gt;"",E4656&lt;&gt;"!!!"),"NEW","")))</f>
        <v> </v>
      </c>
      <c r="G4656" s="23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4" t="str">
        <f>IF(J4656&lt;&gt;1,"",IF(I4656="SBJ","CB","?"))</f>
        <v> </v>
      </c>
      <c r="I4656" s="25" t="str">
        <f>IF(OR(E4656="",E4656="!!!",F4656="NEW"),"",INDEX(B4655:B$2,-1+SUMPRODUCT(MAX(ROW(E4655:E$2)*(E4656=E4655:E$2)))))</f>
        <v> </v>
      </c>
      <c r="J4656" s="25" t="str">
        <f>IF(OR(E4656="",E4656="!!!",F4656="NEW"),"",COUNTBLANK(OFFSET(A$1,,,SUMPRODUCT(MAX(ROW(E$2:E4656)*(E4656=E$2:E4656)))))-COUNTBLANK(OFFSET(A$1,,,SUMPRODUCT(MAX(ROW(E$1:E4655)*(E2=E$1:E4655))))))</f>
        <v> </v>
      </c>
      <c r="K4656" s="25" t="str">
        <f>IF(OR(E4656="",E4656="!!!",F4656="NEW"),"",INDEX(J$1:J4655,SUMPRODUCT(MAX(ROW(E$1:E4655)*(E4656=E$1:E4655)))))</f>
        <v> </v>
      </c>
      <c r="L4656" s="26"/>
    </row>
    <row r="4657" spans="1:12">
      <c r="A4657" s="20" t="s">
        <v>2713</v>
      </c>
      <c r="E4657" s="21">
        <f>IF(D4657="?OLD","!!!","")</f>
        <v/>
      </c>
      <c r="F4657" s="22" t="str">
        <f>IF(OR(E4657="",E4657="!!!"),"",IF(NOT(ISNA(VLOOKUP(E4657,E$1:E4656,1,FALSE()))),"OLD",IF(AND(E4657&lt;&gt;"",E4657&lt;&gt;"!!!"),"NEW","")))</f>
        <v> </v>
      </c>
      <c r="G4657" s="23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4" t="str">
        <f>IF(J4657&lt;&gt;1,"",IF(I4657="SBJ","CB","?"))</f>
        <v> </v>
      </c>
      <c r="I4657" s="25" t="str">
        <f>IF(OR(E4657="",E4657="!!!",F4657="NEW"),"",INDEX(B4656:B$2,-1+SUMPRODUCT(MAX(ROW(E4656:E$2)*(E4657=E4656:E$2)))))</f>
        <v> </v>
      </c>
      <c r="J4657" s="25" t="str">
        <f>IF(OR(E4657="",E4657="!!!",F4657="NEW"),"",COUNTBLANK(OFFSET(A$1,,,SUMPRODUCT(MAX(ROW(E$2:E4657)*(E4657=E$2:E4657)))))-COUNTBLANK(OFFSET(A$1,,,SUMPRODUCT(MAX(ROW(E$1:E4656)*(E2=E$1:E4656))))))</f>
        <v> </v>
      </c>
      <c r="K4657" s="25" t="str">
        <f>IF(OR(E4657="",E4657="!!!",F4657="NEW"),"",INDEX(J$1:J4656,SUMPRODUCT(MAX(ROW(E$1:E4656)*(E4657=E$1:E4656)))))</f>
        <v> </v>
      </c>
      <c r="L4657" s="26"/>
    </row>
    <row r="4658" spans="1:12">
      <c r="A4658" s="20" t="s">
        <v>2840</v>
      </c>
      <c r="B4658" s="27" t="s">
        <v>1048</v>
      </c>
      <c r="E4658" s="21">
        <f>IF(D4658="?OLD","!!!","")</f>
        <v/>
      </c>
      <c r="F4658" s="22" t="str">
        <f>IF(OR(E4658="",E4658="!!!"),"",IF(NOT(ISNA(VLOOKUP(E4658,E$1:E4657,1,FALSE()))),"OLD",IF(AND(E4658&lt;&gt;"",E4658&lt;&gt;"!!!"),"NEW","")))</f>
        <v> </v>
      </c>
      <c r="G4658" s="23" t="str">
        <f>IF(OR(E4658="",E4658="!!!"),"",IF(OR(J4658=0,AND(J4658=1,K4658=1),AND(J4658=1,I4658="SBJ"),AND(J4658=1,I4658=0)),"?IN_FOCUS",IF(J4658&lt;=2,"?ACTIVATED",IF(J4658&lt;&gt;"","?FAMILIAR",IF(F4658="NEW",IF(ISNA(VLOOKUP(E4658,#REF!,1,FALSE())),"?TYPE_IDENTIFIABLE","?REFERENTIAL"),"_")))))</f>
        <v> </v>
      </c>
      <c r="H4658" s="24" t="str">
        <f>IF(J4658&lt;&gt;1,"",IF(I4658="SBJ","CB","?"))</f>
        <v> </v>
      </c>
      <c r="I4658" s="25" t="str">
        <f>IF(OR(E4658="",E4658="!!!",F4658="NEW"),"",INDEX(B4657:B$2,-1+SUMPRODUCT(MAX(ROW(E4657:E$2)*(E4658=E4657:E$2)))))</f>
        <v> </v>
      </c>
      <c r="J4658" s="25" t="str">
        <f>IF(OR(E4658="",E4658="!!!",F4658="NEW"),"",COUNTBLANK(OFFSET(A$1,,,SUMPRODUCT(MAX(ROW(E$2:E4658)*(E4658=E$2:E4658)))))-COUNTBLANK(OFFSET(A$1,,,SUMPRODUCT(MAX(ROW(E$1:E4657)*(E2=E$1:E4657))))))</f>
        <v> </v>
      </c>
      <c r="K4658" s="25" t="str">
        <f>IF(OR(E4658="",E4658="!!!",F4658="NEW"),"",INDEX(J$1:J4657,SUMPRODUCT(MAX(ROW(E$1:E4657)*(E4658=E$1:E4657)))))</f>
        <v> </v>
      </c>
      <c r="L4658" s="26"/>
    </row>
    <row r="4659" spans="1:12">
      <c r="A4659" s="20" t="s">
        <v>2912</v>
      </c>
      <c r="E4659" s="21">
        <f>IF(D4659="?OLD","!!!","")</f>
        <v/>
      </c>
      <c r="F4659" s="22" t="str">
        <f>IF(OR(E4659="",E4659="!!!"),"",IF(NOT(ISNA(VLOOKUP(E4659,E$1:E4658,1,FALSE()))),"OLD",IF(AND(E4659&lt;&gt;"",E4659&lt;&gt;"!!!"),"NEW","")))</f>
        <v> </v>
      </c>
      <c r="G4659" s="23" t="str">
        <f>IF(OR(E4659="",E4659="!!!"),"",IF(OR(J4659=0,AND(J4659=1,K4659=1),AND(J4659=1,I4659="SBJ"),AND(J4659=1,I4659=0)),"?IN_FOCUS",IF(J4659&lt;=2,"?ACTIVATED",IF(J4659&lt;&gt;"","?FAMILIAR",IF(F4659="NEW",IF(ISNA(VLOOKUP(E4659,#REF!,1,FALSE())),"?TYPE_IDENTIFIABLE","?REFERENTIAL"),"_")))))</f>
        <v> </v>
      </c>
      <c r="H4659" s="24" t="str">
        <f>IF(J4659&lt;&gt;1,"",IF(I4659="SBJ","CB","?"))</f>
        <v> </v>
      </c>
      <c r="I4659" s="25" t="str">
        <f>IF(OR(E4659="",E4659="!!!",F4659="NEW"),"",INDEX(B4658:B$2,-1+SUMPRODUCT(MAX(ROW(E4658:E$2)*(E4659=E4658:E$2)))))</f>
        <v> </v>
      </c>
      <c r="J4659" s="25" t="str">
        <f>IF(OR(E4659="",E4659="!!!",F4659="NEW"),"",COUNTBLANK(OFFSET(A$1,,,SUMPRODUCT(MAX(ROW(E$2:E4659)*(E4659=E$2:E4659)))))-COUNTBLANK(OFFSET(A$1,,,SUMPRODUCT(MAX(ROW(E$1:E4658)*(E2=E$1:E4658))))))</f>
        <v> </v>
      </c>
      <c r="K4659" s="25" t="str">
        <f>IF(OR(E4659="",E4659="!!!",F4659="NEW"),"",INDEX(J$1:J4658,SUMPRODUCT(MAX(ROW(E$1:E4658)*(E4659=E$1:E4658)))))</f>
        <v> </v>
      </c>
      <c r="L4659" s="26"/>
    </row>
    <row r="4660" spans="1:12">
      <c r="A4660" s="20" t="s">
        <v>1222</v>
      </c>
      <c r="E4660" s="21">
        <f>IF(D4660="?OLD","!!!","")</f>
        <v/>
      </c>
      <c r="F4660" s="22" t="str">
        <f>IF(OR(E4660="",E4660="!!!"),"",IF(NOT(ISNA(VLOOKUP(E4660,E$1:E4659,1,FALSE()))),"OLD",IF(AND(E4660&lt;&gt;"",E4660&lt;&gt;"!!!"),"NEW","")))</f>
        <v> </v>
      </c>
      <c r="G4660" s="23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4" t="str">
        <f>IF(J4660&lt;&gt;1,"",IF(I4660="SBJ","CB","?"))</f>
        <v> </v>
      </c>
      <c r="I4660" s="25" t="str">
        <f>IF(OR(E4660="",E4660="!!!",F4660="NEW"),"",INDEX(B4659:B$2,-1+SUMPRODUCT(MAX(ROW(E4659:E$2)*(E4660=E4659:E$2)))))</f>
        <v> </v>
      </c>
      <c r="J4660" s="25" t="str">
        <f>IF(OR(E4660="",E4660="!!!",F4660="NEW"),"",COUNTBLANK(OFFSET(A$1,,,SUMPRODUCT(MAX(ROW(E$2:E4660)*(E4660=E$2:E4660)))))-COUNTBLANK(OFFSET(A$1,,,SUMPRODUCT(MAX(ROW(E$1:E4659)*(E2=E$1:E4659))))))</f>
        <v> </v>
      </c>
      <c r="K4660" s="25" t="str">
        <f>IF(OR(E4660="",E4660="!!!",F4660="NEW"),"",INDEX(J$1:J4659,SUMPRODUCT(MAX(ROW(E$1:E4659)*(E4660=E$1:E4659)))))</f>
        <v> </v>
      </c>
      <c r="L4660" s="26"/>
    </row>
    <row r="4661" spans="1:12">
      <c r="A4661" s="20" t="s">
        <v>2913</v>
      </c>
      <c r="E4661" s="21">
        <f>IF(D4661="?OLD","!!!","")</f>
        <v/>
      </c>
      <c r="F4661" s="22" t="str">
        <f>IF(OR(E4661="",E4661="!!!"),"",IF(NOT(ISNA(VLOOKUP(E4661,E$1:E4660,1,FALSE()))),"OLD",IF(AND(E4661&lt;&gt;"",E4661&lt;&gt;"!!!"),"NEW","")))</f>
        <v> </v>
      </c>
      <c r="G4661" s="23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4" t="str">
        <f>IF(J4661&lt;&gt;1,"",IF(I4661="SBJ","CB","?"))</f>
        <v> </v>
      </c>
      <c r="I4661" s="25" t="str">
        <f>IF(OR(E4661="",E4661="!!!",F4661="NEW"),"",INDEX(B4660:B$2,-1+SUMPRODUCT(MAX(ROW(E4660:E$2)*(E4661=E4660:E$2)))))</f>
        <v> </v>
      </c>
      <c r="J4661" s="25" t="str">
        <f>IF(OR(E4661="",E4661="!!!",F4661="NEW"),"",COUNTBLANK(OFFSET(A$1,,,SUMPRODUCT(MAX(ROW(E$2:E4661)*(E4661=E$2:E4661)))))-COUNTBLANK(OFFSET(A$1,,,SUMPRODUCT(MAX(ROW(E$1:E4660)*(E2=E$1:E4660))))))</f>
        <v> </v>
      </c>
      <c r="K4661" s="25" t="str">
        <f>IF(OR(E4661="",E4661="!!!",F4661="NEW"),"",INDEX(J$1:J4660,SUMPRODUCT(MAX(ROW(E$1:E4660)*(E4661=E$1:E4660)))))</f>
        <v> </v>
      </c>
      <c r="L4661" s="26"/>
    </row>
    <row r="4662" spans="1:12">
      <c r="A4662" s="20" t="s">
        <v>2914</v>
      </c>
      <c r="E4662" s="21">
        <f>IF(D4662="?OLD","!!!","")</f>
        <v/>
      </c>
      <c r="F4662" s="22" t="str">
        <f>IF(OR(E4662="",E4662="!!!"),"",IF(NOT(ISNA(VLOOKUP(E4662,E$1:E4661,1,FALSE()))),"OLD",IF(AND(E4662&lt;&gt;"",E4662&lt;&gt;"!!!"),"NEW","")))</f>
        <v> </v>
      </c>
      <c r="G4662" s="23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4" t="str">
        <f>IF(J4662&lt;&gt;1,"",IF(I4662="SBJ","CB","?"))</f>
        <v> </v>
      </c>
      <c r="I4662" s="25" t="str">
        <f>IF(OR(E4662="",E4662="!!!",F4662="NEW"),"",INDEX(B4661:B$2,-1+SUMPRODUCT(MAX(ROW(E4661:E$2)*(E4662=E4661:E$2)))))</f>
        <v> </v>
      </c>
      <c r="J4662" s="25" t="str">
        <f>IF(OR(E4662="",E4662="!!!",F4662="NEW"),"",COUNTBLANK(OFFSET(A$1,,,SUMPRODUCT(MAX(ROW(E$2:E4662)*(E4662=E$2:E4662)))))-COUNTBLANK(OFFSET(A$1,,,SUMPRODUCT(MAX(ROW(E$1:E4661)*(E2=E$1:E4661))))))</f>
        <v> </v>
      </c>
      <c r="K4662" s="25" t="str">
        <f>IF(OR(E4662="",E4662="!!!",F4662="NEW"),"",INDEX(J$1:J4661,SUMPRODUCT(MAX(ROW(E$1:E4661)*(E4662=E$1:E4661)))))</f>
        <v> </v>
      </c>
      <c r="L4662" s="26"/>
    </row>
    <row r="4663" spans="1:12">
      <c r="A4663" s="20" t="s">
        <v>1041</v>
      </c>
      <c r="E4663" s="21">
        <f>IF(D4663="?OLD","!!!","")</f>
        <v/>
      </c>
      <c r="F4663" s="22" t="str">
        <f>IF(OR(E4663="",E4663="!!!"),"",IF(NOT(ISNA(VLOOKUP(E4663,E$1:E4662,1,FALSE()))),"OLD",IF(AND(E4663&lt;&gt;"",E4663&lt;&gt;"!!!"),"NEW","")))</f>
        <v> </v>
      </c>
      <c r="G4663" s="23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4" t="str">
        <f>IF(J4663&lt;&gt;1,"",IF(I4663="SBJ","CB","?"))</f>
        <v> </v>
      </c>
      <c r="I4663" s="25" t="str">
        <f>IF(OR(E4663="",E4663="!!!",F4663="NEW"),"",INDEX(B4662:B$2,-1+SUMPRODUCT(MAX(ROW(E4662:E$2)*(E4663=E4662:E$2)))))</f>
        <v> </v>
      </c>
      <c r="J4663" s="25" t="str">
        <f>IF(OR(E4663="",E4663="!!!",F4663="NEW"),"",COUNTBLANK(OFFSET(A$1,,,SUMPRODUCT(MAX(ROW(E$2:E4663)*(E4663=E$2:E4663)))))-COUNTBLANK(OFFSET(A$1,,,SUMPRODUCT(MAX(ROW(E$1:E4662)*(E2=E$1:E4662))))))</f>
        <v> </v>
      </c>
      <c r="K4663" s="25" t="str">
        <f>IF(OR(E4663="",E4663="!!!",F4663="NEW"),"",INDEX(J$1:J4662,SUMPRODUCT(MAX(ROW(E$1:E4662)*(E4663=E$1:E4662)))))</f>
        <v> </v>
      </c>
      <c r="L4663" s="26"/>
    </row>
    <row r="4664" spans="1:12">
      <c r="A4664" s="20" t="s">
        <v>1714</v>
      </c>
      <c r="B4664" s="27" t="s">
        <v>2366</v>
      </c>
      <c r="C4664" s="27" t="s">
        <v>1025</v>
      </c>
      <c r="D4664" s="27" t="s">
        <v>1026</v>
      </c>
      <c r="E4664" s="21">
        <f>IF(D4664="?OLD","!!!","")</f>
        <v/>
      </c>
      <c r="F4664" s="22" t="str">
        <f>IF(OR(E4664="",E4664="!!!"),"",IF(NOT(ISNA(VLOOKUP(E4664,E$1:E4663,1,FALSE()))),"OLD",IF(AND(E4664&lt;&gt;"",E4664&lt;&gt;"!!!"),"NEW","")))</f>
        <v> </v>
      </c>
      <c r="G4664" s="23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4" t="str">
        <f>IF(J4664&lt;&gt;1,"",IF(I4664="SBJ","CB","?"))</f>
        <v> </v>
      </c>
      <c r="I4664" s="25" t="str">
        <f>IF(OR(E4664="",E4664="!!!",F4664="NEW"),"",INDEX(B4663:B$2,-1+SUMPRODUCT(MAX(ROW(E4663:E$2)*(E4664=E4663:E$2)))))</f>
        <v> </v>
      </c>
      <c r="J4664" s="25" t="str">
        <f>IF(OR(E4664="",E4664="!!!",F4664="NEW"),"",COUNTBLANK(OFFSET(A$1,,,SUMPRODUCT(MAX(ROW(E$2:E4664)*(E4664=E$2:E4664)))))-COUNTBLANK(OFFSET(A$1,,,SUMPRODUCT(MAX(ROW(E$1:E4663)*(E2=E$1:E4663))))))</f>
        <v> </v>
      </c>
      <c r="K4664" s="25" t="str">
        <f>IF(OR(E4664="",E4664="!!!",F4664="NEW"),"",INDEX(J$1:J4663,SUMPRODUCT(MAX(ROW(E$1:E4663)*(E4664=E$1:E4663)))))</f>
        <v> </v>
      </c>
      <c r="L4664" s="26"/>
    </row>
    <row r="4665" spans="1:12">
      <c r="A4665" s="20" t="s">
        <v>1471</v>
      </c>
      <c r="E4665" s="21">
        <f>IF(D4665="?OLD","!!!","")</f>
        <v/>
      </c>
      <c r="F4665" s="22" t="str">
        <f>IF(OR(E4665="",E4665="!!!"),"",IF(NOT(ISNA(VLOOKUP(E4665,E$1:E4664,1,FALSE()))),"OLD",IF(AND(E4665&lt;&gt;"",E4665&lt;&gt;"!!!"),"NEW","")))</f>
        <v> </v>
      </c>
      <c r="G4665" s="23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4" t="str">
        <f>IF(J4665&lt;&gt;1,"",IF(I4665="SBJ","CB","?"))</f>
        <v> </v>
      </c>
      <c r="I4665" s="25" t="str">
        <f>IF(OR(E4665="",E4665="!!!",F4665="NEW"),"",INDEX(B4664:B$2,-1+SUMPRODUCT(MAX(ROW(E4664:E$2)*(E4665=E4664:E$2)))))</f>
        <v> </v>
      </c>
      <c r="J4665" s="25" t="str">
        <f>IF(OR(E4665="",E4665="!!!",F4665="NEW"),"",COUNTBLANK(OFFSET(A$1,,,SUMPRODUCT(MAX(ROW(E$2:E4665)*(E4665=E$2:E4665)))))-COUNTBLANK(OFFSET(A$1,,,SUMPRODUCT(MAX(ROW(E$1:E4664)*(E2=E$1:E4664))))))</f>
        <v> </v>
      </c>
      <c r="K4665" s="25" t="str">
        <f>IF(OR(E4665="",E4665="!!!",F4665="NEW"),"",INDEX(J$1:J4664,SUMPRODUCT(MAX(ROW(E$1:E4664)*(E4665=E$1:E4664)))))</f>
        <v> </v>
      </c>
      <c r="L4665" s="26"/>
    </row>
    <row r="4666" spans="1:12">
      <c r="A4666" s="20" t="s">
        <v>1472</v>
      </c>
      <c r="E4666" s="21">
        <f>IF(D4666="?OLD","!!!","")</f>
        <v/>
      </c>
      <c r="F4666" s="22" t="str">
        <f>IF(OR(E4666="",E4666="!!!"),"",IF(NOT(ISNA(VLOOKUP(E4666,E$1:E4665,1,FALSE()))),"OLD",IF(AND(E4666&lt;&gt;"",E4666&lt;&gt;"!!!"),"NEW","")))</f>
        <v> </v>
      </c>
      <c r="G4666" s="23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4" t="str">
        <f>IF(J4666&lt;&gt;1,"",IF(I4666="SBJ","CB","?"))</f>
        <v> </v>
      </c>
      <c r="I4666" s="25" t="str">
        <f>IF(OR(E4666="",E4666="!!!",F4666="NEW"),"",INDEX(B4665:B$2,-1+SUMPRODUCT(MAX(ROW(E4665:E$2)*(E4666=E4665:E$2)))))</f>
        <v> </v>
      </c>
      <c r="J4666" s="25" t="str">
        <f>IF(OR(E4666="",E4666="!!!",F4666="NEW"),"",COUNTBLANK(OFFSET(A$1,,,SUMPRODUCT(MAX(ROW(E$2:E4666)*(E4666=E$2:E4666)))))-COUNTBLANK(OFFSET(A$1,,,SUMPRODUCT(MAX(ROW(E$1:E4665)*(E2=E$1:E4665))))))</f>
        <v> </v>
      </c>
      <c r="K4666" s="25" t="str">
        <f>IF(OR(E4666="",E4666="!!!",F4666="NEW"),"",INDEX(J$1:J4665,SUMPRODUCT(MAX(ROW(E$1:E4665)*(E4666=E$1:E4665)))))</f>
        <v> </v>
      </c>
      <c r="L4666" s="26"/>
    </row>
    <row r="4667" spans="1:12">
      <c r="A4667" s="20" t="s">
        <v>1221</v>
      </c>
      <c r="B4667" s="27" t="s">
        <v>1225</v>
      </c>
      <c r="C4667" s="27" t="s">
        <v>1075</v>
      </c>
      <c r="D4667" s="27" t="s">
        <v>1026</v>
      </c>
      <c r="E4667" s="21">
        <f>IF(D4667="?OLD","!!!","")</f>
        <v/>
      </c>
      <c r="F4667" s="22" t="str">
        <f>IF(OR(E4667="",E4667="!!!"),"",IF(NOT(ISNA(VLOOKUP(E4667,E$1:E4666,1,FALSE()))),"OLD",IF(AND(E4667&lt;&gt;"",E4667&lt;&gt;"!!!"),"NEW","")))</f>
        <v> </v>
      </c>
      <c r="G4667" s="23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4" t="str">
        <f>IF(J4667&lt;&gt;1,"",IF(I4667="SBJ","CB","?"))</f>
        <v> </v>
      </c>
      <c r="I4667" s="25" t="str">
        <f>IF(OR(E4667="",E4667="!!!",F4667="NEW"),"",INDEX(B4666:B$2,-1+SUMPRODUCT(MAX(ROW(E4666:E$2)*(E4667=E4666:E$2)))))</f>
        <v> </v>
      </c>
      <c r="J4667" s="25" t="str">
        <f>IF(OR(E4667="",E4667="!!!",F4667="NEW"),"",COUNTBLANK(OFFSET(A$1,,,SUMPRODUCT(MAX(ROW(E$2:E4667)*(E4667=E$2:E4667)))))-COUNTBLANK(OFFSET(A$1,,,SUMPRODUCT(MAX(ROW(E$1:E4666)*(E2=E$1:E4666))))))</f>
        <v> </v>
      </c>
      <c r="K4667" s="25" t="str">
        <f>IF(OR(E4667="",E4667="!!!",F4667="NEW"),"",INDEX(J$1:J4666,SUMPRODUCT(MAX(ROW(E$1:E4666)*(E4667=E$1:E4666)))))</f>
        <v> </v>
      </c>
      <c r="L4667" s="26"/>
    </row>
    <row r="4668" spans="1:12">
      <c r="A4668" s="20" t="s">
        <v>1346</v>
      </c>
      <c r="E4668" s="21">
        <f>IF(D4668="?OLD","!!!","")</f>
        <v/>
      </c>
      <c r="F4668" s="22" t="str">
        <f>IF(OR(E4668="",E4668="!!!"),"",IF(NOT(ISNA(VLOOKUP(E4668,E$1:E4667,1,FALSE()))),"OLD",IF(AND(E4668&lt;&gt;"",E4668&lt;&gt;"!!!"),"NEW","")))</f>
        <v> </v>
      </c>
      <c r="G4668" s="23" t="str">
        <f>IF(OR(E4668="",E4668="!!!"),"",IF(OR(J4668=0,AND(J4668=1,K4668=1),AND(J4668=1,I4668="SBJ"),AND(J4668=1,I4668=0)),"?IN_FOCUS",IF(J4668&lt;=2,"?ACTIVATED",IF(J4668&lt;&gt;"","?FAMILIAR",IF(F4668="NEW",IF(ISNA(VLOOKUP(E4668,#REF!,1,FALSE())),"?TYPE_IDENTIFIABLE","?REFERENTIAL"),"_")))))</f>
        <v> </v>
      </c>
      <c r="H4668" s="24" t="str">
        <f>IF(J4668&lt;&gt;1,"",IF(I4668="SBJ","CB","?"))</f>
        <v> </v>
      </c>
      <c r="I4668" s="25" t="str">
        <f>IF(OR(E4668="",E4668="!!!",F4668="NEW"),"",INDEX(B4667:B$2,-1+SUMPRODUCT(MAX(ROW(E4667:E$2)*(E4668=E4667:E$2)))))</f>
        <v> </v>
      </c>
      <c r="J4668" s="25" t="str">
        <f>IF(OR(E4668="",E4668="!!!",F4668="NEW"),"",COUNTBLANK(OFFSET(A$1,,,SUMPRODUCT(MAX(ROW(E$2:E4668)*(E4668=E$2:E4668)))))-COUNTBLANK(OFFSET(A$1,,,SUMPRODUCT(MAX(ROW(E$1:E4667)*(E2=E$1:E4667))))))</f>
        <v> </v>
      </c>
      <c r="K4668" s="25" t="str">
        <f>IF(OR(E4668="",E4668="!!!",F4668="NEW"),"",INDEX(J$1:J4667,SUMPRODUCT(MAX(ROW(E$1:E4667)*(E4668=E$1:E4667)))))</f>
        <v> </v>
      </c>
      <c r="L4668" s="26"/>
    </row>
    <row r="4669" spans="1:12">
      <c r="A4669" s="20" t="s">
        <v>1310</v>
      </c>
      <c r="E4669" s="21">
        <f>IF(D4669="?OLD","!!!","")</f>
        <v/>
      </c>
      <c r="F4669" s="22" t="str">
        <f>IF(OR(E4669="",E4669="!!!"),"",IF(NOT(ISNA(VLOOKUP(E4669,E$1:E4668,1,FALSE()))),"OLD",IF(AND(E4669&lt;&gt;"",E4669&lt;&gt;"!!!"),"NEW","")))</f>
        <v> </v>
      </c>
      <c r="G4669" s="23" t="str">
        <f>IF(OR(E4669="",E4669="!!!"),"",IF(OR(J4669=0,AND(J4669=1,K4669=1),AND(J4669=1,I4669="SBJ"),AND(J4669=1,I4669=0)),"?IN_FOCUS",IF(J4669&lt;=2,"?ACTIVATED",IF(J4669&lt;&gt;"","?FAMILIAR",IF(F4669="NEW",IF(ISNA(VLOOKUP(E4669,#REF!,1,FALSE())),"?TYPE_IDENTIFIABLE","?REFERENTIAL"),"_")))))</f>
        <v> </v>
      </c>
      <c r="H4669" s="24" t="str">
        <f>IF(J4669&lt;&gt;1,"",IF(I4669="SBJ","CB","?"))</f>
        <v> </v>
      </c>
      <c r="I4669" s="25" t="str">
        <f>IF(OR(E4669="",E4669="!!!",F4669="NEW"),"",INDEX(B4668:B$2,-1+SUMPRODUCT(MAX(ROW(E4668:E$2)*(E4669=E4668:E$2)))))</f>
        <v> </v>
      </c>
      <c r="J4669" s="25" t="str">
        <f>IF(OR(E4669="",E4669="!!!",F4669="NEW"),"",COUNTBLANK(OFFSET(A$1,,,SUMPRODUCT(MAX(ROW(E$2:E4669)*(E4669=E$2:E4669)))))-COUNTBLANK(OFFSET(A$1,,,SUMPRODUCT(MAX(ROW(E$1:E4668)*(E2=E$1:E4668))))))</f>
        <v> </v>
      </c>
      <c r="K4669" s="25" t="str">
        <f>IF(OR(E4669="",E4669="!!!",F4669="NEW"),"",INDEX(J$1:J4668,SUMPRODUCT(MAX(ROW(E$1:E4668)*(E4669=E$1:E4668)))))</f>
        <v> </v>
      </c>
      <c r="L4669" s="26"/>
    </row>
    <row r="4670" spans="1:12">
      <c r="A4670" s="20" t="s">
        <v>205</v>
      </c>
      <c r="E4670" s="21">
        <f>IF(D4670="?OLD","!!!","")</f>
        <v/>
      </c>
      <c r="F4670" s="22" t="str">
        <f>IF(OR(E4670="",E4670="!!!"),"",IF(NOT(ISNA(VLOOKUP(E4670,E$1:E4669,1,FALSE()))),"OLD",IF(AND(E4670&lt;&gt;"",E4670&lt;&gt;"!!!"),"NEW","")))</f>
        <v> </v>
      </c>
      <c r="G4670" s="23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4" t="str">
        <f>IF(J4670&lt;&gt;1,"",IF(I4670="SBJ","CB","?"))</f>
        <v> </v>
      </c>
      <c r="I4670" s="25" t="str">
        <f>IF(OR(E4670="",E4670="!!!",F4670="NEW"),"",INDEX(B4669:B$2,-1+SUMPRODUCT(MAX(ROW(E4669:E$2)*(E4670=E4669:E$2)))))</f>
        <v> </v>
      </c>
      <c r="J4670" s="25" t="str">
        <f>IF(OR(E4670="",E4670="!!!",F4670="NEW"),"",COUNTBLANK(OFFSET(A$1,,,SUMPRODUCT(MAX(ROW(E$2:E4670)*(E4670=E$2:E4670)))))-COUNTBLANK(OFFSET(A$1,,,SUMPRODUCT(MAX(ROW(E$1:E4669)*(E2=E$1:E4669))))))</f>
        <v> </v>
      </c>
      <c r="K4670" s="25" t="str">
        <f>IF(OR(E4670="",E4670="!!!",F4670="NEW"),"",INDEX(J$1:J4669,SUMPRODUCT(MAX(ROW(E$1:E4669)*(E4670=E$1:E4669)))))</f>
        <v> </v>
      </c>
      <c r="L4670" s="26"/>
    </row>
    <row r="4671" spans="1:12">
      <c r="A4671" s="20" t="s">
        <v>1041</v>
      </c>
      <c r="E4671" s="21">
        <f>IF(D4671="?OLD","!!!","")</f>
        <v/>
      </c>
      <c r="F4671" s="22" t="str">
        <f>IF(OR(E4671="",E4671="!!!"),"",IF(NOT(ISNA(VLOOKUP(E4671,E$1:E4670,1,FALSE()))),"OLD",IF(AND(E4671&lt;&gt;"",E4671&lt;&gt;"!!!"),"NEW","")))</f>
        <v> </v>
      </c>
      <c r="G4671" s="23" t="str">
        <f>IF(OR(E4671="",E4671="!!!"),"",IF(OR(J4671=0,AND(J4671=1,K4671=1),AND(J4671=1,I4671="SBJ"),AND(J4671=1,I4671=0)),"?IN_FOCUS",IF(J4671&lt;=2,"?ACTIVATED",IF(J4671&lt;&gt;"","?FAMILIAR",IF(F4671="NEW",IF(ISNA(VLOOKUP(E4671,#REF!,1,FALSE())),"?TYPE_IDENTIFIABLE","?REFERENTIAL"),"_")))))</f>
        <v> </v>
      </c>
      <c r="H4671" s="24" t="str">
        <f>IF(J4671&lt;&gt;1,"",IF(I4671="SBJ","CB","?"))</f>
        <v> </v>
      </c>
      <c r="I4671" s="25" t="str">
        <f>IF(OR(E4671="",E4671="!!!",F4671="NEW"),"",INDEX(B4670:B$2,-1+SUMPRODUCT(MAX(ROW(E4670:E$2)*(E4671=E4670:E$2)))))</f>
        <v> </v>
      </c>
      <c r="J4671" s="25" t="str">
        <f>IF(OR(E4671="",E4671="!!!",F4671="NEW"),"",COUNTBLANK(OFFSET(A$1,,,SUMPRODUCT(MAX(ROW(E$2:E4671)*(E4671=E$2:E4671)))))-COUNTBLANK(OFFSET(A$1,,,SUMPRODUCT(MAX(ROW(E$1:E4670)*(E2=E$1:E4670))))))</f>
        <v> </v>
      </c>
      <c r="K4671" s="25" t="str">
        <f>IF(OR(E4671="",E4671="!!!",F4671="NEW"),"",INDEX(J$1:J4670,SUMPRODUCT(MAX(ROW(E$1:E4670)*(E4671=E$1:E4670)))))</f>
        <v> </v>
      </c>
      <c r="L4671" s="26"/>
    </row>
    <row r="4672" spans="1:12">
      <c r="A4672" s="20" t="s">
        <v>952</v>
      </c>
      <c r="B4672" s="27" t="s">
        <v>1048</v>
      </c>
      <c r="C4672" s="27" t="s">
        <v>1025</v>
      </c>
      <c r="D4672" s="27" t="s">
        <v>1026</v>
      </c>
      <c r="E4672" s="21">
        <f>IF(D4672="?OLD","!!!","")</f>
        <v/>
      </c>
      <c r="F4672" s="22" t="str">
        <f>IF(OR(E4672="",E4672="!!!"),"",IF(NOT(ISNA(VLOOKUP(E4672,E$1:E4671,1,FALSE()))),"OLD",IF(AND(E4672&lt;&gt;"",E4672&lt;&gt;"!!!"),"NEW","")))</f>
        <v> </v>
      </c>
      <c r="G4672" s="23" t="str">
        <f>IF(OR(E4672="",E4672="!!!"),"",IF(OR(J4672=0,AND(J4672=1,K4672=1),AND(J4672=1,I4672="SBJ"),AND(J4672=1,I4672=0)),"?IN_FOCUS",IF(J4672&lt;=2,"?ACTIVATED",IF(J4672&lt;&gt;"","?FAMILIAR",IF(F4672="NEW",IF(ISNA(VLOOKUP(E4672,#REF!,1,FALSE())),"?TYPE_IDENTIFIABLE","?REFERENTIAL"),"_")))))</f>
        <v> </v>
      </c>
      <c r="H4672" s="24" t="str">
        <f>IF(J4672&lt;&gt;1,"",IF(I4672="SBJ","CB","?"))</f>
        <v> </v>
      </c>
      <c r="I4672" s="25" t="str">
        <f>IF(OR(E4672="",E4672="!!!",F4672="NEW"),"",INDEX(B4671:B$2,-1+SUMPRODUCT(MAX(ROW(E4671:E$2)*(E4672=E4671:E$2)))))</f>
        <v> </v>
      </c>
      <c r="J4672" s="25" t="str">
        <f>IF(OR(E4672="",E4672="!!!",F4672="NEW"),"",COUNTBLANK(OFFSET(A$1,,,SUMPRODUCT(MAX(ROW(E$2:E4672)*(E4672=E$2:E4672)))))-COUNTBLANK(OFFSET(A$1,,,SUMPRODUCT(MAX(ROW(E$1:E4671)*(E2=E$1:E4671))))))</f>
        <v> </v>
      </c>
      <c r="K4672" s="25" t="str">
        <f>IF(OR(E4672="",E4672="!!!",F4672="NEW"),"",INDEX(J$1:J4671,SUMPRODUCT(MAX(ROW(E$1:E4671)*(E4672=E$1:E4671)))))</f>
        <v> </v>
      </c>
      <c r="L4672" s="26"/>
    </row>
    <row r="4673" spans="1:12">
      <c r="A4673" s="20" t="s">
        <v>1037</v>
      </c>
      <c r="E4673" s="21">
        <f>IF(D4673="?OLD","!!!","")</f>
        <v/>
      </c>
      <c r="F4673" s="22" t="str">
        <f>IF(OR(E4673="",E4673="!!!"),"",IF(NOT(ISNA(VLOOKUP(E4673,E$1:E4672,1,FALSE()))),"OLD",IF(AND(E4673&lt;&gt;"",E4673&lt;&gt;"!!!"),"NEW","")))</f>
        <v> </v>
      </c>
      <c r="G4673" s="23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4" t="str">
        <f>IF(J4673&lt;&gt;1,"",IF(I4673="SBJ","CB","?"))</f>
        <v> </v>
      </c>
      <c r="I4673" s="25" t="str">
        <f>IF(OR(E4673="",E4673="!!!",F4673="NEW"),"",INDEX(B4672:B$2,-1+SUMPRODUCT(MAX(ROW(E4672:E$2)*(E4673=E4672:E$2)))))</f>
        <v> </v>
      </c>
      <c r="J4673" s="25" t="str">
        <f>IF(OR(E4673="",E4673="!!!",F4673="NEW"),"",COUNTBLANK(OFFSET(A$1,,,SUMPRODUCT(MAX(ROW(E$2:E4673)*(E4673=E$2:E4673)))))-COUNTBLANK(OFFSET(A$1,,,SUMPRODUCT(MAX(ROW(E$1:E4672)*(E2=E$1:E4672))))))</f>
        <v> </v>
      </c>
      <c r="K4673" s="25" t="str">
        <f>IF(OR(E4673="",E4673="!!!",F4673="NEW"),"",INDEX(J$1:J4672,SUMPRODUCT(MAX(ROW(E$1:E4672)*(E4673=E$1:E4672)))))</f>
        <v> </v>
      </c>
      <c r="L4673" s="26"/>
    </row>
    <row r="4674" spans="1:12">
      <c r="A4674" s="20" t="s">
        <v>1252</v>
      </c>
      <c r="E4674" s="21">
        <f>IF(D4674="?OLD","!!!","")</f>
        <v/>
      </c>
      <c r="F4674" s="22" t="str">
        <f>IF(OR(E4674="",E4674="!!!"),"",IF(NOT(ISNA(VLOOKUP(E4674,E$1:E4673,1,FALSE()))),"OLD",IF(AND(E4674&lt;&gt;"",E4674&lt;&gt;"!!!"),"NEW","")))</f>
        <v> </v>
      </c>
      <c r="G4674" s="23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4" t="str">
        <f>IF(J4674&lt;&gt;1,"",IF(I4674="SBJ","CB","?"))</f>
        <v> </v>
      </c>
      <c r="I4674" s="25" t="str">
        <f>IF(OR(E4674="",E4674="!!!",F4674="NEW"),"",INDEX(B4673:B$2,-1+SUMPRODUCT(MAX(ROW(E4673:E$2)*(E4674=E4673:E$2)))))</f>
        <v> </v>
      </c>
      <c r="J4674" s="25" t="str">
        <f>IF(OR(E4674="",E4674="!!!",F4674="NEW"),"",COUNTBLANK(OFFSET(A$1,,,SUMPRODUCT(MAX(ROW(E$2:E4674)*(E4674=E$2:E4674)))))-COUNTBLANK(OFFSET(A$1,,,SUMPRODUCT(MAX(ROW(E$1:E4673)*(E2=E$1:E4673))))))</f>
        <v> </v>
      </c>
      <c r="K4674" s="25" t="str">
        <f>IF(OR(E4674="",E4674="!!!",F4674="NEW"),"",INDEX(J$1:J4673,SUMPRODUCT(MAX(ROW(E$1:E4673)*(E4674=E$1:E4673)))))</f>
        <v> </v>
      </c>
      <c r="L4674" s="26"/>
    </row>
    <row r="4675" spans="1:12">
      <c r="A4675" s="20" t="s">
        <v>1030</v>
      </c>
      <c r="E4675" s="21">
        <f>IF(D4675="?OLD","!!!","")</f>
        <v/>
      </c>
      <c r="F4675" s="22" t="str">
        <f>IF(OR(E4675="",E4675="!!!"),"",IF(NOT(ISNA(VLOOKUP(E4675,E$1:E4674,1,FALSE()))),"OLD",IF(AND(E4675&lt;&gt;"",E4675&lt;&gt;"!!!"),"NEW","")))</f>
        <v> </v>
      </c>
      <c r="G4675" s="23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4" t="str">
        <f>IF(J4675&lt;&gt;1,"",IF(I4675="SBJ","CB","?"))</f>
        <v> </v>
      </c>
      <c r="I4675" s="25" t="str">
        <f>IF(OR(E4675="",E4675="!!!",F4675="NEW"),"",INDEX(B4674:B$2,-1+SUMPRODUCT(MAX(ROW(E4674:E$2)*(E4675=E4674:E$2)))))</f>
        <v> </v>
      </c>
      <c r="J4675" s="25" t="str">
        <f>IF(OR(E4675="",E4675="!!!",F4675="NEW"),"",COUNTBLANK(OFFSET(A$1,,,SUMPRODUCT(MAX(ROW(E$2:E4675)*(E4675=E$2:E4675)))))-COUNTBLANK(OFFSET(A$1,,,SUMPRODUCT(MAX(ROW(E$1:E4674)*(E2=E$1:E4674))))))</f>
        <v> </v>
      </c>
      <c r="K4675" s="25" t="str">
        <f>IF(OR(E4675="",E4675="!!!",F4675="NEW"),"",INDEX(J$1:J4674,SUMPRODUCT(MAX(ROW(E$1:E4674)*(E4675=E$1:E4674)))))</f>
        <v> </v>
      </c>
      <c r="L4675" s="26"/>
    </row>
    <row r="4676" spans="1:12">
      <c r="A4676" s="20" t="s">
        <v>2915</v>
      </c>
      <c r="E4676" s="21">
        <f>IF(D4676="?OLD","!!!","")</f>
        <v/>
      </c>
      <c r="F4676" s="22" t="str">
        <f>IF(OR(E4676="",E4676="!!!"),"",IF(NOT(ISNA(VLOOKUP(E4676,E$1:E4675,1,FALSE()))),"OLD",IF(AND(E4676&lt;&gt;"",E4676&lt;&gt;"!!!"),"NEW","")))</f>
        <v> </v>
      </c>
      <c r="G4676" s="23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4" t="str">
        <f>IF(J4676&lt;&gt;1,"",IF(I4676="SBJ","CB","?"))</f>
        <v> </v>
      </c>
      <c r="I4676" s="25" t="str">
        <f>IF(OR(E4676="",E4676="!!!",F4676="NEW"),"",INDEX(B4675:B$2,-1+SUMPRODUCT(MAX(ROW(E4675:E$2)*(E4676=E4675:E$2)))))</f>
        <v> </v>
      </c>
      <c r="J4676" s="25" t="str">
        <f>IF(OR(E4676="",E4676="!!!",F4676="NEW"),"",COUNTBLANK(OFFSET(A$1,,,SUMPRODUCT(MAX(ROW(E$2:E4676)*(E4676=E$2:E4676)))))-COUNTBLANK(OFFSET(A$1,,,SUMPRODUCT(MAX(ROW(E$1:E4675)*(E2=E$1:E4675))))))</f>
        <v> </v>
      </c>
      <c r="K4676" s="25" t="str">
        <f>IF(OR(E4676="",E4676="!!!",F4676="NEW"),"",INDEX(J$1:J4675,SUMPRODUCT(MAX(ROW(E$1:E4675)*(E4676=E$1:E4675)))))</f>
        <v> </v>
      </c>
      <c r="L4676" s="26"/>
    </row>
    <row r="4677" spans="1:12">
      <c r="A4677" s="20" t="s">
        <v>1303</v>
      </c>
      <c r="B4677" s="27" t="s">
        <v>1045</v>
      </c>
      <c r="C4677" s="27" t="s">
        <v>1072</v>
      </c>
      <c r="D4677" s="27" t="s">
        <v>1026</v>
      </c>
      <c r="E4677" s="21">
        <f>IF(D4677="?OLD","!!!","")</f>
        <v/>
      </c>
      <c r="F4677" s="22" t="str">
        <f>IF(OR(E4677="",E4677="!!!"),"",IF(NOT(ISNA(VLOOKUP(E4677,E$1:E4676,1,FALSE()))),"OLD",IF(AND(E4677&lt;&gt;"",E4677&lt;&gt;"!!!"),"NEW","")))</f>
        <v> </v>
      </c>
      <c r="G4677" s="23" t="str">
        <f>IF(OR(E4677="",E4677="!!!"),"",IF(OR(J4677=0,AND(J4677=1,K4677=1),AND(J4677=1,I4677="SBJ"),AND(J4677=1,I4677=0)),"?IN_FOCUS",IF(J4677&lt;=2,"?ACTIVATED",IF(J4677&lt;&gt;"","?FAMILIAR",IF(F4677="NEW",IF(ISNA(VLOOKUP(E4677,#REF!,1,FALSE())),"?TYPE_IDENTIFIABLE","?REFERENTIAL"),"_")))))</f>
        <v> </v>
      </c>
      <c r="H4677" s="24" t="str">
        <f>IF(J4677&lt;&gt;1,"",IF(I4677="SBJ","CB","?"))</f>
        <v> </v>
      </c>
      <c r="I4677" s="25" t="str">
        <f>IF(OR(E4677="",E4677="!!!",F4677="NEW"),"",INDEX(B4676:B$2,-1+SUMPRODUCT(MAX(ROW(E4676:E$2)*(E4677=E4676:E$2)))))</f>
        <v> </v>
      </c>
      <c r="J4677" s="25" t="str">
        <f>IF(OR(E4677="",E4677="!!!",F4677="NEW"),"",COUNTBLANK(OFFSET(A$1,,,SUMPRODUCT(MAX(ROW(E$2:E4677)*(E4677=E$2:E4677)))))-COUNTBLANK(OFFSET(A$1,,,SUMPRODUCT(MAX(ROW(E$1:E4676)*(E2=E$1:E4676))))))</f>
        <v> </v>
      </c>
      <c r="K4677" s="25" t="str">
        <f>IF(OR(E4677="",E4677="!!!",F4677="NEW"),"",INDEX(J$1:J4676,SUMPRODUCT(MAX(ROW(E$1:E4676)*(E4677=E$1:E4676)))))</f>
        <v> </v>
      </c>
      <c r="L4677" s="26"/>
    </row>
    <row r="4678" spans="1:12">
      <c r="A4678" s="20" t="s">
        <v>1221</v>
      </c>
      <c r="B4678" s="27" t="s">
        <v>1238</v>
      </c>
      <c r="C4678" s="27" t="s">
        <v>1075</v>
      </c>
      <c r="D4678" s="27" t="s">
        <v>1026</v>
      </c>
      <c r="E4678" s="21">
        <f>IF(D4678="?OLD","!!!","")</f>
        <v/>
      </c>
      <c r="F4678" s="22" t="str">
        <f>IF(OR(E4678="",E4678="!!!"),"",IF(NOT(ISNA(VLOOKUP(E4678,E$1:E4677,1,FALSE()))),"OLD",IF(AND(E4678&lt;&gt;"",E4678&lt;&gt;"!!!"),"NEW","")))</f>
        <v> </v>
      </c>
      <c r="G4678" s="23" t="str">
        <f>IF(OR(E4678="",E4678="!!!"),"",IF(OR(J4678=0,AND(J4678=1,K4678=1),AND(J4678=1,I4678="SBJ"),AND(J4678=1,I4678=0)),"?IN_FOCUS",IF(J4678&lt;=2,"?ACTIVATED",IF(J4678&lt;&gt;"","?FAMILIAR",IF(F4678="NEW",IF(ISNA(VLOOKUP(E4678,#REF!,1,FALSE())),"?TYPE_IDENTIFIABLE","?REFERENTIAL"),"_")))))</f>
        <v> </v>
      </c>
      <c r="H4678" s="24" t="str">
        <f>IF(J4678&lt;&gt;1,"",IF(I4678="SBJ","CB","?"))</f>
        <v> </v>
      </c>
      <c r="I4678" s="25" t="str">
        <f>IF(OR(E4678="",E4678="!!!",F4678="NEW"),"",INDEX(B4677:B$2,-1+SUMPRODUCT(MAX(ROW(E4677:E$2)*(E4678=E4677:E$2)))))</f>
        <v> </v>
      </c>
      <c r="J4678" s="25" t="str">
        <f>IF(OR(E4678="",E4678="!!!",F4678="NEW"),"",COUNTBLANK(OFFSET(A$1,,,SUMPRODUCT(MAX(ROW(E$2:E4678)*(E4678=E$2:E4678)))))-COUNTBLANK(OFFSET(A$1,,,SUMPRODUCT(MAX(ROW(E$1:E4677)*(E2=E$1:E4677))))))</f>
        <v> </v>
      </c>
      <c r="K4678" s="25" t="str">
        <f>IF(OR(E4678="",E4678="!!!",F4678="NEW"),"",INDEX(J$1:J4677,SUMPRODUCT(MAX(ROW(E$1:E4677)*(E4678=E$1:E4677)))))</f>
        <v> </v>
      </c>
      <c r="L4678" s="26"/>
    </row>
    <row r="4679" spans="1:12">
      <c r="A4679" s="20" t="s">
        <v>1041</v>
      </c>
      <c r="E4679" s="21">
        <f>IF(D4679="?OLD","!!!","")</f>
        <v/>
      </c>
      <c r="F4679" s="22" t="str">
        <f>IF(OR(E4679="",E4679="!!!"),"",IF(NOT(ISNA(VLOOKUP(E4679,E$1:E4678,1,FALSE()))),"OLD",IF(AND(E4679&lt;&gt;"",E4679&lt;&gt;"!!!"),"NEW","")))</f>
        <v> </v>
      </c>
      <c r="G4679" s="23" t="str">
        <f>IF(OR(E4679="",E4679="!!!"),"",IF(OR(J4679=0,AND(J4679=1,K4679=1),AND(J4679=1,I4679="SBJ"),AND(J4679=1,I4679=0)),"?IN_FOCUS",IF(J4679&lt;=2,"?ACTIVATED",IF(J4679&lt;&gt;"","?FAMILIAR",IF(F4679="NEW",IF(ISNA(VLOOKUP(E4679,#REF!,1,FALSE())),"?TYPE_IDENTIFIABLE","?REFERENTIAL"),"_")))))</f>
        <v> </v>
      </c>
      <c r="H4679" s="24" t="str">
        <f>IF(J4679&lt;&gt;1,"",IF(I4679="SBJ","CB","?"))</f>
        <v> </v>
      </c>
      <c r="I4679" s="25" t="str">
        <f>IF(OR(E4679="",E4679="!!!",F4679="NEW"),"",INDEX(B4678:B$2,-1+SUMPRODUCT(MAX(ROW(E4678:E$2)*(E4679=E4678:E$2)))))</f>
        <v> </v>
      </c>
      <c r="J4679" s="25" t="str">
        <f>IF(OR(E4679="",E4679="!!!",F4679="NEW"),"",COUNTBLANK(OFFSET(A$1,,,SUMPRODUCT(MAX(ROW(E$2:E4679)*(E4679=E$2:E4679)))))-COUNTBLANK(OFFSET(A$1,,,SUMPRODUCT(MAX(ROW(E$1:E4678)*(E2=E$1:E4678))))))</f>
        <v> </v>
      </c>
      <c r="K4679" s="25" t="str">
        <f>IF(OR(E4679="",E4679="!!!",F4679="NEW"),"",INDEX(J$1:J4678,SUMPRODUCT(MAX(ROW(E$1:E4678)*(E4679=E$1:E4678)))))</f>
        <v> </v>
      </c>
      <c r="L4679" s="26"/>
    </row>
    <row r="4680" spans="1:12">
      <c r="A4680" s="20" t="s">
        <v>1279</v>
      </c>
      <c r="E4680" s="21">
        <f>IF(D4680="?OLD","!!!","")</f>
        <v/>
      </c>
      <c r="F4680" s="22" t="str">
        <f>IF(OR(E4680="",E4680="!!!"),"",IF(NOT(ISNA(VLOOKUP(E4680,E$1:E4679,1,FALSE()))),"OLD",IF(AND(E4680&lt;&gt;"",E4680&lt;&gt;"!!!"),"NEW","")))</f>
        <v> </v>
      </c>
      <c r="G4680" s="23" t="str">
        <f>IF(OR(E4680="",E4680="!!!"),"",IF(OR(J4680=0,AND(J4680=1,K4680=1),AND(J4680=1,I4680="SBJ"),AND(J4680=1,I4680=0)),"?IN_FOCUS",IF(J4680&lt;=2,"?ACTIVATED",IF(J4680&lt;&gt;"","?FAMILIAR",IF(F4680="NEW",IF(ISNA(VLOOKUP(E4680,#REF!,1,FALSE())),"?TYPE_IDENTIFIABLE","?REFERENTIAL"),"_")))))</f>
        <v> </v>
      </c>
      <c r="H4680" s="24" t="str">
        <f>IF(J4680&lt;&gt;1,"",IF(I4680="SBJ","CB","?"))</f>
        <v> </v>
      </c>
      <c r="I4680" s="25" t="str">
        <f>IF(OR(E4680="",E4680="!!!",F4680="NEW"),"",INDEX(B4679:B$2,-1+SUMPRODUCT(MAX(ROW(E4679:E$2)*(E4680=E4679:E$2)))))</f>
        <v> </v>
      </c>
      <c r="J4680" s="25" t="str">
        <f>IF(OR(E4680="",E4680="!!!",F4680="NEW"),"",COUNTBLANK(OFFSET(A$1,,,SUMPRODUCT(MAX(ROW(E$2:E4680)*(E4680=E$2:E4680)))))-COUNTBLANK(OFFSET(A$1,,,SUMPRODUCT(MAX(ROW(E$1:E4679)*(E2=E$1:E4679))))))</f>
        <v> </v>
      </c>
      <c r="K4680" s="25" t="str">
        <f>IF(OR(E4680="",E4680="!!!",F4680="NEW"),"",INDEX(J$1:J4679,SUMPRODUCT(MAX(ROW(E$1:E4679)*(E4680=E$1:E4679)))))</f>
        <v> </v>
      </c>
      <c r="L4680" s="26"/>
    </row>
    <row r="4681" spans="1:12">
      <c r="A4681" s="20" t="s">
        <v>952</v>
      </c>
      <c r="B4681" s="27" t="s">
        <v>1048</v>
      </c>
      <c r="C4681" s="27" t="s">
        <v>1025</v>
      </c>
      <c r="D4681" s="27" t="s">
        <v>1026</v>
      </c>
      <c r="E4681" s="21">
        <f>IF(D4681="?OLD","!!!","")</f>
        <v/>
      </c>
      <c r="F4681" s="22" t="str">
        <f>IF(OR(E4681="",E4681="!!!"),"",IF(NOT(ISNA(VLOOKUP(E4681,E$1:E4680,1,FALSE()))),"OLD",IF(AND(E4681&lt;&gt;"",E4681&lt;&gt;"!!!"),"NEW","")))</f>
        <v> </v>
      </c>
      <c r="G4681" s="23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4" t="str">
        <f>IF(J4681&lt;&gt;1,"",IF(I4681="SBJ","CB","?"))</f>
        <v> </v>
      </c>
      <c r="I4681" s="25" t="str">
        <f>IF(OR(E4681="",E4681="!!!",F4681="NEW"),"",INDEX(B4680:B$2,-1+SUMPRODUCT(MAX(ROW(E4680:E$2)*(E4681=E4680:E$2)))))</f>
        <v> </v>
      </c>
      <c r="J4681" s="25" t="str">
        <f>IF(OR(E4681="",E4681="!!!",F4681="NEW"),"",COUNTBLANK(OFFSET(A$1,,,SUMPRODUCT(MAX(ROW(E$2:E4681)*(E4681=E$2:E4681)))))-COUNTBLANK(OFFSET(A$1,,,SUMPRODUCT(MAX(ROW(E$1:E4680)*(E2=E$1:E4680))))))</f>
        <v> </v>
      </c>
      <c r="K4681" s="25" t="str">
        <f>IF(OR(E4681="",E4681="!!!",F4681="NEW"),"",INDEX(J$1:J4680,SUMPRODUCT(MAX(ROW(E$1:E4680)*(E4681=E$1:E4680)))))</f>
        <v> </v>
      </c>
      <c r="L4681" s="26"/>
    </row>
    <row r="4682" spans="1:12">
      <c r="A4682" s="20" t="s">
        <v>2916</v>
      </c>
      <c r="E4682" s="21">
        <f>IF(D4682="?OLD","!!!","")</f>
        <v/>
      </c>
      <c r="F4682" s="22" t="str">
        <f>IF(OR(E4682="",E4682="!!!"),"",IF(NOT(ISNA(VLOOKUP(E4682,E$1:E4681,1,FALSE()))),"OLD",IF(AND(E4682&lt;&gt;"",E4682&lt;&gt;"!!!"),"NEW","")))</f>
        <v> </v>
      </c>
      <c r="G4682" s="23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4" t="str">
        <f>IF(J4682&lt;&gt;1,"",IF(I4682="SBJ","CB","?"))</f>
        <v> </v>
      </c>
      <c r="I4682" s="25" t="str">
        <f>IF(OR(E4682="",E4682="!!!",F4682="NEW"),"",INDEX(B4681:B$2,-1+SUMPRODUCT(MAX(ROW(E4681:E$2)*(E4682=E4681:E$2)))))</f>
        <v> </v>
      </c>
      <c r="J4682" s="25" t="str">
        <f>IF(OR(E4682="",E4682="!!!",F4682="NEW"),"",COUNTBLANK(OFFSET(A$1,,,SUMPRODUCT(MAX(ROW(E$2:E4682)*(E4682=E$2:E4682)))))-COUNTBLANK(OFFSET(A$1,,,SUMPRODUCT(MAX(ROW(E$1:E4681)*(E2=E$1:E4681))))))</f>
        <v> </v>
      </c>
      <c r="K4682" s="25" t="str">
        <f>IF(OR(E4682="",E4682="!!!",F4682="NEW"),"",INDEX(J$1:J4681,SUMPRODUCT(MAX(ROW(E$1:E4681)*(E4682=E$1:E4681)))))</f>
        <v> </v>
      </c>
      <c r="L4682" s="26"/>
    </row>
    <row r="4683" spans="1:12">
      <c r="A4683" s="20" t="s">
        <v>1099</v>
      </c>
      <c r="E4683" s="21">
        <f>IF(D4683="?OLD","!!!","")</f>
        <v/>
      </c>
      <c r="F4683" s="22" t="str">
        <f>IF(OR(E4683="",E4683="!!!"),"",IF(NOT(ISNA(VLOOKUP(E4683,E$1:E4682,1,FALSE()))),"OLD",IF(AND(E4683&lt;&gt;"",E4683&lt;&gt;"!!!"),"NEW","")))</f>
        <v> </v>
      </c>
      <c r="G4683" s="23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4" t="str">
        <f>IF(J4683&lt;&gt;1,"",IF(I4683="SBJ","CB","?"))</f>
        <v> </v>
      </c>
      <c r="I4683" s="25" t="str">
        <f>IF(OR(E4683="",E4683="!!!",F4683="NEW"),"",INDEX(B4682:B$2,-1+SUMPRODUCT(MAX(ROW(E4682:E$2)*(E4683=E4682:E$2)))))</f>
        <v> </v>
      </c>
      <c r="J4683" s="25" t="str">
        <f>IF(OR(E4683="",E4683="!!!",F4683="NEW"),"",COUNTBLANK(OFFSET(A$1,,,SUMPRODUCT(MAX(ROW(E$2:E4683)*(E4683=E$2:E4683)))))-COUNTBLANK(OFFSET(A$1,,,SUMPRODUCT(MAX(ROW(E$1:E4682)*(E2=E$1:E4682))))))</f>
        <v> </v>
      </c>
      <c r="K4683" s="25" t="str">
        <f>IF(OR(E4683="",E4683="!!!",F4683="NEW"),"",INDEX(J$1:J4682,SUMPRODUCT(MAX(ROW(E$1:E4682)*(E4683=E$1:E4682)))))</f>
        <v> </v>
      </c>
      <c r="L4683" s="26"/>
    </row>
    <row r="4684" spans="1:12">
      <c r="A4684" s="20" t="s">
        <v>1624</v>
      </c>
      <c r="E4684" s="21">
        <f>IF(D4684="?OLD","!!!","")</f>
        <v/>
      </c>
      <c r="F4684" s="22" t="str">
        <f>IF(OR(E4684="",E4684="!!!"),"",IF(NOT(ISNA(VLOOKUP(E4684,E$1:E4683,1,FALSE()))),"OLD",IF(AND(E4684&lt;&gt;"",E4684&lt;&gt;"!!!"),"NEW","")))</f>
        <v> </v>
      </c>
      <c r="G4684" s="23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4" t="str">
        <f>IF(J4684&lt;&gt;1,"",IF(I4684="SBJ","CB","?"))</f>
        <v> </v>
      </c>
      <c r="I4684" s="25" t="str">
        <f>IF(OR(E4684="",E4684="!!!",F4684="NEW"),"",INDEX(B4683:B$2,-1+SUMPRODUCT(MAX(ROW(E4683:E$2)*(E4684=E4683:E$2)))))</f>
        <v> </v>
      </c>
      <c r="J4684" s="25" t="str">
        <f>IF(OR(E4684="",E4684="!!!",F4684="NEW"),"",COUNTBLANK(OFFSET(A$1,,,SUMPRODUCT(MAX(ROW(E$2:E4684)*(E4684=E$2:E4684)))))-COUNTBLANK(OFFSET(A$1,,,SUMPRODUCT(MAX(ROW(E$1:E4683)*(E2=E$1:E4683))))))</f>
        <v> </v>
      </c>
      <c r="K4684" s="25" t="str">
        <f>IF(OR(E4684="",E4684="!!!",F4684="NEW"),"",INDEX(J$1:J4683,SUMPRODUCT(MAX(ROW(E$1:E4683)*(E4684=E$1:E4683)))))</f>
        <v> </v>
      </c>
      <c r="L4684" s="26"/>
    </row>
    <row r="4685" spans="1:12">
      <c r="A4685" s="20" t="s">
        <v>2061</v>
      </c>
      <c r="E4685" s="21">
        <f>IF(D4685="?OLD","!!!","")</f>
        <v/>
      </c>
      <c r="F4685" s="22" t="str">
        <f>IF(OR(E4685="",E4685="!!!"),"",IF(NOT(ISNA(VLOOKUP(E4685,E$1:E4684,1,FALSE()))),"OLD",IF(AND(E4685&lt;&gt;"",E4685&lt;&gt;"!!!"),"NEW","")))</f>
        <v> </v>
      </c>
      <c r="G4685" s="23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4" t="str">
        <f>IF(J4685&lt;&gt;1,"",IF(I4685="SBJ","CB","?"))</f>
        <v> </v>
      </c>
      <c r="I4685" s="25" t="str">
        <f>IF(OR(E4685="",E4685="!!!",F4685="NEW"),"",INDEX(B4684:B$2,-1+SUMPRODUCT(MAX(ROW(E4684:E$2)*(E4685=E4684:E$2)))))</f>
        <v> </v>
      </c>
      <c r="J4685" s="25" t="str">
        <f>IF(OR(E4685="",E4685="!!!",F4685="NEW"),"",COUNTBLANK(OFFSET(A$1,,,SUMPRODUCT(MAX(ROW(E$2:E4685)*(E4685=E$2:E4685)))))-COUNTBLANK(OFFSET(A$1,,,SUMPRODUCT(MAX(ROW(E$1:E4684)*(E2=E$1:E4684))))))</f>
        <v> </v>
      </c>
      <c r="K4685" s="25" t="str">
        <f>IF(OR(E4685="",E4685="!!!",F4685="NEW"),"",INDEX(J$1:J4684,SUMPRODUCT(MAX(ROW(E$1:E4684)*(E4685=E$1:E4684)))))</f>
        <v> </v>
      </c>
      <c r="L4685" s="26"/>
    </row>
    <row r="4686" spans="1:12">
      <c r="A4686" s="20" t="s">
        <v>1041</v>
      </c>
      <c r="E4686" s="21">
        <f>IF(D4686="?OLD","!!!","")</f>
        <v/>
      </c>
      <c r="F4686" s="22" t="str">
        <f>IF(OR(E4686="",E4686="!!!"),"",IF(NOT(ISNA(VLOOKUP(E4686,E$1:E4685,1,FALSE()))),"OLD",IF(AND(E4686&lt;&gt;"",E4686&lt;&gt;"!!!"),"NEW","")))</f>
        <v> </v>
      </c>
      <c r="G4686" s="23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4" t="str">
        <f>IF(J4686&lt;&gt;1,"",IF(I4686="SBJ","CB","?"))</f>
        <v> </v>
      </c>
      <c r="I4686" s="25" t="str">
        <f>IF(OR(E4686="",E4686="!!!",F4686="NEW"),"",INDEX(B4685:B$2,-1+SUMPRODUCT(MAX(ROW(E4685:E$2)*(E4686=E4685:E$2)))))</f>
        <v> </v>
      </c>
      <c r="J4686" s="25" t="str">
        <f>IF(OR(E4686="",E4686="!!!",F4686="NEW"),"",COUNTBLANK(OFFSET(A$1,,,SUMPRODUCT(MAX(ROW(E$2:E4686)*(E4686=E$2:E4686)))))-COUNTBLANK(OFFSET(A$1,,,SUMPRODUCT(MAX(ROW(E$1:E4685)*(E2=E$1:E4685))))))</f>
        <v> </v>
      </c>
      <c r="K4686" s="25" t="str">
        <f>IF(OR(E4686="",E4686="!!!",F4686="NEW"),"",INDEX(J$1:J4685,SUMPRODUCT(MAX(ROW(E$1:E4685)*(E4686=E$1:E4685)))))</f>
        <v> </v>
      </c>
      <c r="L4686" s="26"/>
    </row>
    <row r="4687" spans="1:12">
      <c r="A4687" s="20" t="s">
        <v>1042</v>
      </c>
      <c r="E4687" s="21">
        <f>IF(D4687="?OLD","!!!","")</f>
        <v/>
      </c>
      <c r="F4687" s="22" t="str">
        <f>IF(OR(E4687="",E4687="!!!"),"",IF(NOT(ISNA(VLOOKUP(E4687,E$1:E4686,1,FALSE()))),"OLD",IF(AND(E4687&lt;&gt;"",E4687&lt;&gt;"!!!"),"NEW","")))</f>
        <v> </v>
      </c>
      <c r="G4687" s="23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4" t="str">
        <f>IF(J4687&lt;&gt;1,"",IF(I4687="SBJ","CB","?"))</f>
        <v> </v>
      </c>
      <c r="I4687" s="25" t="str">
        <f>IF(OR(E4687="",E4687="!!!",F4687="NEW"),"",INDEX(B4686:B$2,-1+SUMPRODUCT(MAX(ROW(E4686:E$2)*(E4687=E4686:E$2)))))</f>
        <v> </v>
      </c>
      <c r="J4687" s="25" t="str">
        <f>IF(OR(E4687="",E4687="!!!",F4687="NEW"),"",COUNTBLANK(OFFSET(A$1,,,SUMPRODUCT(MAX(ROW(E$2:E4687)*(E4687=E$2:E4687)))))-COUNTBLANK(OFFSET(A$1,,,SUMPRODUCT(MAX(ROW(E$1:E4686)*(E2=E$1:E4686))))))</f>
        <v> </v>
      </c>
      <c r="K4687" s="25" t="str">
        <f>IF(OR(E4687="",E4687="!!!",F4687="NEW"),"",INDEX(J$1:J4686,SUMPRODUCT(MAX(ROW(E$1:E4686)*(E4687=E$1:E4686)))))</f>
        <v> </v>
      </c>
      <c r="L4687" s="26"/>
    </row>
    <row r="4688" spans="1:12">
      <c r="A4688" s="20" t="s">
        <v>201</v>
      </c>
      <c r="E4688" s="21">
        <f>IF(D4688="?OLD","!!!","")</f>
        <v/>
      </c>
      <c r="F4688" s="22" t="str">
        <f>IF(OR(E4688="",E4688="!!!"),"",IF(NOT(ISNA(VLOOKUP(E4688,E$1:E4687,1,FALSE()))),"OLD",IF(AND(E4688&lt;&gt;"",E4688&lt;&gt;"!!!"),"NEW","")))</f>
        <v> </v>
      </c>
      <c r="G4688" s="23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4" t="str">
        <f>IF(J4688&lt;&gt;1,"",IF(I4688="SBJ","CB","?"))</f>
        <v> </v>
      </c>
      <c r="I4688" s="25" t="str">
        <f>IF(OR(E4688="",E4688="!!!",F4688="NEW"),"",INDEX(B4687:B$2,-1+SUMPRODUCT(MAX(ROW(E4687:E$2)*(E4688=E4687:E$2)))))</f>
        <v> </v>
      </c>
      <c r="J4688" s="25" t="str">
        <f>IF(OR(E4688="",E4688="!!!",F4688="NEW"),"",COUNTBLANK(OFFSET(A$1,,,SUMPRODUCT(MAX(ROW(E$2:E4688)*(E4688=E$2:E4688)))))-COUNTBLANK(OFFSET(A$1,,,SUMPRODUCT(MAX(ROW(E$1:E4687)*(E2=E$1:E4687))))))</f>
        <v> </v>
      </c>
      <c r="K4688" s="25" t="str">
        <f>IF(OR(E4688="",E4688="!!!",F4688="NEW"),"",INDEX(J$1:J4687,SUMPRODUCT(MAX(ROW(E$1:E4687)*(E4688=E$1:E4687)))))</f>
        <v> </v>
      </c>
      <c r="L4688" s="26"/>
    </row>
    <row r="4689" spans="1:12">
      <c r="A4689" s="20" t="s">
        <v>1373</v>
      </c>
      <c r="B4689" s="27" t="s">
        <v>1048</v>
      </c>
      <c r="C4689" s="27" t="s">
        <v>1025</v>
      </c>
      <c r="D4689" s="27" t="s">
        <v>1026</v>
      </c>
      <c r="E4689" s="21">
        <f>IF(D4689="?OLD","!!!","")</f>
        <v/>
      </c>
      <c r="F4689" s="22" t="str">
        <f>IF(OR(E4689="",E4689="!!!"),"",IF(NOT(ISNA(VLOOKUP(E4689,E$1:E4688,1,FALSE()))),"OLD",IF(AND(E4689&lt;&gt;"",E4689&lt;&gt;"!!!"),"NEW","")))</f>
        <v> </v>
      </c>
      <c r="G4689" s="23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4" t="str">
        <f>IF(J4689&lt;&gt;1,"",IF(I4689="SBJ","CB","?"))</f>
        <v> </v>
      </c>
      <c r="I4689" s="25" t="str">
        <f>IF(OR(E4689="",E4689="!!!",F4689="NEW"),"",INDEX(B4688:B$2,-1+SUMPRODUCT(MAX(ROW(E4688:E$2)*(E4689=E4688:E$2)))))</f>
        <v> </v>
      </c>
      <c r="J4689" s="25" t="str">
        <f>IF(OR(E4689="",E4689="!!!",F4689="NEW"),"",COUNTBLANK(OFFSET(A$1,,,SUMPRODUCT(MAX(ROW(E$2:E4689)*(E4689=E$2:E4689)))))-COUNTBLANK(OFFSET(A$1,,,SUMPRODUCT(MAX(ROW(E$1:E4688)*(E2=E$1:E4688))))))</f>
        <v> </v>
      </c>
      <c r="K4689" s="25" t="str">
        <f>IF(OR(E4689="",E4689="!!!",F4689="NEW"),"",INDEX(J$1:J4688,SUMPRODUCT(MAX(ROW(E$1:E4688)*(E4689=E$1:E4688)))))</f>
        <v> </v>
      </c>
      <c r="L4689" s="26"/>
    </row>
    <row r="4690" spans="1:12">
      <c r="A4690" s="20" t="s">
        <v>2917</v>
      </c>
      <c r="E4690" s="21">
        <f>IF(D4690="?OLD","!!!","")</f>
        <v/>
      </c>
      <c r="F4690" s="22" t="str">
        <f>IF(OR(E4690="",E4690="!!!"),"",IF(NOT(ISNA(VLOOKUP(E4690,E$1:E4689,1,FALSE()))),"OLD",IF(AND(E4690&lt;&gt;"",E4690&lt;&gt;"!!!"),"NEW","")))</f>
        <v> </v>
      </c>
      <c r="G4690" s="23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4" t="str">
        <f>IF(J4690&lt;&gt;1,"",IF(I4690="SBJ","CB","?"))</f>
        <v> </v>
      </c>
      <c r="I4690" s="25" t="str">
        <f>IF(OR(E4690="",E4690="!!!",F4690="NEW"),"",INDEX(B4689:B$2,-1+SUMPRODUCT(MAX(ROW(E4689:E$2)*(E4690=E4689:E$2)))))</f>
        <v> </v>
      </c>
      <c r="J4690" s="25" t="str">
        <f>IF(OR(E4690="",E4690="!!!",F4690="NEW"),"",COUNTBLANK(OFFSET(A$1,,,SUMPRODUCT(MAX(ROW(E$2:E4690)*(E4690=E$2:E4690)))))-COUNTBLANK(OFFSET(A$1,,,SUMPRODUCT(MAX(ROW(E$1:E4689)*(E2=E$1:E4689))))))</f>
        <v> </v>
      </c>
      <c r="K4690" s="25" t="str">
        <f>IF(OR(E4690="",E4690="!!!",F4690="NEW"),"",INDEX(J$1:J4689,SUMPRODUCT(MAX(ROW(E$1:E4689)*(E4690=E$1:E4689)))))</f>
        <v> </v>
      </c>
      <c r="L4690" s="26"/>
    </row>
    <row r="4691" spans="1:12">
      <c r="A4691" s="20" t="s">
        <v>2918</v>
      </c>
      <c r="E4691" s="21">
        <f>IF(D4691="?OLD","!!!","")</f>
        <v/>
      </c>
      <c r="F4691" s="22" t="str">
        <f>IF(OR(E4691="",E4691="!!!"),"",IF(NOT(ISNA(VLOOKUP(E4691,E$1:E4690,1,FALSE()))),"OLD",IF(AND(E4691&lt;&gt;"",E4691&lt;&gt;"!!!"),"NEW","")))</f>
        <v> </v>
      </c>
      <c r="G4691" s="23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4" t="str">
        <f>IF(J4691&lt;&gt;1,"",IF(I4691="SBJ","CB","?"))</f>
        <v> </v>
      </c>
      <c r="I4691" s="25" t="str">
        <f>IF(OR(E4691="",E4691="!!!",F4691="NEW"),"",INDEX(B4690:B$2,-1+SUMPRODUCT(MAX(ROW(E4690:E$2)*(E4691=E4690:E$2)))))</f>
        <v> </v>
      </c>
      <c r="J4691" s="25" t="str">
        <f>IF(OR(E4691="",E4691="!!!",F4691="NEW"),"",COUNTBLANK(OFFSET(A$1,,,SUMPRODUCT(MAX(ROW(E$2:E4691)*(E4691=E$2:E4691)))))-COUNTBLANK(OFFSET(A$1,,,SUMPRODUCT(MAX(ROW(E$1:E4690)*(E2=E$1:E4690))))))</f>
        <v> </v>
      </c>
      <c r="K4691" s="25" t="str">
        <f>IF(OR(E4691="",E4691="!!!",F4691="NEW"),"",INDEX(J$1:J4690,SUMPRODUCT(MAX(ROW(E$1:E4690)*(E4691=E$1:E4690)))))</f>
        <v> </v>
      </c>
      <c r="L4691" s="26"/>
    </row>
    <row r="4692" spans="1:12">
      <c r="A4692" s="20" t="s">
        <v>1032</v>
      </c>
      <c r="E4692" s="21">
        <f>IF(D4692="?OLD","!!!","")</f>
        <v/>
      </c>
      <c r="F4692" s="22" t="str">
        <f>IF(OR(E4692="",E4692="!!!"),"",IF(NOT(ISNA(VLOOKUP(E4692,E$1:E4691,1,FALSE()))),"OLD",IF(AND(E4692&lt;&gt;"",E4692&lt;&gt;"!!!"),"NEW","")))</f>
        <v> </v>
      </c>
      <c r="G4692" s="23" t="str">
        <f>IF(OR(E4692="",E4692="!!!"),"",IF(OR(J4692=0,AND(J4692=1,K4692=1),AND(J4692=1,I4692="SBJ"),AND(J4692=1,I4692=0)),"?IN_FOCUS",IF(J4692&lt;=2,"?ACTIVATED",IF(J4692&lt;&gt;"","?FAMILIAR",IF(F4692="NEW",IF(ISNA(VLOOKUP(E4692,#REF!,1,FALSE())),"?TYPE_IDENTIFIABLE","?REFERENTIAL"),"_")))))</f>
        <v> </v>
      </c>
      <c r="H4692" s="24" t="str">
        <f>IF(J4692&lt;&gt;1,"",IF(I4692="SBJ","CB","?"))</f>
        <v> </v>
      </c>
      <c r="I4692" s="25" t="str">
        <f>IF(OR(E4692="",E4692="!!!",F4692="NEW"),"",INDEX(B4691:B$2,-1+SUMPRODUCT(MAX(ROW(E4691:E$2)*(E4692=E4691:E$2)))))</f>
        <v> </v>
      </c>
      <c r="J4692" s="25" t="str">
        <f>IF(OR(E4692="",E4692="!!!",F4692="NEW"),"",COUNTBLANK(OFFSET(A$1,,,SUMPRODUCT(MAX(ROW(E$2:E4692)*(E4692=E$2:E4692)))))-COUNTBLANK(OFFSET(A$1,,,SUMPRODUCT(MAX(ROW(E$1:E4691)*(E2=E$1:E4691))))))</f>
        <v> </v>
      </c>
      <c r="K4692" s="25" t="str">
        <f>IF(OR(E4692="",E4692="!!!",F4692="NEW"),"",INDEX(J$1:J4691,SUMPRODUCT(MAX(ROW(E$1:E4691)*(E4692=E$1:E4691)))))</f>
        <v> </v>
      </c>
      <c r="L4692" s="26"/>
    </row>
    <row r="4693" spans="1:12">
      <c r="A4693" s="20"/>
    </row>
    <row r="4694" spans="1:12">
      <c r="A4694" s="20" t="s">
        <v>2919</v>
      </c>
    </row>
    <row r="4695" spans="1:12">
      <c r="A4695" s="20" t="s">
        <v>744</v>
      </c>
      <c r="B4695" s="27" t="s">
        <v>1080</v>
      </c>
      <c r="C4695" s="27" t="s">
        <v>1075</v>
      </c>
      <c r="D4695" s="27" t="s">
        <v>1026</v>
      </c>
      <c r="E4695" s="21">
        <f>IF(D4695="?OLD","!!!","")</f>
        <v/>
      </c>
      <c r="F4695" s="22" t="str">
        <f>IF(OR(E4695="",E4695="!!!"),"",IF(NOT(ISNA(VLOOKUP(E4695,E$1:E4694,1,FALSE()))),"OLD",IF(AND(E4695&lt;&gt;"",E4695&lt;&gt;"!!!"),"NEW","")))</f>
        <v> </v>
      </c>
      <c r="G4695" s="23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4" t="str">
        <f>IF(J4695&lt;&gt;1,"",IF(I4695="SBJ","CB","?"))</f>
        <v> </v>
      </c>
      <c r="I4695" s="25" t="str">
        <f>IF(OR(E4695="",E4695="!!!",F4695="NEW"),"",INDEX(B4694:B$2,-1+SUMPRODUCT(MAX(ROW(E4694:E$2)*(E4695=E4694:E$2)))))</f>
        <v> </v>
      </c>
      <c r="J4695" s="25" t="str">
        <f>IF(OR(E4695="",E4695="!!!",F4695="NEW"),"",COUNTBLANK(OFFSET(A$1,,,SUMPRODUCT(MAX(ROW(E$2:E4695)*(E4695=E$2:E4695)))))-COUNTBLANK(OFFSET(A$1,,,SUMPRODUCT(MAX(ROW(E$1:E4694)*(E2=E$1:E4694))))))</f>
        <v> </v>
      </c>
      <c r="K4695" s="25" t="str">
        <f>IF(OR(E4695="",E4695="!!!",F4695="NEW"),"",INDEX(J$1:J4694,SUMPRODUCT(MAX(ROW(E$1:E4694)*(E4695=E$1:E4694)))))</f>
        <v> </v>
      </c>
      <c r="L4695" s="26"/>
    </row>
    <row r="4696" spans="1:12">
      <c r="A4696" s="20" t="s">
        <v>2530</v>
      </c>
      <c r="B4696" s="27" t="s">
        <v>1080</v>
      </c>
      <c r="C4696" s="27" t="s">
        <v>1075</v>
      </c>
      <c r="D4696" s="27" t="s">
        <v>1026</v>
      </c>
      <c r="E4696" s="21">
        <f>IF(D4696="?OLD","!!!","")</f>
        <v/>
      </c>
      <c r="F4696" s="22" t="str">
        <f>IF(OR(E4696="",E4696="!!!"),"",IF(NOT(ISNA(VLOOKUP(E4696,E$1:E4695,1,FALSE()))),"OLD",IF(AND(E4696&lt;&gt;"",E4696&lt;&gt;"!!!"),"NEW","")))</f>
        <v> </v>
      </c>
      <c r="G4696" s="23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4" t="str">
        <f>IF(J4696&lt;&gt;1,"",IF(I4696="SBJ","CB","?"))</f>
        <v> </v>
      </c>
      <c r="I4696" s="25" t="str">
        <f>IF(OR(E4696="",E4696="!!!",F4696="NEW"),"",INDEX(B4695:B$2,-1+SUMPRODUCT(MAX(ROW(E4695:E$2)*(E4696=E4695:E$2)))))</f>
        <v> </v>
      </c>
      <c r="J4696" s="25" t="str">
        <f>IF(OR(E4696="",E4696="!!!",F4696="NEW"),"",COUNTBLANK(OFFSET(A$1,,,SUMPRODUCT(MAX(ROW(E$2:E4696)*(E4696=E$2:E4696)))))-COUNTBLANK(OFFSET(A$1,,,SUMPRODUCT(MAX(ROW(E$1:E4695)*(E2=E$1:E4695))))))</f>
        <v> </v>
      </c>
      <c r="K4696" s="25" t="str">
        <f>IF(OR(E4696="",E4696="!!!",F4696="NEW"),"",INDEX(J$1:J4695,SUMPRODUCT(MAX(ROW(E$1:E4695)*(E4696=E$1:E4695)))))</f>
        <v> </v>
      </c>
      <c r="L4696" s="26"/>
    </row>
    <row r="4697" spans="1:12">
      <c r="A4697" s="20" t="s">
        <v>1222</v>
      </c>
      <c r="E4697" s="21">
        <f>IF(D4697="?OLD","!!!","")</f>
        <v/>
      </c>
      <c r="F4697" s="22" t="str">
        <f>IF(OR(E4697="",E4697="!!!"),"",IF(NOT(ISNA(VLOOKUP(E4697,E$1:E4696,1,FALSE()))),"OLD",IF(AND(E4697&lt;&gt;"",E4697&lt;&gt;"!!!"),"NEW","")))</f>
        <v> </v>
      </c>
      <c r="G4697" s="23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4" t="str">
        <f>IF(J4697&lt;&gt;1,"",IF(I4697="SBJ","CB","?"))</f>
        <v> </v>
      </c>
      <c r="I4697" s="25" t="str">
        <f>IF(OR(E4697="",E4697="!!!",F4697="NEW"),"",INDEX(B4696:B$2,-1+SUMPRODUCT(MAX(ROW(E4696:E$2)*(E4697=E4696:E$2)))))</f>
        <v> </v>
      </c>
      <c r="J4697" s="25" t="str">
        <f>IF(OR(E4697="",E4697="!!!",F4697="NEW"),"",COUNTBLANK(OFFSET(A$1,,,SUMPRODUCT(MAX(ROW(E$2:E4697)*(E4697=E$2:E4697)))))-COUNTBLANK(OFFSET(A$1,,,SUMPRODUCT(MAX(ROW(E$1:E4696)*(E2=E$1:E4696))))))</f>
        <v> </v>
      </c>
      <c r="K4697" s="25" t="str">
        <f>IF(OR(E4697="",E4697="!!!",F4697="NEW"),"",INDEX(J$1:J4696,SUMPRODUCT(MAX(ROW(E$1:E4696)*(E4697=E$1:E4696)))))</f>
        <v> </v>
      </c>
      <c r="L4697" s="26"/>
    </row>
    <row r="4698" spans="1:12">
      <c r="A4698" s="20" t="s">
        <v>1132</v>
      </c>
      <c r="E4698" s="21">
        <f>IF(D4698="?OLD","!!!","")</f>
        <v/>
      </c>
      <c r="F4698" s="22" t="str">
        <f>IF(OR(E4698="",E4698="!!!"),"",IF(NOT(ISNA(VLOOKUP(E4698,E$1:E4697,1,FALSE()))),"OLD",IF(AND(E4698&lt;&gt;"",E4698&lt;&gt;"!!!"),"NEW","")))</f>
        <v> </v>
      </c>
      <c r="G4698" s="23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4" t="str">
        <f>IF(J4698&lt;&gt;1,"",IF(I4698="SBJ","CB","?"))</f>
        <v> </v>
      </c>
      <c r="I4698" s="25" t="str">
        <f>IF(OR(E4698="",E4698="!!!",F4698="NEW"),"",INDEX(B4697:B$2,-1+SUMPRODUCT(MAX(ROW(E4697:E$2)*(E4698=E4697:E$2)))))</f>
        <v> </v>
      </c>
      <c r="J4698" s="25" t="str">
        <f>IF(OR(E4698="",E4698="!!!",F4698="NEW"),"",COUNTBLANK(OFFSET(A$1,,,SUMPRODUCT(MAX(ROW(E$2:E4698)*(E4698=E$2:E4698)))))-COUNTBLANK(OFFSET(A$1,,,SUMPRODUCT(MAX(ROW(E$1:E4697)*(E2=E$1:E4697))))))</f>
        <v> </v>
      </c>
      <c r="K4698" s="25" t="str">
        <f>IF(OR(E4698="",E4698="!!!",F4698="NEW"),"",INDEX(J$1:J4697,SUMPRODUCT(MAX(ROW(E$1:E4697)*(E4698=E$1:E4697)))))</f>
        <v> </v>
      </c>
      <c r="L4698" s="26"/>
    </row>
    <row r="4699" spans="1:12">
      <c r="A4699" s="20" t="s">
        <v>1035</v>
      </c>
      <c r="B4699" s="27" t="s">
        <v>1082</v>
      </c>
      <c r="C4699" s="27" t="s">
        <v>1036</v>
      </c>
      <c r="D4699" s="27" t="s">
        <v>1026</v>
      </c>
      <c r="E4699" s="21">
        <f>IF(D4699="?OLD","!!!","")</f>
        <v/>
      </c>
      <c r="F4699" s="22" t="str">
        <f>IF(OR(E4699="",E4699="!!!"),"",IF(NOT(ISNA(VLOOKUP(E4699,E$1:E4698,1,FALSE()))),"OLD",IF(AND(E4699&lt;&gt;"",E4699&lt;&gt;"!!!"),"NEW","")))</f>
        <v> </v>
      </c>
      <c r="G4699" s="23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4" t="str">
        <f>IF(J4699&lt;&gt;1,"",IF(I4699="SBJ","CB","?"))</f>
        <v> </v>
      </c>
      <c r="I4699" s="25" t="str">
        <f>IF(OR(E4699="",E4699="!!!",F4699="NEW"),"",INDEX(B4698:B$2,-1+SUMPRODUCT(MAX(ROW(E4698:E$2)*(E4699=E4698:E$2)))))</f>
        <v> </v>
      </c>
      <c r="J4699" s="25" t="str">
        <f>IF(OR(E4699="",E4699="!!!",F4699="NEW"),"",COUNTBLANK(OFFSET(A$1,,,SUMPRODUCT(MAX(ROW(E$2:E4699)*(E4699=E$2:E4699)))))-COUNTBLANK(OFFSET(A$1,,,SUMPRODUCT(MAX(ROW(E$1:E4698)*(E2=E$1:E4698))))))</f>
        <v> </v>
      </c>
      <c r="K4699" s="25" t="str">
        <f>IF(OR(E4699="",E4699="!!!",F4699="NEW"),"",INDEX(J$1:J4698,SUMPRODUCT(MAX(ROW(E$1:E4698)*(E4699=E$1:E4698)))))</f>
        <v> </v>
      </c>
      <c r="L4699" s="26"/>
    </row>
    <row r="4700" spans="1:12">
      <c r="A4700" s="20" t="s">
        <v>1108</v>
      </c>
      <c r="E4700" s="21">
        <f>IF(D4700="?OLD","!!!","")</f>
        <v/>
      </c>
      <c r="F4700" s="22" t="str">
        <f>IF(OR(E4700="",E4700="!!!"),"",IF(NOT(ISNA(VLOOKUP(E4700,E$1:E4699,1,FALSE()))),"OLD",IF(AND(E4700&lt;&gt;"",E4700&lt;&gt;"!!!"),"NEW","")))</f>
        <v> </v>
      </c>
      <c r="G4700" s="23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4" t="str">
        <f>IF(J4700&lt;&gt;1,"",IF(I4700="SBJ","CB","?"))</f>
        <v> </v>
      </c>
      <c r="I4700" s="25" t="str">
        <f>IF(OR(E4700="",E4700="!!!",F4700="NEW"),"",INDEX(B4699:B$2,-1+SUMPRODUCT(MAX(ROW(E4699:E$2)*(E4700=E4699:E$2)))))</f>
        <v> </v>
      </c>
      <c r="J4700" s="25" t="str">
        <f>IF(OR(E4700="",E4700="!!!",F4700="NEW"),"",COUNTBLANK(OFFSET(A$1,,,SUMPRODUCT(MAX(ROW(E$2:E4700)*(E4700=E$2:E4700)))))-COUNTBLANK(OFFSET(A$1,,,SUMPRODUCT(MAX(ROW(E$1:E4699)*(E2=E$1:E4699))))))</f>
        <v> </v>
      </c>
      <c r="K4700" s="25" t="str">
        <f>IF(OR(E4700="",E4700="!!!",F4700="NEW"),"",INDEX(J$1:J4699,SUMPRODUCT(MAX(ROW(E$1:E4699)*(E4700=E$1:E4699)))))</f>
        <v> </v>
      </c>
      <c r="L4700" s="26"/>
    </row>
    <row r="4701" spans="1:12">
      <c r="A4701" s="20" t="s">
        <v>2920</v>
      </c>
      <c r="B4701" s="27" t="s">
        <v>1136</v>
      </c>
      <c r="C4701" s="27" t="s">
        <v>1046</v>
      </c>
      <c r="D4701" s="27" t="s">
        <v>1026</v>
      </c>
      <c r="E4701" s="21">
        <f>IF(D4701="?OLD","!!!","")</f>
        <v/>
      </c>
      <c r="F4701" s="22" t="str">
        <f>IF(OR(E4701="",E4701="!!!"),"",IF(NOT(ISNA(VLOOKUP(E4701,E$1:E4700,1,FALSE()))),"OLD",IF(AND(E4701&lt;&gt;"",E4701&lt;&gt;"!!!"),"NEW","")))</f>
        <v> </v>
      </c>
      <c r="G4701" s="23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4" t="str">
        <f>IF(J4701&lt;&gt;1,"",IF(I4701="SBJ","CB","?"))</f>
        <v> </v>
      </c>
      <c r="I4701" s="25" t="str">
        <f>IF(OR(E4701="",E4701="!!!",F4701="NEW"),"",INDEX(B4700:B$2,-1+SUMPRODUCT(MAX(ROW(E4700:E$2)*(E4701=E4700:E$2)))))</f>
        <v> </v>
      </c>
      <c r="J4701" s="25" t="str">
        <f>IF(OR(E4701="",E4701="!!!",F4701="NEW"),"",COUNTBLANK(OFFSET(A$1,,,SUMPRODUCT(MAX(ROW(E$2:E4701)*(E4701=E$2:E4701)))))-COUNTBLANK(OFFSET(A$1,,,SUMPRODUCT(MAX(ROW(E$1:E4700)*(E2=E$1:E4700))))))</f>
        <v> </v>
      </c>
      <c r="K4701" s="25" t="str">
        <f>IF(OR(E4701="",E4701="!!!",F4701="NEW"),"",INDEX(J$1:J4700,SUMPRODUCT(MAX(ROW(E$1:E4700)*(E4701=E$1:E4700)))))</f>
        <v> </v>
      </c>
      <c r="L4701" s="26"/>
    </row>
    <row r="4702" spans="1:12">
      <c r="A4702" s="20" t="s">
        <v>1155</v>
      </c>
      <c r="E4702" s="21">
        <f>IF(D4702="?OLD","!!!","")</f>
        <v/>
      </c>
      <c r="F4702" s="22" t="str">
        <f>IF(OR(E4702="",E4702="!!!"),"",IF(NOT(ISNA(VLOOKUP(E4702,E$1:E4701,1,FALSE()))),"OLD",IF(AND(E4702&lt;&gt;"",E4702&lt;&gt;"!!!"),"NEW","")))</f>
        <v> </v>
      </c>
      <c r="G4702" s="23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4" t="str">
        <f>IF(J4702&lt;&gt;1,"",IF(I4702="SBJ","CB","?"))</f>
        <v> </v>
      </c>
      <c r="I4702" s="25" t="str">
        <f>IF(OR(E4702="",E4702="!!!",F4702="NEW"),"",INDEX(B4701:B$2,-1+SUMPRODUCT(MAX(ROW(E4701:E$2)*(E4702=E4701:E$2)))))</f>
        <v> </v>
      </c>
      <c r="J4702" s="25" t="str">
        <f>IF(OR(E4702="",E4702="!!!",F4702="NEW"),"",COUNTBLANK(OFFSET(A$1,,,SUMPRODUCT(MAX(ROW(E$2:E4702)*(E4702=E$2:E4702)))))-COUNTBLANK(OFFSET(A$1,,,SUMPRODUCT(MAX(ROW(E$1:E4701)*(E2=E$1:E4701))))))</f>
        <v> </v>
      </c>
      <c r="K4702" s="25" t="str">
        <f>IF(OR(E4702="",E4702="!!!",F4702="NEW"),"",INDEX(J$1:J4701,SUMPRODUCT(MAX(ROW(E$1:E4701)*(E4702=E$1:E4701)))))</f>
        <v> </v>
      </c>
      <c r="L4702" s="26"/>
    </row>
    <row r="4703" spans="1:12">
      <c r="A4703" s="20" t="s">
        <v>1099</v>
      </c>
      <c r="E4703" s="21">
        <f>IF(D4703="?OLD","!!!","")</f>
        <v/>
      </c>
      <c r="F4703" s="22" t="str">
        <f>IF(OR(E4703="",E4703="!!!"),"",IF(NOT(ISNA(VLOOKUP(E4703,E$1:E4702,1,FALSE()))),"OLD",IF(AND(E4703&lt;&gt;"",E4703&lt;&gt;"!!!"),"NEW","")))</f>
        <v> </v>
      </c>
      <c r="G4703" s="23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4" t="str">
        <f>IF(J4703&lt;&gt;1,"",IF(I4703="SBJ","CB","?"))</f>
        <v> </v>
      </c>
      <c r="I4703" s="25" t="str">
        <f>IF(OR(E4703="",E4703="!!!",F4703="NEW"),"",INDEX(B4702:B$2,-1+SUMPRODUCT(MAX(ROW(E4702:E$2)*(E4703=E4702:E$2)))))</f>
        <v> </v>
      </c>
      <c r="J4703" s="25" t="str">
        <f>IF(OR(E4703="",E4703="!!!",F4703="NEW"),"",COUNTBLANK(OFFSET(A$1,,,SUMPRODUCT(MAX(ROW(E$2:E4703)*(E4703=E$2:E4703)))))-COUNTBLANK(OFFSET(A$1,,,SUMPRODUCT(MAX(ROW(E$1:E4702)*(E2=E$1:E4702))))))</f>
        <v> </v>
      </c>
      <c r="K4703" s="25" t="str">
        <f>IF(OR(E4703="",E4703="!!!",F4703="NEW"),"",INDEX(J$1:J4702,SUMPRODUCT(MAX(ROW(E$1:E4702)*(E4703=E$1:E4702)))))</f>
        <v> </v>
      </c>
      <c r="L4703" s="26"/>
    </row>
    <row r="4704" spans="1:12">
      <c r="A4704" s="20" t="s">
        <v>2856</v>
      </c>
      <c r="B4704" s="27" t="s">
        <v>1136</v>
      </c>
      <c r="C4704" s="27" t="s">
        <v>1072</v>
      </c>
      <c r="D4704" s="27" t="s">
        <v>1026</v>
      </c>
      <c r="E4704" s="21">
        <f>IF(D4704="?OLD","!!!","")</f>
        <v/>
      </c>
      <c r="F4704" s="22" t="str">
        <f>IF(OR(E4704="",E4704="!!!"),"",IF(NOT(ISNA(VLOOKUP(E4704,E$1:E4703,1,FALSE()))),"OLD",IF(AND(E4704&lt;&gt;"",E4704&lt;&gt;"!!!"),"NEW","")))</f>
        <v> </v>
      </c>
      <c r="G4704" s="23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4" t="str">
        <f>IF(J4704&lt;&gt;1,"",IF(I4704="SBJ","CB","?"))</f>
        <v> </v>
      </c>
      <c r="I4704" s="25" t="str">
        <f>IF(OR(E4704="",E4704="!!!",F4704="NEW"),"",INDEX(B4703:B$2,-1+SUMPRODUCT(MAX(ROW(E4703:E$2)*(E4704=E4703:E$2)))))</f>
        <v> </v>
      </c>
      <c r="J4704" s="25" t="str">
        <f>IF(OR(E4704="",E4704="!!!",F4704="NEW"),"",COUNTBLANK(OFFSET(A$1,,,SUMPRODUCT(MAX(ROW(E$2:E4704)*(E4704=E$2:E4704)))))-COUNTBLANK(OFFSET(A$1,,,SUMPRODUCT(MAX(ROW(E$1:E4703)*(E2=E$1:E4703))))))</f>
        <v> </v>
      </c>
      <c r="K4704" s="25" t="str">
        <f>IF(OR(E4704="",E4704="!!!",F4704="NEW"),"",INDEX(J$1:J4703,SUMPRODUCT(MAX(ROW(E$1:E4703)*(E4704=E$1:E4703)))))</f>
        <v> </v>
      </c>
      <c r="L4704" s="26"/>
    </row>
    <row r="4705" spans="1:12">
      <c r="A4705" s="20" t="s">
        <v>2921</v>
      </c>
      <c r="B4705" s="27" t="s">
        <v>1084</v>
      </c>
      <c r="C4705" s="27" t="s">
        <v>1075</v>
      </c>
      <c r="D4705" s="27" t="s">
        <v>1026</v>
      </c>
      <c r="E4705" s="21">
        <f>IF(D4705="?OLD","!!!","")</f>
        <v/>
      </c>
      <c r="F4705" s="22" t="str">
        <f>IF(OR(E4705="",E4705="!!!"),"",IF(NOT(ISNA(VLOOKUP(E4705,E$1:E4704,1,FALSE()))),"OLD",IF(AND(E4705&lt;&gt;"",E4705&lt;&gt;"!!!"),"NEW","")))</f>
        <v> </v>
      </c>
      <c r="G4705" s="23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4" t="str">
        <f>IF(J4705&lt;&gt;1,"",IF(I4705="SBJ","CB","?"))</f>
        <v> </v>
      </c>
      <c r="I4705" s="25" t="str">
        <f>IF(OR(E4705="",E4705="!!!",F4705="NEW"),"",INDEX(B4704:B$2,-1+SUMPRODUCT(MAX(ROW(E4704:E$2)*(E4705=E4704:E$2)))))</f>
        <v> </v>
      </c>
      <c r="J4705" s="25" t="str">
        <f>IF(OR(E4705="",E4705="!!!",F4705="NEW"),"",COUNTBLANK(OFFSET(A$1,,,SUMPRODUCT(MAX(ROW(E$2:E4705)*(E4705=E$2:E4705)))))-COUNTBLANK(OFFSET(A$1,,,SUMPRODUCT(MAX(ROW(E$1:E4704)*(E2=E$1:E4704))))))</f>
        <v> </v>
      </c>
      <c r="K4705" s="25" t="str">
        <f>IF(OR(E4705="",E4705="!!!",F4705="NEW"),"",INDEX(J$1:J4704,SUMPRODUCT(MAX(ROW(E$1:E4704)*(E4705=E$1:E4704)))))</f>
        <v> </v>
      </c>
      <c r="L4705" s="26"/>
    </row>
    <row r="4706" spans="1:12">
      <c r="A4706" s="20" t="s">
        <v>2922</v>
      </c>
      <c r="B4706" s="27" t="s">
        <v>1045</v>
      </c>
      <c r="C4706" s="27" t="s">
        <v>1075</v>
      </c>
      <c r="D4706" s="27" t="s">
        <v>1026</v>
      </c>
      <c r="E4706" s="21">
        <f>IF(D4706="?OLD","!!!","")</f>
        <v/>
      </c>
      <c r="F4706" s="22" t="str">
        <f>IF(OR(E4706="",E4706="!!!"),"",IF(NOT(ISNA(VLOOKUP(E4706,E$1:E4705,1,FALSE()))),"OLD",IF(AND(E4706&lt;&gt;"",E4706&lt;&gt;"!!!"),"NEW","")))</f>
        <v> </v>
      </c>
      <c r="G4706" s="23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4" t="str">
        <f>IF(J4706&lt;&gt;1,"",IF(I4706="SBJ","CB","?"))</f>
        <v> </v>
      </c>
      <c r="I4706" s="25" t="str">
        <f>IF(OR(E4706="",E4706="!!!",F4706="NEW"),"",INDEX(B4705:B$2,-1+SUMPRODUCT(MAX(ROW(E4705:E$2)*(E4706=E4705:E$2)))))</f>
        <v> </v>
      </c>
      <c r="J4706" s="25" t="str">
        <f>IF(OR(E4706="",E4706="!!!",F4706="NEW"),"",COUNTBLANK(OFFSET(A$1,,,SUMPRODUCT(MAX(ROW(E$2:E4706)*(E4706=E$2:E4706)))))-COUNTBLANK(OFFSET(A$1,,,SUMPRODUCT(MAX(ROW(E$1:E4705)*(E2=E$1:E4705))))))</f>
        <v> </v>
      </c>
      <c r="K4706" s="25" t="str">
        <f>IF(OR(E4706="",E4706="!!!",F4706="NEW"),"",INDEX(J$1:J4705,SUMPRODUCT(MAX(ROW(E$1:E4705)*(E4706=E$1:E4705)))))</f>
        <v> </v>
      </c>
      <c r="L4706" s="26"/>
    </row>
    <row r="4707" spans="1:12">
      <c r="A4707" s="20" t="s">
        <v>1764</v>
      </c>
      <c r="E4707" s="21">
        <f>IF(D4707="?OLD","!!!","")</f>
        <v/>
      </c>
      <c r="F4707" s="22" t="str">
        <f>IF(OR(E4707="",E4707="!!!"),"",IF(NOT(ISNA(VLOOKUP(E4707,E$1:E4706,1,FALSE()))),"OLD",IF(AND(E4707&lt;&gt;"",E4707&lt;&gt;"!!!"),"NEW","")))</f>
        <v> </v>
      </c>
      <c r="G4707" s="23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4" t="str">
        <f>IF(J4707&lt;&gt;1,"",IF(I4707="SBJ","CB","?"))</f>
        <v> </v>
      </c>
      <c r="I4707" s="25" t="str">
        <f>IF(OR(E4707="",E4707="!!!",F4707="NEW"),"",INDEX(B4706:B$2,-1+SUMPRODUCT(MAX(ROW(E4706:E$2)*(E4707=E4706:E$2)))))</f>
        <v> </v>
      </c>
      <c r="J4707" s="25" t="str">
        <f>IF(OR(E4707="",E4707="!!!",F4707="NEW"),"",COUNTBLANK(OFFSET(A$1,,,SUMPRODUCT(MAX(ROW(E$2:E4707)*(E4707=E$2:E4707)))))-COUNTBLANK(OFFSET(A$1,,,SUMPRODUCT(MAX(ROW(E$1:E4706)*(E2=E$1:E4706))))))</f>
        <v> </v>
      </c>
      <c r="K4707" s="25" t="str">
        <f>IF(OR(E4707="",E4707="!!!",F4707="NEW"),"",INDEX(J$1:J4706,SUMPRODUCT(MAX(ROW(E$1:E4706)*(E4707=E$1:E4706)))))</f>
        <v> </v>
      </c>
      <c r="L4707" s="26"/>
    </row>
    <row r="4708" spans="1:12">
      <c r="A4708" s="20" t="s">
        <v>1079</v>
      </c>
      <c r="B4708" s="27" t="s">
        <v>1084</v>
      </c>
      <c r="C4708" s="27" t="s">
        <v>1036</v>
      </c>
      <c r="D4708" s="27" t="s">
        <v>1026</v>
      </c>
      <c r="E4708" s="21">
        <f>IF(D4708="?OLD","!!!","")</f>
        <v/>
      </c>
      <c r="F4708" s="22" t="str">
        <f>IF(OR(E4708="",E4708="!!!"),"",IF(NOT(ISNA(VLOOKUP(E4708,E$1:E4707,1,FALSE()))),"OLD",IF(AND(E4708&lt;&gt;"",E4708&lt;&gt;"!!!"),"NEW","")))</f>
        <v> </v>
      </c>
      <c r="G4708" s="23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4" t="str">
        <f>IF(J4708&lt;&gt;1,"",IF(I4708="SBJ","CB","?"))</f>
        <v> </v>
      </c>
      <c r="I4708" s="25" t="str">
        <f>IF(OR(E4708="",E4708="!!!",F4708="NEW"),"",INDEX(B4707:B$2,-1+SUMPRODUCT(MAX(ROW(E4707:E$2)*(E4708=E4707:E$2)))))</f>
        <v> </v>
      </c>
      <c r="J4708" s="25" t="str">
        <f>IF(OR(E4708="",E4708="!!!",F4708="NEW"),"",COUNTBLANK(OFFSET(A$1,,,SUMPRODUCT(MAX(ROW(E$2:E4708)*(E4708=E$2:E4708)))))-COUNTBLANK(OFFSET(A$1,,,SUMPRODUCT(MAX(ROW(E$1:E4707)*(E2=E$1:E4707))))))</f>
        <v> </v>
      </c>
      <c r="K4708" s="25" t="str">
        <f>IF(OR(E4708="",E4708="!!!",F4708="NEW"),"",INDEX(J$1:J4707,SUMPRODUCT(MAX(ROW(E$1:E4707)*(E4708=E$1:E4707)))))</f>
        <v> </v>
      </c>
      <c r="L4708" s="26"/>
    </row>
    <row r="4709" spans="1:12">
      <c r="A4709" s="20" t="s">
        <v>1041</v>
      </c>
      <c r="E4709" s="21">
        <f>IF(D4709="?OLD","!!!","")</f>
        <v/>
      </c>
      <c r="F4709" s="22" t="str">
        <f>IF(OR(E4709="",E4709="!!!"),"",IF(NOT(ISNA(VLOOKUP(E4709,E$1:E4708,1,FALSE()))),"OLD",IF(AND(E4709&lt;&gt;"",E4709&lt;&gt;"!!!"),"NEW","")))</f>
        <v> </v>
      </c>
      <c r="G4709" s="23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4" t="str">
        <f>IF(J4709&lt;&gt;1,"",IF(I4709="SBJ","CB","?"))</f>
        <v> </v>
      </c>
      <c r="I4709" s="25" t="str">
        <f>IF(OR(E4709="",E4709="!!!",F4709="NEW"),"",INDEX(B4708:B$2,-1+SUMPRODUCT(MAX(ROW(E4708:E$2)*(E4709=E4708:E$2)))))</f>
        <v> </v>
      </c>
      <c r="J4709" s="25" t="str">
        <f>IF(OR(E4709="",E4709="!!!",F4709="NEW"),"",COUNTBLANK(OFFSET(A$1,,,SUMPRODUCT(MAX(ROW(E$2:E4709)*(E4709=E$2:E4709)))))-COUNTBLANK(OFFSET(A$1,,,SUMPRODUCT(MAX(ROW(E$1:E4708)*(E2=E$1:E4708))))))</f>
        <v> </v>
      </c>
      <c r="K4709" s="25" t="str">
        <f>IF(OR(E4709="",E4709="!!!",F4709="NEW"),"",INDEX(J$1:J4708,SUMPRODUCT(MAX(ROW(E$1:E4708)*(E4709=E$1:E4708)))))</f>
        <v> </v>
      </c>
      <c r="L4709" s="26"/>
    </row>
    <row r="4710" spans="1:12">
      <c r="A4710" s="20" t="s">
        <v>201</v>
      </c>
      <c r="E4710" s="21">
        <f>IF(D4710="?OLD","!!!","")</f>
        <v/>
      </c>
      <c r="F4710" s="22" t="str">
        <f>IF(OR(E4710="",E4710="!!!"),"",IF(NOT(ISNA(VLOOKUP(E4710,E$1:E4709,1,FALSE()))),"OLD",IF(AND(E4710&lt;&gt;"",E4710&lt;&gt;"!!!"),"NEW","")))</f>
        <v> </v>
      </c>
      <c r="G4710" s="23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4" t="str">
        <f>IF(J4710&lt;&gt;1,"",IF(I4710="SBJ","CB","?"))</f>
        <v> </v>
      </c>
      <c r="I4710" s="25" t="str">
        <f>IF(OR(E4710="",E4710="!!!",F4710="NEW"),"",INDEX(B4709:B$2,-1+SUMPRODUCT(MAX(ROW(E4709:E$2)*(E4710=E4709:E$2)))))</f>
        <v> </v>
      </c>
      <c r="J4710" s="25" t="str">
        <f>IF(OR(E4710="",E4710="!!!",F4710="NEW"),"",COUNTBLANK(OFFSET(A$1,,,SUMPRODUCT(MAX(ROW(E$2:E4710)*(E4710=E$2:E4710)))))-COUNTBLANK(OFFSET(A$1,,,SUMPRODUCT(MAX(ROW(E$1:E4709)*(E2=E$1:E4709))))))</f>
        <v> </v>
      </c>
      <c r="K4710" s="25" t="str">
        <f>IF(OR(E4710="",E4710="!!!",F4710="NEW"),"",INDEX(J$1:J4709,SUMPRODUCT(MAX(ROW(E$1:E4709)*(E4710=E$1:E4709)))))</f>
        <v> </v>
      </c>
      <c r="L4710" s="26"/>
    </row>
    <row r="4711" spans="1:12">
      <c r="A4711" s="20" t="s">
        <v>2923</v>
      </c>
      <c r="E4711" s="21">
        <f>IF(D4711="?OLD","!!!","")</f>
        <v/>
      </c>
      <c r="F4711" s="22" t="str">
        <f>IF(OR(E4711="",E4711="!!!"),"",IF(NOT(ISNA(VLOOKUP(E4711,E$1:E4710,1,FALSE()))),"OLD",IF(AND(E4711&lt;&gt;"",E4711&lt;&gt;"!!!"),"NEW","")))</f>
        <v> </v>
      </c>
      <c r="G4711" s="23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4" t="str">
        <f>IF(J4711&lt;&gt;1,"",IF(I4711="SBJ","CB","?"))</f>
        <v> </v>
      </c>
      <c r="I4711" s="25" t="str">
        <f>IF(OR(E4711="",E4711="!!!",F4711="NEW"),"",INDEX(B4710:B$2,-1+SUMPRODUCT(MAX(ROW(E4710:E$2)*(E4711=E4710:E$2)))))</f>
        <v> </v>
      </c>
      <c r="J4711" s="25" t="str">
        <f>IF(OR(E4711="",E4711="!!!",F4711="NEW"),"",COUNTBLANK(OFFSET(A$1,,,SUMPRODUCT(MAX(ROW(E$2:E4711)*(E4711=E$2:E4711)))))-COUNTBLANK(OFFSET(A$1,,,SUMPRODUCT(MAX(ROW(E$1:E4710)*(E2=E$1:E4710))))))</f>
        <v> </v>
      </c>
      <c r="K4711" s="25" t="str">
        <f>IF(OR(E4711="",E4711="!!!",F4711="NEW"),"",INDEX(J$1:J4710,SUMPRODUCT(MAX(ROW(E$1:E4710)*(E4711=E$1:E4710)))))</f>
        <v> </v>
      </c>
      <c r="L4711" s="26"/>
    </row>
    <row r="4712" spans="1:12">
      <c r="A4712" s="20" t="s">
        <v>2924</v>
      </c>
      <c r="B4712" s="27" t="s">
        <v>1225</v>
      </c>
      <c r="C4712" s="27" t="s">
        <v>1036</v>
      </c>
      <c r="E4712" s="21">
        <f>IF(D4712="?OLD","!!!","")</f>
        <v/>
      </c>
      <c r="F4712" s="22" t="str">
        <f>IF(OR(E4712="",E4712="!!!"),"",IF(NOT(ISNA(VLOOKUP(E4712,E$1:E4711,1,FALSE()))),"OLD",IF(AND(E4712&lt;&gt;"",E4712&lt;&gt;"!!!"),"NEW","")))</f>
        <v> </v>
      </c>
      <c r="G4712" s="23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4" t="str">
        <f>IF(J4712&lt;&gt;1,"",IF(I4712="SBJ","CB","?"))</f>
        <v> </v>
      </c>
      <c r="I4712" s="25" t="str">
        <f>IF(OR(E4712="",E4712="!!!",F4712="NEW"),"",INDEX(B4711:B$2,-1+SUMPRODUCT(MAX(ROW(E4711:E$2)*(E4712=E4711:E$2)))))</f>
        <v> </v>
      </c>
      <c r="J4712" s="25" t="str">
        <f>IF(OR(E4712="",E4712="!!!",F4712="NEW"),"",COUNTBLANK(OFFSET(A$1,,,SUMPRODUCT(MAX(ROW(E$2:E4712)*(E4712=E$2:E4712)))))-COUNTBLANK(OFFSET(A$1,,,SUMPRODUCT(MAX(ROW(E$1:E4711)*(E2=E$1:E4711))))))</f>
        <v> </v>
      </c>
      <c r="K4712" s="25" t="str">
        <f>IF(OR(E4712="",E4712="!!!",F4712="NEW"),"",INDEX(J$1:J4711,SUMPRODUCT(MAX(ROW(E$1:E4711)*(E4712=E$1:E4711)))))</f>
        <v> </v>
      </c>
      <c r="L4712" s="26"/>
    </row>
    <row r="4713" spans="1:12">
      <c r="A4713" s="20" t="s">
        <v>1099</v>
      </c>
      <c r="E4713" s="21">
        <f>IF(D4713="?OLD","!!!","")</f>
        <v/>
      </c>
      <c r="F4713" s="22" t="str">
        <f>IF(OR(E4713="",E4713="!!!"),"",IF(NOT(ISNA(VLOOKUP(E4713,E$1:E4712,1,FALSE()))),"OLD",IF(AND(E4713&lt;&gt;"",E4713&lt;&gt;"!!!"),"NEW","")))</f>
        <v> </v>
      </c>
      <c r="G4713" s="23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4" t="str">
        <f>IF(J4713&lt;&gt;1,"",IF(I4713="SBJ","CB","?"))</f>
        <v> </v>
      </c>
      <c r="I4713" s="25" t="str">
        <f>IF(OR(E4713="",E4713="!!!",F4713="NEW"),"",INDEX(B4712:B$2,-1+SUMPRODUCT(MAX(ROW(E4712:E$2)*(E4713=E4712:E$2)))))</f>
        <v> </v>
      </c>
      <c r="J4713" s="25" t="str">
        <f>IF(OR(E4713="",E4713="!!!",F4713="NEW"),"",COUNTBLANK(OFFSET(A$1,,,SUMPRODUCT(MAX(ROW(E$2:E4713)*(E4713=E$2:E4713)))))-COUNTBLANK(OFFSET(A$1,,,SUMPRODUCT(MAX(ROW(E$1:E4712)*(E2=E$1:E4712))))))</f>
        <v> </v>
      </c>
      <c r="K4713" s="25" t="str">
        <f>IF(OR(E4713="",E4713="!!!",F4713="NEW"),"",INDEX(J$1:J4712,SUMPRODUCT(MAX(ROW(E$1:E4712)*(E4713=E$1:E4712)))))</f>
        <v> </v>
      </c>
      <c r="L4713" s="26"/>
    </row>
    <row r="4714" spans="1:12">
      <c r="A4714" s="20" t="s">
        <v>2925</v>
      </c>
      <c r="E4714" s="21">
        <f>IF(D4714="?OLD","!!!","")</f>
        <v/>
      </c>
      <c r="F4714" s="22" t="str">
        <f>IF(OR(E4714="",E4714="!!!"),"",IF(NOT(ISNA(VLOOKUP(E4714,E$1:E4713,1,FALSE()))),"OLD",IF(AND(E4714&lt;&gt;"",E4714&lt;&gt;"!!!"),"NEW","")))</f>
        <v> </v>
      </c>
      <c r="G4714" s="23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4" t="str">
        <f>IF(J4714&lt;&gt;1,"",IF(I4714="SBJ","CB","?"))</f>
        <v> </v>
      </c>
      <c r="I4714" s="25" t="str">
        <f>IF(OR(E4714="",E4714="!!!",F4714="NEW"),"",INDEX(B4713:B$2,-1+SUMPRODUCT(MAX(ROW(E4713:E$2)*(E4714=E4713:E$2)))))</f>
        <v> </v>
      </c>
      <c r="J4714" s="25" t="str">
        <f>IF(OR(E4714="",E4714="!!!",F4714="NEW"),"",COUNTBLANK(OFFSET(A$1,,,SUMPRODUCT(MAX(ROW(E$2:E4714)*(E4714=E$2:E4714)))))-COUNTBLANK(OFFSET(A$1,,,SUMPRODUCT(MAX(ROW(E$1:E4713)*(E2=E$1:E4713))))))</f>
        <v> </v>
      </c>
      <c r="K4714" s="25" t="str">
        <f>IF(OR(E4714="",E4714="!!!",F4714="NEW"),"",INDEX(J$1:J4713,SUMPRODUCT(MAX(ROW(E$1:E4713)*(E4714=E$1:E4713)))))</f>
        <v> </v>
      </c>
      <c r="L4714" s="26"/>
    </row>
    <row r="4715" spans="1:12">
      <c r="A4715" s="20" t="s">
        <v>1855</v>
      </c>
      <c r="E4715" s="21">
        <f>IF(D4715="?OLD","!!!","")</f>
        <v/>
      </c>
      <c r="F4715" s="22" t="str">
        <f>IF(OR(E4715="",E4715="!!!"),"",IF(NOT(ISNA(VLOOKUP(E4715,E$1:E4714,1,FALSE()))),"OLD",IF(AND(E4715&lt;&gt;"",E4715&lt;&gt;"!!!"),"NEW","")))</f>
        <v> </v>
      </c>
      <c r="G4715" s="23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4" t="str">
        <f>IF(J4715&lt;&gt;1,"",IF(I4715="SBJ","CB","?"))</f>
        <v> </v>
      </c>
      <c r="I4715" s="25" t="str">
        <f>IF(OR(E4715="",E4715="!!!",F4715="NEW"),"",INDEX(B4714:B$2,-1+SUMPRODUCT(MAX(ROW(E4714:E$2)*(E4715=E4714:E$2)))))</f>
        <v> </v>
      </c>
      <c r="J4715" s="25" t="str">
        <f>IF(OR(E4715="",E4715="!!!",F4715="NEW"),"",COUNTBLANK(OFFSET(A$1,,,SUMPRODUCT(MAX(ROW(E$2:E4715)*(E4715=E$2:E4715)))))-COUNTBLANK(OFFSET(A$1,,,SUMPRODUCT(MAX(ROW(E$1:E4714)*(E2=E$1:E4714))))))</f>
        <v> </v>
      </c>
      <c r="K4715" s="25" t="str">
        <f>IF(OR(E4715="",E4715="!!!",F4715="NEW"),"",INDEX(J$1:J4714,SUMPRODUCT(MAX(ROW(E$1:E4714)*(E4715=E$1:E4714)))))</f>
        <v> </v>
      </c>
      <c r="L4715" s="26"/>
    </row>
    <row r="4716" spans="1:12">
      <c r="A4716" s="20" t="s">
        <v>1122</v>
      </c>
      <c r="E4716" s="21">
        <f>IF(D4716="?OLD","!!!","")</f>
        <v/>
      </c>
      <c r="F4716" s="22" t="str">
        <f>IF(OR(E4716="",E4716="!!!"),"",IF(NOT(ISNA(VLOOKUP(E4716,E$1:E4715,1,FALSE()))),"OLD",IF(AND(E4716&lt;&gt;"",E4716&lt;&gt;"!!!"),"NEW","")))</f>
        <v> </v>
      </c>
      <c r="G4716" s="23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4" t="str">
        <f>IF(J4716&lt;&gt;1,"",IF(I4716="SBJ","CB","?"))</f>
        <v> </v>
      </c>
      <c r="I4716" s="25" t="str">
        <f>IF(OR(E4716="",E4716="!!!",F4716="NEW"),"",INDEX(B4715:B$2,-1+SUMPRODUCT(MAX(ROW(E4715:E$2)*(E4716=E4715:E$2)))))</f>
        <v> </v>
      </c>
      <c r="J4716" s="25" t="str">
        <f>IF(OR(E4716="",E4716="!!!",F4716="NEW"),"",COUNTBLANK(OFFSET(A$1,,,SUMPRODUCT(MAX(ROW(E$2:E4716)*(E4716=E$2:E4716)))))-COUNTBLANK(OFFSET(A$1,,,SUMPRODUCT(MAX(ROW(E$1:E4715)*(E2=E$1:E4715))))))</f>
        <v> </v>
      </c>
      <c r="K4716" s="25" t="str">
        <f>IF(OR(E4716="",E4716="!!!",F4716="NEW"),"",INDEX(J$1:J4715,SUMPRODUCT(MAX(ROW(E$1:E4715)*(E4716=E$1:E4715)))))</f>
        <v> </v>
      </c>
      <c r="L4716" s="26"/>
    </row>
    <row r="4717" spans="1:12">
      <c r="A4717" s="20" t="s">
        <v>1221</v>
      </c>
      <c r="B4717" s="27" t="s">
        <v>1397</v>
      </c>
      <c r="C4717" s="27" t="s">
        <v>1075</v>
      </c>
      <c r="D4717" s="27" t="s">
        <v>1026</v>
      </c>
      <c r="E4717" s="21">
        <f>IF(D4717="?OLD","!!!","")</f>
        <v/>
      </c>
      <c r="F4717" s="22" t="str">
        <f>IF(OR(E4717="",E4717="!!!"),"",IF(NOT(ISNA(VLOOKUP(E4717,E$1:E4716,1,FALSE()))),"OLD",IF(AND(E4717&lt;&gt;"",E4717&lt;&gt;"!!!"),"NEW","")))</f>
        <v> </v>
      </c>
      <c r="G4717" s="23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4" t="str">
        <f>IF(J4717&lt;&gt;1,"",IF(I4717="SBJ","CB","?"))</f>
        <v> </v>
      </c>
      <c r="I4717" s="25" t="str">
        <f>IF(OR(E4717="",E4717="!!!",F4717="NEW"),"",INDEX(B4716:B$2,-1+SUMPRODUCT(MAX(ROW(E4716:E$2)*(E4717=E4716:E$2)))))</f>
        <v> </v>
      </c>
      <c r="J4717" s="25" t="str">
        <f>IF(OR(E4717="",E4717="!!!",F4717="NEW"),"",COUNTBLANK(OFFSET(A$1,,,SUMPRODUCT(MAX(ROW(E$2:E4717)*(E4717=E$2:E4717)))))-COUNTBLANK(OFFSET(A$1,,,SUMPRODUCT(MAX(ROW(E$1:E4716)*(E2=E$1:E4716))))))</f>
        <v> </v>
      </c>
      <c r="K4717" s="25" t="str">
        <f>IF(OR(E4717="",E4717="!!!",F4717="NEW"),"",INDEX(J$1:J4716,SUMPRODUCT(MAX(ROW(E$1:E4716)*(E4717=E$1:E4716)))))</f>
        <v> </v>
      </c>
      <c r="L4717" s="26"/>
    </row>
    <row r="4718" spans="1:12">
      <c r="A4718" s="20" t="s">
        <v>2926</v>
      </c>
      <c r="E4718" s="21">
        <f>IF(D4718="?OLD","!!!","")</f>
        <v/>
      </c>
      <c r="F4718" s="22" t="str">
        <f>IF(OR(E4718="",E4718="!!!"),"",IF(NOT(ISNA(VLOOKUP(E4718,E$1:E4717,1,FALSE()))),"OLD",IF(AND(E4718&lt;&gt;"",E4718&lt;&gt;"!!!"),"NEW","")))</f>
        <v> </v>
      </c>
      <c r="G4718" s="23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4" t="str">
        <f>IF(J4718&lt;&gt;1,"",IF(I4718="SBJ","CB","?"))</f>
        <v> </v>
      </c>
      <c r="I4718" s="25" t="str">
        <f>IF(OR(E4718="",E4718="!!!",F4718="NEW"),"",INDEX(B4717:B$2,-1+SUMPRODUCT(MAX(ROW(E4717:E$2)*(E4718=E4717:E$2)))))</f>
        <v> </v>
      </c>
      <c r="J4718" s="25" t="str">
        <f>IF(OR(E4718="",E4718="!!!",F4718="NEW"),"",COUNTBLANK(OFFSET(A$1,,,SUMPRODUCT(MAX(ROW(E$2:E4718)*(E4718=E$2:E4718)))))-COUNTBLANK(OFFSET(A$1,,,SUMPRODUCT(MAX(ROW(E$1:E4717)*(E2=E$1:E4717))))))</f>
        <v> </v>
      </c>
      <c r="K4718" s="25" t="str">
        <f>IF(OR(E4718="",E4718="!!!",F4718="NEW"),"",INDEX(J$1:J4717,SUMPRODUCT(MAX(ROW(E$1:E4717)*(E4718=E$1:E4717)))))</f>
        <v> </v>
      </c>
      <c r="L4718" s="26"/>
    </row>
    <row r="4719" spans="1:12">
      <c r="A4719" s="20" t="s">
        <v>2927</v>
      </c>
      <c r="B4719" s="27" t="s">
        <v>1225</v>
      </c>
      <c r="E4719" s="21">
        <f>IF(D4719="?OLD","!!!","")</f>
        <v/>
      </c>
      <c r="F4719" s="22" t="str">
        <f>IF(OR(E4719="",E4719="!!!"),"",IF(NOT(ISNA(VLOOKUP(E4719,E$1:E4718,1,FALSE()))),"OLD",IF(AND(E4719&lt;&gt;"",E4719&lt;&gt;"!!!"),"NEW","")))</f>
        <v> </v>
      </c>
      <c r="G4719" s="23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4" t="str">
        <f>IF(J4719&lt;&gt;1,"",IF(I4719="SBJ","CB","?"))</f>
        <v> </v>
      </c>
      <c r="I4719" s="25" t="str">
        <f>IF(OR(E4719="",E4719="!!!",F4719="NEW"),"",INDEX(B4718:B$2,-1+SUMPRODUCT(MAX(ROW(E4718:E$2)*(E4719=E4718:E$2)))))</f>
        <v> </v>
      </c>
      <c r="J4719" s="25" t="str">
        <f>IF(OR(E4719="",E4719="!!!",F4719="NEW"),"",COUNTBLANK(OFFSET(A$1,,,SUMPRODUCT(MAX(ROW(E$2:E4719)*(E4719=E$2:E4719)))))-COUNTBLANK(OFFSET(A$1,,,SUMPRODUCT(MAX(ROW(E$1:E4718)*(E2=E$1:E4718))))))</f>
        <v> </v>
      </c>
      <c r="K4719" s="25" t="str">
        <f>IF(OR(E4719="",E4719="!!!",F4719="NEW"),"",INDEX(J$1:J4718,SUMPRODUCT(MAX(ROW(E$1:E4718)*(E4719=E$1:E4718)))))</f>
        <v> </v>
      </c>
      <c r="L4719" s="26"/>
    </row>
    <row r="4720" spans="1:12">
      <c r="A4720" s="20" t="s">
        <v>1390</v>
      </c>
      <c r="E4720" s="21">
        <f>IF(D4720="?OLD","!!!","")</f>
        <v/>
      </c>
      <c r="F4720" s="22" t="str">
        <f>IF(OR(E4720="",E4720="!!!"),"",IF(NOT(ISNA(VLOOKUP(E4720,E$1:E4719,1,FALSE()))),"OLD",IF(AND(E4720&lt;&gt;"",E4720&lt;&gt;"!!!"),"NEW","")))</f>
        <v> </v>
      </c>
      <c r="G4720" s="23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4" t="str">
        <f>IF(J4720&lt;&gt;1,"",IF(I4720="SBJ","CB","?"))</f>
        <v> </v>
      </c>
      <c r="I4720" s="25" t="str">
        <f>IF(OR(E4720="",E4720="!!!",F4720="NEW"),"",INDEX(B4719:B$2,-1+SUMPRODUCT(MAX(ROW(E4719:E$2)*(E4720=E4719:E$2)))))</f>
        <v> </v>
      </c>
      <c r="J4720" s="25" t="str">
        <f>IF(OR(E4720="",E4720="!!!",F4720="NEW"),"",COUNTBLANK(OFFSET(A$1,,,SUMPRODUCT(MAX(ROW(E$2:E4720)*(E4720=E$2:E4720)))))-COUNTBLANK(OFFSET(A$1,,,SUMPRODUCT(MAX(ROW(E$1:E4719)*(E2=E$1:E4719))))))</f>
        <v> </v>
      </c>
      <c r="K4720" s="25" t="str">
        <f>IF(OR(E4720="",E4720="!!!",F4720="NEW"),"",INDEX(J$1:J4719,SUMPRODUCT(MAX(ROW(E$1:E4719)*(E4720=E$1:E4719)))))</f>
        <v> </v>
      </c>
      <c r="L4720" s="26"/>
    </row>
    <row r="4721" spans="1:12">
      <c r="A4721" s="20" t="s">
        <v>1844</v>
      </c>
      <c r="E4721" s="21">
        <f>IF(D4721="?OLD","!!!","")</f>
        <v/>
      </c>
      <c r="F4721" s="22" t="str">
        <f>IF(OR(E4721="",E4721="!!!"),"",IF(NOT(ISNA(VLOOKUP(E4721,E$1:E4720,1,FALSE()))),"OLD",IF(AND(E4721&lt;&gt;"",E4721&lt;&gt;"!!!"),"NEW","")))</f>
        <v> </v>
      </c>
      <c r="G4721" s="23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4" t="str">
        <f>IF(J4721&lt;&gt;1,"",IF(I4721="SBJ","CB","?"))</f>
        <v> </v>
      </c>
      <c r="I4721" s="25" t="str">
        <f>IF(OR(E4721="",E4721="!!!",F4721="NEW"),"",INDEX(B4720:B$2,-1+SUMPRODUCT(MAX(ROW(E4720:E$2)*(E4721=E4720:E$2)))))</f>
        <v> </v>
      </c>
      <c r="J4721" s="25" t="str">
        <f>IF(OR(E4721="",E4721="!!!",F4721="NEW"),"",COUNTBLANK(OFFSET(A$1,,,SUMPRODUCT(MAX(ROW(E$2:E4721)*(E4721=E$2:E4721)))))-COUNTBLANK(OFFSET(A$1,,,SUMPRODUCT(MAX(ROW(E$1:E4720)*(E2=E$1:E4720))))))</f>
        <v> </v>
      </c>
      <c r="K4721" s="25" t="str">
        <f>IF(OR(E4721="",E4721="!!!",F4721="NEW"),"",INDEX(J$1:J4720,SUMPRODUCT(MAX(ROW(E$1:E4720)*(E4721=E$1:E4720)))))</f>
        <v> </v>
      </c>
      <c r="L4721" s="26"/>
    </row>
    <row r="4722" spans="1:12">
      <c r="A4722" s="20" t="s">
        <v>2928</v>
      </c>
      <c r="E4722" s="21">
        <f>IF(D4722="?OLD","!!!","")</f>
        <v/>
      </c>
      <c r="F4722" s="22" t="str">
        <f>IF(OR(E4722="",E4722="!!!"),"",IF(NOT(ISNA(VLOOKUP(E4722,E$1:E4721,1,FALSE()))),"OLD",IF(AND(E4722&lt;&gt;"",E4722&lt;&gt;"!!!"),"NEW","")))</f>
        <v> </v>
      </c>
      <c r="G4722" s="23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4" t="str">
        <f>IF(J4722&lt;&gt;1,"",IF(I4722="SBJ","CB","?"))</f>
        <v> </v>
      </c>
      <c r="I4722" s="25" t="str">
        <f>IF(OR(E4722="",E4722="!!!",F4722="NEW"),"",INDEX(B4721:B$2,-1+SUMPRODUCT(MAX(ROW(E4721:E$2)*(E4722=E4721:E$2)))))</f>
        <v> </v>
      </c>
      <c r="J4722" s="25" t="str">
        <f>IF(OR(E4722="",E4722="!!!",F4722="NEW"),"",COUNTBLANK(OFFSET(A$1,,,SUMPRODUCT(MAX(ROW(E$2:E4722)*(E4722=E$2:E4722)))))-COUNTBLANK(OFFSET(A$1,,,SUMPRODUCT(MAX(ROW(E$1:E4721)*(E2=E$1:E4721))))))</f>
        <v> </v>
      </c>
      <c r="K4722" s="25" t="str">
        <f>IF(OR(E4722="",E4722="!!!",F4722="NEW"),"",INDEX(J$1:J4721,SUMPRODUCT(MAX(ROW(E$1:E4721)*(E4722=E$1:E4721)))))</f>
        <v> </v>
      </c>
      <c r="L4722" s="26"/>
    </row>
    <row r="4723" spans="1:12">
      <c r="A4723" s="20" t="s">
        <v>1041</v>
      </c>
      <c r="E4723" s="21">
        <f>IF(D4723="?OLD","!!!","")</f>
        <v/>
      </c>
      <c r="F4723" s="22" t="str">
        <f>IF(OR(E4723="",E4723="!!!"),"",IF(NOT(ISNA(VLOOKUP(E4723,E$1:E4722,1,FALSE()))),"OLD",IF(AND(E4723&lt;&gt;"",E4723&lt;&gt;"!!!"),"NEW","")))</f>
        <v> </v>
      </c>
      <c r="G4723" s="23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4" t="str">
        <f>IF(J4723&lt;&gt;1,"",IF(I4723="SBJ","CB","?"))</f>
        <v> </v>
      </c>
      <c r="I4723" s="25" t="str">
        <f>IF(OR(E4723="",E4723="!!!",F4723="NEW"),"",INDEX(B4722:B$2,-1+SUMPRODUCT(MAX(ROW(E4722:E$2)*(E4723=E4722:E$2)))))</f>
        <v> </v>
      </c>
      <c r="J4723" s="25" t="str">
        <f>IF(OR(E4723="",E4723="!!!",F4723="NEW"),"",COUNTBLANK(OFFSET(A$1,,,SUMPRODUCT(MAX(ROW(E$2:E4723)*(E4723=E$2:E4723)))))-COUNTBLANK(OFFSET(A$1,,,SUMPRODUCT(MAX(ROW(E$1:E4722)*(E2=E$1:E4722))))))</f>
        <v> </v>
      </c>
      <c r="K4723" s="25" t="str">
        <f>IF(OR(E4723="",E4723="!!!",F4723="NEW"),"",INDEX(J$1:J4722,SUMPRODUCT(MAX(ROW(E$1:E4722)*(E4723=E$1:E4722)))))</f>
        <v> </v>
      </c>
      <c r="L4723" s="26"/>
    </row>
    <row r="4724" spans="1:12">
      <c r="A4724" s="20" t="s">
        <v>2929</v>
      </c>
      <c r="E4724" s="21">
        <f>IF(D4724="?OLD","!!!","")</f>
        <v/>
      </c>
      <c r="F4724" s="22" t="str">
        <f>IF(OR(E4724="",E4724="!!!"),"",IF(NOT(ISNA(VLOOKUP(E4724,E$1:E4723,1,FALSE()))),"OLD",IF(AND(E4724&lt;&gt;"",E4724&lt;&gt;"!!!"),"NEW","")))</f>
        <v> </v>
      </c>
      <c r="G4724" s="23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4" t="str">
        <f>IF(J4724&lt;&gt;1,"",IF(I4724="SBJ","CB","?"))</f>
        <v> </v>
      </c>
      <c r="I4724" s="25" t="str">
        <f>IF(OR(E4724="",E4724="!!!",F4724="NEW"),"",INDEX(B4723:B$2,-1+SUMPRODUCT(MAX(ROW(E4723:E$2)*(E4724=E4723:E$2)))))</f>
        <v> </v>
      </c>
      <c r="J4724" s="25" t="str">
        <f>IF(OR(E4724="",E4724="!!!",F4724="NEW"),"",COUNTBLANK(OFFSET(A$1,,,SUMPRODUCT(MAX(ROW(E$2:E4724)*(E4724=E$2:E4724)))))-COUNTBLANK(OFFSET(A$1,,,SUMPRODUCT(MAX(ROW(E$1:E4723)*(E2=E$1:E4723))))))</f>
        <v> </v>
      </c>
      <c r="K4724" s="25" t="str">
        <f>IF(OR(E4724="",E4724="!!!",F4724="NEW"),"",INDEX(J$1:J4723,SUMPRODUCT(MAX(ROW(E$1:E4723)*(E4724=E$1:E4723)))))</f>
        <v> </v>
      </c>
      <c r="L4724" s="26"/>
    </row>
    <row r="4725" spans="1:12">
      <c r="A4725" s="20" t="s">
        <v>1122</v>
      </c>
      <c r="E4725" s="21">
        <f>IF(D4725="?OLD","!!!","")</f>
        <v/>
      </c>
      <c r="F4725" s="22" t="str">
        <f>IF(OR(E4725="",E4725="!!!"),"",IF(NOT(ISNA(VLOOKUP(E4725,E$1:E4724,1,FALSE()))),"OLD",IF(AND(E4725&lt;&gt;"",E4725&lt;&gt;"!!!"),"NEW","")))</f>
        <v> </v>
      </c>
      <c r="G4725" s="23" t="str">
        <f>IF(OR(E4725="",E4725="!!!"),"",IF(OR(J4725=0,AND(J4725=1,K4725=1),AND(J4725=1,I4725="SBJ"),AND(J4725=1,I4725=0)),"?IN_FOCUS",IF(J4725&lt;=2,"?ACTIVATED",IF(J4725&lt;&gt;"","?FAMILIAR",IF(F4725="NEW",IF(ISNA(VLOOKUP(E4725,#REF!,1,FALSE())),"?TYPE_IDENTIFIABLE","?REFERENTIAL"),"_")))))</f>
        <v> </v>
      </c>
      <c r="H4725" s="24" t="str">
        <f>IF(J4725&lt;&gt;1,"",IF(I4725="SBJ","CB","?"))</f>
        <v> </v>
      </c>
      <c r="I4725" s="25" t="str">
        <f>IF(OR(E4725="",E4725="!!!",F4725="NEW"),"",INDEX(B4724:B$2,-1+SUMPRODUCT(MAX(ROW(E4724:E$2)*(E4725=E4724:E$2)))))</f>
        <v> </v>
      </c>
      <c r="J4725" s="25" t="str">
        <f>IF(OR(E4725="",E4725="!!!",F4725="NEW"),"",COUNTBLANK(OFFSET(A$1,,,SUMPRODUCT(MAX(ROW(E$2:E4725)*(E4725=E$2:E4725)))))-COUNTBLANK(OFFSET(A$1,,,SUMPRODUCT(MAX(ROW(E$1:E4724)*(E2=E$1:E4724))))))</f>
        <v> </v>
      </c>
      <c r="K4725" s="25" t="str">
        <f>IF(OR(E4725="",E4725="!!!",F4725="NEW"),"",INDEX(J$1:J4724,SUMPRODUCT(MAX(ROW(E$1:E4724)*(E4725=E$1:E4724)))))</f>
        <v> </v>
      </c>
      <c r="L4725" s="26"/>
    </row>
    <row r="4726" spans="1:12">
      <c r="A4726" s="20" t="s">
        <v>2930</v>
      </c>
      <c r="E4726" s="21">
        <f>IF(D4726="?OLD","!!!","")</f>
        <v/>
      </c>
      <c r="F4726" s="22" t="str">
        <f>IF(OR(E4726="",E4726="!!!"),"",IF(NOT(ISNA(VLOOKUP(E4726,E$1:E4725,1,FALSE()))),"OLD",IF(AND(E4726&lt;&gt;"",E4726&lt;&gt;"!!!"),"NEW","")))</f>
        <v> </v>
      </c>
      <c r="G4726" s="23" t="str">
        <f>IF(OR(E4726="",E4726="!!!"),"",IF(OR(J4726=0,AND(J4726=1,K4726=1),AND(J4726=1,I4726="SBJ"),AND(J4726=1,I4726=0)),"?IN_FOCUS",IF(J4726&lt;=2,"?ACTIVATED",IF(J4726&lt;&gt;"","?FAMILIAR",IF(F4726="NEW",IF(ISNA(VLOOKUP(E4726,#REF!,1,FALSE())),"?TYPE_IDENTIFIABLE","?REFERENTIAL"),"_")))))</f>
        <v> </v>
      </c>
      <c r="H4726" s="24" t="str">
        <f>IF(J4726&lt;&gt;1,"",IF(I4726="SBJ","CB","?"))</f>
        <v> </v>
      </c>
      <c r="I4726" s="25" t="str">
        <f>IF(OR(E4726="",E4726="!!!",F4726="NEW"),"",INDEX(B4725:B$2,-1+SUMPRODUCT(MAX(ROW(E4725:E$2)*(E4726=E4725:E$2)))))</f>
        <v> </v>
      </c>
      <c r="J4726" s="25" t="str">
        <f>IF(OR(E4726="",E4726="!!!",F4726="NEW"),"",COUNTBLANK(OFFSET(A$1,,,SUMPRODUCT(MAX(ROW(E$2:E4726)*(E4726=E$2:E4726)))))-COUNTBLANK(OFFSET(A$1,,,SUMPRODUCT(MAX(ROW(E$1:E4725)*(E2=E$1:E4725))))))</f>
        <v> </v>
      </c>
      <c r="K4726" s="25" t="str">
        <f>IF(OR(E4726="",E4726="!!!",F4726="NEW"),"",INDEX(J$1:J4725,SUMPRODUCT(MAX(ROW(E$1:E4725)*(E4726=E$1:E4725)))))</f>
        <v> </v>
      </c>
      <c r="L4726" s="26"/>
    </row>
    <row r="4727" spans="1:12">
      <c r="A4727" s="20" t="s">
        <v>1491</v>
      </c>
      <c r="E4727" s="21">
        <f>IF(D4727="?OLD","!!!","")</f>
        <v/>
      </c>
      <c r="F4727" s="22" t="str">
        <f>IF(OR(E4727="",E4727="!!!"),"",IF(NOT(ISNA(VLOOKUP(E4727,E$1:E4726,1,FALSE()))),"OLD",IF(AND(E4727&lt;&gt;"",E4727&lt;&gt;"!!!"),"NEW","")))</f>
        <v> </v>
      </c>
      <c r="G4727" s="23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4" t="str">
        <f>IF(J4727&lt;&gt;1,"",IF(I4727="SBJ","CB","?"))</f>
        <v> </v>
      </c>
      <c r="I4727" s="25" t="str">
        <f>IF(OR(E4727="",E4727="!!!",F4727="NEW"),"",INDEX(B4726:B$2,-1+SUMPRODUCT(MAX(ROW(E4726:E$2)*(E4727=E4726:E$2)))))</f>
        <v> </v>
      </c>
      <c r="J4727" s="25" t="str">
        <f>IF(OR(E4727="",E4727="!!!",F4727="NEW"),"",COUNTBLANK(OFFSET(A$1,,,SUMPRODUCT(MAX(ROW(E$2:E4727)*(E4727=E$2:E4727)))))-COUNTBLANK(OFFSET(A$1,,,SUMPRODUCT(MAX(ROW(E$1:E4726)*(E2=E$1:E4726))))))</f>
        <v> </v>
      </c>
      <c r="K4727" s="25" t="str">
        <f>IF(OR(E4727="",E4727="!!!",F4727="NEW"),"",INDEX(J$1:J4726,SUMPRODUCT(MAX(ROW(E$1:E4726)*(E4727=E$1:E4726)))))</f>
        <v> </v>
      </c>
      <c r="L4727" s="26"/>
    </row>
    <row r="4728" spans="1:12">
      <c r="A4728" s="20" t="s">
        <v>1041</v>
      </c>
      <c r="E4728" s="21">
        <f>IF(D4728="?OLD","!!!","")</f>
        <v/>
      </c>
      <c r="F4728" s="22" t="str">
        <f>IF(OR(E4728="",E4728="!!!"),"",IF(NOT(ISNA(VLOOKUP(E4728,E$1:E4727,1,FALSE()))),"OLD",IF(AND(E4728&lt;&gt;"",E4728&lt;&gt;"!!!"),"NEW","")))</f>
        <v> </v>
      </c>
      <c r="G4728" s="23" t="str">
        <f>IF(OR(E4728="",E4728="!!!"),"",IF(OR(J4728=0,AND(J4728=1,K4728=1),AND(J4728=1,I4728="SBJ"),AND(J4728=1,I4728=0)),"?IN_FOCUS",IF(J4728&lt;=2,"?ACTIVATED",IF(J4728&lt;&gt;"","?FAMILIAR",IF(F4728="NEW",IF(ISNA(VLOOKUP(E4728,#REF!,1,FALSE())),"?TYPE_IDENTIFIABLE","?REFERENTIAL"),"_")))))</f>
        <v> </v>
      </c>
      <c r="H4728" s="24" t="str">
        <f>IF(J4728&lt;&gt;1,"",IF(I4728="SBJ","CB","?"))</f>
        <v> </v>
      </c>
      <c r="I4728" s="25" t="str">
        <f>IF(OR(E4728="",E4728="!!!",F4728="NEW"),"",INDEX(B4727:B$2,-1+SUMPRODUCT(MAX(ROW(E4727:E$2)*(E4728=E4727:E$2)))))</f>
        <v> </v>
      </c>
      <c r="J4728" s="25" t="str">
        <f>IF(OR(E4728="",E4728="!!!",F4728="NEW"),"",COUNTBLANK(OFFSET(A$1,,,SUMPRODUCT(MAX(ROW(E$2:E4728)*(E4728=E$2:E4728)))))-COUNTBLANK(OFFSET(A$1,,,SUMPRODUCT(MAX(ROW(E$1:E4727)*(E2=E$1:E4727))))))</f>
        <v> </v>
      </c>
      <c r="K4728" s="25" t="str">
        <f>IF(OR(E4728="",E4728="!!!",F4728="NEW"),"",INDEX(J$1:J4727,SUMPRODUCT(MAX(ROW(E$1:E4727)*(E4728=E$1:E4727)))))</f>
        <v> </v>
      </c>
      <c r="L4728" s="26"/>
    </row>
    <row r="4729" spans="1:12">
      <c r="A4729" s="20" t="s">
        <v>2931</v>
      </c>
      <c r="E4729" s="21">
        <f>IF(D4729="?OLD","!!!","")</f>
        <v/>
      </c>
      <c r="F4729" s="22" t="str">
        <f>IF(OR(E4729="",E4729="!!!"),"",IF(NOT(ISNA(VLOOKUP(E4729,E$1:E4728,1,FALSE()))),"OLD",IF(AND(E4729&lt;&gt;"",E4729&lt;&gt;"!!!"),"NEW","")))</f>
        <v> </v>
      </c>
      <c r="G4729" s="23" t="str">
        <f>IF(OR(E4729="",E4729="!!!"),"",IF(OR(J4729=0,AND(J4729=1,K4729=1),AND(J4729=1,I4729="SBJ"),AND(J4729=1,I4729=0)),"?IN_FOCUS",IF(J4729&lt;=2,"?ACTIVATED",IF(J4729&lt;&gt;"","?FAMILIAR",IF(F4729="NEW",IF(ISNA(VLOOKUP(E4729,#REF!,1,FALSE())),"?TYPE_IDENTIFIABLE","?REFERENTIAL"),"_")))))</f>
        <v> </v>
      </c>
      <c r="H4729" s="24" t="str">
        <f>IF(J4729&lt;&gt;1,"",IF(I4729="SBJ","CB","?"))</f>
        <v> </v>
      </c>
      <c r="I4729" s="25" t="str">
        <f>IF(OR(E4729="",E4729="!!!",F4729="NEW"),"",INDEX(B4728:B$2,-1+SUMPRODUCT(MAX(ROW(E4728:E$2)*(E4729=E4728:E$2)))))</f>
        <v> </v>
      </c>
      <c r="J4729" s="25" t="str">
        <f>IF(OR(E4729="",E4729="!!!",F4729="NEW"),"",COUNTBLANK(OFFSET(A$1,,,SUMPRODUCT(MAX(ROW(E$2:E4729)*(E4729=E$2:E4729)))))-COUNTBLANK(OFFSET(A$1,,,SUMPRODUCT(MAX(ROW(E$1:E4728)*(E2=E$1:E4728))))))</f>
        <v> </v>
      </c>
      <c r="K4729" s="25" t="str">
        <f>IF(OR(E4729="",E4729="!!!",F4729="NEW"),"",INDEX(J$1:J4728,SUMPRODUCT(MAX(ROW(E$1:E4728)*(E4729=E$1:E4728)))))</f>
        <v> </v>
      </c>
      <c r="L4729" s="26"/>
    </row>
    <row r="4730" spans="1:12">
      <c r="A4730" s="20" t="s">
        <v>1030</v>
      </c>
      <c r="E4730" s="21">
        <f>IF(D4730="?OLD","!!!","")</f>
        <v/>
      </c>
      <c r="F4730" s="22" t="str">
        <f>IF(OR(E4730="",E4730="!!!"),"",IF(NOT(ISNA(VLOOKUP(E4730,E$1:E4729,1,FALSE()))),"OLD",IF(AND(E4730&lt;&gt;"",E4730&lt;&gt;"!!!"),"NEW","")))</f>
        <v> </v>
      </c>
      <c r="G4730" s="23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4" t="str">
        <f>IF(J4730&lt;&gt;1,"",IF(I4730="SBJ","CB","?"))</f>
        <v> </v>
      </c>
      <c r="I4730" s="25" t="str">
        <f>IF(OR(E4730="",E4730="!!!",F4730="NEW"),"",INDEX(B4729:B$2,-1+SUMPRODUCT(MAX(ROW(E4729:E$2)*(E4730=E4729:E$2)))))</f>
        <v> </v>
      </c>
      <c r="J4730" s="25" t="str">
        <f>IF(OR(E4730="",E4730="!!!",F4730="NEW"),"",COUNTBLANK(OFFSET(A$1,,,SUMPRODUCT(MAX(ROW(E$2:E4730)*(E4730=E$2:E4730)))))-COUNTBLANK(OFFSET(A$1,,,SUMPRODUCT(MAX(ROW(E$1:E4729)*(E2=E$1:E4729))))))</f>
        <v> </v>
      </c>
      <c r="K4730" s="25" t="str">
        <f>IF(OR(E4730="",E4730="!!!",F4730="NEW"),"",INDEX(J$1:J4729,SUMPRODUCT(MAX(ROW(E$1:E4729)*(E4730=E$1:E4729)))))</f>
        <v> </v>
      </c>
      <c r="L4730" s="26"/>
    </row>
    <row r="4731" spans="1:12">
      <c r="A4731" s="20" t="s">
        <v>2932</v>
      </c>
      <c r="E4731" s="21">
        <f>IF(D4731="?OLD","!!!","")</f>
        <v/>
      </c>
      <c r="F4731" s="22" t="str">
        <f>IF(OR(E4731="",E4731="!!!"),"",IF(NOT(ISNA(VLOOKUP(E4731,E$1:E4730,1,FALSE()))),"OLD",IF(AND(E4731&lt;&gt;"",E4731&lt;&gt;"!!!"),"NEW","")))</f>
        <v> </v>
      </c>
      <c r="G4731" s="23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4" t="str">
        <f>IF(J4731&lt;&gt;1,"",IF(I4731="SBJ","CB","?"))</f>
        <v> </v>
      </c>
      <c r="I4731" s="25" t="str">
        <f>IF(OR(E4731="",E4731="!!!",F4731="NEW"),"",INDEX(B4730:B$2,-1+SUMPRODUCT(MAX(ROW(E4730:E$2)*(E4731=E4730:E$2)))))</f>
        <v> </v>
      </c>
      <c r="J4731" s="25" t="str">
        <f>IF(OR(E4731="",E4731="!!!",F4731="NEW"),"",COUNTBLANK(OFFSET(A$1,,,SUMPRODUCT(MAX(ROW(E$2:E4731)*(E4731=E$2:E4731)))))-COUNTBLANK(OFFSET(A$1,,,SUMPRODUCT(MAX(ROW(E$1:E4730)*(E2=E$1:E4730))))))</f>
        <v> </v>
      </c>
      <c r="K4731" s="25" t="str">
        <f>IF(OR(E4731="",E4731="!!!",F4731="NEW"),"",INDEX(J$1:J4730,SUMPRODUCT(MAX(ROW(E$1:E4730)*(E4731=E$1:E4730)))))</f>
        <v> </v>
      </c>
      <c r="L4731" s="26"/>
    </row>
    <row r="4732" spans="1:12">
      <c r="A4732" s="20" t="s">
        <v>1041</v>
      </c>
      <c r="E4732" s="21">
        <f>IF(D4732="?OLD","!!!","")</f>
        <v/>
      </c>
      <c r="F4732" s="22" t="str">
        <f>IF(OR(E4732="",E4732="!!!"),"",IF(NOT(ISNA(VLOOKUP(E4732,E$1:E4731,1,FALSE()))),"OLD",IF(AND(E4732&lt;&gt;"",E4732&lt;&gt;"!!!"),"NEW","")))</f>
        <v> </v>
      </c>
      <c r="G4732" s="23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4" t="str">
        <f>IF(J4732&lt;&gt;1,"",IF(I4732="SBJ","CB","?"))</f>
        <v> </v>
      </c>
      <c r="I4732" s="25" t="str">
        <f>IF(OR(E4732="",E4732="!!!",F4732="NEW"),"",INDEX(B4731:B$2,-1+SUMPRODUCT(MAX(ROW(E4731:E$2)*(E4732=E4731:E$2)))))</f>
        <v> </v>
      </c>
      <c r="J4732" s="25" t="str">
        <f>IF(OR(E4732="",E4732="!!!",F4732="NEW"),"",COUNTBLANK(OFFSET(A$1,,,SUMPRODUCT(MAX(ROW(E$2:E4732)*(E4732=E$2:E4732)))))-COUNTBLANK(OFFSET(A$1,,,SUMPRODUCT(MAX(ROW(E$1:E4731)*(E2=E$1:E4731))))))</f>
        <v> </v>
      </c>
      <c r="K4732" s="25" t="str">
        <f>IF(OR(E4732="",E4732="!!!",F4732="NEW"),"",INDEX(J$1:J4731,SUMPRODUCT(MAX(ROW(E$1:E4731)*(E4732=E$1:E4731)))))</f>
        <v> </v>
      </c>
      <c r="L4732" s="26"/>
    </row>
    <row r="4733" spans="1:12">
      <c r="A4733" s="20" t="s">
        <v>1764</v>
      </c>
      <c r="E4733" s="21">
        <f>IF(D4733="?OLD","!!!","")</f>
        <v/>
      </c>
      <c r="F4733" s="22" t="str">
        <f>IF(OR(E4733="",E4733="!!!"),"",IF(NOT(ISNA(VLOOKUP(E4733,E$1:E4732,1,FALSE()))),"OLD",IF(AND(E4733&lt;&gt;"",E4733&lt;&gt;"!!!"),"NEW","")))</f>
        <v> </v>
      </c>
      <c r="G4733" s="23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4" t="str">
        <f>IF(J4733&lt;&gt;1,"",IF(I4733="SBJ","CB","?"))</f>
        <v> </v>
      </c>
      <c r="I4733" s="25" t="str">
        <f>IF(OR(E4733="",E4733="!!!",F4733="NEW"),"",INDEX(B4732:B$2,-1+SUMPRODUCT(MAX(ROW(E4732:E$2)*(E4733=E4732:E$2)))))</f>
        <v> </v>
      </c>
      <c r="J4733" s="25" t="str">
        <f>IF(OR(E4733="",E4733="!!!",F4733="NEW"),"",COUNTBLANK(OFFSET(A$1,,,SUMPRODUCT(MAX(ROW(E$2:E4733)*(E4733=E$2:E4733)))))-COUNTBLANK(OFFSET(A$1,,,SUMPRODUCT(MAX(ROW(E$1:E4732)*(E2=E$1:E4732))))))</f>
        <v> </v>
      </c>
      <c r="K4733" s="25" t="str">
        <f>IF(OR(E4733="",E4733="!!!",F4733="NEW"),"",INDEX(J$1:J4732,SUMPRODUCT(MAX(ROW(E$1:E4732)*(E4733=E$1:E4732)))))</f>
        <v> </v>
      </c>
      <c r="L4733" s="26"/>
    </row>
    <row r="4734" spans="1:12">
      <c r="A4734" s="20" t="s">
        <v>1079</v>
      </c>
      <c r="B4734" s="27" t="s">
        <v>1071</v>
      </c>
      <c r="C4734" s="27" t="s">
        <v>1036</v>
      </c>
      <c r="D4734" s="27" t="s">
        <v>1026</v>
      </c>
      <c r="E4734" s="21">
        <f>IF(D4734="?OLD","!!!","")</f>
        <v/>
      </c>
      <c r="F4734" s="22" t="str">
        <f>IF(OR(E4734="",E4734="!!!"),"",IF(NOT(ISNA(VLOOKUP(E4734,E$1:E4733,1,FALSE()))),"OLD",IF(AND(E4734&lt;&gt;"",E4734&lt;&gt;"!!!"),"NEW","")))</f>
        <v> </v>
      </c>
      <c r="G4734" s="23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4" t="str">
        <f>IF(J4734&lt;&gt;1,"",IF(I4734="SBJ","CB","?"))</f>
        <v> </v>
      </c>
      <c r="I4734" s="25" t="str">
        <f>IF(OR(E4734="",E4734="!!!",F4734="NEW"),"",INDEX(B4733:B$2,-1+SUMPRODUCT(MAX(ROW(E4733:E$2)*(E4734=E4733:E$2)))))</f>
        <v> </v>
      </c>
      <c r="J4734" s="25" t="str">
        <f>IF(OR(E4734="",E4734="!!!",F4734="NEW"),"",COUNTBLANK(OFFSET(A$1,,,SUMPRODUCT(MAX(ROW(E$2:E4734)*(E4734=E$2:E4734)))))-COUNTBLANK(OFFSET(A$1,,,SUMPRODUCT(MAX(ROW(E$1:E4733)*(E2=E$1:E4733))))))</f>
        <v> </v>
      </c>
      <c r="K4734" s="25" t="str">
        <f>IF(OR(E4734="",E4734="!!!",F4734="NEW"),"",INDEX(J$1:J4733,SUMPRODUCT(MAX(ROW(E$1:E4733)*(E4734=E$1:E4733)))))</f>
        <v> </v>
      </c>
      <c r="L4734" s="26"/>
    </row>
    <row r="4735" spans="1:12">
      <c r="A4735" s="20" t="s">
        <v>1041</v>
      </c>
      <c r="E4735" s="21">
        <f>IF(D4735="?OLD","!!!","")</f>
        <v/>
      </c>
      <c r="F4735" s="22" t="str">
        <f>IF(OR(E4735="",E4735="!!!"),"",IF(NOT(ISNA(VLOOKUP(E4735,E$1:E4734,1,FALSE()))),"OLD",IF(AND(E4735&lt;&gt;"",E4735&lt;&gt;"!!!"),"NEW","")))</f>
        <v> </v>
      </c>
      <c r="G4735" s="23" t="str">
        <f>IF(OR(E4735="",E4735="!!!"),"",IF(OR(J4735=0,AND(J4735=1,K4735=1),AND(J4735=1,I4735="SBJ"),AND(J4735=1,I4735=0)),"?IN_FOCUS",IF(J4735&lt;=2,"?ACTIVATED",IF(J4735&lt;&gt;"","?FAMILIAR",IF(F4735="NEW",IF(ISNA(VLOOKUP(E4735,#REF!,1,FALSE())),"?TYPE_IDENTIFIABLE","?REFERENTIAL"),"_")))))</f>
        <v> </v>
      </c>
      <c r="H4735" s="24" t="str">
        <f>IF(J4735&lt;&gt;1,"",IF(I4735="SBJ","CB","?"))</f>
        <v> </v>
      </c>
      <c r="I4735" s="25" t="str">
        <f>IF(OR(E4735="",E4735="!!!",F4735="NEW"),"",INDEX(B4734:B$2,-1+SUMPRODUCT(MAX(ROW(E4734:E$2)*(E4735=E4734:E$2)))))</f>
        <v> </v>
      </c>
      <c r="J4735" s="25" t="str">
        <f>IF(OR(E4735="",E4735="!!!",F4735="NEW"),"",COUNTBLANK(OFFSET(A$1,,,SUMPRODUCT(MAX(ROW(E$2:E4735)*(E4735=E$2:E4735)))))-COUNTBLANK(OFFSET(A$1,,,SUMPRODUCT(MAX(ROW(E$1:E4734)*(E2=E$1:E4734))))))</f>
        <v> </v>
      </c>
      <c r="K4735" s="25" t="str">
        <f>IF(OR(E4735="",E4735="!!!",F4735="NEW"),"",INDEX(J$1:J4734,SUMPRODUCT(MAX(ROW(E$1:E4734)*(E4735=E$1:E4734)))))</f>
        <v> </v>
      </c>
      <c r="L4735" s="26"/>
    </row>
    <row r="4736" spans="1:12">
      <c r="A4736" s="20" t="s">
        <v>201</v>
      </c>
      <c r="E4736" s="21">
        <f>IF(D4736="?OLD","!!!","")</f>
        <v/>
      </c>
      <c r="F4736" s="22" t="str">
        <f>IF(OR(E4736="",E4736="!!!"),"",IF(NOT(ISNA(VLOOKUP(E4736,E$1:E4735,1,FALSE()))),"OLD",IF(AND(E4736&lt;&gt;"",E4736&lt;&gt;"!!!"),"NEW","")))</f>
        <v> </v>
      </c>
      <c r="G4736" s="23" t="str">
        <f>IF(OR(E4736="",E4736="!!!"),"",IF(OR(J4736=0,AND(J4736=1,K4736=1),AND(J4736=1,I4736="SBJ"),AND(J4736=1,I4736=0)),"?IN_FOCUS",IF(J4736&lt;=2,"?ACTIVATED",IF(J4736&lt;&gt;"","?FAMILIAR",IF(F4736="NEW",IF(ISNA(VLOOKUP(E4736,#REF!,1,FALSE())),"?TYPE_IDENTIFIABLE","?REFERENTIAL"),"_")))))</f>
        <v> </v>
      </c>
      <c r="H4736" s="24" t="str">
        <f>IF(J4736&lt;&gt;1,"",IF(I4736="SBJ","CB","?"))</f>
        <v> </v>
      </c>
      <c r="I4736" s="25" t="str">
        <f>IF(OR(E4736="",E4736="!!!",F4736="NEW"),"",INDEX(B4735:B$2,-1+SUMPRODUCT(MAX(ROW(E4735:E$2)*(E4736=E4735:E$2)))))</f>
        <v> </v>
      </c>
      <c r="J4736" s="25" t="str">
        <f>IF(OR(E4736="",E4736="!!!",F4736="NEW"),"",COUNTBLANK(OFFSET(A$1,,,SUMPRODUCT(MAX(ROW(E$2:E4736)*(E4736=E$2:E4736)))))-COUNTBLANK(OFFSET(A$1,,,SUMPRODUCT(MAX(ROW(E$1:E4735)*(E2=E$1:E4735))))))</f>
        <v> </v>
      </c>
      <c r="K4736" s="25" t="str">
        <f>IF(OR(E4736="",E4736="!!!",F4736="NEW"),"",INDEX(J$1:J4735,SUMPRODUCT(MAX(ROW(E$1:E4735)*(E4736=E$1:E4735)))))</f>
        <v> </v>
      </c>
      <c r="L4736" s="26"/>
    </row>
    <row r="4737" spans="1:12">
      <c r="A4737" s="20" t="s">
        <v>2933</v>
      </c>
      <c r="E4737" s="21">
        <f>IF(D4737="?OLD","!!!","")</f>
        <v/>
      </c>
      <c r="F4737" s="22" t="str">
        <f>IF(OR(E4737="",E4737="!!!"),"",IF(NOT(ISNA(VLOOKUP(E4737,E$1:E4736,1,FALSE()))),"OLD",IF(AND(E4737&lt;&gt;"",E4737&lt;&gt;"!!!"),"NEW","")))</f>
        <v> </v>
      </c>
      <c r="G4737" s="23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4" t="str">
        <f>IF(J4737&lt;&gt;1,"",IF(I4737="SBJ","CB","?"))</f>
        <v> </v>
      </c>
      <c r="I4737" s="25" t="str">
        <f>IF(OR(E4737="",E4737="!!!",F4737="NEW"),"",INDEX(B4736:B$2,-1+SUMPRODUCT(MAX(ROW(E4736:E$2)*(E4737=E4736:E$2)))))</f>
        <v> </v>
      </c>
      <c r="J4737" s="25" t="str">
        <f>IF(OR(E4737="",E4737="!!!",F4737="NEW"),"",COUNTBLANK(OFFSET(A$1,,,SUMPRODUCT(MAX(ROW(E$2:E4737)*(E4737=E$2:E4737)))))-COUNTBLANK(OFFSET(A$1,,,SUMPRODUCT(MAX(ROW(E$1:E4736)*(E2=E$1:E4736))))))</f>
        <v> </v>
      </c>
      <c r="K4737" s="25" t="str">
        <f>IF(OR(E4737="",E4737="!!!",F4737="NEW"),"",INDEX(J$1:J4736,SUMPRODUCT(MAX(ROW(E$1:E4736)*(E4737=E$1:E4736)))))</f>
        <v> </v>
      </c>
      <c r="L4737" s="26"/>
    </row>
    <row r="4738" spans="1:12">
      <c r="A4738" s="20" t="s">
        <v>2934</v>
      </c>
      <c r="E4738" s="21">
        <f>IF(D4738="?OLD","!!!","")</f>
        <v/>
      </c>
      <c r="F4738" s="22" t="str">
        <f>IF(OR(E4738="",E4738="!!!"),"",IF(NOT(ISNA(VLOOKUP(E4738,E$1:E4737,1,FALSE()))),"OLD",IF(AND(E4738&lt;&gt;"",E4738&lt;&gt;"!!!"),"NEW","")))</f>
        <v> </v>
      </c>
      <c r="G4738" s="23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4" t="str">
        <f>IF(J4738&lt;&gt;1,"",IF(I4738="SBJ","CB","?"))</f>
        <v> </v>
      </c>
      <c r="I4738" s="25" t="str">
        <f>IF(OR(E4738="",E4738="!!!",F4738="NEW"),"",INDEX(B4737:B$2,-1+SUMPRODUCT(MAX(ROW(E4737:E$2)*(E4738=E4737:E$2)))))</f>
        <v> </v>
      </c>
      <c r="J4738" s="25" t="str">
        <f>IF(OR(E4738="",E4738="!!!",F4738="NEW"),"",COUNTBLANK(OFFSET(A$1,,,SUMPRODUCT(MAX(ROW(E$2:E4738)*(E4738=E$2:E4738)))))-COUNTBLANK(OFFSET(A$1,,,SUMPRODUCT(MAX(ROW(E$1:E4737)*(E2=E$1:E4737))))))</f>
        <v> </v>
      </c>
      <c r="K4738" s="25" t="str">
        <f>IF(OR(E4738="",E4738="!!!",F4738="NEW"),"",INDEX(J$1:J4737,SUMPRODUCT(MAX(ROW(E$1:E4737)*(E4738=E$1:E4737)))))</f>
        <v> </v>
      </c>
      <c r="L4738" s="26"/>
    </row>
    <row r="4739" spans="1:12">
      <c r="A4739" s="20" t="s">
        <v>2927</v>
      </c>
      <c r="B4739" s="27" t="s">
        <v>2935</v>
      </c>
      <c r="E4739" s="21">
        <f>IF(D4739="?OLD","!!!","")</f>
        <v/>
      </c>
      <c r="F4739" s="22" t="str">
        <f>IF(OR(E4739="",E4739="!!!"),"",IF(NOT(ISNA(VLOOKUP(E4739,E$1:E4738,1,FALSE()))),"OLD",IF(AND(E4739&lt;&gt;"",E4739&lt;&gt;"!!!"),"NEW","")))</f>
        <v> </v>
      </c>
      <c r="G4739" s="23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4" t="str">
        <f>IF(J4739&lt;&gt;1,"",IF(I4739="SBJ","CB","?"))</f>
        <v> </v>
      </c>
      <c r="I4739" s="25" t="str">
        <f>IF(OR(E4739="",E4739="!!!",F4739="NEW"),"",INDEX(B4738:B$2,-1+SUMPRODUCT(MAX(ROW(E4738:E$2)*(E4739=E4738:E$2)))))</f>
        <v> </v>
      </c>
      <c r="J4739" s="25" t="str">
        <f>IF(OR(E4739="",E4739="!!!",F4739="NEW"),"",COUNTBLANK(OFFSET(A$1,,,SUMPRODUCT(MAX(ROW(E$2:E4739)*(E4739=E$2:E4739)))))-COUNTBLANK(OFFSET(A$1,,,SUMPRODUCT(MAX(ROW(E$1:E4738)*(E2=E$1:E4738))))))</f>
        <v> </v>
      </c>
      <c r="K4739" s="25" t="str">
        <f>IF(OR(E4739="",E4739="!!!",F4739="NEW"),"",INDEX(J$1:J4738,SUMPRODUCT(MAX(ROW(E$1:E4738)*(E4739=E$1:E4738)))))</f>
        <v> </v>
      </c>
      <c r="L4739" s="26"/>
    </row>
    <row r="4740" spans="1:12">
      <c r="A4740" s="20" t="s">
        <v>1366</v>
      </c>
      <c r="E4740" s="21">
        <f>IF(D4740="?OLD","!!!","")</f>
        <v/>
      </c>
      <c r="F4740" s="22" t="str">
        <f>IF(OR(E4740="",E4740="!!!"),"",IF(NOT(ISNA(VLOOKUP(E4740,E$1:E4739,1,FALSE()))),"OLD",IF(AND(E4740&lt;&gt;"",E4740&lt;&gt;"!!!"),"NEW","")))</f>
        <v> </v>
      </c>
      <c r="G4740" s="23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4" t="str">
        <f>IF(J4740&lt;&gt;1,"",IF(I4740="SBJ","CB","?"))</f>
        <v> </v>
      </c>
      <c r="I4740" s="25" t="str">
        <f>IF(OR(E4740="",E4740="!!!",F4740="NEW"),"",INDEX(B4739:B$2,-1+SUMPRODUCT(MAX(ROW(E4739:E$2)*(E4740=E4739:E$2)))))</f>
        <v> </v>
      </c>
      <c r="J4740" s="25" t="str">
        <f>IF(OR(E4740="",E4740="!!!",F4740="NEW"),"",COUNTBLANK(OFFSET(A$1,,,SUMPRODUCT(MAX(ROW(E$2:E4740)*(E4740=E$2:E4740)))))-COUNTBLANK(OFFSET(A$1,,,SUMPRODUCT(MAX(ROW(E$1:E4739)*(E2=E$1:E4739))))))</f>
        <v> </v>
      </c>
      <c r="K4740" s="25" t="str">
        <f>IF(OR(E4740="",E4740="!!!",F4740="NEW"),"",INDEX(J$1:J4739,SUMPRODUCT(MAX(ROW(E$1:E4739)*(E4740=E$1:E4739)))))</f>
        <v> </v>
      </c>
      <c r="L4740" s="26"/>
    </row>
    <row r="4741" spans="1:12">
      <c r="A4741" s="20" t="s">
        <v>1099</v>
      </c>
      <c r="E4741" s="21">
        <f>IF(D4741="?OLD","!!!","")</f>
        <v/>
      </c>
      <c r="F4741" s="22" t="str">
        <f>IF(OR(E4741="",E4741="!!!"),"",IF(NOT(ISNA(VLOOKUP(E4741,E$1:E4740,1,FALSE()))),"OLD",IF(AND(E4741&lt;&gt;"",E4741&lt;&gt;"!!!"),"NEW","")))</f>
        <v> </v>
      </c>
      <c r="G4741" s="23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4" t="str">
        <f>IF(J4741&lt;&gt;1,"",IF(I4741="SBJ","CB","?"))</f>
        <v> </v>
      </c>
      <c r="I4741" s="25" t="str">
        <f>IF(OR(E4741="",E4741="!!!",F4741="NEW"),"",INDEX(B4740:B$2,-1+SUMPRODUCT(MAX(ROW(E4740:E$2)*(E4741=E4740:E$2)))))</f>
        <v> </v>
      </c>
      <c r="J4741" s="25" t="str">
        <f>IF(OR(E4741="",E4741="!!!",F4741="NEW"),"",COUNTBLANK(OFFSET(A$1,,,SUMPRODUCT(MAX(ROW(E$2:E4741)*(E4741=E$2:E4741)))))-COUNTBLANK(OFFSET(A$1,,,SUMPRODUCT(MAX(ROW(E$1:E4740)*(E2=E$1:E4740))))))</f>
        <v> </v>
      </c>
      <c r="K4741" s="25" t="str">
        <f>IF(OR(E4741="",E4741="!!!",F4741="NEW"),"",INDEX(J$1:J4740,SUMPRODUCT(MAX(ROW(E$1:E4740)*(E4741=E$1:E4740)))))</f>
        <v> </v>
      </c>
      <c r="L4741" s="26"/>
    </row>
    <row r="4742" spans="1:12">
      <c r="A4742" s="20" t="s">
        <v>2923</v>
      </c>
      <c r="E4742" s="21">
        <f>IF(D4742="?OLD","!!!","")</f>
        <v/>
      </c>
      <c r="F4742" s="22" t="str">
        <f>IF(OR(E4742="",E4742="!!!"),"",IF(NOT(ISNA(VLOOKUP(E4742,E$1:E4741,1,FALSE()))),"OLD",IF(AND(E4742&lt;&gt;"",E4742&lt;&gt;"!!!"),"NEW","")))</f>
        <v> </v>
      </c>
      <c r="G4742" s="23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4" t="str">
        <f>IF(J4742&lt;&gt;1,"",IF(I4742="SBJ","CB","?"))</f>
        <v> </v>
      </c>
      <c r="I4742" s="25" t="str">
        <f>IF(OR(E4742="",E4742="!!!",F4742="NEW"),"",INDEX(B4741:B$2,-1+SUMPRODUCT(MAX(ROW(E4741:E$2)*(E4742=E4741:E$2)))))</f>
        <v> </v>
      </c>
      <c r="J4742" s="25" t="str">
        <f>IF(OR(E4742="",E4742="!!!",F4742="NEW"),"",COUNTBLANK(OFFSET(A$1,,,SUMPRODUCT(MAX(ROW(E$2:E4742)*(E4742=E$2:E4742)))))-COUNTBLANK(OFFSET(A$1,,,SUMPRODUCT(MAX(ROW(E$1:E4741)*(E2=E$1:E4741))))))</f>
        <v> </v>
      </c>
      <c r="K4742" s="25" t="str">
        <f>IF(OR(E4742="",E4742="!!!",F4742="NEW"),"",INDEX(J$1:J4741,SUMPRODUCT(MAX(ROW(E$1:E4741)*(E4742=E$1:E4741)))))</f>
        <v> </v>
      </c>
      <c r="L4742" s="26"/>
    </row>
    <row r="4743" spans="1:12">
      <c r="A4743" s="20" t="s">
        <v>2027</v>
      </c>
      <c r="B4743" s="27" t="s">
        <v>2936</v>
      </c>
      <c r="C4743" s="27" t="s">
        <v>1036</v>
      </c>
      <c r="E4743" s="21">
        <f>IF(D4743="?OLD","!!!","")</f>
        <v/>
      </c>
      <c r="F4743" s="22" t="str">
        <f>IF(OR(E4743="",E4743="!!!"),"",IF(NOT(ISNA(VLOOKUP(E4743,E$1:E4742,1,FALSE()))),"OLD",IF(AND(E4743&lt;&gt;"",E4743&lt;&gt;"!!!"),"NEW","")))</f>
        <v> </v>
      </c>
      <c r="G4743" s="23" t="str">
        <f>IF(OR(E4743="",E4743="!!!"),"",IF(OR(J4743=0,AND(J4743=1,K4743=1),AND(J4743=1,I4743="SBJ"),AND(J4743=1,I4743=0)),"?IN_FOCUS",IF(J4743&lt;=2,"?ACTIVATED",IF(J4743&lt;&gt;"","?FAMILIAR",IF(F4743="NEW",IF(ISNA(VLOOKUP(E4743,#REF!,1,FALSE())),"?TYPE_IDENTIFIABLE","?REFERENTIAL"),"_")))))</f>
        <v> </v>
      </c>
      <c r="H4743" s="24" t="str">
        <f>IF(J4743&lt;&gt;1,"",IF(I4743="SBJ","CB","?"))</f>
        <v> </v>
      </c>
      <c r="I4743" s="25" t="str">
        <f>IF(OR(E4743="",E4743="!!!",F4743="NEW"),"",INDEX(B4742:B$2,-1+SUMPRODUCT(MAX(ROW(E4742:E$2)*(E4743=E4742:E$2)))))</f>
        <v> </v>
      </c>
      <c r="J4743" s="25" t="str">
        <f>IF(OR(E4743="",E4743="!!!",F4743="NEW"),"",COUNTBLANK(OFFSET(A$1,,,SUMPRODUCT(MAX(ROW(E$2:E4743)*(E4743=E$2:E4743)))))-COUNTBLANK(OFFSET(A$1,,,SUMPRODUCT(MAX(ROW(E$1:E4742)*(E2=E$1:E4742))))))</f>
        <v> </v>
      </c>
      <c r="K4743" s="25" t="str">
        <f>IF(OR(E4743="",E4743="!!!",F4743="NEW"),"",INDEX(J$1:J4742,SUMPRODUCT(MAX(ROW(E$1:E4742)*(E4743=E$1:E4742)))))</f>
        <v> </v>
      </c>
      <c r="L4743" s="26"/>
    </row>
    <row r="4744" spans="1:12">
      <c r="A4744" s="20" t="s">
        <v>1041</v>
      </c>
      <c r="E4744" s="21">
        <f>IF(D4744="?OLD","!!!","")</f>
        <v/>
      </c>
      <c r="F4744" s="22" t="str">
        <f>IF(OR(E4744="",E4744="!!!"),"",IF(NOT(ISNA(VLOOKUP(E4744,E$1:E4743,1,FALSE()))),"OLD",IF(AND(E4744&lt;&gt;"",E4744&lt;&gt;"!!!"),"NEW","")))</f>
        <v> </v>
      </c>
      <c r="G4744" s="23" t="str">
        <f>IF(OR(E4744="",E4744="!!!"),"",IF(OR(J4744=0,AND(J4744=1,K4744=1),AND(J4744=1,I4744="SBJ"),AND(J4744=1,I4744=0)),"?IN_FOCUS",IF(J4744&lt;=2,"?ACTIVATED",IF(J4744&lt;&gt;"","?FAMILIAR",IF(F4744="NEW",IF(ISNA(VLOOKUP(E4744,#REF!,1,FALSE())),"?TYPE_IDENTIFIABLE","?REFERENTIAL"),"_")))))</f>
        <v> </v>
      </c>
      <c r="H4744" s="24" t="str">
        <f>IF(J4744&lt;&gt;1,"",IF(I4744="SBJ","CB","?"))</f>
        <v> </v>
      </c>
      <c r="I4744" s="25" t="str">
        <f>IF(OR(E4744="",E4744="!!!",F4744="NEW"),"",INDEX(B4743:B$2,-1+SUMPRODUCT(MAX(ROW(E4743:E$2)*(E4744=E4743:E$2)))))</f>
        <v> </v>
      </c>
      <c r="J4744" s="25" t="str">
        <f>IF(OR(E4744="",E4744="!!!",F4744="NEW"),"",COUNTBLANK(OFFSET(A$1,,,SUMPRODUCT(MAX(ROW(E$2:E4744)*(E4744=E$2:E4744)))))-COUNTBLANK(OFFSET(A$1,,,SUMPRODUCT(MAX(ROW(E$1:E4743)*(E2=E$1:E4743))))))</f>
        <v> </v>
      </c>
      <c r="K4744" s="25" t="str">
        <f>IF(OR(E4744="",E4744="!!!",F4744="NEW"),"",INDEX(J$1:J4743,SUMPRODUCT(MAX(ROW(E$1:E4743)*(E4744=E$1:E4743)))))</f>
        <v> </v>
      </c>
      <c r="L4744" s="26"/>
    </row>
    <row r="4745" spans="1:12">
      <c r="A4745" s="20" t="s">
        <v>1666</v>
      </c>
      <c r="E4745" s="21">
        <f>IF(D4745="?OLD","!!!","")</f>
        <v/>
      </c>
      <c r="F4745" s="22" t="str">
        <f>IF(OR(E4745="",E4745="!!!"),"",IF(NOT(ISNA(VLOOKUP(E4745,E$1:E4744,1,FALSE()))),"OLD",IF(AND(E4745&lt;&gt;"",E4745&lt;&gt;"!!!"),"NEW","")))</f>
        <v> </v>
      </c>
      <c r="G4745" s="23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4" t="str">
        <f>IF(J4745&lt;&gt;1,"",IF(I4745="SBJ","CB","?"))</f>
        <v> </v>
      </c>
      <c r="I4745" s="25" t="str">
        <f>IF(OR(E4745="",E4745="!!!",F4745="NEW"),"",INDEX(B4744:B$2,-1+SUMPRODUCT(MAX(ROW(E4744:E$2)*(E4745=E4744:E$2)))))</f>
        <v> </v>
      </c>
      <c r="J4745" s="25" t="str">
        <f>IF(OR(E4745="",E4745="!!!",F4745="NEW"),"",COUNTBLANK(OFFSET(A$1,,,SUMPRODUCT(MAX(ROW(E$2:E4745)*(E4745=E$2:E4745)))))-COUNTBLANK(OFFSET(A$1,,,SUMPRODUCT(MAX(ROW(E$1:E4744)*(E2=E$1:E4744))))))</f>
        <v> </v>
      </c>
      <c r="K4745" s="25" t="str">
        <f>IF(OR(E4745="",E4745="!!!",F4745="NEW"),"",INDEX(J$1:J4744,SUMPRODUCT(MAX(ROW(E$1:E4744)*(E4745=E$1:E4744)))))</f>
        <v> </v>
      </c>
      <c r="L4745" s="26"/>
    </row>
    <row r="4746" spans="1:12">
      <c r="A4746" s="20" t="s">
        <v>1115</v>
      </c>
      <c r="B4746" s="27" t="s">
        <v>2937</v>
      </c>
      <c r="C4746" s="27" t="s">
        <v>1025</v>
      </c>
      <c r="D4746" s="27" t="s">
        <v>1026</v>
      </c>
      <c r="E4746" s="21">
        <f>IF(D4746="?OLD","!!!","")</f>
        <v/>
      </c>
      <c r="F4746" s="22" t="str">
        <f>IF(OR(E4746="",E4746="!!!"),"",IF(NOT(ISNA(VLOOKUP(E4746,E$1:E4745,1,FALSE()))),"OLD",IF(AND(E4746&lt;&gt;"",E4746&lt;&gt;"!!!"),"NEW","")))</f>
        <v> </v>
      </c>
      <c r="G4746" s="23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4" t="str">
        <f>IF(J4746&lt;&gt;1,"",IF(I4746="SBJ","CB","?"))</f>
        <v> </v>
      </c>
      <c r="I4746" s="25" t="str">
        <f>IF(OR(E4746="",E4746="!!!",F4746="NEW"),"",INDEX(B4745:B$2,-1+SUMPRODUCT(MAX(ROW(E4745:E$2)*(E4746=E4745:E$2)))))</f>
        <v> </v>
      </c>
      <c r="J4746" s="25" t="str">
        <f>IF(OR(E4746="",E4746="!!!",F4746="NEW"),"",COUNTBLANK(OFFSET(A$1,,,SUMPRODUCT(MAX(ROW(E$2:E4746)*(E4746=E$2:E4746)))))-COUNTBLANK(OFFSET(A$1,,,SUMPRODUCT(MAX(ROW(E$1:E4745)*(E2=E$1:E4745))))))</f>
        <v> </v>
      </c>
      <c r="K4746" s="25" t="str">
        <f>IF(OR(E4746="",E4746="!!!",F4746="NEW"),"",INDEX(J$1:J4745,SUMPRODUCT(MAX(ROW(E$1:E4745)*(E4746=E$1:E4745)))))</f>
        <v> </v>
      </c>
      <c r="L4746" s="26"/>
    </row>
    <row r="4747" spans="1:12">
      <c r="A4747" s="20" t="s">
        <v>197</v>
      </c>
      <c r="E4747" s="21">
        <f>IF(D4747="?OLD","!!!","")</f>
        <v/>
      </c>
      <c r="F4747" s="22" t="str">
        <f>IF(OR(E4747="",E4747="!!!"),"",IF(NOT(ISNA(VLOOKUP(E4747,E$1:E4746,1,FALSE()))),"OLD",IF(AND(E4747&lt;&gt;"",E4747&lt;&gt;"!!!"),"NEW","")))</f>
        <v> </v>
      </c>
      <c r="G4747" s="23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4" t="str">
        <f>IF(J4747&lt;&gt;1,"",IF(I4747="SBJ","CB","?"))</f>
        <v> </v>
      </c>
      <c r="I4747" s="25" t="str">
        <f>IF(OR(E4747="",E4747="!!!",F4747="NEW"),"",INDEX(B4746:B$2,-1+SUMPRODUCT(MAX(ROW(E4746:E$2)*(E4747=E4746:E$2)))))</f>
        <v> </v>
      </c>
      <c r="J4747" s="25" t="str">
        <f>IF(OR(E4747="",E4747="!!!",F4747="NEW"),"",COUNTBLANK(OFFSET(A$1,,,SUMPRODUCT(MAX(ROW(E$2:E4747)*(E4747=E$2:E4747)))))-COUNTBLANK(OFFSET(A$1,,,SUMPRODUCT(MAX(ROW(E$1:E4746)*(E2=E$1:E4746))))))</f>
        <v> </v>
      </c>
      <c r="K4747" s="25" t="str">
        <f>IF(OR(E4747="",E4747="!!!",F4747="NEW"),"",INDEX(J$1:J4746,SUMPRODUCT(MAX(ROW(E$1:E4746)*(E4747=E$1:E4746)))))</f>
        <v> </v>
      </c>
      <c r="L4747" s="26"/>
    </row>
    <row r="4748" spans="1:12">
      <c r="A4748" s="20" t="s">
        <v>2938</v>
      </c>
      <c r="E4748" s="21">
        <f>IF(D4748="?OLD","!!!","")</f>
        <v/>
      </c>
      <c r="F4748" s="22" t="str">
        <f>IF(OR(E4748="",E4748="!!!"),"",IF(NOT(ISNA(VLOOKUP(E4748,E$1:E4747,1,FALSE()))),"OLD",IF(AND(E4748&lt;&gt;"",E4748&lt;&gt;"!!!"),"NEW","")))</f>
        <v> </v>
      </c>
      <c r="G4748" s="23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4" t="str">
        <f>IF(J4748&lt;&gt;1,"",IF(I4748="SBJ","CB","?"))</f>
        <v> </v>
      </c>
      <c r="I4748" s="25" t="str">
        <f>IF(OR(E4748="",E4748="!!!",F4748="NEW"),"",INDEX(B4747:B$2,-1+SUMPRODUCT(MAX(ROW(E4747:E$2)*(E4748=E4747:E$2)))))</f>
        <v> </v>
      </c>
      <c r="J4748" s="25" t="str">
        <f>IF(OR(E4748="",E4748="!!!",F4748="NEW"),"",COUNTBLANK(OFFSET(A$1,,,SUMPRODUCT(MAX(ROW(E$2:E4748)*(E4748=E$2:E4748)))))-COUNTBLANK(OFFSET(A$1,,,SUMPRODUCT(MAX(ROW(E$1:E4747)*(E2=E$1:E4747))))))</f>
        <v> </v>
      </c>
      <c r="K4748" s="25" t="str">
        <f>IF(OR(E4748="",E4748="!!!",F4748="NEW"),"",INDEX(J$1:J4747,SUMPRODUCT(MAX(ROW(E$1:E4747)*(E4748=E$1:E4747)))))</f>
        <v> </v>
      </c>
      <c r="L4748" s="26"/>
    </row>
    <row r="4749" spans="1:12">
      <c r="A4749" s="20" t="s">
        <v>1099</v>
      </c>
      <c r="E4749" s="21">
        <f>IF(D4749="?OLD","!!!","")</f>
        <v/>
      </c>
      <c r="F4749" s="22" t="str">
        <f>IF(OR(E4749="",E4749="!!!"),"",IF(NOT(ISNA(VLOOKUP(E4749,E$1:E4748,1,FALSE()))),"OLD",IF(AND(E4749&lt;&gt;"",E4749&lt;&gt;"!!!"),"NEW","")))</f>
        <v> </v>
      </c>
      <c r="G4749" s="23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4" t="str">
        <f>IF(J4749&lt;&gt;1,"",IF(I4749="SBJ","CB","?"))</f>
        <v> </v>
      </c>
      <c r="I4749" s="25" t="str">
        <f>IF(OR(E4749="",E4749="!!!",F4749="NEW"),"",INDEX(B4748:B$2,-1+SUMPRODUCT(MAX(ROW(E4748:E$2)*(E4749=E4748:E$2)))))</f>
        <v> </v>
      </c>
      <c r="J4749" s="25" t="str">
        <f>IF(OR(E4749="",E4749="!!!",F4749="NEW"),"",COUNTBLANK(OFFSET(A$1,,,SUMPRODUCT(MAX(ROW(E$2:E4749)*(E4749=E$2:E4749)))))-COUNTBLANK(OFFSET(A$1,,,SUMPRODUCT(MAX(ROW(E$1:E4748)*(E2=E$1:E4748))))))</f>
        <v> </v>
      </c>
      <c r="K4749" s="25" t="str">
        <f>IF(OR(E4749="",E4749="!!!",F4749="NEW"),"",INDEX(J$1:J4748,SUMPRODUCT(MAX(ROW(E$1:E4748)*(E4749=E$1:E4748)))))</f>
        <v> </v>
      </c>
      <c r="L4749" s="26"/>
    </row>
    <row r="4750" spans="1:12">
      <c r="A4750" s="20" t="s">
        <v>1350</v>
      </c>
      <c r="E4750" s="21">
        <f>IF(D4750="?OLD","!!!","")</f>
        <v/>
      </c>
      <c r="F4750" s="22" t="str">
        <f>IF(OR(E4750="",E4750="!!!"),"",IF(NOT(ISNA(VLOOKUP(E4750,E$1:E4749,1,FALSE()))),"OLD",IF(AND(E4750&lt;&gt;"",E4750&lt;&gt;"!!!"),"NEW","")))</f>
        <v> </v>
      </c>
      <c r="G4750" s="23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4" t="str">
        <f>IF(J4750&lt;&gt;1,"",IF(I4750="SBJ","CB","?"))</f>
        <v> </v>
      </c>
      <c r="I4750" s="25" t="str">
        <f>IF(OR(E4750="",E4750="!!!",F4750="NEW"),"",INDEX(B4749:B$2,-1+SUMPRODUCT(MAX(ROW(E4749:E$2)*(E4750=E4749:E$2)))))</f>
        <v> </v>
      </c>
      <c r="J4750" s="25" t="str">
        <f>IF(OR(E4750="",E4750="!!!",F4750="NEW"),"",COUNTBLANK(OFFSET(A$1,,,SUMPRODUCT(MAX(ROW(E$2:E4750)*(E4750=E$2:E4750)))))-COUNTBLANK(OFFSET(A$1,,,SUMPRODUCT(MAX(ROW(E$1:E4749)*(E2=E$1:E4749))))))</f>
        <v> </v>
      </c>
      <c r="K4750" s="25" t="str">
        <f>IF(OR(E4750="",E4750="!!!",F4750="NEW"),"",INDEX(J$1:J4749,SUMPRODUCT(MAX(ROW(E$1:E4749)*(E4750=E$1:E4749)))))</f>
        <v> </v>
      </c>
      <c r="L4750" s="26"/>
    </row>
    <row r="4751" spans="1:12">
      <c r="A4751" s="20" t="s">
        <v>2939</v>
      </c>
      <c r="E4751" s="21">
        <f>IF(D4751="?OLD","!!!","")</f>
        <v/>
      </c>
      <c r="F4751" s="22" t="str">
        <f>IF(OR(E4751="",E4751="!!!"),"",IF(NOT(ISNA(VLOOKUP(E4751,E$1:E4750,1,FALSE()))),"OLD",IF(AND(E4751&lt;&gt;"",E4751&lt;&gt;"!!!"),"NEW","")))</f>
        <v> </v>
      </c>
      <c r="G4751" s="23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4" t="str">
        <f>IF(J4751&lt;&gt;1,"",IF(I4751="SBJ","CB","?"))</f>
        <v> </v>
      </c>
      <c r="I4751" s="25" t="str">
        <f>IF(OR(E4751="",E4751="!!!",F4751="NEW"),"",INDEX(B4750:B$2,-1+SUMPRODUCT(MAX(ROW(E4750:E$2)*(E4751=E4750:E$2)))))</f>
        <v> </v>
      </c>
      <c r="J4751" s="25" t="str">
        <f>IF(OR(E4751="",E4751="!!!",F4751="NEW"),"",COUNTBLANK(OFFSET(A$1,,,SUMPRODUCT(MAX(ROW(E$2:E4751)*(E4751=E$2:E4751)))))-COUNTBLANK(OFFSET(A$1,,,SUMPRODUCT(MAX(ROW(E$1:E4750)*(E2=E$1:E4750))))))</f>
        <v> </v>
      </c>
      <c r="K4751" s="25" t="str">
        <f>IF(OR(E4751="",E4751="!!!",F4751="NEW"),"",INDEX(J$1:J4750,SUMPRODUCT(MAX(ROW(E$1:E4750)*(E4751=E$1:E4750)))))</f>
        <v> </v>
      </c>
      <c r="L4751" s="26"/>
    </row>
    <row r="4752" spans="1:12">
      <c r="A4752" s="20" t="s">
        <v>2940</v>
      </c>
      <c r="E4752" s="21">
        <f>IF(D4752="?OLD","!!!","")</f>
        <v/>
      </c>
      <c r="F4752" s="22" t="str">
        <f>IF(OR(E4752="",E4752="!!!"),"",IF(NOT(ISNA(VLOOKUP(E4752,E$1:E4751,1,FALSE()))),"OLD",IF(AND(E4752&lt;&gt;"",E4752&lt;&gt;"!!!"),"NEW","")))</f>
        <v> </v>
      </c>
      <c r="G4752" s="23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4" t="str">
        <f>IF(J4752&lt;&gt;1,"",IF(I4752="SBJ","CB","?"))</f>
        <v> </v>
      </c>
      <c r="I4752" s="25" t="str">
        <f>IF(OR(E4752="",E4752="!!!",F4752="NEW"),"",INDEX(B4751:B$2,-1+SUMPRODUCT(MAX(ROW(E4751:E$2)*(E4752=E4751:E$2)))))</f>
        <v> </v>
      </c>
      <c r="J4752" s="25" t="str">
        <f>IF(OR(E4752="",E4752="!!!",F4752="NEW"),"",COUNTBLANK(OFFSET(A$1,,,SUMPRODUCT(MAX(ROW(E$2:E4752)*(E4752=E$2:E4752)))))-COUNTBLANK(OFFSET(A$1,,,SUMPRODUCT(MAX(ROW(E$1:E4751)*(E2=E$1:E4751))))))</f>
        <v> </v>
      </c>
      <c r="K4752" s="25" t="str">
        <f>IF(OR(E4752="",E4752="!!!",F4752="NEW"),"",INDEX(J$1:J4751,SUMPRODUCT(MAX(ROW(E$1:E4751)*(E4752=E$1:E4751)))))</f>
        <v> </v>
      </c>
      <c r="L4752" s="26"/>
    </row>
    <row r="4753" spans="1:12">
      <c r="A4753" s="20" t="s">
        <v>1032</v>
      </c>
      <c r="E4753" s="21">
        <f>IF(D4753="?OLD","!!!","")</f>
        <v/>
      </c>
      <c r="F4753" s="22" t="str">
        <f>IF(OR(E4753="",E4753="!!!"),"",IF(NOT(ISNA(VLOOKUP(E4753,E$1:E4752,1,FALSE()))),"OLD",IF(AND(E4753&lt;&gt;"",E4753&lt;&gt;"!!!"),"NEW","")))</f>
        <v> </v>
      </c>
      <c r="G4753" s="23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4" t="str">
        <f>IF(J4753&lt;&gt;1,"",IF(I4753="SBJ","CB","?"))</f>
        <v> </v>
      </c>
      <c r="I4753" s="25" t="str">
        <f>IF(OR(E4753="",E4753="!!!",F4753="NEW"),"",INDEX(B4752:B$2,-1+SUMPRODUCT(MAX(ROW(E4752:E$2)*(E4753=E4752:E$2)))))</f>
        <v> </v>
      </c>
      <c r="J4753" s="25" t="str">
        <f>IF(OR(E4753="",E4753="!!!",F4753="NEW"),"",COUNTBLANK(OFFSET(A$1,,,SUMPRODUCT(MAX(ROW(E$2:E4753)*(E4753=E$2:E4753)))))-COUNTBLANK(OFFSET(A$1,,,SUMPRODUCT(MAX(ROW(E$1:E4752)*(E2=E$1:E4752))))))</f>
        <v> </v>
      </c>
      <c r="K4753" s="25" t="str">
        <f>IF(OR(E4753="",E4753="!!!",F4753="NEW"),"",INDEX(J$1:J4752,SUMPRODUCT(MAX(ROW(E$1:E4752)*(E4753=E$1:E4752)))))</f>
        <v> </v>
      </c>
      <c r="L4753" s="26"/>
    </row>
    <row r="4754" spans="1:12">
      <c r="A4754" s="20"/>
    </row>
    <row r="4755" spans="1:12">
      <c r="A4755" s="20" t="s">
        <v>2941</v>
      </c>
    </row>
    <row r="4756" spans="1:12">
      <c r="A4756" s="20" t="s">
        <v>752</v>
      </c>
      <c r="B4756" s="27" t="s">
        <v>1080</v>
      </c>
      <c r="C4756" s="27" t="s">
        <v>1072</v>
      </c>
      <c r="D4756" s="27" t="s">
        <v>1026</v>
      </c>
      <c r="E4756" s="21">
        <f>IF(D4756="?OLD","!!!","")</f>
        <v/>
      </c>
      <c r="F4756" s="22" t="str">
        <f>IF(OR(E4756="",E4756="!!!"),"",IF(NOT(ISNA(VLOOKUP(E4756,E$1:E4755,1,FALSE()))),"OLD",IF(AND(E4756&lt;&gt;"",E4756&lt;&gt;"!!!"),"NEW","")))</f>
        <v> </v>
      </c>
      <c r="G4756" s="23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4" t="str">
        <f>IF(J4756&lt;&gt;1,"",IF(I4756="SBJ","CB","?"))</f>
        <v> </v>
      </c>
      <c r="I4756" s="25" t="str">
        <f>IF(OR(E4756="",E4756="!!!",F4756="NEW"),"",INDEX(B4755:B$2,-1+SUMPRODUCT(MAX(ROW(E4755:E$2)*(E4756=E4755:E$2)))))</f>
        <v> </v>
      </c>
      <c r="J4756" s="25" t="str">
        <f>IF(OR(E4756="",E4756="!!!",F4756="NEW"),"",COUNTBLANK(OFFSET(A$1,,,SUMPRODUCT(MAX(ROW(E$2:E4756)*(E4756=E$2:E4756)))))-COUNTBLANK(OFFSET(A$1,,,SUMPRODUCT(MAX(ROW(E$1:E4755)*(E2=E$1:E4755))))))</f>
        <v> </v>
      </c>
      <c r="K4756" s="25" t="str">
        <f>IF(OR(E4756="",E4756="!!!",F4756="NEW"),"",INDEX(J$1:J4755,SUMPRODUCT(MAX(ROW(E$1:E4755)*(E4756=E$1:E4755)))))</f>
        <v> </v>
      </c>
      <c r="L4756" s="26"/>
    </row>
    <row r="4757" spans="1:12">
      <c r="A4757" s="20" t="s">
        <v>2548</v>
      </c>
      <c r="B4757" s="27" t="s">
        <v>1080</v>
      </c>
      <c r="C4757" s="27" t="s">
        <v>1075</v>
      </c>
      <c r="D4757" s="27" t="s">
        <v>1026</v>
      </c>
      <c r="E4757" s="21">
        <f>IF(D4757="?OLD","!!!","")</f>
        <v/>
      </c>
      <c r="F4757" s="22" t="str">
        <f>IF(OR(E4757="",E4757="!!!"),"",IF(NOT(ISNA(VLOOKUP(E4757,E$1:E4756,1,FALSE()))),"OLD",IF(AND(E4757&lt;&gt;"",E4757&lt;&gt;"!!!"),"NEW","")))</f>
        <v> </v>
      </c>
      <c r="G4757" s="23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4" t="str">
        <f>IF(J4757&lt;&gt;1,"",IF(I4757="SBJ","CB","?"))</f>
        <v> </v>
      </c>
      <c r="I4757" s="25" t="str">
        <f>IF(OR(E4757="",E4757="!!!",F4757="NEW"),"",INDEX(B4756:B$2,-1+SUMPRODUCT(MAX(ROW(E4756:E$2)*(E4757=E4756:E$2)))))</f>
        <v> </v>
      </c>
      <c r="J4757" s="25" t="str">
        <f>IF(OR(E4757="",E4757="!!!",F4757="NEW"),"",COUNTBLANK(OFFSET(A$1,,,SUMPRODUCT(MAX(ROW(E$2:E4757)*(E4757=E$2:E4757)))))-COUNTBLANK(OFFSET(A$1,,,SUMPRODUCT(MAX(ROW(E$1:E4756)*(E2=E$1:E4756))))))</f>
        <v> </v>
      </c>
      <c r="K4757" s="25" t="str">
        <f>IF(OR(E4757="",E4757="!!!",F4757="NEW"),"",INDEX(J$1:J4756,SUMPRODUCT(MAX(ROW(E$1:E4756)*(E4757=E$1:E4756)))))</f>
        <v> </v>
      </c>
      <c r="L4757" s="26"/>
    </row>
    <row r="4758" spans="1:12">
      <c r="A4758" s="20" t="s">
        <v>1222</v>
      </c>
      <c r="E4758" s="21">
        <f>IF(D4758="?OLD","!!!","")</f>
        <v/>
      </c>
      <c r="F4758" s="22" t="str">
        <f>IF(OR(E4758="",E4758="!!!"),"",IF(NOT(ISNA(VLOOKUP(E4758,E$1:E4757,1,FALSE()))),"OLD",IF(AND(E4758&lt;&gt;"",E4758&lt;&gt;"!!!"),"NEW","")))</f>
        <v> </v>
      </c>
      <c r="G4758" s="23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4" t="str">
        <f>IF(J4758&lt;&gt;1,"",IF(I4758="SBJ","CB","?"))</f>
        <v> </v>
      </c>
      <c r="I4758" s="25" t="str">
        <f>IF(OR(E4758="",E4758="!!!",F4758="NEW"),"",INDEX(B4757:B$2,-1+SUMPRODUCT(MAX(ROW(E4757:E$2)*(E4758=E4757:E$2)))))</f>
        <v> </v>
      </c>
      <c r="J4758" s="25" t="str">
        <f>IF(OR(E4758="",E4758="!!!",F4758="NEW"),"",COUNTBLANK(OFFSET(A$1,,,SUMPRODUCT(MAX(ROW(E$2:E4758)*(E4758=E$2:E4758)))))-COUNTBLANK(OFFSET(A$1,,,SUMPRODUCT(MAX(ROW(E$1:E4757)*(E2=E$1:E4757))))))</f>
        <v> </v>
      </c>
      <c r="K4758" s="25" t="str">
        <f>IF(OR(E4758="",E4758="!!!",F4758="NEW"),"",INDEX(J$1:J4757,SUMPRODUCT(MAX(ROW(E$1:E4757)*(E4758=E$1:E4757)))))</f>
        <v> </v>
      </c>
      <c r="L4758" s="26"/>
    </row>
    <row r="4759" spans="1:12">
      <c r="A4759" s="20" t="s">
        <v>2942</v>
      </c>
      <c r="E4759" s="21">
        <f>IF(D4759="?OLD","!!!","")</f>
        <v/>
      </c>
      <c r="F4759" s="22" t="str">
        <f>IF(OR(E4759="",E4759="!!!"),"",IF(NOT(ISNA(VLOOKUP(E4759,E$1:E4758,1,FALSE()))),"OLD",IF(AND(E4759&lt;&gt;"",E4759&lt;&gt;"!!!"),"NEW","")))</f>
        <v> </v>
      </c>
      <c r="G4759" s="23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4" t="str">
        <f>IF(J4759&lt;&gt;1,"",IF(I4759="SBJ","CB","?"))</f>
        <v> </v>
      </c>
      <c r="I4759" s="25" t="str">
        <f>IF(OR(E4759="",E4759="!!!",F4759="NEW"),"",INDEX(B4758:B$2,-1+SUMPRODUCT(MAX(ROW(E4758:E$2)*(E4759=E4758:E$2)))))</f>
        <v> </v>
      </c>
      <c r="J4759" s="25" t="str">
        <f>IF(OR(E4759="",E4759="!!!",F4759="NEW"),"",COUNTBLANK(OFFSET(A$1,,,SUMPRODUCT(MAX(ROW(E$2:E4759)*(E4759=E$2:E4759)))))-COUNTBLANK(OFFSET(A$1,,,SUMPRODUCT(MAX(ROW(E$1:E4758)*(E2=E$1:E4758))))))</f>
        <v> </v>
      </c>
      <c r="K4759" s="25" t="str">
        <f>IF(OR(E4759="",E4759="!!!",F4759="NEW"),"",INDEX(J$1:J4758,SUMPRODUCT(MAX(ROW(E$1:E4758)*(E4759=E$1:E4758)))))</f>
        <v> </v>
      </c>
      <c r="L4759" s="26"/>
    </row>
    <row r="4760" spans="1:12">
      <c r="A4760" s="20" t="s">
        <v>2943</v>
      </c>
      <c r="E4760" s="21">
        <f>IF(D4760="?OLD","!!!","")</f>
        <v/>
      </c>
      <c r="F4760" s="22" t="str">
        <f>IF(OR(E4760="",E4760="!!!"),"",IF(NOT(ISNA(VLOOKUP(E4760,E$1:E4759,1,FALSE()))),"OLD",IF(AND(E4760&lt;&gt;"",E4760&lt;&gt;"!!!"),"NEW","")))</f>
        <v> </v>
      </c>
      <c r="G4760" s="23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4" t="str">
        <f>IF(J4760&lt;&gt;1,"",IF(I4760="SBJ","CB","?"))</f>
        <v> </v>
      </c>
      <c r="I4760" s="25" t="str">
        <f>IF(OR(E4760="",E4760="!!!",F4760="NEW"),"",INDEX(B4759:B$2,-1+SUMPRODUCT(MAX(ROW(E4759:E$2)*(E4760=E4759:E$2)))))</f>
        <v> </v>
      </c>
      <c r="J4760" s="25" t="str">
        <f>IF(OR(E4760="",E4760="!!!",F4760="NEW"),"",COUNTBLANK(OFFSET(A$1,,,SUMPRODUCT(MAX(ROW(E$2:E4760)*(E4760=E$2:E4760)))))-COUNTBLANK(OFFSET(A$1,,,SUMPRODUCT(MAX(ROW(E$1:E4759)*(E2=E$1:E4759))))))</f>
        <v> </v>
      </c>
      <c r="K4760" s="25" t="str">
        <f>IF(OR(E4760="",E4760="!!!",F4760="NEW"),"",INDEX(J$1:J4759,SUMPRODUCT(MAX(ROW(E$1:E4759)*(E4760=E$1:E4759)))))</f>
        <v> </v>
      </c>
      <c r="L4760" s="26"/>
    </row>
    <row r="4761" spans="1:12">
      <c r="A4761" s="20" t="s">
        <v>1099</v>
      </c>
      <c r="E4761" s="21">
        <f>IF(D4761="?OLD","!!!","")</f>
        <v/>
      </c>
      <c r="F4761" s="22" t="str">
        <f>IF(OR(E4761="",E4761="!!!"),"",IF(NOT(ISNA(VLOOKUP(E4761,E$1:E4760,1,FALSE()))),"OLD",IF(AND(E4761&lt;&gt;"",E4761&lt;&gt;"!!!"),"NEW","")))</f>
        <v> </v>
      </c>
      <c r="G4761" s="23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4" t="str">
        <f>IF(J4761&lt;&gt;1,"",IF(I4761="SBJ","CB","?"))</f>
        <v> </v>
      </c>
      <c r="I4761" s="25" t="str">
        <f>IF(OR(E4761="",E4761="!!!",F4761="NEW"),"",INDEX(B4760:B$2,-1+SUMPRODUCT(MAX(ROW(E4760:E$2)*(E4761=E4760:E$2)))))</f>
        <v> </v>
      </c>
      <c r="J4761" s="25" t="str">
        <f>IF(OR(E4761="",E4761="!!!",F4761="NEW"),"",COUNTBLANK(OFFSET(A$1,,,SUMPRODUCT(MAX(ROW(E$2:E4761)*(E4761=E$2:E4761)))))-COUNTBLANK(OFFSET(A$1,,,SUMPRODUCT(MAX(ROW(E$1:E4760)*(E2=E$1:E4760))))))</f>
        <v> </v>
      </c>
      <c r="K4761" s="25" t="str">
        <f>IF(OR(E4761="",E4761="!!!",F4761="NEW"),"",INDEX(J$1:J4760,SUMPRODUCT(MAX(ROW(E$1:E4760)*(E4761=E$1:E4760)))))</f>
        <v> </v>
      </c>
      <c r="L4761" s="26"/>
    </row>
    <row r="4762" spans="1:12">
      <c r="A4762" s="20" t="s">
        <v>2944</v>
      </c>
      <c r="B4762" s="27" t="s">
        <v>1136</v>
      </c>
      <c r="C4762" s="27" t="s">
        <v>1075</v>
      </c>
      <c r="D4762" s="27" t="s">
        <v>1026</v>
      </c>
      <c r="E4762" s="21">
        <f>IF(D4762="?OLD","!!!","")</f>
        <v/>
      </c>
      <c r="F4762" s="22" t="str">
        <f>IF(OR(E4762="",E4762="!!!"),"",IF(NOT(ISNA(VLOOKUP(E4762,E$1:E4761,1,FALSE()))),"OLD",IF(AND(E4762&lt;&gt;"",E4762&lt;&gt;"!!!"),"NEW","")))</f>
        <v> </v>
      </c>
      <c r="G4762" s="23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4" t="str">
        <f>IF(J4762&lt;&gt;1,"",IF(I4762="SBJ","CB","?"))</f>
        <v> </v>
      </c>
      <c r="I4762" s="25" t="str">
        <f>IF(OR(E4762="",E4762="!!!",F4762="NEW"),"",INDEX(B4761:B$2,-1+SUMPRODUCT(MAX(ROW(E4761:E$2)*(E4762=E4761:E$2)))))</f>
        <v> </v>
      </c>
      <c r="J4762" s="25" t="str">
        <f>IF(OR(E4762="",E4762="!!!",F4762="NEW"),"",COUNTBLANK(OFFSET(A$1,,,SUMPRODUCT(MAX(ROW(E$2:E4762)*(E4762=E$2:E4762)))))-COUNTBLANK(OFFSET(A$1,,,SUMPRODUCT(MAX(ROW(E$1:E4761)*(E2=E$1:E4761))))))</f>
        <v> </v>
      </c>
      <c r="K4762" s="25" t="str">
        <f>IF(OR(E4762="",E4762="!!!",F4762="NEW"),"",INDEX(J$1:J4761,SUMPRODUCT(MAX(ROW(E$1:E4761)*(E4762=E$1:E4761)))))</f>
        <v> </v>
      </c>
      <c r="L4762" s="26"/>
    </row>
    <row r="4763" spans="1:12">
      <c r="A4763" s="20" t="s">
        <v>1693</v>
      </c>
      <c r="E4763" s="21">
        <f>IF(D4763="?OLD","!!!","")</f>
        <v/>
      </c>
      <c r="F4763" s="22" t="str">
        <f>IF(OR(E4763="",E4763="!!!"),"",IF(NOT(ISNA(VLOOKUP(E4763,E$1:E4762,1,FALSE()))),"OLD",IF(AND(E4763&lt;&gt;"",E4763&lt;&gt;"!!!"),"NEW","")))</f>
        <v> </v>
      </c>
      <c r="G4763" s="23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4" t="str">
        <f>IF(J4763&lt;&gt;1,"",IF(I4763="SBJ","CB","?"))</f>
        <v> </v>
      </c>
      <c r="I4763" s="25" t="str">
        <f>IF(OR(E4763="",E4763="!!!",F4763="NEW"),"",INDEX(B4762:B$2,-1+SUMPRODUCT(MAX(ROW(E4762:E$2)*(E4763=E4762:E$2)))))</f>
        <v> </v>
      </c>
      <c r="J4763" s="25" t="str">
        <f>IF(OR(E4763="",E4763="!!!",F4763="NEW"),"",COUNTBLANK(OFFSET(A$1,,,SUMPRODUCT(MAX(ROW(E$2:E4763)*(E4763=E$2:E4763)))))-COUNTBLANK(OFFSET(A$1,,,SUMPRODUCT(MAX(ROW(E$1:E4762)*(E2=E$1:E4762))))))</f>
        <v> </v>
      </c>
      <c r="K4763" s="25" t="str">
        <f>IF(OR(E4763="",E4763="!!!",F4763="NEW"),"",INDEX(J$1:J4762,SUMPRODUCT(MAX(ROW(E$1:E4762)*(E4763=E$1:E4762)))))</f>
        <v> </v>
      </c>
      <c r="L4763" s="26"/>
    </row>
    <row r="4764" spans="1:12">
      <c r="A4764" s="20" t="s">
        <v>2426</v>
      </c>
      <c r="E4764" s="21">
        <f>IF(D4764="?OLD","!!!","")</f>
        <v/>
      </c>
      <c r="F4764" s="22" t="str">
        <f>IF(OR(E4764="",E4764="!!!"),"",IF(NOT(ISNA(VLOOKUP(E4764,E$1:E4763,1,FALSE()))),"OLD",IF(AND(E4764&lt;&gt;"",E4764&lt;&gt;"!!!"),"NEW","")))</f>
        <v> </v>
      </c>
      <c r="G4764" s="23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4" t="str">
        <f>IF(J4764&lt;&gt;1,"",IF(I4764="SBJ","CB","?"))</f>
        <v> </v>
      </c>
      <c r="I4764" s="25" t="str">
        <f>IF(OR(E4764="",E4764="!!!",F4764="NEW"),"",INDEX(B4763:B$2,-1+SUMPRODUCT(MAX(ROW(E4763:E$2)*(E4764=E4763:E$2)))))</f>
        <v> </v>
      </c>
      <c r="J4764" s="25" t="str">
        <f>IF(OR(E4764="",E4764="!!!",F4764="NEW"),"",COUNTBLANK(OFFSET(A$1,,,SUMPRODUCT(MAX(ROW(E$2:E4764)*(E4764=E$2:E4764)))))-COUNTBLANK(OFFSET(A$1,,,SUMPRODUCT(MAX(ROW(E$1:E4763)*(E2=E$1:E4763))))))</f>
        <v> </v>
      </c>
      <c r="K4764" s="25" t="str">
        <f>IF(OR(E4764="",E4764="!!!",F4764="NEW"),"",INDEX(J$1:J4763,SUMPRODUCT(MAX(ROW(E$1:E4763)*(E4764=E$1:E4763)))))</f>
        <v> </v>
      </c>
      <c r="L4764" s="26"/>
    </row>
    <row r="4765" spans="1:12">
      <c r="A4765" s="20" t="s">
        <v>1754</v>
      </c>
      <c r="E4765" s="21">
        <f>IF(D4765="?OLD","!!!","")</f>
        <v/>
      </c>
      <c r="F4765" s="22" t="str">
        <f>IF(OR(E4765="",E4765="!!!"),"",IF(NOT(ISNA(VLOOKUP(E4765,E$1:E4764,1,FALSE()))),"OLD",IF(AND(E4765&lt;&gt;"",E4765&lt;&gt;"!!!"),"NEW","")))</f>
        <v> </v>
      </c>
      <c r="G4765" s="23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4" t="str">
        <f>IF(J4765&lt;&gt;1,"",IF(I4765="SBJ","CB","?"))</f>
        <v> </v>
      </c>
      <c r="I4765" s="25" t="str">
        <f>IF(OR(E4765="",E4765="!!!",F4765="NEW"),"",INDEX(B4764:B$2,-1+SUMPRODUCT(MAX(ROW(E4764:E$2)*(E4765=E4764:E$2)))))</f>
        <v> </v>
      </c>
      <c r="J4765" s="25" t="str">
        <f>IF(OR(E4765="",E4765="!!!",F4765="NEW"),"",COUNTBLANK(OFFSET(A$1,,,SUMPRODUCT(MAX(ROW(E$2:E4765)*(E4765=E$2:E4765)))))-COUNTBLANK(OFFSET(A$1,,,SUMPRODUCT(MAX(ROW(E$1:E4764)*(E2=E$1:E4764))))))</f>
        <v> </v>
      </c>
      <c r="K4765" s="25" t="str">
        <f>IF(OR(E4765="",E4765="!!!",F4765="NEW"),"",INDEX(J$1:J4764,SUMPRODUCT(MAX(ROW(E$1:E4764)*(E4765=E$1:E4764)))))</f>
        <v> </v>
      </c>
      <c r="L4765" s="26"/>
    </row>
    <row r="4766" spans="1:12">
      <c r="A4766" s="20" t="s">
        <v>1695</v>
      </c>
      <c r="E4766" s="21">
        <f>IF(D4766="?OLD","!!!","")</f>
        <v/>
      </c>
      <c r="F4766" s="22" t="str">
        <f>IF(OR(E4766="",E4766="!!!"),"",IF(NOT(ISNA(VLOOKUP(E4766,E$1:E4765,1,FALSE()))),"OLD",IF(AND(E4766&lt;&gt;"",E4766&lt;&gt;"!!!"),"NEW","")))</f>
        <v> </v>
      </c>
      <c r="G4766" s="23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4" t="str">
        <f>IF(J4766&lt;&gt;1,"",IF(I4766="SBJ","CB","?"))</f>
        <v> </v>
      </c>
      <c r="I4766" s="25" t="str">
        <f>IF(OR(E4766="",E4766="!!!",F4766="NEW"),"",INDEX(B4765:B$2,-1+SUMPRODUCT(MAX(ROW(E4765:E$2)*(E4766=E4765:E$2)))))</f>
        <v> </v>
      </c>
      <c r="J4766" s="25" t="str">
        <f>IF(OR(E4766="",E4766="!!!",F4766="NEW"),"",COUNTBLANK(OFFSET(A$1,,,SUMPRODUCT(MAX(ROW(E$2:E4766)*(E4766=E$2:E4766)))))-COUNTBLANK(OFFSET(A$1,,,SUMPRODUCT(MAX(ROW(E$1:E4765)*(E2=E$1:E4765))))))</f>
        <v> </v>
      </c>
      <c r="K4766" s="25" t="str">
        <f>IF(OR(E4766="",E4766="!!!",F4766="NEW"),"",INDEX(J$1:J4765,SUMPRODUCT(MAX(ROW(E$1:E4765)*(E4766=E$1:E4765)))))</f>
        <v> </v>
      </c>
      <c r="L4766" s="26"/>
    </row>
    <row r="4767" spans="1:12">
      <c r="A4767" s="20" t="s">
        <v>2483</v>
      </c>
      <c r="E4767" s="21">
        <f>IF(D4767="?OLD","!!!","")</f>
        <v/>
      </c>
      <c r="F4767" s="22" t="str">
        <f>IF(OR(E4767="",E4767="!!!"),"",IF(NOT(ISNA(VLOOKUP(E4767,E$1:E4766,1,FALSE()))),"OLD",IF(AND(E4767&lt;&gt;"",E4767&lt;&gt;"!!!"),"NEW","")))</f>
        <v> </v>
      </c>
      <c r="G4767" s="23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4" t="str">
        <f>IF(J4767&lt;&gt;1,"",IF(I4767="SBJ","CB","?"))</f>
        <v> </v>
      </c>
      <c r="I4767" s="25" t="str">
        <f>IF(OR(E4767="",E4767="!!!",F4767="NEW"),"",INDEX(B4766:B$2,-1+SUMPRODUCT(MAX(ROW(E4766:E$2)*(E4767=E4766:E$2)))))</f>
        <v> </v>
      </c>
      <c r="J4767" s="25" t="str">
        <f>IF(OR(E4767="",E4767="!!!",F4767="NEW"),"",COUNTBLANK(OFFSET(A$1,,,SUMPRODUCT(MAX(ROW(E$2:E4767)*(E4767=E$2:E4767)))))-COUNTBLANK(OFFSET(A$1,,,SUMPRODUCT(MAX(ROW(E$1:E4766)*(E2=E$1:E4766))))))</f>
        <v> </v>
      </c>
      <c r="K4767" s="25" t="str">
        <f>IF(OR(E4767="",E4767="!!!",F4767="NEW"),"",INDEX(J$1:J4766,SUMPRODUCT(MAX(ROW(E$1:E4766)*(E4767=E$1:E4766)))))</f>
        <v> </v>
      </c>
      <c r="L4767" s="26"/>
    </row>
    <row r="4768" spans="1:12">
      <c r="A4768" s="20" t="s">
        <v>1212</v>
      </c>
      <c r="E4768" s="21">
        <f>IF(D4768="?OLD","!!!","")</f>
        <v/>
      </c>
      <c r="F4768" s="22" t="str">
        <f>IF(OR(E4768="",E4768="!!!"),"",IF(NOT(ISNA(VLOOKUP(E4768,E$1:E4767,1,FALSE()))),"OLD",IF(AND(E4768&lt;&gt;"",E4768&lt;&gt;"!!!"),"NEW","")))</f>
        <v> </v>
      </c>
      <c r="G4768" s="23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4" t="str">
        <f>IF(J4768&lt;&gt;1,"",IF(I4768="SBJ","CB","?"))</f>
        <v> </v>
      </c>
      <c r="I4768" s="25" t="str">
        <f>IF(OR(E4768="",E4768="!!!",F4768="NEW"),"",INDEX(B4767:B$2,-1+SUMPRODUCT(MAX(ROW(E4767:E$2)*(E4768=E4767:E$2)))))</f>
        <v> </v>
      </c>
      <c r="J4768" s="25" t="str">
        <f>IF(OR(E4768="",E4768="!!!",F4768="NEW"),"",COUNTBLANK(OFFSET(A$1,,,SUMPRODUCT(MAX(ROW(E$2:E4768)*(E4768=E$2:E4768)))))-COUNTBLANK(OFFSET(A$1,,,SUMPRODUCT(MAX(ROW(E$1:E4767)*(E2=E$1:E4767))))))</f>
        <v> </v>
      </c>
      <c r="K4768" s="25" t="str">
        <f>IF(OR(E4768="",E4768="!!!",F4768="NEW"),"",INDEX(J$1:J4767,SUMPRODUCT(MAX(ROW(E$1:E4767)*(E4768=E$1:E4767)))))</f>
        <v> </v>
      </c>
      <c r="L4768" s="26"/>
    </row>
    <row r="4769" spans="1:12">
      <c r="A4769" s="20" t="s">
        <v>1041</v>
      </c>
      <c r="E4769" s="21">
        <f>IF(D4769="?OLD","!!!","")</f>
        <v/>
      </c>
      <c r="F4769" s="22" t="str">
        <f>IF(OR(E4769="",E4769="!!!"),"",IF(NOT(ISNA(VLOOKUP(E4769,E$1:E4768,1,FALSE()))),"OLD",IF(AND(E4769&lt;&gt;"",E4769&lt;&gt;"!!!"),"NEW","")))</f>
        <v> </v>
      </c>
      <c r="G4769" s="23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4" t="str">
        <f>IF(J4769&lt;&gt;1,"",IF(I4769="SBJ","CB","?"))</f>
        <v> </v>
      </c>
      <c r="I4769" s="25" t="str">
        <f>IF(OR(E4769="",E4769="!!!",F4769="NEW"),"",INDEX(B4768:B$2,-1+SUMPRODUCT(MAX(ROW(E4768:E$2)*(E4769=E4768:E$2)))))</f>
        <v> </v>
      </c>
      <c r="J4769" s="25" t="str">
        <f>IF(OR(E4769="",E4769="!!!",F4769="NEW"),"",COUNTBLANK(OFFSET(A$1,,,SUMPRODUCT(MAX(ROW(E$2:E4769)*(E4769=E$2:E4769)))))-COUNTBLANK(OFFSET(A$1,,,SUMPRODUCT(MAX(ROW(E$1:E4768)*(E2=E$1:E4768))))))</f>
        <v> </v>
      </c>
      <c r="K4769" s="25" t="str">
        <f>IF(OR(E4769="",E4769="!!!",F4769="NEW"),"",INDEX(J$1:J4768,SUMPRODUCT(MAX(ROW(E$1:E4768)*(E4769=E$1:E4768)))))</f>
        <v> </v>
      </c>
      <c r="L4769" s="26"/>
    </row>
    <row r="4770" spans="1:12">
      <c r="A4770" s="20" t="s">
        <v>1050</v>
      </c>
      <c r="E4770" s="21">
        <f>IF(D4770="?OLD","!!!","")</f>
        <v/>
      </c>
      <c r="F4770" s="22" t="str">
        <f>IF(OR(E4770="",E4770="!!!"),"",IF(NOT(ISNA(VLOOKUP(E4770,E$1:E4769,1,FALSE()))),"OLD",IF(AND(E4770&lt;&gt;"",E4770&lt;&gt;"!!!"),"NEW","")))</f>
        <v> </v>
      </c>
      <c r="G4770" s="23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4" t="str">
        <f>IF(J4770&lt;&gt;1,"",IF(I4770="SBJ","CB","?"))</f>
        <v> </v>
      </c>
      <c r="I4770" s="25" t="str">
        <f>IF(OR(E4770="",E4770="!!!",F4770="NEW"),"",INDEX(B4769:B$2,-1+SUMPRODUCT(MAX(ROW(E4769:E$2)*(E4770=E4769:E$2)))))</f>
        <v> </v>
      </c>
      <c r="J4770" s="25" t="str">
        <f>IF(OR(E4770="",E4770="!!!",F4770="NEW"),"",COUNTBLANK(OFFSET(A$1,,,SUMPRODUCT(MAX(ROW(E$2:E4770)*(E4770=E$2:E4770)))))-COUNTBLANK(OFFSET(A$1,,,SUMPRODUCT(MAX(ROW(E$1:E4769)*(E2=E$1:E4769))))))</f>
        <v> </v>
      </c>
      <c r="K4770" s="25" t="str">
        <f>IF(OR(E4770="",E4770="!!!",F4770="NEW"),"",INDEX(J$1:J4769,SUMPRODUCT(MAX(ROW(E$1:E4769)*(E4770=E$1:E4769)))))</f>
        <v> </v>
      </c>
      <c r="L4770" s="26"/>
    </row>
    <row r="4771" spans="1:12">
      <c r="A4771" s="20" t="s">
        <v>2198</v>
      </c>
      <c r="B4771" s="27" t="s">
        <v>1084</v>
      </c>
      <c r="C4771" s="27" t="s">
        <v>1075</v>
      </c>
      <c r="D4771" s="27" t="s">
        <v>1026</v>
      </c>
      <c r="E4771" s="21">
        <f>IF(D4771="?OLD","!!!","")</f>
        <v/>
      </c>
      <c r="F4771" s="22" t="str">
        <f>IF(OR(E4771="",E4771="!!!"),"",IF(NOT(ISNA(VLOOKUP(E4771,E$1:E4770,1,FALSE()))),"OLD",IF(AND(E4771&lt;&gt;"",E4771&lt;&gt;"!!!"),"NEW","")))</f>
        <v> </v>
      </c>
      <c r="G4771" s="23" t="str">
        <f>IF(OR(E4771="",E4771="!!!"),"",IF(OR(J4771=0,AND(J4771=1,K4771=1),AND(J4771=1,I4771="SBJ"),AND(J4771=1,I4771=0)),"?IN_FOCUS",IF(J4771&lt;=2,"?ACTIVATED",IF(J4771&lt;&gt;"","?FAMILIAR",IF(F4771="NEW",IF(ISNA(VLOOKUP(E4771,#REF!,1,FALSE())),"?TYPE_IDENTIFIABLE","?REFERENTIAL"),"_")))))</f>
        <v> </v>
      </c>
      <c r="H4771" s="24" t="str">
        <f>IF(J4771&lt;&gt;1,"",IF(I4771="SBJ","CB","?"))</f>
        <v> </v>
      </c>
      <c r="I4771" s="25" t="str">
        <f>IF(OR(E4771="",E4771="!!!",F4771="NEW"),"",INDEX(B4770:B$2,-1+SUMPRODUCT(MAX(ROW(E4770:E$2)*(E4771=E4770:E$2)))))</f>
        <v> </v>
      </c>
      <c r="J4771" s="25" t="str">
        <f>IF(OR(E4771="",E4771="!!!",F4771="NEW"),"",COUNTBLANK(OFFSET(A$1,,,SUMPRODUCT(MAX(ROW(E$2:E4771)*(E4771=E$2:E4771)))))-COUNTBLANK(OFFSET(A$1,,,SUMPRODUCT(MAX(ROW(E$1:E4770)*(E2=E$1:E4770))))))</f>
        <v> </v>
      </c>
      <c r="K4771" s="25" t="str">
        <f>IF(OR(E4771="",E4771="!!!",F4771="NEW"),"",INDEX(J$1:J4770,SUMPRODUCT(MAX(ROW(E$1:E4770)*(E4771=E$1:E4770)))))</f>
        <v> </v>
      </c>
      <c r="L4771" s="26"/>
    </row>
    <row r="4772" spans="1:12">
      <c r="A4772" s="20" t="s">
        <v>1041</v>
      </c>
      <c r="E4772" s="21">
        <f>IF(D4772="?OLD","!!!","")</f>
        <v/>
      </c>
      <c r="F4772" s="22" t="str">
        <f>IF(OR(E4772="",E4772="!!!"),"",IF(NOT(ISNA(VLOOKUP(E4772,E$1:E4771,1,FALSE()))),"OLD",IF(AND(E4772&lt;&gt;"",E4772&lt;&gt;"!!!"),"NEW","")))</f>
        <v> </v>
      </c>
      <c r="G4772" s="23" t="str">
        <f>IF(OR(E4772="",E4772="!!!"),"",IF(OR(J4772=0,AND(J4772=1,K4772=1),AND(J4772=1,I4772="SBJ"),AND(J4772=1,I4772=0)),"?IN_FOCUS",IF(J4772&lt;=2,"?ACTIVATED",IF(J4772&lt;&gt;"","?FAMILIAR",IF(F4772="NEW",IF(ISNA(VLOOKUP(E4772,#REF!,1,FALSE())),"?TYPE_IDENTIFIABLE","?REFERENTIAL"),"_")))))</f>
        <v> </v>
      </c>
      <c r="H4772" s="24" t="str">
        <f>IF(J4772&lt;&gt;1,"",IF(I4772="SBJ","CB","?"))</f>
        <v> </v>
      </c>
      <c r="I4772" s="25" t="str">
        <f>IF(OR(E4772="",E4772="!!!",F4772="NEW"),"",INDEX(B4771:B$2,-1+SUMPRODUCT(MAX(ROW(E4771:E$2)*(E4772=E4771:E$2)))))</f>
        <v> </v>
      </c>
      <c r="J4772" s="25" t="str">
        <f>IF(OR(E4772="",E4772="!!!",F4772="NEW"),"",COUNTBLANK(OFFSET(A$1,,,SUMPRODUCT(MAX(ROW(E$2:E4772)*(E4772=E$2:E4772)))))-COUNTBLANK(OFFSET(A$1,,,SUMPRODUCT(MAX(ROW(E$1:E4771)*(E2=E$1:E4771))))))</f>
        <v> </v>
      </c>
      <c r="K4772" s="25" t="str">
        <f>IF(OR(E4772="",E4772="!!!",F4772="NEW"),"",INDEX(J$1:J4771,SUMPRODUCT(MAX(ROW(E$1:E4771)*(E4772=E$1:E4771)))))</f>
        <v> </v>
      </c>
      <c r="L4772" s="26"/>
    </row>
    <row r="4773" spans="1:12">
      <c r="A4773" s="20" t="s">
        <v>284</v>
      </c>
      <c r="E4773" s="21">
        <f>IF(D4773="?OLD","!!!","")</f>
        <v/>
      </c>
      <c r="F4773" s="22" t="str">
        <f>IF(OR(E4773="",E4773="!!!"),"",IF(NOT(ISNA(VLOOKUP(E4773,E$1:E4772,1,FALSE()))),"OLD",IF(AND(E4773&lt;&gt;"",E4773&lt;&gt;"!!!"),"NEW","")))</f>
        <v> </v>
      </c>
      <c r="G4773" s="23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4" t="str">
        <f>IF(J4773&lt;&gt;1,"",IF(I4773="SBJ","CB","?"))</f>
        <v> </v>
      </c>
      <c r="I4773" s="25" t="str">
        <f>IF(OR(E4773="",E4773="!!!",F4773="NEW"),"",INDEX(B4772:B$2,-1+SUMPRODUCT(MAX(ROW(E4772:E$2)*(E4773=E4772:E$2)))))</f>
        <v> </v>
      </c>
      <c r="J4773" s="25" t="str">
        <f>IF(OR(E4773="",E4773="!!!",F4773="NEW"),"",COUNTBLANK(OFFSET(A$1,,,SUMPRODUCT(MAX(ROW(E$2:E4773)*(E4773=E$2:E4773)))))-COUNTBLANK(OFFSET(A$1,,,SUMPRODUCT(MAX(ROW(E$1:E4772)*(E2=E$1:E4772))))))</f>
        <v> </v>
      </c>
      <c r="K4773" s="25" t="str">
        <f>IF(OR(E4773="",E4773="!!!",F4773="NEW"),"",INDEX(J$1:J4772,SUMPRODUCT(MAX(ROW(E$1:E4772)*(E4773=E$1:E4772)))))</f>
        <v> </v>
      </c>
      <c r="L4773" s="26"/>
    </row>
    <row r="4774" spans="1:12">
      <c r="A4774" s="20" t="s">
        <v>1108</v>
      </c>
      <c r="E4774" s="21">
        <f>IF(D4774="?OLD","!!!","")</f>
        <v/>
      </c>
      <c r="F4774" s="22" t="str">
        <f>IF(OR(E4774="",E4774="!!!"),"",IF(NOT(ISNA(VLOOKUP(E4774,E$1:E4773,1,FALSE()))),"OLD",IF(AND(E4774&lt;&gt;"",E4774&lt;&gt;"!!!"),"NEW","")))</f>
        <v> </v>
      </c>
      <c r="G4774" s="23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4" t="str">
        <f>IF(J4774&lt;&gt;1,"",IF(I4774="SBJ","CB","?"))</f>
        <v> </v>
      </c>
      <c r="I4774" s="25" t="str">
        <f>IF(OR(E4774="",E4774="!!!",F4774="NEW"),"",INDEX(B4773:B$2,-1+SUMPRODUCT(MAX(ROW(E4773:E$2)*(E4774=E4773:E$2)))))</f>
        <v> </v>
      </c>
      <c r="J4774" s="25" t="str">
        <f>IF(OR(E4774="",E4774="!!!",F4774="NEW"),"",COUNTBLANK(OFFSET(A$1,,,SUMPRODUCT(MAX(ROW(E$2:E4774)*(E4774=E$2:E4774)))))-COUNTBLANK(OFFSET(A$1,,,SUMPRODUCT(MAX(ROW(E$1:E4773)*(E2=E$1:E4773))))))</f>
        <v> </v>
      </c>
      <c r="K4774" s="25" t="str">
        <f>IF(OR(E4774="",E4774="!!!",F4774="NEW"),"",INDEX(J$1:J4773,SUMPRODUCT(MAX(ROW(E$1:E4773)*(E4774=E$1:E4773)))))</f>
        <v> </v>
      </c>
      <c r="L4774" s="26"/>
    </row>
    <row r="4775" spans="1:12">
      <c r="A4775" s="20" t="s">
        <v>2945</v>
      </c>
      <c r="E4775" s="21">
        <f>IF(D4775="?OLD","!!!","")</f>
        <v/>
      </c>
      <c r="F4775" s="22" t="str">
        <f>IF(OR(E4775="",E4775="!!!"),"",IF(NOT(ISNA(VLOOKUP(E4775,E$1:E4774,1,FALSE()))),"OLD",IF(AND(E4775&lt;&gt;"",E4775&lt;&gt;"!!!"),"NEW","")))</f>
        <v> </v>
      </c>
      <c r="G4775" s="23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4" t="str">
        <f>IF(J4775&lt;&gt;1,"",IF(I4775="SBJ","CB","?"))</f>
        <v> </v>
      </c>
      <c r="I4775" s="25" t="str">
        <f>IF(OR(E4775="",E4775="!!!",F4775="NEW"),"",INDEX(B4774:B$2,-1+SUMPRODUCT(MAX(ROW(E4774:E$2)*(E4775=E4774:E$2)))))</f>
        <v> </v>
      </c>
      <c r="J4775" s="25" t="str">
        <f>IF(OR(E4775="",E4775="!!!",F4775="NEW"),"",COUNTBLANK(OFFSET(A$1,,,SUMPRODUCT(MAX(ROW(E$2:E4775)*(E4775=E$2:E4775)))))-COUNTBLANK(OFFSET(A$1,,,SUMPRODUCT(MAX(ROW(E$1:E4774)*(E2=E$1:E4774))))))</f>
        <v> </v>
      </c>
      <c r="K4775" s="25" t="str">
        <f>IF(OR(E4775="",E4775="!!!",F4775="NEW"),"",INDEX(J$1:J4774,SUMPRODUCT(MAX(ROW(E$1:E4774)*(E4775=E$1:E4774)))))</f>
        <v> </v>
      </c>
      <c r="L4775" s="26"/>
    </row>
    <row r="4776" spans="1:12">
      <c r="A4776" s="20" t="s">
        <v>1099</v>
      </c>
      <c r="E4776" s="21">
        <f>IF(D4776="?OLD","!!!","")</f>
        <v/>
      </c>
      <c r="F4776" s="22" t="str">
        <f>IF(OR(E4776="",E4776="!!!"),"",IF(NOT(ISNA(VLOOKUP(E4776,E$1:E4775,1,FALSE()))),"OLD",IF(AND(E4776&lt;&gt;"",E4776&lt;&gt;"!!!"),"NEW","")))</f>
        <v> </v>
      </c>
      <c r="G4776" s="23" t="str">
        <f>IF(OR(E4776="",E4776="!!!"),"",IF(OR(J4776=0,AND(J4776=1,K4776=1),AND(J4776=1,I4776="SBJ"),AND(J4776=1,I4776=0)),"?IN_FOCUS",IF(J4776&lt;=2,"?ACTIVATED",IF(J4776&lt;&gt;"","?FAMILIAR",IF(F4776="NEW",IF(ISNA(VLOOKUP(E4776,#REF!,1,FALSE())),"?TYPE_IDENTIFIABLE","?REFERENTIAL"),"_")))))</f>
        <v> </v>
      </c>
      <c r="H4776" s="24" t="str">
        <f>IF(J4776&lt;&gt;1,"",IF(I4776="SBJ","CB","?"))</f>
        <v> </v>
      </c>
      <c r="I4776" s="25" t="str">
        <f>IF(OR(E4776="",E4776="!!!",F4776="NEW"),"",INDEX(B4775:B$2,-1+SUMPRODUCT(MAX(ROW(E4775:E$2)*(E4776=E4775:E$2)))))</f>
        <v> </v>
      </c>
      <c r="J4776" s="25" t="str">
        <f>IF(OR(E4776="",E4776="!!!",F4776="NEW"),"",COUNTBLANK(OFFSET(A$1,,,SUMPRODUCT(MAX(ROW(E$2:E4776)*(E4776=E$2:E4776)))))-COUNTBLANK(OFFSET(A$1,,,SUMPRODUCT(MAX(ROW(E$1:E4775)*(E2=E$1:E4775))))))</f>
        <v> </v>
      </c>
      <c r="K4776" s="25" t="str">
        <f>IF(OR(E4776="",E4776="!!!",F4776="NEW"),"",INDEX(J$1:J4775,SUMPRODUCT(MAX(ROW(E$1:E4775)*(E4776=E$1:E4775)))))</f>
        <v> </v>
      </c>
      <c r="L4776" s="26"/>
    </row>
    <row r="4777" spans="1:12">
      <c r="A4777" s="20" t="s">
        <v>47</v>
      </c>
      <c r="E4777" s="21">
        <f>IF(D4777="?OLD","!!!","")</f>
        <v/>
      </c>
      <c r="F4777" s="22" t="str">
        <f>IF(OR(E4777="",E4777="!!!"),"",IF(NOT(ISNA(VLOOKUP(E4777,E$1:E4776,1,FALSE()))),"OLD",IF(AND(E4777&lt;&gt;"",E4777&lt;&gt;"!!!"),"NEW","")))</f>
        <v> </v>
      </c>
      <c r="G4777" s="23" t="str">
        <f>IF(OR(E4777="",E4777="!!!"),"",IF(OR(J4777=0,AND(J4777=1,K4777=1),AND(J4777=1,I4777="SBJ"),AND(J4777=1,I4777=0)),"?IN_FOCUS",IF(J4777&lt;=2,"?ACTIVATED",IF(J4777&lt;&gt;"","?FAMILIAR",IF(F4777="NEW",IF(ISNA(VLOOKUP(E4777,#REF!,1,FALSE())),"?TYPE_IDENTIFIABLE","?REFERENTIAL"),"_")))))</f>
        <v> </v>
      </c>
      <c r="H4777" s="24" t="str">
        <f>IF(J4777&lt;&gt;1,"",IF(I4777="SBJ","CB","?"))</f>
        <v> </v>
      </c>
      <c r="I4777" s="25" t="str">
        <f>IF(OR(E4777="",E4777="!!!",F4777="NEW"),"",INDEX(B4776:B$2,-1+SUMPRODUCT(MAX(ROW(E4776:E$2)*(E4777=E4776:E$2)))))</f>
        <v> </v>
      </c>
      <c r="J4777" s="25" t="str">
        <f>IF(OR(E4777="",E4777="!!!",F4777="NEW"),"",COUNTBLANK(OFFSET(A$1,,,SUMPRODUCT(MAX(ROW(E$2:E4777)*(E4777=E$2:E4777)))))-COUNTBLANK(OFFSET(A$1,,,SUMPRODUCT(MAX(ROW(E$1:E4776)*(E2=E$1:E4776))))))</f>
        <v> </v>
      </c>
      <c r="K4777" s="25" t="str">
        <f>IF(OR(E4777="",E4777="!!!",F4777="NEW"),"",INDEX(J$1:J4776,SUMPRODUCT(MAX(ROW(E$1:E4776)*(E4777=E$1:E4776)))))</f>
        <v> </v>
      </c>
      <c r="L4777" s="26"/>
    </row>
    <row r="4778" spans="1:12">
      <c r="A4778" s="20" t="s">
        <v>1068</v>
      </c>
      <c r="B4778" s="27" t="s">
        <v>1339</v>
      </c>
      <c r="C4778" s="27" t="s">
        <v>1049</v>
      </c>
      <c r="E4778" s="21">
        <f>IF(D4778="?OLD","!!!","")</f>
        <v/>
      </c>
      <c r="F4778" s="22" t="str">
        <f>IF(OR(E4778="",E4778="!!!"),"",IF(NOT(ISNA(VLOOKUP(E4778,E$1:E4777,1,FALSE()))),"OLD",IF(AND(E4778&lt;&gt;"",E4778&lt;&gt;"!!!"),"NEW","")))</f>
        <v> </v>
      </c>
      <c r="G4778" s="23" t="str">
        <f>IF(OR(E4778="",E4778="!!!"),"",IF(OR(J4778=0,AND(J4778=1,K4778=1),AND(J4778=1,I4778="SBJ"),AND(J4778=1,I4778=0)),"?IN_FOCUS",IF(J4778&lt;=2,"?ACTIVATED",IF(J4778&lt;&gt;"","?FAMILIAR",IF(F4778="NEW",IF(ISNA(VLOOKUP(E4778,#REF!,1,FALSE())),"?TYPE_IDENTIFIABLE","?REFERENTIAL"),"_")))))</f>
        <v> </v>
      </c>
      <c r="H4778" s="24" t="str">
        <f>IF(J4778&lt;&gt;1,"",IF(I4778="SBJ","CB","?"))</f>
        <v> </v>
      </c>
      <c r="I4778" s="25" t="str">
        <f>IF(OR(E4778="",E4778="!!!",F4778="NEW"),"",INDEX(B4777:B$2,-1+SUMPRODUCT(MAX(ROW(E4777:E$2)*(E4778=E4777:E$2)))))</f>
        <v> </v>
      </c>
      <c r="J4778" s="25" t="str">
        <f>IF(OR(E4778="",E4778="!!!",F4778="NEW"),"",COUNTBLANK(OFFSET(A$1,,,SUMPRODUCT(MAX(ROW(E$2:E4778)*(E4778=E$2:E4778)))))-COUNTBLANK(OFFSET(A$1,,,SUMPRODUCT(MAX(ROW(E$1:E4777)*(E2=E$1:E4777))))))</f>
        <v> </v>
      </c>
      <c r="K4778" s="25" t="str">
        <f>IF(OR(E4778="",E4778="!!!",F4778="NEW"),"",INDEX(J$1:J4777,SUMPRODUCT(MAX(ROW(E$1:E4777)*(E4778=E$1:E4777)))))</f>
        <v> </v>
      </c>
      <c r="L4778" s="26"/>
    </row>
    <row r="4779" spans="1:12">
      <c r="A4779" s="20" t="s">
        <v>1050</v>
      </c>
      <c r="E4779" s="21">
        <f>IF(D4779="?OLD","!!!","")</f>
        <v/>
      </c>
      <c r="F4779" s="22" t="str">
        <f>IF(OR(E4779="",E4779="!!!"),"",IF(NOT(ISNA(VLOOKUP(E4779,E$1:E4778,1,FALSE()))),"OLD",IF(AND(E4779&lt;&gt;"",E4779&lt;&gt;"!!!"),"NEW","")))</f>
        <v> </v>
      </c>
      <c r="G4779" s="23" t="str">
        <f>IF(OR(E4779="",E4779="!!!"),"",IF(OR(J4779=0,AND(J4779=1,K4779=1),AND(J4779=1,I4779="SBJ"),AND(J4779=1,I4779=0)),"?IN_FOCUS",IF(J4779&lt;=2,"?ACTIVATED",IF(J4779&lt;&gt;"","?FAMILIAR",IF(F4779="NEW",IF(ISNA(VLOOKUP(E4779,#REF!,1,FALSE())),"?TYPE_IDENTIFIABLE","?REFERENTIAL"),"_")))))</f>
        <v> </v>
      </c>
      <c r="H4779" s="24" t="str">
        <f>IF(J4779&lt;&gt;1,"",IF(I4779="SBJ","CB","?"))</f>
        <v> </v>
      </c>
      <c r="I4779" s="25" t="str">
        <f>IF(OR(E4779="",E4779="!!!",F4779="NEW"),"",INDEX(B4778:B$2,-1+SUMPRODUCT(MAX(ROW(E4778:E$2)*(E4779=E4778:E$2)))))</f>
        <v> </v>
      </c>
      <c r="J4779" s="25" t="str">
        <f>IF(OR(E4779="",E4779="!!!",F4779="NEW"),"",COUNTBLANK(OFFSET(A$1,,,SUMPRODUCT(MAX(ROW(E$2:E4779)*(E4779=E$2:E4779)))))-COUNTBLANK(OFFSET(A$1,,,SUMPRODUCT(MAX(ROW(E$1:E4778)*(E2=E$1:E4778))))))</f>
        <v> </v>
      </c>
      <c r="K4779" s="25" t="str">
        <f>IF(OR(E4779="",E4779="!!!",F4779="NEW"),"",INDEX(J$1:J4778,SUMPRODUCT(MAX(ROW(E$1:E4778)*(E4779=E$1:E4778)))))</f>
        <v> </v>
      </c>
      <c r="L4779" s="26"/>
    </row>
    <row r="4780" spans="1:12">
      <c r="A4780" s="20" t="s">
        <v>1345</v>
      </c>
      <c r="E4780" s="21">
        <f>IF(D4780="?OLD","!!!","")</f>
        <v/>
      </c>
      <c r="F4780" s="22" t="str">
        <f>IF(OR(E4780="",E4780="!!!"),"",IF(NOT(ISNA(VLOOKUP(E4780,E$1:E4779,1,FALSE()))),"OLD",IF(AND(E4780&lt;&gt;"",E4780&lt;&gt;"!!!"),"NEW","")))</f>
        <v> </v>
      </c>
      <c r="G4780" s="23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4" t="str">
        <f>IF(J4780&lt;&gt;1,"",IF(I4780="SBJ","CB","?"))</f>
        <v> </v>
      </c>
      <c r="I4780" s="25" t="str">
        <f>IF(OR(E4780="",E4780="!!!",F4780="NEW"),"",INDEX(B4779:B$2,-1+SUMPRODUCT(MAX(ROW(E4779:E$2)*(E4780=E4779:E$2)))))</f>
        <v> </v>
      </c>
      <c r="J4780" s="25" t="str">
        <f>IF(OR(E4780="",E4780="!!!",F4780="NEW"),"",COUNTBLANK(OFFSET(A$1,,,SUMPRODUCT(MAX(ROW(E$2:E4780)*(E4780=E$2:E4780)))))-COUNTBLANK(OFFSET(A$1,,,SUMPRODUCT(MAX(ROW(E$1:E4779)*(E2=E$1:E4779))))))</f>
        <v> </v>
      </c>
      <c r="K4780" s="25" t="str">
        <f>IF(OR(E4780="",E4780="!!!",F4780="NEW"),"",INDEX(J$1:J4779,SUMPRODUCT(MAX(ROW(E$1:E4779)*(E4780=E$1:E4779)))))</f>
        <v> </v>
      </c>
      <c r="L4780" s="26"/>
    </row>
    <row r="4781" spans="1:12">
      <c r="A4781" s="20" t="s">
        <v>1927</v>
      </c>
      <c r="E4781" s="21">
        <f>IF(D4781="?OLD","!!!","")</f>
        <v/>
      </c>
      <c r="F4781" s="22" t="str">
        <f>IF(OR(E4781="",E4781="!!!"),"",IF(NOT(ISNA(VLOOKUP(E4781,E$1:E4780,1,FALSE()))),"OLD",IF(AND(E4781&lt;&gt;"",E4781&lt;&gt;"!!!"),"NEW","")))</f>
        <v> </v>
      </c>
      <c r="G4781" s="23" t="str">
        <f>IF(OR(E4781="",E4781="!!!"),"",IF(OR(J4781=0,AND(J4781=1,K4781=1),AND(J4781=1,I4781="SBJ"),AND(J4781=1,I4781=0)),"?IN_FOCUS",IF(J4781&lt;=2,"?ACTIVATED",IF(J4781&lt;&gt;"","?FAMILIAR",IF(F4781="NEW",IF(ISNA(VLOOKUP(E4781,#REF!,1,FALSE())),"?TYPE_IDENTIFIABLE","?REFERENTIAL"),"_")))))</f>
        <v> </v>
      </c>
      <c r="H4781" s="24" t="str">
        <f>IF(J4781&lt;&gt;1,"",IF(I4781="SBJ","CB","?"))</f>
        <v> </v>
      </c>
      <c r="I4781" s="25" t="str">
        <f>IF(OR(E4781="",E4781="!!!",F4781="NEW"),"",INDEX(B4780:B$2,-1+SUMPRODUCT(MAX(ROW(E4780:E$2)*(E4781=E4780:E$2)))))</f>
        <v> </v>
      </c>
      <c r="J4781" s="25" t="str">
        <f>IF(OR(E4781="",E4781="!!!",F4781="NEW"),"",COUNTBLANK(OFFSET(A$1,,,SUMPRODUCT(MAX(ROW(E$2:E4781)*(E4781=E$2:E4781)))))-COUNTBLANK(OFFSET(A$1,,,SUMPRODUCT(MAX(ROW(E$1:E4780)*(E2=E$1:E4780))))))</f>
        <v> </v>
      </c>
      <c r="K4781" s="25" t="str">
        <f>IF(OR(E4781="",E4781="!!!",F4781="NEW"),"",INDEX(J$1:J4780,SUMPRODUCT(MAX(ROW(E$1:E4780)*(E4781=E$1:E4780)))))</f>
        <v> </v>
      </c>
      <c r="L4781" s="26"/>
    </row>
    <row r="4782" spans="1:12">
      <c r="A4782" s="20" t="s">
        <v>1041</v>
      </c>
      <c r="E4782" s="21">
        <f>IF(D4782="?OLD","!!!","")</f>
        <v/>
      </c>
      <c r="F4782" s="22" t="str">
        <f>IF(OR(E4782="",E4782="!!!"),"",IF(NOT(ISNA(VLOOKUP(E4782,E$1:E4781,1,FALSE()))),"OLD",IF(AND(E4782&lt;&gt;"",E4782&lt;&gt;"!!!"),"NEW","")))</f>
        <v> </v>
      </c>
      <c r="G4782" s="23" t="str">
        <f>IF(OR(E4782="",E4782="!!!"),"",IF(OR(J4782=0,AND(J4782=1,K4782=1),AND(J4782=1,I4782="SBJ"),AND(J4782=1,I4782=0)),"?IN_FOCUS",IF(J4782&lt;=2,"?ACTIVATED",IF(J4782&lt;&gt;"","?FAMILIAR",IF(F4782="NEW",IF(ISNA(VLOOKUP(E4782,#REF!,1,FALSE())),"?TYPE_IDENTIFIABLE","?REFERENTIAL"),"_")))))</f>
        <v> </v>
      </c>
      <c r="H4782" s="24" t="str">
        <f>IF(J4782&lt;&gt;1,"",IF(I4782="SBJ","CB","?"))</f>
        <v> </v>
      </c>
      <c r="I4782" s="25" t="str">
        <f>IF(OR(E4782="",E4782="!!!",F4782="NEW"),"",INDEX(B4781:B$2,-1+SUMPRODUCT(MAX(ROW(E4781:E$2)*(E4782=E4781:E$2)))))</f>
        <v> </v>
      </c>
      <c r="J4782" s="25" t="str">
        <f>IF(OR(E4782="",E4782="!!!",F4782="NEW"),"",COUNTBLANK(OFFSET(A$1,,,SUMPRODUCT(MAX(ROW(E$2:E4782)*(E4782=E$2:E4782)))))-COUNTBLANK(OFFSET(A$1,,,SUMPRODUCT(MAX(ROW(E$1:E4781)*(E2=E$1:E4781))))))</f>
        <v> </v>
      </c>
      <c r="K4782" s="25" t="str">
        <f>IF(OR(E4782="",E4782="!!!",F4782="NEW"),"",INDEX(J$1:J4781,SUMPRODUCT(MAX(ROW(E$1:E4781)*(E4782=E$1:E4781)))))</f>
        <v> </v>
      </c>
      <c r="L4782" s="26"/>
    </row>
    <row r="4783" spans="1:12">
      <c r="A4783" s="20" t="s">
        <v>1096</v>
      </c>
      <c r="E4783" s="21">
        <f>IF(D4783="?OLD","!!!","")</f>
        <v/>
      </c>
      <c r="F4783" s="22" t="str">
        <f>IF(OR(E4783="",E4783="!!!"),"",IF(NOT(ISNA(VLOOKUP(E4783,E$1:E4782,1,FALSE()))),"OLD",IF(AND(E4783&lt;&gt;"",E4783&lt;&gt;"!!!"),"NEW","")))</f>
        <v> </v>
      </c>
      <c r="G4783" s="23" t="str">
        <f>IF(OR(E4783="",E4783="!!!"),"",IF(OR(J4783=0,AND(J4783=1,K4783=1),AND(J4783=1,I4783="SBJ"),AND(J4783=1,I4783=0)),"?IN_FOCUS",IF(J4783&lt;=2,"?ACTIVATED",IF(J4783&lt;&gt;"","?FAMILIAR",IF(F4783="NEW",IF(ISNA(VLOOKUP(E4783,#REF!,1,FALSE())),"?TYPE_IDENTIFIABLE","?REFERENTIAL"),"_")))))</f>
        <v> </v>
      </c>
      <c r="H4783" s="24" t="str">
        <f>IF(J4783&lt;&gt;1,"",IF(I4783="SBJ","CB","?"))</f>
        <v> </v>
      </c>
      <c r="I4783" s="25" t="str">
        <f>IF(OR(E4783="",E4783="!!!",F4783="NEW"),"",INDEX(B4782:B$2,-1+SUMPRODUCT(MAX(ROW(E4782:E$2)*(E4783=E4782:E$2)))))</f>
        <v> </v>
      </c>
      <c r="J4783" s="25" t="str">
        <f>IF(OR(E4783="",E4783="!!!",F4783="NEW"),"",COUNTBLANK(OFFSET(A$1,,,SUMPRODUCT(MAX(ROW(E$2:E4783)*(E4783=E$2:E4783)))))-COUNTBLANK(OFFSET(A$1,,,SUMPRODUCT(MAX(ROW(E$1:E4782)*(E2=E$1:E4782))))))</f>
        <v> </v>
      </c>
      <c r="K4783" s="25" t="str">
        <f>IF(OR(E4783="",E4783="!!!",F4783="NEW"),"",INDEX(J$1:J4782,SUMPRODUCT(MAX(ROW(E$1:E4782)*(E4783=E$1:E4782)))))</f>
        <v> </v>
      </c>
      <c r="L4783" s="26"/>
    </row>
    <row r="4784" spans="1:12">
      <c r="A4784" s="20" t="s">
        <v>1990</v>
      </c>
      <c r="E4784" s="21">
        <f>IF(D4784="?OLD","!!!","")</f>
        <v/>
      </c>
      <c r="F4784" s="22" t="str">
        <f>IF(OR(E4784="",E4784="!!!"),"",IF(NOT(ISNA(VLOOKUP(E4784,E$1:E4783,1,FALSE()))),"OLD",IF(AND(E4784&lt;&gt;"",E4784&lt;&gt;"!!!"),"NEW","")))</f>
        <v> </v>
      </c>
      <c r="G4784" s="23" t="str">
        <f>IF(OR(E4784="",E4784="!!!"),"",IF(OR(J4784=0,AND(J4784=1,K4784=1),AND(J4784=1,I4784="SBJ"),AND(J4784=1,I4784=0)),"?IN_FOCUS",IF(J4784&lt;=2,"?ACTIVATED",IF(J4784&lt;&gt;"","?FAMILIAR",IF(F4784="NEW",IF(ISNA(VLOOKUP(E4784,#REF!,1,FALSE())),"?TYPE_IDENTIFIABLE","?REFERENTIAL"),"_")))))</f>
        <v> </v>
      </c>
      <c r="H4784" s="24" t="str">
        <f>IF(J4784&lt;&gt;1,"",IF(I4784="SBJ","CB","?"))</f>
        <v> </v>
      </c>
      <c r="I4784" s="25" t="str">
        <f>IF(OR(E4784="",E4784="!!!",F4784="NEW"),"",INDEX(B4783:B$2,-1+SUMPRODUCT(MAX(ROW(E4783:E$2)*(E4784=E4783:E$2)))))</f>
        <v> </v>
      </c>
      <c r="J4784" s="25" t="str">
        <f>IF(OR(E4784="",E4784="!!!",F4784="NEW"),"",COUNTBLANK(OFFSET(A$1,,,SUMPRODUCT(MAX(ROW(E$2:E4784)*(E4784=E$2:E4784)))))-COUNTBLANK(OFFSET(A$1,,,SUMPRODUCT(MAX(ROW(E$1:E4783)*(E2=E$1:E4783))))))</f>
        <v> </v>
      </c>
      <c r="K4784" s="25" t="str">
        <f>IF(OR(E4784="",E4784="!!!",F4784="NEW"),"",INDEX(J$1:J4783,SUMPRODUCT(MAX(ROW(E$1:E4783)*(E4784=E$1:E4783)))))</f>
        <v> </v>
      </c>
      <c r="L4784" s="26"/>
    </row>
    <row r="4785" spans="1:12">
      <c r="A4785" s="20" t="s">
        <v>1159</v>
      </c>
      <c r="E4785" s="21">
        <f>IF(D4785="?OLD","!!!","")</f>
        <v/>
      </c>
      <c r="F4785" s="22" t="str">
        <f>IF(OR(E4785="",E4785="!!!"),"",IF(NOT(ISNA(VLOOKUP(E4785,E$1:E4784,1,FALSE()))),"OLD",IF(AND(E4785&lt;&gt;"",E4785&lt;&gt;"!!!"),"NEW","")))</f>
        <v> </v>
      </c>
      <c r="G4785" s="23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4" t="str">
        <f>IF(J4785&lt;&gt;1,"",IF(I4785="SBJ","CB","?"))</f>
        <v> </v>
      </c>
      <c r="I4785" s="25" t="str">
        <f>IF(OR(E4785="",E4785="!!!",F4785="NEW"),"",INDEX(B4784:B$2,-1+SUMPRODUCT(MAX(ROW(E4784:E$2)*(E4785=E4784:E$2)))))</f>
        <v> </v>
      </c>
      <c r="J4785" s="25" t="str">
        <f>IF(OR(E4785="",E4785="!!!",F4785="NEW"),"",COUNTBLANK(OFFSET(A$1,,,SUMPRODUCT(MAX(ROW(E$2:E4785)*(E4785=E$2:E4785)))))-COUNTBLANK(OFFSET(A$1,,,SUMPRODUCT(MAX(ROW(E$1:E4784)*(E2=E$1:E4784))))))</f>
        <v> </v>
      </c>
      <c r="K4785" s="25" t="str">
        <f>IF(OR(E4785="",E4785="!!!",F4785="NEW"),"",INDEX(J$1:J4784,SUMPRODUCT(MAX(ROW(E$1:E4784)*(E4785=E$1:E4784)))))</f>
        <v> </v>
      </c>
      <c r="L4785" s="26"/>
    </row>
    <row r="4786" spans="1:12">
      <c r="A4786" s="20" t="s">
        <v>1035</v>
      </c>
      <c r="B4786" s="27" t="s">
        <v>2582</v>
      </c>
      <c r="C4786" s="27" t="s">
        <v>1036</v>
      </c>
      <c r="D4786" s="27" t="s">
        <v>1026</v>
      </c>
      <c r="E4786" s="21">
        <f>IF(D4786="?OLD","!!!","")</f>
        <v/>
      </c>
      <c r="F4786" s="22" t="str">
        <f>IF(OR(E4786="",E4786="!!!"),"",IF(NOT(ISNA(VLOOKUP(E4786,E$1:E4785,1,FALSE()))),"OLD",IF(AND(E4786&lt;&gt;"",E4786&lt;&gt;"!!!"),"NEW","")))</f>
        <v> </v>
      </c>
      <c r="G4786" s="23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4" t="str">
        <f>IF(J4786&lt;&gt;1,"",IF(I4786="SBJ","CB","?"))</f>
        <v> </v>
      </c>
      <c r="I4786" s="25" t="str">
        <f>IF(OR(E4786="",E4786="!!!",F4786="NEW"),"",INDEX(B4785:B$2,-1+SUMPRODUCT(MAX(ROW(E4785:E$2)*(E4786=E4785:E$2)))))</f>
        <v> </v>
      </c>
      <c r="J4786" s="25" t="str">
        <f>IF(OR(E4786="",E4786="!!!",F4786="NEW"),"",COUNTBLANK(OFFSET(A$1,,,SUMPRODUCT(MAX(ROW(E$2:E4786)*(E4786=E$2:E4786)))))-COUNTBLANK(OFFSET(A$1,,,SUMPRODUCT(MAX(ROW(E$1:E4785)*(E2=E$1:E4785))))))</f>
        <v> </v>
      </c>
      <c r="K4786" s="25" t="str">
        <f>IF(OR(E4786="",E4786="!!!",F4786="NEW"),"",INDEX(J$1:J4785,SUMPRODUCT(MAX(ROW(E$1:E4785)*(E4786=E$1:E4785)))))</f>
        <v> </v>
      </c>
      <c r="L4786" s="26"/>
    </row>
    <row r="4787" spans="1:12">
      <c r="A4787" s="20" t="s">
        <v>1324</v>
      </c>
      <c r="E4787" s="21">
        <f>IF(D4787="?OLD","!!!","")</f>
        <v/>
      </c>
      <c r="F4787" s="22" t="str">
        <f>IF(OR(E4787="",E4787="!!!"),"",IF(NOT(ISNA(VLOOKUP(E4787,E$1:E4786,1,FALSE()))),"OLD",IF(AND(E4787&lt;&gt;"",E4787&lt;&gt;"!!!"),"NEW","")))</f>
        <v> </v>
      </c>
      <c r="G4787" s="23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4" t="str">
        <f>IF(J4787&lt;&gt;1,"",IF(I4787="SBJ","CB","?"))</f>
        <v> </v>
      </c>
      <c r="I4787" s="25" t="str">
        <f>IF(OR(E4787="",E4787="!!!",F4787="NEW"),"",INDEX(B4786:B$2,-1+SUMPRODUCT(MAX(ROW(E4786:E$2)*(E4787=E4786:E$2)))))</f>
        <v> </v>
      </c>
      <c r="J4787" s="25" t="str">
        <f>IF(OR(E4787="",E4787="!!!",F4787="NEW"),"",COUNTBLANK(OFFSET(A$1,,,SUMPRODUCT(MAX(ROW(E$2:E4787)*(E4787=E$2:E4787)))))-COUNTBLANK(OFFSET(A$1,,,SUMPRODUCT(MAX(ROW(E$1:E4786)*(E2=E$1:E4786))))))</f>
        <v> </v>
      </c>
      <c r="K4787" s="25" t="str">
        <f>IF(OR(E4787="",E4787="!!!",F4787="NEW"),"",INDEX(J$1:J4786,SUMPRODUCT(MAX(ROW(E$1:E4786)*(E4787=E$1:E4786)))))</f>
        <v> </v>
      </c>
      <c r="L4787" s="26"/>
    </row>
    <row r="4788" spans="1:12">
      <c r="A4788" s="20" t="s">
        <v>1107</v>
      </c>
      <c r="E4788" s="21">
        <f>IF(D4788="?OLD","!!!","")</f>
        <v/>
      </c>
      <c r="F4788" s="22" t="str">
        <f>IF(OR(E4788="",E4788="!!!"),"",IF(NOT(ISNA(VLOOKUP(E4788,E$1:E4787,1,FALSE()))),"OLD",IF(AND(E4788&lt;&gt;"",E4788&lt;&gt;"!!!"),"NEW","")))</f>
        <v> </v>
      </c>
      <c r="G4788" s="23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4" t="str">
        <f>IF(J4788&lt;&gt;1,"",IF(I4788="SBJ","CB","?"))</f>
        <v> </v>
      </c>
      <c r="I4788" s="25" t="str">
        <f>IF(OR(E4788="",E4788="!!!",F4788="NEW"),"",INDEX(B4787:B$2,-1+SUMPRODUCT(MAX(ROW(E4787:E$2)*(E4788=E4787:E$2)))))</f>
        <v> </v>
      </c>
      <c r="J4788" s="25" t="str">
        <f>IF(OR(E4788="",E4788="!!!",F4788="NEW"),"",COUNTBLANK(OFFSET(A$1,,,SUMPRODUCT(MAX(ROW(E$2:E4788)*(E4788=E$2:E4788)))))-COUNTBLANK(OFFSET(A$1,,,SUMPRODUCT(MAX(ROW(E$1:E4787)*(E2=E$1:E4787))))))</f>
        <v> </v>
      </c>
      <c r="K4788" s="25" t="str">
        <f>IF(OR(E4788="",E4788="!!!",F4788="NEW"),"",INDEX(J$1:J4787,SUMPRODUCT(MAX(ROW(E$1:E4787)*(E4788=E$1:E4787)))))</f>
        <v> </v>
      </c>
      <c r="L4788" s="26"/>
    </row>
    <row r="4789" spans="1:12">
      <c r="A4789" s="20" t="s">
        <v>2946</v>
      </c>
      <c r="E4789" s="21">
        <f>IF(D4789="?OLD","!!!","")</f>
        <v/>
      </c>
      <c r="F4789" s="22" t="str">
        <f>IF(OR(E4789="",E4789="!!!"),"",IF(NOT(ISNA(VLOOKUP(E4789,E$1:E4788,1,FALSE()))),"OLD",IF(AND(E4789&lt;&gt;"",E4789&lt;&gt;"!!!"),"NEW","")))</f>
        <v> </v>
      </c>
      <c r="G4789" s="23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4" t="str">
        <f>IF(J4789&lt;&gt;1,"",IF(I4789="SBJ","CB","?"))</f>
        <v> </v>
      </c>
      <c r="I4789" s="25" t="str">
        <f>IF(OR(E4789="",E4789="!!!",F4789="NEW"),"",INDEX(B4788:B$2,-1+SUMPRODUCT(MAX(ROW(E4788:E$2)*(E4789=E4788:E$2)))))</f>
        <v> </v>
      </c>
      <c r="J4789" s="25" t="str">
        <f>IF(OR(E4789="",E4789="!!!",F4789="NEW"),"",COUNTBLANK(OFFSET(A$1,,,SUMPRODUCT(MAX(ROW(E$2:E4789)*(E4789=E$2:E4789)))))-COUNTBLANK(OFFSET(A$1,,,SUMPRODUCT(MAX(ROW(E$1:E4788)*(E2=E$1:E4788))))))</f>
        <v> </v>
      </c>
      <c r="K4789" s="25" t="str">
        <f>IF(OR(E4789="",E4789="!!!",F4789="NEW"),"",INDEX(J$1:J4788,SUMPRODUCT(MAX(ROW(E$1:E4788)*(E4789=E$1:E4788)))))</f>
        <v> </v>
      </c>
      <c r="L4789" s="26"/>
    </row>
    <row r="4790" spans="1:12">
      <c r="A4790" s="20" t="s">
        <v>1234</v>
      </c>
      <c r="E4790" s="21">
        <f>IF(D4790="?OLD","!!!","")</f>
        <v/>
      </c>
      <c r="F4790" s="22" t="str">
        <f>IF(OR(E4790="",E4790="!!!"),"",IF(NOT(ISNA(VLOOKUP(E4790,E$1:E4789,1,FALSE()))),"OLD",IF(AND(E4790&lt;&gt;"",E4790&lt;&gt;"!!!"),"NEW","")))</f>
        <v> </v>
      </c>
      <c r="G4790" s="23" t="str">
        <f>IF(OR(E4790="",E4790="!!!"),"",IF(OR(J4790=0,AND(J4790=1,K4790=1),AND(J4790=1,I4790="SBJ"),AND(J4790=1,I4790=0)),"?IN_FOCUS",IF(J4790&lt;=2,"?ACTIVATED",IF(J4790&lt;&gt;"","?FAMILIAR",IF(F4790="NEW",IF(ISNA(VLOOKUP(E4790,#REF!,1,FALSE())),"?TYPE_IDENTIFIABLE","?REFERENTIAL"),"_")))))</f>
        <v> </v>
      </c>
      <c r="H4790" s="24" t="str">
        <f>IF(J4790&lt;&gt;1,"",IF(I4790="SBJ","CB","?"))</f>
        <v> </v>
      </c>
      <c r="I4790" s="25" t="str">
        <f>IF(OR(E4790="",E4790="!!!",F4790="NEW"),"",INDEX(B4789:B$2,-1+SUMPRODUCT(MAX(ROW(E4789:E$2)*(E4790=E4789:E$2)))))</f>
        <v> </v>
      </c>
      <c r="J4790" s="25" t="str">
        <f>IF(OR(E4790="",E4790="!!!",F4790="NEW"),"",COUNTBLANK(OFFSET(A$1,,,SUMPRODUCT(MAX(ROW(E$2:E4790)*(E4790=E$2:E4790)))))-COUNTBLANK(OFFSET(A$1,,,SUMPRODUCT(MAX(ROW(E$1:E4789)*(E2=E$1:E4789))))))</f>
        <v> </v>
      </c>
      <c r="K4790" s="25" t="str">
        <f>IF(OR(E4790="",E4790="!!!",F4790="NEW"),"",INDEX(J$1:J4789,SUMPRODUCT(MAX(ROW(E$1:E4789)*(E4790=E$1:E4789)))))</f>
        <v> </v>
      </c>
      <c r="L4790" s="26"/>
    </row>
    <row r="4791" spans="1:12">
      <c r="A4791" s="20" t="s">
        <v>1041</v>
      </c>
      <c r="E4791" s="21">
        <f>IF(D4791="?OLD","!!!","")</f>
        <v/>
      </c>
      <c r="F4791" s="22" t="str">
        <f>IF(OR(E4791="",E4791="!!!"),"",IF(NOT(ISNA(VLOOKUP(E4791,E$1:E4790,1,FALSE()))),"OLD",IF(AND(E4791&lt;&gt;"",E4791&lt;&gt;"!!!"),"NEW","")))</f>
        <v> </v>
      </c>
      <c r="G4791" s="23" t="str">
        <f>IF(OR(E4791="",E4791="!!!"),"",IF(OR(J4791=0,AND(J4791=1,K4791=1),AND(J4791=1,I4791="SBJ"),AND(J4791=1,I4791=0)),"?IN_FOCUS",IF(J4791&lt;=2,"?ACTIVATED",IF(J4791&lt;&gt;"","?FAMILIAR",IF(F4791="NEW",IF(ISNA(VLOOKUP(E4791,#REF!,1,FALSE())),"?TYPE_IDENTIFIABLE","?REFERENTIAL"),"_")))))</f>
        <v> </v>
      </c>
      <c r="H4791" s="24" t="str">
        <f>IF(J4791&lt;&gt;1,"",IF(I4791="SBJ","CB","?"))</f>
        <v> </v>
      </c>
      <c r="I4791" s="25" t="str">
        <f>IF(OR(E4791="",E4791="!!!",F4791="NEW"),"",INDEX(B4790:B$2,-1+SUMPRODUCT(MAX(ROW(E4790:E$2)*(E4791=E4790:E$2)))))</f>
        <v> </v>
      </c>
      <c r="J4791" s="25" t="str">
        <f>IF(OR(E4791="",E4791="!!!",F4791="NEW"),"",COUNTBLANK(OFFSET(A$1,,,SUMPRODUCT(MAX(ROW(E$2:E4791)*(E4791=E$2:E4791)))))-COUNTBLANK(OFFSET(A$1,,,SUMPRODUCT(MAX(ROW(E$1:E4790)*(E2=E$1:E4790))))))</f>
        <v> </v>
      </c>
      <c r="K4791" s="25" t="str">
        <f>IF(OR(E4791="",E4791="!!!",F4791="NEW"),"",INDEX(J$1:J4790,SUMPRODUCT(MAX(ROW(E$1:E4790)*(E4791=E$1:E4790)))))</f>
        <v> </v>
      </c>
      <c r="L4791" s="26"/>
    </row>
    <row r="4792" spans="1:12">
      <c r="A4792" s="20" t="s">
        <v>1373</v>
      </c>
      <c r="B4792" s="27" t="s">
        <v>2947</v>
      </c>
      <c r="C4792" s="27" t="s">
        <v>1025</v>
      </c>
      <c r="D4792" s="27" t="s">
        <v>1026</v>
      </c>
      <c r="E4792" s="21">
        <f>IF(D4792="?OLD","!!!","")</f>
        <v/>
      </c>
      <c r="F4792" s="22" t="str">
        <f>IF(OR(E4792="",E4792="!!!"),"",IF(NOT(ISNA(VLOOKUP(E4792,E$1:E4791,1,FALSE()))),"OLD",IF(AND(E4792&lt;&gt;"",E4792&lt;&gt;"!!!"),"NEW","")))</f>
        <v> </v>
      </c>
      <c r="G4792" s="23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4" t="str">
        <f>IF(J4792&lt;&gt;1,"",IF(I4792="SBJ","CB","?"))</f>
        <v> </v>
      </c>
      <c r="I4792" s="25" t="str">
        <f>IF(OR(E4792="",E4792="!!!",F4792="NEW"),"",INDEX(B4791:B$2,-1+SUMPRODUCT(MAX(ROW(E4791:E$2)*(E4792=E4791:E$2)))))</f>
        <v> </v>
      </c>
      <c r="J4792" s="25" t="str">
        <f>IF(OR(E4792="",E4792="!!!",F4792="NEW"),"",COUNTBLANK(OFFSET(A$1,,,SUMPRODUCT(MAX(ROW(E$2:E4792)*(E4792=E$2:E4792)))))-COUNTBLANK(OFFSET(A$1,,,SUMPRODUCT(MAX(ROW(E$1:E4791)*(E2=E$1:E4791))))))</f>
        <v> </v>
      </c>
      <c r="K4792" s="25" t="str">
        <f>IF(OR(E4792="",E4792="!!!",F4792="NEW"),"",INDEX(J$1:J4791,SUMPRODUCT(MAX(ROW(E$1:E4791)*(E4792=E$1:E4791)))))</f>
        <v> </v>
      </c>
      <c r="L4792" s="26"/>
    </row>
    <row r="4793" spans="1:12">
      <c r="A4793" s="20" t="s">
        <v>1107</v>
      </c>
      <c r="E4793" s="21">
        <f>IF(D4793="?OLD","!!!","")</f>
        <v/>
      </c>
      <c r="F4793" s="22" t="str">
        <f>IF(OR(E4793="",E4793="!!!"),"",IF(NOT(ISNA(VLOOKUP(E4793,E$1:E4792,1,FALSE()))),"OLD",IF(AND(E4793&lt;&gt;"",E4793&lt;&gt;"!!!"),"NEW","")))</f>
        <v> </v>
      </c>
      <c r="G4793" s="23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4" t="str">
        <f>IF(J4793&lt;&gt;1,"",IF(I4793="SBJ","CB","?"))</f>
        <v> </v>
      </c>
      <c r="I4793" s="25" t="str">
        <f>IF(OR(E4793="",E4793="!!!",F4793="NEW"),"",INDEX(B4792:B$2,-1+SUMPRODUCT(MAX(ROW(E4792:E$2)*(E4793=E4792:E$2)))))</f>
        <v> </v>
      </c>
      <c r="J4793" s="25" t="str">
        <f>IF(OR(E4793="",E4793="!!!",F4793="NEW"),"",COUNTBLANK(OFFSET(A$1,,,SUMPRODUCT(MAX(ROW(E$2:E4793)*(E4793=E$2:E4793)))))-COUNTBLANK(OFFSET(A$1,,,SUMPRODUCT(MAX(ROW(E$1:E4792)*(E2=E$1:E4792))))))</f>
        <v> </v>
      </c>
      <c r="K4793" s="25" t="str">
        <f>IF(OR(E4793="",E4793="!!!",F4793="NEW"),"",INDEX(J$1:J4792,SUMPRODUCT(MAX(ROW(E$1:E4792)*(E4793=E$1:E4792)))))</f>
        <v> </v>
      </c>
      <c r="L4793" s="26"/>
    </row>
    <row r="4794" spans="1:12">
      <c r="A4794" s="20" t="s">
        <v>2227</v>
      </c>
      <c r="E4794" s="21">
        <f>IF(D4794="?OLD","!!!","")</f>
        <v/>
      </c>
      <c r="F4794" s="22" t="str">
        <f>IF(OR(E4794="",E4794="!!!"),"",IF(NOT(ISNA(VLOOKUP(E4794,E$1:E4793,1,FALSE()))),"OLD",IF(AND(E4794&lt;&gt;"",E4794&lt;&gt;"!!!"),"NEW","")))</f>
        <v> </v>
      </c>
      <c r="G4794" s="23" t="str">
        <f>IF(OR(E4794="",E4794="!!!"),"",IF(OR(J4794=0,AND(J4794=1,K4794=1),AND(J4794=1,I4794="SBJ"),AND(J4794=1,I4794=0)),"?IN_FOCUS",IF(J4794&lt;=2,"?ACTIVATED",IF(J4794&lt;&gt;"","?FAMILIAR",IF(F4794="NEW",IF(ISNA(VLOOKUP(E4794,#REF!,1,FALSE())),"?TYPE_IDENTIFIABLE","?REFERENTIAL"),"_")))))</f>
        <v> </v>
      </c>
      <c r="H4794" s="24" t="str">
        <f>IF(J4794&lt;&gt;1,"",IF(I4794="SBJ","CB","?"))</f>
        <v> </v>
      </c>
      <c r="I4794" s="25" t="str">
        <f>IF(OR(E4794="",E4794="!!!",F4794="NEW"),"",INDEX(B4793:B$2,-1+SUMPRODUCT(MAX(ROW(E4793:E$2)*(E4794=E4793:E$2)))))</f>
        <v> </v>
      </c>
      <c r="J4794" s="25" t="str">
        <f>IF(OR(E4794="",E4794="!!!",F4794="NEW"),"",COUNTBLANK(OFFSET(A$1,,,SUMPRODUCT(MAX(ROW(E$2:E4794)*(E4794=E$2:E4794)))))-COUNTBLANK(OFFSET(A$1,,,SUMPRODUCT(MAX(ROW(E$1:E4793)*(E2=E$1:E4793))))))</f>
        <v> </v>
      </c>
      <c r="K4794" s="25" t="str">
        <f>IF(OR(E4794="",E4794="!!!",F4794="NEW"),"",INDEX(J$1:J4793,SUMPRODUCT(MAX(ROW(E$1:E4793)*(E4794=E$1:E4793)))))</f>
        <v> </v>
      </c>
      <c r="L4794" s="26"/>
    </row>
    <row r="4795" spans="1:12">
      <c r="A4795" s="20" t="s">
        <v>1108</v>
      </c>
      <c r="E4795" s="21">
        <f>IF(D4795="?OLD","!!!","")</f>
        <v/>
      </c>
      <c r="F4795" s="22" t="str">
        <f>IF(OR(E4795="",E4795="!!!"),"",IF(NOT(ISNA(VLOOKUP(E4795,E$1:E4794,1,FALSE()))),"OLD",IF(AND(E4795&lt;&gt;"",E4795&lt;&gt;"!!!"),"NEW","")))</f>
        <v> </v>
      </c>
      <c r="G4795" s="23" t="str">
        <f>IF(OR(E4795="",E4795="!!!"),"",IF(OR(J4795=0,AND(J4795=1,K4795=1),AND(J4795=1,I4795="SBJ"),AND(J4795=1,I4795=0)),"?IN_FOCUS",IF(J4795&lt;=2,"?ACTIVATED",IF(J4795&lt;&gt;"","?FAMILIAR",IF(F4795="NEW",IF(ISNA(VLOOKUP(E4795,#REF!,1,FALSE())),"?TYPE_IDENTIFIABLE","?REFERENTIAL"),"_")))))</f>
        <v> </v>
      </c>
      <c r="H4795" s="24" t="str">
        <f>IF(J4795&lt;&gt;1,"",IF(I4795="SBJ","CB","?"))</f>
        <v> </v>
      </c>
      <c r="I4795" s="25" t="str">
        <f>IF(OR(E4795="",E4795="!!!",F4795="NEW"),"",INDEX(B4794:B$2,-1+SUMPRODUCT(MAX(ROW(E4794:E$2)*(E4795=E4794:E$2)))))</f>
        <v> </v>
      </c>
      <c r="J4795" s="25" t="str">
        <f>IF(OR(E4795="",E4795="!!!",F4795="NEW"),"",COUNTBLANK(OFFSET(A$1,,,SUMPRODUCT(MAX(ROW(E$2:E4795)*(E4795=E$2:E4795)))))-COUNTBLANK(OFFSET(A$1,,,SUMPRODUCT(MAX(ROW(E$1:E4794)*(E2=E$1:E4794))))))</f>
        <v> </v>
      </c>
      <c r="K4795" s="25" t="str">
        <f>IF(OR(E4795="",E4795="!!!",F4795="NEW"),"",INDEX(J$1:J4794,SUMPRODUCT(MAX(ROW(E$1:E4794)*(E4795=E$1:E4794)))))</f>
        <v> </v>
      </c>
      <c r="L4795" s="26"/>
    </row>
    <row r="4796" spans="1:12">
      <c r="A4796" s="20" t="s">
        <v>2948</v>
      </c>
      <c r="E4796" s="21">
        <f>IF(D4796="?OLD","!!!","")</f>
        <v/>
      </c>
      <c r="F4796" s="22" t="str">
        <f>IF(OR(E4796="",E4796="!!!"),"",IF(NOT(ISNA(VLOOKUP(E4796,E$1:E4795,1,FALSE()))),"OLD",IF(AND(E4796&lt;&gt;"",E4796&lt;&gt;"!!!"),"NEW","")))</f>
        <v> </v>
      </c>
      <c r="G4796" s="23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4" t="str">
        <f>IF(J4796&lt;&gt;1,"",IF(I4796="SBJ","CB","?"))</f>
        <v> </v>
      </c>
      <c r="I4796" s="25" t="str">
        <f>IF(OR(E4796="",E4796="!!!",F4796="NEW"),"",INDEX(B4795:B$2,-1+SUMPRODUCT(MAX(ROW(E4795:E$2)*(E4796=E4795:E$2)))))</f>
        <v> </v>
      </c>
      <c r="J4796" s="25" t="str">
        <f>IF(OR(E4796="",E4796="!!!",F4796="NEW"),"",COUNTBLANK(OFFSET(A$1,,,SUMPRODUCT(MAX(ROW(E$2:E4796)*(E4796=E$2:E4796)))))-COUNTBLANK(OFFSET(A$1,,,SUMPRODUCT(MAX(ROW(E$1:E4795)*(E2=E$1:E4795))))))</f>
        <v> </v>
      </c>
      <c r="K4796" s="25" t="str">
        <f>IF(OR(E4796="",E4796="!!!",F4796="NEW"),"",INDEX(J$1:J4795,SUMPRODUCT(MAX(ROW(E$1:E4795)*(E4796=E$1:E4795)))))</f>
        <v> </v>
      </c>
      <c r="L4796" s="26"/>
    </row>
    <row r="4797" spans="1:12">
      <c r="A4797" s="20" t="s">
        <v>1390</v>
      </c>
      <c r="E4797" s="21">
        <f>IF(D4797="?OLD","!!!","")</f>
        <v/>
      </c>
      <c r="F4797" s="22" t="str">
        <f>IF(OR(E4797="",E4797="!!!"),"",IF(NOT(ISNA(VLOOKUP(E4797,E$1:E4796,1,FALSE()))),"OLD",IF(AND(E4797&lt;&gt;"",E4797&lt;&gt;"!!!"),"NEW","")))</f>
        <v> </v>
      </c>
      <c r="G4797" s="23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4" t="str">
        <f>IF(J4797&lt;&gt;1,"",IF(I4797="SBJ","CB","?"))</f>
        <v> </v>
      </c>
      <c r="I4797" s="25" t="str">
        <f>IF(OR(E4797="",E4797="!!!",F4797="NEW"),"",INDEX(B4796:B$2,-1+SUMPRODUCT(MAX(ROW(E4796:E$2)*(E4797=E4796:E$2)))))</f>
        <v> </v>
      </c>
      <c r="J4797" s="25" t="str">
        <f>IF(OR(E4797="",E4797="!!!",F4797="NEW"),"",COUNTBLANK(OFFSET(A$1,,,SUMPRODUCT(MAX(ROW(E$2:E4797)*(E4797=E$2:E4797)))))-COUNTBLANK(OFFSET(A$1,,,SUMPRODUCT(MAX(ROW(E$1:E4796)*(E2=E$1:E4796))))))</f>
        <v> </v>
      </c>
      <c r="K4797" s="25" t="str">
        <f>IF(OR(E4797="",E4797="!!!",F4797="NEW"),"",INDEX(J$1:J4796,SUMPRODUCT(MAX(ROW(E$1:E4796)*(E4797=E$1:E4796)))))</f>
        <v> </v>
      </c>
      <c r="L4797" s="26"/>
    </row>
    <row r="4798" spans="1:12">
      <c r="A4798" s="20" t="s">
        <v>1844</v>
      </c>
      <c r="E4798" s="21">
        <f>IF(D4798="?OLD","!!!","")</f>
        <v/>
      </c>
      <c r="F4798" s="22" t="str">
        <f>IF(OR(E4798="",E4798="!!!"),"",IF(NOT(ISNA(VLOOKUP(E4798,E$1:E4797,1,FALSE()))),"OLD",IF(AND(E4798&lt;&gt;"",E4798&lt;&gt;"!!!"),"NEW","")))</f>
        <v> </v>
      </c>
      <c r="G4798" s="23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4" t="str">
        <f>IF(J4798&lt;&gt;1,"",IF(I4798="SBJ","CB","?"))</f>
        <v> </v>
      </c>
      <c r="I4798" s="25" t="str">
        <f>IF(OR(E4798="",E4798="!!!",F4798="NEW"),"",INDEX(B4797:B$2,-1+SUMPRODUCT(MAX(ROW(E4797:E$2)*(E4798=E4797:E$2)))))</f>
        <v> </v>
      </c>
      <c r="J4798" s="25" t="str">
        <f>IF(OR(E4798="",E4798="!!!",F4798="NEW"),"",COUNTBLANK(OFFSET(A$1,,,SUMPRODUCT(MAX(ROW(E$2:E4798)*(E4798=E$2:E4798)))))-COUNTBLANK(OFFSET(A$1,,,SUMPRODUCT(MAX(ROW(E$1:E4797)*(E2=E$1:E4797))))))</f>
        <v> </v>
      </c>
      <c r="K4798" s="25" t="str">
        <f>IF(OR(E4798="",E4798="!!!",F4798="NEW"),"",INDEX(J$1:J4797,SUMPRODUCT(MAX(ROW(E$1:E4797)*(E4798=E$1:E4797)))))</f>
        <v> </v>
      </c>
      <c r="L4798" s="26"/>
    </row>
    <row r="4799" spans="1:12">
      <c r="A4799" s="20" t="s">
        <v>2949</v>
      </c>
      <c r="E4799" s="21">
        <f>IF(D4799="?OLD","!!!","")</f>
        <v/>
      </c>
      <c r="F4799" s="22" t="str">
        <f>IF(OR(E4799="",E4799="!!!"),"",IF(NOT(ISNA(VLOOKUP(E4799,E$1:E4798,1,FALSE()))),"OLD",IF(AND(E4799&lt;&gt;"",E4799&lt;&gt;"!!!"),"NEW","")))</f>
        <v> </v>
      </c>
      <c r="G4799" s="23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4" t="str">
        <f>IF(J4799&lt;&gt;1,"",IF(I4799="SBJ","CB","?"))</f>
        <v> </v>
      </c>
      <c r="I4799" s="25" t="str">
        <f>IF(OR(E4799="",E4799="!!!",F4799="NEW"),"",INDEX(B4798:B$2,-1+SUMPRODUCT(MAX(ROW(E4798:E$2)*(E4799=E4798:E$2)))))</f>
        <v> </v>
      </c>
      <c r="J4799" s="25" t="str">
        <f>IF(OR(E4799="",E4799="!!!",F4799="NEW"),"",COUNTBLANK(OFFSET(A$1,,,SUMPRODUCT(MAX(ROW(E$2:E4799)*(E4799=E$2:E4799)))))-COUNTBLANK(OFFSET(A$1,,,SUMPRODUCT(MAX(ROW(E$1:E4798)*(E2=E$1:E4798))))))</f>
        <v> </v>
      </c>
      <c r="K4799" s="25" t="str">
        <f>IF(OR(E4799="",E4799="!!!",F4799="NEW"),"",INDEX(J$1:J4798,SUMPRODUCT(MAX(ROW(E$1:E4798)*(E4799=E$1:E4798)))))</f>
        <v> </v>
      </c>
      <c r="L4799" s="26"/>
    </row>
    <row r="4800" spans="1:12">
      <c r="A4800" s="20" t="s">
        <v>1032</v>
      </c>
      <c r="E4800" s="21">
        <f>IF(D4800="?OLD","!!!","")</f>
        <v/>
      </c>
      <c r="F4800" s="22" t="str">
        <f>IF(OR(E4800="",E4800="!!!"),"",IF(NOT(ISNA(VLOOKUP(E4800,E$1:E4799,1,FALSE()))),"OLD",IF(AND(E4800&lt;&gt;"",E4800&lt;&gt;"!!!"),"NEW","")))</f>
        <v> </v>
      </c>
      <c r="G4800" s="23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4" t="str">
        <f>IF(J4800&lt;&gt;1,"",IF(I4800="SBJ","CB","?"))</f>
        <v> </v>
      </c>
      <c r="I4800" s="25" t="str">
        <f>IF(OR(E4800="",E4800="!!!",F4800="NEW"),"",INDEX(B4799:B$2,-1+SUMPRODUCT(MAX(ROW(E4799:E$2)*(E4800=E4799:E$2)))))</f>
        <v> </v>
      </c>
      <c r="J4800" s="25" t="str">
        <f>IF(OR(E4800="",E4800="!!!",F4800="NEW"),"",COUNTBLANK(OFFSET(A$1,,,SUMPRODUCT(MAX(ROW(E$2:E4800)*(E4800=E$2:E4800)))))-COUNTBLANK(OFFSET(A$1,,,SUMPRODUCT(MAX(ROW(E$1:E4799)*(E2=E$1:E4799))))))</f>
        <v> </v>
      </c>
      <c r="K4800" s="25" t="str">
        <f>IF(OR(E4800="",E4800="!!!",F4800="NEW"),"",INDEX(J$1:J4799,SUMPRODUCT(MAX(ROW(E$1:E4799)*(E4800=E$1:E4799)))))</f>
        <v> </v>
      </c>
      <c r="L4800" s="26"/>
    </row>
    <row r="4801" spans="1:12">
      <c r="A4801" s="20"/>
    </row>
    <row r="4802" spans="1:12">
      <c r="A4802" s="20" t="s">
        <v>2950</v>
      </c>
    </row>
    <row r="4803" spans="1:12">
      <c r="A4803" s="20" t="s">
        <v>2951</v>
      </c>
      <c r="E4803" s="21">
        <f>IF(D4803="?OLD","!!!","")</f>
        <v/>
      </c>
      <c r="F4803" s="22" t="str">
        <f>IF(OR(E4803="",E4803="!!!"),"",IF(NOT(ISNA(VLOOKUP(E4803,E$1:E4802,1,FALSE()))),"OLD",IF(AND(E4803&lt;&gt;"",E4803&lt;&gt;"!!!"),"NEW","")))</f>
        <v> </v>
      </c>
      <c r="G4803" s="23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4" t="str">
        <f>IF(J4803&lt;&gt;1,"",IF(I4803="SBJ","CB","?"))</f>
        <v> </v>
      </c>
      <c r="I4803" s="25" t="str">
        <f>IF(OR(E4803="",E4803="!!!",F4803="NEW"),"",INDEX(B4802:B$2,-1+SUMPRODUCT(MAX(ROW(E4802:E$2)*(E4803=E4802:E$2)))))</f>
        <v> </v>
      </c>
      <c r="J4803" s="25" t="str">
        <f>IF(OR(E4803="",E4803="!!!",F4803="NEW"),"",COUNTBLANK(OFFSET(A$1,,,SUMPRODUCT(MAX(ROW(E$2:E4803)*(E4803=E$2:E4803)))))-COUNTBLANK(OFFSET(A$1,,,SUMPRODUCT(MAX(ROW(E$1:E4802)*(E2=E$1:E4802))))))</f>
        <v> </v>
      </c>
      <c r="K4803" s="25" t="str">
        <f>IF(OR(E4803="",E4803="!!!",F4803="NEW"),"",INDEX(J$1:J4802,SUMPRODUCT(MAX(ROW(E$1:E4802)*(E4803=E$1:E4802)))))</f>
        <v> </v>
      </c>
      <c r="L4803" s="26"/>
    </row>
    <row r="4804" spans="1:12">
      <c r="A4804" s="20" t="s">
        <v>2952</v>
      </c>
      <c r="B4804" s="27" t="s">
        <v>1024</v>
      </c>
      <c r="E4804" s="21">
        <f>IF(D4804="?OLD","!!!","")</f>
        <v/>
      </c>
      <c r="F4804" s="22" t="str">
        <f>IF(OR(E4804="",E4804="!!!"),"",IF(NOT(ISNA(VLOOKUP(E4804,E$1:E4803,1,FALSE()))),"OLD",IF(AND(E4804&lt;&gt;"",E4804&lt;&gt;"!!!"),"NEW","")))</f>
        <v> </v>
      </c>
      <c r="G4804" s="23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4" t="str">
        <f>IF(J4804&lt;&gt;1,"",IF(I4804="SBJ","CB","?"))</f>
        <v> </v>
      </c>
      <c r="I4804" s="25" t="str">
        <f>IF(OR(E4804="",E4804="!!!",F4804="NEW"),"",INDEX(B4803:B$2,-1+SUMPRODUCT(MAX(ROW(E4803:E$2)*(E4804=E4803:E$2)))))</f>
        <v> </v>
      </c>
      <c r="J4804" s="25" t="str">
        <f>IF(OR(E4804="",E4804="!!!",F4804="NEW"),"",COUNTBLANK(OFFSET(A$1,,,SUMPRODUCT(MAX(ROW(E$2:E4804)*(E4804=E$2:E4804)))))-COUNTBLANK(OFFSET(A$1,,,SUMPRODUCT(MAX(ROW(E$1:E4803)*(E2=E$1:E4803))))))</f>
        <v> </v>
      </c>
      <c r="K4804" s="25" t="str">
        <f>IF(OR(E4804="",E4804="!!!",F4804="NEW"),"",INDEX(J$1:J4803,SUMPRODUCT(MAX(ROW(E$1:E4803)*(E4804=E$1:E4803)))))</f>
        <v> </v>
      </c>
      <c r="L4804" s="26"/>
    </row>
    <row r="4805" spans="1:12">
      <c r="A4805" s="20" t="s">
        <v>2953</v>
      </c>
      <c r="E4805" s="21">
        <f>IF(D4805="?OLD","!!!","")</f>
        <v/>
      </c>
      <c r="F4805" s="22" t="str">
        <f>IF(OR(E4805="",E4805="!!!"),"",IF(NOT(ISNA(VLOOKUP(E4805,E$1:E4804,1,FALSE()))),"OLD",IF(AND(E4805&lt;&gt;"",E4805&lt;&gt;"!!!"),"NEW","")))</f>
        <v> </v>
      </c>
      <c r="G4805" s="23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4" t="str">
        <f>IF(J4805&lt;&gt;1,"",IF(I4805="SBJ","CB","?"))</f>
        <v> </v>
      </c>
      <c r="I4805" s="25" t="str">
        <f>IF(OR(E4805="",E4805="!!!",F4805="NEW"),"",INDEX(B4804:B$2,-1+SUMPRODUCT(MAX(ROW(E4804:E$2)*(E4805=E4804:E$2)))))</f>
        <v> </v>
      </c>
      <c r="J4805" s="25" t="str">
        <f>IF(OR(E4805="",E4805="!!!",F4805="NEW"),"",COUNTBLANK(OFFSET(A$1,,,SUMPRODUCT(MAX(ROW(E$2:E4805)*(E4805=E$2:E4805)))))-COUNTBLANK(OFFSET(A$1,,,SUMPRODUCT(MAX(ROW(E$1:E4804)*(E2=E$1:E4804))))))</f>
        <v> </v>
      </c>
      <c r="K4805" s="25" t="str">
        <f>IF(OR(E4805="",E4805="!!!",F4805="NEW"),"",INDEX(J$1:J4804,SUMPRODUCT(MAX(ROW(E$1:E4804)*(E4805=E$1:E4804)))))</f>
        <v> </v>
      </c>
      <c r="L4805" s="26"/>
    </row>
    <row r="4806" spans="1:12">
      <c r="A4806" s="20" t="s">
        <v>2713</v>
      </c>
      <c r="E4806" s="21">
        <f>IF(D4806="?OLD","!!!","")</f>
        <v/>
      </c>
      <c r="F4806" s="22" t="str">
        <f>IF(OR(E4806="",E4806="!!!"),"",IF(NOT(ISNA(VLOOKUP(E4806,E$1:E4805,1,FALSE()))),"OLD",IF(AND(E4806&lt;&gt;"",E4806&lt;&gt;"!!!"),"NEW","")))</f>
        <v> </v>
      </c>
      <c r="G4806" s="23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4" t="str">
        <f>IF(J4806&lt;&gt;1,"",IF(I4806="SBJ","CB","?"))</f>
        <v> </v>
      </c>
      <c r="I4806" s="25" t="str">
        <f>IF(OR(E4806="",E4806="!!!",F4806="NEW"),"",INDEX(B4805:B$2,-1+SUMPRODUCT(MAX(ROW(E4805:E$2)*(E4806=E4805:E$2)))))</f>
        <v> </v>
      </c>
      <c r="J4806" s="25" t="str">
        <f>IF(OR(E4806="",E4806="!!!",F4806="NEW"),"",COUNTBLANK(OFFSET(A$1,,,SUMPRODUCT(MAX(ROW(E$2:E4806)*(E4806=E$2:E4806)))))-COUNTBLANK(OFFSET(A$1,,,SUMPRODUCT(MAX(ROW(E$1:E4805)*(E2=E$1:E4805))))))</f>
        <v> </v>
      </c>
      <c r="K4806" s="25" t="str">
        <f>IF(OR(E4806="",E4806="!!!",F4806="NEW"),"",INDEX(J$1:J4805,SUMPRODUCT(MAX(ROW(E$1:E4805)*(E4806=E$1:E4805)))))</f>
        <v> </v>
      </c>
      <c r="L4806" s="26"/>
    </row>
    <row r="4807" spans="1:12">
      <c r="A4807" s="20" t="s">
        <v>1041</v>
      </c>
      <c r="E4807" s="21">
        <f>IF(D4807="?OLD","!!!","")</f>
        <v/>
      </c>
      <c r="F4807" s="22" t="str">
        <f>IF(OR(E4807="",E4807="!!!"),"",IF(NOT(ISNA(VLOOKUP(E4807,E$1:E4806,1,FALSE()))),"OLD",IF(AND(E4807&lt;&gt;"",E4807&lt;&gt;"!!!"),"NEW","")))</f>
        <v> </v>
      </c>
      <c r="G4807" s="23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4" t="str">
        <f>IF(J4807&lt;&gt;1,"",IF(I4807="SBJ","CB","?"))</f>
        <v> </v>
      </c>
      <c r="I4807" s="25" t="str">
        <f>IF(OR(E4807="",E4807="!!!",F4807="NEW"),"",INDEX(B4806:B$2,-1+SUMPRODUCT(MAX(ROW(E4806:E$2)*(E4807=E4806:E$2)))))</f>
        <v> </v>
      </c>
      <c r="J4807" s="25" t="str">
        <f>IF(OR(E4807="",E4807="!!!",F4807="NEW"),"",COUNTBLANK(OFFSET(A$1,,,SUMPRODUCT(MAX(ROW(E$2:E4807)*(E4807=E$2:E4807)))))-COUNTBLANK(OFFSET(A$1,,,SUMPRODUCT(MAX(ROW(E$1:E4806)*(E2=E$1:E4806))))))</f>
        <v> </v>
      </c>
      <c r="K4807" s="25" t="str">
        <f>IF(OR(E4807="",E4807="!!!",F4807="NEW"),"",INDEX(J$1:J4806,SUMPRODUCT(MAX(ROW(E$1:E4806)*(E4807=E$1:E4806)))))</f>
        <v> </v>
      </c>
      <c r="L4807" s="26"/>
    </row>
    <row r="4808" spans="1:12">
      <c r="A4808" s="20" t="s">
        <v>1666</v>
      </c>
      <c r="E4808" s="21">
        <f>IF(D4808="?OLD","!!!","")</f>
        <v/>
      </c>
      <c r="F4808" s="22" t="str">
        <f>IF(OR(E4808="",E4808="!!!"),"",IF(NOT(ISNA(VLOOKUP(E4808,E$1:E4807,1,FALSE()))),"OLD",IF(AND(E4808&lt;&gt;"",E4808&lt;&gt;"!!!"),"NEW","")))</f>
        <v> </v>
      </c>
      <c r="G4808" s="23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4" t="str">
        <f>IF(J4808&lt;&gt;1,"",IF(I4808="SBJ","CB","?"))</f>
        <v> </v>
      </c>
      <c r="I4808" s="25" t="str">
        <f>IF(OR(E4808="",E4808="!!!",F4808="NEW"),"",INDEX(B4807:B$2,-1+SUMPRODUCT(MAX(ROW(E4807:E$2)*(E4808=E4807:E$2)))))</f>
        <v> </v>
      </c>
      <c r="J4808" s="25" t="str">
        <f>IF(OR(E4808="",E4808="!!!",F4808="NEW"),"",COUNTBLANK(OFFSET(A$1,,,SUMPRODUCT(MAX(ROW(E$2:E4808)*(E4808=E$2:E4808)))))-COUNTBLANK(OFFSET(A$1,,,SUMPRODUCT(MAX(ROW(E$1:E4807)*(E2=E$1:E4807))))))</f>
        <v> </v>
      </c>
      <c r="K4808" s="25" t="str">
        <f>IF(OR(E4808="",E4808="!!!",F4808="NEW"),"",INDEX(J$1:J4807,SUMPRODUCT(MAX(ROW(E$1:E4807)*(E4808=E$1:E4807)))))</f>
        <v> </v>
      </c>
      <c r="L4808" s="26"/>
    </row>
    <row r="4809" spans="1:12">
      <c r="A4809" s="20" t="s">
        <v>1159</v>
      </c>
      <c r="E4809" s="21">
        <f>IF(D4809="?OLD","!!!","")</f>
        <v/>
      </c>
      <c r="F4809" s="22" t="str">
        <f>IF(OR(E4809="",E4809="!!!"),"",IF(NOT(ISNA(VLOOKUP(E4809,E$1:E4808,1,FALSE()))),"OLD",IF(AND(E4809&lt;&gt;"",E4809&lt;&gt;"!!!"),"NEW","")))</f>
        <v> </v>
      </c>
      <c r="G4809" s="23" t="str">
        <f>IF(OR(E4809="",E4809="!!!"),"",IF(OR(J4809=0,AND(J4809=1,K4809=1),AND(J4809=1,I4809="SBJ"),AND(J4809=1,I4809=0)),"?IN_FOCUS",IF(J4809&lt;=2,"?ACTIVATED",IF(J4809&lt;&gt;"","?FAMILIAR",IF(F4809="NEW",IF(ISNA(VLOOKUP(E4809,#REF!,1,FALSE())),"?TYPE_IDENTIFIABLE","?REFERENTIAL"),"_")))))</f>
        <v> </v>
      </c>
      <c r="H4809" s="24" t="str">
        <f>IF(J4809&lt;&gt;1,"",IF(I4809="SBJ","CB","?"))</f>
        <v> </v>
      </c>
      <c r="I4809" s="25" t="str">
        <f>IF(OR(E4809="",E4809="!!!",F4809="NEW"),"",INDEX(B4808:B$2,-1+SUMPRODUCT(MAX(ROW(E4808:E$2)*(E4809=E4808:E$2)))))</f>
        <v> </v>
      </c>
      <c r="J4809" s="25" t="str">
        <f>IF(OR(E4809="",E4809="!!!",F4809="NEW"),"",COUNTBLANK(OFFSET(A$1,,,SUMPRODUCT(MAX(ROW(E$2:E4809)*(E4809=E$2:E4809)))))-COUNTBLANK(OFFSET(A$1,,,SUMPRODUCT(MAX(ROW(E$1:E4808)*(E2=E$1:E4808))))))</f>
        <v> </v>
      </c>
      <c r="K4809" s="25" t="str">
        <f>IF(OR(E4809="",E4809="!!!",F4809="NEW"),"",INDEX(J$1:J4808,SUMPRODUCT(MAX(ROW(E$1:E4808)*(E4809=E$1:E4808)))))</f>
        <v> </v>
      </c>
      <c r="L4809" s="26"/>
    </row>
    <row r="4810" spans="1:12">
      <c r="A4810" s="20" t="s">
        <v>2954</v>
      </c>
      <c r="E4810" s="21">
        <f>IF(D4810="?OLD","!!!","")</f>
        <v/>
      </c>
      <c r="F4810" s="22" t="str">
        <f>IF(OR(E4810="",E4810="!!!"),"",IF(NOT(ISNA(VLOOKUP(E4810,E$1:E4809,1,FALSE()))),"OLD",IF(AND(E4810&lt;&gt;"",E4810&lt;&gt;"!!!"),"NEW","")))</f>
        <v> </v>
      </c>
      <c r="G4810" s="23" t="str">
        <f>IF(OR(E4810="",E4810="!!!"),"",IF(OR(J4810=0,AND(J4810=1,K4810=1),AND(J4810=1,I4810="SBJ"),AND(J4810=1,I4810=0)),"?IN_FOCUS",IF(J4810&lt;=2,"?ACTIVATED",IF(J4810&lt;&gt;"","?FAMILIAR",IF(F4810="NEW",IF(ISNA(VLOOKUP(E4810,#REF!,1,FALSE())),"?TYPE_IDENTIFIABLE","?REFERENTIAL"),"_")))))</f>
        <v> </v>
      </c>
      <c r="H4810" s="24" t="str">
        <f>IF(J4810&lt;&gt;1,"",IF(I4810="SBJ","CB","?"))</f>
        <v> </v>
      </c>
      <c r="I4810" s="25" t="str">
        <f>IF(OR(E4810="",E4810="!!!",F4810="NEW"),"",INDEX(B4809:B$2,-1+SUMPRODUCT(MAX(ROW(E4809:E$2)*(E4810=E4809:E$2)))))</f>
        <v> </v>
      </c>
      <c r="J4810" s="25" t="str">
        <f>IF(OR(E4810="",E4810="!!!",F4810="NEW"),"",COUNTBLANK(OFFSET(A$1,,,SUMPRODUCT(MAX(ROW(E$2:E4810)*(E4810=E$2:E4810)))))-COUNTBLANK(OFFSET(A$1,,,SUMPRODUCT(MAX(ROW(E$1:E4809)*(E2=E$1:E4809))))))</f>
        <v> </v>
      </c>
      <c r="K4810" s="25" t="str">
        <f>IF(OR(E4810="",E4810="!!!",F4810="NEW"),"",INDEX(J$1:J4809,SUMPRODUCT(MAX(ROW(E$1:E4809)*(E4810=E$1:E4809)))))</f>
        <v> </v>
      </c>
      <c r="L4810" s="26"/>
    </row>
    <row r="4811" spans="1:12">
      <c r="A4811" s="20" t="s">
        <v>1041</v>
      </c>
      <c r="E4811" s="21">
        <f>IF(D4811="?OLD","!!!","")</f>
        <v/>
      </c>
      <c r="F4811" s="22" t="str">
        <f>IF(OR(E4811="",E4811="!!!"),"",IF(NOT(ISNA(VLOOKUP(E4811,E$1:E4810,1,FALSE()))),"OLD",IF(AND(E4811&lt;&gt;"",E4811&lt;&gt;"!!!"),"NEW","")))</f>
        <v> </v>
      </c>
      <c r="G4811" s="23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4" t="str">
        <f>IF(J4811&lt;&gt;1,"",IF(I4811="SBJ","CB","?"))</f>
        <v> </v>
      </c>
      <c r="I4811" s="25" t="str">
        <f>IF(OR(E4811="",E4811="!!!",F4811="NEW"),"",INDEX(B4810:B$2,-1+SUMPRODUCT(MAX(ROW(E4810:E$2)*(E4811=E4810:E$2)))))</f>
        <v> </v>
      </c>
      <c r="J4811" s="25" t="str">
        <f>IF(OR(E4811="",E4811="!!!",F4811="NEW"),"",COUNTBLANK(OFFSET(A$1,,,SUMPRODUCT(MAX(ROW(E$2:E4811)*(E4811=E$2:E4811)))))-COUNTBLANK(OFFSET(A$1,,,SUMPRODUCT(MAX(ROW(E$1:E4810)*(E2=E$1:E4810))))))</f>
        <v> </v>
      </c>
      <c r="K4811" s="25" t="str">
        <f>IF(OR(E4811="",E4811="!!!",F4811="NEW"),"",INDEX(J$1:J4810,SUMPRODUCT(MAX(ROW(E$1:E4810)*(E4811=E$1:E4810)))))</f>
        <v> </v>
      </c>
      <c r="L4811" s="26"/>
    </row>
    <row r="4812" spans="1:12">
      <c r="A4812" s="20" t="s">
        <v>201</v>
      </c>
      <c r="E4812" s="21">
        <f>IF(D4812="?OLD","!!!","")</f>
        <v/>
      </c>
      <c r="F4812" s="22" t="str">
        <f>IF(OR(E4812="",E4812="!!!"),"",IF(NOT(ISNA(VLOOKUP(E4812,E$1:E4811,1,FALSE()))),"OLD",IF(AND(E4812&lt;&gt;"",E4812&lt;&gt;"!!!"),"NEW","")))</f>
        <v> </v>
      </c>
      <c r="G4812" s="23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4" t="str">
        <f>IF(J4812&lt;&gt;1,"",IF(I4812="SBJ","CB","?"))</f>
        <v> </v>
      </c>
      <c r="I4812" s="25" t="str">
        <f>IF(OR(E4812="",E4812="!!!",F4812="NEW"),"",INDEX(B4811:B$2,-1+SUMPRODUCT(MAX(ROW(E4811:E$2)*(E4812=E4811:E$2)))))</f>
        <v> </v>
      </c>
      <c r="J4812" s="25" t="str">
        <f>IF(OR(E4812="",E4812="!!!",F4812="NEW"),"",COUNTBLANK(OFFSET(A$1,,,SUMPRODUCT(MAX(ROW(E$2:E4812)*(E4812=E$2:E4812)))))-COUNTBLANK(OFFSET(A$1,,,SUMPRODUCT(MAX(ROW(E$1:E4811)*(E2=E$1:E4811))))))</f>
        <v> </v>
      </c>
      <c r="K4812" s="25" t="str">
        <f>IF(OR(E4812="",E4812="!!!",F4812="NEW"),"",INDEX(J$1:J4811,SUMPRODUCT(MAX(ROW(E$1:E4811)*(E4812=E$1:E4811)))))</f>
        <v> </v>
      </c>
      <c r="L4812" s="26"/>
    </row>
    <row r="4813" spans="1:12">
      <c r="A4813" s="20" t="s">
        <v>2955</v>
      </c>
      <c r="E4813" s="21">
        <f>IF(D4813="?OLD","!!!","")</f>
        <v/>
      </c>
      <c r="F4813" s="22" t="str">
        <f>IF(OR(E4813="",E4813="!!!"),"",IF(NOT(ISNA(VLOOKUP(E4813,E$1:E4812,1,FALSE()))),"OLD",IF(AND(E4813&lt;&gt;"",E4813&lt;&gt;"!!!"),"NEW","")))</f>
        <v> </v>
      </c>
      <c r="G4813" s="23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4" t="str">
        <f>IF(J4813&lt;&gt;1,"",IF(I4813="SBJ","CB","?"))</f>
        <v> </v>
      </c>
      <c r="I4813" s="25" t="str">
        <f>IF(OR(E4813="",E4813="!!!",F4813="NEW"),"",INDEX(B4812:B$2,-1+SUMPRODUCT(MAX(ROW(E4812:E$2)*(E4813=E4812:E$2)))))</f>
        <v> </v>
      </c>
      <c r="J4813" s="25" t="str">
        <f>IF(OR(E4813="",E4813="!!!",F4813="NEW"),"",COUNTBLANK(OFFSET(A$1,,,SUMPRODUCT(MAX(ROW(E$2:E4813)*(E4813=E$2:E4813)))))-COUNTBLANK(OFFSET(A$1,,,SUMPRODUCT(MAX(ROW(E$1:E4812)*(E2=E$1:E4812))))))</f>
        <v> </v>
      </c>
      <c r="K4813" s="25" t="str">
        <f>IF(OR(E4813="",E4813="!!!",F4813="NEW"),"",INDEX(J$1:J4812,SUMPRODUCT(MAX(ROW(E$1:E4812)*(E4813=E$1:E4812)))))</f>
        <v> </v>
      </c>
      <c r="L4813" s="26"/>
    </row>
    <row r="4814" spans="1:12">
      <c r="A4814" s="20" t="s">
        <v>2956</v>
      </c>
      <c r="B4814" s="27" t="s">
        <v>1048</v>
      </c>
      <c r="E4814" s="21">
        <f>IF(D4814="?OLD","!!!","")</f>
        <v/>
      </c>
      <c r="F4814" s="22" t="str">
        <f>IF(OR(E4814="",E4814="!!!"),"",IF(NOT(ISNA(VLOOKUP(E4814,E$1:E4813,1,FALSE()))),"OLD",IF(AND(E4814&lt;&gt;"",E4814&lt;&gt;"!!!"),"NEW","")))</f>
        <v> </v>
      </c>
      <c r="G4814" s="23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4" t="str">
        <f>IF(J4814&lt;&gt;1,"",IF(I4814="SBJ","CB","?"))</f>
        <v> </v>
      </c>
      <c r="I4814" s="25" t="str">
        <f>IF(OR(E4814="",E4814="!!!",F4814="NEW"),"",INDEX(B4813:B$2,-1+SUMPRODUCT(MAX(ROW(E4813:E$2)*(E4814=E4813:E$2)))))</f>
        <v> </v>
      </c>
      <c r="J4814" s="25" t="str">
        <f>IF(OR(E4814="",E4814="!!!",F4814="NEW"),"",COUNTBLANK(OFFSET(A$1,,,SUMPRODUCT(MAX(ROW(E$2:E4814)*(E4814=E$2:E4814)))))-COUNTBLANK(OFFSET(A$1,,,SUMPRODUCT(MAX(ROW(E$1:E4813)*(E2=E$1:E4813))))))</f>
        <v> </v>
      </c>
      <c r="K4814" s="25" t="str">
        <f>IF(OR(E4814="",E4814="!!!",F4814="NEW"),"",INDEX(J$1:J4813,SUMPRODUCT(MAX(ROW(E$1:E4813)*(E4814=E$1:E4813)))))</f>
        <v> </v>
      </c>
      <c r="L4814" s="26"/>
    </row>
    <row r="4815" spans="1:12">
      <c r="A4815" s="20" t="s">
        <v>1734</v>
      </c>
      <c r="E4815" s="21">
        <f>IF(D4815="?OLD","!!!","")</f>
        <v/>
      </c>
      <c r="F4815" s="22" t="str">
        <f>IF(OR(E4815="",E4815="!!!"),"",IF(NOT(ISNA(VLOOKUP(E4815,E$1:E4814,1,FALSE()))),"OLD",IF(AND(E4815&lt;&gt;"",E4815&lt;&gt;"!!!"),"NEW","")))</f>
        <v> </v>
      </c>
      <c r="G4815" s="23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4" t="str">
        <f>IF(J4815&lt;&gt;1,"",IF(I4815="SBJ","CB","?"))</f>
        <v> </v>
      </c>
      <c r="I4815" s="25" t="str">
        <f>IF(OR(E4815="",E4815="!!!",F4815="NEW"),"",INDEX(B4814:B$2,-1+SUMPRODUCT(MAX(ROW(E4814:E$2)*(E4815=E4814:E$2)))))</f>
        <v> </v>
      </c>
      <c r="J4815" s="25" t="str">
        <f>IF(OR(E4815="",E4815="!!!",F4815="NEW"),"",COUNTBLANK(OFFSET(A$1,,,SUMPRODUCT(MAX(ROW(E$2:E4815)*(E4815=E$2:E4815)))))-COUNTBLANK(OFFSET(A$1,,,SUMPRODUCT(MAX(ROW(E$1:E4814)*(E2=E$1:E4814))))))</f>
        <v> </v>
      </c>
      <c r="K4815" s="25" t="str">
        <f>IF(OR(E4815="",E4815="!!!",F4815="NEW"),"",INDEX(J$1:J4814,SUMPRODUCT(MAX(ROW(E$1:E4814)*(E4815=E$1:E4814)))))</f>
        <v> </v>
      </c>
      <c r="L4815" s="26"/>
    </row>
    <row r="4816" spans="1:12">
      <c r="A4816" s="20" t="s">
        <v>1107</v>
      </c>
      <c r="E4816" s="21">
        <f>IF(D4816="?OLD","!!!","")</f>
        <v/>
      </c>
      <c r="F4816" s="22" t="str">
        <f>IF(OR(E4816="",E4816="!!!"),"",IF(NOT(ISNA(VLOOKUP(E4816,E$1:E4815,1,FALSE()))),"OLD",IF(AND(E4816&lt;&gt;"",E4816&lt;&gt;"!!!"),"NEW","")))</f>
        <v> </v>
      </c>
      <c r="G4816" s="23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4" t="str">
        <f>IF(J4816&lt;&gt;1,"",IF(I4816="SBJ","CB","?"))</f>
        <v> </v>
      </c>
      <c r="I4816" s="25" t="str">
        <f>IF(OR(E4816="",E4816="!!!",F4816="NEW"),"",INDEX(B4815:B$2,-1+SUMPRODUCT(MAX(ROW(E4815:E$2)*(E4816=E4815:E$2)))))</f>
        <v> </v>
      </c>
      <c r="J4816" s="25" t="str">
        <f>IF(OR(E4816="",E4816="!!!",F4816="NEW"),"",COUNTBLANK(OFFSET(A$1,,,SUMPRODUCT(MAX(ROW(E$2:E4816)*(E4816=E$2:E4816)))))-COUNTBLANK(OFFSET(A$1,,,SUMPRODUCT(MAX(ROW(E$1:E4815)*(E2=E$1:E4815))))))</f>
        <v> </v>
      </c>
      <c r="K4816" s="25" t="str">
        <f>IF(OR(E4816="",E4816="!!!",F4816="NEW"),"",INDEX(J$1:J4815,SUMPRODUCT(MAX(ROW(E$1:E4815)*(E4816=E$1:E4815)))))</f>
        <v> </v>
      </c>
      <c r="L4816" s="26"/>
    </row>
    <row r="4817" spans="1:12">
      <c r="A4817" s="20" t="s">
        <v>2957</v>
      </c>
      <c r="E4817" s="21">
        <f>IF(D4817="?OLD","!!!","")</f>
        <v/>
      </c>
      <c r="F4817" s="22" t="str">
        <f>IF(OR(E4817="",E4817="!!!"),"",IF(NOT(ISNA(VLOOKUP(E4817,E$1:E4816,1,FALSE()))),"OLD",IF(AND(E4817&lt;&gt;"",E4817&lt;&gt;"!!!"),"NEW","")))</f>
        <v> </v>
      </c>
      <c r="G4817" s="23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4" t="str">
        <f>IF(J4817&lt;&gt;1,"",IF(I4817="SBJ","CB","?"))</f>
        <v> </v>
      </c>
      <c r="I4817" s="25" t="str">
        <f>IF(OR(E4817="",E4817="!!!",F4817="NEW"),"",INDEX(B4816:B$2,-1+SUMPRODUCT(MAX(ROW(E4816:E$2)*(E4817=E4816:E$2)))))</f>
        <v> </v>
      </c>
      <c r="J4817" s="25" t="str">
        <f>IF(OR(E4817="",E4817="!!!",F4817="NEW"),"",COUNTBLANK(OFFSET(A$1,,,SUMPRODUCT(MAX(ROW(E$2:E4817)*(E4817=E$2:E4817)))))-COUNTBLANK(OFFSET(A$1,,,SUMPRODUCT(MAX(ROW(E$1:E4816)*(E2=E$1:E4816))))))</f>
        <v> </v>
      </c>
      <c r="K4817" s="25" t="str">
        <f>IF(OR(E4817="",E4817="!!!",F4817="NEW"),"",INDEX(J$1:J4816,SUMPRODUCT(MAX(ROW(E$1:E4816)*(E4817=E$1:E4816)))))</f>
        <v> </v>
      </c>
      <c r="L4817" s="26"/>
    </row>
    <row r="4818" spans="1:12">
      <c r="A4818" s="20" t="s">
        <v>1041</v>
      </c>
      <c r="E4818" s="21">
        <f>IF(D4818="?OLD","!!!","")</f>
        <v/>
      </c>
      <c r="F4818" s="22" t="str">
        <f>IF(OR(E4818="",E4818="!!!"),"",IF(NOT(ISNA(VLOOKUP(E4818,E$1:E4817,1,FALSE()))),"OLD",IF(AND(E4818&lt;&gt;"",E4818&lt;&gt;"!!!"),"NEW","")))</f>
        <v> </v>
      </c>
      <c r="G4818" s="23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4" t="str">
        <f>IF(J4818&lt;&gt;1,"",IF(I4818="SBJ","CB","?"))</f>
        <v> </v>
      </c>
      <c r="I4818" s="25" t="str">
        <f>IF(OR(E4818="",E4818="!!!",F4818="NEW"),"",INDEX(B4817:B$2,-1+SUMPRODUCT(MAX(ROW(E4817:E$2)*(E4818=E4817:E$2)))))</f>
        <v> </v>
      </c>
      <c r="J4818" s="25" t="str">
        <f>IF(OR(E4818="",E4818="!!!",F4818="NEW"),"",COUNTBLANK(OFFSET(A$1,,,SUMPRODUCT(MAX(ROW(E$2:E4818)*(E4818=E$2:E4818)))))-COUNTBLANK(OFFSET(A$1,,,SUMPRODUCT(MAX(ROW(E$1:E4817)*(E2=E$1:E4817))))))</f>
        <v> </v>
      </c>
      <c r="K4818" s="25" t="str">
        <f>IF(OR(E4818="",E4818="!!!",F4818="NEW"),"",INDEX(J$1:J4817,SUMPRODUCT(MAX(ROW(E$1:E4817)*(E4818=E$1:E4817)))))</f>
        <v> </v>
      </c>
      <c r="L4818" s="26"/>
    </row>
    <row r="4819" spans="1:12">
      <c r="A4819" s="20" t="s">
        <v>1159</v>
      </c>
      <c r="E4819" s="21">
        <f>IF(D4819="?OLD","!!!","")</f>
        <v/>
      </c>
      <c r="F4819" s="22" t="str">
        <f>IF(OR(E4819="",E4819="!!!"),"",IF(NOT(ISNA(VLOOKUP(E4819,E$1:E4818,1,FALSE()))),"OLD",IF(AND(E4819&lt;&gt;"",E4819&lt;&gt;"!!!"),"NEW","")))</f>
        <v> </v>
      </c>
      <c r="G4819" s="23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4" t="str">
        <f>IF(J4819&lt;&gt;1,"",IF(I4819="SBJ","CB","?"))</f>
        <v> </v>
      </c>
      <c r="I4819" s="25" t="str">
        <f>IF(OR(E4819="",E4819="!!!",F4819="NEW"),"",INDEX(B4818:B$2,-1+SUMPRODUCT(MAX(ROW(E4818:E$2)*(E4819=E4818:E$2)))))</f>
        <v> </v>
      </c>
      <c r="J4819" s="25" t="str">
        <f>IF(OR(E4819="",E4819="!!!",F4819="NEW"),"",COUNTBLANK(OFFSET(A$1,,,SUMPRODUCT(MAX(ROW(E$2:E4819)*(E4819=E$2:E4819)))))-COUNTBLANK(OFFSET(A$1,,,SUMPRODUCT(MAX(ROW(E$1:E4818)*(E2=E$1:E4818))))))</f>
        <v> </v>
      </c>
      <c r="K4819" s="25" t="str">
        <f>IF(OR(E4819="",E4819="!!!",F4819="NEW"),"",INDEX(J$1:J4818,SUMPRODUCT(MAX(ROW(E$1:E4818)*(E4819=E$1:E4818)))))</f>
        <v> </v>
      </c>
      <c r="L4819" s="26"/>
    </row>
    <row r="4820" spans="1:12">
      <c r="A4820" s="20" t="s">
        <v>1666</v>
      </c>
      <c r="E4820" s="21">
        <f>IF(D4820="?OLD","!!!","")</f>
        <v/>
      </c>
      <c r="F4820" s="22" t="str">
        <f>IF(OR(E4820="",E4820="!!!"),"",IF(NOT(ISNA(VLOOKUP(E4820,E$1:E4819,1,FALSE()))),"OLD",IF(AND(E4820&lt;&gt;"",E4820&lt;&gt;"!!!"),"NEW","")))</f>
        <v> </v>
      </c>
      <c r="G4820" s="23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4" t="str">
        <f>IF(J4820&lt;&gt;1,"",IF(I4820="SBJ","CB","?"))</f>
        <v> </v>
      </c>
      <c r="I4820" s="25" t="str">
        <f>IF(OR(E4820="",E4820="!!!",F4820="NEW"),"",INDEX(B4819:B$2,-1+SUMPRODUCT(MAX(ROW(E4819:E$2)*(E4820=E4819:E$2)))))</f>
        <v> </v>
      </c>
      <c r="J4820" s="25" t="str">
        <f>IF(OR(E4820="",E4820="!!!",F4820="NEW"),"",COUNTBLANK(OFFSET(A$1,,,SUMPRODUCT(MAX(ROW(E$2:E4820)*(E4820=E$2:E4820)))))-COUNTBLANK(OFFSET(A$1,,,SUMPRODUCT(MAX(ROW(E$1:E4819)*(E2=E$1:E4819))))))</f>
        <v> </v>
      </c>
      <c r="K4820" s="25" t="str">
        <f>IF(OR(E4820="",E4820="!!!",F4820="NEW"),"",INDEX(J$1:J4819,SUMPRODUCT(MAX(ROW(E$1:E4819)*(E4820=E$1:E4819)))))</f>
        <v> </v>
      </c>
      <c r="L4820" s="26"/>
    </row>
    <row r="4821" spans="1:12">
      <c r="A4821" s="20" t="s">
        <v>2541</v>
      </c>
      <c r="E4821" s="21">
        <f>IF(D4821="?OLD","!!!","")</f>
        <v/>
      </c>
      <c r="F4821" s="22" t="str">
        <f>IF(OR(E4821="",E4821="!!!"),"",IF(NOT(ISNA(VLOOKUP(E4821,E$1:E4820,1,FALSE()))),"OLD",IF(AND(E4821&lt;&gt;"",E4821&lt;&gt;"!!!"),"NEW","")))</f>
        <v> </v>
      </c>
      <c r="G4821" s="23" t="str">
        <f>IF(OR(E4821="",E4821="!!!"),"",IF(OR(J4821=0,AND(J4821=1,K4821=1),AND(J4821=1,I4821="SBJ"),AND(J4821=1,I4821=0)),"?IN_FOCUS",IF(J4821&lt;=2,"?ACTIVATED",IF(J4821&lt;&gt;"","?FAMILIAR",IF(F4821="NEW",IF(ISNA(VLOOKUP(E4821,#REF!,1,FALSE())),"?TYPE_IDENTIFIABLE","?REFERENTIAL"),"_")))))</f>
        <v> </v>
      </c>
      <c r="H4821" s="24" t="str">
        <f>IF(J4821&lt;&gt;1,"",IF(I4821="SBJ","CB","?"))</f>
        <v> </v>
      </c>
      <c r="I4821" s="25" t="str">
        <f>IF(OR(E4821="",E4821="!!!",F4821="NEW"),"",INDEX(B4820:B$2,-1+SUMPRODUCT(MAX(ROW(E4820:E$2)*(E4821=E4820:E$2)))))</f>
        <v> </v>
      </c>
      <c r="J4821" s="25" t="str">
        <f>IF(OR(E4821="",E4821="!!!",F4821="NEW"),"",COUNTBLANK(OFFSET(A$1,,,SUMPRODUCT(MAX(ROW(E$2:E4821)*(E4821=E$2:E4821)))))-COUNTBLANK(OFFSET(A$1,,,SUMPRODUCT(MAX(ROW(E$1:E4820)*(E2=E$1:E4820))))))</f>
        <v> </v>
      </c>
      <c r="K4821" s="25" t="str">
        <f>IF(OR(E4821="",E4821="!!!",F4821="NEW"),"",INDEX(J$1:J4820,SUMPRODUCT(MAX(ROW(E$1:E4820)*(E4821=E$1:E4820)))))</f>
        <v> </v>
      </c>
      <c r="L4821" s="26"/>
    </row>
    <row r="4822" spans="1:12">
      <c r="A4822" s="20" t="s">
        <v>2958</v>
      </c>
      <c r="B4822" s="27" t="s">
        <v>1225</v>
      </c>
      <c r="E4822" s="21">
        <f>IF(D4822="?OLD","!!!","")</f>
        <v/>
      </c>
      <c r="F4822" s="22" t="str">
        <f>IF(OR(E4822="",E4822="!!!"),"",IF(NOT(ISNA(VLOOKUP(E4822,E$1:E4821,1,FALSE()))),"OLD",IF(AND(E4822&lt;&gt;"",E4822&lt;&gt;"!!!"),"NEW","")))</f>
        <v> </v>
      </c>
      <c r="G4822" s="23" t="str">
        <f>IF(OR(E4822="",E4822="!!!"),"",IF(OR(J4822=0,AND(J4822=1,K4822=1),AND(J4822=1,I4822="SBJ"),AND(J4822=1,I4822=0)),"?IN_FOCUS",IF(J4822&lt;=2,"?ACTIVATED",IF(J4822&lt;&gt;"","?FAMILIAR",IF(F4822="NEW",IF(ISNA(VLOOKUP(E4822,#REF!,1,FALSE())),"?TYPE_IDENTIFIABLE","?REFERENTIAL"),"_")))))</f>
        <v> </v>
      </c>
      <c r="H4822" s="24" t="str">
        <f>IF(J4822&lt;&gt;1,"",IF(I4822="SBJ","CB","?"))</f>
        <v> </v>
      </c>
      <c r="I4822" s="25" t="str">
        <f>IF(OR(E4822="",E4822="!!!",F4822="NEW"),"",INDEX(B4821:B$2,-1+SUMPRODUCT(MAX(ROW(E4821:E$2)*(E4822=E4821:E$2)))))</f>
        <v> </v>
      </c>
      <c r="J4822" s="25" t="str">
        <f>IF(OR(E4822="",E4822="!!!",F4822="NEW"),"",COUNTBLANK(OFFSET(A$1,,,SUMPRODUCT(MAX(ROW(E$2:E4822)*(E4822=E$2:E4822)))))-COUNTBLANK(OFFSET(A$1,,,SUMPRODUCT(MAX(ROW(E$1:E4821)*(E2=E$1:E4821))))))</f>
        <v> </v>
      </c>
      <c r="K4822" s="25" t="str">
        <f>IF(OR(E4822="",E4822="!!!",F4822="NEW"),"",INDEX(J$1:J4821,SUMPRODUCT(MAX(ROW(E$1:E4821)*(E4822=E$1:E4821)))))</f>
        <v> </v>
      </c>
      <c r="L4822" s="26"/>
    </row>
    <row r="4823" spans="1:12">
      <c r="A4823" s="20" t="s">
        <v>2959</v>
      </c>
      <c r="B4823" s="27" t="s">
        <v>1339</v>
      </c>
      <c r="C4823" s="27" t="s">
        <v>1151</v>
      </c>
      <c r="E4823" s="21">
        <f>IF(D4823="?OLD","!!!","")</f>
        <v/>
      </c>
      <c r="F4823" s="22" t="str">
        <f>IF(OR(E4823="",E4823="!!!"),"",IF(NOT(ISNA(VLOOKUP(E4823,E$1:E4822,1,FALSE()))),"OLD",IF(AND(E4823&lt;&gt;"",E4823&lt;&gt;"!!!"),"NEW","")))</f>
        <v> </v>
      </c>
      <c r="G4823" s="23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4" t="str">
        <f>IF(J4823&lt;&gt;1,"",IF(I4823="SBJ","CB","?"))</f>
        <v> </v>
      </c>
      <c r="I4823" s="25" t="str">
        <f>IF(OR(E4823="",E4823="!!!",F4823="NEW"),"",INDEX(B4822:B$2,-1+SUMPRODUCT(MAX(ROW(E4822:E$2)*(E4823=E4822:E$2)))))</f>
        <v> </v>
      </c>
      <c r="J4823" s="25" t="str">
        <f>IF(OR(E4823="",E4823="!!!",F4823="NEW"),"",COUNTBLANK(OFFSET(A$1,,,SUMPRODUCT(MAX(ROW(E$2:E4823)*(E4823=E$2:E4823)))))-COUNTBLANK(OFFSET(A$1,,,SUMPRODUCT(MAX(ROW(E$1:E4822)*(E2=E$1:E4822))))))</f>
        <v> </v>
      </c>
      <c r="K4823" s="25" t="str">
        <f>IF(OR(E4823="",E4823="!!!",F4823="NEW"),"",INDEX(J$1:J4822,SUMPRODUCT(MAX(ROW(E$1:E4822)*(E4823=E$1:E4822)))))</f>
        <v> </v>
      </c>
      <c r="L4823" s="26"/>
    </row>
    <row r="4824" spans="1:12">
      <c r="A4824" s="20" t="s">
        <v>2960</v>
      </c>
      <c r="E4824" s="21">
        <f>IF(D4824="?OLD","!!!","")</f>
        <v/>
      </c>
      <c r="F4824" s="22" t="str">
        <f>IF(OR(E4824="",E4824="!!!"),"",IF(NOT(ISNA(VLOOKUP(E4824,E$1:E4823,1,FALSE()))),"OLD",IF(AND(E4824&lt;&gt;"",E4824&lt;&gt;"!!!"),"NEW","")))</f>
        <v> </v>
      </c>
      <c r="G4824" s="23" t="str">
        <f>IF(OR(E4824="",E4824="!!!"),"",IF(OR(J4824=0,AND(J4824=1,K4824=1),AND(J4824=1,I4824="SBJ"),AND(J4824=1,I4824=0)),"?IN_FOCUS",IF(J4824&lt;=2,"?ACTIVATED",IF(J4824&lt;&gt;"","?FAMILIAR",IF(F4824="NEW",IF(ISNA(VLOOKUP(E4824,#REF!,1,FALSE())),"?TYPE_IDENTIFIABLE","?REFERENTIAL"),"_")))))</f>
        <v> </v>
      </c>
      <c r="H4824" s="24" t="str">
        <f>IF(J4824&lt;&gt;1,"",IF(I4824="SBJ","CB","?"))</f>
        <v> </v>
      </c>
      <c r="I4824" s="25" t="str">
        <f>IF(OR(E4824="",E4824="!!!",F4824="NEW"),"",INDEX(B4823:B$2,-1+SUMPRODUCT(MAX(ROW(E4823:E$2)*(E4824=E4823:E$2)))))</f>
        <v> </v>
      </c>
      <c r="J4824" s="25" t="str">
        <f>IF(OR(E4824="",E4824="!!!",F4824="NEW"),"",COUNTBLANK(OFFSET(A$1,,,SUMPRODUCT(MAX(ROW(E$2:E4824)*(E4824=E$2:E4824)))))-COUNTBLANK(OFFSET(A$1,,,SUMPRODUCT(MAX(ROW(E$1:E4823)*(E2=E$1:E4823))))))</f>
        <v> </v>
      </c>
      <c r="K4824" s="25" t="str">
        <f>IF(OR(E4824="",E4824="!!!",F4824="NEW"),"",INDEX(J$1:J4823,SUMPRODUCT(MAX(ROW(E$1:E4823)*(E4824=E$1:E4823)))))</f>
        <v> </v>
      </c>
      <c r="L4824" s="26"/>
    </row>
    <row r="4825" spans="1:12">
      <c r="A4825" s="20" t="s">
        <v>1032</v>
      </c>
      <c r="E4825" s="21">
        <f>IF(D4825="?OLD","!!!","")</f>
        <v/>
      </c>
      <c r="F4825" s="22" t="str">
        <f>IF(OR(E4825="",E4825="!!!"),"",IF(NOT(ISNA(VLOOKUP(E4825,E$1:E4824,1,FALSE()))),"OLD",IF(AND(E4825&lt;&gt;"",E4825&lt;&gt;"!!!"),"NEW","")))</f>
        <v> </v>
      </c>
      <c r="G4825" s="23" t="str">
        <f>IF(OR(E4825="",E4825="!!!"),"",IF(OR(J4825=0,AND(J4825=1,K4825=1),AND(J4825=1,I4825="SBJ"),AND(J4825=1,I4825=0)),"?IN_FOCUS",IF(J4825&lt;=2,"?ACTIVATED",IF(J4825&lt;&gt;"","?FAMILIAR",IF(F4825="NEW",IF(ISNA(VLOOKUP(E4825,#REF!,1,FALSE())),"?TYPE_IDENTIFIABLE","?REFERENTIAL"),"_")))))</f>
        <v> </v>
      </c>
      <c r="H4825" s="24" t="str">
        <f>IF(J4825&lt;&gt;1,"",IF(I4825="SBJ","CB","?"))</f>
        <v> </v>
      </c>
      <c r="I4825" s="25" t="str">
        <f>IF(OR(E4825="",E4825="!!!",F4825="NEW"),"",INDEX(B4824:B$2,-1+SUMPRODUCT(MAX(ROW(E4824:E$2)*(E4825=E4824:E$2)))))</f>
        <v> </v>
      </c>
      <c r="J4825" s="25" t="str">
        <f>IF(OR(E4825="",E4825="!!!",F4825="NEW"),"",COUNTBLANK(OFFSET(A$1,,,SUMPRODUCT(MAX(ROW(E$2:E4825)*(E4825=E$2:E4825)))))-COUNTBLANK(OFFSET(A$1,,,SUMPRODUCT(MAX(ROW(E$1:E4824)*(E2=E$1:E4824))))))</f>
        <v> </v>
      </c>
      <c r="K4825" s="25" t="str">
        <f>IF(OR(E4825="",E4825="!!!",F4825="NEW"),"",INDEX(J$1:J4824,SUMPRODUCT(MAX(ROW(E$1:E4824)*(E4825=E$1:E4824)))))</f>
        <v> </v>
      </c>
      <c r="L4825" s="26"/>
    </row>
    <row r="4826" spans="1:12">
      <c r="A4826" s="20"/>
    </row>
    <row r="4827" spans="1:12">
      <c r="A4827" s="20" t="s">
        <v>2961</v>
      </c>
    </row>
    <row r="4828" spans="1:12">
      <c r="A4828" s="20" t="s">
        <v>1499</v>
      </c>
      <c r="E4828" s="21">
        <f>IF(D4828="?OLD","!!!","")</f>
        <v/>
      </c>
      <c r="F4828" s="22" t="str">
        <f>IF(OR(E4828="",E4828="!!!"),"",IF(NOT(ISNA(VLOOKUP(E4828,E$1:E4827,1,FALSE()))),"OLD",IF(AND(E4828&lt;&gt;"",E4828&lt;&gt;"!!!"),"NEW","")))</f>
        <v> </v>
      </c>
      <c r="G4828" s="23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4" t="str">
        <f>IF(J4828&lt;&gt;1,"",IF(I4828="SBJ","CB","?"))</f>
        <v> </v>
      </c>
      <c r="I4828" s="25" t="str">
        <f>IF(OR(E4828="",E4828="!!!",F4828="NEW"),"",INDEX(B4827:B$2,-1+SUMPRODUCT(MAX(ROW(E4827:E$2)*(E4828=E4827:E$2)))))</f>
        <v> </v>
      </c>
      <c r="J4828" s="25" t="str">
        <f>IF(OR(E4828="",E4828="!!!",F4828="NEW"),"",COUNTBLANK(OFFSET(A$1,,,SUMPRODUCT(MAX(ROW(E$2:E4828)*(E4828=E$2:E4828)))))-COUNTBLANK(OFFSET(A$1,,,SUMPRODUCT(MAX(ROW(E$1:E4827)*(E2=E$1:E4827))))))</f>
        <v> </v>
      </c>
      <c r="K4828" s="25" t="str">
        <f>IF(OR(E4828="",E4828="!!!",F4828="NEW"),"",INDEX(J$1:J4827,SUMPRODUCT(MAX(ROW(E$1:E4827)*(E4828=E$1:E4827)))))</f>
        <v> </v>
      </c>
      <c r="L4828" s="26"/>
    </row>
    <row r="4829" spans="1:12">
      <c r="A4829" s="20" t="s">
        <v>2905</v>
      </c>
      <c r="B4829" s="27" t="s">
        <v>1080</v>
      </c>
      <c r="C4829" s="27" t="s">
        <v>1025</v>
      </c>
      <c r="D4829" s="27" t="s">
        <v>1026</v>
      </c>
      <c r="E4829" s="21">
        <f>IF(D4829="?OLD","!!!","")</f>
        <v/>
      </c>
      <c r="F4829" s="22" t="str">
        <f>IF(OR(E4829="",E4829="!!!"),"",IF(NOT(ISNA(VLOOKUP(E4829,E$1:E4828,1,FALSE()))),"OLD",IF(AND(E4829&lt;&gt;"",E4829&lt;&gt;"!!!"),"NEW","")))</f>
        <v> </v>
      </c>
      <c r="G4829" s="23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4" t="str">
        <f>IF(J4829&lt;&gt;1,"",IF(I4829="SBJ","CB","?"))</f>
        <v> </v>
      </c>
      <c r="I4829" s="25" t="str">
        <f>IF(OR(E4829="",E4829="!!!",F4829="NEW"),"",INDEX(B4828:B$2,-1+SUMPRODUCT(MAX(ROW(E4828:E$2)*(E4829=E4828:E$2)))))</f>
        <v> </v>
      </c>
      <c r="J4829" s="25" t="str">
        <f>IF(OR(E4829="",E4829="!!!",F4829="NEW"),"",COUNTBLANK(OFFSET(A$1,,,SUMPRODUCT(MAX(ROW(E$2:E4829)*(E4829=E$2:E4829)))))-COUNTBLANK(OFFSET(A$1,,,SUMPRODUCT(MAX(ROW(E$1:E4828)*(E2=E$1:E4828))))))</f>
        <v> </v>
      </c>
      <c r="K4829" s="25" t="str">
        <f>IF(OR(E4829="",E4829="!!!",F4829="NEW"),"",INDEX(J$1:J4828,SUMPRODUCT(MAX(ROW(E$1:E4828)*(E4829=E$1:E4828)))))</f>
        <v> </v>
      </c>
      <c r="L4829" s="26"/>
    </row>
    <row r="4830" spans="1:12">
      <c r="A4830" s="20" t="s">
        <v>1035</v>
      </c>
      <c r="B4830" s="27" t="s">
        <v>1024</v>
      </c>
      <c r="C4830" s="27" t="s">
        <v>1036</v>
      </c>
      <c r="D4830" s="27" t="s">
        <v>1026</v>
      </c>
      <c r="E4830" s="21">
        <f>IF(D4830="?OLD","!!!","")</f>
        <v/>
      </c>
      <c r="F4830" s="22" t="str">
        <f>IF(OR(E4830="",E4830="!!!"),"",IF(NOT(ISNA(VLOOKUP(E4830,E$1:E4829,1,FALSE()))),"OLD",IF(AND(E4830&lt;&gt;"",E4830&lt;&gt;"!!!"),"NEW","")))</f>
        <v> </v>
      </c>
      <c r="G4830" s="23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4" t="str">
        <f>IF(J4830&lt;&gt;1,"",IF(I4830="SBJ","CB","?"))</f>
        <v> </v>
      </c>
      <c r="I4830" s="25" t="str">
        <f>IF(OR(E4830="",E4830="!!!",F4830="NEW"),"",INDEX(B4829:B$2,-1+SUMPRODUCT(MAX(ROW(E4829:E$2)*(E4830=E4829:E$2)))))</f>
        <v> </v>
      </c>
      <c r="J4830" s="25" t="str">
        <f>IF(OR(E4830="",E4830="!!!",F4830="NEW"),"",COUNTBLANK(OFFSET(A$1,,,SUMPRODUCT(MAX(ROW(E$2:E4830)*(E4830=E$2:E4830)))))-COUNTBLANK(OFFSET(A$1,,,SUMPRODUCT(MAX(ROW(E$1:E4829)*(E2=E$1:E4829))))))</f>
        <v> </v>
      </c>
      <c r="K4830" s="25" t="str">
        <f>IF(OR(E4830="",E4830="!!!",F4830="NEW"),"",INDEX(J$1:J4829,SUMPRODUCT(MAX(ROW(E$1:E4829)*(E4830=E$1:E4829)))))</f>
        <v> </v>
      </c>
      <c r="L4830" s="26"/>
    </row>
    <row r="4831" spans="1:12">
      <c r="A4831" s="20" t="s">
        <v>1159</v>
      </c>
      <c r="E4831" s="21">
        <f>IF(D4831="?OLD","!!!","")</f>
        <v/>
      </c>
      <c r="F4831" s="22" t="str">
        <f>IF(OR(E4831="",E4831="!!!"),"",IF(NOT(ISNA(VLOOKUP(E4831,E$1:E4830,1,FALSE()))),"OLD",IF(AND(E4831&lt;&gt;"",E4831&lt;&gt;"!!!"),"NEW","")))</f>
        <v> </v>
      </c>
      <c r="G4831" s="23" t="str">
        <f>IF(OR(E4831="",E4831="!!!"),"",IF(OR(J4831=0,AND(J4831=1,K4831=1),AND(J4831=1,I4831="SBJ"),AND(J4831=1,I4831=0)),"?IN_FOCUS",IF(J4831&lt;=2,"?ACTIVATED",IF(J4831&lt;&gt;"","?FAMILIAR",IF(F4831="NEW",IF(ISNA(VLOOKUP(E4831,#REF!,1,FALSE())),"?TYPE_IDENTIFIABLE","?REFERENTIAL"),"_")))))</f>
        <v> </v>
      </c>
      <c r="H4831" s="24" t="str">
        <f>IF(J4831&lt;&gt;1,"",IF(I4831="SBJ","CB","?"))</f>
        <v> </v>
      </c>
      <c r="I4831" s="25" t="str">
        <f>IF(OR(E4831="",E4831="!!!",F4831="NEW"),"",INDEX(B4830:B$2,-1+SUMPRODUCT(MAX(ROW(E4830:E$2)*(E4831=E4830:E$2)))))</f>
        <v> </v>
      </c>
      <c r="J4831" s="25" t="str">
        <f>IF(OR(E4831="",E4831="!!!",F4831="NEW"),"",COUNTBLANK(OFFSET(A$1,,,SUMPRODUCT(MAX(ROW(E$2:E4831)*(E4831=E$2:E4831)))))-COUNTBLANK(OFFSET(A$1,,,SUMPRODUCT(MAX(ROW(E$1:E4830)*(E2=E$1:E4830))))))</f>
        <v> </v>
      </c>
      <c r="K4831" s="25" t="str">
        <f>IF(OR(E4831="",E4831="!!!",F4831="NEW"),"",INDEX(J$1:J4830,SUMPRODUCT(MAX(ROW(E$1:E4830)*(E4831=E$1:E4830)))))</f>
        <v> </v>
      </c>
      <c r="L4831" s="26"/>
    </row>
    <row r="4832" spans="1:12">
      <c r="A4832" s="20" t="s">
        <v>1053</v>
      </c>
      <c r="E4832" s="21">
        <f>IF(D4832="?OLD","!!!","")</f>
        <v/>
      </c>
      <c r="F4832" s="22" t="str">
        <f>IF(OR(E4832="",E4832="!!!"),"",IF(NOT(ISNA(VLOOKUP(E4832,E$1:E4831,1,FALSE()))),"OLD",IF(AND(E4832&lt;&gt;"",E4832&lt;&gt;"!!!"),"NEW","")))</f>
        <v> </v>
      </c>
      <c r="G4832" s="23" t="str">
        <f>IF(OR(E4832="",E4832="!!!"),"",IF(OR(J4832=0,AND(J4832=1,K4832=1),AND(J4832=1,I4832="SBJ"),AND(J4832=1,I4832=0)),"?IN_FOCUS",IF(J4832&lt;=2,"?ACTIVATED",IF(J4832&lt;&gt;"","?FAMILIAR",IF(F4832="NEW",IF(ISNA(VLOOKUP(E4832,#REF!,1,FALSE())),"?TYPE_IDENTIFIABLE","?REFERENTIAL"),"_")))))</f>
        <v> </v>
      </c>
      <c r="H4832" s="24" t="str">
        <f>IF(J4832&lt;&gt;1,"",IF(I4832="SBJ","CB","?"))</f>
        <v> </v>
      </c>
      <c r="I4832" s="25" t="str">
        <f>IF(OR(E4832="",E4832="!!!",F4832="NEW"),"",INDEX(B4831:B$2,-1+SUMPRODUCT(MAX(ROW(E4831:E$2)*(E4832=E4831:E$2)))))</f>
        <v> </v>
      </c>
      <c r="J4832" s="25" t="str">
        <f>IF(OR(E4832="",E4832="!!!",F4832="NEW"),"",COUNTBLANK(OFFSET(A$1,,,SUMPRODUCT(MAX(ROW(E$2:E4832)*(E4832=E$2:E4832)))))-COUNTBLANK(OFFSET(A$1,,,SUMPRODUCT(MAX(ROW(E$1:E4831)*(E2=E$1:E4831))))))</f>
        <v> </v>
      </c>
      <c r="K4832" s="25" t="str">
        <f>IF(OR(E4832="",E4832="!!!",F4832="NEW"),"",INDEX(J$1:J4831,SUMPRODUCT(MAX(ROW(E$1:E4831)*(E4832=E$1:E4831)))))</f>
        <v> </v>
      </c>
      <c r="L4832" s="26"/>
    </row>
    <row r="4833" spans="1:12">
      <c r="A4833" s="20" t="s">
        <v>1054</v>
      </c>
      <c r="E4833" s="21">
        <f>IF(D4833="?OLD","!!!","")</f>
        <v/>
      </c>
      <c r="F4833" s="22" t="str">
        <f>IF(OR(E4833="",E4833="!!!"),"",IF(NOT(ISNA(VLOOKUP(E4833,E$1:E4832,1,FALSE()))),"OLD",IF(AND(E4833&lt;&gt;"",E4833&lt;&gt;"!!!"),"NEW","")))</f>
        <v> </v>
      </c>
      <c r="G4833" s="23" t="str">
        <f>IF(OR(E4833="",E4833="!!!"),"",IF(OR(J4833=0,AND(J4833=1,K4833=1),AND(J4833=1,I4833="SBJ"),AND(J4833=1,I4833=0)),"?IN_FOCUS",IF(J4833&lt;=2,"?ACTIVATED",IF(J4833&lt;&gt;"","?FAMILIAR",IF(F4833="NEW",IF(ISNA(VLOOKUP(E4833,#REF!,1,FALSE())),"?TYPE_IDENTIFIABLE","?REFERENTIAL"),"_")))))</f>
        <v> </v>
      </c>
      <c r="H4833" s="24" t="str">
        <f>IF(J4833&lt;&gt;1,"",IF(I4833="SBJ","CB","?"))</f>
        <v> </v>
      </c>
      <c r="I4833" s="25" t="str">
        <f>IF(OR(E4833="",E4833="!!!",F4833="NEW"),"",INDEX(B4832:B$2,-1+SUMPRODUCT(MAX(ROW(E4832:E$2)*(E4833=E4832:E$2)))))</f>
        <v> </v>
      </c>
      <c r="J4833" s="25" t="str">
        <f>IF(OR(E4833="",E4833="!!!",F4833="NEW"),"",COUNTBLANK(OFFSET(A$1,,,SUMPRODUCT(MAX(ROW(E$2:E4833)*(E4833=E$2:E4833)))))-COUNTBLANK(OFFSET(A$1,,,SUMPRODUCT(MAX(ROW(E$1:E4832)*(E2=E$1:E4832))))))</f>
        <v> </v>
      </c>
      <c r="K4833" s="25" t="str">
        <f>IF(OR(E4833="",E4833="!!!",F4833="NEW"),"",INDEX(J$1:J4832,SUMPRODUCT(MAX(ROW(E$1:E4832)*(E4833=E$1:E4832)))))</f>
        <v> </v>
      </c>
      <c r="L4833" s="26"/>
    </row>
    <row r="4834" spans="1:12">
      <c r="A4834" s="20" t="s">
        <v>1055</v>
      </c>
      <c r="B4834" s="27" t="s">
        <v>1080</v>
      </c>
      <c r="C4834" s="27" t="s">
        <v>1072</v>
      </c>
      <c r="D4834" s="27" t="s">
        <v>1026</v>
      </c>
      <c r="E4834" s="21">
        <f>IF(D4834="?OLD","!!!","")</f>
        <v/>
      </c>
      <c r="F4834" s="22" t="str">
        <f>IF(OR(E4834="",E4834="!!!"),"",IF(NOT(ISNA(VLOOKUP(E4834,E$1:E4833,1,FALSE()))),"OLD",IF(AND(E4834&lt;&gt;"",E4834&lt;&gt;"!!!"),"NEW","")))</f>
        <v> </v>
      </c>
      <c r="G4834" s="23" t="str">
        <f>IF(OR(E4834="",E4834="!!!"),"",IF(OR(J4834=0,AND(J4834=1,K4834=1),AND(J4834=1,I4834="SBJ"),AND(J4834=1,I4834=0)),"?IN_FOCUS",IF(J4834&lt;=2,"?ACTIVATED",IF(J4834&lt;&gt;"","?FAMILIAR",IF(F4834="NEW",IF(ISNA(VLOOKUP(E4834,#REF!,1,FALSE())),"?TYPE_IDENTIFIABLE","?REFERENTIAL"),"_")))))</f>
        <v> </v>
      </c>
      <c r="H4834" s="24" t="str">
        <f>IF(J4834&lt;&gt;1,"",IF(I4834="SBJ","CB","?"))</f>
        <v> </v>
      </c>
      <c r="I4834" s="25" t="str">
        <f>IF(OR(E4834="",E4834="!!!",F4834="NEW"),"",INDEX(B4833:B$2,-1+SUMPRODUCT(MAX(ROW(E4833:E$2)*(E4834=E4833:E$2)))))</f>
        <v> </v>
      </c>
      <c r="J4834" s="25" t="str">
        <f>IF(OR(E4834="",E4834="!!!",F4834="NEW"),"",COUNTBLANK(OFFSET(A$1,,,SUMPRODUCT(MAX(ROW(E$2:E4834)*(E4834=E$2:E4834)))))-COUNTBLANK(OFFSET(A$1,,,SUMPRODUCT(MAX(ROW(E$1:E4833)*(E2=E$1:E4833))))))</f>
        <v> </v>
      </c>
      <c r="K4834" s="25" t="str">
        <f>IF(OR(E4834="",E4834="!!!",F4834="NEW"),"",INDEX(J$1:J4833,SUMPRODUCT(MAX(ROW(E$1:E4833)*(E4834=E$1:E4833)))))</f>
        <v> </v>
      </c>
      <c r="L4834" s="26"/>
    </row>
    <row r="4835" spans="1:12">
      <c r="A4835" s="20" t="s">
        <v>1041</v>
      </c>
      <c r="E4835" s="21">
        <f>IF(D4835="?OLD","!!!","")</f>
        <v/>
      </c>
      <c r="F4835" s="22" t="str">
        <f>IF(OR(E4835="",E4835="!!!"),"",IF(NOT(ISNA(VLOOKUP(E4835,E$1:E4834,1,FALSE()))),"OLD",IF(AND(E4835&lt;&gt;"",E4835&lt;&gt;"!!!"),"NEW","")))</f>
        <v> </v>
      </c>
      <c r="G4835" s="23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4" t="str">
        <f>IF(J4835&lt;&gt;1,"",IF(I4835="SBJ","CB","?"))</f>
        <v> </v>
      </c>
      <c r="I4835" s="25" t="str">
        <f>IF(OR(E4835="",E4835="!!!",F4835="NEW"),"",INDEX(B4834:B$2,-1+SUMPRODUCT(MAX(ROW(E4834:E$2)*(E4835=E4834:E$2)))))</f>
        <v> </v>
      </c>
      <c r="J4835" s="25" t="str">
        <f>IF(OR(E4835="",E4835="!!!",F4835="NEW"),"",COUNTBLANK(OFFSET(A$1,,,SUMPRODUCT(MAX(ROW(E$2:E4835)*(E4835=E$2:E4835)))))-COUNTBLANK(OFFSET(A$1,,,SUMPRODUCT(MAX(ROW(E$1:E4834)*(E2=E$1:E4834))))))</f>
        <v> </v>
      </c>
      <c r="K4835" s="25" t="str">
        <f>IF(OR(E4835="",E4835="!!!",F4835="NEW"),"",INDEX(J$1:J4834,SUMPRODUCT(MAX(ROW(E$1:E4834)*(E4835=E$1:E4834)))))</f>
        <v> </v>
      </c>
      <c r="L4835" s="26"/>
    </row>
    <row r="4836" spans="1:12">
      <c r="A4836" s="20" t="s">
        <v>2962</v>
      </c>
      <c r="E4836" s="21">
        <f>IF(D4836="?OLD","!!!","")</f>
        <v/>
      </c>
      <c r="F4836" s="22" t="str">
        <f>IF(OR(E4836="",E4836="!!!"),"",IF(NOT(ISNA(VLOOKUP(E4836,E$1:E4835,1,FALSE()))),"OLD",IF(AND(E4836&lt;&gt;"",E4836&lt;&gt;"!!!"),"NEW","")))</f>
        <v> </v>
      </c>
      <c r="G4836" s="23" t="str">
        <f>IF(OR(E4836="",E4836="!!!"),"",IF(OR(J4836=0,AND(J4836=1,K4836=1),AND(J4836=1,I4836="SBJ"),AND(J4836=1,I4836=0)),"?IN_FOCUS",IF(J4836&lt;=2,"?ACTIVATED",IF(J4836&lt;&gt;"","?FAMILIAR",IF(F4836="NEW",IF(ISNA(VLOOKUP(E4836,#REF!,1,FALSE())),"?TYPE_IDENTIFIABLE","?REFERENTIAL"),"_")))))</f>
        <v> </v>
      </c>
      <c r="H4836" s="24" t="str">
        <f>IF(J4836&lt;&gt;1,"",IF(I4836="SBJ","CB","?"))</f>
        <v> </v>
      </c>
      <c r="I4836" s="25" t="str">
        <f>IF(OR(E4836="",E4836="!!!",F4836="NEW"),"",INDEX(B4835:B$2,-1+SUMPRODUCT(MAX(ROW(E4835:E$2)*(E4836=E4835:E$2)))))</f>
        <v> </v>
      </c>
      <c r="J4836" s="25" t="str">
        <f>IF(OR(E4836="",E4836="!!!",F4836="NEW"),"",COUNTBLANK(OFFSET(A$1,,,SUMPRODUCT(MAX(ROW(E$2:E4836)*(E4836=E$2:E4836)))))-COUNTBLANK(OFFSET(A$1,,,SUMPRODUCT(MAX(ROW(E$1:E4835)*(E2=E$1:E4835))))))</f>
        <v> </v>
      </c>
      <c r="K4836" s="25" t="str">
        <f>IF(OR(E4836="",E4836="!!!",F4836="NEW"),"",INDEX(J$1:J4835,SUMPRODUCT(MAX(ROW(E$1:E4835)*(E4836=E$1:E4835)))))</f>
        <v> </v>
      </c>
      <c r="L4836" s="26"/>
    </row>
    <row r="4837" spans="1:12">
      <c r="A4837" s="20" t="s">
        <v>2963</v>
      </c>
      <c r="E4837" s="21">
        <f>IF(D4837="?OLD","!!!","")</f>
        <v/>
      </c>
      <c r="F4837" s="22" t="str">
        <f>IF(OR(E4837="",E4837="!!!"),"",IF(NOT(ISNA(VLOOKUP(E4837,E$1:E4836,1,FALSE()))),"OLD",IF(AND(E4837&lt;&gt;"",E4837&lt;&gt;"!!!"),"NEW","")))</f>
        <v> </v>
      </c>
      <c r="G4837" s="23" t="str">
        <f>IF(OR(E4837="",E4837="!!!"),"",IF(OR(J4837=0,AND(J4837=1,K4837=1),AND(J4837=1,I4837="SBJ"),AND(J4837=1,I4837=0)),"?IN_FOCUS",IF(J4837&lt;=2,"?ACTIVATED",IF(J4837&lt;&gt;"","?FAMILIAR",IF(F4837="NEW",IF(ISNA(VLOOKUP(E4837,#REF!,1,FALSE())),"?TYPE_IDENTIFIABLE","?REFERENTIAL"),"_")))))</f>
        <v> </v>
      </c>
      <c r="H4837" s="24" t="str">
        <f>IF(J4837&lt;&gt;1,"",IF(I4837="SBJ","CB","?"))</f>
        <v> </v>
      </c>
      <c r="I4837" s="25" t="str">
        <f>IF(OR(E4837="",E4837="!!!",F4837="NEW"),"",INDEX(B4836:B$2,-1+SUMPRODUCT(MAX(ROW(E4836:E$2)*(E4837=E4836:E$2)))))</f>
        <v> </v>
      </c>
      <c r="J4837" s="25" t="str">
        <f>IF(OR(E4837="",E4837="!!!",F4837="NEW"),"",COUNTBLANK(OFFSET(A$1,,,SUMPRODUCT(MAX(ROW(E$2:E4837)*(E4837=E$2:E4837)))))-COUNTBLANK(OFFSET(A$1,,,SUMPRODUCT(MAX(ROW(E$1:E4836)*(E2=E$1:E4836))))))</f>
        <v> </v>
      </c>
      <c r="K4837" s="25" t="str">
        <f>IF(OR(E4837="",E4837="!!!",F4837="NEW"),"",INDEX(J$1:J4836,SUMPRODUCT(MAX(ROW(E$1:E4836)*(E4837=E$1:E4836)))))</f>
        <v> </v>
      </c>
      <c r="L4837" s="26"/>
    </row>
    <row r="4838" spans="1:12">
      <c r="A4838" s="20" t="s">
        <v>1032</v>
      </c>
      <c r="E4838" s="21">
        <f>IF(D4838="?OLD","!!!","")</f>
        <v/>
      </c>
      <c r="F4838" s="22" t="str">
        <f>IF(OR(E4838="",E4838="!!!"),"",IF(NOT(ISNA(VLOOKUP(E4838,E$1:E4837,1,FALSE()))),"OLD",IF(AND(E4838&lt;&gt;"",E4838&lt;&gt;"!!!"),"NEW","")))</f>
        <v> </v>
      </c>
      <c r="G4838" s="23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4" t="str">
        <f>IF(J4838&lt;&gt;1,"",IF(I4838="SBJ","CB","?"))</f>
        <v> </v>
      </c>
      <c r="I4838" s="25" t="str">
        <f>IF(OR(E4838="",E4838="!!!",F4838="NEW"),"",INDEX(B4837:B$2,-1+SUMPRODUCT(MAX(ROW(E4837:E$2)*(E4838=E4837:E$2)))))</f>
        <v> </v>
      </c>
      <c r="J4838" s="25" t="str">
        <f>IF(OR(E4838="",E4838="!!!",F4838="NEW"),"",COUNTBLANK(OFFSET(A$1,,,SUMPRODUCT(MAX(ROW(E$2:E4838)*(E4838=E$2:E4838)))))-COUNTBLANK(OFFSET(A$1,,,SUMPRODUCT(MAX(ROW(E$1:E4837)*(E2=E$1:E4837))))))</f>
        <v> </v>
      </c>
      <c r="K4838" s="25" t="str">
        <f>IF(OR(E4838="",E4838="!!!",F4838="NEW"),"",INDEX(J$1:J4837,SUMPRODUCT(MAX(ROW(E$1:E4837)*(E4838=E$1:E4837)))))</f>
        <v> </v>
      </c>
      <c r="L4838" s="26"/>
    </row>
    <row r="4839" spans="1:12">
      <c r="A4839" s="20"/>
    </row>
    <row r="4840" spans="1:12">
      <c r="A4840" s="20" t="s">
        <v>2964</v>
      </c>
    </row>
    <row r="4841" spans="1:12">
      <c r="A4841" s="20" t="s">
        <v>2965</v>
      </c>
      <c r="E4841" s="21">
        <f>IF(D4841="?OLD","!!!","")</f>
        <v/>
      </c>
      <c r="F4841" s="22" t="str">
        <f>IF(OR(E4841="",E4841="!!!"),"",IF(NOT(ISNA(VLOOKUP(E4841,E$1:E4840,1,FALSE()))),"OLD",IF(AND(E4841&lt;&gt;"",E4841&lt;&gt;"!!!"),"NEW","")))</f>
        <v> </v>
      </c>
      <c r="G4841" s="23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4" t="str">
        <f>IF(J4841&lt;&gt;1,"",IF(I4841="SBJ","CB","?"))</f>
        <v> </v>
      </c>
      <c r="I4841" s="25" t="str">
        <f>IF(OR(E4841="",E4841="!!!",F4841="NEW"),"",INDEX(B4840:B$2,-1+SUMPRODUCT(MAX(ROW(E4840:E$2)*(E4841=E4840:E$2)))))</f>
        <v> </v>
      </c>
      <c r="J4841" s="25" t="str">
        <f>IF(OR(E4841="",E4841="!!!",F4841="NEW"),"",COUNTBLANK(OFFSET(A$1,,,SUMPRODUCT(MAX(ROW(E$2:E4841)*(E4841=E$2:E4841)))))-COUNTBLANK(OFFSET(A$1,,,SUMPRODUCT(MAX(ROW(E$1:E4840)*(E2=E$1:E4840))))))</f>
        <v> </v>
      </c>
      <c r="K4841" s="25" t="str">
        <f>IF(OR(E4841="",E4841="!!!",F4841="NEW"),"",INDEX(J$1:J4840,SUMPRODUCT(MAX(ROW(E$1:E4840)*(E4841=E$1:E4840)))))</f>
        <v> </v>
      </c>
      <c r="L4841" s="26"/>
    </row>
    <row r="4842" spans="1:12">
      <c r="A4842" s="20" t="s">
        <v>2966</v>
      </c>
      <c r="E4842" s="21">
        <f>IF(D4842="?OLD","!!!","")</f>
        <v/>
      </c>
      <c r="F4842" s="22" t="str">
        <f>IF(OR(E4842="",E4842="!!!"),"",IF(NOT(ISNA(VLOOKUP(E4842,E$1:E4841,1,FALSE()))),"OLD",IF(AND(E4842&lt;&gt;"",E4842&lt;&gt;"!!!"),"NEW","")))</f>
        <v> </v>
      </c>
      <c r="G4842" s="23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4" t="str">
        <f>IF(J4842&lt;&gt;1,"",IF(I4842="SBJ","CB","?"))</f>
        <v> </v>
      </c>
      <c r="I4842" s="25" t="str">
        <f>IF(OR(E4842="",E4842="!!!",F4842="NEW"),"",INDEX(B4841:B$2,-1+SUMPRODUCT(MAX(ROW(E4841:E$2)*(E4842=E4841:E$2)))))</f>
        <v> </v>
      </c>
      <c r="J4842" s="25" t="str">
        <f>IF(OR(E4842="",E4842="!!!",F4842="NEW"),"",COUNTBLANK(OFFSET(A$1,,,SUMPRODUCT(MAX(ROW(E$2:E4842)*(E4842=E$2:E4842)))))-COUNTBLANK(OFFSET(A$1,,,SUMPRODUCT(MAX(ROW(E$1:E4841)*(E2=E$1:E4841))))))</f>
        <v> </v>
      </c>
      <c r="K4842" s="25" t="str">
        <f>IF(OR(E4842="",E4842="!!!",F4842="NEW"),"",INDEX(J$1:J4841,SUMPRODUCT(MAX(ROW(E$1:E4841)*(E4842=E$1:E4841)))))</f>
        <v> </v>
      </c>
      <c r="L4842" s="26"/>
    </row>
    <row r="4843" spans="1:12">
      <c r="A4843" s="20" t="s">
        <v>1205</v>
      </c>
      <c r="B4843" s="27" t="s">
        <v>1024</v>
      </c>
      <c r="E4843" s="21">
        <f>IF(D4843="?OLD","!!!","")</f>
        <v/>
      </c>
      <c r="F4843" s="22" t="str">
        <f>IF(OR(E4843="",E4843="!!!"),"",IF(NOT(ISNA(VLOOKUP(E4843,E$1:E4842,1,FALSE()))),"OLD",IF(AND(E4843&lt;&gt;"",E4843&lt;&gt;"!!!"),"NEW","")))</f>
        <v> </v>
      </c>
      <c r="G4843" s="23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4" t="str">
        <f>IF(J4843&lt;&gt;1,"",IF(I4843="SBJ","CB","?"))</f>
        <v> </v>
      </c>
      <c r="I4843" s="25" t="str">
        <f>IF(OR(E4843="",E4843="!!!",F4843="NEW"),"",INDEX(B4842:B$2,-1+SUMPRODUCT(MAX(ROW(E4842:E$2)*(E4843=E4842:E$2)))))</f>
        <v> </v>
      </c>
      <c r="J4843" s="25" t="str">
        <f>IF(OR(E4843="",E4843="!!!",F4843="NEW"),"",COUNTBLANK(OFFSET(A$1,,,SUMPRODUCT(MAX(ROW(E$2:E4843)*(E4843=E$2:E4843)))))-COUNTBLANK(OFFSET(A$1,,,SUMPRODUCT(MAX(ROW(E$1:E4842)*(E2=E$1:E4842))))))</f>
        <v> </v>
      </c>
      <c r="K4843" s="25" t="str">
        <f>IF(OR(E4843="",E4843="!!!",F4843="NEW"),"",INDEX(J$1:J4842,SUMPRODUCT(MAX(ROW(E$1:E4842)*(E4843=E$1:E4842)))))</f>
        <v> </v>
      </c>
      <c r="L4843" s="26"/>
    </row>
    <row r="4844" spans="1:12">
      <c r="A4844" s="20" t="s">
        <v>1041</v>
      </c>
      <c r="E4844" s="21">
        <f>IF(D4844="?OLD","!!!","")</f>
        <v/>
      </c>
      <c r="F4844" s="22" t="str">
        <f>IF(OR(E4844="",E4844="!!!"),"",IF(NOT(ISNA(VLOOKUP(E4844,E$1:E4843,1,FALSE()))),"OLD",IF(AND(E4844&lt;&gt;"",E4844&lt;&gt;"!!!"),"NEW","")))</f>
        <v> </v>
      </c>
      <c r="G4844" s="23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4" t="str">
        <f>IF(J4844&lt;&gt;1,"",IF(I4844="SBJ","CB","?"))</f>
        <v> </v>
      </c>
      <c r="I4844" s="25" t="str">
        <f>IF(OR(E4844="",E4844="!!!",F4844="NEW"),"",INDEX(B4843:B$2,-1+SUMPRODUCT(MAX(ROW(E4843:E$2)*(E4844=E4843:E$2)))))</f>
        <v> </v>
      </c>
      <c r="J4844" s="25" t="str">
        <f>IF(OR(E4844="",E4844="!!!",F4844="NEW"),"",COUNTBLANK(OFFSET(A$1,,,SUMPRODUCT(MAX(ROW(E$2:E4844)*(E4844=E$2:E4844)))))-COUNTBLANK(OFFSET(A$1,,,SUMPRODUCT(MAX(ROW(E$1:E4843)*(E2=E$1:E4843))))))</f>
        <v> </v>
      </c>
      <c r="K4844" s="25" t="str">
        <f>IF(OR(E4844="",E4844="!!!",F4844="NEW"),"",INDEX(J$1:J4843,SUMPRODUCT(MAX(ROW(E$1:E4843)*(E4844=E$1:E4843)))))</f>
        <v> </v>
      </c>
      <c r="L4844" s="26"/>
    </row>
    <row r="4845" spans="1:12">
      <c r="A4845" s="20" t="s">
        <v>1666</v>
      </c>
      <c r="E4845" s="21">
        <f>IF(D4845="?OLD","!!!","")</f>
        <v/>
      </c>
      <c r="F4845" s="22" t="str">
        <f>IF(OR(E4845="",E4845="!!!"),"",IF(NOT(ISNA(VLOOKUP(E4845,E$1:E4844,1,FALSE()))),"OLD",IF(AND(E4845&lt;&gt;"",E4845&lt;&gt;"!!!"),"NEW","")))</f>
        <v> </v>
      </c>
      <c r="G4845" s="23" t="str">
        <f>IF(OR(E4845="",E4845="!!!"),"",IF(OR(J4845=0,AND(J4845=1,K4845=1),AND(J4845=1,I4845="SBJ"),AND(J4845=1,I4845=0)),"?IN_FOCUS",IF(J4845&lt;=2,"?ACTIVATED",IF(J4845&lt;&gt;"","?FAMILIAR",IF(F4845="NEW",IF(ISNA(VLOOKUP(E4845,#REF!,1,FALSE())),"?TYPE_IDENTIFIABLE","?REFERENTIAL"),"_")))))</f>
        <v> </v>
      </c>
      <c r="H4845" s="24" t="str">
        <f>IF(J4845&lt;&gt;1,"",IF(I4845="SBJ","CB","?"))</f>
        <v> </v>
      </c>
      <c r="I4845" s="25" t="str">
        <f>IF(OR(E4845="",E4845="!!!",F4845="NEW"),"",INDEX(B4844:B$2,-1+SUMPRODUCT(MAX(ROW(E4844:E$2)*(E4845=E4844:E$2)))))</f>
        <v> </v>
      </c>
      <c r="J4845" s="25" t="str">
        <f>IF(OR(E4845="",E4845="!!!",F4845="NEW"),"",COUNTBLANK(OFFSET(A$1,,,SUMPRODUCT(MAX(ROW(E$2:E4845)*(E4845=E$2:E4845)))))-COUNTBLANK(OFFSET(A$1,,,SUMPRODUCT(MAX(ROW(E$1:E4844)*(E2=E$1:E4844))))))</f>
        <v> </v>
      </c>
      <c r="K4845" s="25" t="str">
        <f>IF(OR(E4845="",E4845="!!!",F4845="NEW"),"",INDEX(J$1:J4844,SUMPRODUCT(MAX(ROW(E$1:E4844)*(E4845=E$1:E4844)))))</f>
        <v> </v>
      </c>
      <c r="L4845" s="26"/>
    </row>
    <row r="4846" spans="1:12">
      <c r="A4846" s="20" t="s">
        <v>2388</v>
      </c>
      <c r="B4846" s="27" t="s">
        <v>1048</v>
      </c>
      <c r="E4846" s="21">
        <f>IF(D4846="?OLD","!!!","")</f>
        <v/>
      </c>
      <c r="F4846" s="22" t="str">
        <f>IF(OR(E4846="",E4846="!!!"),"",IF(NOT(ISNA(VLOOKUP(E4846,E$1:E4845,1,FALSE()))),"OLD",IF(AND(E4846&lt;&gt;"",E4846&lt;&gt;"!!!"),"NEW","")))</f>
        <v> </v>
      </c>
      <c r="G4846" s="23" t="str">
        <f>IF(OR(E4846="",E4846="!!!"),"",IF(OR(J4846=0,AND(J4846=1,K4846=1),AND(J4846=1,I4846="SBJ"),AND(J4846=1,I4846=0)),"?IN_FOCUS",IF(J4846&lt;=2,"?ACTIVATED",IF(J4846&lt;&gt;"","?FAMILIAR",IF(F4846="NEW",IF(ISNA(VLOOKUP(E4846,#REF!,1,FALSE())),"?TYPE_IDENTIFIABLE","?REFERENTIAL"),"_")))))</f>
        <v> </v>
      </c>
      <c r="H4846" s="24" t="str">
        <f>IF(J4846&lt;&gt;1,"",IF(I4846="SBJ","CB","?"))</f>
        <v> </v>
      </c>
      <c r="I4846" s="25" t="str">
        <f>IF(OR(E4846="",E4846="!!!",F4846="NEW"),"",INDEX(B4845:B$2,-1+SUMPRODUCT(MAX(ROW(E4845:E$2)*(E4846=E4845:E$2)))))</f>
        <v> </v>
      </c>
      <c r="J4846" s="25" t="str">
        <f>IF(OR(E4846="",E4846="!!!",F4846="NEW"),"",COUNTBLANK(OFFSET(A$1,,,SUMPRODUCT(MAX(ROW(E$2:E4846)*(E4846=E$2:E4846)))))-COUNTBLANK(OFFSET(A$1,,,SUMPRODUCT(MAX(ROW(E$1:E4845)*(E2=E$1:E4845))))))</f>
        <v> </v>
      </c>
      <c r="K4846" s="25" t="str">
        <f>IF(OR(E4846="",E4846="!!!",F4846="NEW"),"",INDEX(J$1:J4845,SUMPRODUCT(MAX(ROW(E$1:E4845)*(E4846=E$1:E4845)))))</f>
        <v> </v>
      </c>
      <c r="L4846" s="26"/>
    </row>
    <row r="4847" spans="1:12">
      <c r="A4847" s="20" t="s">
        <v>2967</v>
      </c>
      <c r="E4847" s="21">
        <f>IF(D4847="?OLD","!!!","")</f>
        <v/>
      </c>
      <c r="F4847" s="22" t="str">
        <f>IF(OR(E4847="",E4847="!!!"),"",IF(NOT(ISNA(VLOOKUP(E4847,E$1:E4846,1,FALSE()))),"OLD",IF(AND(E4847&lt;&gt;"",E4847&lt;&gt;"!!!"),"NEW","")))</f>
        <v> </v>
      </c>
      <c r="G4847" s="23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4" t="str">
        <f>IF(J4847&lt;&gt;1,"",IF(I4847="SBJ","CB","?"))</f>
        <v> </v>
      </c>
      <c r="I4847" s="25" t="str">
        <f>IF(OR(E4847="",E4847="!!!",F4847="NEW"),"",INDEX(B4846:B$2,-1+SUMPRODUCT(MAX(ROW(E4846:E$2)*(E4847=E4846:E$2)))))</f>
        <v> </v>
      </c>
      <c r="J4847" s="25" t="str">
        <f>IF(OR(E4847="",E4847="!!!",F4847="NEW"),"",COUNTBLANK(OFFSET(A$1,,,SUMPRODUCT(MAX(ROW(E$2:E4847)*(E4847=E$2:E4847)))))-COUNTBLANK(OFFSET(A$1,,,SUMPRODUCT(MAX(ROW(E$1:E4846)*(E2=E$1:E4846))))))</f>
        <v> </v>
      </c>
      <c r="K4847" s="25" t="str">
        <f>IF(OR(E4847="",E4847="!!!",F4847="NEW"),"",INDEX(J$1:J4846,SUMPRODUCT(MAX(ROW(E$1:E4846)*(E4847=E$1:E4846)))))</f>
        <v> </v>
      </c>
      <c r="L4847" s="26"/>
    </row>
    <row r="4848" spans="1:12">
      <c r="A4848" s="20" t="s">
        <v>1041</v>
      </c>
      <c r="E4848" s="21">
        <f>IF(D4848="?OLD","!!!","")</f>
        <v/>
      </c>
      <c r="F4848" s="22" t="str">
        <f>IF(OR(E4848="",E4848="!!!"),"",IF(NOT(ISNA(VLOOKUP(E4848,E$1:E4847,1,FALSE()))),"OLD",IF(AND(E4848&lt;&gt;"",E4848&lt;&gt;"!!!"),"NEW","")))</f>
        <v> </v>
      </c>
      <c r="G4848" s="23" t="str">
        <f>IF(OR(E4848="",E4848="!!!"),"",IF(OR(J4848=0,AND(J4848=1,K4848=1),AND(J4848=1,I4848="SBJ"),AND(J4848=1,I4848=0)),"?IN_FOCUS",IF(J4848&lt;=2,"?ACTIVATED",IF(J4848&lt;&gt;"","?FAMILIAR",IF(F4848="NEW",IF(ISNA(VLOOKUP(E4848,#REF!,1,FALSE())),"?TYPE_IDENTIFIABLE","?REFERENTIAL"),"_")))))</f>
        <v> </v>
      </c>
      <c r="H4848" s="24" t="str">
        <f>IF(J4848&lt;&gt;1,"",IF(I4848="SBJ","CB","?"))</f>
        <v> </v>
      </c>
      <c r="I4848" s="25" t="str">
        <f>IF(OR(E4848="",E4848="!!!",F4848="NEW"),"",INDEX(B4847:B$2,-1+SUMPRODUCT(MAX(ROW(E4847:E$2)*(E4848=E4847:E$2)))))</f>
        <v> </v>
      </c>
      <c r="J4848" s="25" t="str">
        <f>IF(OR(E4848="",E4848="!!!",F4848="NEW"),"",COUNTBLANK(OFFSET(A$1,,,SUMPRODUCT(MAX(ROW(E$2:E4848)*(E4848=E$2:E4848)))))-COUNTBLANK(OFFSET(A$1,,,SUMPRODUCT(MAX(ROW(E$1:E4847)*(E2=E$1:E4847))))))</f>
        <v> </v>
      </c>
      <c r="K4848" s="25" t="str">
        <f>IF(OR(E4848="",E4848="!!!",F4848="NEW"),"",INDEX(J$1:J4847,SUMPRODUCT(MAX(ROW(E$1:E4847)*(E4848=E$1:E4847)))))</f>
        <v> </v>
      </c>
      <c r="L4848" s="26"/>
    </row>
    <row r="4849" spans="1:12">
      <c r="A4849" s="20" t="s">
        <v>2924</v>
      </c>
      <c r="E4849" s="21">
        <f>IF(D4849="?OLD","!!!","")</f>
        <v/>
      </c>
      <c r="F4849" s="22" t="str">
        <f>IF(OR(E4849="",E4849="!!!"),"",IF(NOT(ISNA(VLOOKUP(E4849,E$1:E4848,1,FALSE()))),"OLD",IF(AND(E4849&lt;&gt;"",E4849&lt;&gt;"!!!"),"NEW","")))</f>
        <v> </v>
      </c>
      <c r="G4849" s="23" t="str">
        <f>IF(OR(E4849="",E4849="!!!"),"",IF(OR(J4849=0,AND(J4849=1,K4849=1),AND(J4849=1,I4849="SBJ"),AND(J4849=1,I4849=0)),"?IN_FOCUS",IF(J4849&lt;=2,"?ACTIVATED",IF(J4849&lt;&gt;"","?FAMILIAR",IF(F4849="NEW",IF(ISNA(VLOOKUP(E4849,#REF!,1,FALSE())),"?TYPE_IDENTIFIABLE","?REFERENTIAL"),"_")))))</f>
        <v> </v>
      </c>
      <c r="H4849" s="24" t="str">
        <f>IF(J4849&lt;&gt;1,"",IF(I4849="SBJ","CB","?"))</f>
        <v> </v>
      </c>
      <c r="I4849" s="25" t="str">
        <f>IF(OR(E4849="",E4849="!!!",F4849="NEW"),"",INDEX(B4848:B$2,-1+SUMPRODUCT(MAX(ROW(E4848:E$2)*(E4849=E4848:E$2)))))</f>
        <v> </v>
      </c>
      <c r="J4849" s="25" t="str">
        <f>IF(OR(E4849="",E4849="!!!",F4849="NEW"),"",COUNTBLANK(OFFSET(A$1,,,SUMPRODUCT(MAX(ROW(E$2:E4849)*(E4849=E$2:E4849)))))-COUNTBLANK(OFFSET(A$1,,,SUMPRODUCT(MAX(ROW(E$1:E4848)*(E2=E$1:E4848))))))</f>
        <v> </v>
      </c>
      <c r="K4849" s="25" t="str">
        <f>IF(OR(E4849="",E4849="!!!",F4849="NEW"),"",INDEX(J$1:J4848,SUMPRODUCT(MAX(ROW(E$1:E4848)*(E4849=E$1:E4848)))))</f>
        <v> </v>
      </c>
      <c r="L4849" s="26"/>
    </row>
    <row r="4850" spans="1:12">
      <c r="A4850" s="20" t="s">
        <v>2832</v>
      </c>
      <c r="E4850" s="21">
        <f>IF(D4850="?OLD","!!!","")</f>
        <v/>
      </c>
      <c r="F4850" s="22" t="str">
        <f>IF(OR(E4850="",E4850="!!!"),"",IF(NOT(ISNA(VLOOKUP(E4850,E$1:E4849,1,FALSE()))),"OLD",IF(AND(E4850&lt;&gt;"",E4850&lt;&gt;"!!!"),"NEW","")))</f>
        <v> </v>
      </c>
      <c r="G4850" s="23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4" t="str">
        <f>IF(J4850&lt;&gt;1,"",IF(I4850="SBJ","CB","?"))</f>
        <v> </v>
      </c>
      <c r="I4850" s="25" t="str">
        <f>IF(OR(E4850="",E4850="!!!",F4850="NEW"),"",INDEX(B4849:B$2,-1+SUMPRODUCT(MAX(ROW(E4849:E$2)*(E4850=E4849:E$2)))))</f>
        <v> </v>
      </c>
      <c r="J4850" s="25" t="str">
        <f>IF(OR(E4850="",E4850="!!!",F4850="NEW"),"",COUNTBLANK(OFFSET(A$1,,,SUMPRODUCT(MAX(ROW(E$2:E4850)*(E4850=E$2:E4850)))))-COUNTBLANK(OFFSET(A$1,,,SUMPRODUCT(MAX(ROW(E$1:E4849)*(E2=E$1:E4849))))))</f>
        <v> </v>
      </c>
      <c r="K4850" s="25" t="str">
        <f>IF(OR(E4850="",E4850="!!!",F4850="NEW"),"",INDEX(J$1:J4849,SUMPRODUCT(MAX(ROW(E$1:E4849)*(E4850=E$1:E4849)))))</f>
        <v> </v>
      </c>
      <c r="L4850" s="26"/>
    </row>
    <row r="4851" spans="1:12">
      <c r="A4851" s="20" t="s">
        <v>1099</v>
      </c>
      <c r="E4851" s="21">
        <f>IF(D4851="?OLD","!!!","")</f>
        <v/>
      </c>
      <c r="F4851" s="22" t="str">
        <f>IF(OR(E4851="",E4851="!!!"),"",IF(NOT(ISNA(VLOOKUP(E4851,E$1:E4850,1,FALSE()))),"OLD",IF(AND(E4851&lt;&gt;"",E4851&lt;&gt;"!!!"),"NEW","")))</f>
        <v> </v>
      </c>
      <c r="G4851" s="23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4" t="str">
        <f>IF(J4851&lt;&gt;1,"",IF(I4851="SBJ","CB","?"))</f>
        <v> </v>
      </c>
      <c r="I4851" s="25" t="str">
        <f>IF(OR(E4851="",E4851="!!!",F4851="NEW"),"",INDEX(B4850:B$2,-1+SUMPRODUCT(MAX(ROW(E4850:E$2)*(E4851=E4850:E$2)))))</f>
        <v> </v>
      </c>
      <c r="J4851" s="25" t="str">
        <f>IF(OR(E4851="",E4851="!!!",F4851="NEW"),"",COUNTBLANK(OFFSET(A$1,,,SUMPRODUCT(MAX(ROW(E$2:E4851)*(E4851=E$2:E4851)))))-COUNTBLANK(OFFSET(A$1,,,SUMPRODUCT(MAX(ROW(E$1:E4850)*(E2=E$1:E4850))))))</f>
        <v> </v>
      </c>
      <c r="K4851" s="25" t="str">
        <f>IF(OR(E4851="",E4851="!!!",F4851="NEW"),"",INDEX(J$1:J4850,SUMPRODUCT(MAX(ROW(E$1:E4850)*(E4851=E$1:E4850)))))</f>
        <v> </v>
      </c>
      <c r="L4851" s="26"/>
    </row>
    <row r="4852" spans="1:12">
      <c r="A4852" s="20" t="s">
        <v>2968</v>
      </c>
      <c r="E4852" s="21">
        <f>IF(D4852="?OLD","!!!","")</f>
        <v/>
      </c>
      <c r="F4852" s="22" t="str">
        <f>IF(OR(E4852="",E4852="!!!"),"",IF(NOT(ISNA(VLOOKUP(E4852,E$1:E4851,1,FALSE()))),"OLD",IF(AND(E4852&lt;&gt;"",E4852&lt;&gt;"!!!"),"NEW","")))</f>
        <v> </v>
      </c>
      <c r="G4852" s="23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4" t="str">
        <f>IF(J4852&lt;&gt;1,"",IF(I4852="SBJ","CB","?"))</f>
        <v> </v>
      </c>
      <c r="I4852" s="25" t="str">
        <f>IF(OR(E4852="",E4852="!!!",F4852="NEW"),"",INDEX(B4851:B$2,-1+SUMPRODUCT(MAX(ROW(E4851:E$2)*(E4852=E4851:E$2)))))</f>
        <v> </v>
      </c>
      <c r="J4852" s="25" t="str">
        <f>IF(OR(E4852="",E4852="!!!",F4852="NEW"),"",COUNTBLANK(OFFSET(A$1,,,SUMPRODUCT(MAX(ROW(E$2:E4852)*(E4852=E$2:E4852)))))-COUNTBLANK(OFFSET(A$1,,,SUMPRODUCT(MAX(ROW(E$1:E4851)*(E2=E$1:E4851))))))</f>
        <v> </v>
      </c>
      <c r="K4852" s="25" t="str">
        <f>IF(OR(E4852="",E4852="!!!",F4852="NEW"),"",INDEX(J$1:J4851,SUMPRODUCT(MAX(ROW(E$1:E4851)*(E4852=E$1:E4851)))))</f>
        <v> </v>
      </c>
      <c r="L4852" s="26"/>
    </row>
    <row r="4853" spans="1:12">
      <c r="A4853" s="20" t="s">
        <v>2969</v>
      </c>
      <c r="E4853" s="21">
        <f>IF(D4853="?OLD","!!!","")</f>
        <v/>
      </c>
      <c r="F4853" s="22" t="str">
        <f>IF(OR(E4853="",E4853="!!!"),"",IF(NOT(ISNA(VLOOKUP(E4853,E$1:E4852,1,FALSE()))),"OLD",IF(AND(E4853&lt;&gt;"",E4853&lt;&gt;"!!!"),"NEW","")))</f>
        <v> </v>
      </c>
      <c r="G4853" s="23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4" t="str">
        <f>IF(J4853&lt;&gt;1,"",IF(I4853="SBJ","CB","?"))</f>
        <v> </v>
      </c>
      <c r="I4853" s="25" t="str">
        <f>IF(OR(E4853="",E4853="!!!",F4853="NEW"),"",INDEX(B4852:B$2,-1+SUMPRODUCT(MAX(ROW(E4852:E$2)*(E4853=E4852:E$2)))))</f>
        <v> </v>
      </c>
      <c r="J4853" s="25" t="str">
        <f>IF(OR(E4853="",E4853="!!!",F4853="NEW"),"",COUNTBLANK(OFFSET(A$1,,,SUMPRODUCT(MAX(ROW(E$2:E4853)*(E4853=E$2:E4853)))))-COUNTBLANK(OFFSET(A$1,,,SUMPRODUCT(MAX(ROW(E$1:E4852)*(E2=E$1:E4852))))))</f>
        <v> </v>
      </c>
      <c r="K4853" s="25" t="str">
        <f>IF(OR(E4853="",E4853="!!!",F4853="NEW"),"",INDEX(J$1:J4852,SUMPRODUCT(MAX(ROW(E$1:E4852)*(E4853=E$1:E4852)))))</f>
        <v> </v>
      </c>
      <c r="L4853" s="26"/>
    </row>
    <row r="4854" spans="1:12">
      <c r="A4854" s="20" t="s">
        <v>1041</v>
      </c>
      <c r="E4854" s="21">
        <f>IF(D4854="?OLD","!!!","")</f>
        <v/>
      </c>
      <c r="F4854" s="22" t="str">
        <f>IF(OR(E4854="",E4854="!!!"),"",IF(NOT(ISNA(VLOOKUP(E4854,E$1:E4853,1,FALSE()))),"OLD",IF(AND(E4854&lt;&gt;"",E4854&lt;&gt;"!!!"),"NEW","")))</f>
        <v> </v>
      </c>
      <c r="G4854" s="23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4" t="str">
        <f>IF(J4854&lt;&gt;1,"",IF(I4854="SBJ","CB","?"))</f>
        <v> </v>
      </c>
      <c r="I4854" s="25" t="str">
        <f>IF(OR(E4854="",E4854="!!!",F4854="NEW"),"",INDEX(B4853:B$2,-1+SUMPRODUCT(MAX(ROW(E4853:E$2)*(E4854=E4853:E$2)))))</f>
        <v> </v>
      </c>
      <c r="J4854" s="25" t="str">
        <f>IF(OR(E4854="",E4854="!!!",F4854="NEW"),"",COUNTBLANK(OFFSET(A$1,,,SUMPRODUCT(MAX(ROW(E$2:E4854)*(E4854=E$2:E4854)))))-COUNTBLANK(OFFSET(A$1,,,SUMPRODUCT(MAX(ROW(E$1:E4853)*(E2=E$1:E4853))))))</f>
        <v> </v>
      </c>
      <c r="K4854" s="25" t="str">
        <f>IF(OR(E4854="",E4854="!!!",F4854="NEW"),"",INDEX(J$1:J4853,SUMPRODUCT(MAX(ROW(E$1:E4853)*(E4854=E$1:E4853)))))</f>
        <v> </v>
      </c>
      <c r="L4854" s="26"/>
    </row>
    <row r="4855" spans="1:12">
      <c r="A4855" s="20" t="s">
        <v>1489</v>
      </c>
      <c r="E4855" s="21">
        <f>IF(D4855="?OLD","!!!","")</f>
        <v/>
      </c>
      <c r="F4855" s="22" t="str">
        <f>IF(OR(E4855="",E4855="!!!"),"",IF(NOT(ISNA(VLOOKUP(E4855,E$1:E4854,1,FALSE()))),"OLD",IF(AND(E4855&lt;&gt;"",E4855&lt;&gt;"!!!"),"NEW","")))</f>
        <v> </v>
      </c>
      <c r="G4855" s="23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4" t="str">
        <f>IF(J4855&lt;&gt;1,"",IF(I4855="SBJ","CB","?"))</f>
        <v> </v>
      </c>
      <c r="I4855" s="25" t="str">
        <f>IF(OR(E4855="",E4855="!!!",F4855="NEW"),"",INDEX(B4854:B$2,-1+SUMPRODUCT(MAX(ROW(E4854:E$2)*(E4855=E4854:E$2)))))</f>
        <v> </v>
      </c>
      <c r="J4855" s="25" t="str">
        <f>IF(OR(E4855="",E4855="!!!",F4855="NEW"),"",COUNTBLANK(OFFSET(A$1,,,SUMPRODUCT(MAX(ROW(E$2:E4855)*(E4855=E$2:E4855)))))-COUNTBLANK(OFFSET(A$1,,,SUMPRODUCT(MAX(ROW(E$1:E4854)*(E2=E$1:E4854))))))</f>
        <v> </v>
      </c>
      <c r="K4855" s="25" t="str">
        <f>IF(OR(E4855="",E4855="!!!",F4855="NEW"),"",INDEX(J$1:J4854,SUMPRODUCT(MAX(ROW(E$1:E4854)*(E4855=E$1:E4854)))))</f>
        <v> </v>
      </c>
      <c r="L4855" s="26"/>
    </row>
    <row r="4856" spans="1:12">
      <c r="A4856" s="20" t="s">
        <v>2388</v>
      </c>
      <c r="B4856" s="27" t="s">
        <v>1235</v>
      </c>
      <c r="E4856" s="21">
        <f>IF(D4856="?OLD","!!!","")</f>
        <v/>
      </c>
      <c r="F4856" s="22" t="str">
        <f>IF(OR(E4856="",E4856="!!!"),"",IF(NOT(ISNA(VLOOKUP(E4856,E$1:E4855,1,FALSE()))),"OLD",IF(AND(E4856&lt;&gt;"",E4856&lt;&gt;"!!!"),"NEW","")))</f>
        <v> </v>
      </c>
      <c r="G4856" s="23" t="str">
        <f>IF(OR(E4856="",E4856="!!!"),"",IF(OR(J4856=0,AND(J4856=1,K4856=1),AND(J4856=1,I4856="SBJ"),AND(J4856=1,I4856=0)),"?IN_FOCUS",IF(J4856&lt;=2,"?ACTIVATED",IF(J4856&lt;&gt;"","?FAMILIAR",IF(F4856="NEW",IF(ISNA(VLOOKUP(E4856,#REF!,1,FALSE())),"?TYPE_IDENTIFIABLE","?REFERENTIAL"),"_")))))</f>
        <v> </v>
      </c>
      <c r="H4856" s="24" t="str">
        <f>IF(J4856&lt;&gt;1,"",IF(I4856="SBJ","CB","?"))</f>
        <v> </v>
      </c>
      <c r="I4856" s="25" t="str">
        <f>IF(OR(E4856="",E4856="!!!",F4856="NEW"),"",INDEX(B4855:B$2,-1+SUMPRODUCT(MAX(ROW(E4855:E$2)*(E4856=E4855:E$2)))))</f>
        <v> </v>
      </c>
      <c r="J4856" s="25" t="str">
        <f>IF(OR(E4856="",E4856="!!!",F4856="NEW"),"",COUNTBLANK(OFFSET(A$1,,,SUMPRODUCT(MAX(ROW(E$2:E4856)*(E4856=E$2:E4856)))))-COUNTBLANK(OFFSET(A$1,,,SUMPRODUCT(MAX(ROW(E$1:E4855)*(E2=E$1:E4855))))))</f>
        <v> </v>
      </c>
      <c r="K4856" s="25" t="str">
        <f>IF(OR(E4856="",E4856="!!!",F4856="NEW"),"",INDEX(J$1:J4855,SUMPRODUCT(MAX(ROW(E$1:E4855)*(E4856=E$1:E4855)))))</f>
        <v> </v>
      </c>
      <c r="L4856" s="26"/>
    </row>
    <row r="4857" spans="1:12">
      <c r="A4857" s="20" t="s">
        <v>2970</v>
      </c>
      <c r="E4857" s="21">
        <f>IF(D4857="?OLD","!!!","")</f>
        <v/>
      </c>
      <c r="F4857" s="22" t="str">
        <f>IF(OR(E4857="",E4857="!!!"),"",IF(NOT(ISNA(VLOOKUP(E4857,E$1:E4856,1,FALSE()))),"OLD",IF(AND(E4857&lt;&gt;"",E4857&lt;&gt;"!!!"),"NEW","")))</f>
        <v> </v>
      </c>
      <c r="G4857" s="23" t="str">
        <f>IF(OR(E4857="",E4857="!!!"),"",IF(OR(J4857=0,AND(J4857=1,K4857=1),AND(J4857=1,I4857="SBJ"),AND(J4857=1,I4857=0)),"?IN_FOCUS",IF(J4857&lt;=2,"?ACTIVATED",IF(J4857&lt;&gt;"","?FAMILIAR",IF(F4857="NEW",IF(ISNA(VLOOKUP(E4857,#REF!,1,FALSE())),"?TYPE_IDENTIFIABLE","?REFERENTIAL"),"_")))))</f>
        <v> </v>
      </c>
      <c r="H4857" s="24" t="str">
        <f>IF(J4857&lt;&gt;1,"",IF(I4857="SBJ","CB","?"))</f>
        <v> </v>
      </c>
      <c r="I4857" s="25" t="str">
        <f>IF(OR(E4857="",E4857="!!!",F4857="NEW"),"",INDEX(B4856:B$2,-1+SUMPRODUCT(MAX(ROW(E4856:E$2)*(E4857=E4856:E$2)))))</f>
        <v> </v>
      </c>
      <c r="J4857" s="25" t="str">
        <f>IF(OR(E4857="",E4857="!!!",F4857="NEW"),"",COUNTBLANK(OFFSET(A$1,,,SUMPRODUCT(MAX(ROW(E$2:E4857)*(E4857=E$2:E4857)))))-COUNTBLANK(OFFSET(A$1,,,SUMPRODUCT(MAX(ROW(E$1:E4856)*(E2=E$1:E4856))))))</f>
        <v> </v>
      </c>
      <c r="K4857" s="25" t="str">
        <f>IF(OR(E4857="",E4857="!!!",F4857="NEW"),"",INDEX(J$1:J4856,SUMPRODUCT(MAX(ROW(E$1:E4856)*(E4857=E$1:E4856)))))</f>
        <v> </v>
      </c>
      <c r="L4857" s="26"/>
    </row>
    <row r="4858" spans="1:12">
      <c r="A4858" s="20" t="s">
        <v>1232</v>
      </c>
      <c r="E4858" s="21">
        <f>IF(D4858="?OLD","!!!","")</f>
        <v/>
      </c>
      <c r="F4858" s="22" t="str">
        <f>IF(OR(E4858="",E4858="!!!"),"",IF(NOT(ISNA(VLOOKUP(E4858,E$1:E4857,1,FALSE()))),"OLD",IF(AND(E4858&lt;&gt;"",E4858&lt;&gt;"!!!"),"NEW","")))</f>
        <v> </v>
      </c>
      <c r="G4858" s="23" t="str">
        <f>IF(OR(E4858="",E4858="!!!"),"",IF(OR(J4858=0,AND(J4858=1,K4858=1),AND(J4858=1,I4858="SBJ"),AND(J4858=1,I4858=0)),"?IN_FOCUS",IF(J4858&lt;=2,"?ACTIVATED",IF(J4858&lt;&gt;"","?FAMILIAR",IF(F4858="NEW",IF(ISNA(VLOOKUP(E4858,#REF!,1,FALSE())),"?TYPE_IDENTIFIABLE","?REFERENTIAL"),"_")))))</f>
        <v> </v>
      </c>
      <c r="H4858" s="24" t="str">
        <f>IF(J4858&lt;&gt;1,"",IF(I4858="SBJ","CB","?"))</f>
        <v> </v>
      </c>
      <c r="I4858" s="25" t="str">
        <f>IF(OR(E4858="",E4858="!!!",F4858="NEW"),"",INDEX(B4857:B$2,-1+SUMPRODUCT(MAX(ROW(E4857:E$2)*(E4858=E4857:E$2)))))</f>
        <v> </v>
      </c>
      <c r="J4858" s="25" t="str">
        <f>IF(OR(E4858="",E4858="!!!",F4858="NEW"),"",COUNTBLANK(OFFSET(A$1,,,SUMPRODUCT(MAX(ROW(E$2:E4858)*(E4858=E$2:E4858)))))-COUNTBLANK(OFFSET(A$1,,,SUMPRODUCT(MAX(ROW(E$1:E4857)*(E2=E$1:E4857))))))</f>
        <v> </v>
      </c>
      <c r="K4858" s="25" t="str">
        <f>IF(OR(E4858="",E4858="!!!",F4858="NEW"),"",INDEX(J$1:J4857,SUMPRODUCT(MAX(ROW(E$1:E4857)*(E4858=E$1:E4857)))))</f>
        <v> </v>
      </c>
      <c r="L4858" s="26"/>
    </row>
    <row r="4859" spans="1:12">
      <c r="A4859" s="20" t="s">
        <v>2971</v>
      </c>
      <c r="E4859" s="21">
        <f>IF(D4859="?OLD","!!!","")</f>
        <v/>
      </c>
      <c r="F4859" s="22" t="str">
        <f>IF(OR(E4859="",E4859="!!!"),"",IF(NOT(ISNA(VLOOKUP(E4859,E$1:E4858,1,FALSE()))),"OLD",IF(AND(E4859&lt;&gt;"",E4859&lt;&gt;"!!!"),"NEW","")))</f>
        <v> </v>
      </c>
      <c r="G4859" s="23" t="str">
        <f>IF(OR(E4859="",E4859="!!!"),"",IF(OR(J4859=0,AND(J4859=1,K4859=1),AND(J4859=1,I4859="SBJ"),AND(J4859=1,I4859=0)),"?IN_FOCUS",IF(J4859&lt;=2,"?ACTIVATED",IF(J4859&lt;&gt;"","?FAMILIAR",IF(F4859="NEW",IF(ISNA(VLOOKUP(E4859,#REF!,1,FALSE())),"?TYPE_IDENTIFIABLE","?REFERENTIAL"),"_")))))</f>
        <v> </v>
      </c>
      <c r="H4859" s="24" t="str">
        <f>IF(J4859&lt;&gt;1,"",IF(I4859="SBJ","CB","?"))</f>
        <v> </v>
      </c>
      <c r="I4859" s="25" t="str">
        <f>IF(OR(E4859="",E4859="!!!",F4859="NEW"),"",INDEX(B4858:B$2,-1+SUMPRODUCT(MAX(ROW(E4858:E$2)*(E4859=E4858:E$2)))))</f>
        <v> </v>
      </c>
      <c r="J4859" s="25" t="str">
        <f>IF(OR(E4859="",E4859="!!!",F4859="NEW"),"",COUNTBLANK(OFFSET(A$1,,,SUMPRODUCT(MAX(ROW(E$2:E4859)*(E4859=E$2:E4859)))))-COUNTBLANK(OFFSET(A$1,,,SUMPRODUCT(MAX(ROW(E$1:E4858)*(E2=E$1:E4858))))))</f>
        <v> </v>
      </c>
      <c r="K4859" s="25" t="str">
        <f>IF(OR(E4859="",E4859="!!!",F4859="NEW"),"",INDEX(J$1:J4858,SUMPRODUCT(MAX(ROW(E$1:E4858)*(E4859=E$1:E4858)))))</f>
        <v> </v>
      </c>
      <c r="L4859" s="26"/>
    </row>
    <row r="4860" spans="1:12">
      <c r="A4860" s="20" t="s">
        <v>1693</v>
      </c>
      <c r="E4860" s="21">
        <f>IF(D4860="?OLD","!!!","")</f>
        <v/>
      </c>
      <c r="F4860" s="22" t="str">
        <f>IF(OR(E4860="",E4860="!!!"),"",IF(NOT(ISNA(VLOOKUP(E4860,E$1:E4859,1,FALSE()))),"OLD",IF(AND(E4860&lt;&gt;"",E4860&lt;&gt;"!!!"),"NEW","")))</f>
        <v> </v>
      </c>
      <c r="G4860" s="23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4" t="str">
        <f>IF(J4860&lt;&gt;1,"",IF(I4860="SBJ","CB","?"))</f>
        <v> </v>
      </c>
      <c r="I4860" s="25" t="str">
        <f>IF(OR(E4860="",E4860="!!!",F4860="NEW"),"",INDEX(B4859:B$2,-1+SUMPRODUCT(MAX(ROW(E4859:E$2)*(E4860=E4859:E$2)))))</f>
        <v> </v>
      </c>
      <c r="J4860" s="25" t="str">
        <f>IF(OR(E4860="",E4860="!!!",F4860="NEW"),"",COUNTBLANK(OFFSET(A$1,,,SUMPRODUCT(MAX(ROW(E$2:E4860)*(E4860=E$2:E4860)))))-COUNTBLANK(OFFSET(A$1,,,SUMPRODUCT(MAX(ROW(E$1:E4859)*(E2=E$1:E4859))))))</f>
        <v> </v>
      </c>
      <c r="K4860" s="25" t="str">
        <f>IF(OR(E4860="",E4860="!!!",F4860="NEW"),"",INDEX(J$1:J4859,SUMPRODUCT(MAX(ROW(E$1:E4859)*(E4860=E$1:E4859)))))</f>
        <v> </v>
      </c>
      <c r="L4860" s="26"/>
    </row>
    <row r="4861" spans="1:12">
      <c r="A4861" s="20" t="s">
        <v>1144</v>
      </c>
      <c r="B4861" s="27" t="s">
        <v>1409</v>
      </c>
      <c r="E4861" s="21">
        <f>IF(D4861="?OLD","!!!","")</f>
        <v/>
      </c>
      <c r="F4861" s="22" t="str">
        <f>IF(OR(E4861="",E4861="!!!"),"",IF(NOT(ISNA(VLOOKUP(E4861,E$1:E4860,1,FALSE()))),"OLD",IF(AND(E4861&lt;&gt;"",E4861&lt;&gt;"!!!"),"NEW","")))</f>
        <v> </v>
      </c>
      <c r="G4861" s="23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4" t="str">
        <f>IF(J4861&lt;&gt;1,"",IF(I4861="SBJ","CB","?"))</f>
        <v> </v>
      </c>
      <c r="I4861" s="25" t="str">
        <f>IF(OR(E4861="",E4861="!!!",F4861="NEW"),"",INDEX(B4860:B$2,-1+SUMPRODUCT(MAX(ROW(E4860:E$2)*(E4861=E4860:E$2)))))</f>
        <v> </v>
      </c>
      <c r="J4861" s="25" t="str">
        <f>IF(OR(E4861="",E4861="!!!",F4861="NEW"),"",COUNTBLANK(OFFSET(A$1,,,SUMPRODUCT(MAX(ROW(E$2:E4861)*(E4861=E$2:E4861)))))-COUNTBLANK(OFFSET(A$1,,,SUMPRODUCT(MAX(ROW(E$1:E4860)*(E2=E$1:E4860))))))</f>
        <v> </v>
      </c>
      <c r="K4861" s="25" t="str">
        <f>IF(OR(E4861="",E4861="!!!",F4861="NEW"),"",INDEX(J$1:J4860,SUMPRODUCT(MAX(ROW(E$1:E4860)*(E4861=E$1:E4860)))))</f>
        <v> </v>
      </c>
      <c r="L4861" s="26"/>
    </row>
    <row r="4862" spans="1:12">
      <c r="A4862" s="20" t="s">
        <v>1695</v>
      </c>
      <c r="E4862" s="21">
        <f>IF(D4862="?OLD","!!!","")</f>
        <v/>
      </c>
      <c r="F4862" s="22" t="str">
        <f>IF(OR(E4862="",E4862="!!!"),"",IF(NOT(ISNA(VLOOKUP(E4862,E$1:E4861,1,FALSE()))),"OLD",IF(AND(E4862&lt;&gt;"",E4862&lt;&gt;"!!!"),"NEW","")))</f>
        <v> </v>
      </c>
      <c r="G4862" s="23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4" t="str">
        <f>IF(J4862&lt;&gt;1,"",IF(I4862="SBJ","CB","?"))</f>
        <v> </v>
      </c>
      <c r="I4862" s="25" t="str">
        <f>IF(OR(E4862="",E4862="!!!",F4862="NEW"),"",INDEX(B4861:B$2,-1+SUMPRODUCT(MAX(ROW(E4861:E$2)*(E4862=E4861:E$2)))))</f>
        <v> </v>
      </c>
      <c r="J4862" s="25" t="str">
        <f>IF(OR(E4862="",E4862="!!!",F4862="NEW"),"",COUNTBLANK(OFFSET(A$1,,,SUMPRODUCT(MAX(ROW(E$2:E4862)*(E4862=E$2:E4862)))))-COUNTBLANK(OFFSET(A$1,,,SUMPRODUCT(MAX(ROW(E$1:E4861)*(E2=E$1:E4861))))))</f>
        <v> </v>
      </c>
      <c r="K4862" s="25" t="str">
        <f>IF(OR(E4862="",E4862="!!!",F4862="NEW"),"",INDEX(J$1:J4861,SUMPRODUCT(MAX(ROW(E$1:E4861)*(E4862=E$1:E4861)))))</f>
        <v> </v>
      </c>
      <c r="L4862" s="26"/>
    </row>
    <row r="4863" spans="1:12">
      <c r="A4863" s="20" t="s">
        <v>1032</v>
      </c>
      <c r="E4863" s="21">
        <f>IF(D4863="?OLD","!!!","")</f>
        <v/>
      </c>
      <c r="F4863" s="22" t="str">
        <f>IF(OR(E4863="",E4863="!!!"),"",IF(NOT(ISNA(VLOOKUP(E4863,E$1:E4862,1,FALSE()))),"OLD",IF(AND(E4863&lt;&gt;"",E4863&lt;&gt;"!!!"),"NEW","")))</f>
        <v> </v>
      </c>
      <c r="G4863" s="23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4" t="str">
        <f>IF(J4863&lt;&gt;1,"",IF(I4863="SBJ","CB","?"))</f>
        <v> </v>
      </c>
      <c r="I4863" s="25" t="str">
        <f>IF(OR(E4863="",E4863="!!!",F4863="NEW"),"",INDEX(B4862:B$2,-1+SUMPRODUCT(MAX(ROW(E4862:E$2)*(E4863=E4862:E$2)))))</f>
        <v> </v>
      </c>
      <c r="J4863" s="25" t="str">
        <f>IF(OR(E4863="",E4863="!!!",F4863="NEW"),"",COUNTBLANK(OFFSET(A$1,,,SUMPRODUCT(MAX(ROW(E$2:E4863)*(E4863=E$2:E4863)))))-COUNTBLANK(OFFSET(A$1,,,SUMPRODUCT(MAX(ROW(E$1:E4862)*(E2=E$1:E4862))))))</f>
        <v> </v>
      </c>
      <c r="K4863" s="25" t="str">
        <f>IF(OR(E4863="",E4863="!!!",F4863="NEW"),"",INDEX(J$1:J4862,SUMPRODUCT(MAX(ROW(E$1:E4862)*(E4863=E$1:E4862)))))</f>
        <v> </v>
      </c>
      <c r="L4863" s="26"/>
    </row>
    <row r="4864" spans="1:12">
      <c r="A4864" s="20"/>
    </row>
    <row r="4865" spans="1:12">
      <c r="A4865" s="20" t="s">
        <v>2972</v>
      </c>
    </row>
    <row r="4866" spans="1:12">
      <c r="A4866" s="20" t="s">
        <v>1292</v>
      </c>
      <c r="B4866" s="27" t="s">
        <v>1024</v>
      </c>
      <c r="C4866" s="27" t="s">
        <v>1025</v>
      </c>
      <c r="D4866" s="27" t="s">
        <v>1026</v>
      </c>
      <c r="E4866" s="21">
        <f>IF(D4866="?OLD","!!!","")</f>
        <v/>
      </c>
      <c r="F4866" s="22" t="str">
        <f>IF(OR(E4866="",E4866="!!!"),"",IF(NOT(ISNA(VLOOKUP(E4866,E$1:E4865,1,FALSE()))),"OLD",IF(AND(E4866&lt;&gt;"",E4866&lt;&gt;"!!!"),"NEW","")))</f>
        <v> </v>
      </c>
      <c r="G4866" s="23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4" t="str">
        <f>IF(J4866&lt;&gt;1,"",IF(I4866="SBJ","CB","?"))</f>
        <v> </v>
      </c>
      <c r="I4866" s="25" t="str">
        <f>IF(OR(E4866="",E4866="!!!",F4866="NEW"),"",INDEX(B4865:B$2,-1+SUMPRODUCT(MAX(ROW(E4865:E$2)*(E4866=E4865:E$2)))))</f>
        <v> </v>
      </c>
      <c r="J4866" s="25" t="str">
        <f>IF(OR(E4866="",E4866="!!!",F4866="NEW"),"",COUNTBLANK(OFFSET(A$1,,,SUMPRODUCT(MAX(ROW(E$2:E4866)*(E4866=E$2:E4866)))))-COUNTBLANK(OFFSET(A$1,,,SUMPRODUCT(MAX(ROW(E$1:E4865)*(E2=E$1:E4865))))))</f>
        <v> </v>
      </c>
      <c r="K4866" s="25" t="str">
        <f>IF(OR(E4866="",E4866="!!!",F4866="NEW"),"",INDEX(J$1:J4865,SUMPRODUCT(MAX(ROW(E$1:E4865)*(E4866=E$1:E4865)))))</f>
        <v> </v>
      </c>
      <c r="L4866" s="26"/>
    </row>
    <row r="4867" spans="1:12">
      <c r="A4867" s="20" t="s">
        <v>2825</v>
      </c>
      <c r="E4867" s="21">
        <f>IF(D4867="?OLD","!!!","")</f>
        <v/>
      </c>
      <c r="F4867" s="22" t="str">
        <f>IF(OR(E4867="",E4867="!!!"),"",IF(NOT(ISNA(VLOOKUP(E4867,E$1:E4866,1,FALSE()))),"OLD",IF(AND(E4867&lt;&gt;"",E4867&lt;&gt;"!!!"),"NEW","")))</f>
        <v> </v>
      </c>
      <c r="G4867" s="23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4" t="str">
        <f>IF(J4867&lt;&gt;1,"",IF(I4867="SBJ","CB","?"))</f>
        <v> </v>
      </c>
      <c r="I4867" s="25" t="str">
        <f>IF(OR(E4867="",E4867="!!!",F4867="NEW"),"",INDEX(B4866:B$2,-1+SUMPRODUCT(MAX(ROW(E4866:E$2)*(E4867=E4866:E$2)))))</f>
        <v> </v>
      </c>
      <c r="J4867" s="25" t="str">
        <f>IF(OR(E4867="",E4867="!!!",F4867="NEW"),"",COUNTBLANK(OFFSET(A$1,,,SUMPRODUCT(MAX(ROW(E$2:E4867)*(E4867=E$2:E4867)))))-COUNTBLANK(OFFSET(A$1,,,SUMPRODUCT(MAX(ROW(E$1:E4866)*(E2=E$1:E4866))))))</f>
        <v> </v>
      </c>
      <c r="K4867" s="25" t="str">
        <f>IF(OR(E4867="",E4867="!!!",F4867="NEW"),"",INDEX(J$1:J4866,SUMPRODUCT(MAX(ROW(E$1:E4866)*(E4867=E$1:E4866)))))</f>
        <v> </v>
      </c>
      <c r="L4867" s="26"/>
    </row>
    <row r="4868" spans="1:12">
      <c r="A4868" s="20" t="s">
        <v>1041</v>
      </c>
      <c r="E4868" s="21">
        <f>IF(D4868="?OLD","!!!","")</f>
        <v/>
      </c>
      <c r="F4868" s="22" t="str">
        <f>IF(OR(E4868="",E4868="!!!"),"",IF(NOT(ISNA(VLOOKUP(E4868,E$1:E4867,1,FALSE()))),"OLD",IF(AND(E4868&lt;&gt;"",E4868&lt;&gt;"!!!"),"NEW","")))</f>
        <v> </v>
      </c>
      <c r="G4868" s="23" t="str">
        <f>IF(OR(E4868="",E4868="!!!"),"",IF(OR(J4868=0,AND(J4868=1,K4868=1),AND(J4868=1,I4868="SBJ"),AND(J4868=1,I4868=0)),"?IN_FOCUS",IF(J4868&lt;=2,"?ACTIVATED",IF(J4868&lt;&gt;"","?FAMILIAR",IF(F4868="NEW",IF(ISNA(VLOOKUP(E4868,#REF!,1,FALSE())),"?TYPE_IDENTIFIABLE","?REFERENTIAL"),"_")))))</f>
        <v> </v>
      </c>
      <c r="H4868" s="24" t="str">
        <f>IF(J4868&lt;&gt;1,"",IF(I4868="SBJ","CB","?"))</f>
        <v> </v>
      </c>
      <c r="I4868" s="25" t="str">
        <f>IF(OR(E4868="",E4868="!!!",F4868="NEW"),"",INDEX(B4867:B$2,-1+SUMPRODUCT(MAX(ROW(E4867:E$2)*(E4868=E4867:E$2)))))</f>
        <v> </v>
      </c>
      <c r="J4868" s="25" t="str">
        <f>IF(OR(E4868="",E4868="!!!",F4868="NEW"),"",COUNTBLANK(OFFSET(A$1,,,SUMPRODUCT(MAX(ROW(E$2:E4868)*(E4868=E$2:E4868)))))-COUNTBLANK(OFFSET(A$1,,,SUMPRODUCT(MAX(ROW(E$1:E4867)*(E2=E$1:E4867))))))</f>
        <v> </v>
      </c>
      <c r="K4868" s="25" t="str">
        <f>IF(OR(E4868="",E4868="!!!",F4868="NEW"),"",INDEX(J$1:J4867,SUMPRODUCT(MAX(ROW(E$1:E4867)*(E4868=E$1:E4867)))))</f>
        <v> </v>
      </c>
      <c r="L4868" s="26"/>
    </row>
    <row r="4869" spans="1:12">
      <c r="A4869" s="20" t="s">
        <v>201</v>
      </c>
      <c r="E4869" s="21">
        <f>IF(D4869="?OLD","!!!","")</f>
        <v/>
      </c>
      <c r="F4869" s="22" t="str">
        <f>IF(OR(E4869="",E4869="!!!"),"",IF(NOT(ISNA(VLOOKUP(E4869,E$1:E4868,1,FALSE()))),"OLD",IF(AND(E4869&lt;&gt;"",E4869&lt;&gt;"!!!"),"NEW","")))</f>
        <v> </v>
      </c>
      <c r="G4869" s="23" t="str">
        <f>IF(OR(E4869="",E4869="!!!"),"",IF(OR(J4869=0,AND(J4869=1,K4869=1),AND(J4869=1,I4869="SBJ"),AND(J4869=1,I4869=0)),"?IN_FOCUS",IF(J4869&lt;=2,"?ACTIVATED",IF(J4869&lt;&gt;"","?FAMILIAR",IF(F4869="NEW",IF(ISNA(VLOOKUP(E4869,#REF!,1,FALSE())),"?TYPE_IDENTIFIABLE","?REFERENTIAL"),"_")))))</f>
        <v> </v>
      </c>
      <c r="H4869" s="24" t="str">
        <f>IF(J4869&lt;&gt;1,"",IF(I4869="SBJ","CB","?"))</f>
        <v> </v>
      </c>
      <c r="I4869" s="25" t="str">
        <f>IF(OR(E4869="",E4869="!!!",F4869="NEW"),"",INDEX(B4868:B$2,-1+SUMPRODUCT(MAX(ROW(E4868:E$2)*(E4869=E4868:E$2)))))</f>
        <v> </v>
      </c>
      <c r="J4869" s="25" t="str">
        <f>IF(OR(E4869="",E4869="!!!",F4869="NEW"),"",COUNTBLANK(OFFSET(A$1,,,SUMPRODUCT(MAX(ROW(E$2:E4869)*(E4869=E$2:E4869)))))-COUNTBLANK(OFFSET(A$1,,,SUMPRODUCT(MAX(ROW(E$1:E4868)*(E2=E$1:E4868))))))</f>
        <v> </v>
      </c>
      <c r="K4869" s="25" t="str">
        <f>IF(OR(E4869="",E4869="!!!",F4869="NEW"),"",INDEX(J$1:J4868,SUMPRODUCT(MAX(ROW(E$1:E4868)*(E4869=E$1:E4868)))))</f>
        <v> </v>
      </c>
      <c r="L4869" s="26"/>
    </row>
    <row r="4870" spans="1:12">
      <c r="A4870" s="20" t="s">
        <v>284</v>
      </c>
      <c r="E4870" s="21">
        <f>IF(D4870="?OLD","!!!","")</f>
        <v/>
      </c>
      <c r="F4870" s="22" t="str">
        <f>IF(OR(E4870="",E4870="!!!"),"",IF(NOT(ISNA(VLOOKUP(E4870,E$1:E4869,1,FALSE()))),"OLD",IF(AND(E4870&lt;&gt;"",E4870&lt;&gt;"!!!"),"NEW","")))</f>
        <v> </v>
      </c>
      <c r="G4870" s="23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4" t="str">
        <f>IF(J4870&lt;&gt;1,"",IF(I4870="SBJ","CB","?"))</f>
        <v> </v>
      </c>
      <c r="I4870" s="25" t="str">
        <f>IF(OR(E4870="",E4870="!!!",F4870="NEW"),"",INDEX(B4869:B$2,-1+SUMPRODUCT(MAX(ROW(E4869:E$2)*(E4870=E4869:E$2)))))</f>
        <v> </v>
      </c>
      <c r="J4870" s="25" t="str">
        <f>IF(OR(E4870="",E4870="!!!",F4870="NEW"),"",COUNTBLANK(OFFSET(A$1,,,SUMPRODUCT(MAX(ROW(E$2:E4870)*(E4870=E$2:E4870)))))-COUNTBLANK(OFFSET(A$1,,,SUMPRODUCT(MAX(ROW(E$1:E4869)*(E2=E$1:E4869))))))</f>
        <v> </v>
      </c>
      <c r="K4870" s="25" t="str">
        <f>IF(OR(E4870="",E4870="!!!",F4870="NEW"),"",INDEX(J$1:J4869,SUMPRODUCT(MAX(ROW(E$1:E4869)*(E4870=E$1:E4869)))))</f>
        <v> </v>
      </c>
      <c r="L4870" s="26"/>
    </row>
    <row r="4871" spans="1:12">
      <c r="A4871" s="20" t="s">
        <v>2973</v>
      </c>
      <c r="E4871" s="21">
        <f>IF(D4871="?OLD","!!!","")</f>
        <v/>
      </c>
      <c r="F4871" s="22" t="str">
        <f>IF(OR(E4871="",E4871="!!!"),"",IF(NOT(ISNA(VLOOKUP(E4871,E$1:E4870,1,FALSE()))),"OLD",IF(AND(E4871&lt;&gt;"",E4871&lt;&gt;"!!!"),"NEW","")))</f>
        <v> </v>
      </c>
      <c r="G4871" s="23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4" t="str">
        <f>IF(J4871&lt;&gt;1,"",IF(I4871="SBJ","CB","?"))</f>
        <v> </v>
      </c>
      <c r="I4871" s="25" t="str">
        <f>IF(OR(E4871="",E4871="!!!",F4871="NEW"),"",INDEX(B4870:B$2,-1+SUMPRODUCT(MAX(ROW(E4870:E$2)*(E4871=E4870:E$2)))))</f>
        <v> </v>
      </c>
      <c r="J4871" s="25" t="str">
        <f>IF(OR(E4871="",E4871="!!!",F4871="NEW"),"",COUNTBLANK(OFFSET(A$1,,,SUMPRODUCT(MAX(ROW(E$2:E4871)*(E4871=E$2:E4871)))))-COUNTBLANK(OFFSET(A$1,,,SUMPRODUCT(MAX(ROW(E$1:E4870)*(E2=E$1:E4870))))))</f>
        <v> </v>
      </c>
      <c r="K4871" s="25" t="str">
        <f>IF(OR(E4871="",E4871="!!!",F4871="NEW"),"",INDEX(J$1:J4870,SUMPRODUCT(MAX(ROW(E$1:E4870)*(E4871=E$1:E4870)))))</f>
        <v> </v>
      </c>
      <c r="L4871" s="26"/>
    </row>
    <row r="4872" spans="1:12">
      <c r="A4872" s="20" t="s">
        <v>2974</v>
      </c>
      <c r="E4872" s="21">
        <f>IF(D4872="?OLD","!!!","")</f>
        <v/>
      </c>
      <c r="F4872" s="22" t="str">
        <f>IF(OR(E4872="",E4872="!!!"),"",IF(NOT(ISNA(VLOOKUP(E4872,E$1:E4871,1,FALSE()))),"OLD",IF(AND(E4872&lt;&gt;"",E4872&lt;&gt;"!!!"),"NEW","")))</f>
        <v> </v>
      </c>
      <c r="G4872" s="23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4" t="str">
        <f>IF(J4872&lt;&gt;1,"",IF(I4872="SBJ","CB","?"))</f>
        <v> </v>
      </c>
      <c r="I4872" s="25" t="str">
        <f>IF(OR(E4872="",E4872="!!!",F4872="NEW"),"",INDEX(B4871:B$2,-1+SUMPRODUCT(MAX(ROW(E4871:E$2)*(E4872=E4871:E$2)))))</f>
        <v> </v>
      </c>
      <c r="J4872" s="25" t="str">
        <f>IF(OR(E4872="",E4872="!!!",F4872="NEW"),"",COUNTBLANK(OFFSET(A$1,,,SUMPRODUCT(MAX(ROW(E$2:E4872)*(E4872=E$2:E4872)))))-COUNTBLANK(OFFSET(A$1,,,SUMPRODUCT(MAX(ROW(E$1:E4871)*(E2=E$1:E4871))))))</f>
        <v> </v>
      </c>
      <c r="K4872" s="25" t="str">
        <f>IF(OR(E4872="",E4872="!!!",F4872="NEW"),"",INDEX(J$1:J4871,SUMPRODUCT(MAX(ROW(E$1:E4871)*(E4872=E$1:E4871)))))</f>
        <v> </v>
      </c>
      <c r="L4872" s="26"/>
    </row>
    <row r="4873" spans="1:12">
      <c r="A4873" s="20" t="s">
        <v>2632</v>
      </c>
      <c r="E4873" s="21">
        <f>IF(D4873="?OLD","!!!","")</f>
        <v/>
      </c>
      <c r="F4873" s="22" t="str">
        <f>IF(OR(E4873="",E4873="!!!"),"",IF(NOT(ISNA(VLOOKUP(E4873,E$1:E4872,1,FALSE()))),"OLD",IF(AND(E4873&lt;&gt;"",E4873&lt;&gt;"!!!"),"NEW","")))</f>
        <v> </v>
      </c>
      <c r="G4873" s="23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4" t="str">
        <f>IF(J4873&lt;&gt;1,"",IF(I4873="SBJ","CB","?"))</f>
        <v> </v>
      </c>
      <c r="I4873" s="25" t="str">
        <f>IF(OR(E4873="",E4873="!!!",F4873="NEW"),"",INDEX(B4872:B$2,-1+SUMPRODUCT(MAX(ROW(E4872:E$2)*(E4873=E4872:E$2)))))</f>
        <v> </v>
      </c>
      <c r="J4873" s="25" t="str">
        <f>IF(OR(E4873="",E4873="!!!",F4873="NEW"),"",COUNTBLANK(OFFSET(A$1,,,SUMPRODUCT(MAX(ROW(E$2:E4873)*(E4873=E$2:E4873)))))-COUNTBLANK(OFFSET(A$1,,,SUMPRODUCT(MAX(ROW(E$1:E4872)*(E2=E$1:E4872))))))</f>
        <v> </v>
      </c>
      <c r="K4873" s="25" t="str">
        <f>IF(OR(E4873="",E4873="!!!",F4873="NEW"),"",INDEX(J$1:J4872,SUMPRODUCT(MAX(ROW(E$1:E4872)*(E4873=E$1:E4872)))))</f>
        <v> </v>
      </c>
      <c r="L4873" s="26"/>
    </row>
    <row r="4874" spans="1:12">
      <c r="A4874" s="20" t="s">
        <v>2975</v>
      </c>
      <c r="E4874" s="21">
        <f>IF(D4874="?OLD","!!!","")</f>
        <v/>
      </c>
      <c r="F4874" s="22" t="str">
        <f>IF(OR(E4874="",E4874="!!!"),"",IF(NOT(ISNA(VLOOKUP(E4874,E$1:E4873,1,FALSE()))),"OLD",IF(AND(E4874&lt;&gt;"",E4874&lt;&gt;"!!!"),"NEW","")))</f>
        <v> </v>
      </c>
      <c r="G4874" s="23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4" t="str">
        <f>IF(J4874&lt;&gt;1,"",IF(I4874="SBJ","CB","?"))</f>
        <v> </v>
      </c>
      <c r="I4874" s="25" t="str">
        <f>IF(OR(E4874="",E4874="!!!",F4874="NEW"),"",INDEX(B4873:B$2,-1+SUMPRODUCT(MAX(ROW(E4873:E$2)*(E4874=E4873:E$2)))))</f>
        <v> </v>
      </c>
      <c r="J4874" s="25" t="str">
        <f>IF(OR(E4874="",E4874="!!!",F4874="NEW"),"",COUNTBLANK(OFFSET(A$1,,,SUMPRODUCT(MAX(ROW(E$2:E4874)*(E4874=E$2:E4874)))))-COUNTBLANK(OFFSET(A$1,,,SUMPRODUCT(MAX(ROW(E$1:E4873)*(E2=E$1:E4873))))))</f>
        <v> </v>
      </c>
      <c r="K4874" s="25" t="str">
        <f>IF(OR(E4874="",E4874="!!!",F4874="NEW"),"",INDEX(J$1:J4873,SUMPRODUCT(MAX(ROW(E$1:E4873)*(E4874=E$1:E4873)))))</f>
        <v> </v>
      </c>
      <c r="L4874" s="26"/>
    </row>
    <row r="4875" spans="1:12">
      <c r="A4875" s="20" t="s">
        <v>1041</v>
      </c>
      <c r="E4875" s="21">
        <f>IF(D4875="?OLD","!!!","")</f>
        <v/>
      </c>
      <c r="F4875" s="22" t="str">
        <f>IF(OR(E4875="",E4875="!!!"),"",IF(NOT(ISNA(VLOOKUP(E4875,E$1:E4874,1,FALSE()))),"OLD",IF(AND(E4875&lt;&gt;"",E4875&lt;&gt;"!!!"),"NEW","")))</f>
        <v> </v>
      </c>
      <c r="G4875" s="23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4" t="str">
        <f>IF(J4875&lt;&gt;1,"",IF(I4875="SBJ","CB","?"))</f>
        <v> </v>
      </c>
      <c r="I4875" s="25" t="str">
        <f>IF(OR(E4875="",E4875="!!!",F4875="NEW"),"",INDEX(B4874:B$2,-1+SUMPRODUCT(MAX(ROW(E4874:E$2)*(E4875=E4874:E$2)))))</f>
        <v> </v>
      </c>
      <c r="J4875" s="25" t="str">
        <f>IF(OR(E4875="",E4875="!!!",F4875="NEW"),"",COUNTBLANK(OFFSET(A$1,,,SUMPRODUCT(MAX(ROW(E$2:E4875)*(E4875=E$2:E4875)))))-COUNTBLANK(OFFSET(A$1,,,SUMPRODUCT(MAX(ROW(E$1:E4874)*(E2=E$1:E4874))))))</f>
        <v> </v>
      </c>
      <c r="K4875" s="25" t="str">
        <f>IF(OR(E4875="",E4875="!!!",F4875="NEW"),"",INDEX(J$1:J4874,SUMPRODUCT(MAX(ROW(E$1:E4874)*(E4875=E$1:E4874)))))</f>
        <v> </v>
      </c>
      <c r="L4875" s="26"/>
    </row>
    <row r="4876" spans="1:12">
      <c r="A4876" s="20" t="s">
        <v>1272</v>
      </c>
      <c r="E4876" s="21">
        <f>IF(D4876="?OLD","!!!","")</f>
        <v/>
      </c>
      <c r="F4876" s="22" t="str">
        <f>IF(OR(E4876="",E4876="!!!"),"",IF(NOT(ISNA(VLOOKUP(E4876,E$1:E4875,1,FALSE()))),"OLD",IF(AND(E4876&lt;&gt;"",E4876&lt;&gt;"!!!"),"NEW","")))</f>
        <v> </v>
      </c>
      <c r="G4876" s="23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4" t="str">
        <f>IF(J4876&lt;&gt;1,"",IF(I4876="SBJ","CB","?"))</f>
        <v> </v>
      </c>
      <c r="I4876" s="25" t="str">
        <f>IF(OR(E4876="",E4876="!!!",F4876="NEW"),"",INDEX(B4875:B$2,-1+SUMPRODUCT(MAX(ROW(E4875:E$2)*(E4876=E4875:E$2)))))</f>
        <v> </v>
      </c>
      <c r="J4876" s="25" t="str">
        <f>IF(OR(E4876="",E4876="!!!",F4876="NEW"),"",COUNTBLANK(OFFSET(A$1,,,SUMPRODUCT(MAX(ROW(E$2:E4876)*(E4876=E$2:E4876)))))-COUNTBLANK(OFFSET(A$1,,,SUMPRODUCT(MAX(ROW(E$1:E4875)*(E2=E$1:E4875))))))</f>
        <v> </v>
      </c>
      <c r="K4876" s="25" t="str">
        <f>IF(OR(E4876="",E4876="!!!",F4876="NEW"),"",INDEX(J$1:J4875,SUMPRODUCT(MAX(ROW(E$1:E4875)*(E4876=E$1:E4875)))))</f>
        <v> </v>
      </c>
      <c r="L4876" s="26"/>
    </row>
    <row r="4877" spans="1:12">
      <c r="A4877" s="20" t="s">
        <v>1282</v>
      </c>
      <c r="E4877" s="21">
        <f>IF(D4877="?OLD","!!!","")</f>
        <v/>
      </c>
      <c r="F4877" s="22" t="str">
        <f>IF(OR(E4877="",E4877="!!!"),"",IF(NOT(ISNA(VLOOKUP(E4877,E$1:E4876,1,FALSE()))),"OLD",IF(AND(E4877&lt;&gt;"",E4877&lt;&gt;"!!!"),"NEW","")))</f>
        <v> </v>
      </c>
      <c r="G4877" s="23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4" t="str">
        <f>IF(J4877&lt;&gt;1,"",IF(I4877="SBJ","CB","?"))</f>
        <v> </v>
      </c>
      <c r="I4877" s="25" t="str">
        <f>IF(OR(E4877="",E4877="!!!",F4877="NEW"),"",INDEX(B4876:B$2,-1+SUMPRODUCT(MAX(ROW(E4876:E$2)*(E4877=E4876:E$2)))))</f>
        <v> </v>
      </c>
      <c r="J4877" s="25" t="str">
        <f>IF(OR(E4877="",E4877="!!!",F4877="NEW"),"",COUNTBLANK(OFFSET(A$1,,,SUMPRODUCT(MAX(ROW(E$2:E4877)*(E4877=E$2:E4877)))))-COUNTBLANK(OFFSET(A$1,,,SUMPRODUCT(MAX(ROW(E$1:E4876)*(E2=E$1:E4876))))))</f>
        <v> </v>
      </c>
      <c r="K4877" s="25" t="str">
        <f>IF(OR(E4877="",E4877="!!!",F4877="NEW"),"",INDEX(J$1:J4876,SUMPRODUCT(MAX(ROW(E$1:E4876)*(E4877=E$1:E4876)))))</f>
        <v> </v>
      </c>
      <c r="L4877" s="26"/>
    </row>
    <row r="4878" spans="1:12">
      <c r="A4878" s="20" t="s">
        <v>2766</v>
      </c>
      <c r="B4878" s="27" t="s">
        <v>1225</v>
      </c>
      <c r="E4878" s="21">
        <f>IF(D4878="?OLD","!!!","")</f>
        <v/>
      </c>
      <c r="F4878" s="22" t="str">
        <f>IF(OR(E4878="",E4878="!!!"),"",IF(NOT(ISNA(VLOOKUP(E4878,E$1:E4877,1,FALSE()))),"OLD",IF(AND(E4878&lt;&gt;"",E4878&lt;&gt;"!!!"),"NEW","")))</f>
        <v> </v>
      </c>
      <c r="G4878" s="23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4" t="str">
        <f>IF(J4878&lt;&gt;1,"",IF(I4878="SBJ","CB","?"))</f>
        <v> </v>
      </c>
      <c r="I4878" s="25" t="str">
        <f>IF(OR(E4878="",E4878="!!!",F4878="NEW"),"",INDEX(B4877:B$2,-1+SUMPRODUCT(MAX(ROW(E4877:E$2)*(E4878=E4877:E$2)))))</f>
        <v> </v>
      </c>
      <c r="J4878" s="25" t="str">
        <f>IF(OR(E4878="",E4878="!!!",F4878="NEW"),"",COUNTBLANK(OFFSET(A$1,,,SUMPRODUCT(MAX(ROW(E$2:E4878)*(E4878=E$2:E4878)))))-COUNTBLANK(OFFSET(A$1,,,SUMPRODUCT(MAX(ROW(E$1:E4877)*(E2=E$1:E4877))))))</f>
        <v> </v>
      </c>
      <c r="K4878" s="25" t="str">
        <f>IF(OR(E4878="",E4878="!!!",F4878="NEW"),"",INDEX(J$1:J4877,SUMPRODUCT(MAX(ROW(E$1:E4877)*(E4878=E$1:E4877)))))</f>
        <v> </v>
      </c>
      <c r="L4878" s="26"/>
    </row>
    <row r="4879" spans="1:12">
      <c r="A4879" s="20" t="s">
        <v>2976</v>
      </c>
      <c r="E4879" s="21">
        <f>IF(D4879="?OLD","!!!","")</f>
        <v/>
      </c>
      <c r="F4879" s="22" t="str">
        <f>IF(OR(E4879="",E4879="!!!"),"",IF(NOT(ISNA(VLOOKUP(E4879,E$1:E4878,1,FALSE()))),"OLD",IF(AND(E4879&lt;&gt;"",E4879&lt;&gt;"!!!"),"NEW","")))</f>
        <v> </v>
      </c>
      <c r="G4879" s="23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4" t="str">
        <f>IF(J4879&lt;&gt;1,"",IF(I4879="SBJ","CB","?"))</f>
        <v> </v>
      </c>
      <c r="I4879" s="25" t="str">
        <f>IF(OR(E4879="",E4879="!!!",F4879="NEW"),"",INDEX(B4878:B$2,-1+SUMPRODUCT(MAX(ROW(E4878:E$2)*(E4879=E4878:E$2)))))</f>
        <v> </v>
      </c>
      <c r="J4879" s="25" t="str">
        <f>IF(OR(E4879="",E4879="!!!",F4879="NEW"),"",COUNTBLANK(OFFSET(A$1,,,SUMPRODUCT(MAX(ROW(E$2:E4879)*(E4879=E$2:E4879)))))-COUNTBLANK(OFFSET(A$1,,,SUMPRODUCT(MAX(ROW(E$1:E4878)*(E2=E$1:E4878))))))</f>
        <v> </v>
      </c>
      <c r="K4879" s="25" t="str">
        <f>IF(OR(E4879="",E4879="!!!",F4879="NEW"),"",INDEX(J$1:J4878,SUMPRODUCT(MAX(ROW(E$1:E4878)*(E4879=E$1:E4878)))))</f>
        <v> </v>
      </c>
      <c r="L4879" s="26"/>
    </row>
    <row r="4880" spans="1:12">
      <c r="A4880" s="20" t="s">
        <v>2146</v>
      </c>
      <c r="E4880" s="21">
        <f>IF(D4880="?OLD","!!!","")</f>
        <v/>
      </c>
      <c r="F4880" s="22" t="str">
        <f>IF(OR(E4880="",E4880="!!!"),"",IF(NOT(ISNA(VLOOKUP(E4880,E$1:E4879,1,FALSE()))),"OLD",IF(AND(E4880&lt;&gt;"",E4880&lt;&gt;"!!!"),"NEW","")))</f>
        <v> </v>
      </c>
      <c r="G4880" s="23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4" t="str">
        <f>IF(J4880&lt;&gt;1,"",IF(I4880="SBJ","CB","?"))</f>
        <v> </v>
      </c>
      <c r="I4880" s="25" t="str">
        <f>IF(OR(E4880="",E4880="!!!",F4880="NEW"),"",INDEX(B4879:B$2,-1+SUMPRODUCT(MAX(ROW(E4879:E$2)*(E4880=E4879:E$2)))))</f>
        <v> </v>
      </c>
      <c r="J4880" s="25" t="str">
        <f>IF(OR(E4880="",E4880="!!!",F4880="NEW"),"",COUNTBLANK(OFFSET(A$1,,,SUMPRODUCT(MAX(ROW(E$2:E4880)*(E4880=E$2:E4880)))))-COUNTBLANK(OFFSET(A$1,,,SUMPRODUCT(MAX(ROW(E$1:E4879)*(E2=E$1:E4879))))))</f>
        <v> </v>
      </c>
      <c r="K4880" s="25" t="str">
        <f>IF(OR(E4880="",E4880="!!!",F4880="NEW"),"",INDEX(J$1:J4879,SUMPRODUCT(MAX(ROW(E$1:E4879)*(E4880=E$1:E4879)))))</f>
        <v> </v>
      </c>
      <c r="L4880" s="26"/>
    </row>
    <row r="4881" spans="1:12">
      <c r="A4881" s="20" t="s">
        <v>1350</v>
      </c>
      <c r="E4881" s="21">
        <f>IF(D4881="?OLD","!!!","")</f>
        <v/>
      </c>
      <c r="F4881" s="22" t="str">
        <f>IF(OR(E4881="",E4881="!!!"),"",IF(NOT(ISNA(VLOOKUP(E4881,E$1:E4880,1,FALSE()))),"OLD",IF(AND(E4881&lt;&gt;"",E4881&lt;&gt;"!!!"),"NEW","")))</f>
        <v> </v>
      </c>
      <c r="G4881" s="23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4" t="str">
        <f>IF(J4881&lt;&gt;1,"",IF(I4881="SBJ","CB","?"))</f>
        <v> </v>
      </c>
      <c r="I4881" s="25" t="str">
        <f>IF(OR(E4881="",E4881="!!!",F4881="NEW"),"",INDEX(B4880:B$2,-1+SUMPRODUCT(MAX(ROW(E4880:E$2)*(E4881=E4880:E$2)))))</f>
        <v> </v>
      </c>
      <c r="J4881" s="25" t="str">
        <f>IF(OR(E4881="",E4881="!!!",F4881="NEW"),"",COUNTBLANK(OFFSET(A$1,,,SUMPRODUCT(MAX(ROW(E$2:E4881)*(E4881=E$2:E4881)))))-COUNTBLANK(OFFSET(A$1,,,SUMPRODUCT(MAX(ROW(E$1:E4880)*(E2=E$1:E4880))))))</f>
        <v> </v>
      </c>
      <c r="K4881" s="25" t="str">
        <f>IF(OR(E4881="",E4881="!!!",F4881="NEW"),"",INDEX(J$1:J4880,SUMPRODUCT(MAX(ROW(E$1:E4880)*(E4881=E$1:E4880)))))</f>
        <v> </v>
      </c>
      <c r="L4881" s="26"/>
    </row>
    <row r="4882" spans="1:12">
      <c r="A4882" s="20" t="s">
        <v>2971</v>
      </c>
      <c r="E4882" s="21">
        <f>IF(D4882="?OLD","!!!","")</f>
        <v/>
      </c>
      <c r="F4882" s="22" t="str">
        <f>IF(OR(E4882="",E4882="!!!"),"",IF(NOT(ISNA(VLOOKUP(E4882,E$1:E4881,1,FALSE()))),"OLD",IF(AND(E4882&lt;&gt;"",E4882&lt;&gt;"!!!"),"NEW","")))</f>
        <v> </v>
      </c>
      <c r="G4882" s="23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4" t="str">
        <f>IF(J4882&lt;&gt;1,"",IF(I4882="SBJ","CB","?"))</f>
        <v> </v>
      </c>
      <c r="I4882" s="25" t="str">
        <f>IF(OR(E4882="",E4882="!!!",F4882="NEW"),"",INDEX(B4881:B$2,-1+SUMPRODUCT(MAX(ROW(E4881:E$2)*(E4882=E4881:E$2)))))</f>
        <v> </v>
      </c>
      <c r="J4882" s="25" t="str">
        <f>IF(OR(E4882="",E4882="!!!",F4882="NEW"),"",COUNTBLANK(OFFSET(A$1,,,SUMPRODUCT(MAX(ROW(E$2:E4882)*(E4882=E$2:E4882)))))-COUNTBLANK(OFFSET(A$1,,,SUMPRODUCT(MAX(ROW(E$1:E4881)*(E2=E$1:E4881))))))</f>
        <v> </v>
      </c>
      <c r="K4882" s="25" t="str">
        <f>IF(OR(E4882="",E4882="!!!",F4882="NEW"),"",INDEX(J$1:J4881,SUMPRODUCT(MAX(ROW(E$1:E4881)*(E4882=E$1:E4881)))))</f>
        <v> </v>
      </c>
      <c r="L4882" s="26"/>
    </row>
    <row r="4883" spans="1:12">
      <c r="A4883" s="20" t="s">
        <v>1144</v>
      </c>
      <c r="B4883" s="27" t="s">
        <v>2580</v>
      </c>
      <c r="E4883" s="21">
        <f>IF(D4883="?OLD","!!!","")</f>
        <v/>
      </c>
      <c r="F4883" s="22" t="str">
        <f>IF(OR(E4883="",E4883="!!!"),"",IF(NOT(ISNA(VLOOKUP(E4883,E$1:E4882,1,FALSE()))),"OLD",IF(AND(E4883&lt;&gt;"",E4883&lt;&gt;"!!!"),"NEW","")))</f>
        <v> </v>
      </c>
      <c r="G4883" s="23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4" t="str">
        <f>IF(J4883&lt;&gt;1,"",IF(I4883="SBJ","CB","?"))</f>
        <v> </v>
      </c>
      <c r="I4883" s="25" t="str">
        <f>IF(OR(E4883="",E4883="!!!",F4883="NEW"),"",INDEX(B4882:B$2,-1+SUMPRODUCT(MAX(ROW(E4882:E$2)*(E4883=E4882:E$2)))))</f>
        <v> </v>
      </c>
      <c r="J4883" s="25" t="str">
        <f>IF(OR(E4883="",E4883="!!!",F4883="NEW"),"",COUNTBLANK(OFFSET(A$1,,,SUMPRODUCT(MAX(ROW(E$2:E4883)*(E4883=E$2:E4883)))))-COUNTBLANK(OFFSET(A$1,,,SUMPRODUCT(MAX(ROW(E$1:E4882)*(E2=E$1:E4882))))))</f>
        <v> </v>
      </c>
      <c r="K4883" s="25" t="str">
        <f>IF(OR(E4883="",E4883="!!!",F4883="NEW"),"",INDEX(J$1:J4882,SUMPRODUCT(MAX(ROW(E$1:E4882)*(E4883=E$1:E4882)))))</f>
        <v> </v>
      </c>
      <c r="L4883" s="26"/>
    </row>
    <row r="4884" spans="1:12">
      <c r="A4884" s="20" t="s">
        <v>1032</v>
      </c>
      <c r="E4884" s="21">
        <f>IF(D4884="?OLD","!!!","")</f>
        <v/>
      </c>
      <c r="F4884" s="22" t="str">
        <f>IF(OR(E4884="",E4884="!!!"),"",IF(NOT(ISNA(VLOOKUP(E4884,E$1:E4883,1,FALSE()))),"OLD",IF(AND(E4884&lt;&gt;"",E4884&lt;&gt;"!!!"),"NEW","")))</f>
        <v> </v>
      </c>
      <c r="G4884" s="23" t="str">
        <f>IF(OR(E4884="",E4884="!!!"),"",IF(OR(J4884=0,AND(J4884=1,K4884=1),AND(J4884=1,I4884="SBJ"),AND(J4884=1,I4884=0)),"?IN_FOCUS",IF(J4884&lt;=2,"?ACTIVATED",IF(J4884&lt;&gt;"","?FAMILIAR",IF(F4884="NEW",IF(ISNA(VLOOKUP(E4884,#REF!,1,FALSE())),"?TYPE_IDENTIFIABLE","?REFERENTIAL"),"_")))))</f>
        <v> </v>
      </c>
      <c r="H4884" s="24" t="str">
        <f>IF(J4884&lt;&gt;1,"",IF(I4884="SBJ","CB","?"))</f>
        <v> </v>
      </c>
      <c r="I4884" s="25" t="str">
        <f>IF(OR(E4884="",E4884="!!!",F4884="NEW"),"",INDEX(B4883:B$2,-1+SUMPRODUCT(MAX(ROW(E4883:E$2)*(E4884=E4883:E$2)))))</f>
        <v> </v>
      </c>
      <c r="J4884" s="25" t="str">
        <f>IF(OR(E4884="",E4884="!!!",F4884="NEW"),"",COUNTBLANK(OFFSET(A$1,,,SUMPRODUCT(MAX(ROW(E$2:E4884)*(E4884=E$2:E4884)))))-COUNTBLANK(OFFSET(A$1,,,SUMPRODUCT(MAX(ROW(E$1:E4883)*(E2=E$1:E4883))))))</f>
        <v> </v>
      </c>
      <c r="K4884" s="25" t="str">
        <f>IF(OR(E4884="",E4884="!!!",F4884="NEW"),"",INDEX(J$1:J4883,SUMPRODUCT(MAX(ROW(E$1:E4883)*(E4884=E$1:E4883)))))</f>
        <v> </v>
      </c>
      <c r="L4884" s="26"/>
    </row>
    <row r="4885" spans="1:12">
      <c r="A4885" s="20"/>
    </row>
    <row r="4886" spans="1:12">
      <c r="A4886" s="20" t="s">
        <v>2977</v>
      </c>
    </row>
    <row r="4887" spans="1:12">
      <c r="A4887" s="20" t="s">
        <v>1597</v>
      </c>
      <c r="E4887" s="21">
        <f>IF(D4887="?OLD","!!!","")</f>
        <v/>
      </c>
      <c r="F4887" s="22" t="str">
        <f>IF(OR(E4887="",E4887="!!!"),"",IF(NOT(ISNA(VLOOKUP(E4887,E$1:E4886,1,FALSE()))),"OLD",IF(AND(E4887&lt;&gt;"",E4887&lt;&gt;"!!!"),"NEW","")))</f>
        <v> </v>
      </c>
      <c r="G4887" s="23" t="str">
        <f>IF(OR(E4887="",E4887="!!!"),"",IF(OR(J4887=0,AND(J4887=1,K4887=1),AND(J4887=1,I4887="SBJ"),AND(J4887=1,I4887=0)),"?IN_FOCUS",IF(J4887&lt;=2,"?ACTIVATED",IF(J4887&lt;&gt;"","?FAMILIAR",IF(F4887="NEW",IF(ISNA(VLOOKUP(E4887,#REF!,1,FALSE())),"?TYPE_IDENTIFIABLE","?REFERENTIAL"),"_")))))</f>
        <v> </v>
      </c>
      <c r="H4887" s="24" t="str">
        <f>IF(J4887&lt;&gt;1,"",IF(I4887="SBJ","CB","?"))</f>
        <v> </v>
      </c>
      <c r="I4887" s="25" t="str">
        <f>IF(OR(E4887="",E4887="!!!",F4887="NEW"),"",INDEX(B4886:B$2,-1+SUMPRODUCT(MAX(ROW(E4886:E$2)*(E4887=E4886:E$2)))))</f>
        <v> </v>
      </c>
      <c r="J4887" s="25" t="str">
        <f>IF(OR(E4887="",E4887="!!!",F4887="NEW"),"",COUNTBLANK(OFFSET(A$1,,,SUMPRODUCT(MAX(ROW(E$2:E4887)*(E4887=E$2:E4887)))))-COUNTBLANK(OFFSET(A$1,,,SUMPRODUCT(MAX(ROW(E$1:E4886)*(E2=E$1:E4886))))))</f>
        <v> </v>
      </c>
      <c r="K4887" s="25" t="str">
        <f>IF(OR(E4887="",E4887="!!!",F4887="NEW"),"",INDEX(J$1:J4886,SUMPRODUCT(MAX(ROW(E$1:E4886)*(E4887=E$1:E4886)))))</f>
        <v> </v>
      </c>
      <c r="L4887" s="26"/>
    </row>
    <row r="4888" spans="1:12">
      <c r="A4888" s="20" t="s">
        <v>2978</v>
      </c>
      <c r="E4888" s="21">
        <f>IF(D4888="?OLD","!!!","")</f>
        <v/>
      </c>
      <c r="F4888" s="22" t="str">
        <f>IF(OR(E4888="",E4888="!!!"),"",IF(NOT(ISNA(VLOOKUP(E4888,E$1:E4887,1,FALSE()))),"OLD",IF(AND(E4888&lt;&gt;"",E4888&lt;&gt;"!!!"),"NEW","")))</f>
        <v> </v>
      </c>
      <c r="G4888" s="23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4" t="str">
        <f>IF(J4888&lt;&gt;1,"",IF(I4888="SBJ","CB","?"))</f>
        <v> </v>
      </c>
      <c r="I4888" s="25" t="str">
        <f>IF(OR(E4888="",E4888="!!!",F4888="NEW"),"",INDEX(B4887:B$2,-1+SUMPRODUCT(MAX(ROW(E4887:E$2)*(E4888=E4887:E$2)))))</f>
        <v> </v>
      </c>
      <c r="J4888" s="25" t="str">
        <f>IF(OR(E4888="",E4888="!!!",F4888="NEW"),"",COUNTBLANK(OFFSET(A$1,,,SUMPRODUCT(MAX(ROW(E$2:E4888)*(E4888=E$2:E4888)))))-COUNTBLANK(OFFSET(A$1,,,SUMPRODUCT(MAX(ROW(E$1:E4887)*(E2=E$1:E4887))))))</f>
        <v> </v>
      </c>
      <c r="K4888" s="25" t="str">
        <f>IF(OR(E4888="",E4888="!!!",F4888="NEW"),"",INDEX(J$1:J4887,SUMPRODUCT(MAX(ROW(E$1:E4887)*(E4888=E$1:E4887)))))</f>
        <v> </v>
      </c>
      <c r="L4888" s="26"/>
    </row>
    <row r="4889" spans="1:12">
      <c r="A4889" s="20" t="s">
        <v>2966</v>
      </c>
      <c r="E4889" s="21">
        <f>IF(D4889="?OLD","!!!","")</f>
        <v/>
      </c>
      <c r="F4889" s="22" t="str">
        <f>IF(OR(E4889="",E4889="!!!"),"",IF(NOT(ISNA(VLOOKUP(E4889,E$1:E4888,1,FALSE()))),"OLD",IF(AND(E4889&lt;&gt;"",E4889&lt;&gt;"!!!"),"NEW","")))</f>
        <v> </v>
      </c>
      <c r="G4889" s="23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4" t="str">
        <f>IF(J4889&lt;&gt;1,"",IF(I4889="SBJ","CB","?"))</f>
        <v> </v>
      </c>
      <c r="I4889" s="25" t="str">
        <f>IF(OR(E4889="",E4889="!!!",F4889="NEW"),"",INDEX(B4888:B$2,-1+SUMPRODUCT(MAX(ROW(E4888:E$2)*(E4889=E4888:E$2)))))</f>
        <v> </v>
      </c>
      <c r="J4889" s="25" t="str">
        <f>IF(OR(E4889="",E4889="!!!",F4889="NEW"),"",COUNTBLANK(OFFSET(A$1,,,SUMPRODUCT(MAX(ROW(E$2:E4889)*(E4889=E$2:E4889)))))-COUNTBLANK(OFFSET(A$1,,,SUMPRODUCT(MAX(ROW(E$1:E4888)*(E2=E$1:E4888))))))</f>
        <v> </v>
      </c>
      <c r="K4889" s="25" t="str">
        <f>IF(OR(E4889="",E4889="!!!",F4889="NEW"),"",INDEX(J$1:J4888,SUMPRODUCT(MAX(ROW(E$1:E4888)*(E4889=E$1:E4888)))))</f>
        <v> </v>
      </c>
      <c r="L4889" s="26"/>
    </row>
    <row r="4890" spans="1:12">
      <c r="A4890" s="20" t="s">
        <v>2979</v>
      </c>
      <c r="E4890" s="21">
        <f>IF(D4890="?OLD","!!!","")</f>
        <v/>
      </c>
      <c r="F4890" s="22" t="str">
        <f>IF(OR(E4890="",E4890="!!!"),"",IF(NOT(ISNA(VLOOKUP(E4890,E$1:E4889,1,FALSE()))),"OLD",IF(AND(E4890&lt;&gt;"",E4890&lt;&gt;"!!!"),"NEW","")))</f>
        <v> </v>
      </c>
      <c r="G4890" s="23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4" t="str">
        <f>IF(J4890&lt;&gt;1,"",IF(I4890="SBJ","CB","?"))</f>
        <v> </v>
      </c>
      <c r="I4890" s="25" t="str">
        <f>IF(OR(E4890="",E4890="!!!",F4890="NEW"),"",INDEX(B4889:B$2,-1+SUMPRODUCT(MAX(ROW(E4889:E$2)*(E4890=E4889:E$2)))))</f>
        <v> </v>
      </c>
      <c r="J4890" s="25" t="str">
        <f>IF(OR(E4890="",E4890="!!!",F4890="NEW"),"",COUNTBLANK(OFFSET(A$1,,,SUMPRODUCT(MAX(ROW(E$2:E4890)*(E4890=E$2:E4890)))))-COUNTBLANK(OFFSET(A$1,,,SUMPRODUCT(MAX(ROW(E$1:E4889)*(E2=E$1:E4889))))))</f>
        <v> </v>
      </c>
      <c r="K4890" s="25" t="str">
        <f>IF(OR(E4890="",E4890="!!!",F4890="NEW"),"",INDEX(J$1:J4889,SUMPRODUCT(MAX(ROW(E$1:E4889)*(E4890=E$1:E4889)))))</f>
        <v> </v>
      </c>
      <c r="L4890" s="26"/>
    </row>
    <row r="4891" spans="1:12">
      <c r="A4891" s="20" t="s">
        <v>1081</v>
      </c>
      <c r="B4891" s="27" t="s">
        <v>1082</v>
      </c>
      <c r="E4891" s="21">
        <f>IF(D4891="?OLD","!!!","")</f>
        <v/>
      </c>
      <c r="F4891" s="22" t="str">
        <f>IF(OR(E4891="",E4891="!!!"),"",IF(NOT(ISNA(VLOOKUP(E4891,E$1:E4890,1,FALSE()))),"OLD",IF(AND(E4891&lt;&gt;"",E4891&lt;&gt;"!!!"),"NEW","")))</f>
        <v> </v>
      </c>
      <c r="G4891" s="23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4" t="str">
        <f>IF(J4891&lt;&gt;1,"",IF(I4891="SBJ","CB","?"))</f>
        <v> </v>
      </c>
      <c r="I4891" s="25" t="str">
        <f>IF(OR(E4891="",E4891="!!!",F4891="NEW"),"",INDEX(B4890:B$2,-1+SUMPRODUCT(MAX(ROW(E4890:E$2)*(E4891=E4890:E$2)))))</f>
        <v> </v>
      </c>
      <c r="J4891" s="25" t="str">
        <f>IF(OR(E4891="",E4891="!!!",F4891="NEW"),"",COUNTBLANK(OFFSET(A$1,,,SUMPRODUCT(MAX(ROW(E$2:E4891)*(E4891=E$2:E4891)))))-COUNTBLANK(OFFSET(A$1,,,SUMPRODUCT(MAX(ROW(E$1:E4890)*(E2=E$1:E4890))))))</f>
        <v> </v>
      </c>
      <c r="K4891" s="25" t="str">
        <f>IF(OR(E4891="",E4891="!!!",F4891="NEW"),"",INDEX(J$1:J4890,SUMPRODUCT(MAX(ROW(E$1:E4890)*(E4891=E$1:E4890)))))</f>
        <v> </v>
      </c>
      <c r="L4891" s="26"/>
    </row>
    <row r="4892" spans="1:12">
      <c r="A4892" s="20" t="s">
        <v>1041</v>
      </c>
      <c r="E4892" s="21">
        <f>IF(D4892="?OLD","!!!","")</f>
        <v/>
      </c>
      <c r="F4892" s="22" t="str">
        <f>IF(OR(E4892="",E4892="!!!"),"",IF(NOT(ISNA(VLOOKUP(E4892,E$1:E4891,1,FALSE()))),"OLD",IF(AND(E4892&lt;&gt;"",E4892&lt;&gt;"!!!"),"NEW","")))</f>
        <v> </v>
      </c>
      <c r="G4892" s="23" t="str">
        <f>IF(OR(E4892="",E4892="!!!"),"",IF(OR(J4892=0,AND(J4892=1,K4892=1),AND(J4892=1,I4892="SBJ"),AND(J4892=1,I4892=0)),"?IN_FOCUS",IF(J4892&lt;=2,"?ACTIVATED",IF(J4892&lt;&gt;"","?FAMILIAR",IF(F4892="NEW",IF(ISNA(VLOOKUP(E4892,#REF!,1,FALSE())),"?TYPE_IDENTIFIABLE","?REFERENTIAL"),"_")))))</f>
        <v> </v>
      </c>
      <c r="H4892" s="24" t="str">
        <f>IF(J4892&lt;&gt;1,"",IF(I4892="SBJ","CB","?"))</f>
        <v> </v>
      </c>
      <c r="I4892" s="25" t="str">
        <f>IF(OR(E4892="",E4892="!!!",F4892="NEW"),"",INDEX(B4891:B$2,-1+SUMPRODUCT(MAX(ROW(E4891:E$2)*(E4892=E4891:E$2)))))</f>
        <v> </v>
      </c>
      <c r="J4892" s="25" t="str">
        <f>IF(OR(E4892="",E4892="!!!",F4892="NEW"),"",COUNTBLANK(OFFSET(A$1,,,SUMPRODUCT(MAX(ROW(E$2:E4892)*(E4892=E$2:E4892)))))-COUNTBLANK(OFFSET(A$1,,,SUMPRODUCT(MAX(ROW(E$1:E4891)*(E2=E$1:E4891))))))</f>
        <v> </v>
      </c>
      <c r="K4892" s="25" t="str">
        <f>IF(OR(E4892="",E4892="!!!",F4892="NEW"),"",INDEX(J$1:J4891,SUMPRODUCT(MAX(ROW(E$1:E4891)*(E4892=E$1:E4891)))))</f>
        <v> </v>
      </c>
      <c r="L4892" s="26"/>
    </row>
    <row r="4893" spans="1:12">
      <c r="A4893" s="20" t="s">
        <v>21</v>
      </c>
      <c r="E4893" s="21">
        <f>IF(D4893="?OLD","!!!","")</f>
        <v/>
      </c>
      <c r="F4893" s="22" t="str">
        <f>IF(OR(E4893="",E4893="!!!"),"",IF(NOT(ISNA(VLOOKUP(E4893,E$1:E4892,1,FALSE()))),"OLD",IF(AND(E4893&lt;&gt;"",E4893&lt;&gt;"!!!"),"NEW","")))</f>
        <v> </v>
      </c>
      <c r="G4893" s="23" t="str">
        <f>IF(OR(E4893="",E4893="!!!"),"",IF(OR(J4893=0,AND(J4893=1,K4893=1),AND(J4893=1,I4893="SBJ"),AND(J4893=1,I4893=0)),"?IN_FOCUS",IF(J4893&lt;=2,"?ACTIVATED",IF(J4893&lt;&gt;"","?FAMILIAR",IF(F4893="NEW",IF(ISNA(VLOOKUP(E4893,#REF!,1,FALSE())),"?TYPE_IDENTIFIABLE","?REFERENTIAL"),"_")))))</f>
        <v> </v>
      </c>
      <c r="H4893" s="24" t="str">
        <f>IF(J4893&lt;&gt;1,"",IF(I4893="SBJ","CB","?"))</f>
        <v> </v>
      </c>
      <c r="I4893" s="25" t="str">
        <f>IF(OR(E4893="",E4893="!!!",F4893="NEW"),"",INDEX(B4892:B$2,-1+SUMPRODUCT(MAX(ROW(E4892:E$2)*(E4893=E4892:E$2)))))</f>
        <v> </v>
      </c>
      <c r="J4893" s="25" t="str">
        <f>IF(OR(E4893="",E4893="!!!",F4893="NEW"),"",COUNTBLANK(OFFSET(A$1,,,SUMPRODUCT(MAX(ROW(E$2:E4893)*(E4893=E$2:E4893)))))-COUNTBLANK(OFFSET(A$1,,,SUMPRODUCT(MAX(ROW(E$1:E4892)*(E2=E$1:E4892))))))</f>
        <v> </v>
      </c>
      <c r="K4893" s="25" t="str">
        <f>IF(OR(E4893="",E4893="!!!",F4893="NEW"),"",INDEX(J$1:J4892,SUMPRODUCT(MAX(ROW(E$1:E4892)*(E4893=E$1:E4892)))))</f>
        <v> </v>
      </c>
      <c r="L4893" s="26"/>
    </row>
    <row r="4894" spans="1:12">
      <c r="A4894" s="20" t="s">
        <v>2980</v>
      </c>
      <c r="B4894" s="27" t="s">
        <v>1024</v>
      </c>
      <c r="E4894" s="21">
        <f>IF(D4894="?OLD","!!!","")</f>
        <v/>
      </c>
      <c r="F4894" s="22" t="str">
        <f>IF(OR(E4894="",E4894="!!!"),"",IF(NOT(ISNA(VLOOKUP(E4894,E$1:E4893,1,FALSE()))),"OLD",IF(AND(E4894&lt;&gt;"",E4894&lt;&gt;"!!!"),"NEW","")))</f>
        <v> </v>
      </c>
      <c r="G4894" s="23" t="str">
        <f>IF(OR(E4894="",E4894="!!!"),"",IF(OR(J4894=0,AND(J4894=1,K4894=1),AND(J4894=1,I4894="SBJ"),AND(J4894=1,I4894=0)),"?IN_FOCUS",IF(J4894&lt;=2,"?ACTIVATED",IF(J4894&lt;&gt;"","?FAMILIAR",IF(F4894="NEW",IF(ISNA(VLOOKUP(E4894,#REF!,1,FALSE())),"?TYPE_IDENTIFIABLE","?REFERENTIAL"),"_")))))</f>
        <v> </v>
      </c>
      <c r="H4894" s="24" t="str">
        <f>IF(J4894&lt;&gt;1,"",IF(I4894="SBJ","CB","?"))</f>
        <v> </v>
      </c>
      <c r="I4894" s="25" t="str">
        <f>IF(OR(E4894="",E4894="!!!",F4894="NEW"),"",INDEX(B4893:B$2,-1+SUMPRODUCT(MAX(ROW(E4893:E$2)*(E4894=E4893:E$2)))))</f>
        <v> </v>
      </c>
      <c r="J4894" s="25" t="str">
        <f>IF(OR(E4894="",E4894="!!!",F4894="NEW"),"",COUNTBLANK(OFFSET(A$1,,,SUMPRODUCT(MAX(ROW(E$2:E4894)*(E4894=E$2:E4894)))))-COUNTBLANK(OFFSET(A$1,,,SUMPRODUCT(MAX(ROW(E$1:E4893)*(E2=E$1:E4893))))))</f>
        <v> </v>
      </c>
      <c r="K4894" s="25" t="str">
        <f>IF(OR(E4894="",E4894="!!!",F4894="NEW"),"",INDEX(J$1:J4893,SUMPRODUCT(MAX(ROW(E$1:E4893)*(E4894=E$1:E4893)))))</f>
        <v> </v>
      </c>
      <c r="L4894" s="26"/>
    </row>
    <row r="4895" spans="1:12">
      <c r="A4895" s="20" t="s">
        <v>2708</v>
      </c>
      <c r="E4895" s="21">
        <f>IF(D4895="?OLD","!!!","")</f>
        <v/>
      </c>
      <c r="F4895" s="22" t="str">
        <f>IF(OR(E4895="",E4895="!!!"),"",IF(NOT(ISNA(VLOOKUP(E4895,E$1:E4894,1,FALSE()))),"OLD",IF(AND(E4895&lt;&gt;"",E4895&lt;&gt;"!!!"),"NEW","")))</f>
        <v> </v>
      </c>
      <c r="G4895" s="23" t="str">
        <f>IF(OR(E4895="",E4895="!!!"),"",IF(OR(J4895=0,AND(J4895=1,K4895=1),AND(J4895=1,I4895="SBJ"),AND(J4895=1,I4895=0)),"?IN_FOCUS",IF(J4895&lt;=2,"?ACTIVATED",IF(J4895&lt;&gt;"","?FAMILIAR",IF(F4895="NEW",IF(ISNA(VLOOKUP(E4895,#REF!,1,FALSE())),"?TYPE_IDENTIFIABLE","?REFERENTIAL"),"_")))))</f>
        <v> </v>
      </c>
      <c r="H4895" s="24" t="str">
        <f>IF(J4895&lt;&gt;1,"",IF(I4895="SBJ","CB","?"))</f>
        <v> </v>
      </c>
      <c r="I4895" s="25" t="str">
        <f>IF(OR(E4895="",E4895="!!!",F4895="NEW"),"",INDEX(B4894:B$2,-1+SUMPRODUCT(MAX(ROW(E4894:E$2)*(E4895=E4894:E$2)))))</f>
        <v> </v>
      </c>
      <c r="J4895" s="25" t="str">
        <f>IF(OR(E4895="",E4895="!!!",F4895="NEW"),"",COUNTBLANK(OFFSET(A$1,,,SUMPRODUCT(MAX(ROW(E$2:E4895)*(E4895=E$2:E4895)))))-COUNTBLANK(OFFSET(A$1,,,SUMPRODUCT(MAX(ROW(E$1:E4894)*(E2=E$1:E4894))))))</f>
        <v> </v>
      </c>
      <c r="K4895" s="25" t="str">
        <f>IF(OR(E4895="",E4895="!!!",F4895="NEW"),"",INDEX(J$1:J4894,SUMPRODUCT(MAX(ROW(E$1:E4894)*(E4895=E$1:E4894)))))</f>
        <v> </v>
      </c>
      <c r="L4895" s="26"/>
    </row>
    <row r="4896" spans="1:12">
      <c r="A4896" s="20" t="s">
        <v>2482</v>
      </c>
      <c r="B4896" s="27" t="s">
        <v>1150</v>
      </c>
      <c r="E4896" s="21">
        <f>IF(D4896="?OLD","!!!","")</f>
        <v/>
      </c>
      <c r="F4896" s="22" t="str">
        <f>IF(OR(E4896="",E4896="!!!"),"",IF(NOT(ISNA(VLOOKUP(E4896,E$1:E4895,1,FALSE()))),"OLD",IF(AND(E4896&lt;&gt;"",E4896&lt;&gt;"!!!"),"NEW","")))</f>
        <v> </v>
      </c>
      <c r="G4896" s="23" t="str">
        <f>IF(OR(E4896="",E4896="!!!"),"",IF(OR(J4896=0,AND(J4896=1,K4896=1),AND(J4896=1,I4896="SBJ"),AND(J4896=1,I4896=0)),"?IN_FOCUS",IF(J4896&lt;=2,"?ACTIVATED",IF(J4896&lt;&gt;"","?FAMILIAR",IF(F4896="NEW",IF(ISNA(VLOOKUP(E4896,#REF!,1,FALSE())),"?TYPE_IDENTIFIABLE","?REFERENTIAL"),"_")))))</f>
        <v> </v>
      </c>
      <c r="H4896" s="24" t="str">
        <f>IF(J4896&lt;&gt;1,"",IF(I4896="SBJ","CB","?"))</f>
        <v> </v>
      </c>
      <c r="I4896" s="25" t="str">
        <f>IF(OR(E4896="",E4896="!!!",F4896="NEW"),"",INDEX(B4895:B$2,-1+SUMPRODUCT(MAX(ROW(E4895:E$2)*(E4896=E4895:E$2)))))</f>
        <v> </v>
      </c>
      <c r="J4896" s="25" t="str">
        <f>IF(OR(E4896="",E4896="!!!",F4896="NEW"),"",COUNTBLANK(OFFSET(A$1,,,SUMPRODUCT(MAX(ROW(E$2:E4896)*(E4896=E$2:E4896)))))-COUNTBLANK(OFFSET(A$1,,,SUMPRODUCT(MAX(ROW(E$1:E4895)*(E2=E$1:E4895))))))</f>
        <v> </v>
      </c>
      <c r="K4896" s="25" t="str">
        <f>IF(OR(E4896="",E4896="!!!",F4896="NEW"),"",INDEX(J$1:J4895,SUMPRODUCT(MAX(ROW(E$1:E4895)*(E4896=E$1:E4895)))))</f>
        <v> </v>
      </c>
      <c r="L4896" s="26"/>
    </row>
    <row r="4897" spans="1:12">
      <c r="A4897" s="20" t="s">
        <v>1035</v>
      </c>
      <c r="B4897" s="27" t="s">
        <v>1150</v>
      </c>
      <c r="C4897" s="27" t="s">
        <v>1036</v>
      </c>
      <c r="D4897" s="27" t="s">
        <v>1026</v>
      </c>
      <c r="E4897" s="21">
        <f>IF(D4897="?OLD","!!!","")</f>
        <v/>
      </c>
      <c r="F4897" s="22" t="str">
        <f>IF(OR(E4897="",E4897="!!!"),"",IF(NOT(ISNA(VLOOKUP(E4897,E$1:E4896,1,FALSE()))),"OLD",IF(AND(E4897&lt;&gt;"",E4897&lt;&gt;"!!!"),"NEW","")))</f>
        <v> </v>
      </c>
      <c r="G4897" s="23" t="str">
        <f>IF(OR(E4897="",E4897="!!!"),"",IF(OR(J4897=0,AND(J4897=1,K4897=1),AND(J4897=1,I4897="SBJ"),AND(J4897=1,I4897=0)),"?IN_FOCUS",IF(J4897&lt;=2,"?ACTIVATED",IF(J4897&lt;&gt;"","?FAMILIAR",IF(F4897="NEW",IF(ISNA(VLOOKUP(E4897,#REF!,1,FALSE())),"?TYPE_IDENTIFIABLE","?REFERENTIAL"),"_")))))</f>
        <v> </v>
      </c>
      <c r="H4897" s="24" t="str">
        <f>IF(J4897&lt;&gt;1,"",IF(I4897="SBJ","CB","?"))</f>
        <v> </v>
      </c>
      <c r="I4897" s="25" t="str">
        <f>IF(OR(E4897="",E4897="!!!",F4897="NEW"),"",INDEX(B4896:B$2,-1+SUMPRODUCT(MAX(ROW(E4896:E$2)*(E4897=E4896:E$2)))))</f>
        <v> </v>
      </c>
      <c r="J4897" s="25" t="str">
        <f>IF(OR(E4897="",E4897="!!!",F4897="NEW"),"",COUNTBLANK(OFFSET(A$1,,,SUMPRODUCT(MAX(ROW(E$2:E4897)*(E4897=E$2:E4897)))))-COUNTBLANK(OFFSET(A$1,,,SUMPRODUCT(MAX(ROW(E$1:E4896)*(E2=E$1:E4896))))))</f>
        <v> </v>
      </c>
      <c r="K4897" s="25" t="str">
        <f>IF(OR(E4897="",E4897="!!!",F4897="NEW"),"",INDEX(J$1:J4896,SUMPRODUCT(MAX(ROW(E$1:E4896)*(E4897=E$1:E4896)))))</f>
        <v> </v>
      </c>
      <c r="L4897" s="26"/>
    </row>
    <row r="4898" spans="1:12">
      <c r="A4898" s="20" t="s">
        <v>2981</v>
      </c>
      <c r="E4898" s="21">
        <f>IF(D4898="?OLD","!!!","")</f>
        <v/>
      </c>
      <c r="F4898" s="22" t="str">
        <f>IF(OR(E4898="",E4898="!!!"),"",IF(NOT(ISNA(VLOOKUP(E4898,E$1:E4897,1,FALSE()))),"OLD",IF(AND(E4898&lt;&gt;"",E4898&lt;&gt;"!!!"),"NEW","")))</f>
        <v> </v>
      </c>
      <c r="G4898" s="23" t="str">
        <f>IF(OR(E4898="",E4898="!!!"),"",IF(OR(J4898=0,AND(J4898=1,K4898=1),AND(J4898=1,I4898="SBJ"),AND(J4898=1,I4898=0)),"?IN_FOCUS",IF(J4898&lt;=2,"?ACTIVATED",IF(J4898&lt;&gt;"","?FAMILIAR",IF(F4898="NEW",IF(ISNA(VLOOKUP(E4898,#REF!,1,FALSE())),"?TYPE_IDENTIFIABLE","?REFERENTIAL"),"_")))))</f>
        <v> </v>
      </c>
      <c r="H4898" s="24" t="str">
        <f>IF(J4898&lt;&gt;1,"",IF(I4898="SBJ","CB","?"))</f>
        <v> </v>
      </c>
      <c r="I4898" s="25" t="str">
        <f>IF(OR(E4898="",E4898="!!!",F4898="NEW"),"",INDEX(B4897:B$2,-1+SUMPRODUCT(MAX(ROW(E4897:E$2)*(E4898=E4897:E$2)))))</f>
        <v> </v>
      </c>
      <c r="J4898" s="25" t="str">
        <f>IF(OR(E4898="",E4898="!!!",F4898="NEW"),"",COUNTBLANK(OFFSET(A$1,,,SUMPRODUCT(MAX(ROW(E$2:E4898)*(E4898=E$2:E4898)))))-COUNTBLANK(OFFSET(A$1,,,SUMPRODUCT(MAX(ROW(E$1:E4897)*(E2=E$1:E4897))))))</f>
        <v> </v>
      </c>
      <c r="K4898" s="25" t="str">
        <f>IF(OR(E4898="",E4898="!!!",F4898="NEW"),"",INDEX(J$1:J4897,SUMPRODUCT(MAX(ROW(E$1:E4897)*(E4898=E$1:E4897)))))</f>
        <v> </v>
      </c>
      <c r="L4898" s="26"/>
    </row>
    <row r="4899" spans="1:12">
      <c r="A4899" s="20" t="s">
        <v>1032</v>
      </c>
      <c r="E4899" s="21">
        <f>IF(D4899="?OLD","!!!","")</f>
        <v/>
      </c>
      <c r="F4899" s="22" t="str">
        <f>IF(OR(E4899="",E4899="!!!"),"",IF(NOT(ISNA(VLOOKUP(E4899,E$1:E4898,1,FALSE()))),"OLD",IF(AND(E4899&lt;&gt;"",E4899&lt;&gt;"!!!"),"NEW","")))</f>
        <v> </v>
      </c>
      <c r="G4899" s="23" t="str">
        <f>IF(OR(E4899="",E4899="!!!"),"",IF(OR(J4899=0,AND(J4899=1,K4899=1),AND(J4899=1,I4899="SBJ"),AND(J4899=1,I4899=0)),"?IN_FOCUS",IF(J4899&lt;=2,"?ACTIVATED",IF(J4899&lt;&gt;"","?FAMILIAR",IF(F4899="NEW",IF(ISNA(VLOOKUP(E4899,#REF!,1,FALSE())),"?TYPE_IDENTIFIABLE","?REFERENTIAL"),"_")))))</f>
        <v> </v>
      </c>
      <c r="H4899" s="24" t="str">
        <f>IF(J4899&lt;&gt;1,"",IF(I4899="SBJ","CB","?"))</f>
        <v> </v>
      </c>
      <c r="I4899" s="25" t="str">
        <f>IF(OR(E4899="",E4899="!!!",F4899="NEW"),"",INDEX(B4898:B$2,-1+SUMPRODUCT(MAX(ROW(E4898:E$2)*(E4899=E4898:E$2)))))</f>
        <v> </v>
      </c>
      <c r="J4899" s="25" t="str">
        <f>IF(OR(E4899="",E4899="!!!",F4899="NEW"),"",COUNTBLANK(OFFSET(A$1,,,SUMPRODUCT(MAX(ROW(E$2:E4899)*(E4899=E$2:E4899)))))-COUNTBLANK(OFFSET(A$1,,,SUMPRODUCT(MAX(ROW(E$1:E4898)*(E2=E$1:E4898))))))</f>
        <v> </v>
      </c>
      <c r="K4899" s="25" t="str">
        <f>IF(OR(E4899="",E4899="!!!",F4899="NEW"),"",INDEX(J$1:J4898,SUMPRODUCT(MAX(ROW(E$1:E4898)*(E4899=E$1:E4898)))))</f>
        <v> </v>
      </c>
      <c r="L4899" s="26"/>
    </row>
    <row r="4900" spans="1:12">
      <c r="A4900" s="20"/>
    </row>
    <row r="4901" spans="1:12">
      <c r="A4901" s="20" t="s">
        <v>2982</v>
      </c>
    </row>
    <row r="4902" spans="1:12">
      <c r="A4902" s="20" t="s">
        <v>2983</v>
      </c>
      <c r="E4902" s="21">
        <f>IF(D4902="?OLD","!!!","")</f>
        <v/>
      </c>
      <c r="F4902" s="22" t="str">
        <f>IF(OR(E4902="",E4902="!!!"),"",IF(NOT(ISNA(VLOOKUP(E4902,E$1:E4901,1,FALSE()))),"OLD",IF(AND(E4902&lt;&gt;"",E4902&lt;&gt;"!!!"),"NEW","")))</f>
        <v> </v>
      </c>
      <c r="G4902" s="23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4" t="str">
        <f>IF(J4902&lt;&gt;1,"",IF(I4902="SBJ","CB","?"))</f>
        <v> </v>
      </c>
      <c r="I4902" s="25" t="str">
        <f>IF(OR(E4902="",E4902="!!!",F4902="NEW"),"",INDEX(B4901:B$2,-1+SUMPRODUCT(MAX(ROW(E4901:E$2)*(E4902=E4901:E$2)))))</f>
        <v> </v>
      </c>
      <c r="J4902" s="25" t="str">
        <f>IF(OR(E4902="",E4902="!!!",F4902="NEW"),"",COUNTBLANK(OFFSET(A$1,,,SUMPRODUCT(MAX(ROW(E$2:E4902)*(E4902=E$2:E4902)))))-COUNTBLANK(OFFSET(A$1,,,SUMPRODUCT(MAX(ROW(E$1:E4901)*(E2=E$1:E4901))))))</f>
        <v> </v>
      </c>
      <c r="K4902" s="25" t="str">
        <f>IF(OR(E4902="",E4902="!!!",F4902="NEW"),"",INDEX(J$1:J4901,SUMPRODUCT(MAX(ROW(E$1:E4901)*(E4902=E$1:E4901)))))</f>
        <v> </v>
      </c>
      <c r="L4902" s="26"/>
    </row>
    <row r="4903" spans="1:12">
      <c r="A4903" s="20" t="s">
        <v>1041</v>
      </c>
      <c r="E4903" s="21">
        <f>IF(D4903="?OLD","!!!","")</f>
        <v/>
      </c>
      <c r="F4903" s="22" t="str">
        <f>IF(OR(E4903="",E4903="!!!"),"",IF(NOT(ISNA(VLOOKUP(E4903,E$1:E4902,1,FALSE()))),"OLD",IF(AND(E4903&lt;&gt;"",E4903&lt;&gt;"!!!"),"NEW","")))</f>
        <v> </v>
      </c>
      <c r="G4903" s="23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4" t="str">
        <f>IF(J4903&lt;&gt;1,"",IF(I4903="SBJ","CB","?"))</f>
        <v> </v>
      </c>
      <c r="I4903" s="25" t="str">
        <f>IF(OR(E4903="",E4903="!!!",F4903="NEW"),"",INDEX(B4902:B$2,-1+SUMPRODUCT(MAX(ROW(E4902:E$2)*(E4903=E4902:E$2)))))</f>
        <v> </v>
      </c>
      <c r="J4903" s="25" t="str">
        <f>IF(OR(E4903="",E4903="!!!",F4903="NEW"),"",COUNTBLANK(OFFSET(A$1,,,SUMPRODUCT(MAX(ROW(E$2:E4903)*(E4903=E$2:E4903)))))-COUNTBLANK(OFFSET(A$1,,,SUMPRODUCT(MAX(ROW(E$1:E4902)*(E2=E$1:E4902))))))</f>
        <v> </v>
      </c>
      <c r="K4903" s="25" t="str">
        <f>IF(OR(E4903="",E4903="!!!",F4903="NEW"),"",INDEX(J$1:J4902,SUMPRODUCT(MAX(ROW(E$1:E4902)*(E4903=E$1:E4902)))))</f>
        <v> </v>
      </c>
      <c r="L4903" s="26"/>
    </row>
    <row r="4904" spans="1:12">
      <c r="A4904" s="20" t="s">
        <v>201</v>
      </c>
      <c r="E4904" s="21">
        <f>IF(D4904="?OLD","!!!","")</f>
        <v/>
      </c>
      <c r="F4904" s="22" t="str">
        <f>IF(OR(E4904="",E4904="!!!"),"",IF(NOT(ISNA(VLOOKUP(E4904,E$1:E4903,1,FALSE()))),"OLD",IF(AND(E4904&lt;&gt;"",E4904&lt;&gt;"!!!"),"NEW","")))</f>
        <v> </v>
      </c>
      <c r="G4904" s="23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4" t="str">
        <f>IF(J4904&lt;&gt;1,"",IF(I4904="SBJ","CB","?"))</f>
        <v> </v>
      </c>
      <c r="I4904" s="25" t="str">
        <f>IF(OR(E4904="",E4904="!!!",F4904="NEW"),"",INDEX(B4903:B$2,-1+SUMPRODUCT(MAX(ROW(E4903:E$2)*(E4904=E4903:E$2)))))</f>
        <v> </v>
      </c>
      <c r="J4904" s="25" t="str">
        <f>IF(OR(E4904="",E4904="!!!",F4904="NEW"),"",COUNTBLANK(OFFSET(A$1,,,SUMPRODUCT(MAX(ROW(E$2:E4904)*(E4904=E$2:E4904)))))-COUNTBLANK(OFFSET(A$1,,,SUMPRODUCT(MAX(ROW(E$1:E4903)*(E2=E$1:E4903))))))</f>
        <v> </v>
      </c>
      <c r="K4904" s="25" t="str">
        <f>IF(OR(E4904="",E4904="!!!",F4904="NEW"),"",INDEX(J$1:J4903,SUMPRODUCT(MAX(ROW(E$1:E4903)*(E4904=E$1:E4903)))))</f>
        <v> </v>
      </c>
      <c r="L4904" s="26"/>
    </row>
    <row r="4905" spans="1:12">
      <c r="A4905" s="20" t="s">
        <v>1418</v>
      </c>
      <c r="B4905" s="27" t="s">
        <v>1082</v>
      </c>
      <c r="E4905" s="21">
        <f>IF(D4905="?OLD","!!!","")</f>
        <v/>
      </c>
      <c r="F4905" s="22" t="str">
        <f>IF(OR(E4905="",E4905="!!!"),"",IF(NOT(ISNA(VLOOKUP(E4905,E$1:E4904,1,FALSE()))),"OLD",IF(AND(E4905&lt;&gt;"",E4905&lt;&gt;"!!!"),"NEW","")))</f>
        <v> </v>
      </c>
      <c r="G4905" s="23" t="str">
        <f>IF(OR(E4905="",E4905="!!!"),"",IF(OR(J4905=0,AND(J4905=1,K4905=1),AND(J4905=1,I4905="SBJ"),AND(J4905=1,I4905=0)),"?IN_FOCUS",IF(J4905&lt;=2,"?ACTIVATED",IF(J4905&lt;&gt;"","?FAMILIAR",IF(F4905="NEW",IF(ISNA(VLOOKUP(E4905,#REF!,1,FALSE())),"?TYPE_IDENTIFIABLE","?REFERENTIAL"),"_")))))</f>
        <v> </v>
      </c>
      <c r="H4905" s="24" t="str">
        <f>IF(J4905&lt;&gt;1,"",IF(I4905="SBJ","CB","?"))</f>
        <v> </v>
      </c>
      <c r="I4905" s="25" t="str">
        <f>IF(OR(E4905="",E4905="!!!",F4905="NEW"),"",INDEX(B4904:B$2,-1+SUMPRODUCT(MAX(ROW(E4904:E$2)*(E4905=E4904:E$2)))))</f>
        <v> </v>
      </c>
      <c r="J4905" s="25" t="str">
        <f>IF(OR(E4905="",E4905="!!!",F4905="NEW"),"",COUNTBLANK(OFFSET(A$1,,,SUMPRODUCT(MAX(ROW(E$2:E4905)*(E4905=E$2:E4905)))))-COUNTBLANK(OFFSET(A$1,,,SUMPRODUCT(MAX(ROW(E$1:E4904)*(E2=E$1:E4904))))))</f>
        <v> </v>
      </c>
      <c r="K4905" s="25" t="str">
        <f>IF(OR(E4905="",E4905="!!!",F4905="NEW"),"",INDEX(J$1:J4904,SUMPRODUCT(MAX(ROW(E$1:E4904)*(E4905=E$1:E4904)))))</f>
        <v> </v>
      </c>
      <c r="L4905" s="26"/>
    </row>
    <row r="4906" spans="1:12">
      <c r="A4906" s="20" t="s">
        <v>1050</v>
      </c>
      <c r="E4906" s="21">
        <f>IF(D4906="?OLD","!!!","")</f>
        <v/>
      </c>
      <c r="F4906" s="22" t="str">
        <f>IF(OR(E4906="",E4906="!!!"),"",IF(NOT(ISNA(VLOOKUP(E4906,E$1:E4905,1,FALSE()))),"OLD",IF(AND(E4906&lt;&gt;"",E4906&lt;&gt;"!!!"),"NEW","")))</f>
        <v> </v>
      </c>
      <c r="G4906" s="23" t="str">
        <f>IF(OR(E4906="",E4906="!!!"),"",IF(OR(J4906=0,AND(J4906=1,K4906=1),AND(J4906=1,I4906="SBJ"),AND(J4906=1,I4906=0)),"?IN_FOCUS",IF(J4906&lt;=2,"?ACTIVATED",IF(J4906&lt;&gt;"","?FAMILIAR",IF(F4906="NEW",IF(ISNA(VLOOKUP(E4906,#REF!,1,FALSE())),"?TYPE_IDENTIFIABLE","?REFERENTIAL"),"_")))))</f>
        <v> </v>
      </c>
      <c r="H4906" s="24" t="str">
        <f>IF(J4906&lt;&gt;1,"",IF(I4906="SBJ","CB","?"))</f>
        <v> </v>
      </c>
      <c r="I4906" s="25" t="str">
        <f>IF(OR(E4906="",E4906="!!!",F4906="NEW"),"",INDEX(B4905:B$2,-1+SUMPRODUCT(MAX(ROW(E4905:E$2)*(E4906=E4905:E$2)))))</f>
        <v> </v>
      </c>
      <c r="J4906" s="25" t="str">
        <f>IF(OR(E4906="",E4906="!!!",F4906="NEW"),"",COUNTBLANK(OFFSET(A$1,,,SUMPRODUCT(MAX(ROW(E$2:E4906)*(E4906=E$2:E4906)))))-COUNTBLANK(OFFSET(A$1,,,SUMPRODUCT(MAX(ROW(E$1:E4905)*(E2=E$1:E4905))))))</f>
        <v> </v>
      </c>
      <c r="K4906" s="25" t="str">
        <f>IF(OR(E4906="",E4906="!!!",F4906="NEW"),"",INDEX(J$1:J4905,SUMPRODUCT(MAX(ROW(E$1:E4905)*(E4906=E$1:E4905)))))</f>
        <v> </v>
      </c>
      <c r="L4906" s="26"/>
    </row>
    <row r="4907" spans="1:12">
      <c r="A4907" s="20" t="s">
        <v>1395</v>
      </c>
      <c r="E4907" s="21">
        <f>IF(D4907="?OLD","!!!","")</f>
        <v/>
      </c>
      <c r="F4907" s="22" t="str">
        <f>IF(OR(E4907="",E4907="!!!"),"",IF(NOT(ISNA(VLOOKUP(E4907,E$1:E4906,1,FALSE()))),"OLD",IF(AND(E4907&lt;&gt;"",E4907&lt;&gt;"!!!"),"NEW","")))</f>
        <v> </v>
      </c>
      <c r="G4907" s="23" t="str">
        <f>IF(OR(E4907="",E4907="!!!"),"",IF(OR(J4907=0,AND(J4907=1,K4907=1),AND(J4907=1,I4907="SBJ"),AND(J4907=1,I4907=0)),"?IN_FOCUS",IF(J4907&lt;=2,"?ACTIVATED",IF(J4907&lt;&gt;"","?FAMILIAR",IF(F4907="NEW",IF(ISNA(VLOOKUP(E4907,#REF!,1,FALSE())),"?TYPE_IDENTIFIABLE","?REFERENTIAL"),"_")))))</f>
        <v> </v>
      </c>
      <c r="H4907" s="24" t="str">
        <f>IF(J4907&lt;&gt;1,"",IF(I4907="SBJ","CB","?"))</f>
        <v> </v>
      </c>
      <c r="I4907" s="25" t="str">
        <f>IF(OR(E4907="",E4907="!!!",F4907="NEW"),"",INDEX(B4906:B$2,-1+SUMPRODUCT(MAX(ROW(E4906:E$2)*(E4907=E4906:E$2)))))</f>
        <v> </v>
      </c>
      <c r="J4907" s="25" t="str">
        <f>IF(OR(E4907="",E4907="!!!",F4907="NEW"),"",COUNTBLANK(OFFSET(A$1,,,SUMPRODUCT(MAX(ROW(E$2:E4907)*(E4907=E$2:E4907)))))-COUNTBLANK(OFFSET(A$1,,,SUMPRODUCT(MAX(ROW(E$1:E4906)*(E2=E$1:E4906))))))</f>
        <v> </v>
      </c>
      <c r="K4907" s="25" t="str">
        <f>IF(OR(E4907="",E4907="!!!",F4907="NEW"),"",INDEX(J$1:J4906,SUMPRODUCT(MAX(ROW(E$1:E4906)*(E4907=E$1:E4906)))))</f>
        <v> </v>
      </c>
      <c r="L4907" s="26"/>
    </row>
    <row r="4908" spans="1:12">
      <c r="A4908" s="20" t="s">
        <v>1649</v>
      </c>
      <c r="B4908" s="27" t="s">
        <v>1084</v>
      </c>
      <c r="C4908" s="27" t="s">
        <v>1088</v>
      </c>
      <c r="D4908" s="27" t="s">
        <v>1026</v>
      </c>
      <c r="E4908" s="21">
        <f>IF(D4908="?OLD","!!!","")</f>
        <v/>
      </c>
      <c r="F4908" s="22" t="str">
        <f>IF(OR(E4908="",E4908="!!!"),"",IF(NOT(ISNA(VLOOKUP(E4908,E$1:E4907,1,FALSE()))),"OLD",IF(AND(E4908&lt;&gt;"",E4908&lt;&gt;"!!!"),"NEW","")))</f>
        <v> </v>
      </c>
      <c r="G4908" s="23" t="str">
        <f>IF(OR(E4908="",E4908="!!!"),"",IF(OR(J4908=0,AND(J4908=1,K4908=1),AND(J4908=1,I4908="SBJ"),AND(J4908=1,I4908=0)),"?IN_FOCUS",IF(J4908&lt;=2,"?ACTIVATED",IF(J4908&lt;&gt;"","?FAMILIAR",IF(F4908="NEW",IF(ISNA(VLOOKUP(E4908,#REF!,1,FALSE())),"?TYPE_IDENTIFIABLE","?REFERENTIAL"),"_")))))</f>
        <v> </v>
      </c>
      <c r="H4908" s="24" t="str">
        <f>IF(J4908&lt;&gt;1,"",IF(I4908="SBJ","CB","?"))</f>
        <v> </v>
      </c>
      <c r="I4908" s="25" t="str">
        <f>IF(OR(E4908="",E4908="!!!",F4908="NEW"),"",INDEX(B4907:B$2,-1+SUMPRODUCT(MAX(ROW(E4907:E$2)*(E4908=E4907:E$2)))))</f>
        <v> </v>
      </c>
      <c r="J4908" s="25" t="str">
        <f>IF(OR(E4908="",E4908="!!!",F4908="NEW"),"",COUNTBLANK(OFFSET(A$1,,,SUMPRODUCT(MAX(ROW(E$2:E4908)*(E4908=E$2:E4908)))))-COUNTBLANK(OFFSET(A$1,,,SUMPRODUCT(MAX(ROW(E$1:E4907)*(E2=E$1:E4907))))))</f>
        <v> </v>
      </c>
      <c r="K4908" s="25" t="str">
        <f>IF(OR(E4908="",E4908="!!!",F4908="NEW"),"",INDEX(J$1:J4907,SUMPRODUCT(MAX(ROW(E$1:E4907)*(E4908=E$1:E4907)))))</f>
        <v> </v>
      </c>
      <c r="L4908" s="26"/>
    </row>
    <row r="4909" spans="1:12">
      <c r="A4909" s="20" t="s">
        <v>1037</v>
      </c>
      <c r="E4909" s="21">
        <f>IF(D4909="?OLD","!!!","")</f>
        <v/>
      </c>
      <c r="F4909" s="22" t="str">
        <f>IF(OR(E4909="",E4909="!!!"),"",IF(NOT(ISNA(VLOOKUP(E4909,E$1:E4908,1,FALSE()))),"OLD",IF(AND(E4909&lt;&gt;"",E4909&lt;&gt;"!!!"),"NEW","")))</f>
        <v> </v>
      </c>
      <c r="G4909" s="23" t="str">
        <f>IF(OR(E4909="",E4909="!!!"),"",IF(OR(J4909=0,AND(J4909=1,K4909=1),AND(J4909=1,I4909="SBJ"),AND(J4909=1,I4909=0)),"?IN_FOCUS",IF(J4909&lt;=2,"?ACTIVATED",IF(J4909&lt;&gt;"","?FAMILIAR",IF(F4909="NEW",IF(ISNA(VLOOKUP(E4909,#REF!,1,FALSE())),"?TYPE_IDENTIFIABLE","?REFERENTIAL"),"_")))))</f>
        <v> </v>
      </c>
      <c r="H4909" s="24" t="str">
        <f>IF(J4909&lt;&gt;1,"",IF(I4909="SBJ","CB","?"))</f>
        <v> </v>
      </c>
      <c r="I4909" s="25" t="str">
        <f>IF(OR(E4909="",E4909="!!!",F4909="NEW"),"",INDEX(B4908:B$2,-1+SUMPRODUCT(MAX(ROW(E4908:E$2)*(E4909=E4908:E$2)))))</f>
        <v> </v>
      </c>
      <c r="J4909" s="25" t="str">
        <f>IF(OR(E4909="",E4909="!!!",F4909="NEW"),"",COUNTBLANK(OFFSET(A$1,,,SUMPRODUCT(MAX(ROW(E$2:E4909)*(E4909=E$2:E4909)))))-COUNTBLANK(OFFSET(A$1,,,SUMPRODUCT(MAX(ROW(E$1:E4908)*(E2=E$1:E4908))))))</f>
        <v> </v>
      </c>
      <c r="K4909" s="25" t="str">
        <f>IF(OR(E4909="",E4909="!!!",F4909="NEW"),"",INDEX(J$1:J4908,SUMPRODUCT(MAX(ROW(E$1:E4908)*(E4909=E$1:E4908)))))</f>
        <v> </v>
      </c>
      <c r="L4909" s="26"/>
    </row>
    <row r="4910" spans="1:12">
      <c r="A4910" s="20" t="s">
        <v>2984</v>
      </c>
      <c r="E4910" s="21">
        <f>IF(D4910="?OLD","!!!","")</f>
        <v/>
      </c>
      <c r="F4910" s="22" t="str">
        <f>IF(OR(E4910="",E4910="!!!"),"",IF(NOT(ISNA(VLOOKUP(E4910,E$1:E4909,1,FALSE()))),"OLD",IF(AND(E4910&lt;&gt;"",E4910&lt;&gt;"!!!"),"NEW","")))</f>
        <v> </v>
      </c>
      <c r="G4910" s="23" t="str">
        <f>IF(OR(E4910="",E4910="!!!"),"",IF(OR(J4910=0,AND(J4910=1,K4910=1),AND(J4910=1,I4910="SBJ"),AND(J4910=1,I4910=0)),"?IN_FOCUS",IF(J4910&lt;=2,"?ACTIVATED",IF(J4910&lt;&gt;"","?FAMILIAR",IF(F4910="NEW",IF(ISNA(VLOOKUP(E4910,#REF!,1,FALSE())),"?TYPE_IDENTIFIABLE","?REFERENTIAL"),"_")))))</f>
        <v> </v>
      </c>
      <c r="H4910" s="24" t="str">
        <f>IF(J4910&lt;&gt;1,"",IF(I4910="SBJ","CB","?"))</f>
        <v> </v>
      </c>
      <c r="I4910" s="25" t="str">
        <f>IF(OR(E4910="",E4910="!!!",F4910="NEW"),"",INDEX(B4909:B$2,-1+SUMPRODUCT(MAX(ROW(E4909:E$2)*(E4910=E4909:E$2)))))</f>
        <v> </v>
      </c>
      <c r="J4910" s="25" t="str">
        <f>IF(OR(E4910="",E4910="!!!",F4910="NEW"),"",COUNTBLANK(OFFSET(A$1,,,SUMPRODUCT(MAX(ROW(E$2:E4910)*(E4910=E$2:E4910)))))-COUNTBLANK(OFFSET(A$1,,,SUMPRODUCT(MAX(ROW(E$1:E4909)*(E2=E$1:E4909))))))</f>
        <v> </v>
      </c>
      <c r="K4910" s="25" t="str">
        <f>IF(OR(E4910="",E4910="!!!",F4910="NEW"),"",INDEX(J$1:J4909,SUMPRODUCT(MAX(ROW(E$1:E4909)*(E4910=E$1:E4909)))))</f>
        <v> </v>
      </c>
      <c r="L4910" s="26"/>
    </row>
    <row r="4911" spans="1:12">
      <c r="A4911" s="20" t="s">
        <v>1607</v>
      </c>
      <c r="E4911" s="21">
        <f>IF(D4911="?OLD","!!!","")</f>
        <v/>
      </c>
      <c r="F4911" s="22" t="str">
        <f>IF(OR(E4911="",E4911="!!!"),"",IF(NOT(ISNA(VLOOKUP(E4911,E$1:E4910,1,FALSE()))),"OLD",IF(AND(E4911&lt;&gt;"",E4911&lt;&gt;"!!!"),"NEW","")))</f>
        <v> </v>
      </c>
      <c r="G4911" s="23" t="str">
        <f>IF(OR(E4911="",E4911="!!!"),"",IF(OR(J4911=0,AND(J4911=1,K4911=1),AND(J4911=1,I4911="SBJ"),AND(J4911=1,I4911=0)),"?IN_FOCUS",IF(J4911&lt;=2,"?ACTIVATED",IF(J4911&lt;&gt;"","?FAMILIAR",IF(F4911="NEW",IF(ISNA(VLOOKUP(E4911,#REF!,1,FALSE())),"?TYPE_IDENTIFIABLE","?REFERENTIAL"),"_")))))</f>
        <v> </v>
      </c>
      <c r="H4911" s="24" t="str">
        <f>IF(J4911&lt;&gt;1,"",IF(I4911="SBJ","CB","?"))</f>
        <v> </v>
      </c>
      <c r="I4911" s="25" t="str">
        <f>IF(OR(E4911="",E4911="!!!",F4911="NEW"),"",INDEX(B4910:B$2,-1+SUMPRODUCT(MAX(ROW(E4910:E$2)*(E4911=E4910:E$2)))))</f>
        <v> </v>
      </c>
      <c r="J4911" s="25" t="str">
        <f>IF(OR(E4911="",E4911="!!!",F4911="NEW"),"",COUNTBLANK(OFFSET(A$1,,,SUMPRODUCT(MAX(ROW(E$2:E4911)*(E4911=E$2:E4911)))))-COUNTBLANK(OFFSET(A$1,,,SUMPRODUCT(MAX(ROW(E$1:E4910)*(E2=E$1:E4910))))))</f>
        <v> </v>
      </c>
      <c r="K4911" s="25" t="str">
        <f>IF(OR(E4911="",E4911="!!!",F4911="NEW"),"",INDEX(J$1:J4910,SUMPRODUCT(MAX(ROW(E$1:E4910)*(E4911=E$1:E4910)))))</f>
        <v> </v>
      </c>
      <c r="L4911" s="26"/>
    </row>
    <row r="4912" spans="1:12">
      <c r="A4912" s="20" t="s">
        <v>1144</v>
      </c>
      <c r="E4912" s="21">
        <f>IF(D4912="?OLD","!!!","")</f>
        <v/>
      </c>
      <c r="F4912" s="22" t="str">
        <f>IF(OR(E4912="",E4912="!!!"),"",IF(NOT(ISNA(VLOOKUP(E4912,E$1:E4911,1,FALSE()))),"OLD",IF(AND(E4912&lt;&gt;"",E4912&lt;&gt;"!!!"),"NEW","")))</f>
        <v> </v>
      </c>
      <c r="G4912" s="23" t="str">
        <f>IF(OR(E4912="",E4912="!!!"),"",IF(OR(J4912=0,AND(J4912=1,K4912=1),AND(J4912=1,I4912="SBJ"),AND(J4912=1,I4912=0)),"?IN_FOCUS",IF(J4912&lt;=2,"?ACTIVATED",IF(J4912&lt;&gt;"","?FAMILIAR",IF(F4912="NEW",IF(ISNA(VLOOKUP(E4912,#REF!,1,FALSE())),"?TYPE_IDENTIFIABLE","?REFERENTIAL"),"_")))))</f>
        <v> </v>
      </c>
      <c r="H4912" s="24" t="str">
        <f>IF(J4912&lt;&gt;1,"",IF(I4912="SBJ","CB","?"))</f>
        <v> </v>
      </c>
      <c r="I4912" s="25" t="str">
        <f>IF(OR(E4912="",E4912="!!!",F4912="NEW"),"",INDEX(B4911:B$2,-1+SUMPRODUCT(MAX(ROW(E4911:E$2)*(E4912=E4911:E$2)))))</f>
        <v> </v>
      </c>
      <c r="J4912" s="25" t="str">
        <f>IF(OR(E4912="",E4912="!!!",F4912="NEW"),"",COUNTBLANK(OFFSET(A$1,,,SUMPRODUCT(MAX(ROW(E$2:E4912)*(E4912=E$2:E4912)))))-COUNTBLANK(OFFSET(A$1,,,SUMPRODUCT(MAX(ROW(E$1:E4911)*(E2=E$1:E4911))))))</f>
        <v> </v>
      </c>
      <c r="K4912" s="25" t="str">
        <f>IF(OR(E4912="",E4912="!!!",F4912="NEW"),"",INDEX(J$1:J4911,SUMPRODUCT(MAX(ROW(E$1:E4911)*(E4912=E$1:E4911)))))</f>
        <v> </v>
      </c>
      <c r="L4912" s="26"/>
    </row>
    <row r="4913" spans="1:12">
      <c r="A4913" s="20" t="s">
        <v>1050</v>
      </c>
      <c r="E4913" s="21">
        <f>IF(D4913="?OLD","!!!","")</f>
        <v/>
      </c>
      <c r="F4913" s="22" t="str">
        <f>IF(OR(E4913="",E4913="!!!"),"",IF(NOT(ISNA(VLOOKUP(E4913,E$1:E4912,1,FALSE()))),"OLD",IF(AND(E4913&lt;&gt;"",E4913&lt;&gt;"!!!"),"NEW","")))</f>
        <v> </v>
      </c>
      <c r="G4913" s="23" t="str">
        <f>IF(OR(E4913="",E4913="!!!"),"",IF(OR(J4913=0,AND(J4913=1,K4913=1),AND(J4913=1,I4913="SBJ"),AND(J4913=1,I4913=0)),"?IN_FOCUS",IF(J4913&lt;=2,"?ACTIVATED",IF(J4913&lt;&gt;"","?FAMILIAR",IF(F4913="NEW",IF(ISNA(VLOOKUP(E4913,#REF!,1,FALSE())),"?TYPE_IDENTIFIABLE","?REFERENTIAL"),"_")))))</f>
        <v> </v>
      </c>
      <c r="H4913" s="24" t="str">
        <f>IF(J4913&lt;&gt;1,"",IF(I4913="SBJ","CB","?"))</f>
        <v> </v>
      </c>
      <c r="I4913" s="25" t="str">
        <f>IF(OR(E4913="",E4913="!!!",F4913="NEW"),"",INDEX(B4912:B$2,-1+SUMPRODUCT(MAX(ROW(E4912:E$2)*(E4913=E4912:E$2)))))</f>
        <v> </v>
      </c>
      <c r="J4913" s="25" t="str">
        <f>IF(OR(E4913="",E4913="!!!",F4913="NEW"),"",COUNTBLANK(OFFSET(A$1,,,SUMPRODUCT(MAX(ROW(E$2:E4913)*(E4913=E$2:E4913)))))-COUNTBLANK(OFFSET(A$1,,,SUMPRODUCT(MAX(ROW(E$1:E4912)*(E2=E$1:E4912))))))</f>
        <v> </v>
      </c>
      <c r="K4913" s="25" t="str">
        <f>IF(OR(E4913="",E4913="!!!",F4913="NEW"),"",INDEX(J$1:J4912,SUMPRODUCT(MAX(ROW(E$1:E4912)*(E4913=E$1:E4912)))))</f>
        <v> </v>
      </c>
      <c r="L4913" s="26"/>
    </row>
    <row r="4914" spans="1:12">
      <c r="A4914" s="20" t="s">
        <v>28</v>
      </c>
      <c r="E4914" s="21">
        <f>IF(D4914="?OLD","!!!","")</f>
        <v/>
      </c>
      <c r="F4914" s="22" t="str">
        <f>IF(OR(E4914="",E4914="!!!"),"",IF(NOT(ISNA(VLOOKUP(E4914,E$1:E4913,1,FALSE()))),"OLD",IF(AND(E4914&lt;&gt;"",E4914&lt;&gt;"!!!"),"NEW","")))</f>
        <v> </v>
      </c>
      <c r="G4914" s="23" t="str">
        <f>IF(OR(E4914="",E4914="!!!"),"",IF(OR(J4914=0,AND(J4914=1,K4914=1),AND(J4914=1,I4914="SBJ"),AND(J4914=1,I4914=0)),"?IN_FOCUS",IF(J4914&lt;=2,"?ACTIVATED",IF(J4914&lt;&gt;"","?FAMILIAR",IF(F4914="NEW",IF(ISNA(VLOOKUP(E4914,#REF!,1,FALSE())),"?TYPE_IDENTIFIABLE","?REFERENTIAL"),"_")))))</f>
        <v> </v>
      </c>
      <c r="H4914" s="24" t="str">
        <f>IF(J4914&lt;&gt;1,"",IF(I4914="SBJ","CB","?"))</f>
        <v> </v>
      </c>
      <c r="I4914" s="25" t="str">
        <f>IF(OR(E4914="",E4914="!!!",F4914="NEW"),"",INDEX(B4913:B$2,-1+SUMPRODUCT(MAX(ROW(E4913:E$2)*(E4914=E4913:E$2)))))</f>
        <v> </v>
      </c>
      <c r="J4914" s="25" t="str">
        <f>IF(OR(E4914="",E4914="!!!",F4914="NEW"),"",COUNTBLANK(OFFSET(A$1,,,SUMPRODUCT(MAX(ROW(E$2:E4914)*(E4914=E$2:E4914)))))-COUNTBLANK(OFFSET(A$1,,,SUMPRODUCT(MAX(ROW(E$1:E4913)*(E2=E$1:E4913))))))</f>
        <v> </v>
      </c>
      <c r="K4914" s="25" t="str">
        <f>IF(OR(E4914="",E4914="!!!",F4914="NEW"),"",INDEX(J$1:J4913,SUMPRODUCT(MAX(ROW(E$1:E4913)*(E4914=E$1:E4913)))))</f>
        <v> </v>
      </c>
      <c r="L4914" s="26"/>
    </row>
    <row r="4915" spans="1:12">
      <c r="A4915" s="20" t="s">
        <v>1293</v>
      </c>
      <c r="B4915" s="27" t="s">
        <v>1238</v>
      </c>
      <c r="C4915" s="27" t="s">
        <v>1049</v>
      </c>
      <c r="E4915" s="21">
        <f>IF(D4915="?OLD","!!!","")</f>
        <v/>
      </c>
      <c r="F4915" s="22" t="str">
        <f>IF(OR(E4915="",E4915="!!!"),"",IF(NOT(ISNA(VLOOKUP(E4915,E$1:E4914,1,FALSE()))),"OLD",IF(AND(E4915&lt;&gt;"",E4915&lt;&gt;"!!!"),"NEW","")))</f>
        <v> </v>
      </c>
      <c r="G4915" s="23" t="str">
        <f>IF(OR(E4915="",E4915="!!!"),"",IF(OR(J4915=0,AND(J4915=1,K4915=1),AND(J4915=1,I4915="SBJ"),AND(J4915=1,I4915=0)),"?IN_FOCUS",IF(J4915&lt;=2,"?ACTIVATED",IF(J4915&lt;&gt;"","?FAMILIAR",IF(F4915="NEW",IF(ISNA(VLOOKUP(E4915,#REF!,1,FALSE())),"?TYPE_IDENTIFIABLE","?REFERENTIAL"),"_")))))</f>
        <v> </v>
      </c>
      <c r="H4915" s="24" t="str">
        <f>IF(J4915&lt;&gt;1,"",IF(I4915="SBJ","CB","?"))</f>
        <v> </v>
      </c>
      <c r="I4915" s="25" t="str">
        <f>IF(OR(E4915="",E4915="!!!",F4915="NEW"),"",INDEX(B4914:B$2,-1+SUMPRODUCT(MAX(ROW(E4914:E$2)*(E4915=E4914:E$2)))))</f>
        <v> </v>
      </c>
      <c r="J4915" s="25" t="str">
        <f>IF(OR(E4915="",E4915="!!!",F4915="NEW"),"",COUNTBLANK(OFFSET(A$1,,,SUMPRODUCT(MAX(ROW(E$2:E4915)*(E4915=E$2:E4915)))))-COUNTBLANK(OFFSET(A$1,,,SUMPRODUCT(MAX(ROW(E$1:E4914)*(E2=E$1:E4914))))))</f>
        <v> </v>
      </c>
      <c r="K4915" s="25" t="str">
        <f>IF(OR(E4915="",E4915="!!!",F4915="NEW"),"",INDEX(J$1:J4914,SUMPRODUCT(MAX(ROW(E$1:E4914)*(E4915=E$1:E4914)))))</f>
        <v> </v>
      </c>
      <c r="L4915" s="26"/>
    </row>
    <row r="4916" spans="1:12">
      <c r="A4916" s="20" t="s">
        <v>1927</v>
      </c>
      <c r="E4916" s="21">
        <f>IF(D4916="?OLD","!!!","")</f>
        <v/>
      </c>
      <c r="F4916" s="22" t="str">
        <f>IF(OR(E4916="",E4916="!!!"),"",IF(NOT(ISNA(VLOOKUP(E4916,E$1:E4915,1,FALSE()))),"OLD",IF(AND(E4916&lt;&gt;"",E4916&lt;&gt;"!!!"),"NEW","")))</f>
        <v> </v>
      </c>
      <c r="G4916" s="23" t="str">
        <f>IF(OR(E4916="",E4916="!!!"),"",IF(OR(J4916=0,AND(J4916=1,K4916=1),AND(J4916=1,I4916="SBJ"),AND(J4916=1,I4916=0)),"?IN_FOCUS",IF(J4916&lt;=2,"?ACTIVATED",IF(J4916&lt;&gt;"","?FAMILIAR",IF(F4916="NEW",IF(ISNA(VLOOKUP(E4916,#REF!,1,FALSE())),"?TYPE_IDENTIFIABLE","?REFERENTIAL"),"_")))))</f>
        <v> </v>
      </c>
      <c r="H4916" s="24" t="str">
        <f>IF(J4916&lt;&gt;1,"",IF(I4916="SBJ","CB","?"))</f>
        <v> </v>
      </c>
      <c r="I4916" s="25" t="str">
        <f>IF(OR(E4916="",E4916="!!!",F4916="NEW"),"",INDEX(B4915:B$2,-1+SUMPRODUCT(MAX(ROW(E4915:E$2)*(E4916=E4915:E$2)))))</f>
        <v> </v>
      </c>
      <c r="J4916" s="25" t="str">
        <f>IF(OR(E4916="",E4916="!!!",F4916="NEW"),"",COUNTBLANK(OFFSET(A$1,,,SUMPRODUCT(MAX(ROW(E$2:E4916)*(E4916=E$2:E4916)))))-COUNTBLANK(OFFSET(A$1,,,SUMPRODUCT(MAX(ROW(E$1:E4915)*(E2=E$1:E4915))))))</f>
        <v> </v>
      </c>
      <c r="K4916" s="25" t="str">
        <f>IF(OR(E4916="",E4916="!!!",F4916="NEW"),"",INDEX(J$1:J4915,SUMPRODUCT(MAX(ROW(E$1:E4915)*(E4916=E$1:E4915)))))</f>
        <v> </v>
      </c>
      <c r="L4916" s="26"/>
    </row>
    <row r="4917" spans="1:12">
      <c r="A4917" s="20" t="s">
        <v>1156</v>
      </c>
      <c r="E4917" s="21">
        <f>IF(D4917="?OLD","!!!","")</f>
        <v/>
      </c>
      <c r="F4917" s="22" t="str">
        <f>IF(OR(E4917="",E4917="!!!"),"",IF(NOT(ISNA(VLOOKUP(E4917,E$1:E4916,1,FALSE()))),"OLD",IF(AND(E4917&lt;&gt;"",E4917&lt;&gt;"!!!"),"NEW","")))</f>
        <v> </v>
      </c>
      <c r="G4917" s="23" t="str">
        <f>IF(OR(E4917="",E4917="!!!"),"",IF(OR(J4917=0,AND(J4917=1,K4917=1),AND(J4917=1,I4917="SBJ"),AND(J4917=1,I4917=0)),"?IN_FOCUS",IF(J4917&lt;=2,"?ACTIVATED",IF(J4917&lt;&gt;"","?FAMILIAR",IF(F4917="NEW",IF(ISNA(VLOOKUP(E4917,#REF!,1,FALSE())),"?TYPE_IDENTIFIABLE","?REFERENTIAL"),"_")))))</f>
        <v> </v>
      </c>
      <c r="H4917" s="24" t="str">
        <f>IF(J4917&lt;&gt;1,"",IF(I4917="SBJ","CB","?"))</f>
        <v> </v>
      </c>
      <c r="I4917" s="25" t="str">
        <f>IF(OR(E4917="",E4917="!!!",F4917="NEW"),"",INDEX(B4916:B$2,-1+SUMPRODUCT(MAX(ROW(E4916:E$2)*(E4917=E4916:E$2)))))</f>
        <v> </v>
      </c>
      <c r="J4917" s="25" t="str">
        <f>IF(OR(E4917="",E4917="!!!",F4917="NEW"),"",COUNTBLANK(OFFSET(A$1,,,SUMPRODUCT(MAX(ROW(E$2:E4917)*(E4917=E$2:E4917)))))-COUNTBLANK(OFFSET(A$1,,,SUMPRODUCT(MAX(ROW(E$1:E4916)*(E2=E$1:E4916))))))</f>
        <v> </v>
      </c>
      <c r="K4917" s="25" t="str">
        <f>IF(OR(E4917="",E4917="!!!",F4917="NEW"),"",INDEX(J$1:J4916,SUMPRODUCT(MAX(ROW(E$1:E4916)*(E4917=E$1:E4916)))))</f>
        <v> </v>
      </c>
      <c r="L4917" s="26"/>
    </row>
    <row r="4918" spans="1:12">
      <c r="A4918" s="20" t="s">
        <v>2985</v>
      </c>
      <c r="E4918" s="21">
        <f>IF(D4918="?OLD","!!!","")</f>
        <v/>
      </c>
      <c r="F4918" s="22" t="str">
        <f>IF(OR(E4918="",E4918="!!!"),"",IF(NOT(ISNA(VLOOKUP(E4918,E$1:E4917,1,FALSE()))),"OLD",IF(AND(E4918&lt;&gt;"",E4918&lt;&gt;"!!!"),"NEW","")))</f>
        <v> </v>
      </c>
      <c r="G4918" s="23" t="str">
        <f>IF(OR(E4918="",E4918="!!!"),"",IF(OR(J4918=0,AND(J4918=1,K4918=1),AND(J4918=1,I4918="SBJ"),AND(J4918=1,I4918=0)),"?IN_FOCUS",IF(J4918&lt;=2,"?ACTIVATED",IF(J4918&lt;&gt;"","?FAMILIAR",IF(F4918="NEW",IF(ISNA(VLOOKUP(E4918,#REF!,1,FALSE())),"?TYPE_IDENTIFIABLE","?REFERENTIAL"),"_")))))</f>
        <v> </v>
      </c>
      <c r="H4918" s="24" t="str">
        <f>IF(J4918&lt;&gt;1,"",IF(I4918="SBJ","CB","?"))</f>
        <v> </v>
      </c>
      <c r="I4918" s="25" t="str">
        <f>IF(OR(E4918="",E4918="!!!",F4918="NEW"),"",INDEX(B4917:B$2,-1+SUMPRODUCT(MAX(ROW(E4917:E$2)*(E4918=E4917:E$2)))))</f>
        <v> </v>
      </c>
      <c r="J4918" s="25" t="str">
        <f>IF(OR(E4918="",E4918="!!!",F4918="NEW"),"",COUNTBLANK(OFFSET(A$1,,,SUMPRODUCT(MAX(ROW(E$2:E4918)*(E4918=E$2:E4918)))))-COUNTBLANK(OFFSET(A$1,,,SUMPRODUCT(MAX(ROW(E$1:E4917)*(E2=E$1:E4917))))))</f>
        <v> </v>
      </c>
      <c r="K4918" s="25" t="str">
        <f>IF(OR(E4918="",E4918="!!!",F4918="NEW"),"",INDEX(J$1:J4917,SUMPRODUCT(MAX(ROW(E$1:E4917)*(E4918=E$1:E4917)))))</f>
        <v> </v>
      </c>
      <c r="L4918" s="26"/>
    </row>
    <row r="4919" spans="1:12">
      <c r="A4919" s="20" t="s">
        <v>1085</v>
      </c>
      <c r="E4919" s="21">
        <f>IF(D4919="?OLD","!!!","")</f>
        <v/>
      </c>
      <c r="F4919" s="22" t="str">
        <f>IF(OR(E4919="",E4919="!!!"),"",IF(NOT(ISNA(VLOOKUP(E4919,E$1:E4918,1,FALSE()))),"OLD",IF(AND(E4919&lt;&gt;"",E4919&lt;&gt;"!!!"),"NEW","")))</f>
        <v> </v>
      </c>
      <c r="G4919" s="23" t="str">
        <f>IF(OR(E4919="",E4919="!!!"),"",IF(OR(J4919=0,AND(J4919=1,K4919=1),AND(J4919=1,I4919="SBJ"),AND(J4919=1,I4919=0)),"?IN_FOCUS",IF(J4919&lt;=2,"?ACTIVATED",IF(J4919&lt;&gt;"","?FAMILIAR",IF(F4919="NEW",IF(ISNA(VLOOKUP(E4919,#REF!,1,FALSE())),"?TYPE_IDENTIFIABLE","?REFERENTIAL"),"_")))))</f>
        <v> </v>
      </c>
      <c r="H4919" s="24" t="str">
        <f>IF(J4919&lt;&gt;1,"",IF(I4919="SBJ","CB","?"))</f>
        <v> </v>
      </c>
      <c r="I4919" s="25" t="str">
        <f>IF(OR(E4919="",E4919="!!!",F4919="NEW"),"",INDEX(B4918:B$2,-1+SUMPRODUCT(MAX(ROW(E4918:E$2)*(E4919=E4918:E$2)))))</f>
        <v> </v>
      </c>
      <c r="J4919" s="25" t="str">
        <f>IF(OR(E4919="",E4919="!!!",F4919="NEW"),"",COUNTBLANK(OFFSET(A$1,,,SUMPRODUCT(MAX(ROW(E$2:E4919)*(E4919=E$2:E4919)))))-COUNTBLANK(OFFSET(A$1,,,SUMPRODUCT(MAX(ROW(E$1:E4918)*(E2=E$1:E4918))))))</f>
        <v> </v>
      </c>
      <c r="K4919" s="25" t="str">
        <f>IF(OR(E4919="",E4919="!!!",F4919="NEW"),"",INDEX(J$1:J4918,SUMPRODUCT(MAX(ROW(E$1:E4918)*(E4919=E$1:E4918)))))</f>
        <v> </v>
      </c>
      <c r="L4919" s="26"/>
    </row>
    <row r="4920" spans="1:12">
      <c r="A4920" s="20" t="s">
        <v>2986</v>
      </c>
      <c r="E4920" s="21">
        <f>IF(D4920="?OLD","!!!","")</f>
        <v/>
      </c>
      <c r="F4920" s="22" t="str">
        <f>IF(OR(E4920="",E4920="!!!"),"",IF(NOT(ISNA(VLOOKUP(E4920,E$1:E4919,1,FALSE()))),"OLD",IF(AND(E4920&lt;&gt;"",E4920&lt;&gt;"!!!"),"NEW","")))</f>
        <v> </v>
      </c>
      <c r="G4920" s="23" t="str">
        <f>IF(OR(E4920="",E4920="!!!"),"",IF(OR(J4920=0,AND(J4920=1,K4920=1),AND(J4920=1,I4920="SBJ"),AND(J4920=1,I4920=0)),"?IN_FOCUS",IF(J4920&lt;=2,"?ACTIVATED",IF(J4920&lt;&gt;"","?FAMILIAR",IF(F4920="NEW",IF(ISNA(VLOOKUP(E4920,#REF!,1,FALSE())),"?TYPE_IDENTIFIABLE","?REFERENTIAL"),"_")))))</f>
        <v> </v>
      </c>
      <c r="H4920" s="24" t="str">
        <f>IF(J4920&lt;&gt;1,"",IF(I4920="SBJ","CB","?"))</f>
        <v> </v>
      </c>
      <c r="I4920" s="25" t="str">
        <f>IF(OR(E4920="",E4920="!!!",F4920="NEW"),"",INDEX(B4919:B$2,-1+SUMPRODUCT(MAX(ROW(E4919:E$2)*(E4920=E4919:E$2)))))</f>
        <v> </v>
      </c>
      <c r="J4920" s="25" t="str">
        <f>IF(OR(E4920="",E4920="!!!",F4920="NEW"),"",COUNTBLANK(OFFSET(A$1,,,SUMPRODUCT(MAX(ROW(E$2:E4920)*(E4920=E$2:E4920)))))-COUNTBLANK(OFFSET(A$1,,,SUMPRODUCT(MAX(ROW(E$1:E4919)*(E2=E$1:E4919))))))</f>
        <v> </v>
      </c>
      <c r="K4920" s="25" t="str">
        <f>IF(OR(E4920="",E4920="!!!",F4920="NEW"),"",INDEX(J$1:J4919,SUMPRODUCT(MAX(ROW(E$1:E4919)*(E4920=E$1:E4919)))))</f>
        <v> </v>
      </c>
      <c r="L4920" s="26"/>
    </row>
    <row r="4921" spans="1:12">
      <c r="A4921" s="20" t="s">
        <v>2987</v>
      </c>
      <c r="E4921" s="21">
        <f>IF(D4921="?OLD","!!!","")</f>
        <v/>
      </c>
      <c r="F4921" s="22" t="str">
        <f>IF(OR(E4921="",E4921="!!!"),"",IF(NOT(ISNA(VLOOKUP(E4921,E$1:E4920,1,FALSE()))),"OLD",IF(AND(E4921&lt;&gt;"",E4921&lt;&gt;"!!!"),"NEW","")))</f>
        <v> </v>
      </c>
      <c r="G4921" s="23" t="str">
        <f>IF(OR(E4921="",E4921="!!!"),"",IF(OR(J4921=0,AND(J4921=1,K4921=1),AND(J4921=1,I4921="SBJ"),AND(J4921=1,I4921=0)),"?IN_FOCUS",IF(J4921&lt;=2,"?ACTIVATED",IF(J4921&lt;&gt;"","?FAMILIAR",IF(F4921="NEW",IF(ISNA(VLOOKUP(E4921,#REF!,1,FALSE())),"?TYPE_IDENTIFIABLE","?REFERENTIAL"),"_")))))</f>
        <v> </v>
      </c>
      <c r="H4921" s="24" t="str">
        <f>IF(J4921&lt;&gt;1,"",IF(I4921="SBJ","CB","?"))</f>
        <v> </v>
      </c>
      <c r="I4921" s="25" t="str">
        <f>IF(OR(E4921="",E4921="!!!",F4921="NEW"),"",INDEX(B4920:B$2,-1+SUMPRODUCT(MAX(ROW(E4920:E$2)*(E4921=E4920:E$2)))))</f>
        <v> </v>
      </c>
      <c r="J4921" s="25" t="str">
        <f>IF(OR(E4921="",E4921="!!!",F4921="NEW"),"",COUNTBLANK(OFFSET(A$1,,,SUMPRODUCT(MAX(ROW(E$2:E4921)*(E4921=E$2:E4921)))))-COUNTBLANK(OFFSET(A$1,,,SUMPRODUCT(MAX(ROW(E$1:E4920)*(E2=E$1:E4920))))))</f>
        <v> </v>
      </c>
      <c r="K4921" s="25" t="str">
        <f>IF(OR(E4921="",E4921="!!!",F4921="NEW"),"",INDEX(J$1:J4920,SUMPRODUCT(MAX(ROW(E$1:E4920)*(E4921=E$1:E4920)))))</f>
        <v> </v>
      </c>
      <c r="L4921" s="26"/>
    </row>
    <row r="4922" spans="1:12">
      <c r="A4922" s="20" t="s">
        <v>2208</v>
      </c>
      <c r="E4922" s="21">
        <f>IF(D4922="?OLD","!!!","")</f>
        <v/>
      </c>
      <c r="F4922" s="22" t="str">
        <f>IF(OR(E4922="",E4922="!!!"),"",IF(NOT(ISNA(VLOOKUP(E4922,E$1:E4921,1,FALSE()))),"OLD",IF(AND(E4922&lt;&gt;"",E4922&lt;&gt;"!!!"),"NEW","")))</f>
        <v> </v>
      </c>
      <c r="G4922" s="23" t="str">
        <f>IF(OR(E4922="",E4922="!!!"),"",IF(OR(J4922=0,AND(J4922=1,K4922=1),AND(J4922=1,I4922="SBJ"),AND(J4922=1,I4922=0)),"?IN_FOCUS",IF(J4922&lt;=2,"?ACTIVATED",IF(J4922&lt;&gt;"","?FAMILIAR",IF(F4922="NEW",IF(ISNA(VLOOKUP(E4922,#REF!,1,FALSE())),"?TYPE_IDENTIFIABLE","?REFERENTIAL"),"_")))))</f>
        <v> </v>
      </c>
      <c r="H4922" s="24" t="str">
        <f>IF(J4922&lt;&gt;1,"",IF(I4922="SBJ","CB","?"))</f>
        <v> </v>
      </c>
      <c r="I4922" s="25" t="str">
        <f>IF(OR(E4922="",E4922="!!!",F4922="NEW"),"",INDEX(B4921:B$2,-1+SUMPRODUCT(MAX(ROW(E4921:E$2)*(E4922=E4921:E$2)))))</f>
        <v> </v>
      </c>
      <c r="J4922" s="25" t="str">
        <f>IF(OR(E4922="",E4922="!!!",F4922="NEW"),"",COUNTBLANK(OFFSET(A$1,,,SUMPRODUCT(MAX(ROW(E$2:E4922)*(E4922=E$2:E4922)))))-COUNTBLANK(OFFSET(A$1,,,SUMPRODUCT(MAX(ROW(E$1:E4921)*(E2=E$1:E4921))))))</f>
        <v> </v>
      </c>
      <c r="K4922" s="25" t="str">
        <f>IF(OR(E4922="",E4922="!!!",F4922="NEW"),"",INDEX(J$1:J4921,SUMPRODUCT(MAX(ROW(E$1:E4921)*(E4922=E$1:E4921)))))</f>
        <v> </v>
      </c>
      <c r="L4922" s="26"/>
    </row>
    <row r="4923" spans="1:12">
      <c r="A4923" s="20" t="s">
        <v>1032</v>
      </c>
      <c r="E4923" s="21">
        <f>IF(D4923="?OLD","!!!","")</f>
        <v/>
      </c>
      <c r="F4923" s="22" t="str">
        <f>IF(OR(E4923="",E4923="!!!"),"",IF(NOT(ISNA(VLOOKUP(E4923,E$1:E4922,1,FALSE()))),"OLD",IF(AND(E4923&lt;&gt;"",E4923&lt;&gt;"!!!"),"NEW","")))</f>
        <v> </v>
      </c>
      <c r="G4923" s="23" t="str">
        <f>IF(OR(E4923="",E4923="!!!"),"",IF(OR(J4923=0,AND(J4923=1,K4923=1),AND(J4923=1,I4923="SBJ"),AND(J4923=1,I4923=0)),"?IN_FOCUS",IF(J4923&lt;=2,"?ACTIVATED",IF(J4923&lt;&gt;"","?FAMILIAR",IF(F4923="NEW",IF(ISNA(VLOOKUP(E4923,#REF!,1,FALSE())),"?TYPE_IDENTIFIABLE","?REFERENTIAL"),"_")))))</f>
        <v> </v>
      </c>
      <c r="H4923" s="24" t="str">
        <f>IF(J4923&lt;&gt;1,"",IF(I4923="SBJ","CB","?"))</f>
        <v> </v>
      </c>
      <c r="I4923" s="25" t="str">
        <f>IF(OR(E4923="",E4923="!!!",F4923="NEW"),"",INDEX(B4922:B$2,-1+SUMPRODUCT(MAX(ROW(E4922:E$2)*(E4923=E4922:E$2)))))</f>
        <v> </v>
      </c>
      <c r="J4923" s="25" t="str">
        <f>IF(OR(E4923="",E4923="!!!",F4923="NEW"),"",COUNTBLANK(OFFSET(A$1,,,SUMPRODUCT(MAX(ROW(E$2:E4923)*(E4923=E$2:E4923)))))-COUNTBLANK(OFFSET(A$1,,,SUMPRODUCT(MAX(ROW(E$1:E4922)*(E2=E$1:E4922))))))</f>
        <v> </v>
      </c>
      <c r="K4923" s="25" t="str">
        <f>IF(OR(E4923="",E4923="!!!",F4923="NEW"),"",INDEX(J$1:J4922,SUMPRODUCT(MAX(ROW(E$1:E4922)*(E4923=E$1:E4922)))))</f>
        <v> </v>
      </c>
      <c r="L4923" s="26"/>
    </row>
    <row r="4924" spans="1:12">
      <c r="A4924" s="20"/>
    </row>
    <row r="4925" spans="1:12">
      <c r="A4925" s="20" t="s">
        <v>2988</v>
      </c>
    </row>
    <row r="4926" spans="1:12">
      <c r="A4926" s="20" t="s">
        <v>1077</v>
      </c>
      <c r="E4926" s="21">
        <f>IF(D4926="?OLD","!!!","")</f>
        <v/>
      </c>
      <c r="F4926" s="22" t="str">
        <f>IF(OR(E4926="",E4926="!!!"),"",IF(NOT(ISNA(VLOOKUP(E4926,E$1:E4925,1,FALSE()))),"OLD",IF(AND(E4926&lt;&gt;"",E4926&lt;&gt;"!!!"),"NEW","")))</f>
        <v> </v>
      </c>
      <c r="G4926" s="23" t="str">
        <f>IF(OR(E4926="",E4926="!!!"),"",IF(OR(J4926=0,AND(J4926=1,K4926=1),AND(J4926=1,I4926="SBJ"),AND(J4926=1,I4926=0)),"?IN_FOCUS",IF(J4926&lt;=2,"?ACTIVATED",IF(J4926&lt;&gt;"","?FAMILIAR",IF(F4926="NEW",IF(ISNA(VLOOKUP(E4926,#REF!,1,FALSE())),"?TYPE_IDENTIFIABLE","?REFERENTIAL"),"_")))))</f>
        <v> </v>
      </c>
      <c r="H4926" s="24" t="str">
        <f>IF(J4926&lt;&gt;1,"",IF(I4926="SBJ","CB","?"))</f>
        <v> </v>
      </c>
      <c r="I4926" s="25" t="str">
        <f>IF(OR(E4926="",E4926="!!!",F4926="NEW"),"",INDEX(B4925:B$2,-1+SUMPRODUCT(MAX(ROW(E4925:E$2)*(E4926=E4925:E$2)))))</f>
        <v> </v>
      </c>
      <c r="J4926" s="25" t="str">
        <f>IF(OR(E4926="",E4926="!!!",F4926="NEW"),"",COUNTBLANK(OFFSET(A$1,,,SUMPRODUCT(MAX(ROW(E$2:E4926)*(E4926=E$2:E4926)))))-COUNTBLANK(OFFSET(A$1,,,SUMPRODUCT(MAX(ROW(E$1:E4925)*(E2=E$1:E4925))))))</f>
        <v> </v>
      </c>
      <c r="K4926" s="25" t="str">
        <f>IF(OR(E4926="",E4926="!!!",F4926="NEW"),"",INDEX(J$1:J4925,SUMPRODUCT(MAX(ROW(E$1:E4925)*(E4926=E$1:E4925)))))</f>
        <v> </v>
      </c>
      <c r="L4926" s="26"/>
    </row>
    <row r="4927" spans="1:12">
      <c r="A4927" s="20" t="s">
        <v>1085</v>
      </c>
      <c r="E4927" s="21">
        <f>IF(D4927="?OLD","!!!","")</f>
        <v/>
      </c>
      <c r="F4927" s="22" t="str">
        <f>IF(OR(E4927="",E4927="!!!"),"",IF(NOT(ISNA(VLOOKUP(E4927,E$1:E4926,1,FALSE()))),"OLD",IF(AND(E4927&lt;&gt;"",E4927&lt;&gt;"!!!"),"NEW","")))</f>
        <v> </v>
      </c>
      <c r="G4927" s="23" t="str">
        <f>IF(OR(E4927="",E4927="!!!"),"",IF(OR(J4927=0,AND(J4927=1,K4927=1),AND(J4927=1,I4927="SBJ"),AND(J4927=1,I4927=0)),"?IN_FOCUS",IF(J4927&lt;=2,"?ACTIVATED",IF(J4927&lt;&gt;"","?FAMILIAR",IF(F4927="NEW",IF(ISNA(VLOOKUP(E4927,#REF!,1,FALSE())),"?TYPE_IDENTIFIABLE","?REFERENTIAL"),"_")))))</f>
        <v> </v>
      </c>
      <c r="H4927" s="24" t="str">
        <f>IF(J4927&lt;&gt;1,"",IF(I4927="SBJ","CB","?"))</f>
        <v> </v>
      </c>
      <c r="I4927" s="25" t="str">
        <f>IF(OR(E4927="",E4927="!!!",F4927="NEW"),"",INDEX(B4926:B$2,-1+SUMPRODUCT(MAX(ROW(E4926:E$2)*(E4927=E4926:E$2)))))</f>
        <v> </v>
      </c>
      <c r="J4927" s="25" t="str">
        <f>IF(OR(E4927="",E4927="!!!",F4927="NEW"),"",COUNTBLANK(OFFSET(A$1,,,SUMPRODUCT(MAX(ROW(E$2:E4927)*(E4927=E$2:E4927)))))-COUNTBLANK(OFFSET(A$1,,,SUMPRODUCT(MAX(ROW(E$1:E4926)*(E2=E$1:E4926))))))</f>
        <v> </v>
      </c>
      <c r="K4927" s="25" t="str">
        <f>IF(OR(E4927="",E4927="!!!",F4927="NEW"),"",INDEX(J$1:J4926,SUMPRODUCT(MAX(ROW(E$1:E4926)*(E4927=E$1:E4926)))))</f>
        <v> </v>
      </c>
      <c r="L4927" s="26"/>
    </row>
    <row r="4928" spans="1:12">
      <c r="A4928" s="20" t="s">
        <v>2989</v>
      </c>
      <c r="E4928" s="21">
        <f>IF(D4928="?OLD","!!!","")</f>
        <v/>
      </c>
      <c r="F4928" s="22" t="str">
        <f>IF(OR(E4928="",E4928="!!!"),"",IF(NOT(ISNA(VLOOKUP(E4928,E$1:E4927,1,FALSE()))),"OLD",IF(AND(E4928&lt;&gt;"",E4928&lt;&gt;"!!!"),"NEW","")))</f>
        <v> </v>
      </c>
      <c r="G4928" s="23" t="str">
        <f>IF(OR(E4928="",E4928="!!!"),"",IF(OR(J4928=0,AND(J4928=1,K4928=1),AND(J4928=1,I4928="SBJ"),AND(J4928=1,I4928=0)),"?IN_FOCUS",IF(J4928&lt;=2,"?ACTIVATED",IF(J4928&lt;&gt;"","?FAMILIAR",IF(F4928="NEW",IF(ISNA(VLOOKUP(E4928,#REF!,1,FALSE())),"?TYPE_IDENTIFIABLE","?REFERENTIAL"),"_")))))</f>
        <v> </v>
      </c>
      <c r="H4928" s="24" t="str">
        <f>IF(J4928&lt;&gt;1,"",IF(I4928="SBJ","CB","?"))</f>
        <v> </v>
      </c>
      <c r="I4928" s="25" t="str">
        <f>IF(OR(E4928="",E4928="!!!",F4928="NEW"),"",INDEX(B4927:B$2,-1+SUMPRODUCT(MAX(ROW(E4927:E$2)*(E4928=E4927:E$2)))))</f>
        <v> </v>
      </c>
      <c r="J4928" s="25" t="str">
        <f>IF(OR(E4928="",E4928="!!!",F4928="NEW"),"",COUNTBLANK(OFFSET(A$1,,,SUMPRODUCT(MAX(ROW(E$2:E4928)*(E4928=E$2:E4928)))))-COUNTBLANK(OFFSET(A$1,,,SUMPRODUCT(MAX(ROW(E$1:E4927)*(E2=E$1:E4927))))))</f>
        <v> </v>
      </c>
      <c r="K4928" s="25" t="str">
        <f>IF(OR(E4928="",E4928="!!!",F4928="NEW"),"",INDEX(J$1:J4927,SUMPRODUCT(MAX(ROW(E$1:E4927)*(E4928=E$1:E4927)))))</f>
        <v> </v>
      </c>
      <c r="L4928" s="26"/>
    </row>
    <row r="4929" spans="1:12">
      <c r="A4929" s="20" t="s">
        <v>1295</v>
      </c>
      <c r="E4929" s="21">
        <f>IF(D4929="?OLD","!!!","")</f>
        <v/>
      </c>
      <c r="F4929" s="22" t="str">
        <f>IF(OR(E4929="",E4929="!!!"),"",IF(NOT(ISNA(VLOOKUP(E4929,E$1:E4928,1,FALSE()))),"OLD",IF(AND(E4929&lt;&gt;"",E4929&lt;&gt;"!!!"),"NEW","")))</f>
        <v> </v>
      </c>
      <c r="G4929" s="23" t="str">
        <f>IF(OR(E4929="",E4929="!!!"),"",IF(OR(J4929=0,AND(J4929=1,K4929=1),AND(J4929=1,I4929="SBJ"),AND(J4929=1,I4929=0)),"?IN_FOCUS",IF(J4929&lt;=2,"?ACTIVATED",IF(J4929&lt;&gt;"","?FAMILIAR",IF(F4929="NEW",IF(ISNA(VLOOKUP(E4929,#REF!,1,FALSE())),"?TYPE_IDENTIFIABLE","?REFERENTIAL"),"_")))))</f>
        <v> </v>
      </c>
      <c r="H4929" s="24" t="str">
        <f>IF(J4929&lt;&gt;1,"",IF(I4929="SBJ","CB","?"))</f>
        <v> </v>
      </c>
      <c r="I4929" s="25" t="str">
        <f>IF(OR(E4929="",E4929="!!!",F4929="NEW"),"",INDEX(B4928:B$2,-1+SUMPRODUCT(MAX(ROW(E4928:E$2)*(E4929=E4928:E$2)))))</f>
        <v> </v>
      </c>
      <c r="J4929" s="25" t="str">
        <f>IF(OR(E4929="",E4929="!!!",F4929="NEW"),"",COUNTBLANK(OFFSET(A$1,,,SUMPRODUCT(MAX(ROW(E$2:E4929)*(E4929=E$2:E4929)))))-COUNTBLANK(OFFSET(A$1,,,SUMPRODUCT(MAX(ROW(E$1:E4928)*(E2=E$1:E4928))))))</f>
        <v> </v>
      </c>
      <c r="K4929" s="25" t="str">
        <f>IF(OR(E4929="",E4929="!!!",F4929="NEW"),"",INDEX(J$1:J4928,SUMPRODUCT(MAX(ROW(E$1:E4928)*(E4929=E$1:E4928)))))</f>
        <v> </v>
      </c>
      <c r="L4929" s="26"/>
    </row>
    <row r="4930" spans="1:12">
      <c r="A4930" s="20" t="s">
        <v>16</v>
      </c>
      <c r="E4930" s="21">
        <f>IF(D4930="?OLD","!!!","")</f>
        <v/>
      </c>
      <c r="F4930" s="22" t="str">
        <f>IF(OR(E4930="",E4930="!!!"),"",IF(NOT(ISNA(VLOOKUP(E4930,E$1:E4929,1,FALSE()))),"OLD",IF(AND(E4930&lt;&gt;"",E4930&lt;&gt;"!!!"),"NEW","")))</f>
        <v> </v>
      </c>
      <c r="G4930" s="23" t="str">
        <f>IF(OR(E4930="",E4930="!!!"),"",IF(OR(J4930=0,AND(J4930=1,K4930=1),AND(J4930=1,I4930="SBJ"),AND(J4930=1,I4930=0)),"?IN_FOCUS",IF(J4930&lt;=2,"?ACTIVATED",IF(J4930&lt;&gt;"","?FAMILIAR",IF(F4930="NEW",IF(ISNA(VLOOKUP(E4930,#REF!,1,FALSE())),"?TYPE_IDENTIFIABLE","?REFERENTIAL"),"_")))))</f>
        <v> </v>
      </c>
      <c r="H4930" s="24" t="str">
        <f>IF(J4930&lt;&gt;1,"",IF(I4930="SBJ","CB","?"))</f>
        <v> </v>
      </c>
      <c r="I4930" s="25" t="str">
        <f>IF(OR(E4930="",E4930="!!!",F4930="NEW"),"",INDEX(B4929:B$2,-1+SUMPRODUCT(MAX(ROW(E4929:E$2)*(E4930=E4929:E$2)))))</f>
        <v> </v>
      </c>
      <c r="J4930" s="25" t="str">
        <f>IF(OR(E4930="",E4930="!!!",F4930="NEW"),"",COUNTBLANK(OFFSET(A$1,,,SUMPRODUCT(MAX(ROW(E$2:E4930)*(E4930=E$2:E4930)))))-COUNTBLANK(OFFSET(A$1,,,SUMPRODUCT(MAX(ROW(E$1:E4929)*(E2=E$1:E4929))))))</f>
        <v> </v>
      </c>
      <c r="K4930" s="25" t="str">
        <f>IF(OR(E4930="",E4930="!!!",F4930="NEW"),"",INDEX(J$1:J4929,SUMPRODUCT(MAX(ROW(E$1:E4929)*(E4930=E$1:E4929)))))</f>
        <v> </v>
      </c>
      <c r="L4930" s="26"/>
    </row>
    <row r="4931" spans="1:12">
      <c r="A4931" s="20" t="s">
        <v>1068</v>
      </c>
      <c r="B4931" s="27" t="s">
        <v>1080</v>
      </c>
      <c r="C4931" s="27" t="s">
        <v>1088</v>
      </c>
      <c r="D4931" s="27" t="s">
        <v>1026</v>
      </c>
      <c r="E4931" s="21">
        <f>IF(D4931="?OLD","!!!","")</f>
        <v/>
      </c>
      <c r="F4931" s="22" t="str">
        <f>IF(OR(E4931="",E4931="!!!"),"",IF(NOT(ISNA(VLOOKUP(E4931,E$1:E4930,1,FALSE()))),"OLD",IF(AND(E4931&lt;&gt;"",E4931&lt;&gt;"!!!"),"NEW","")))</f>
        <v> </v>
      </c>
      <c r="G4931" s="23" t="str">
        <f>IF(OR(E4931="",E4931="!!!"),"",IF(OR(J4931=0,AND(J4931=1,K4931=1),AND(J4931=1,I4931="SBJ"),AND(J4931=1,I4931=0)),"?IN_FOCUS",IF(J4931&lt;=2,"?ACTIVATED",IF(J4931&lt;&gt;"","?FAMILIAR",IF(F4931="NEW",IF(ISNA(VLOOKUP(E4931,#REF!,1,FALSE())),"?TYPE_IDENTIFIABLE","?REFERENTIAL"),"_")))))</f>
        <v> </v>
      </c>
      <c r="H4931" s="24" t="str">
        <f>IF(J4931&lt;&gt;1,"",IF(I4931="SBJ","CB","?"))</f>
        <v> </v>
      </c>
      <c r="I4931" s="25" t="str">
        <f>IF(OR(E4931="",E4931="!!!",F4931="NEW"),"",INDEX(B4930:B$2,-1+SUMPRODUCT(MAX(ROW(E4930:E$2)*(E4931=E4930:E$2)))))</f>
        <v> </v>
      </c>
      <c r="J4931" s="25" t="str">
        <f>IF(OR(E4931="",E4931="!!!",F4931="NEW"),"",COUNTBLANK(OFFSET(A$1,,,SUMPRODUCT(MAX(ROW(E$2:E4931)*(E4931=E$2:E4931)))))-COUNTBLANK(OFFSET(A$1,,,SUMPRODUCT(MAX(ROW(E$1:E4930)*(E2=E$1:E4930))))))</f>
        <v> </v>
      </c>
      <c r="K4931" s="25" t="str">
        <f>IF(OR(E4931="",E4931="!!!",F4931="NEW"),"",INDEX(J$1:J4930,SUMPRODUCT(MAX(ROW(E$1:E4930)*(E4931=E$1:E4930)))))</f>
        <v> </v>
      </c>
      <c r="L4931" s="26"/>
    </row>
    <row r="4932" spans="1:12">
      <c r="A4932" s="20" t="s">
        <v>1035</v>
      </c>
      <c r="B4932" s="27" t="s">
        <v>1024</v>
      </c>
      <c r="C4932" s="27" t="s">
        <v>1036</v>
      </c>
      <c r="D4932" s="27" t="s">
        <v>1026</v>
      </c>
      <c r="E4932" s="21">
        <f>IF(D4932="?OLD","!!!","")</f>
        <v/>
      </c>
      <c r="F4932" s="22" t="str">
        <f>IF(OR(E4932="",E4932="!!!"),"",IF(NOT(ISNA(VLOOKUP(E4932,E$1:E4931,1,FALSE()))),"OLD",IF(AND(E4932&lt;&gt;"",E4932&lt;&gt;"!!!"),"NEW","")))</f>
        <v> </v>
      </c>
      <c r="G4932" s="23" t="str">
        <f>IF(OR(E4932="",E4932="!!!"),"",IF(OR(J4932=0,AND(J4932=1,K4932=1),AND(J4932=1,I4932="SBJ"),AND(J4932=1,I4932=0)),"?IN_FOCUS",IF(J4932&lt;=2,"?ACTIVATED",IF(J4932&lt;&gt;"","?FAMILIAR",IF(F4932="NEW",IF(ISNA(VLOOKUP(E4932,#REF!,1,FALSE())),"?TYPE_IDENTIFIABLE","?REFERENTIAL"),"_")))))</f>
        <v> </v>
      </c>
      <c r="H4932" s="24" t="str">
        <f>IF(J4932&lt;&gt;1,"",IF(I4932="SBJ","CB","?"))</f>
        <v> </v>
      </c>
      <c r="I4932" s="25" t="str">
        <f>IF(OR(E4932="",E4932="!!!",F4932="NEW"),"",INDEX(B4931:B$2,-1+SUMPRODUCT(MAX(ROW(E4931:E$2)*(E4932=E4931:E$2)))))</f>
        <v> </v>
      </c>
      <c r="J4932" s="25" t="str">
        <f>IF(OR(E4932="",E4932="!!!",F4932="NEW"),"",COUNTBLANK(OFFSET(A$1,,,SUMPRODUCT(MAX(ROW(E$2:E4932)*(E4932=E$2:E4932)))))-COUNTBLANK(OFFSET(A$1,,,SUMPRODUCT(MAX(ROW(E$1:E4931)*(E2=E$1:E4931))))))</f>
        <v> </v>
      </c>
      <c r="K4932" s="25" t="str">
        <f>IF(OR(E4932="",E4932="!!!",F4932="NEW"),"",INDEX(J$1:J4931,SUMPRODUCT(MAX(ROW(E$1:E4931)*(E4932=E$1:E4931)))))</f>
        <v> </v>
      </c>
      <c r="L4932" s="26"/>
    </row>
    <row r="4933" spans="1:12">
      <c r="A4933" s="20" t="s">
        <v>1108</v>
      </c>
      <c r="E4933" s="21">
        <f>IF(D4933="?OLD","!!!","")</f>
        <v/>
      </c>
      <c r="F4933" s="22" t="str">
        <f>IF(OR(E4933="",E4933="!!!"),"",IF(NOT(ISNA(VLOOKUP(E4933,E$1:E4932,1,FALSE()))),"OLD",IF(AND(E4933&lt;&gt;"",E4933&lt;&gt;"!!!"),"NEW","")))</f>
        <v> </v>
      </c>
      <c r="G4933" s="23" t="str">
        <f>IF(OR(E4933="",E4933="!!!"),"",IF(OR(J4933=0,AND(J4933=1,K4933=1),AND(J4933=1,I4933="SBJ"),AND(J4933=1,I4933=0)),"?IN_FOCUS",IF(J4933&lt;=2,"?ACTIVATED",IF(J4933&lt;&gt;"","?FAMILIAR",IF(F4933="NEW",IF(ISNA(VLOOKUP(E4933,#REF!,1,FALSE())),"?TYPE_IDENTIFIABLE","?REFERENTIAL"),"_")))))</f>
        <v> </v>
      </c>
      <c r="H4933" s="24" t="str">
        <f>IF(J4933&lt;&gt;1,"",IF(I4933="SBJ","CB","?"))</f>
        <v> </v>
      </c>
      <c r="I4933" s="25" t="str">
        <f>IF(OR(E4933="",E4933="!!!",F4933="NEW"),"",INDEX(B4932:B$2,-1+SUMPRODUCT(MAX(ROW(E4932:E$2)*(E4933=E4932:E$2)))))</f>
        <v> </v>
      </c>
      <c r="J4933" s="25" t="str">
        <f>IF(OR(E4933="",E4933="!!!",F4933="NEW"),"",COUNTBLANK(OFFSET(A$1,,,SUMPRODUCT(MAX(ROW(E$2:E4933)*(E4933=E$2:E4933)))))-COUNTBLANK(OFFSET(A$1,,,SUMPRODUCT(MAX(ROW(E$1:E4932)*(E2=E$1:E4932))))))</f>
        <v> </v>
      </c>
      <c r="K4933" s="25" t="str">
        <f>IF(OR(E4933="",E4933="!!!",F4933="NEW"),"",INDEX(J$1:J4932,SUMPRODUCT(MAX(ROW(E$1:E4932)*(E4933=E$1:E4932)))))</f>
        <v> </v>
      </c>
      <c r="L4933" s="26"/>
    </row>
    <row r="4934" spans="1:12">
      <c r="A4934" s="20" t="s">
        <v>2990</v>
      </c>
      <c r="B4934" s="27" t="s">
        <v>1080</v>
      </c>
      <c r="C4934" s="27" t="s">
        <v>1072</v>
      </c>
      <c r="D4934" s="27" t="s">
        <v>1026</v>
      </c>
      <c r="E4934" s="21">
        <f>IF(D4934="?OLD","!!!","")</f>
        <v/>
      </c>
      <c r="F4934" s="22" t="str">
        <f>IF(OR(E4934="",E4934="!!!"),"",IF(NOT(ISNA(VLOOKUP(E4934,E$1:E4933,1,FALSE()))),"OLD",IF(AND(E4934&lt;&gt;"",E4934&lt;&gt;"!!!"),"NEW","")))</f>
        <v> </v>
      </c>
      <c r="G4934" s="23" t="str">
        <f>IF(OR(E4934="",E4934="!!!"),"",IF(OR(J4934=0,AND(J4934=1,K4934=1),AND(J4934=1,I4934="SBJ"),AND(J4934=1,I4934=0)),"?IN_FOCUS",IF(J4934&lt;=2,"?ACTIVATED",IF(J4934&lt;&gt;"","?FAMILIAR",IF(F4934="NEW",IF(ISNA(VLOOKUP(E4934,#REF!,1,FALSE())),"?TYPE_IDENTIFIABLE","?REFERENTIAL"),"_")))))</f>
        <v> </v>
      </c>
      <c r="H4934" s="24" t="str">
        <f>IF(J4934&lt;&gt;1,"",IF(I4934="SBJ","CB","?"))</f>
        <v> </v>
      </c>
      <c r="I4934" s="25" t="str">
        <f>IF(OR(E4934="",E4934="!!!",F4934="NEW"),"",INDEX(B4933:B$2,-1+SUMPRODUCT(MAX(ROW(E4933:E$2)*(E4934=E4933:E$2)))))</f>
        <v> </v>
      </c>
      <c r="J4934" s="25" t="str">
        <f>IF(OR(E4934="",E4934="!!!",F4934="NEW"),"",COUNTBLANK(OFFSET(A$1,,,SUMPRODUCT(MAX(ROW(E$2:E4934)*(E4934=E$2:E4934)))))-COUNTBLANK(OFFSET(A$1,,,SUMPRODUCT(MAX(ROW(E$1:E4933)*(E2=E$1:E4933))))))</f>
        <v> </v>
      </c>
      <c r="K4934" s="25" t="str">
        <f>IF(OR(E4934="",E4934="!!!",F4934="NEW"),"",INDEX(J$1:J4933,SUMPRODUCT(MAX(ROW(E$1:E4933)*(E4934=E$1:E4933)))))</f>
        <v> </v>
      </c>
      <c r="L4934" s="26"/>
    </row>
    <row r="4935" spans="1:12">
      <c r="A4935" s="20" t="s">
        <v>1032</v>
      </c>
      <c r="E4935" s="21">
        <f>IF(D4935="?OLD","!!!","")</f>
        <v/>
      </c>
      <c r="F4935" s="22" t="str">
        <f>IF(OR(E4935="",E4935="!!!"),"",IF(NOT(ISNA(VLOOKUP(E4935,E$1:E4934,1,FALSE()))),"OLD",IF(AND(E4935&lt;&gt;"",E4935&lt;&gt;"!!!"),"NEW","")))</f>
        <v> </v>
      </c>
      <c r="G4935" s="23" t="str">
        <f>IF(OR(E4935="",E4935="!!!"),"",IF(OR(J4935=0,AND(J4935=1,K4935=1),AND(J4935=1,I4935="SBJ"),AND(J4935=1,I4935=0)),"?IN_FOCUS",IF(J4935&lt;=2,"?ACTIVATED",IF(J4935&lt;&gt;"","?FAMILIAR",IF(F4935="NEW",IF(ISNA(VLOOKUP(E4935,#REF!,1,FALSE())),"?TYPE_IDENTIFIABLE","?REFERENTIAL"),"_")))))</f>
        <v> </v>
      </c>
      <c r="H4935" s="24" t="str">
        <f>IF(J4935&lt;&gt;1,"",IF(I4935="SBJ","CB","?"))</f>
        <v> </v>
      </c>
      <c r="I4935" s="25" t="str">
        <f>IF(OR(E4935="",E4935="!!!",F4935="NEW"),"",INDEX(B4934:B$2,-1+SUMPRODUCT(MAX(ROW(E4934:E$2)*(E4935=E4934:E$2)))))</f>
        <v> </v>
      </c>
      <c r="J4935" s="25" t="str">
        <f>IF(OR(E4935="",E4935="!!!",F4935="NEW"),"",COUNTBLANK(OFFSET(A$1,,,SUMPRODUCT(MAX(ROW(E$2:E4935)*(E4935=E$2:E4935)))))-COUNTBLANK(OFFSET(A$1,,,SUMPRODUCT(MAX(ROW(E$1:E4934)*(E2=E$1:E4934))))))</f>
        <v> </v>
      </c>
      <c r="K4935" s="25" t="str">
        <f>IF(OR(E4935="",E4935="!!!",F4935="NEW"),"",INDEX(J$1:J4934,SUMPRODUCT(MAX(ROW(E$1:E4934)*(E4935=E$1:E4934)))))</f>
        <v> </v>
      </c>
      <c r="L4935" s="26"/>
    </row>
    <row r="4936" spans="1:12">
      <c r="A4936" s="20"/>
    </row>
    <row r="4937" spans="1:12">
      <c r="A4937" s="20" t="s">
        <v>2991</v>
      </c>
    </row>
    <row r="4938" spans="1:12">
      <c r="A4938" s="20" t="s">
        <v>1102</v>
      </c>
      <c r="E4938" s="21">
        <f>IF(D4938="?OLD","!!!","")</f>
        <v/>
      </c>
      <c r="F4938" s="22" t="str">
        <f>IF(OR(E4938="",E4938="!!!"),"",IF(NOT(ISNA(VLOOKUP(E4938,E$1:E4937,1,FALSE()))),"OLD",IF(AND(E4938&lt;&gt;"",E4938&lt;&gt;"!!!"),"NEW","")))</f>
        <v> </v>
      </c>
      <c r="G4938" s="23" t="str">
        <f>IF(OR(E4938="",E4938="!!!"),"",IF(OR(J4938=0,AND(J4938=1,K4938=1),AND(J4938=1,I4938="SBJ"),AND(J4938=1,I4938=0)),"?IN_FOCUS",IF(J4938&lt;=2,"?ACTIVATED",IF(J4938&lt;&gt;"","?FAMILIAR",IF(F4938="NEW",IF(ISNA(VLOOKUP(E4938,#REF!,1,FALSE())),"?TYPE_IDENTIFIABLE","?REFERENTIAL"),"_")))))</f>
        <v> </v>
      </c>
      <c r="H4938" s="24" t="str">
        <f>IF(J4938&lt;&gt;1,"",IF(I4938="SBJ","CB","?"))</f>
        <v> </v>
      </c>
      <c r="I4938" s="25" t="str">
        <f>IF(OR(E4938="",E4938="!!!",F4938="NEW"),"",INDEX(B4937:B$2,-1+SUMPRODUCT(MAX(ROW(E4937:E$2)*(E4938=E4937:E$2)))))</f>
        <v> </v>
      </c>
      <c r="J4938" s="25" t="str">
        <f>IF(OR(E4938="",E4938="!!!",F4938="NEW"),"",COUNTBLANK(OFFSET(A$1,,,SUMPRODUCT(MAX(ROW(E$2:E4938)*(E4938=E$2:E4938)))))-COUNTBLANK(OFFSET(A$1,,,SUMPRODUCT(MAX(ROW(E$1:E4937)*(E2=E$1:E4937))))))</f>
        <v> </v>
      </c>
      <c r="K4938" s="25" t="str">
        <f>IF(OR(E4938="",E4938="!!!",F4938="NEW"),"",INDEX(J$1:J4937,SUMPRODUCT(MAX(ROW(E$1:E4937)*(E4938=E$1:E4937)))))</f>
        <v> </v>
      </c>
      <c r="L4938" s="26"/>
    </row>
    <row r="4939" spans="1:12">
      <c r="A4939" s="20" t="s">
        <v>1252</v>
      </c>
      <c r="E4939" s="21">
        <f>IF(D4939="?OLD","!!!","")</f>
        <v/>
      </c>
      <c r="F4939" s="22" t="str">
        <f>IF(OR(E4939="",E4939="!!!"),"",IF(NOT(ISNA(VLOOKUP(E4939,E$1:E4938,1,FALSE()))),"OLD",IF(AND(E4939&lt;&gt;"",E4939&lt;&gt;"!!!"),"NEW","")))</f>
        <v> </v>
      </c>
      <c r="G4939" s="23" t="str">
        <f>IF(OR(E4939="",E4939="!!!"),"",IF(OR(J4939=0,AND(J4939=1,K4939=1),AND(J4939=1,I4939="SBJ"),AND(J4939=1,I4939=0)),"?IN_FOCUS",IF(J4939&lt;=2,"?ACTIVATED",IF(J4939&lt;&gt;"","?FAMILIAR",IF(F4939="NEW",IF(ISNA(VLOOKUP(E4939,#REF!,1,FALSE())),"?TYPE_IDENTIFIABLE","?REFERENTIAL"),"_")))))</f>
        <v> </v>
      </c>
      <c r="H4939" s="24" t="str">
        <f>IF(J4939&lt;&gt;1,"",IF(I4939="SBJ","CB","?"))</f>
        <v> </v>
      </c>
      <c r="I4939" s="25" t="str">
        <f>IF(OR(E4939="",E4939="!!!",F4939="NEW"),"",INDEX(B4938:B$2,-1+SUMPRODUCT(MAX(ROW(E4938:E$2)*(E4939=E4938:E$2)))))</f>
        <v> </v>
      </c>
      <c r="J4939" s="25" t="str">
        <f>IF(OR(E4939="",E4939="!!!",F4939="NEW"),"",COUNTBLANK(OFFSET(A$1,,,SUMPRODUCT(MAX(ROW(E$2:E4939)*(E4939=E$2:E4939)))))-COUNTBLANK(OFFSET(A$1,,,SUMPRODUCT(MAX(ROW(E$1:E4938)*(E2=E$1:E4938))))))</f>
        <v> </v>
      </c>
      <c r="K4939" s="25" t="str">
        <f>IF(OR(E4939="",E4939="!!!",F4939="NEW"),"",INDEX(J$1:J4938,SUMPRODUCT(MAX(ROW(E$1:E4938)*(E4939=E$1:E4938)))))</f>
        <v> </v>
      </c>
      <c r="L4939" s="26"/>
    </row>
    <row r="4940" spans="1:12">
      <c r="A4940" s="20" t="s">
        <v>2992</v>
      </c>
      <c r="B4940" s="27" t="s">
        <v>1024</v>
      </c>
      <c r="C4940" s="27" t="s">
        <v>1075</v>
      </c>
      <c r="D4940" s="27" t="s">
        <v>1026</v>
      </c>
      <c r="E4940" s="21">
        <f>IF(D4940="?OLD","!!!","")</f>
        <v/>
      </c>
      <c r="F4940" s="22" t="str">
        <f>IF(OR(E4940="",E4940="!!!"),"",IF(NOT(ISNA(VLOOKUP(E4940,E$1:E4939,1,FALSE()))),"OLD",IF(AND(E4940&lt;&gt;"",E4940&lt;&gt;"!!!"),"NEW","")))</f>
        <v> </v>
      </c>
      <c r="G4940" s="23" t="str">
        <f>IF(OR(E4940="",E4940="!!!"),"",IF(OR(J4940=0,AND(J4940=1,K4940=1),AND(J4940=1,I4940="SBJ"),AND(J4940=1,I4940=0)),"?IN_FOCUS",IF(J4940&lt;=2,"?ACTIVATED",IF(J4940&lt;&gt;"","?FAMILIAR",IF(F4940="NEW",IF(ISNA(VLOOKUP(E4940,#REF!,1,FALSE())),"?TYPE_IDENTIFIABLE","?REFERENTIAL"),"_")))))</f>
        <v> </v>
      </c>
      <c r="H4940" s="24" t="str">
        <f>IF(J4940&lt;&gt;1,"",IF(I4940="SBJ","CB","?"))</f>
        <v> </v>
      </c>
      <c r="I4940" s="25" t="str">
        <f>IF(OR(E4940="",E4940="!!!",F4940="NEW"),"",INDEX(B4939:B$2,-1+SUMPRODUCT(MAX(ROW(E4939:E$2)*(E4940=E4939:E$2)))))</f>
        <v> </v>
      </c>
      <c r="J4940" s="25" t="str">
        <f>IF(OR(E4940="",E4940="!!!",F4940="NEW"),"",COUNTBLANK(OFFSET(A$1,,,SUMPRODUCT(MAX(ROW(E$2:E4940)*(E4940=E$2:E4940)))))-COUNTBLANK(OFFSET(A$1,,,SUMPRODUCT(MAX(ROW(E$1:E4939)*(E2=E$1:E4939))))))</f>
        <v> </v>
      </c>
      <c r="K4940" s="25" t="str">
        <f>IF(OR(E4940="",E4940="!!!",F4940="NEW"),"",INDEX(J$1:J4939,SUMPRODUCT(MAX(ROW(E$1:E4939)*(E4940=E$1:E4939)))))</f>
        <v> </v>
      </c>
      <c r="L4940" s="26"/>
    </row>
    <row r="4941" spans="1:12">
      <c r="A4941" s="20" t="s">
        <v>2993</v>
      </c>
      <c r="E4941" s="21">
        <f>IF(D4941="?OLD","!!!","")</f>
        <v/>
      </c>
      <c r="F4941" s="22" t="str">
        <f>IF(OR(E4941="",E4941="!!!"),"",IF(NOT(ISNA(VLOOKUP(E4941,E$1:E4940,1,FALSE()))),"OLD",IF(AND(E4941&lt;&gt;"",E4941&lt;&gt;"!!!"),"NEW","")))</f>
        <v> </v>
      </c>
      <c r="G4941" s="23" t="str">
        <f>IF(OR(E4941="",E4941="!!!"),"",IF(OR(J4941=0,AND(J4941=1,K4941=1),AND(J4941=1,I4941="SBJ"),AND(J4941=1,I4941=0)),"?IN_FOCUS",IF(J4941&lt;=2,"?ACTIVATED",IF(J4941&lt;&gt;"","?FAMILIAR",IF(F4941="NEW",IF(ISNA(VLOOKUP(E4941,#REF!,1,FALSE())),"?TYPE_IDENTIFIABLE","?REFERENTIAL"),"_")))))</f>
        <v> </v>
      </c>
      <c r="H4941" s="24" t="str">
        <f>IF(J4941&lt;&gt;1,"",IF(I4941="SBJ","CB","?"))</f>
        <v> </v>
      </c>
      <c r="I4941" s="25" t="str">
        <f>IF(OR(E4941="",E4941="!!!",F4941="NEW"),"",INDEX(B4940:B$2,-1+SUMPRODUCT(MAX(ROW(E4940:E$2)*(E4941=E4940:E$2)))))</f>
        <v> </v>
      </c>
      <c r="J4941" s="25" t="str">
        <f>IF(OR(E4941="",E4941="!!!",F4941="NEW"),"",COUNTBLANK(OFFSET(A$1,,,SUMPRODUCT(MAX(ROW(E$2:E4941)*(E4941=E$2:E4941)))))-COUNTBLANK(OFFSET(A$1,,,SUMPRODUCT(MAX(ROW(E$1:E4940)*(E2=E$1:E4940))))))</f>
        <v> </v>
      </c>
      <c r="K4941" s="25" t="str">
        <f>IF(OR(E4941="",E4941="!!!",F4941="NEW"),"",INDEX(J$1:J4940,SUMPRODUCT(MAX(ROW(E$1:E4940)*(E4941=E$1:E4940)))))</f>
        <v> </v>
      </c>
      <c r="L4941" s="26"/>
    </row>
    <row r="4942" spans="1:12">
      <c r="A4942" s="20" t="s">
        <v>1032</v>
      </c>
      <c r="E4942" s="21">
        <f>IF(D4942="?OLD","!!!","")</f>
        <v/>
      </c>
      <c r="F4942" s="22" t="str">
        <f>IF(OR(E4942="",E4942="!!!"),"",IF(NOT(ISNA(VLOOKUP(E4942,E$1:E4941,1,FALSE()))),"OLD",IF(AND(E4942&lt;&gt;"",E4942&lt;&gt;"!!!"),"NEW","")))</f>
        <v> </v>
      </c>
      <c r="G4942" s="23" t="str">
        <f>IF(OR(E4942="",E4942="!!!"),"",IF(OR(J4942=0,AND(J4942=1,K4942=1),AND(J4942=1,I4942="SBJ"),AND(J4942=1,I4942=0)),"?IN_FOCUS",IF(J4942&lt;=2,"?ACTIVATED",IF(J4942&lt;&gt;"","?FAMILIAR",IF(F4942="NEW",IF(ISNA(VLOOKUP(E4942,#REF!,1,FALSE())),"?TYPE_IDENTIFIABLE","?REFERENTIAL"),"_")))))</f>
        <v> </v>
      </c>
      <c r="H4942" s="24" t="str">
        <f>IF(J4942&lt;&gt;1,"",IF(I4942="SBJ","CB","?"))</f>
        <v> </v>
      </c>
      <c r="I4942" s="25" t="str">
        <f>IF(OR(E4942="",E4942="!!!",F4942="NEW"),"",INDEX(B4941:B$2,-1+SUMPRODUCT(MAX(ROW(E4941:E$2)*(E4942=E4941:E$2)))))</f>
        <v> </v>
      </c>
      <c r="J4942" s="25" t="str">
        <f>IF(OR(E4942="",E4942="!!!",F4942="NEW"),"",COUNTBLANK(OFFSET(A$1,,,SUMPRODUCT(MAX(ROW(E$2:E4942)*(E4942=E$2:E4942)))))-COUNTBLANK(OFFSET(A$1,,,SUMPRODUCT(MAX(ROW(E$1:E4941)*(E2=E$1:E4941))))))</f>
        <v> </v>
      </c>
      <c r="K4942" s="25" t="str">
        <f>IF(OR(E4942="",E4942="!!!",F4942="NEW"),"",INDEX(J$1:J4941,SUMPRODUCT(MAX(ROW(E$1:E4941)*(E4942=E$1:E4941)))))</f>
        <v> </v>
      </c>
      <c r="L4942" s="26"/>
    </row>
    <row r="4943" spans="1:12">
      <c r="A4943" s="20"/>
    </row>
    <row r="4944" spans="1:12">
      <c r="A4944" s="20" t="s">
        <v>2994</v>
      </c>
    </row>
    <row r="4945" spans="1:12">
      <c r="A4945" s="20" t="s">
        <v>2196</v>
      </c>
      <c r="B4945" s="27" t="s">
        <v>1136</v>
      </c>
      <c r="C4945" s="27" t="s">
        <v>1046</v>
      </c>
      <c r="D4945" s="27" t="s">
        <v>1026</v>
      </c>
      <c r="E4945" s="21">
        <f>IF(D4945="?OLD","!!!","")</f>
        <v/>
      </c>
      <c r="F4945" s="22" t="str">
        <f>IF(OR(E4945="",E4945="!!!"),"",IF(NOT(ISNA(VLOOKUP(E4945,E$1:E4944,1,FALSE()))),"OLD",IF(AND(E4945&lt;&gt;"",E4945&lt;&gt;"!!!"),"NEW","")))</f>
        <v> </v>
      </c>
      <c r="G4945" s="23" t="str">
        <f>IF(OR(E4945="",E4945="!!!"),"",IF(OR(J4945=0,AND(J4945=1,K4945=1),AND(J4945=1,I4945="SBJ"),AND(J4945=1,I4945=0)),"?IN_FOCUS",IF(J4945&lt;=2,"?ACTIVATED",IF(J4945&lt;&gt;"","?FAMILIAR",IF(F4945="NEW",IF(ISNA(VLOOKUP(E4945,#REF!,1,FALSE())),"?TYPE_IDENTIFIABLE","?REFERENTIAL"),"_")))))</f>
        <v> </v>
      </c>
      <c r="H4945" s="24" t="str">
        <f>IF(J4945&lt;&gt;1,"",IF(I4945="SBJ","CB","?"))</f>
        <v> </v>
      </c>
      <c r="I4945" s="25" t="str">
        <f>IF(OR(E4945="",E4945="!!!",F4945="NEW"),"",INDEX(B4944:B$2,-1+SUMPRODUCT(MAX(ROW(E4944:E$2)*(E4945=E4944:E$2)))))</f>
        <v> </v>
      </c>
      <c r="J4945" s="25" t="str">
        <f>IF(OR(E4945="",E4945="!!!",F4945="NEW"),"",COUNTBLANK(OFFSET(A$1,,,SUMPRODUCT(MAX(ROW(E$2:E4945)*(E4945=E$2:E4945)))))-COUNTBLANK(OFFSET(A$1,,,SUMPRODUCT(MAX(ROW(E$1:E4944)*(E2=E$1:E4944))))))</f>
        <v> </v>
      </c>
      <c r="K4945" s="25" t="str">
        <f>IF(OR(E4945="",E4945="!!!",F4945="NEW"),"",INDEX(J$1:J4944,SUMPRODUCT(MAX(ROW(E$1:E4944)*(E4945=E$1:E4944)))))</f>
        <v> </v>
      </c>
      <c r="L4945" s="26"/>
    </row>
    <row r="4946" spans="1:12">
      <c r="A4946" s="20" t="s">
        <v>2995</v>
      </c>
      <c r="E4946" s="21">
        <f>IF(D4946="?OLD","!!!","")</f>
        <v/>
      </c>
      <c r="F4946" s="22" t="str">
        <f>IF(OR(E4946="",E4946="!!!"),"",IF(NOT(ISNA(VLOOKUP(E4946,E$1:E4945,1,FALSE()))),"OLD",IF(AND(E4946&lt;&gt;"",E4946&lt;&gt;"!!!"),"NEW","")))</f>
        <v> </v>
      </c>
      <c r="G4946" s="23" t="str">
        <f>IF(OR(E4946="",E4946="!!!"),"",IF(OR(J4946=0,AND(J4946=1,K4946=1),AND(J4946=1,I4946="SBJ"),AND(J4946=1,I4946=0)),"?IN_FOCUS",IF(J4946&lt;=2,"?ACTIVATED",IF(J4946&lt;&gt;"","?FAMILIAR",IF(F4946="NEW",IF(ISNA(VLOOKUP(E4946,#REF!,1,FALSE())),"?TYPE_IDENTIFIABLE","?REFERENTIAL"),"_")))))</f>
        <v> </v>
      </c>
      <c r="H4946" s="24" t="str">
        <f>IF(J4946&lt;&gt;1,"",IF(I4946="SBJ","CB","?"))</f>
        <v> </v>
      </c>
      <c r="I4946" s="25" t="str">
        <f>IF(OR(E4946="",E4946="!!!",F4946="NEW"),"",INDEX(B4945:B$2,-1+SUMPRODUCT(MAX(ROW(E4945:E$2)*(E4946=E4945:E$2)))))</f>
        <v> </v>
      </c>
      <c r="J4946" s="25" t="str">
        <f>IF(OR(E4946="",E4946="!!!",F4946="NEW"),"",COUNTBLANK(OFFSET(A$1,,,SUMPRODUCT(MAX(ROW(E$2:E4946)*(E4946=E$2:E4946)))))-COUNTBLANK(OFFSET(A$1,,,SUMPRODUCT(MAX(ROW(E$1:E4945)*(E2=E$1:E4945))))))</f>
        <v> </v>
      </c>
      <c r="K4946" s="25" t="str">
        <f>IF(OR(E4946="",E4946="!!!",F4946="NEW"),"",INDEX(J$1:J4945,SUMPRODUCT(MAX(ROW(E$1:E4945)*(E4946=E$1:E4945)))))</f>
        <v> </v>
      </c>
      <c r="L4946" s="26"/>
    </row>
    <row r="4947" spans="1:12">
      <c r="A4947" s="20" t="s">
        <v>2996</v>
      </c>
      <c r="B4947" s="27" t="s">
        <v>1024</v>
      </c>
      <c r="E4947" s="21">
        <f>IF(D4947="?OLD","!!!","")</f>
        <v/>
      </c>
      <c r="F4947" s="22" t="str">
        <f>IF(OR(E4947="",E4947="!!!"),"",IF(NOT(ISNA(VLOOKUP(E4947,E$1:E4946,1,FALSE()))),"OLD",IF(AND(E4947&lt;&gt;"",E4947&lt;&gt;"!!!"),"NEW","")))</f>
        <v> </v>
      </c>
      <c r="G4947" s="23" t="str">
        <f>IF(OR(E4947="",E4947="!!!"),"",IF(OR(J4947=0,AND(J4947=1,K4947=1),AND(J4947=1,I4947="SBJ"),AND(J4947=1,I4947=0)),"?IN_FOCUS",IF(J4947&lt;=2,"?ACTIVATED",IF(J4947&lt;&gt;"","?FAMILIAR",IF(F4947="NEW",IF(ISNA(VLOOKUP(E4947,#REF!,1,FALSE())),"?TYPE_IDENTIFIABLE","?REFERENTIAL"),"_")))))</f>
        <v> </v>
      </c>
      <c r="H4947" s="24" t="str">
        <f>IF(J4947&lt;&gt;1,"",IF(I4947="SBJ","CB","?"))</f>
        <v> </v>
      </c>
      <c r="I4947" s="25" t="str">
        <f>IF(OR(E4947="",E4947="!!!",F4947="NEW"),"",INDEX(B4946:B$2,-1+SUMPRODUCT(MAX(ROW(E4946:E$2)*(E4947=E4946:E$2)))))</f>
        <v> </v>
      </c>
      <c r="J4947" s="25" t="str">
        <f>IF(OR(E4947="",E4947="!!!",F4947="NEW"),"",COUNTBLANK(OFFSET(A$1,,,SUMPRODUCT(MAX(ROW(E$2:E4947)*(E4947=E$2:E4947)))))-COUNTBLANK(OFFSET(A$1,,,SUMPRODUCT(MAX(ROW(E$1:E4946)*(E2=E$1:E4946))))))</f>
        <v> </v>
      </c>
      <c r="K4947" s="25" t="str">
        <f>IF(OR(E4947="",E4947="!!!",F4947="NEW"),"",INDEX(J$1:J4946,SUMPRODUCT(MAX(ROW(E$1:E4946)*(E4947=E$1:E4946)))))</f>
        <v> </v>
      </c>
      <c r="L4947" s="26"/>
    </row>
    <row r="4948" spans="1:12">
      <c r="A4948" s="20" t="s">
        <v>1590</v>
      </c>
      <c r="E4948" s="21">
        <f>IF(D4948="?OLD","!!!","")</f>
        <v/>
      </c>
      <c r="F4948" s="22" t="str">
        <f>IF(OR(E4948="",E4948="!!!"),"",IF(NOT(ISNA(VLOOKUP(E4948,E$1:E4947,1,FALSE()))),"OLD",IF(AND(E4948&lt;&gt;"",E4948&lt;&gt;"!!!"),"NEW","")))</f>
        <v> </v>
      </c>
      <c r="G4948" s="23" t="str">
        <f>IF(OR(E4948="",E4948="!!!"),"",IF(OR(J4948=0,AND(J4948=1,K4948=1),AND(J4948=1,I4948="SBJ"),AND(J4948=1,I4948=0)),"?IN_FOCUS",IF(J4948&lt;=2,"?ACTIVATED",IF(J4948&lt;&gt;"","?FAMILIAR",IF(F4948="NEW",IF(ISNA(VLOOKUP(E4948,#REF!,1,FALSE())),"?TYPE_IDENTIFIABLE","?REFERENTIAL"),"_")))))</f>
        <v> </v>
      </c>
      <c r="H4948" s="24" t="str">
        <f>IF(J4948&lt;&gt;1,"",IF(I4948="SBJ","CB","?"))</f>
        <v> </v>
      </c>
      <c r="I4948" s="25" t="str">
        <f>IF(OR(E4948="",E4948="!!!",F4948="NEW"),"",INDEX(B4947:B$2,-1+SUMPRODUCT(MAX(ROW(E4947:E$2)*(E4948=E4947:E$2)))))</f>
        <v> </v>
      </c>
      <c r="J4948" s="25" t="str">
        <f>IF(OR(E4948="",E4948="!!!",F4948="NEW"),"",COUNTBLANK(OFFSET(A$1,,,SUMPRODUCT(MAX(ROW(E$2:E4948)*(E4948=E$2:E4948)))))-COUNTBLANK(OFFSET(A$1,,,SUMPRODUCT(MAX(ROW(E$1:E4947)*(E2=E$1:E4947))))))</f>
        <v> </v>
      </c>
      <c r="K4948" s="25" t="str">
        <f>IF(OR(E4948="",E4948="!!!",F4948="NEW"),"",INDEX(J$1:J4947,SUMPRODUCT(MAX(ROW(E$1:E4947)*(E4948=E$1:E4947)))))</f>
        <v> </v>
      </c>
      <c r="L4948" s="26"/>
    </row>
    <row r="4949" spans="1:12">
      <c r="A4949" s="20" t="s">
        <v>1159</v>
      </c>
      <c r="E4949" s="21">
        <f>IF(D4949="?OLD","!!!","")</f>
        <v/>
      </c>
      <c r="F4949" s="22" t="str">
        <f>IF(OR(E4949="",E4949="!!!"),"",IF(NOT(ISNA(VLOOKUP(E4949,E$1:E4948,1,FALSE()))),"OLD",IF(AND(E4949&lt;&gt;"",E4949&lt;&gt;"!!!"),"NEW","")))</f>
        <v> </v>
      </c>
      <c r="G4949" s="23" t="str">
        <f>IF(OR(E4949="",E4949="!!!"),"",IF(OR(J4949=0,AND(J4949=1,K4949=1),AND(J4949=1,I4949="SBJ"),AND(J4949=1,I4949=0)),"?IN_FOCUS",IF(J4949&lt;=2,"?ACTIVATED",IF(J4949&lt;&gt;"","?FAMILIAR",IF(F4949="NEW",IF(ISNA(VLOOKUP(E4949,#REF!,1,FALSE())),"?TYPE_IDENTIFIABLE","?REFERENTIAL"),"_")))))</f>
        <v> </v>
      </c>
      <c r="H4949" s="24" t="str">
        <f>IF(J4949&lt;&gt;1,"",IF(I4949="SBJ","CB","?"))</f>
        <v> </v>
      </c>
      <c r="I4949" s="25" t="str">
        <f>IF(OR(E4949="",E4949="!!!",F4949="NEW"),"",INDEX(B4948:B$2,-1+SUMPRODUCT(MAX(ROW(E4948:E$2)*(E4949=E4948:E$2)))))</f>
        <v> </v>
      </c>
      <c r="J4949" s="25" t="str">
        <f>IF(OR(E4949="",E4949="!!!",F4949="NEW"),"",COUNTBLANK(OFFSET(A$1,,,SUMPRODUCT(MAX(ROW(E$2:E4949)*(E4949=E$2:E4949)))))-COUNTBLANK(OFFSET(A$1,,,SUMPRODUCT(MAX(ROW(E$1:E4948)*(E2=E$1:E4948))))))</f>
        <v> </v>
      </c>
      <c r="K4949" s="25" t="str">
        <f>IF(OR(E4949="",E4949="!!!",F4949="NEW"),"",INDEX(J$1:J4948,SUMPRODUCT(MAX(ROW(E$1:E4948)*(E4949=E$1:E4948)))))</f>
        <v> </v>
      </c>
      <c r="L4949" s="26"/>
    </row>
    <row r="4950" spans="1:12">
      <c r="A4950" s="20" t="s">
        <v>2997</v>
      </c>
      <c r="E4950" s="21">
        <f>IF(D4950="?OLD","!!!","")</f>
        <v/>
      </c>
      <c r="F4950" s="22" t="str">
        <f>IF(OR(E4950="",E4950="!!!"),"",IF(NOT(ISNA(VLOOKUP(E4950,E$1:E4949,1,FALSE()))),"OLD",IF(AND(E4950&lt;&gt;"",E4950&lt;&gt;"!!!"),"NEW","")))</f>
        <v> </v>
      </c>
      <c r="G4950" s="23" t="str">
        <f>IF(OR(E4950="",E4950="!!!"),"",IF(OR(J4950=0,AND(J4950=1,K4950=1),AND(J4950=1,I4950="SBJ"),AND(J4950=1,I4950=0)),"?IN_FOCUS",IF(J4950&lt;=2,"?ACTIVATED",IF(J4950&lt;&gt;"","?FAMILIAR",IF(F4950="NEW",IF(ISNA(VLOOKUP(E4950,#REF!,1,FALSE())),"?TYPE_IDENTIFIABLE","?REFERENTIAL"),"_")))))</f>
        <v> </v>
      </c>
      <c r="H4950" s="24" t="str">
        <f>IF(J4950&lt;&gt;1,"",IF(I4950="SBJ","CB","?"))</f>
        <v> </v>
      </c>
      <c r="I4950" s="25" t="str">
        <f>IF(OR(E4950="",E4950="!!!",F4950="NEW"),"",INDEX(B4949:B$2,-1+SUMPRODUCT(MAX(ROW(E4949:E$2)*(E4950=E4949:E$2)))))</f>
        <v> </v>
      </c>
      <c r="J4950" s="25" t="str">
        <f>IF(OR(E4950="",E4950="!!!",F4950="NEW"),"",COUNTBLANK(OFFSET(A$1,,,SUMPRODUCT(MAX(ROW(E$2:E4950)*(E4950=E$2:E4950)))))-COUNTBLANK(OFFSET(A$1,,,SUMPRODUCT(MAX(ROW(E$1:E4949)*(E2=E$1:E4949))))))</f>
        <v> </v>
      </c>
      <c r="K4950" s="25" t="str">
        <f>IF(OR(E4950="",E4950="!!!",F4950="NEW"),"",INDEX(J$1:J4949,SUMPRODUCT(MAX(ROW(E$1:E4949)*(E4950=E$1:E4949)))))</f>
        <v> </v>
      </c>
      <c r="L4950" s="26"/>
    </row>
    <row r="4951" spans="1:12">
      <c r="A4951" s="20" t="s">
        <v>2998</v>
      </c>
      <c r="E4951" s="21">
        <f>IF(D4951="?OLD","!!!","")</f>
        <v/>
      </c>
      <c r="F4951" s="22" t="str">
        <f>IF(OR(E4951="",E4951="!!!"),"",IF(NOT(ISNA(VLOOKUP(E4951,E$1:E4950,1,FALSE()))),"OLD",IF(AND(E4951&lt;&gt;"",E4951&lt;&gt;"!!!"),"NEW","")))</f>
        <v> </v>
      </c>
      <c r="G4951" s="23" t="str">
        <f>IF(OR(E4951="",E4951="!!!"),"",IF(OR(J4951=0,AND(J4951=1,K4951=1),AND(J4951=1,I4951="SBJ"),AND(J4951=1,I4951=0)),"?IN_FOCUS",IF(J4951&lt;=2,"?ACTIVATED",IF(J4951&lt;&gt;"","?FAMILIAR",IF(F4951="NEW",IF(ISNA(VLOOKUP(E4951,#REF!,1,FALSE())),"?TYPE_IDENTIFIABLE","?REFERENTIAL"),"_")))))</f>
        <v> </v>
      </c>
      <c r="H4951" s="24" t="str">
        <f>IF(J4951&lt;&gt;1,"",IF(I4951="SBJ","CB","?"))</f>
        <v> </v>
      </c>
      <c r="I4951" s="25" t="str">
        <f>IF(OR(E4951="",E4951="!!!",F4951="NEW"),"",INDEX(B4950:B$2,-1+SUMPRODUCT(MAX(ROW(E4950:E$2)*(E4951=E4950:E$2)))))</f>
        <v> </v>
      </c>
      <c r="J4951" s="25" t="str">
        <f>IF(OR(E4951="",E4951="!!!",F4951="NEW"),"",COUNTBLANK(OFFSET(A$1,,,SUMPRODUCT(MAX(ROW(E$2:E4951)*(E4951=E$2:E4951)))))-COUNTBLANK(OFFSET(A$1,,,SUMPRODUCT(MAX(ROW(E$1:E4950)*(E2=E$1:E4950))))))</f>
        <v> </v>
      </c>
      <c r="K4951" s="25" t="str">
        <f>IF(OR(E4951="",E4951="!!!",F4951="NEW"),"",INDEX(J$1:J4950,SUMPRODUCT(MAX(ROW(E$1:E4950)*(E4951=E$1:E4950)))))</f>
        <v> </v>
      </c>
      <c r="L4951" s="26"/>
    </row>
    <row r="4952" spans="1:12">
      <c r="A4952" s="20" t="s">
        <v>2944</v>
      </c>
      <c r="B4952" s="27" t="s">
        <v>1150</v>
      </c>
      <c r="C4952" s="27" t="s">
        <v>1075</v>
      </c>
      <c r="D4952" s="27" t="s">
        <v>1026</v>
      </c>
      <c r="E4952" s="21">
        <f>IF(D4952="?OLD","!!!","")</f>
        <v/>
      </c>
      <c r="F4952" s="22" t="str">
        <f>IF(OR(E4952="",E4952="!!!"),"",IF(NOT(ISNA(VLOOKUP(E4952,E$1:E4951,1,FALSE()))),"OLD",IF(AND(E4952&lt;&gt;"",E4952&lt;&gt;"!!!"),"NEW","")))</f>
        <v> </v>
      </c>
      <c r="G4952" s="23" t="str">
        <f>IF(OR(E4952="",E4952="!!!"),"",IF(OR(J4952=0,AND(J4952=1,K4952=1),AND(J4952=1,I4952="SBJ"),AND(J4952=1,I4952=0)),"?IN_FOCUS",IF(J4952&lt;=2,"?ACTIVATED",IF(J4952&lt;&gt;"","?FAMILIAR",IF(F4952="NEW",IF(ISNA(VLOOKUP(E4952,#REF!,1,FALSE())),"?TYPE_IDENTIFIABLE","?REFERENTIAL"),"_")))))</f>
        <v> </v>
      </c>
      <c r="H4952" s="24" t="str">
        <f>IF(J4952&lt;&gt;1,"",IF(I4952="SBJ","CB","?"))</f>
        <v> </v>
      </c>
      <c r="I4952" s="25" t="str">
        <f>IF(OR(E4952="",E4952="!!!",F4952="NEW"),"",INDEX(B4951:B$2,-1+SUMPRODUCT(MAX(ROW(E4951:E$2)*(E4952=E4951:E$2)))))</f>
        <v> </v>
      </c>
      <c r="J4952" s="25" t="str">
        <f>IF(OR(E4952="",E4952="!!!",F4952="NEW"),"",COUNTBLANK(OFFSET(A$1,,,SUMPRODUCT(MAX(ROW(E$2:E4952)*(E4952=E$2:E4952)))))-COUNTBLANK(OFFSET(A$1,,,SUMPRODUCT(MAX(ROW(E$1:E4951)*(E2=E$1:E4951))))))</f>
        <v> </v>
      </c>
      <c r="K4952" s="25" t="str">
        <f>IF(OR(E4952="",E4952="!!!",F4952="NEW"),"",INDEX(J$1:J4951,SUMPRODUCT(MAX(ROW(E$1:E4951)*(E4952=E$1:E4951)))))</f>
        <v> </v>
      </c>
      <c r="L4952" s="26"/>
    </row>
    <row r="4953" spans="1:12">
      <c r="A4953" s="20" t="s">
        <v>1441</v>
      </c>
      <c r="E4953" s="21">
        <f>IF(D4953="?OLD","!!!","")</f>
        <v/>
      </c>
      <c r="F4953" s="22" t="str">
        <f>IF(OR(E4953="",E4953="!!!"),"",IF(NOT(ISNA(VLOOKUP(E4953,E$1:E4952,1,FALSE()))),"OLD",IF(AND(E4953&lt;&gt;"",E4953&lt;&gt;"!!!"),"NEW","")))</f>
        <v> </v>
      </c>
      <c r="G4953" s="23" t="str">
        <f>IF(OR(E4953="",E4953="!!!"),"",IF(OR(J4953=0,AND(J4953=1,K4953=1),AND(J4953=1,I4953="SBJ"),AND(J4953=1,I4953=0)),"?IN_FOCUS",IF(J4953&lt;=2,"?ACTIVATED",IF(J4953&lt;&gt;"","?FAMILIAR",IF(F4953="NEW",IF(ISNA(VLOOKUP(E4953,#REF!,1,FALSE())),"?TYPE_IDENTIFIABLE","?REFERENTIAL"),"_")))))</f>
        <v> </v>
      </c>
      <c r="H4953" s="24" t="str">
        <f>IF(J4953&lt;&gt;1,"",IF(I4953="SBJ","CB","?"))</f>
        <v> </v>
      </c>
      <c r="I4953" s="25" t="str">
        <f>IF(OR(E4953="",E4953="!!!",F4953="NEW"),"",INDEX(B4952:B$2,-1+SUMPRODUCT(MAX(ROW(E4952:E$2)*(E4953=E4952:E$2)))))</f>
        <v> </v>
      </c>
      <c r="J4953" s="25" t="str">
        <f>IF(OR(E4953="",E4953="!!!",F4953="NEW"),"",COUNTBLANK(OFFSET(A$1,,,SUMPRODUCT(MAX(ROW(E$2:E4953)*(E4953=E$2:E4953)))))-COUNTBLANK(OFFSET(A$1,,,SUMPRODUCT(MAX(ROW(E$1:E4952)*(E2=E$1:E4952))))))</f>
        <v> </v>
      </c>
      <c r="K4953" s="25" t="str">
        <f>IF(OR(E4953="",E4953="!!!",F4953="NEW"),"",INDEX(J$1:J4952,SUMPRODUCT(MAX(ROW(E$1:E4952)*(E4953=E$1:E4952)))))</f>
        <v> </v>
      </c>
      <c r="L4953" s="26"/>
    </row>
    <row r="4954" spans="1:12">
      <c r="A4954" s="20" t="s">
        <v>225</v>
      </c>
      <c r="E4954" s="21">
        <f>IF(D4954="?OLD","!!!","")</f>
        <v/>
      </c>
      <c r="F4954" s="22" t="str">
        <f>IF(OR(E4954="",E4954="!!!"),"",IF(NOT(ISNA(VLOOKUP(E4954,E$1:E4953,1,FALSE()))),"OLD",IF(AND(E4954&lt;&gt;"",E4954&lt;&gt;"!!!"),"NEW","")))</f>
        <v> </v>
      </c>
      <c r="G4954" s="23" t="str">
        <f>IF(OR(E4954="",E4954="!!!"),"",IF(OR(J4954=0,AND(J4954=1,K4954=1),AND(J4954=1,I4954="SBJ"),AND(J4954=1,I4954=0)),"?IN_FOCUS",IF(J4954&lt;=2,"?ACTIVATED",IF(J4954&lt;&gt;"","?FAMILIAR",IF(F4954="NEW",IF(ISNA(VLOOKUP(E4954,#REF!,1,FALSE())),"?TYPE_IDENTIFIABLE","?REFERENTIAL"),"_")))))</f>
        <v> </v>
      </c>
      <c r="H4954" s="24" t="str">
        <f>IF(J4954&lt;&gt;1,"",IF(I4954="SBJ","CB","?"))</f>
        <v> </v>
      </c>
      <c r="I4954" s="25" t="str">
        <f>IF(OR(E4954="",E4954="!!!",F4954="NEW"),"",INDEX(B4953:B$2,-1+SUMPRODUCT(MAX(ROW(E4953:E$2)*(E4954=E4953:E$2)))))</f>
        <v> </v>
      </c>
      <c r="J4954" s="25" t="str">
        <f>IF(OR(E4954="",E4954="!!!",F4954="NEW"),"",COUNTBLANK(OFFSET(A$1,,,SUMPRODUCT(MAX(ROW(E$2:E4954)*(E4954=E$2:E4954)))))-COUNTBLANK(OFFSET(A$1,,,SUMPRODUCT(MAX(ROW(E$1:E4953)*(E2=E$1:E4953))))))</f>
        <v> </v>
      </c>
      <c r="K4954" s="25" t="str">
        <f>IF(OR(E4954="",E4954="!!!",F4954="NEW"),"",INDEX(J$1:J4953,SUMPRODUCT(MAX(ROW(E$1:E4953)*(E4954=E$1:E4953)))))</f>
        <v> </v>
      </c>
      <c r="L4954" s="26"/>
    </row>
    <row r="4955" spans="1:12">
      <c r="A4955" s="20" t="s">
        <v>2999</v>
      </c>
      <c r="E4955" s="21">
        <f>IF(D4955="?OLD","!!!","")</f>
        <v/>
      </c>
      <c r="F4955" s="22" t="str">
        <f>IF(OR(E4955="",E4955="!!!"),"",IF(NOT(ISNA(VLOOKUP(E4955,E$1:E4954,1,FALSE()))),"OLD",IF(AND(E4955&lt;&gt;"",E4955&lt;&gt;"!!!"),"NEW","")))</f>
        <v> </v>
      </c>
      <c r="G4955" s="23" t="str">
        <f>IF(OR(E4955="",E4955="!!!"),"",IF(OR(J4955=0,AND(J4955=1,K4955=1),AND(J4955=1,I4955="SBJ"),AND(J4955=1,I4955=0)),"?IN_FOCUS",IF(J4955&lt;=2,"?ACTIVATED",IF(J4955&lt;&gt;"","?FAMILIAR",IF(F4955="NEW",IF(ISNA(VLOOKUP(E4955,#REF!,1,FALSE())),"?TYPE_IDENTIFIABLE","?REFERENTIAL"),"_")))))</f>
        <v> </v>
      </c>
      <c r="H4955" s="24" t="str">
        <f>IF(J4955&lt;&gt;1,"",IF(I4955="SBJ","CB","?"))</f>
        <v> </v>
      </c>
      <c r="I4955" s="25" t="str">
        <f>IF(OR(E4955="",E4955="!!!",F4955="NEW"),"",INDEX(B4954:B$2,-1+SUMPRODUCT(MAX(ROW(E4954:E$2)*(E4955=E4954:E$2)))))</f>
        <v> </v>
      </c>
      <c r="J4955" s="25" t="str">
        <f>IF(OR(E4955="",E4955="!!!",F4955="NEW"),"",COUNTBLANK(OFFSET(A$1,,,SUMPRODUCT(MAX(ROW(E$2:E4955)*(E4955=E$2:E4955)))))-COUNTBLANK(OFFSET(A$1,,,SUMPRODUCT(MAX(ROW(E$1:E4954)*(E2=E$1:E4954))))))</f>
        <v> </v>
      </c>
      <c r="K4955" s="25" t="str">
        <f>IF(OR(E4955="",E4955="!!!",F4955="NEW"),"",INDEX(J$1:J4954,SUMPRODUCT(MAX(ROW(E$1:E4954)*(E4955=E$1:E4954)))))</f>
        <v> </v>
      </c>
      <c r="L4955" s="26"/>
    </row>
    <row r="4956" spans="1:12">
      <c r="A4956" s="20" t="s">
        <v>1307</v>
      </c>
      <c r="E4956" s="21">
        <f>IF(D4956="?OLD","!!!","")</f>
        <v/>
      </c>
      <c r="F4956" s="22" t="str">
        <f>IF(OR(E4956="",E4956="!!!"),"",IF(NOT(ISNA(VLOOKUP(E4956,E$1:E4955,1,FALSE()))),"OLD",IF(AND(E4956&lt;&gt;"",E4956&lt;&gt;"!!!"),"NEW","")))</f>
        <v> </v>
      </c>
      <c r="G4956" s="23" t="str">
        <f>IF(OR(E4956="",E4956="!!!"),"",IF(OR(J4956=0,AND(J4956=1,K4956=1),AND(J4956=1,I4956="SBJ"),AND(J4956=1,I4956=0)),"?IN_FOCUS",IF(J4956&lt;=2,"?ACTIVATED",IF(J4956&lt;&gt;"","?FAMILIAR",IF(F4956="NEW",IF(ISNA(VLOOKUP(E4956,#REF!,1,FALSE())),"?TYPE_IDENTIFIABLE","?REFERENTIAL"),"_")))))</f>
        <v> </v>
      </c>
      <c r="H4956" s="24" t="str">
        <f>IF(J4956&lt;&gt;1,"",IF(I4956="SBJ","CB","?"))</f>
        <v> </v>
      </c>
      <c r="I4956" s="25" t="str">
        <f>IF(OR(E4956="",E4956="!!!",F4956="NEW"),"",INDEX(B4955:B$2,-1+SUMPRODUCT(MAX(ROW(E4955:E$2)*(E4956=E4955:E$2)))))</f>
        <v> </v>
      </c>
      <c r="J4956" s="25" t="str">
        <f>IF(OR(E4956="",E4956="!!!",F4956="NEW"),"",COUNTBLANK(OFFSET(A$1,,,SUMPRODUCT(MAX(ROW(E$2:E4956)*(E4956=E$2:E4956)))))-COUNTBLANK(OFFSET(A$1,,,SUMPRODUCT(MAX(ROW(E$1:E4955)*(E2=E$1:E4955))))))</f>
        <v> </v>
      </c>
      <c r="K4956" s="25" t="str">
        <f>IF(OR(E4956="",E4956="!!!",F4956="NEW"),"",INDEX(J$1:J4955,SUMPRODUCT(MAX(ROW(E$1:E4955)*(E4956=E$1:E4955)))))</f>
        <v> </v>
      </c>
      <c r="L4956" s="26"/>
    </row>
    <row r="4957" spans="1:12">
      <c r="A4957" s="20" t="s">
        <v>3000</v>
      </c>
      <c r="E4957" s="21">
        <f>IF(D4957="?OLD","!!!","")</f>
        <v/>
      </c>
      <c r="F4957" s="22" t="str">
        <f>IF(OR(E4957="",E4957="!!!"),"",IF(NOT(ISNA(VLOOKUP(E4957,E$1:E4956,1,FALSE()))),"OLD",IF(AND(E4957&lt;&gt;"",E4957&lt;&gt;"!!!"),"NEW","")))</f>
        <v> </v>
      </c>
      <c r="G4957" s="23" t="str">
        <f>IF(OR(E4957="",E4957="!!!"),"",IF(OR(J4957=0,AND(J4957=1,K4957=1),AND(J4957=1,I4957="SBJ"),AND(J4957=1,I4957=0)),"?IN_FOCUS",IF(J4957&lt;=2,"?ACTIVATED",IF(J4957&lt;&gt;"","?FAMILIAR",IF(F4957="NEW",IF(ISNA(VLOOKUP(E4957,#REF!,1,FALSE())),"?TYPE_IDENTIFIABLE","?REFERENTIAL"),"_")))))</f>
        <v> </v>
      </c>
      <c r="H4957" s="24" t="str">
        <f>IF(J4957&lt;&gt;1,"",IF(I4957="SBJ","CB","?"))</f>
        <v> </v>
      </c>
      <c r="I4957" s="25" t="str">
        <f>IF(OR(E4957="",E4957="!!!",F4957="NEW"),"",INDEX(B4956:B$2,-1+SUMPRODUCT(MAX(ROW(E4956:E$2)*(E4957=E4956:E$2)))))</f>
        <v> </v>
      </c>
      <c r="J4957" s="25" t="str">
        <f>IF(OR(E4957="",E4957="!!!",F4957="NEW"),"",COUNTBLANK(OFFSET(A$1,,,SUMPRODUCT(MAX(ROW(E$2:E4957)*(E4957=E$2:E4957)))))-COUNTBLANK(OFFSET(A$1,,,SUMPRODUCT(MAX(ROW(E$1:E4956)*(E2=E$1:E4956))))))</f>
        <v> </v>
      </c>
      <c r="K4957" s="25" t="str">
        <f>IF(OR(E4957="",E4957="!!!",F4957="NEW"),"",INDEX(J$1:J4956,SUMPRODUCT(MAX(ROW(E$1:E4956)*(E4957=E$1:E4956)))))</f>
        <v> </v>
      </c>
      <c r="L4957" s="26"/>
    </row>
    <row r="4958" spans="1:12">
      <c r="A4958" s="20" t="s">
        <v>3001</v>
      </c>
      <c r="E4958" s="21">
        <f>IF(D4958="?OLD","!!!","")</f>
        <v/>
      </c>
      <c r="F4958" s="22" t="str">
        <f>IF(OR(E4958="",E4958="!!!"),"",IF(NOT(ISNA(VLOOKUP(E4958,E$1:E4957,1,FALSE()))),"OLD",IF(AND(E4958&lt;&gt;"",E4958&lt;&gt;"!!!"),"NEW","")))</f>
        <v> </v>
      </c>
      <c r="G4958" s="23" t="str">
        <f>IF(OR(E4958="",E4958="!!!"),"",IF(OR(J4958=0,AND(J4958=1,K4958=1),AND(J4958=1,I4958="SBJ"),AND(J4958=1,I4958=0)),"?IN_FOCUS",IF(J4958&lt;=2,"?ACTIVATED",IF(J4958&lt;&gt;"","?FAMILIAR",IF(F4958="NEW",IF(ISNA(VLOOKUP(E4958,#REF!,1,FALSE())),"?TYPE_IDENTIFIABLE","?REFERENTIAL"),"_")))))</f>
        <v> </v>
      </c>
      <c r="H4958" s="24" t="str">
        <f>IF(J4958&lt;&gt;1,"",IF(I4958="SBJ","CB","?"))</f>
        <v> </v>
      </c>
      <c r="I4958" s="25" t="str">
        <f>IF(OR(E4958="",E4958="!!!",F4958="NEW"),"",INDEX(B4957:B$2,-1+SUMPRODUCT(MAX(ROW(E4957:E$2)*(E4958=E4957:E$2)))))</f>
        <v> </v>
      </c>
      <c r="J4958" s="25" t="str">
        <f>IF(OR(E4958="",E4958="!!!",F4958="NEW"),"",COUNTBLANK(OFFSET(A$1,,,SUMPRODUCT(MAX(ROW(E$2:E4958)*(E4958=E$2:E4958)))))-COUNTBLANK(OFFSET(A$1,,,SUMPRODUCT(MAX(ROW(E$1:E4957)*(E2=E$1:E4957))))))</f>
        <v> </v>
      </c>
      <c r="K4958" s="25" t="str">
        <f>IF(OR(E4958="",E4958="!!!",F4958="NEW"),"",INDEX(J$1:J4957,SUMPRODUCT(MAX(ROW(E$1:E4957)*(E4958=E$1:E4957)))))</f>
        <v> </v>
      </c>
      <c r="L4958" s="26"/>
    </row>
    <row r="4959" spans="1:12">
      <c r="A4959" s="20" t="s">
        <v>3002</v>
      </c>
      <c r="E4959" s="21">
        <f>IF(D4959="?OLD","!!!","")</f>
        <v/>
      </c>
      <c r="F4959" s="22" t="str">
        <f>IF(OR(E4959="",E4959="!!!"),"",IF(NOT(ISNA(VLOOKUP(E4959,E$1:E4958,1,FALSE()))),"OLD",IF(AND(E4959&lt;&gt;"",E4959&lt;&gt;"!!!"),"NEW","")))</f>
        <v> </v>
      </c>
      <c r="G4959" s="23" t="str">
        <f>IF(OR(E4959="",E4959="!!!"),"",IF(OR(J4959=0,AND(J4959=1,K4959=1),AND(J4959=1,I4959="SBJ"),AND(J4959=1,I4959=0)),"?IN_FOCUS",IF(J4959&lt;=2,"?ACTIVATED",IF(J4959&lt;&gt;"","?FAMILIAR",IF(F4959="NEW",IF(ISNA(VLOOKUP(E4959,#REF!,1,FALSE())),"?TYPE_IDENTIFIABLE","?REFERENTIAL"),"_")))))</f>
        <v> </v>
      </c>
      <c r="H4959" s="24" t="str">
        <f>IF(J4959&lt;&gt;1,"",IF(I4959="SBJ","CB","?"))</f>
        <v> </v>
      </c>
      <c r="I4959" s="25" t="str">
        <f>IF(OR(E4959="",E4959="!!!",F4959="NEW"),"",INDEX(B4958:B$2,-1+SUMPRODUCT(MAX(ROW(E4958:E$2)*(E4959=E4958:E$2)))))</f>
        <v> </v>
      </c>
      <c r="J4959" s="25" t="str">
        <f>IF(OR(E4959="",E4959="!!!",F4959="NEW"),"",COUNTBLANK(OFFSET(A$1,,,SUMPRODUCT(MAX(ROW(E$2:E4959)*(E4959=E$2:E4959)))))-COUNTBLANK(OFFSET(A$1,,,SUMPRODUCT(MAX(ROW(E$1:E4958)*(E2=E$1:E4958))))))</f>
        <v> </v>
      </c>
      <c r="K4959" s="25" t="str">
        <f>IF(OR(E4959="",E4959="!!!",F4959="NEW"),"",INDEX(J$1:J4958,SUMPRODUCT(MAX(ROW(E$1:E4958)*(E4959=E$1:E4958)))))</f>
        <v> </v>
      </c>
      <c r="L4959" s="26"/>
    </row>
    <row r="4960" spans="1:12">
      <c r="A4960" s="20" t="s">
        <v>3003</v>
      </c>
      <c r="E4960" s="21">
        <f>IF(D4960="?OLD","!!!","")</f>
        <v/>
      </c>
      <c r="F4960" s="22" t="str">
        <f>IF(OR(E4960="",E4960="!!!"),"",IF(NOT(ISNA(VLOOKUP(E4960,E$1:E4959,1,FALSE()))),"OLD",IF(AND(E4960&lt;&gt;"",E4960&lt;&gt;"!!!"),"NEW","")))</f>
        <v> </v>
      </c>
      <c r="G4960" s="23" t="str">
        <f>IF(OR(E4960="",E4960="!!!"),"",IF(OR(J4960=0,AND(J4960=1,K4960=1),AND(J4960=1,I4960="SBJ"),AND(J4960=1,I4960=0)),"?IN_FOCUS",IF(J4960&lt;=2,"?ACTIVATED",IF(J4960&lt;&gt;"","?FAMILIAR",IF(F4960="NEW",IF(ISNA(VLOOKUP(E4960,#REF!,1,FALSE())),"?TYPE_IDENTIFIABLE","?REFERENTIAL"),"_")))))</f>
        <v> </v>
      </c>
      <c r="H4960" s="24" t="str">
        <f>IF(J4960&lt;&gt;1,"",IF(I4960="SBJ","CB","?"))</f>
        <v> </v>
      </c>
      <c r="I4960" s="25" t="str">
        <f>IF(OR(E4960="",E4960="!!!",F4960="NEW"),"",INDEX(B4959:B$2,-1+SUMPRODUCT(MAX(ROW(E4959:E$2)*(E4960=E4959:E$2)))))</f>
        <v> </v>
      </c>
      <c r="J4960" s="25" t="str">
        <f>IF(OR(E4960="",E4960="!!!",F4960="NEW"),"",COUNTBLANK(OFFSET(A$1,,,SUMPRODUCT(MAX(ROW(E$2:E4960)*(E4960=E$2:E4960)))))-COUNTBLANK(OFFSET(A$1,,,SUMPRODUCT(MAX(ROW(E$1:E4959)*(E2=E$1:E4959))))))</f>
        <v> </v>
      </c>
      <c r="K4960" s="25" t="str">
        <f>IF(OR(E4960="",E4960="!!!",F4960="NEW"),"",INDEX(J$1:J4959,SUMPRODUCT(MAX(ROW(E$1:E4959)*(E4960=E$1:E4959)))))</f>
        <v> </v>
      </c>
      <c r="L4960" s="26"/>
    </row>
    <row r="4961" spans="1:12">
      <c r="A4961" s="20" t="s">
        <v>1041</v>
      </c>
      <c r="E4961" s="21">
        <f>IF(D4961="?OLD","!!!","")</f>
        <v/>
      </c>
      <c r="F4961" s="22" t="str">
        <f>IF(OR(E4961="",E4961="!!!"),"",IF(NOT(ISNA(VLOOKUP(E4961,E$1:E4960,1,FALSE()))),"OLD",IF(AND(E4961&lt;&gt;"",E4961&lt;&gt;"!!!"),"NEW","")))</f>
        <v> </v>
      </c>
      <c r="G4961" s="23" t="str">
        <f>IF(OR(E4961="",E4961="!!!"),"",IF(OR(J4961=0,AND(J4961=1,K4961=1),AND(J4961=1,I4961="SBJ"),AND(J4961=1,I4961=0)),"?IN_FOCUS",IF(J4961&lt;=2,"?ACTIVATED",IF(J4961&lt;&gt;"","?FAMILIAR",IF(F4961="NEW",IF(ISNA(VLOOKUP(E4961,#REF!,1,FALSE())),"?TYPE_IDENTIFIABLE","?REFERENTIAL"),"_")))))</f>
        <v> </v>
      </c>
      <c r="H4961" s="24" t="str">
        <f>IF(J4961&lt;&gt;1,"",IF(I4961="SBJ","CB","?"))</f>
        <v> </v>
      </c>
      <c r="I4961" s="25" t="str">
        <f>IF(OR(E4961="",E4961="!!!",F4961="NEW"),"",INDEX(B4960:B$2,-1+SUMPRODUCT(MAX(ROW(E4960:E$2)*(E4961=E4960:E$2)))))</f>
        <v> </v>
      </c>
      <c r="J4961" s="25" t="str">
        <f>IF(OR(E4961="",E4961="!!!",F4961="NEW"),"",COUNTBLANK(OFFSET(A$1,,,SUMPRODUCT(MAX(ROW(E$2:E4961)*(E4961=E$2:E4961)))))-COUNTBLANK(OFFSET(A$1,,,SUMPRODUCT(MAX(ROW(E$1:E4960)*(E2=E$1:E4960))))))</f>
        <v> </v>
      </c>
      <c r="K4961" s="25" t="str">
        <f>IF(OR(E4961="",E4961="!!!",F4961="NEW"),"",INDEX(J$1:J4960,SUMPRODUCT(MAX(ROW(E$1:E4960)*(E4961=E$1:E4960)))))</f>
        <v> </v>
      </c>
      <c r="L4961" s="26"/>
    </row>
    <row r="4962" spans="1:12">
      <c r="A4962" s="20" t="s">
        <v>1595</v>
      </c>
      <c r="B4962" s="27" t="s">
        <v>1150</v>
      </c>
      <c r="C4962" s="27" t="s">
        <v>1025</v>
      </c>
      <c r="D4962" s="27" t="s">
        <v>1026</v>
      </c>
      <c r="E4962" s="21">
        <f>IF(D4962="?OLD","!!!","")</f>
        <v/>
      </c>
      <c r="F4962" s="22" t="str">
        <f>IF(OR(E4962="",E4962="!!!"),"",IF(NOT(ISNA(VLOOKUP(E4962,E$1:E4961,1,FALSE()))),"OLD",IF(AND(E4962&lt;&gt;"",E4962&lt;&gt;"!!!"),"NEW","")))</f>
        <v> </v>
      </c>
      <c r="G4962" s="23" t="str">
        <f>IF(OR(E4962="",E4962="!!!"),"",IF(OR(J4962=0,AND(J4962=1,K4962=1),AND(J4962=1,I4962="SBJ"),AND(J4962=1,I4962=0)),"?IN_FOCUS",IF(J4962&lt;=2,"?ACTIVATED",IF(J4962&lt;&gt;"","?FAMILIAR",IF(F4962="NEW",IF(ISNA(VLOOKUP(E4962,#REF!,1,FALSE())),"?TYPE_IDENTIFIABLE","?REFERENTIAL"),"_")))))</f>
        <v> </v>
      </c>
      <c r="H4962" s="24" t="str">
        <f>IF(J4962&lt;&gt;1,"",IF(I4962="SBJ","CB","?"))</f>
        <v> </v>
      </c>
      <c r="I4962" s="25" t="str">
        <f>IF(OR(E4962="",E4962="!!!",F4962="NEW"),"",INDEX(B4961:B$2,-1+SUMPRODUCT(MAX(ROW(E4961:E$2)*(E4962=E4961:E$2)))))</f>
        <v> </v>
      </c>
      <c r="J4962" s="25" t="str">
        <f>IF(OR(E4962="",E4962="!!!",F4962="NEW"),"",COUNTBLANK(OFFSET(A$1,,,SUMPRODUCT(MAX(ROW(E$2:E4962)*(E4962=E$2:E4962)))))-COUNTBLANK(OFFSET(A$1,,,SUMPRODUCT(MAX(ROW(E$1:E4961)*(E2=E$1:E4961))))))</f>
        <v> </v>
      </c>
      <c r="K4962" s="25" t="str">
        <f>IF(OR(E4962="",E4962="!!!",F4962="NEW"),"",INDEX(J$1:J4961,SUMPRODUCT(MAX(ROW(E$1:E4961)*(E4962=E$1:E4961)))))</f>
        <v> </v>
      </c>
      <c r="L4962" s="26"/>
    </row>
    <row r="4963" spans="1:12">
      <c r="A4963" s="20" t="s">
        <v>1471</v>
      </c>
      <c r="E4963" s="21">
        <f>IF(D4963="?OLD","!!!","")</f>
        <v/>
      </c>
      <c r="F4963" s="22" t="str">
        <f>IF(OR(E4963="",E4963="!!!"),"",IF(NOT(ISNA(VLOOKUP(E4963,E$1:E4962,1,FALSE()))),"OLD",IF(AND(E4963&lt;&gt;"",E4963&lt;&gt;"!!!"),"NEW","")))</f>
        <v> </v>
      </c>
      <c r="G4963" s="23" t="str">
        <f>IF(OR(E4963="",E4963="!!!"),"",IF(OR(J4963=0,AND(J4963=1,K4963=1),AND(J4963=1,I4963="SBJ"),AND(J4963=1,I4963=0)),"?IN_FOCUS",IF(J4963&lt;=2,"?ACTIVATED",IF(J4963&lt;&gt;"","?FAMILIAR",IF(F4963="NEW",IF(ISNA(VLOOKUP(E4963,#REF!,1,FALSE())),"?TYPE_IDENTIFIABLE","?REFERENTIAL"),"_")))))</f>
        <v> </v>
      </c>
      <c r="H4963" s="24" t="str">
        <f>IF(J4963&lt;&gt;1,"",IF(I4963="SBJ","CB","?"))</f>
        <v> </v>
      </c>
      <c r="I4963" s="25" t="str">
        <f>IF(OR(E4963="",E4963="!!!",F4963="NEW"),"",INDEX(B4962:B$2,-1+SUMPRODUCT(MAX(ROW(E4962:E$2)*(E4963=E4962:E$2)))))</f>
        <v> </v>
      </c>
      <c r="J4963" s="25" t="str">
        <f>IF(OR(E4963="",E4963="!!!",F4963="NEW"),"",COUNTBLANK(OFFSET(A$1,,,SUMPRODUCT(MAX(ROW(E$2:E4963)*(E4963=E$2:E4963)))))-COUNTBLANK(OFFSET(A$1,,,SUMPRODUCT(MAX(ROW(E$1:E4962)*(E2=E$1:E4962))))))</f>
        <v> </v>
      </c>
      <c r="K4963" s="25" t="str">
        <f>IF(OR(E4963="",E4963="!!!",F4963="NEW"),"",INDEX(J$1:J4962,SUMPRODUCT(MAX(ROW(E$1:E4962)*(E4963=E$1:E4962)))))</f>
        <v> </v>
      </c>
      <c r="L4963" s="26"/>
    </row>
    <row r="4964" spans="1:12">
      <c r="A4964" s="20" t="s">
        <v>1668</v>
      </c>
      <c r="E4964" s="21">
        <f>IF(D4964="?OLD","!!!","")</f>
        <v/>
      </c>
      <c r="F4964" s="22" t="str">
        <f>IF(OR(E4964="",E4964="!!!"),"",IF(NOT(ISNA(VLOOKUP(E4964,E$1:E4963,1,FALSE()))),"OLD",IF(AND(E4964&lt;&gt;"",E4964&lt;&gt;"!!!"),"NEW","")))</f>
        <v> </v>
      </c>
      <c r="G4964" s="23" t="str">
        <f>IF(OR(E4964="",E4964="!!!"),"",IF(OR(J4964=0,AND(J4964=1,K4964=1),AND(J4964=1,I4964="SBJ"),AND(J4964=1,I4964=0)),"?IN_FOCUS",IF(J4964&lt;=2,"?ACTIVATED",IF(J4964&lt;&gt;"","?FAMILIAR",IF(F4964="NEW",IF(ISNA(VLOOKUP(E4964,#REF!,1,FALSE())),"?TYPE_IDENTIFIABLE","?REFERENTIAL"),"_")))))</f>
        <v> </v>
      </c>
      <c r="H4964" s="24" t="str">
        <f>IF(J4964&lt;&gt;1,"",IF(I4964="SBJ","CB","?"))</f>
        <v> </v>
      </c>
      <c r="I4964" s="25" t="str">
        <f>IF(OR(E4964="",E4964="!!!",F4964="NEW"),"",INDEX(B4963:B$2,-1+SUMPRODUCT(MAX(ROW(E4963:E$2)*(E4964=E4963:E$2)))))</f>
        <v> </v>
      </c>
      <c r="J4964" s="25" t="str">
        <f>IF(OR(E4964="",E4964="!!!",F4964="NEW"),"",COUNTBLANK(OFFSET(A$1,,,SUMPRODUCT(MAX(ROW(E$2:E4964)*(E4964=E$2:E4964)))))-COUNTBLANK(OFFSET(A$1,,,SUMPRODUCT(MAX(ROW(E$1:E4963)*(E2=E$1:E4963))))))</f>
        <v> </v>
      </c>
      <c r="K4964" s="25" t="str">
        <f>IF(OR(E4964="",E4964="!!!",F4964="NEW"),"",INDEX(J$1:J4963,SUMPRODUCT(MAX(ROW(E$1:E4963)*(E4964=E$1:E4963)))))</f>
        <v> </v>
      </c>
      <c r="L4964" s="26"/>
    </row>
    <row r="4965" spans="1:12">
      <c r="A4965" s="20" t="s">
        <v>3004</v>
      </c>
      <c r="E4965" s="21">
        <f>IF(D4965="?OLD","!!!","")</f>
        <v/>
      </c>
      <c r="F4965" s="22" t="str">
        <f>IF(OR(E4965="",E4965="!!!"),"",IF(NOT(ISNA(VLOOKUP(E4965,E$1:E4964,1,FALSE()))),"OLD",IF(AND(E4965&lt;&gt;"",E4965&lt;&gt;"!!!"),"NEW","")))</f>
        <v> </v>
      </c>
      <c r="G4965" s="23" t="str">
        <f>IF(OR(E4965="",E4965="!!!"),"",IF(OR(J4965=0,AND(J4965=1,K4965=1),AND(J4965=1,I4965="SBJ"),AND(J4965=1,I4965=0)),"?IN_FOCUS",IF(J4965&lt;=2,"?ACTIVATED",IF(J4965&lt;&gt;"","?FAMILIAR",IF(F4965="NEW",IF(ISNA(VLOOKUP(E4965,#REF!,1,FALSE())),"?TYPE_IDENTIFIABLE","?REFERENTIAL"),"_")))))</f>
        <v> </v>
      </c>
      <c r="H4965" s="24" t="str">
        <f>IF(J4965&lt;&gt;1,"",IF(I4965="SBJ","CB","?"))</f>
        <v> </v>
      </c>
      <c r="I4965" s="25" t="str">
        <f>IF(OR(E4965="",E4965="!!!",F4965="NEW"),"",INDEX(B4964:B$2,-1+SUMPRODUCT(MAX(ROW(E4964:E$2)*(E4965=E4964:E$2)))))</f>
        <v> </v>
      </c>
      <c r="J4965" s="25" t="str">
        <f>IF(OR(E4965="",E4965="!!!",F4965="NEW"),"",COUNTBLANK(OFFSET(A$1,,,SUMPRODUCT(MAX(ROW(E$2:E4965)*(E4965=E$2:E4965)))))-COUNTBLANK(OFFSET(A$1,,,SUMPRODUCT(MAX(ROW(E$1:E4964)*(E2=E$1:E4964))))))</f>
        <v> </v>
      </c>
      <c r="K4965" s="25" t="str">
        <f>IF(OR(E4965="",E4965="!!!",F4965="NEW"),"",INDEX(J$1:J4964,SUMPRODUCT(MAX(ROW(E$1:E4964)*(E4965=E$1:E4964)))))</f>
        <v> </v>
      </c>
      <c r="L4965" s="26"/>
    </row>
    <row r="4966" spans="1:12">
      <c r="A4966" s="20" t="s">
        <v>1127</v>
      </c>
      <c r="E4966" s="21">
        <f>IF(D4966="?OLD","!!!","")</f>
        <v/>
      </c>
      <c r="F4966" s="22" t="str">
        <f>IF(OR(E4966="",E4966="!!!"),"",IF(NOT(ISNA(VLOOKUP(E4966,E$1:E4965,1,FALSE()))),"OLD",IF(AND(E4966&lt;&gt;"",E4966&lt;&gt;"!!!"),"NEW","")))</f>
        <v> </v>
      </c>
      <c r="G4966" s="23" t="str">
        <f>IF(OR(E4966="",E4966="!!!"),"",IF(OR(J4966=0,AND(J4966=1,K4966=1),AND(J4966=1,I4966="SBJ"),AND(J4966=1,I4966=0)),"?IN_FOCUS",IF(J4966&lt;=2,"?ACTIVATED",IF(J4966&lt;&gt;"","?FAMILIAR",IF(F4966="NEW",IF(ISNA(VLOOKUP(E4966,#REF!,1,FALSE())),"?TYPE_IDENTIFIABLE","?REFERENTIAL"),"_")))))</f>
        <v> </v>
      </c>
      <c r="H4966" s="24" t="str">
        <f>IF(J4966&lt;&gt;1,"",IF(I4966="SBJ","CB","?"))</f>
        <v> </v>
      </c>
      <c r="I4966" s="25" t="str">
        <f>IF(OR(E4966="",E4966="!!!",F4966="NEW"),"",INDEX(B4965:B$2,-1+SUMPRODUCT(MAX(ROW(E4965:E$2)*(E4966=E4965:E$2)))))</f>
        <v> </v>
      </c>
      <c r="J4966" s="25" t="str">
        <f>IF(OR(E4966="",E4966="!!!",F4966="NEW"),"",COUNTBLANK(OFFSET(A$1,,,SUMPRODUCT(MAX(ROW(E$2:E4966)*(E4966=E$2:E4966)))))-COUNTBLANK(OFFSET(A$1,,,SUMPRODUCT(MAX(ROW(E$1:E4965)*(E2=E$1:E4965))))))</f>
        <v> </v>
      </c>
      <c r="K4966" s="25" t="str">
        <f>IF(OR(E4966="",E4966="!!!",F4966="NEW"),"",INDEX(J$1:J4965,SUMPRODUCT(MAX(ROW(E$1:E4965)*(E4966=E$1:E4965)))))</f>
        <v> </v>
      </c>
      <c r="L4966" s="26"/>
    </row>
    <row r="4967" spans="1:12">
      <c r="A4967" s="20" t="s">
        <v>3005</v>
      </c>
      <c r="E4967" s="21">
        <f>IF(D4967="?OLD","!!!","")</f>
        <v/>
      </c>
      <c r="F4967" s="22" t="str">
        <f>IF(OR(E4967="",E4967="!!!"),"",IF(NOT(ISNA(VLOOKUP(E4967,E$1:E4966,1,FALSE()))),"OLD",IF(AND(E4967&lt;&gt;"",E4967&lt;&gt;"!!!"),"NEW","")))</f>
        <v> </v>
      </c>
      <c r="G4967" s="23" t="str">
        <f>IF(OR(E4967="",E4967="!!!"),"",IF(OR(J4967=0,AND(J4967=1,K4967=1),AND(J4967=1,I4967="SBJ"),AND(J4967=1,I4967=0)),"?IN_FOCUS",IF(J4967&lt;=2,"?ACTIVATED",IF(J4967&lt;&gt;"","?FAMILIAR",IF(F4967="NEW",IF(ISNA(VLOOKUP(E4967,#REF!,1,FALSE())),"?TYPE_IDENTIFIABLE","?REFERENTIAL"),"_")))))</f>
        <v> </v>
      </c>
      <c r="H4967" s="24" t="str">
        <f>IF(J4967&lt;&gt;1,"",IF(I4967="SBJ","CB","?"))</f>
        <v> </v>
      </c>
      <c r="I4967" s="25" t="str">
        <f>IF(OR(E4967="",E4967="!!!",F4967="NEW"),"",INDEX(B4966:B$2,-1+SUMPRODUCT(MAX(ROW(E4966:E$2)*(E4967=E4966:E$2)))))</f>
        <v> </v>
      </c>
      <c r="J4967" s="25" t="str">
        <f>IF(OR(E4967="",E4967="!!!",F4967="NEW"),"",COUNTBLANK(OFFSET(A$1,,,SUMPRODUCT(MAX(ROW(E$2:E4967)*(E4967=E$2:E4967)))))-COUNTBLANK(OFFSET(A$1,,,SUMPRODUCT(MAX(ROW(E$1:E4966)*(E2=E$1:E4966))))))</f>
        <v> </v>
      </c>
      <c r="K4967" s="25" t="str">
        <f>IF(OR(E4967="",E4967="!!!",F4967="NEW"),"",INDEX(J$1:J4966,SUMPRODUCT(MAX(ROW(E$1:E4966)*(E4967=E$1:E4966)))))</f>
        <v> </v>
      </c>
      <c r="L4967" s="26"/>
    </row>
    <row r="4968" spans="1:12">
      <c r="A4968" s="20" t="s">
        <v>2851</v>
      </c>
      <c r="E4968" s="21">
        <f>IF(D4968="?OLD","!!!","")</f>
        <v/>
      </c>
      <c r="F4968" s="22" t="str">
        <f>IF(OR(E4968="",E4968="!!!"),"",IF(NOT(ISNA(VLOOKUP(E4968,E$1:E4967,1,FALSE()))),"OLD",IF(AND(E4968&lt;&gt;"",E4968&lt;&gt;"!!!"),"NEW","")))</f>
        <v> </v>
      </c>
      <c r="G4968" s="23" t="str">
        <f>IF(OR(E4968="",E4968="!!!"),"",IF(OR(J4968=0,AND(J4968=1,K4968=1),AND(J4968=1,I4968="SBJ"),AND(J4968=1,I4968=0)),"?IN_FOCUS",IF(J4968&lt;=2,"?ACTIVATED",IF(J4968&lt;&gt;"","?FAMILIAR",IF(F4968="NEW",IF(ISNA(VLOOKUP(E4968,#REF!,1,FALSE())),"?TYPE_IDENTIFIABLE","?REFERENTIAL"),"_")))))</f>
        <v> </v>
      </c>
      <c r="H4968" s="24" t="str">
        <f>IF(J4968&lt;&gt;1,"",IF(I4968="SBJ","CB","?"))</f>
        <v> </v>
      </c>
      <c r="I4968" s="25" t="str">
        <f>IF(OR(E4968="",E4968="!!!",F4968="NEW"),"",INDEX(B4967:B$2,-1+SUMPRODUCT(MAX(ROW(E4967:E$2)*(E4968=E4967:E$2)))))</f>
        <v> </v>
      </c>
      <c r="J4968" s="25" t="str">
        <f>IF(OR(E4968="",E4968="!!!",F4968="NEW"),"",COUNTBLANK(OFFSET(A$1,,,SUMPRODUCT(MAX(ROW(E$2:E4968)*(E4968=E$2:E4968)))))-COUNTBLANK(OFFSET(A$1,,,SUMPRODUCT(MAX(ROW(E$1:E4967)*(E2=E$1:E4967))))))</f>
        <v> </v>
      </c>
      <c r="K4968" s="25" t="str">
        <f>IF(OR(E4968="",E4968="!!!",F4968="NEW"),"",INDEX(J$1:J4967,SUMPRODUCT(MAX(ROW(E$1:E4967)*(E4968=E$1:E4967)))))</f>
        <v> </v>
      </c>
      <c r="L4968" s="26"/>
    </row>
    <row r="4969" spans="1:12">
      <c r="A4969" s="20" t="s">
        <v>1041</v>
      </c>
      <c r="E4969" s="21">
        <f>IF(D4969="?OLD","!!!","")</f>
        <v/>
      </c>
      <c r="F4969" s="22" t="str">
        <f>IF(OR(E4969="",E4969="!!!"),"",IF(NOT(ISNA(VLOOKUP(E4969,E$1:E4968,1,FALSE()))),"OLD",IF(AND(E4969&lt;&gt;"",E4969&lt;&gt;"!!!"),"NEW","")))</f>
        <v> </v>
      </c>
      <c r="G4969" s="23" t="str">
        <f>IF(OR(E4969="",E4969="!!!"),"",IF(OR(J4969=0,AND(J4969=1,K4969=1),AND(J4969=1,I4969="SBJ"),AND(J4969=1,I4969=0)),"?IN_FOCUS",IF(J4969&lt;=2,"?ACTIVATED",IF(J4969&lt;&gt;"","?FAMILIAR",IF(F4969="NEW",IF(ISNA(VLOOKUP(E4969,#REF!,1,FALSE())),"?TYPE_IDENTIFIABLE","?REFERENTIAL"),"_")))))</f>
        <v> </v>
      </c>
      <c r="H4969" s="24" t="str">
        <f>IF(J4969&lt;&gt;1,"",IF(I4969="SBJ","CB","?"))</f>
        <v> </v>
      </c>
      <c r="I4969" s="25" t="str">
        <f>IF(OR(E4969="",E4969="!!!",F4969="NEW"),"",INDEX(B4968:B$2,-1+SUMPRODUCT(MAX(ROW(E4968:E$2)*(E4969=E4968:E$2)))))</f>
        <v> </v>
      </c>
      <c r="J4969" s="25" t="str">
        <f>IF(OR(E4969="",E4969="!!!",F4969="NEW"),"",COUNTBLANK(OFFSET(A$1,,,SUMPRODUCT(MAX(ROW(E$2:E4969)*(E4969=E$2:E4969)))))-COUNTBLANK(OFFSET(A$1,,,SUMPRODUCT(MAX(ROW(E$1:E4968)*(E2=E$1:E4968))))))</f>
        <v> </v>
      </c>
      <c r="K4969" s="25" t="str">
        <f>IF(OR(E4969="",E4969="!!!",F4969="NEW"),"",INDEX(J$1:J4968,SUMPRODUCT(MAX(ROW(E$1:E4968)*(E4969=E$1:E4968)))))</f>
        <v> </v>
      </c>
      <c r="L4969" s="26"/>
    </row>
    <row r="4970" spans="1:12">
      <c r="A4970" s="20" t="s">
        <v>1279</v>
      </c>
      <c r="E4970" s="21">
        <f>IF(D4970="?OLD","!!!","")</f>
        <v/>
      </c>
      <c r="F4970" s="22" t="str">
        <f>IF(OR(E4970="",E4970="!!!"),"",IF(NOT(ISNA(VLOOKUP(E4970,E$1:E4969,1,FALSE()))),"OLD",IF(AND(E4970&lt;&gt;"",E4970&lt;&gt;"!!!"),"NEW","")))</f>
        <v> </v>
      </c>
      <c r="G4970" s="23" t="str">
        <f>IF(OR(E4970="",E4970="!!!"),"",IF(OR(J4970=0,AND(J4970=1,K4970=1),AND(J4970=1,I4970="SBJ"),AND(J4970=1,I4970=0)),"?IN_FOCUS",IF(J4970&lt;=2,"?ACTIVATED",IF(J4970&lt;&gt;"","?FAMILIAR",IF(F4970="NEW",IF(ISNA(VLOOKUP(E4970,#REF!,1,FALSE())),"?TYPE_IDENTIFIABLE","?REFERENTIAL"),"_")))))</f>
        <v> </v>
      </c>
      <c r="H4970" s="24" t="str">
        <f>IF(J4970&lt;&gt;1,"",IF(I4970="SBJ","CB","?"))</f>
        <v> </v>
      </c>
      <c r="I4970" s="25" t="str">
        <f>IF(OR(E4970="",E4970="!!!",F4970="NEW"),"",INDEX(B4969:B$2,-1+SUMPRODUCT(MAX(ROW(E4969:E$2)*(E4970=E4969:E$2)))))</f>
        <v> </v>
      </c>
      <c r="J4970" s="25" t="str">
        <f>IF(OR(E4970="",E4970="!!!",F4970="NEW"),"",COUNTBLANK(OFFSET(A$1,,,SUMPRODUCT(MAX(ROW(E$2:E4970)*(E4970=E$2:E4970)))))-COUNTBLANK(OFFSET(A$1,,,SUMPRODUCT(MAX(ROW(E$1:E4969)*(E2=E$1:E4969))))))</f>
        <v> </v>
      </c>
      <c r="K4970" s="25" t="str">
        <f>IF(OR(E4970="",E4970="!!!",F4970="NEW"),"",INDEX(J$1:J4969,SUMPRODUCT(MAX(ROW(E$1:E4969)*(E4970=E$1:E4969)))))</f>
        <v> </v>
      </c>
      <c r="L4970" s="26"/>
    </row>
    <row r="4971" spans="1:12">
      <c r="A4971" s="20" t="s">
        <v>1406</v>
      </c>
      <c r="B4971" s="27" t="s">
        <v>1082</v>
      </c>
      <c r="C4971" s="27" t="s">
        <v>1025</v>
      </c>
      <c r="D4971" s="27" t="s">
        <v>1026</v>
      </c>
      <c r="E4971" s="21">
        <f>IF(D4971="?OLD","!!!","")</f>
        <v/>
      </c>
      <c r="F4971" s="22" t="str">
        <f>IF(OR(E4971="",E4971="!!!"),"",IF(NOT(ISNA(VLOOKUP(E4971,E$1:E4970,1,FALSE()))),"OLD",IF(AND(E4971&lt;&gt;"",E4971&lt;&gt;"!!!"),"NEW","")))</f>
        <v> </v>
      </c>
      <c r="G4971" s="23" t="str">
        <f>IF(OR(E4971="",E4971="!!!"),"",IF(OR(J4971=0,AND(J4971=1,K4971=1),AND(J4971=1,I4971="SBJ"),AND(J4971=1,I4971=0)),"?IN_FOCUS",IF(J4971&lt;=2,"?ACTIVATED",IF(J4971&lt;&gt;"","?FAMILIAR",IF(F4971="NEW",IF(ISNA(VLOOKUP(E4971,#REF!,1,FALSE())),"?TYPE_IDENTIFIABLE","?REFERENTIAL"),"_")))))</f>
        <v> </v>
      </c>
      <c r="H4971" s="24" t="str">
        <f>IF(J4971&lt;&gt;1,"",IF(I4971="SBJ","CB","?"))</f>
        <v> </v>
      </c>
      <c r="I4971" s="25" t="str">
        <f>IF(OR(E4971="",E4971="!!!",F4971="NEW"),"",INDEX(B4970:B$2,-1+SUMPRODUCT(MAX(ROW(E4970:E$2)*(E4971=E4970:E$2)))))</f>
        <v> </v>
      </c>
      <c r="J4971" s="25" t="str">
        <f>IF(OR(E4971="",E4971="!!!",F4971="NEW"),"",COUNTBLANK(OFFSET(A$1,,,SUMPRODUCT(MAX(ROW(E$2:E4971)*(E4971=E$2:E4971)))))-COUNTBLANK(OFFSET(A$1,,,SUMPRODUCT(MAX(ROW(E$1:E4970)*(E2=E$1:E4970))))))</f>
        <v> </v>
      </c>
      <c r="K4971" s="25" t="str">
        <f>IF(OR(E4971="",E4971="!!!",F4971="NEW"),"",INDEX(J$1:J4970,SUMPRODUCT(MAX(ROW(E$1:E4970)*(E4971=E$1:E4970)))))</f>
        <v> </v>
      </c>
      <c r="L4971" s="26"/>
    </row>
    <row r="4972" spans="1:12">
      <c r="A4972" s="20" t="s">
        <v>3006</v>
      </c>
      <c r="E4972" s="21">
        <f>IF(D4972="?OLD","!!!","")</f>
        <v/>
      </c>
      <c r="F4972" s="22" t="str">
        <f>IF(OR(E4972="",E4972="!!!"),"",IF(NOT(ISNA(VLOOKUP(E4972,E$1:E4971,1,FALSE()))),"OLD",IF(AND(E4972&lt;&gt;"",E4972&lt;&gt;"!!!"),"NEW","")))</f>
        <v> </v>
      </c>
      <c r="G4972" s="23" t="str">
        <f>IF(OR(E4972="",E4972="!!!"),"",IF(OR(J4972=0,AND(J4972=1,K4972=1),AND(J4972=1,I4972="SBJ"),AND(J4972=1,I4972=0)),"?IN_FOCUS",IF(J4972&lt;=2,"?ACTIVATED",IF(J4972&lt;&gt;"","?FAMILIAR",IF(F4972="NEW",IF(ISNA(VLOOKUP(E4972,#REF!,1,FALSE())),"?TYPE_IDENTIFIABLE","?REFERENTIAL"),"_")))))</f>
        <v> </v>
      </c>
      <c r="H4972" s="24" t="str">
        <f>IF(J4972&lt;&gt;1,"",IF(I4972="SBJ","CB","?"))</f>
        <v> </v>
      </c>
      <c r="I4972" s="25" t="str">
        <f>IF(OR(E4972="",E4972="!!!",F4972="NEW"),"",INDEX(B4971:B$2,-1+SUMPRODUCT(MAX(ROW(E4971:E$2)*(E4972=E4971:E$2)))))</f>
        <v> </v>
      </c>
      <c r="J4972" s="25" t="str">
        <f>IF(OR(E4972="",E4972="!!!",F4972="NEW"),"",COUNTBLANK(OFFSET(A$1,,,SUMPRODUCT(MAX(ROW(E$2:E4972)*(E4972=E$2:E4972)))))-COUNTBLANK(OFFSET(A$1,,,SUMPRODUCT(MAX(ROW(E$1:E4971)*(E2=E$1:E4971))))))</f>
        <v> </v>
      </c>
      <c r="K4972" s="25" t="str">
        <f>IF(OR(E4972="",E4972="!!!",F4972="NEW"),"",INDEX(J$1:J4971,SUMPRODUCT(MAX(ROW(E$1:E4971)*(E4972=E$1:E4971)))))</f>
        <v> </v>
      </c>
      <c r="L4972" s="26"/>
    </row>
    <row r="4973" spans="1:12">
      <c r="A4973" s="20" t="s">
        <v>1041</v>
      </c>
      <c r="E4973" s="21">
        <f>IF(D4973="?OLD","!!!","")</f>
        <v/>
      </c>
      <c r="F4973" s="22" t="str">
        <f>IF(OR(E4973="",E4973="!!!"),"",IF(NOT(ISNA(VLOOKUP(E4973,E$1:E4972,1,FALSE()))),"OLD",IF(AND(E4973&lt;&gt;"",E4973&lt;&gt;"!!!"),"NEW","")))</f>
        <v> </v>
      </c>
      <c r="G4973" s="23" t="str">
        <f>IF(OR(E4973="",E4973="!!!"),"",IF(OR(J4973=0,AND(J4973=1,K4973=1),AND(J4973=1,I4973="SBJ"),AND(J4973=1,I4973=0)),"?IN_FOCUS",IF(J4973&lt;=2,"?ACTIVATED",IF(J4973&lt;&gt;"","?FAMILIAR",IF(F4973="NEW",IF(ISNA(VLOOKUP(E4973,#REF!,1,FALSE())),"?TYPE_IDENTIFIABLE","?REFERENTIAL"),"_")))))</f>
        <v> </v>
      </c>
      <c r="H4973" s="24" t="str">
        <f>IF(J4973&lt;&gt;1,"",IF(I4973="SBJ","CB","?"))</f>
        <v> </v>
      </c>
      <c r="I4973" s="25" t="str">
        <f>IF(OR(E4973="",E4973="!!!",F4973="NEW"),"",INDEX(B4972:B$2,-1+SUMPRODUCT(MAX(ROW(E4972:E$2)*(E4973=E4972:E$2)))))</f>
        <v> </v>
      </c>
      <c r="J4973" s="25" t="str">
        <f>IF(OR(E4973="",E4973="!!!",F4973="NEW"),"",COUNTBLANK(OFFSET(A$1,,,SUMPRODUCT(MAX(ROW(E$2:E4973)*(E4973=E$2:E4973)))))-COUNTBLANK(OFFSET(A$1,,,SUMPRODUCT(MAX(ROW(E$1:E4972)*(E2=E$1:E4972))))))</f>
        <v> </v>
      </c>
      <c r="K4973" s="25" t="str">
        <f>IF(OR(E4973="",E4973="!!!",F4973="NEW"),"",INDEX(J$1:J4972,SUMPRODUCT(MAX(ROW(E$1:E4972)*(E4973=E$1:E4972)))))</f>
        <v> </v>
      </c>
      <c r="L4973" s="26"/>
    </row>
    <row r="4974" spans="1:12">
      <c r="A4974" s="20" t="s">
        <v>201</v>
      </c>
      <c r="B4974" s="27" t="s">
        <v>1048</v>
      </c>
      <c r="E4974" s="21">
        <f>IF(D4974="?OLD","!!!","")</f>
        <v/>
      </c>
      <c r="F4974" s="22" t="str">
        <f>IF(OR(E4974="",E4974="!!!"),"",IF(NOT(ISNA(VLOOKUP(E4974,E$1:E4973,1,FALSE()))),"OLD",IF(AND(E4974&lt;&gt;"",E4974&lt;&gt;"!!!"),"NEW","")))</f>
        <v> </v>
      </c>
      <c r="G4974" s="23" t="str">
        <f>IF(OR(E4974="",E4974="!!!"),"",IF(OR(J4974=0,AND(J4974=1,K4974=1),AND(J4974=1,I4974="SBJ"),AND(J4974=1,I4974=0)),"?IN_FOCUS",IF(J4974&lt;=2,"?ACTIVATED",IF(J4974&lt;&gt;"","?FAMILIAR",IF(F4974="NEW",IF(ISNA(VLOOKUP(E4974,#REF!,1,FALSE())),"?TYPE_IDENTIFIABLE","?REFERENTIAL"),"_")))))</f>
        <v> </v>
      </c>
      <c r="H4974" s="24" t="str">
        <f>IF(J4974&lt;&gt;1,"",IF(I4974="SBJ","CB","?"))</f>
        <v> </v>
      </c>
      <c r="I4974" s="25" t="str">
        <f>IF(OR(E4974="",E4974="!!!",F4974="NEW"),"",INDEX(B4973:B$2,-1+SUMPRODUCT(MAX(ROW(E4973:E$2)*(E4974=E4973:E$2)))))</f>
        <v> </v>
      </c>
      <c r="J4974" s="25" t="str">
        <f>IF(OR(E4974="",E4974="!!!",F4974="NEW"),"",COUNTBLANK(OFFSET(A$1,,,SUMPRODUCT(MAX(ROW(E$2:E4974)*(E4974=E$2:E4974)))))-COUNTBLANK(OFFSET(A$1,,,SUMPRODUCT(MAX(ROW(E$1:E4973)*(E2=E$1:E4973))))))</f>
        <v> </v>
      </c>
      <c r="K4974" s="25" t="str">
        <f>IF(OR(E4974="",E4974="!!!",F4974="NEW"),"",INDEX(J$1:J4973,SUMPRODUCT(MAX(ROW(E$1:E4973)*(E4974=E$1:E4973)))))</f>
        <v> </v>
      </c>
      <c r="L4974" s="26"/>
    </row>
    <row r="4975" spans="1:12">
      <c r="A4975" s="20" t="s">
        <v>1050</v>
      </c>
      <c r="E4975" s="21">
        <f>IF(D4975="?OLD","!!!","")</f>
        <v/>
      </c>
      <c r="F4975" s="22" t="str">
        <f>IF(OR(E4975="",E4975="!!!"),"",IF(NOT(ISNA(VLOOKUP(E4975,E$1:E4974,1,FALSE()))),"OLD",IF(AND(E4975&lt;&gt;"",E4975&lt;&gt;"!!!"),"NEW","")))</f>
        <v> </v>
      </c>
      <c r="G4975" s="23" t="str">
        <f>IF(OR(E4975="",E4975="!!!"),"",IF(OR(J4975=0,AND(J4975=1,K4975=1),AND(J4975=1,I4975="SBJ"),AND(J4975=1,I4975=0)),"?IN_FOCUS",IF(J4975&lt;=2,"?ACTIVATED",IF(J4975&lt;&gt;"","?FAMILIAR",IF(F4975="NEW",IF(ISNA(VLOOKUP(E4975,#REF!,1,FALSE())),"?TYPE_IDENTIFIABLE","?REFERENTIAL"),"_")))))</f>
        <v> </v>
      </c>
      <c r="H4975" s="24" t="str">
        <f>IF(J4975&lt;&gt;1,"",IF(I4975="SBJ","CB","?"))</f>
        <v> </v>
      </c>
      <c r="I4975" s="25" t="str">
        <f>IF(OR(E4975="",E4975="!!!",F4975="NEW"),"",INDEX(B4974:B$2,-1+SUMPRODUCT(MAX(ROW(E4974:E$2)*(E4975=E4974:E$2)))))</f>
        <v> </v>
      </c>
      <c r="J4975" s="25" t="str">
        <f>IF(OR(E4975="",E4975="!!!",F4975="NEW"),"",COUNTBLANK(OFFSET(A$1,,,SUMPRODUCT(MAX(ROW(E$2:E4975)*(E4975=E$2:E4975)))))-COUNTBLANK(OFFSET(A$1,,,SUMPRODUCT(MAX(ROW(E$1:E4974)*(E2=E$1:E4974))))))</f>
        <v> </v>
      </c>
      <c r="K4975" s="25" t="str">
        <f>IF(OR(E4975="",E4975="!!!",F4975="NEW"),"",INDEX(J$1:J4974,SUMPRODUCT(MAX(ROW(E$1:E4974)*(E4975=E$1:E4974)))))</f>
        <v> </v>
      </c>
      <c r="L4975" s="26"/>
    </row>
    <row r="4976" spans="1:12">
      <c r="A4976" s="20" t="s">
        <v>1395</v>
      </c>
      <c r="E4976" s="21">
        <f>IF(D4976="?OLD","!!!","")</f>
        <v/>
      </c>
      <c r="F4976" s="22" t="str">
        <f>IF(OR(E4976="",E4976="!!!"),"",IF(NOT(ISNA(VLOOKUP(E4976,E$1:E4975,1,FALSE()))),"OLD",IF(AND(E4976&lt;&gt;"",E4976&lt;&gt;"!!!"),"NEW","")))</f>
        <v> </v>
      </c>
      <c r="G4976" s="23" t="str">
        <f>IF(OR(E4976="",E4976="!!!"),"",IF(OR(J4976=0,AND(J4976=1,K4976=1),AND(J4976=1,I4976="SBJ"),AND(J4976=1,I4976=0)),"?IN_FOCUS",IF(J4976&lt;=2,"?ACTIVATED",IF(J4976&lt;&gt;"","?FAMILIAR",IF(F4976="NEW",IF(ISNA(VLOOKUP(E4976,#REF!,1,FALSE())),"?TYPE_IDENTIFIABLE","?REFERENTIAL"),"_")))))</f>
        <v> </v>
      </c>
      <c r="H4976" s="24" t="str">
        <f>IF(J4976&lt;&gt;1,"",IF(I4976="SBJ","CB","?"))</f>
        <v> </v>
      </c>
      <c r="I4976" s="25" t="str">
        <f>IF(OR(E4976="",E4976="!!!",F4976="NEW"),"",INDEX(B4975:B$2,-1+SUMPRODUCT(MAX(ROW(E4975:E$2)*(E4976=E4975:E$2)))))</f>
        <v> </v>
      </c>
      <c r="J4976" s="25" t="str">
        <f>IF(OR(E4976="",E4976="!!!",F4976="NEW"),"",COUNTBLANK(OFFSET(A$1,,,SUMPRODUCT(MAX(ROW(E$2:E4976)*(E4976=E$2:E4976)))))-COUNTBLANK(OFFSET(A$1,,,SUMPRODUCT(MAX(ROW(E$1:E4975)*(E2=E$1:E4975))))))</f>
        <v> </v>
      </c>
      <c r="K4976" s="25" t="str">
        <f>IF(OR(E4976="",E4976="!!!",F4976="NEW"),"",INDEX(J$1:J4975,SUMPRODUCT(MAX(ROW(E$1:E4975)*(E4976=E$1:E4975)))))</f>
        <v> </v>
      </c>
      <c r="L4976" s="26"/>
    </row>
    <row r="4977" spans="1:12">
      <c r="A4977" s="20" t="s">
        <v>3007</v>
      </c>
      <c r="B4977" s="27" t="s">
        <v>1084</v>
      </c>
      <c r="C4977" s="27" t="s">
        <v>1088</v>
      </c>
      <c r="D4977" s="27" t="s">
        <v>1026</v>
      </c>
      <c r="E4977" s="21">
        <f>IF(D4977="?OLD","!!!","")</f>
        <v/>
      </c>
      <c r="F4977" s="22" t="str">
        <f>IF(OR(E4977="",E4977="!!!"),"",IF(NOT(ISNA(VLOOKUP(E4977,E$1:E4976,1,FALSE()))),"OLD",IF(AND(E4977&lt;&gt;"",E4977&lt;&gt;"!!!"),"NEW","")))</f>
        <v> </v>
      </c>
      <c r="G4977" s="23" t="str">
        <f>IF(OR(E4977="",E4977="!!!"),"",IF(OR(J4977=0,AND(J4977=1,K4977=1),AND(J4977=1,I4977="SBJ"),AND(J4977=1,I4977=0)),"?IN_FOCUS",IF(J4977&lt;=2,"?ACTIVATED",IF(J4977&lt;&gt;"","?FAMILIAR",IF(F4977="NEW",IF(ISNA(VLOOKUP(E4977,#REF!,1,FALSE())),"?TYPE_IDENTIFIABLE","?REFERENTIAL"),"_")))))</f>
        <v> </v>
      </c>
      <c r="H4977" s="24" t="str">
        <f>IF(J4977&lt;&gt;1,"",IF(I4977="SBJ","CB","?"))</f>
        <v> </v>
      </c>
      <c r="I4977" s="25" t="str">
        <f>IF(OR(E4977="",E4977="!!!",F4977="NEW"),"",INDEX(B4976:B$2,-1+SUMPRODUCT(MAX(ROW(E4976:E$2)*(E4977=E4976:E$2)))))</f>
        <v> </v>
      </c>
      <c r="J4977" s="25" t="str">
        <f>IF(OR(E4977="",E4977="!!!",F4977="NEW"),"",COUNTBLANK(OFFSET(A$1,,,SUMPRODUCT(MAX(ROW(E$2:E4977)*(E4977=E$2:E4977)))))-COUNTBLANK(OFFSET(A$1,,,SUMPRODUCT(MAX(ROW(E$1:E4976)*(E2=E$1:E4976))))))</f>
        <v> </v>
      </c>
      <c r="K4977" s="25" t="str">
        <f>IF(OR(E4977="",E4977="!!!",F4977="NEW"),"",INDEX(J$1:J4976,SUMPRODUCT(MAX(ROW(E$1:E4976)*(E4977=E$1:E4976)))))</f>
        <v> </v>
      </c>
      <c r="L4977" s="26"/>
    </row>
    <row r="4978" spans="1:12">
      <c r="A4978" s="20" t="s">
        <v>3008</v>
      </c>
      <c r="E4978" s="21">
        <f>IF(D4978="?OLD","!!!","")</f>
        <v/>
      </c>
      <c r="F4978" s="22" t="str">
        <f>IF(OR(E4978="",E4978="!!!"),"",IF(NOT(ISNA(VLOOKUP(E4978,E$1:E4977,1,FALSE()))),"OLD",IF(AND(E4978&lt;&gt;"",E4978&lt;&gt;"!!!"),"NEW","")))</f>
        <v> </v>
      </c>
      <c r="G4978" s="23" t="str">
        <f>IF(OR(E4978="",E4978="!!!"),"",IF(OR(J4978=0,AND(J4978=1,K4978=1),AND(J4978=1,I4978="SBJ"),AND(J4978=1,I4978=0)),"?IN_FOCUS",IF(J4978&lt;=2,"?ACTIVATED",IF(J4978&lt;&gt;"","?FAMILIAR",IF(F4978="NEW",IF(ISNA(VLOOKUP(E4978,#REF!,1,FALSE())),"?TYPE_IDENTIFIABLE","?REFERENTIAL"),"_")))))</f>
        <v> </v>
      </c>
      <c r="H4978" s="24" t="str">
        <f>IF(J4978&lt;&gt;1,"",IF(I4978="SBJ","CB","?"))</f>
        <v> </v>
      </c>
      <c r="I4978" s="25" t="str">
        <f>IF(OR(E4978="",E4978="!!!",F4978="NEW"),"",INDEX(B4977:B$2,-1+SUMPRODUCT(MAX(ROW(E4977:E$2)*(E4978=E4977:E$2)))))</f>
        <v> </v>
      </c>
      <c r="J4978" s="25" t="str">
        <f>IF(OR(E4978="",E4978="!!!",F4978="NEW"),"",COUNTBLANK(OFFSET(A$1,,,SUMPRODUCT(MAX(ROW(E$2:E4978)*(E4978=E$2:E4978)))))-COUNTBLANK(OFFSET(A$1,,,SUMPRODUCT(MAX(ROW(E$1:E4977)*(E2=E$1:E4977))))))</f>
        <v> </v>
      </c>
      <c r="K4978" s="25" t="str">
        <f>IF(OR(E4978="",E4978="!!!",F4978="NEW"),"",INDEX(J$1:J4977,SUMPRODUCT(MAX(ROW(E$1:E4977)*(E4978=E$1:E4977)))))</f>
        <v> </v>
      </c>
      <c r="L4978" s="26"/>
    </row>
    <row r="4979" spans="1:12">
      <c r="A4979" s="20" t="s">
        <v>3009</v>
      </c>
      <c r="E4979" s="21">
        <f>IF(D4979="?OLD","!!!","")</f>
        <v/>
      </c>
      <c r="F4979" s="22" t="str">
        <f>IF(OR(E4979="",E4979="!!!"),"",IF(NOT(ISNA(VLOOKUP(E4979,E$1:E4978,1,FALSE()))),"OLD",IF(AND(E4979&lt;&gt;"",E4979&lt;&gt;"!!!"),"NEW","")))</f>
        <v> </v>
      </c>
      <c r="G4979" s="23" t="str">
        <f>IF(OR(E4979="",E4979="!!!"),"",IF(OR(J4979=0,AND(J4979=1,K4979=1),AND(J4979=1,I4979="SBJ"),AND(J4979=1,I4979=0)),"?IN_FOCUS",IF(J4979&lt;=2,"?ACTIVATED",IF(J4979&lt;&gt;"","?FAMILIAR",IF(F4979="NEW",IF(ISNA(VLOOKUP(E4979,#REF!,1,FALSE())),"?TYPE_IDENTIFIABLE","?REFERENTIAL"),"_")))))</f>
        <v> </v>
      </c>
      <c r="H4979" s="24" t="str">
        <f>IF(J4979&lt;&gt;1,"",IF(I4979="SBJ","CB","?"))</f>
        <v> </v>
      </c>
      <c r="I4979" s="25" t="str">
        <f>IF(OR(E4979="",E4979="!!!",F4979="NEW"),"",INDEX(B4978:B$2,-1+SUMPRODUCT(MAX(ROW(E4978:E$2)*(E4979=E4978:E$2)))))</f>
        <v> </v>
      </c>
      <c r="J4979" s="25" t="str">
        <f>IF(OR(E4979="",E4979="!!!",F4979="NEW"),"",COUNTBLANK(OFFSET(A$1,,,SUMPRODUCT(MAX(ROW(E$2:E4979)*(E4979=E$2:E4979)))))-COUNTBLANK(OFFSET(A$1,,,SUMPRODUCT(MAX(ROW(E$1:E4978)*(E2=E$1:E4978))))))</f>
        <v> </v>
      </c>
      <c r="K4979" s="25" t="str">
        <f>IF(OR(E4979="",E4979="!!!",F4979="NEW"),"",INDEX(J$1:J4978,SUMPRODUCT(MAX(ROW(E$1:E4978)*(E4979=E$1:E4978)))))</f>
        <v> </v>
      </c>
      <c r="L4979" s="26"/>
    </row>
    <row r="4980" spans="1:12">
      <c r="A4980" s="20" t="s">
        <v>1041</v>
      </c>
      <c r="E4980" s="21">
        <f>IF(D4980="?OLD","!!!","")</f>
        <v/>
      </c>
      <c r="F4980" s="22" t="str">
        <f>IF(OR(E4980="",E4980="!!!"),"",IF(NOT(ISNA(VLOOKUP(E4980,E$1:E4979,1,FALSE()))),"OLD",IF(AND(E4980&lt;&gt;"",E4980&lt;&gt;"!!!"),"NEW","")))</f>
        <v> </v>
      </c>
      <c r="G4980" s="23" t="str">
        <f>IF(OR(E4980="",E4980="!!!"),"",IF(OR(J4980=0,AND(J4980=1,K4980=1),AND(J4980=1,I4980="SBJ"),AND(J4980=1,I4980=0)),"?IN_FOCUS",IF(J4980&lt;=2,"?ACTIVATED",IF(J4980&lt;&gt;"","?FAMILIAR",IF(F4980="NEW",IF(ISNA(VLOOKUP(E4980,#REF!,1,FALSE())),"?TYPE_IDENTIFIABLE","?REFERENTIAL"),"_")))))</f>
        <v> </v>
      </c>
      <c r="H4980" s="24" t="str">
        <f>IF(J4980&lt;&gt;1,"",IF(I4980="SBJ","CB","?"))</f>
        <v> </v>
      </c>
      <c r="I4980" s="25" t="str">
        <f>IF(OR(E4980="",E4980="!!!",F4980="NEW"),"",INDEX(B4979:B$2,-1+SUMPRODUCT(MAX(ROW(E4979:E$2)*(E4980=E4979:E$2)))))</f>
        <v> </v>
      </c>
      <c r="J4980" s="25" t="str">
        <f>IF(OR(E4980="",E4980="!!!",F4980="NEW"),"",COUNTBLANK(OFFSET(A$1,,,SUMPRODUCT(MAX(ROW(E$2:E4980)*(E4980=E$2:E4980)))))-COUNTBLANK(OFFSET(A$1,,,SUMPRODUCT(MAX(ROW(E$1:E4979)*(E2=E$1:E4979))))))</f>
        <v> </v>
      </c>
      <c r="K4980" s="25" t="str">
        <f>IF(OR(E4980="",E4980="!!!",F4980="NEW"),"",INDEX(J$1:J4979,SUMPRODUCT(MAX(ROW(E$1:E4979)*(E4980=E$1:E4979)))))</f>
        <v> </v>
      </c>
      <c r="L4980" s="26"/>
    </row>
    <row r="4981" spans="1:12">
      <c r="A4981" s="20" t="s">
        <v>1030</v>
      </c>
      <c r="E4981" s="21">
        <f>IF(D4981="?OLD","!!!","")</f>
        <v/>
      </c>
      <c r="F4981" s="22" t="str">
        <f>IF(OR(E4981="",E4981="!!!"),"",IF(NOT(ISNA(VLOOKUP(E4981,E$1:E4980,1,FALSE()))),"OLD",IF(AND(E4981&lt;&gt;"",E4981&lt;&gt;"!!!"),"NEW","")))</f>
        <v> </v>
      </c>
      <c r="G4981" s="23" t="str">
        <f>IF(OR(E4981="",E4981="!!!"),"",IF(OR(J4981=0,AND(J4981=1,K4981=1),AND(J4981=1,I4981="SBJ"),AND(J4981=1,I4981=0)),"?IN_FOCUS",IF(J4981&lt;=2,"?ACTIVATED",IF(J4981&lt;&gt;"","?FAMILIAR",IF(F4981="NEW",IF(ISNA(VLOOKUP(E4981,#REF!,1,FALSE())),"?TYPE_IDENTIFIABLE","?REFERENTIAL"),"_")))))</f>
        <v> </v>
      </c>
      <c r="H4981" s="24" t="str">
        <f>IF(J4981&lt;&gt;1,"",IF(I4981="SBJ","CB","?"))</f>
        <v> </v>
      </c>
      <c r="I4981" s="25" t="str">
        <f>IF(OR(E4981="",E4981="!!!",F4981="NEW"),"",INDEX(B4980:B$2,-1+SUMPRODUCT(MAX(ROW(E4980:E$2)*(E4981=E4980:E$2)))))</f>
        <v> </v>
      </c>
      <c r="J4981" s="25" t="str">
        <f>IF(OR(E4981="",E4981="!!!",F4981="NEW"),"",COUNTBLANK(OFFSET(A$1,,,SUMPRODUCT(MAX(ROW(E$2:E4981)*(E4981=E$2:E4981)))))-COUNTBLANK(OFFSET(A$1,,,SUMPRODUCT(MAX(ROW(E$1:E4980)*(E2=E$1:E4980))))))</f>
        <v> </v>
      </c>
      <c r="K4981" s="25" t="str">
        <f>IF(OR(E4981="",E4981="!!!",F4981="NEW"),"",INDEX(J$1:J4980,SUMPRODUCT(MAX(ROW(E$1:E4980)*(E4981=E$1:E4980)))))</f>
        <v> </v>
      </c>
      <c r="L4981" s="26"/>
    </row>
    <row r="4982" spans="1:12">
      <c r="A4982" s="20" t="s">
        <v>305</v>
      </c>
      <c r="E4982" s="21">
        <f>IF(D4982="?OLD","!!!","")</f>
        <v/>
      </c>
      <c r="F4982" s="22" t="str">
        <f>IF(OR(E4982="",E4982="!!!"),"",IF(NOT(ISNA(VLOOKUP(E4982,E$1:E4981,1,FALSE()))),"OLD",IF(AND(E4982&lt;&gt;"",E4982&lt;&gt;"!!!"),"NEW","")))</f>
        <v> </v>
      </c>
      <c r="G4982" s="23" t="str">
        <f>IF(OR(E4982="",E4982="!!!"),"",IF(OR(J4982=0,AND(J4982=1,K4982=1),AND(J4982=1,I4982="SBJ"),AND(J4982=1,I4982=0)),"?IN_FOCUS",IF(J4982&lt;=2,"?ACTIVATED",IF(J4982&lt;&gt;"","?FAMILIAR",IF(F4982="NEW",IF(ISNA(VLOOKUP(E4982,#REF!,1,FALSE())),"?TYPE_IDENTIFIABLE","?REFERENTIAL"),"_")))))</f>
        <v> </v>
      </c>
      <c r="H4982" s="24" t="str">
        <f>IF(J4982&lt;&gt;1,"",IF(I4982="SBJ","CB","?"))</f>
        <v> </v>
      </c>
      <c r="I4982" s="25" t="str">
        <f>IF(OR(E4982="",E4982="!!!",F4982="NEW"),"",INDEX(B4981:B$2,-1+SUMPRODUCT(MAX(ROW(E4981:E$2)*(E4982=E4981:E$2)))))</f>
        <v> </v>
      </c>
      <c r="J4982" s="25" t="str">
        <f>IF(OR(E4982="",E4982="!!!",F4982="NEW"),"",COUNTBLANK(OFFSET(A$1,,,SUMPRODUCT(MAX(ROW(E$2:E4982)*(E4982=E$2:E4982)))))-COUNTBLANK(OFFSET(A$1,,,SUMPRODUCT(MAX(ROW(E$1:E4981)*(E2=E$1:E4981))))))</f>
        <v> </v>
      </c>
      <c r="K4982" s="25" t="str">
        <f>IF(OR(E4982="",E4982="!!!",F4982="NEW"),"",INDEX(J$1:J4981,SUMPRODUCT(MAX(ROW(E$1:E4981)*(E4982=E$1:E4981)))))</f>
        <v> </v>
      </c>
      <c r="L4982" s="26"/>
    </row>
    <row r="4983" spans="1:12">
      <c r="A4983" s="20" t="s">
        <v>1406</v>
      </c>
      <c r="B4983" s="27" t="s">
        <v>1082</v>
      </c>
      <c r="C4983" s="27" t="s">
        <v>1025</v>
      </c>
      <c r="D4983" s="27" t="s">
        <v>1026</v>
      </c>
      <c r="E4983" s="21">
        <f>IF(D4983="?OLD","!!!","")</f>
        <v/>
      </c>
      <c r="F4983" s="22" t="str">
        <f>IF(OR(E4983="",E4983="!!!"),"",IF(NOT(ISNA(VLOOKUP(E4983,E$1:E4982,1,FALSE()))),"OLD",IF(AND(E4983&lt;&gt;"",E4983&lt;&gt;"!!!"),"NEW","")))</f>
        <v> </v>
      </c>
      <c r="G4983" s="23" t="str">
        <f>IF(OR(E4983="",E4983="!!!"),"",IF(OR(J4983=0,AND(J4983=1,K4983=1),AND(J4983=1,I4983="SBJ"),AND(J4983=1,I4983=0)),"?IN_FOCUS",IF(J4983&lt;=2,"?ACTIVATED",IF(J4983&lt;&gt;"","?FAMILIAR",IF(F4983="NEW",IF(ISNA(VLOOKUP(E4983,#REF!,1,FALSE())),"?TYPE_IDENTIFIABLE","?REFERENTIAL"),"_")))))</f>
        <v> </v>
      </c>
      <c r="H4983" s="24" t="str">
        <f>IF(J4983&lt;&gt;1,"",IF(I4983="SBJ","CB","?"))</f>
        <v> </v>
      </c>
      <c r="I4983" s="25" t="str">
        <f>IF(OR(E4983="",E4983="!!!",F4983="NEW"),"",INDEX(B4982:B$2,-1+SUMPRODUCT(MAX(ROW(E4982:E$2)*(E4983=E4982:E$2)))))</f>
        <v> </v>
      </c>
      <c r="J4983" s="25" t="str">
        <f>IF(OR(E4983="",E4983="!!!",F4983="NEW"),"",COUNTBLANK(OFFSET(A$1,,,SUMPRODUCT(MAX(ROW(E$2:E4983)*(E4983=E$2:E4983)))))-COUNTBLANK(OFFSET(A$1,,,SUMPRODUCT(MAX(ROW(E$1:E4982)*(E2=E$1:E4982))))))</f>
        <v> </v>
      </c>
      <c r="K4983" s="25" t="str">
        <f>IF(OR(E4983="",E4983="!!!",F4983="NEW"),"",INDEX(J$1:J4982,SUMPRODUCT(MAX(ROW(E$1:E4982)*(E4983=E$1:E4982)))))</f>
        <v> </v>
      </c>
      <c r="L4983" s="26"/>
    </row>
    <row r="4984" spans="1:12">
      <c r="A4984" s="20" t="s">
        <v>2857</v>
      </c>
      <c r="E4984" s="21">
        <f>IF(D4984="?OLD","!!!","")</f>
        <v/>
      </c>
      <c r="F4984" s="22" t="str">
        <f>IF(OR(E4984="",E4984="!!!"),"",IF(NOT(ISNA(VLOOKUP(E4984,E$1:E4983,1,FALSE()))),"OLD",IF(AND(E4984&lt;&gt;"",E4984&lt;&gt;"!!!"),"NEW","")))</f>
        <v> </v>
      </c>
      <c r="G4984" s="23" t="str">
        <f>IF(OR(E4984="",E4984="!!!"),"",IF(OR(J4984=0,AND(J4984=1,K4984=1),AND(J4984=1,I4984="SBJ"),AND(J4984=1,I4984=0)),"?IN_FOCUS",IF(J4984&lt;=2,"?ACTIVATED",IF(J4984&lt;&gt;"","?FAMILIAR",IF(F4984="NEW",IF(ISNA(VLOOKUP(E4984,#REF!,1,FALSE())),"?TYPE_IDENTIFIABLE","?REFERENTIAL"),"_")))))</f>
        <v> </v>
      </c>
      <c r="H4984" s="24" t="str">
        <f>IF(J4984&lt;&gt;1,"",IF(I4984="SBJ","CB","?"))</f>
        <v> </v>
      </c>
      <c r="I4984" s="25" t="str">
        <f>IF(OR(E4984="",E4984="!!!",F4984="NEW"),"",INDEX(B4983:B$2,-1+SUMPRODUCT(MAX(ROW(E4983:E$2)*(E4984=E4983:E$2)))))</f>
        <v> </v>
      </c>
      <c r="J4984" s="25" t="str">
        <f>IF(OR(E4984="",E4984="!!!",F4984="NEW"),"",COUNTBLANK(OFFSET(A$1,,,SUMPRODUCT(MAX(ROW(E$2:E4984)*(E4984=E$2:E4984)))))-COUNTBLANK(OFFSET(A$1,,,SUMPRODUCT(MAX(ROW(E$1:E4983)*(E2=E$1:E4983))))))</f>
        <v> </v>
      </c>
      <c r="K4984" s="25" t="str">
        <f>IF(OR(E4984="",E4984="!!!",F4984="NEW"),"",INDEX(J$1:J4983,SUMPRODUCT(MAX(ROW(E$1:E4983)*(E4984=E$1:E4983)))))</f>
        <v> </v>
      </c>
      <c r="L4984" s="26"/>
    </row>
    <row r="4985" spans="1:12">
      <c r="A4985" s="20" t="s">
        <v>3010</v>
      </c>
      <c r="B4985" s="27" t="s">
        <v>1150</v>
      </c>
      <c r="E4985" s="21">
        <f>IF(D4985="?OLD","!!!","")</f>
        <v/>
      </c>
      <c r="F4985" s="22" t="str">
        <f>IF(OR(E4985="",E4985="!!!"),"",IF(NOT(ISNA(VLOOKUP(E4985,E$1:E4984,1,FALSE()))),"OLD",IF(AND(E4985&lt;&gt;"",E4985&lt;&gt;"!!!"),"NEW","")))</f>
        <v> </v>
      </c>
      <c r="G4985" s="23" t="str">
        <f>IF(OR(E4985="",E4985="!!!"),"",IF(OR(J4985=0,AND(J4985=1,K4985=1),AND(J4985=1,I4985="SBJ"),AND(J4985=1,I4985=0)),"?IN_FOCUS",IF(J4985&lt;=2,"?ACTIVATED",IF(J4985&lt;&gt;"","?FAMILIAR",IF(F4985="NEW",IF(ISNA(VLOOKUP(E4985,#REF!,1,FALSE())),"?TYPE_IDENTIFIABLE","?REFERENTIAL"),"_")))))</f>
        <v> </v>
      </c>
      <c r="H4985" s="24" t="str">
        <f>IF(J4985&lt;&gt;1,"",IF(I4985="SBJ","CB","?"))</f>
        <v> </v>
      </c>
      <c r="I4985" s="25" t="str">
        <f>IF(OR(E4985="",E4985="!!!",F4985="NEW"),"",INDEX(B4984:B$2,-1+SUMPRODUCT(MAX(ROW(E4984:E$2)*(E4985=E4984:E$2)))))</f>
        <v> </v>
      </c>
      <c r="J4985" s="25" t="str">
        <f>IF(OR(E4985="",E4985="!!!",F4985="NEW"),"",COUNTBLANK(OFFSET(A$1,,,SUMPRODUCT(MAX(ROW(E$2:E4985)*(E4985=E$2:E4985)))))-COUNTBLANK(OFFSET(A$1,,,SUMPRODUCT(MAX(ROW(E$1:E4984)*(E2=E$1:E4984))))))</f>
        <v> </v>
      </c>
      <c r="K4985" s="25" t="str">
        <f>IF(OR(E4985="",E4985="!!!",F4985="NEW"),"",INDEX(J$1:J4984,SUMPRODUCT(MAX(ROW(E$1:E4984)*(E4985=E$1:E4984)))))</f>
        <v> </v>
      </c>
      <c r="L4985" s="26"/>
    </row>
    <row r="4986" spans="1:12">
      <c r="A4986" s="20" t="s">
        <v>1764</v>
      </c>
      <c r="E4986" s="21">
        <f>IF(D4986="?OLD","!!!","")</f>
        <v/>
      </c>
      <c r="F4986" s="22" t="str">
        <f>IF(OR(E4986="",E4986="!!!"),"",IF(NOT(ISNA(VLOOKUP(E4986,E$1:E4985,1,FALSE()))),"OLD",IF(AND(E4986&lt;&gt;"",E4986&lt;&gt;"!!!"),"NEW","")))</f>
        <v> </v>
      </c>
      <c r="G4986" s="23" t="str">
        <f>IF(OR(E4986="",E4986="!!!"),"",IF(OR(J4986=0,AND(J4986=1,K4986=1),AND(J4986=1,I4986="SBJ"),AND(J4986=1,I4986=0)),"?IN_FOCUS",IF(J4986&lt;=2,"?ACTIVATED",IF(J4986&lt;&gt;"","?FAMILIAR",IF(F4986="NEW",IF(ISNA(VLOOKUP(E4986,#REF!,1,FALSE())),"?TYPE_IDENTIFIABLE","?REFERENTIAL"),"_")))))</f>
        <v> </v>
      </c>
      <c r="H4986" s="24" t="str">
        <f>IF(J4986&lt;&gt;1,"",IF(I4986="SBJ","CB","?"))</f>
        <v> </v>
      </c>
      <c r="I4986" s="25" t="str">
        <f>IF(OR(E4986="",E4986="!!!",F4986="NEW"),"",INDEX(B4985:B$2,-1+SUMPRODUCT(MAX(ROW(E4985:E$2)*(E4986=E4985:E$2)))))</f>
        <v> </v>
      </c>
      <c r="J4986" s="25" t="str">
        <f>IF(OR(E4986="",E4986="!!!",F4986="NEW"),"",COUNTBLANK(OFFSET(A$1,,,SUMPRODUCT(MAX(ROW(E$2:E4986)*(E4986=E$2:E4986)))))-COUNTBLANK(OFFSET(A$1,,,SUMPRODUCT(MAX(ROW(E$1:E4985)*(E2=E$1:E4985))))))</f>
        <v> </v>
      </c>
      <c r="K4986" s="25" t="str">
        <f>IF(OR(E4986="",E4986="!!!",F4986="NEW"),"",INDEX(J$1:J4985,SUMPRODUCT(MAX(ROW(E$1:E4985)*(E4986=E$1:E4985)))))</f>
        <v> </v>
      </c>
      <c r="L4986" s="26"/>
    </row>
    <row r="4987" spans="1:12">
      <c r="A4987" s="20" t="s">
        <v>2944</v>
      </c>
      <c r="B4987" s="27" t="s">
        <v>1084</v>
      </c>
      <c r="C4987" s="27" t="s">
        <v>1075</v>
      </c>
      <c r="D4987" s="27" t="s">
        <v>1026</v>
      </c>
      <c r="E4987" s="21">
        <f>IF(D4987="?OLD","!!!","")</f>
        <v/>
      </c>
      <c r="F4987" s="22" t="str">
        <f>IF(OR(E4987="",E4987="!!!"),"",IF(NOT(ISNA(VLOOKUP(E4987,E$1:E4986,1,FALSE()))),"OLD",IF(AND(E4987&lt;&gt;"",E4987&lt;&gt;"!!!"),"NEW","")))</f>
        <v> </v>
      </c>
      <c r="G4987" s="23" t="str">
        <f>IF(OR(E4987="",E4987="!!!"),"",IF(OR(J4987=0,AND(J4987=1,K4987=1),AND(J4987=1,I4987="SBJ"),AND(J4987=1,I4987=0)),"?IN_FOCUS",IF(J4987&lt;=2,"?ACTIVATED",IF(J4987&lt;&gt;"","?FAMILIAR",IF(F4987="NEW",IF(ISNA(VLOOKUP(E4987,#REF!,1,FALSE())),"?TYPE_IDENTIFIABLE","?REFERENTIAL"),"_")))))</f>
        <v> </v>
      </c>
      <c r="H4987" s="24" t="str">
        <f>IF(J4987&lt;&gt;1,"",IF(I4987="SBJ","CB","?"))</f>
        <v> </v>
      </c>
      <c r="I4987" s="25" t="str">
        <f>IF(OR(E4987="",E4987="!!!",F4987="NEW"),"",INDEX(B4986:B$2,-1+SUMPRODUCT(MAX(ROW(E4986:E$2)*(E4987=E4986:E$2)))))</f>
        <v> </v>
      </c>
      <c r="J4987" s="25" t="str">
        <f>IF(OR(E4987="",E4987="!!!",F4987="NEW"),"",COUNTBLANK(OFFSET(A$1,,,SUMPRODUCT(MAX(ROW(E$2:E4987)*(E4987=E$2:E4987)))))-COUNTBLANK(OFFSET(A$1,,,SUMPRODUCT(MAX(ROW(E$1:E4986)*(E2=E$1:E4986))))))</f>
        <v> </v>
      </c>
      <c r="K4987" s="25" t="str">
        <f>IF(OR(E4987="",E4987="!!!",F4987="NEW"),"",INDEX(J$1:J4986,SUMPRODUCT(MAX(ROW(E$1:E4986)*(E4987=E$1:E4986)))))</f>
        <v> </v>
      </c>
      <c r="L4987" s="26"/>
    </row>
    <row r="4988" spans="1:12">
      <c r="A4988" s="20" t="s">
        <v>1032</v>
      </c>
      <c r="E4988" s="21">
        <f>IF(D4988="?OLD","!!!","")</f>
        <v/>
      </c>
      <c r="F4988" s="22" t="str">
        <f>IF(OR(E4988="",E4988="!!!"),"",IF(NOT(ISNA(VLOOKUP(E4988,E$1:E4987,1,FALSE()))),"OLD",IF(AND(E4988&lt;&gt;"",E4988&lt;&gt;"!!!"),"NEW","")))</f>
        <v> </v>
      </c>
      <c r="G4988" s="23" t="str">
        <f>IF(OR(E4988="",E4988="!!!"),"",IF(OR(J4988=0,AND(J4988=1,K4988=1),AND(J4988=1,I4988="SBJ"),AND(J4988=1,I4988=0)),"?IN_FOCUS",IF(J4988&lt;=2,"?ACTIVATED",IF(J4988&lt;&gt;"","?FAMILIAR",IF(F4988="NEW",IF(ISNA(VLOOKUP(E4988,#REF!,1,FALSE())),"?TYPE_IDENTIFIABLE","?REFERENTIAL"),"_")))))</f>
        <v> </v>
      </c>
      <c r="H4988" s="24" t="str">
        <f>IF(J4988&lt;&gt;1,"",IF(I4988="SBJ","CB","?"))</f>
        <v> </v>
      </c>
      <c r="I4988" s="25" t="str">
        <f>IF(OR(E4988="",E4988="!!!",F4988="NEW"),"",INDEX(B4987:B$2,-1+SUMPRODUCT(MAX(ROW(E4987:E$2)*(E4988=E4987:E$2)))))</f>
        <v> </v>
      </c>
      <c r="J4988" s="25" t="str">
        <f>IF(OR(E4988="",E4988="!!!",F4988="NEW"),"",COUNTBLANK(OFFSET(A$1,,,SUMPRODUCT(MAX(ROW(E$2:E4988)*(E4988=E$2:E4988)))))-COUNTBLANK(OFFSET(A$1,,,SUMPRODUCT(MAX(ROW(E$1:E4987)*(E2=E$1:E4987))))))</f>
        <v> </v>
      </c>
      <c r="K4988" s="25" t="str">
        <f>IF(OR(E4988="",E4988="!!!",F4988="NEW"),"",INDEX(J$1:J4987,SUMPRODUCT(MAX(ROW(E$1:E4987)*(E4988=E$1:E4987)))))</f>
        <v> </v>
      </c>
      <c r="L4988" s="26"/>
    </row>
    <row r="4989" spans="1:12">
      <c r="A4989" s="20"/>
    </row>
    <row r="4990" spans="1:12">
      <c r="A4990" s="20" t="s">
        <v>3011</v>
      </c>
    </row>
    <row r="4991" spans="1:12">
      <c r="A4991" s="20" t="s">
        <v>3012</v>
      </c>
      <c r="B4991" s="27" t="s">
        <v>1024</v>
      </c>
      <c r="E4991" s="21">
        <f>IF(D4991="?OLD","!!!","")</f>
        <v/>
      </c>
      <c r="F4991" s="22" t="str">
        <f>IF(OR(E4991="",E4991="!!!"),"",IF(NOT(ISNA(VLOOKUP(E4991,E$1:E4990,1,FALSE()))),"OLD",IF(AND(E4991&lt;&gt;"",E4991&lt;&gt;"!!!"),"NEW","")))</f>
        <v> </v>
      </c>
      <c r="G4991" s="23" t="str">
        <f>IF(OR(E4991="",E4991="!!!"),"",IF(OR(J4991=0,AND(J4991=1,K4991=1),AND(J4991=1,I4991="SBJ"),AND(J4991=1,I4991=0)),"?IN_FOCUS",IF(J4991&lt;=2,"?ACTIVATED",IF(J4991&lt;&gt;"","?FAMILIAR",IF(F4991="NEW",IF(ISNA(VLOOKUP(E4991,#REF!,1,FALSE())),"?TYPE_IDENTIFIABLE","?REFERENTIAL"),"_")))))</f>
        <v> </v>
      </c>
      <c r="H4991" s="24" t="str">
        <f>IF(J4991&lt;&gt;1,"",IF(I4991="SBJ","CB","?"))</f>
        <v> </v>
      </c>
      <c r="I4991" s="25" t="str">
        <f>IF(OR(E4991="",E4991="!!!",F4991="NEW"),"",INDEX(B4990:B$2,-1+SUMPRODUCT(MAX(ROW(E4990:E$2)*(E4991=E4990:E$2)))))</f>
        <v> </v>
      </c>
      <c r="J4991" s="25" t="str">
        <f>IF(OR(E4991="",E4991="!!!",F4991="NEW"),"",COUNTBLANK(OFFSET(A$1,,,SUMPRODUCT(MAX(ROW(E$2:E4991)*(E4991=E$2:E4991)))))-COUNTBLANK(OFFSET(A$1,,,SUMPRODUCT(MAX(ROW(E$1:E4990)*(E2=E$1:E4990))))))</f>
        <v> </v>
      </c>
      <c r="K4991" s="25" t="str">
        <f>IF(OR(E4991="",E4991="!!!",F4991="NEW"),"",INDEX(J$1:J4990,SUMPRODUCT(MAX(ROW(E$1:E4990)*(E4991=E$1:E4990)))))</f>
        <v> </v>
      </c>
      <c r="L4991" s="26"/>
    </row>
    <row r="4992" spans="1:12">
      <c r="A4992" s="20" t="s">
        <v>1050</v>
      </c>
      <c r="E4992" s="21">
        <f>IF(D4992="?OLD","!!!","")</f>
        <v/>
      </c>
      <c r="F4992" s="22" t="str">
        <f>IF(OR(E4992="",E4992="!!!"),"",IF(NOT(ISNA(VLOOKUP(E4992,E$1:E4991,1,FALSE()))),"OLD",IF(AND(E4992&lt;&gt;"",E4992&lt;&gt;"!!!"),"NEW","")))</f>
        <v> </v>
      </c>
      <c r="G4992" s="23" t="str">
        <f>IF(OR(E4992="",E4992="!!!"),"",IF(OR(J4992=0,AND(J4992=1,K4992=1),AND(J4992=1,I4992="SBJ"),AND(J4992=1,I4992=0)),"?IN_FOCUS",IF(J4992&lt;=2,"?ACTIVATED",IF(J4992&lt;&gt;"","?FAMILIAR",IF(F4992="NEW",IF(ISNA(VLOOKUP(E4992,#REF!,1,FALSE())),"?TYPE_IDENTIFIABLE","?REFERENTIAL"),"_")))))</f>
        <v> </v>
      </c>
      <c r="H4992" s="24" t="str">
        <f>IF(J4992&lt;&gt;1,"",IF(I4992="SBJ","CB","?"))</f>
        <v> </v>
      </c>
      <c r="I4992" s="25" t="str">
        <f>IF(OR(E4992="",E4992="!!!",F4992="NEW"),"",INDEX(B4991:B$2,-1+SUMPRODUCT(MAX(ROW(E4991:E$2)*(E4992=E4991:E$2)))))</f>
        <v> </v>
      </c>
      <c r="J4992" s="25" t="str">
        <f>IF(OR(E4992="",E4992="!!!",F4992="NEW"),"",COUNTBLANK(OFFSET(A$1,,,SUMPRODUCT(MAX(ROW(E$2:E4992)*(E4992=E$2:E4992)))))-COUNTBLANK(OFFSET(A$1,,,SUMPRODUCT(MAX(ROW(E$1:E4991)*(E2=E$1:E4991))))))</f>
        <v> </v>
      </c>
      <c r="K4992" s="25" t="str">
        <f>IF(OR(E4992="",E4992="!!!",F4992="NEW"),"",INDEX(J$1:J4991,SUMPRODUCT(MAX(ROW(E$1:E4991)*(E4992=E$1:E4991)))))</f>
        <v> </v>
      </c>
      <c r="L4992" s="26"/>
    </row>
    <row r="4993" spans="1:12">
      <c r="A4993" s="20" t="s">
        <v>3013</v>
      </c>
      <c r="B4993" s="27" t="s">
        <v>1136</v>
      </c>
      <c r="C4993" s="27" t="s">
        <v>1072</v>
      </c>
      <c r="D4993" s="27" t="s">
        <v>1026</v>
      </c>
      <c r="E4993" s="21">
        <f>IF(D4993="?OLD","!!!","")</f>
        <v/>
      </c>
      <c r="F4993" s="22" t="str">
        <f>IF(OR(E4993="",E4993="!!!"),"",IF(NOT(ISNA(VLOOKUP(E4993,E$1:E4992,1,FALSE()))),"OLD",IF(AND(E4993&lt;&gt;"",E4993&lt;&gt;"!!!"),"NEW","")))</f>
        <v> </v>
      </c>
      <c r="G4993" s="23" t="str">
        <f>IF(OR(E4993="",E4993="!!!"),"",IF(OR(J4993=0,AND(J4993=1,K4993=1),AND(J4993=1,I4993="SBJ"),AND(J4993=1,I4993=0)),"?IN_FOCUS",IF(J4993&lt;=2,"?ACTIVATED",IF(J4993&lt;&gt;"","?FAMILIAR",IF(F4993="NEW",IF(ISNA(VLOOKUP(E4993,#REF!,1,FALSE())),"?TYPE_IDENTIFIABLE","?REFERENTIAL"),"_")))))</f>
        <v> </v>
      </c>
      <c r="H4993" s="24" t="str">
        <f>IF(J4993&lt;&gt;1,"",IF(I4993="SBJ","CB","?"))</f>
        <v> </v>
      </c>
      <c r="I4993" s="25" t="str">
        <f>IF(OR(E4993="",E4993="!!!",F4993="NEW"),"",INDEX(B4992:B$2,-1+SUMPRODUCT(MAX(ROW(E4992:E$2)*(E4993=E4992:E$2)))))</f>
        <v> </v>
      </c>
      <c r="J4993" s="25" t="str">
        <f>IF(OR(E4993="",E4993="!!!",F4993="NEW"),"",COUNTBLANK(OFFSET(A$1,,,SUMPRODUCT(MAX(ROW(E$2:E4993)*(E4993=E$2:E4993)))))-COUNTBLANK(OFFSET(A$1,,,SUMPRODUCT(MAX(ROW(E$1:E4992)*(E2=E$1:E4992))))))</f>
        <v> </v>
      </c>
      <c r="K4993" s="25" t="str">
        <f>IF(OR(E4993="",E4993="!!!",F4993="NEW"),"",INDEX(J$1:J4992,SUMPRODUCT(MAX(ROW(E$1:E4992)*(E4993=E$1:E4992)))))</f>
        <v> </v>
      </c>
      <c r="L4993" s="26"/>
    </row>
    <row r="4994" spans="1:12">
      <c r="A4994" s="20" t="s">
        <v>2944</v>
      </c>
      <c r="B4994" s="27" t="s">
        <v>1084</v>
      </c>
      <c r="C4994" s="27" t="s">
        <v>1075</v>
      </c>
      <c r="D4994" s="27" t="s">
        <v>1026</v>
      </c>
      <c r="E4994" s="21">
        <f>IF(D4994="?OLD","!!!","")</f>
        <v/>
      </c>
      <c r="F4994" s="22" t="str">
        <f>IF(OR(E4994="",E4994="!!!"),"",IF(NOT(ISNA(VLOOKUP(E4994,E$1:E4993,1,FALSE()))),"OLD",IF(AND(E4994&lt;&gt;"",E4994&lt;&gt;"!!!"),"NEW","")))</f>
        <v> </v>
      </c>
      <c r="G4994" s="23" t="str">
        <f>IF(OR(E4994="",E4994="!!!"),"",IF(OR(J4994=0,AND(J4994=1,K4994=1),AND(J4994=1,I4994="SBJ"),AND(J4994=1,I4994=0)),"?IN_FOCUS",IF(J4994&lt;=2,"?ACTIVATED",IF(J4994&lt;&gt;"","?FAMILIAR",IF(F4994="NEW",IF(ISNA(VLOOKUP(E4994,#REF!,1,FALSE())),"?TYPE_IDENTIFIABLE","?REFERENTIAL"),"_")))))</f>
        <v> </v>
      </c>
      <c r="H4994" s="24" t="str">
        <f>IF(J4994&lt;&gt;1,"",IF(I4994="SBJ","CB","?"))</f>
        <v> </v>
      </c>
      <c r="I4994" s="25" t="str">
        <f>IF(OR(E4994="",E4994="!!!",F4994="NEW"),"",INDEX(B4993:B$2,-1+SUMPRODUCT(MAX(ROW(E4993:E$2)*(E4994=E4993:E$2)))))</f>
        <v> </v>
      </c>
      <c r="J4994" s="25" t="str">
        <f>IF(OR(E4994="",E4994="!!!",F4994="NEW"),"",COUNTBLANK(OFFSET(A$1,,,SUMPRODUCT(MAX(ROW(E$2:E4994)*(E4994=E$2:E4994)))))-COUNTBLANK(OFFSET(A$1,,,SUMPRODUCT(MAX(ROW(E$1:E4993)*(E2=E$1:E4993))))))</f>
        <v> </v>
      </c>
      <c r="K4994" s="25" t="str">
        <f>IF(OR(E4994="",E4994="!!!",F4994="NEW"),"",INDEX(J$1:J4993,SUMPRODUCT(MAX(ROW(E$1:E4993)*(E4994=E$1:E4993)))))</f>
        <v> </v>
      </c>
      <c r="L4994" s="26"/>
    </row>
    <row r="4995" spans="1:12">
      <c r="A4995" s="20" t="s">
        <v>1041</v>
      </c>
      <c r="E4995" s="21">
        <f>IF(D4995="?OLD","!!!","")</f>
        <v/>
      </c>
      <c r="F4995" s="22" t="str">
        <f>IF(OR(E4995="",E4995="!!!"),"",IF(NOT(ISNA(VLOOKUP(E4995,E$1:E4994,1,FALSE()))),"OLD",IF(AND(E4995&lt;&gt;"",E4995&lt;&gt;"!!!"),"NEW","")))</f>
        <v> </v>
      </c>
      <c r="G4995" s="23" t="str">
        <f>IF(OR(E4995="",E4995="!!!"),"",IF(OR(J4995=0,AND(J4995=1,K4995=1),AND(J4995=1,I4995="SBJ"),AND(J4995=1,I4995=0)),"?IN_FOCUS",IF(J4995&lt;=2,"?ACTIVATED",IF(J4995&lt;&gt;"","?FAMILIAR",IF(F4995="NEW",IF(ISNA(VLOOKUP(E4995,#REF!,1,FALSE())),"?TYPE_IDENTIFIABLE","?REFERENTIAL"),"_")))))</f>
        <v> </v>
      </c>
      <c r="H4995" s="24" t="str">
        <f>IF(J4995&lt;&gt;1,"",IF(I4995="SBJ","CB","?"))</f>
        <v> </v>
      </c>
      <c r="I4995" s="25" t="str">
        <f>IF(OR(E4995="",E4995="!!!",F4995="NEW"),"",INDEX(B4994:B$2,-1+SUMPRODUCT(MAX(ROW(E4994:E$2)*(E4995=E4994:E$2)))))</f>
        <v> </v>
      </c>
      <c r="J4995" s="25" t="str">
        <f>IF(OR(E4995="",E4995="!!!",F4995="NEW"),"",COUNTBLANK(OFFSET(A$1,,,SUMPRODUCT(MAX(ROW(E$2:E4995)*(E4995=E$2:E4995)))))-COUNTBLANK(OFFSET(A$1,,,SUMPRODUCT(MAX(ROW(E$1:E4994)*(E2=E$1:E4994))))))</f>
        <v> </v>
      </c>
      <c r="K4995" s="25" t="str">
        <f>IF(OR(E4995="",E4995="!!!",F4995="NEW"),"",INDEX(J$1:J4994,SUMPRODUCT(MAX(ROW(E$1:E4994)*(E4995=E$1:E4994)))))</f>
        <v> </v>
      </c>
      <c r="L4995" s="26"/>
    </row>
    <row r="4996" spans="1:12">
      <c r="A4996" s="20" t="s">
        <v>952</v>
      </c>
      <c r="B4996" s="27" t="s">
        <v>1082</v>
      </c>
      <c r="C4996" s="27" t="s">
        <v>1025</v>
      </c>
      <c r="D4996" s="27" t="s">
        <v>1026</v>
      </c>
      <c r="E4996" s="21">
        <f>IF(D4996="?OLD","!!!","")</f>
        <v/>
      </c>
      <c r="F4996" s="22" t="str">
        <f>IF(OR(E4996="",E4996="!!!"),"",IF(NOT(ISNA(VLOOKUP(E4996,E$1:E4995,1,FALSE()))),"OLD",IF(AND(E4996&lt;&gt;"",E4996&lt;&gt;"!!!"),"NEW","")))</f>
        <v> </v>
      </c>
      <c r="G4996" s="23" t="str">
        <f>IF(OR(E4996="",E4996="!!!"),"",IF(OR(J4996=0,AND(J4996=1,K4996=1),AND(J4996=1,I4996="SBJ"),AND(J4996=1,I4996=0)),"?IN_FOCUS",IF(J4996&lt;=2,"?ACTIVATED",IF(J4996&lt;&gt;"","?FAMILIAR",IF(F4996="NEW",IF(ISNA(VLOOKUP(E4996,#REF!,1,FALSE())),"?TYPE_IDENTIFIABLE","?REFERENTIAL"),"_")))))</f>
        <v> </v>
      </c>
      <c r="H4996" s="24" t="str">
        <f>IF(J4996&lt;&gt;1,"",IF(I4996="SBJ","CB","?"))</f>
        <v> </v>
      </c>
      <c r="I4996" s="25" t="str">
        <f>IF(OR(E4996="",E4996="!!!",F4996="NEW"),"",INDEX(B4995:B$2,-1+SUMPRODUCT(MAX(ROW(E4995:E$2)*(E4996=E4995:E$2)))))</f>
        <v> </v>
      </c>
      <c r="J4996" s="25" t="str">
        <f>IF(OR(E4996="",E4996="!!!",F4996="NEW"),"",COUNTBLANK(OFFSET(A$1,,,SUMPRODUCT(MAX(ROW(E$2:E4996)*(E4996=E$2:E4996)))))-COUNTBLANK(OFFSET(A$1,,,SUMPRODUCT(MAX(ROW(E$1:E4995)*(E2=E$1:E4995))))))</f>
        <v> </v>
      </c>
      <c r="K4996" s="25" t="str">
        <f>IF(OR(E4996="",E4996="!!!",F4996="NEW"),"",INDEX(J$1:J4995,SUMPRODUCT(MAX(ROW(E$1:E4995)*(E4996=E$1:E4995)))))</f>
        <v> </v>
      </c>
      <c r="L4996" s="26"/>
    </row>
    <row r="4997" spans="1:12">
      <c r="A4997" s="20" t="s">
        <v>3014</v>
      </c>
      <c r="E4997" s="21">
        <f>IF(D4997="?OLD","!!!","")</f>
        <v/>
      </c>
      <c r="F4997" s="22" t="str">
        <f>IF(OR(E4997="",E4997="!!!"),"",IF(NOT(ISNA(VLOOKUP(E4997,E$1:E4996,1,FALSE()))),"OLD",IF(AND(E4997&lt;&gt;"",E4997&lt;&gt;"!!!"),"NEW","")))</f>
        <v> </v>
      </c>
      <c r="G4997" s="23" t="str">
        <f>IF(OR(E4997="",E4997="!!!"),"",IF(OR(J4997=0,AND(J4997=1,K4997=1),AND(J4997=1,I4997="SBJ"),AND(J4997=1,I4997=0)),"?IN_FOCUS",IF(J4997&lt;=2,"?ACTIVATED",IF(J4997&lt;&gt;"","?FAMILIAR",IF(F4997="NEW",IF(ISNA(VLOOKUP(E4997,#REF!,1,FALSE())),"?TYPE_IDENTIFIABLE","?REFERENTIAL"),"_")))))</f>
        <v> </v>
      </c>
      <c r="H4997" s="24" t="str">
        <f>IF(J4997&lt;&gt;1,"",IF(I4997="SBJ","CB","?"))</f>
        <v> </v>
      </c>
      <c r="I4997" s="25" t="str">
        <f>IF(OR(E4997="",E4997="!!!",F4997="NEW"),"",INDEX(B4996:B$2,-1+SUMPRODUCT(MAX(ROW(E4996:E$2)*(E4997=E4996:E$2)))))</f>
        <v> </v>
      </c>
      <c r="J4997" s="25" t="str">
        <f>IF(OR(E4997="",E4997="!!!",F4997="NEW"),"",COUNTBLANK(OFFSET(A$1,,,SUMPRODUCT(MAX(ROW(E$2:E4997)*(E4997=E$2:E4997)))))-COUNTBLANK(OFFSET(A$1,,,SUMPRODUCT(MAX(ROW(E$1:E4996)*(E2=E$1:E4996))))))</f>
        <v> </v>
      </c>
      <c r="K4997" s="25" t="str">
        <f>IF(OR(E4997="",E4997="!!!",F4997="NEW"),"",INDEX(J$1:J4996,SUMPRODUCT(MAX(ROW(E$1:E4996)*(E4997=E$1:E4996)))))</f>
        <v> </v>
      </c>
      <c r="L4997" s="26"/>
    </row>
    <row r="4998" spans="1:12">
      <c r="A4998" s="20" t="s">
        <v>1041</v>
      </c>
      <c r="E4998" s="21">
        <f>IF(D4998="?OLD","!!!","")</f>
        <v/>
      </c>
      <c r="F4998" s="22" t="str">
        <f>IF(OR(E4998="",E4998="!!!"),"",IF(NOT(ISNA(VLOOKUP(E4998,E$1:E4997,1,FALSE()))),"OLD",IF(AND(E4998&lt;&gt;"",E4998&lt;&gt;"!!!"),"NEW","")))</f>
        <v> </v>
      </c>
      <c r="G4998" s="23" t="str">
        <f>IF(OR(E4998="",E4998="!!!"),"",IF(OR(J4998=0,AND(J4998=1,K4998=1),AND(J4998=1,I4998="SBJ"),AND(J4998=1,I4998=0)),"?IN_FOCUS",IF(J4998&lt;=2,"?ACTIVATED",IF(J4998&lt;&gt;"","?FAMILIAR",IF(F4998="NEW",IF(ISNA(VLOOKUP(E4998,#REF!,1,FALSE())),"?TYPE_IDENTIFIABLE","?REFERENTIAL"),"_")))))</f>
        <v> </v>
      </c>
      <c r="H4998" s="24" t="str">
        <f>IF(J4998&lt;&gt;1,"",IF(I4998="SBJ","CB","?"))</f>
        <v> </v>
      </c>
      <c r="I4998" s="25" t="str">
        <f>IF(OR(E4998="",E4998="!!!",F4998="NEW"),"",INDEX(B4997:B$2,-1+SUMPRODUCT(MAX(ROW(E4997:E$2)*(E4998=E4997:E$2)))))</f>
        <v> </v>
      </c>
      <c r="J4998" s="25" t="str">
        <f>IF(OR(E4998="",E4998="!!!",F4998="NEW"),"",COUNTBLANK(OFFSET(A$1,,,SUMPRODUCT(MAX(ROW(E$2:E4998)*(E4998=E$2:E4998)))))-COUNTBLANK(OFFSET(A$1,,,SUMPRODUCT(MAX(ROW(E$1:E4997)*(E2=E$1:E4997))))))</f>
        <v> </v>
      </c>
      <c r="K4998" s="25" t="str">
        <f>IF(OR(E4998="",E4998="!!!",F4998="NEW"),"",INDEX(J$1:J4997,SUMPRODUCT(MAX(ROW(E$1:E4997)*(E4998=E$1:E4997)))))</f>
        <v> </v>
      </c>
      <c r="L4998" s="26"/>
    </row>
    <row r="4999" spans="1:12">
      <c r="A4999" s="20" t="s">
        <v>3015</v>
      </c>
      <c r="E4999" s="21">
        <f>IF(D4999="?OLD","!!!","")</f>
        <v/>
      </c>
      <c r="F4999" s="22" t="str">
        <f>IF(OR(E4999="",E4999="!!!"),"",IF(NOT(ISNA(VLOOKUP(E4999,E$1:E4998,1,FALSE()))),"OLD",IF(AND(E4999&lt;&gt;"",E4999&lt;&gt;"!!!"),"NEW","")))</f>
        <v> </v>
      </c>
      <c r="G4999" s="23" t="str">
        <f>IF(OR(E4999="",E4999="!!!"),"",IF(OR(J4999=0,AND(J4999=1,K4999=1),AND(J4999=1,I4999="SBJ"),AND(J4999=1,I4999=0)),"?IN_FOCUS",IF(J4999&lt;=2,"?ACTIVATED",IF(J4999&lt;&gt;"","?FAMILIAR",IF(F4999="NEW",IF(ISNA(VLOOKUP(E4999,#REF!,1,FALSE())),"?TYPE_IDENTIFIABLE","?REFERENTIAL"),"_")))))</f>
        <v> </v>
      </c>
      <c r="H4999" s="24" t="str">
        <f>IF(J4999&lt;&gt;1,"",IF(I4999="SBJ","CB","?"))</f>
        <v> </v>
      </c>
      <c r="I4999" s="25" t="str">
        <f>IF(OR(E4999="",E4999="!!!",F4999="NEW"),"",INDEX(B4998:B$2,-1+SUMPRODUCT(MAX(ROW(E4998:E$2)*(E4999=E4998:E$2)))))</f>
        <v> </v>
      </c>
      <c r="J4999" s="25" t="str">
        <f>IF(OR(E4999="",E4999="!!!",F4999="NEW"),"",COUNTBLANK(OFFSET(A$1,,,SUMPRODUCT(MAX(ROW(E$2:E4999)*(E4999=E$2:E4999)))))-COUNTBLANK(OFFSET(A$1,,,SUMPRODUCT(MAX(ROW(E$1:E4998)*(E2=E$1:E4998))))))</f>
        <v> </v>
      </c>
      <c r="K4999" s="25" t="str">
        <f>IF(OR(E4999="",E4999="!!!",F4999="NEW"),"",INDEX(J$1:J4998,SUMPRODUCT(MAX(ROW(E$1:E4998)*(E4999=E$1:E4998)))))</f>
        <v> </v>
      </c>
      <c r="L4999" s="26"/>
    </row>
    <row r="5000" spans="1:12">
      <c r="A5000" s="20" t="s">
        <v>3016</v>
      </c>
      <c r="E5000" s="21">
        <f>IF(D5000="?OLD","!!!","")</f>
        <v/>
      </c>
      <c r="F5000" s="22" t="str">
        <f>IF(OR(E5000="",E5000="!!!"),"",IF(NOT(ISNA(VLOOKUP(E5000,E$1:E4999,1,FALSE()))),"OLD",IF(AND(E5000&lt;&gt;"",E5000&lt;&gt;"!!!"),"NEW","")))</f>
        <v> </v>
      </c>
      <c r="G5000" s="23" t="str">
        <f>IF(OR(E5000="",E5000="!!!"),"",IF(OR(J5000=0,AND(J5000=1,K5000=1),AND(J5000=1,I5000="SBJ"),AND(J5000=1,I5000=0)),"?IN_FOCUS",IF(J5000&lt;=2,"?ACTIVATED",IF(J5000&lt;&gt;"","?FAMILIAR",IF(F5000="NEW",IF(ISNA(VLOOKUP(E5000,#REF!,1,FALSE())),"?TYPE_IDENTIFIABLE","?REFERENTIAL"),"_")))))</f>
        <v> </v>
      </c>
      <c r="H5000" s="24" t="str">
        <f>IF(J5000&lt;&gt;1,"",IF(I5000="SBJ","CB","?"))</f>
        <v> </v>
      </c>
      <c r="I5000" s="25" t="str">
        <f>IF(OR(E5000="",E5000="!!!",F5000="NEW"),"",INDEX(B4999:B$2,-1+SUMPRODUCT(MAX(ROW(E4999:E$2)*(E5000=E4999:E$2)))))</f>
        <v> </v>
      </c>
      <c r="J5000" s="25" t="str">
        <f>IF(OR(E5000="",E5000="!!!",F5000="NEW"),"",COUNTBLANK(OFFSET(A$1,,,SUMPRODUCT(MAX(ROW(E$2:E5000)*(E5000=E$2:E5000)))))-COUNTBLANK(OFFSET(A$1,,,SUMPRODUCT(MAX(ROW(E$1:E4999)*(E2=E$1:E4999))))))</f>
        <v> </v>
      </c>
      <c r="K5000" s="25" t="str">
        <f>IF(OR(E5000="",E5000="!!!",F5000="NEW"),"",INDEX(J$1:J4999,SUMPRODUCT(MAX(ROW(E$1:E4999)*(E5000=E$1:E4999)))))</f>
        <v> </v>
      </c>
      <c r="L5000" s="26"/>
    </row>
    <row r="5001" spans="1:12">
      <c r="A5001" s="20" t="s">
        <v>1032</v>
      </c>
      <c r="E5001" s="21">
        <f>IF(D5001="?OLD","!!!","")</f>
        <v/>
      </c>
      <c r="F5001" s="22" t="str">
        <f>IF(OR(E5001="",E5001="!!!"),"",IF(NOT(ISNA(VLOOKUP(E5001,E$1:E5000,1,FALSE()))),"OLD",IF(AND(E5001&lt;&gt;"",E5001&lt;&gt;"!!!"),"NEW","")))</f>
        <v> </v>
      </c>
      <c r="G5001" s="23" t="str">
        <f>IF(OR(E5001="",E5001="!!!"),"",IF(OR(J5001=0,AND(J5001=1,K5001=1),AND(J5001=1,I5001="SBJ"),AND(J5001=1,I5001=0)),"?IN_FOCUS",IF(J5001&lt;=2,"?ACTIVATED",IF(J5001&lt;&gt;"","?FAMILIAR",IF(F5001="NEW",IF(ISNA(VLOOKUP(E5001,#REF!,1,FALSE())),"?TYPE_IDENTIFIABLE","?REFERENTIAL"),"_")))))</f>
        <v> </v>
      </c>
      <c r="H5001" s="24" t="str">
        <f>IF(J5001&lt;&gt;1,"",IF(I5001="SBJ","CB","?"))</f>
        <v> </v>
      </c>
      <c r="I5001" s="25" t="str">
        <f>IF(OR(E5001="",E5001="!!!",F5001="NEW"),"",INDEX(B5000:B$2,-1+SUMPRODUCT(MAX(ROW(E5000:E$2)*(E5001=E5000:E$2)))))</f>
        <v> </v>
      </c>
      <c r="J5001" s="25" t="str">
        <f>IF(OR(E5001="",E5001="!!!",F5001="NEW"),"",COUNTBLANK(OFFSET(A$1,,,SUMPRODUCT(MAX(ROW(E$2:E5001)*(E5001=E$2:E5001)))))-COUNTBLANK(OFFSET(A$1,,,SUMPRODUCT(MAX(ROW(E$1:E5000)*(E2=E$1:E5000))))))</f>
        <v> </v>
      </c>
      <c r="K5001" s="25" t="str">
        <f>IF(OR(E5001="",E5001="!!!",F5001="NEW"),"",INDEX(J$1:J5000,SUMPRODUCT(MAX(ROW(E$1:E5000)*(E5001=E$1:E5000)))))</f>
        <v> </v>
      </c>
      <c r="L5001" s="26"/>
    </row>
    <row r="5002" spans="1:12">
      <c r="A5002" s="20"/>
    </row>
    <row r="5003" spans="1:12">
      <c r="A5003" s="20" t="s">
        <v>3017</v>
      </c>
    </row>
    <row r="5004" spans="1:12">
      <c r="A5004" s="20" t="s">
        <v>3018</v>
      </c>
      <c r="E5004" s="21">
        <f>IF(D5004="?OLD","!!!","")</f>
        <v/>
      </c>
      <c r="F5004" s="22" t="str">
        <f>IF(OR(E5004="",E5004="!!!"),"",IF(NOT(ISNA(VLOOKUP(E5004,E$1:E5003,1,FALSE()))),"OLD",IF(AND(E5004&lt;&gt;"",E5004&lt;&gt;"!!!"),"NEW","")))</f>
        <v> </v>
      </c>
      <c r="G5004" s="23" t="str">
        <f>IF(OR(E5004="",E5004="!!!"),"",IF(OR(J5004=0,AND(J5004=1,K5004=1),AND(J5004=1,I5004="SBJ"),AND(J5004=1,I5004=0)),"?IN_FOCUS",IF(J5004&lt;=2,"?ACTIVATED",IF(J5004&lt;&gt;"","?FAMILIAR",IF(F5004="NEW",IF(ISNA(VLOOKUP(E5004,#REF!,1,FALSE())),"?TYPE_IDENTIFIABLE","?REFERENTIAL"),"_")))))</f>
        <v> </v>
      </c>
      <c r="H5004" s="24" t="str">
        <f>IF(J5004&lt;&gt;1,"",IF(I5004="SBJ","CB","?"))</f>
        <v> </v>
      </c>
      <c r="I5004" s="25" t="str">
        <f>IF(OR(E5004="",E5004="!!!",F5004="NEW"),"",INDEX(B5003:B$2,-1+SUMPRODUCT(MAX(ROW(E5003:E$2)*(E5004=E5003:E$2)))))</f>
        <v> </v>
      </c>
      <c r="J5004" s="25" t="str">
        <f>IF(OR(E5004="",E5004="!!!",F5004="NEW"),"",COUNTBLANK(OFFSET(A$1,,,SUMPRODUCT(MAX(ROW(E$2:E5004)*(E5004=E$2:E5004)))))-COUNTBLANK(OFFSET(A$1,,,SUMPRODUCT(MAX(ROW(E$1:E5003)*(E2=E$1:E5003))))))</f>
        <v> </v>
      </c>
      <c r="K5004" s="25" t="str">
        <f>IF(OR(E5004="",E5004="!!!",F5004="NEW"),"",INDEX(J$1:J5003,SUMPRODUCT(MAX(ROW(E$1:E5003)*(E5004=E$1:E5003)))))</f>
        <v> </v>
      </c>
      <c r="L5004" s="26"/>
    </row>
    <row r="5005" spans="1:12">
      <c r="A5005" s="20" t="s">
        <v>1252</v>
      </c>
      <c r="E5005" s="21">
        <f>IF(D5005="?OLD","!!!","")</f>
        <v/>
      </c>
      <c r="F5005" s="22" t="str">
        <f>IF(OR(E5005="",E5005="!!!"),"",IF(NOT(ISNA(VLOOKUP(E5005,E$1:E5004,1,FALSE()))),"OLD",IF(AND(E5005&lt;&gt;"",E5005&lt;&gt;"!!!"),"NEW","")))</f>
        <v> </v>
      </c>
      <c r="G5005" s="23" t="str">
        <f>IF(OR(E5005="",E5005="!!!"),"",IF(OR(J5005=0,AND(J5005=1,K5005=1),AND(J5005=1,I5005="SBJ"),AND(J5005=1,I5005=0)),"?IN_FOCUS",IF(J5005&lt;=2,"?ACTIVATED",IF(J5005&lt;&gt;"","?FAMILIAR",IF(F5005="NEW",IF(ISNA(VLOOKUP(E5005,#REF!,1,FALSE())),"?TYPE_IDENTIFIABLE","?REFERENTIAL"),"_")))))</f>
        <v> </v>
      </c>
      <c r="H5005" s="24" t="str">
        <f>IF(J5005&lt;&gt;1,"",IF(I5005="SBJ","CB","?"))</f>
        <v> </v>
      </c>
      <c r="I5005" s="25" t="str">
        <f>IF(OR(E5005="",E5005="!!!",F5005="NEW"),"",INDEX(B5004:B$2,-1+SUMPRODUCT(MAX(ROW(E5004:E$2)*(E5005=E5004:E$2)))))</f>
        <v> </v>
      </c>
      <c r="J5005" s="25" t="str">
        <f>IF(OR(E5005="",E5005="!!!",F5005="NEW"),"",COUNTBLANK(OFFSET(A$1,,,SUMPRODUCT(MAX(ROW(E$2:E5005)*(E5005=E$2:E5005)))))-COUNTBLANK(OFFSET(A$1,,,SUMPRODUCT(MAX(ROW(E$1:E5004)*(E2=E$1:E5004))))))</f>
        <v> </v>
      </c>
      <c r="K5005" s="25" t="str">
        <f>IF(OR(E5005="",E5005="!!!",F5005="NEW"),"",INDEX(J$1:J5004,SUMPRODUCT(MAX(ROW(E$1:E5004)*(E5005=E$1:E5004)))))</f>
        <v> </v>
      </c>
      <c r="L5005" s="26"/>
    </row>
    <row r="5006" spans="1:12">
      <c r="A5006" s="20" t="s">
        <v>1972</v>
      </c>
      <c r="E5006" s="21">
        <f>IF(D5006="?OLD","!!!","")</f>
        <v/>
      </c>
      <c r="F5006" s="22" t="str">
        <f>IF(OR(E5006="",E5006="!!!"),"",IF(NOT(ISNA(VLOOKUP(E5006,E$1:E5005,1,FALSE()))),"OLD",IF(AND(E5006&lt;&gt;"",E5006&lt;&gt;"!!!"),"NEW","")))</f>
        <v> </v>
      </c>
      <c r="G5006" s="23" t="str">
        <f>IF(OR(E5006="",E5006="!!!"),"",IF(OR(J5006=0,AND(J5006=1,K5006=1),AND(J5006=1,I5006="SBJ"),AND(J5006=1,I5006=0)),"?IN_FOCUS",IF(J5006&lt;=2,"?ACTIVATED",IF(J5006&lt;&gt;"","?FAMILIAR",IF(F5006="NEW",IF(ISNA(VLOOKUP(E5006,#REF!,1,FALSE())),"?TYPE_IDENTIFIABLE","?REFERENTIAL"),"_")))))</f>
        <v> </v>
      </c>
      <c r="H5006" s="24" t="str">
        <f>IF(J5006&lt;&gt;1,"",IF(I5006="SBJ","CB","?"))</f>
        <v> </v>
      </c>
      <c r="I5006" s="25" t="str">
        <f>IF(OR(E5006="",E5006="!!!",F5006="NEW"),"",INDEX(B5005:B$2,-1+SUMPRODUCT(MAX(ROW(E5005:E$2)*(E5006=E5005:E$2)))))</f>
        <v> </v>
      </c>
      <c r="J5006" s="25" t="str">
        <f>IF(OR(E5006="",E5006="!!!",F5006="NEW"),"",COUNTBLANK(OFFSET(A$1,,,SUMPRODUCT(MAX(ROW(E$2:E5006)*(E5006=E$2:E5006)))))-COUNTBLANK(OFFSET(A$1,,,SUMPRODUCT(MAX(ROW(E$1:E5005)*(E2=E$1:E5005))))))</f>
        <v> </v>
      </c>
      <c r="K5006" s="25" t="str">
        <f>IF(OR(E5006="",E5006="!!!",F5006="NEW"),"",INDEX(J$1:J5005,SUMPRODUCT(MAX(ROW(E$1:E5005)*(E5006=E$1:E5005)))))</f>
        <v> </v>
      </c>
      <c r="L5006" s="26"/>
    </row>
    <row r="5007" spans="1:12">
      <c r="A5007" s="20" t="s">
        <v>1041</v>
      </c>
      <c r="E5007" s="21">
        <f>IF(D5007="?OLD","!!!","")</f>
        <v/>
      </c>
      <c r="F5007" s="22" t="str">
        <f>IF(OR(E5007="",E5007="!!!"),"",IF(NOT(ISNA(VLOOKUP(E5007,E$1:E5006,1,FALSE()))),"OLD",IF(AND(E5007&lt;&gt;"",E5007&lt;&gt;"!!!"),"NEW","")))</f>
        <v> </v>
      </c>
      <c r="G5007" s="23" t="str">
        <f>IF(OR(E5007="",E5007="!!!"),"",IF(OR(J5007=0,AND(J5007=1,K5007=1),AND(J5007=1,I5007="SBJ"),AND(J5007=1,I5007=0)),"?IN_FOCUS",IF(J5007&lt;=2,"?ACTIVATED",IF(J5007&lt;&gt;"","?FAMILIAR",IF(F5007="NEW",IF(ISNA(VLOOKUP(E5007,#REF!,1,FALSE())),"?TYPE_IDENTIFIABLE","?REFERENTIAL"),"_")))))</f>
        <v> </v>
      </c>
      <c r="H5007" s="24" t="str">
        <f>IF(J5007&lt;&gt;1,"",IF(I5007="SBJ","CB","?"))</f>
        <v> </v>
      </c>
      <c r="I5007" s="25" t="str">
        <f>IF(OR(E5007="",E5007="!!!",F5007="NEW"),"",INDEX(B5006:B$2,-1+SUMPRODUCT(MAX(ROW(E5006:E$2)*(E5007=E5006:E$2)))))</f>
        <v> </v>
      </c>
      <c r="J5007" s="25" t="str">
        <f>IF(OR(E5007="",E5007="!!!",F5007="NEW"),"",COUNTBLANK(OFFSET(A$1,,,SUMPRODUCT(MAX(ROW(E$2:E5007)*(E5007=E$2:E5007)))))-COUNTBLANK(OFFSET(A$1,,,SUMPRODUCT(MAX(ROW(E$1:E5006)*(E2=E$1:E5006))))))</f>
        <v> </v>
      </c>
      <c r="K5007" s="25" t="str">
        <f>IF(OR(E5007="",E5007="!!!",F5007="NEW"),"",INDEX(J$1:J5006,SUMPRODUCT(MAX(ROW(E$1:E5006)*(E5007=E$1:E5006)))))</f>
        <v> </v>
      </c>
      <c r="L5007" s="26"/>
    </row>
    <row r="5008" spans="1:12">
      <c r="A5008" s="20" t="s">
        <v>1431</v>
      </c>
      <c r="E5008" s="21">
        <f>IF(D5008="?OLD","!!!","")</f>
        <v/>
      </c>
      <c r="F5008" s="22" t="str">
        <f>IF(OR(E5008="",E5008="!!!"),"",IF(NOT(ISNA(VLOOKUP(E5008,E$1:E5007,1,FALSE()))),"OLD",IF(AND(E5008&lt;&gt;"",E5008&lt;&gt;"!!!"),"NEW","")))</f>
        <v> </v>
      </c>
      <c r="G5008" s="23" t="str">
        <f>IF(OR(E5008="",E5008="!!!"),"",IF(OR(J5008=0,AND(J5008=1,K5008=1),AND(J5008=1,I5008="SBJ"),AND(J5008=1,I5008=0)),"?IN_FOCUS",IF(J5008&lt;=2,"?ACTIVATED",IF(J5008&lt;&gt;"","?FAMILIAR",IF(F5008="NEW",IF(ISNA(VLOOKUP(E5008,#REF!,1,FALSE())),"?TYPE_IDENTIFIABLE","?REFERENTIAL"),"_")))))</f>
        <v> </v>
      </c>
      <c r="H5008" s="24" t="str">
        <f>IF(J5008&lt;&gt;1,"",IF(I5008="SBJ","CB","?"))</f>
        <v> </v>
      </c>
      <c r="I5008" s="25" t="str">
        <f>IF(OR(E5008="",E5008="!!!",F5008="NEW"),"",INDEX(B5007:B$2,-1+SUMPRODUCT(MAX(ROW(E5007:E$2)*(E5008=E5007:E$2)))))</f>
        <v> </v>
      </c>
      <c r="J5008" s="25" t="str">
        <f>IF(OR(E5008="",E5008="!!!",F5008="NEW"),"",COUNTBLANK(OFFSET(A$1,,,SUMPRODUCT(MAX(ROW(E$2:E5008)*(E5008=E$2:E5008)))))-COUNTBLANK(OFFSET(A$1,,,SUMPRODUCT(MAX(ROW(E$1:E5007)*(E2=E$1:E5007))))))</f>
        <v> </v>
      </c>
      <c r="K5008" s="25" t="str">
        <f>IF(OR(E5008="",E5008="!!!",F5008="NEW"),"",INDEX(J$1:J5007,SUMPRODUCT(MAX(ROW(E$1:E5007)*(E5008=E$1:E5007)))))</f>
        <v> </v>
      </c>
      <c r="L5008" s="26"/>
    </row>
    <row r="5009" spans="1:12">
      <c r="A5009" s="20" t="s">
        <v>225</v>
      </c>
      <c r="E5009" s="21">
        <f>IF(D5009="?OLD","!!!","")</f>
        <v/>
      </c>
      <c r="F5009" s="22" t="str">
        <f>IF(OR(E5009="",E5009="!!!"),"",IF(NOT(ISNA(VLOOKUP(E5009,E$1:E5008,1,FALSE()))),"OLD",IF(AND(E5009&lt;&gt;"",E5009&lt;&gt;"!!!"),"NEW","")))</f>
        <v> </v>
      </c>
      <c r="G5009" s="23" t="str">
        <f>IF(OR(E5009="",E5009="!!!"),"",IF(OR(J5009=0,AND(J5009=1,K5009=1),AND(J5009=1,I5009="SBJ"),AND(J5009=1,I5009=0)),"?IN_FOCUS",IF(J5009&lt;=2,"?ACTIVATED",IF(J5009&lt;&gt;"","?FAMILIAR",IF(F5009="NEW",IF(ISNA(VLOOKUP(E5009,#REF!,1,FALSE())),"?TYPE_IDENTIFIABLE","?REFERENTIAL"),"_")))))</f>
        <v> </v>
      </c>
      <c r="H5009" s="24" t="str">
        <f>IF(J5009&lt;&gt;1,"",IF(I5009="SBJ","CB","?"))</f>
        <v> </v>
      </c>
      <c r="I5009" s="25" t="str">
        <f>IF(OR(E5009="",E5009="!!!",F5009="NEW"),"",INDEX(B5008:B$2,-1+SUMPRODUCT(MAX(ROW(E5008:E$2)*(E5009=E5008:E$2)))))</f>
        <v> </v>
      </c>
      <c r="J5009" s="25" t="str">
        <f>IF(OR(E5009="",E5009="!!!",F5009="NEW"),"",COUNTBLANK(OFFSET(A$1,,,SUMPRODUCT(MAX(ROW(E$2:E5009)*(E5009=E$2:E5009)))))-COUNTBLANK(OFFSET(A$1,,,SUMPRODUCT(MAX(ROW(E$1:E5008)*(E2=E$1:E5008))))))</f>
        <v> </v>
      </c>
      <c r="K5009" s="25" t="str">
        <f>IF(OR(E5009="",E5009="!!!",F5009="NEW"),"",INDEX(J$1:J5008,SUMPRODUCT(MAX(ROW(E$1:E5008)*(E5009=E$1:E5008)))))</f>
        <v> </v>
      </c>
      <c r="L5009" s="26"/>
    </row>
    <row r="5010" spans="1:12">
      <c r="A5010" s="20" t="s">
        <v>3019</v>
      </c>
      <c r="E5010" s="21">
        <f>IF(D5010="?OLD","!!!","")</f>
        <v/>
      </c>
      <c r="F5010" s="22" t="str">
        <f>IF(OR(E5010="",E5010="!!!"),"",IF(NOT(ISNA(VLOOKUP(E5010,E$1:E5009,1,FALSE()))),"OLD",IF(AND(E5010&lt;&gt;"",E5010&lt;&gt;"!!!"),"NEW","")))</f>
        <v> </v>
      </c>
      <c r="G5010" s="23" t="str">
        <f>IF(OR(E5010="",E5010="!!!"),"",IF(OR(J5010=0,AND(J5010=1,K5010=1),AND(J5010=1,I5010="SBJ"),AND(J5010=1,I5010=0)),"?IN_FOCUS",IF(J5010&lt;=2,"?ACTIVATED",IF(J5010&lt;&gt;"","?FAMILIAR",IF(F5010="NEW",IF(ISNA(VLOOKUP(E5010,#REF!,1,FALSE())),"?TYPE_IDENTIFIABLE","?REFERENTIAL"),"_")))))</f>
        <v> </v>
      </c>
      <c r="H5010" s="24" t="str">
        <f>IF(J5010&lt;&gt;1,"",IF(I5010="SBJ","CB","?"))</f>
        <v> </v>
      </c>
      <c r="I5010" s="25" t="str">
        <f>IF(OR(E5010="",E5010="!!!",F5010="NEW"),"",INDEX(B5009:B$2,-1+SUMPRODUCT(MAX(ROW(E5009:E$2)*(E5010=E5009:E$2)))))</f>
        <v> </v>
      </c>
      <c r="J5010" s="25" t="str">
        <f>IF(OR(E5010="",E5010="!!!",F5010="NEW"),"",COUNTBLANK(OFFSET(A$1,,,SUMPRODUCT(MAX(ROW(E$2:E5010)*(E5010=E$2:E5010)))))-COUNTBLANK(OFFSET(A$1,,,SUMPRODUCT(MAX(ROW(E$1:E5009)*(E2=E$1:E5009))))))</f>
        <v> </v>
      </c>
      <c r="K5010" s="25" t="str">
        <f>IF(OR(E5010="",E5010="!!!",F5010="NEW"),"",INDEX(J$1:J5009,SUMPRODUCT(MAX(ROW(E$1:E5009)*(E5010=E$1:E5009)))))</f>
        <v> </v>
      </c>
      <c r="L5010" s="26"/>
    </row>
    <row r="5011" spans="1:12">
      <c r="A5011" s="20" t="s">
        <v>1099</v>
      </c>
      <c r="E5011" s="21">
        <f>IF(D5011="?OLD","!!!","")</f>
        <v/>
      </c>
      <c r="F5011" s="22" t="str">
        <f>IF(OR(E5011="",E5011="!!!"),"",IF(NOT(ISNA(VLOOKUP(E5011,E$1:E5010,1,FALSE()))),"OLD",IF(AND(E5011&lt;&gt;"",E5011&lt;&gt;"!!!"),"NEW","")))</f>
        <v> </v>
      </c>
      <c r="G5011" s="23" t="str">
        <f>IF(OR(E5011="",E5011="!!!"),"",IF(OR(J5011=0,AND(J5011=1,K5011=1),AND(J5011=1,I5011="SBJ"),AND(J5011=1,I5011=0)),"?IN_FOCUS",IF(J5011&lt;=2,"?ACTIVATED",IF(J5011&lt;&gt;"","?FAMILIAR",IF(F5011="NEW",IF(ISNA(VLOOKUP(E5011,#REF!,1,FALSE())),"?TYPE_IDENTIFIABLE","?REFERENTIAL"),"_")))))</f>
        <v> </v>
      </c>
      <c r="H5011" s="24" t="str">
        <f>IF(J5011&lt;&gt;1,"",IF(I5011="SBJ","CB","?"))</f>
        <v> </v>
      </c>
      <c r="I5011" s="25" t="str">
        <f>IF(OR(E5011="",E5011="!!!",F5011="NEW"),"",INDEX(B5010:B$2,-1+SUMPRODUCT(MAX(ROW(E5010:E$2)*(E5011=E5010:E$2)))))</f>
        <v> </v>
      </c>
      <c r="J5011" s="25" t="str">
        <f>IF(OR(E5011="",E5011="!!!",F5011="NEW"),"",COUNTBLANK(OFFSET(A$1,,,SUMPRODUCT(MAX(ROW(E$2:E5011)*(E5011=E$2:E5011)))))-COUNTBLANK(OFFSET(A$1,,,SUMPRODUCT(MAX(ROW(E$1:E5010)*(E2=E$1:E5010))))))</f>
        <v> </v>
      </c>
      <c r="K5011" s="25" t="str">
        <f>IF(OR(E5011="",E5011="!!!",F5011="NEW"),"",INDEX(J$1:J5010,SUMPRODUCT(MAX(ROW(E$1:E5010)*(E5011=E$1:E5010)))))</f>
        <v> </v>
      </c>
      <c r="L5011" s="26"/>
    </row>
    <row r="5012" spans="1:12">
      <c r="A5012" s="20" t="s">
        <v>3020</v>
      </c>
      <c r="B5012" s="27" t="s">
        <v>1084</v>
      </c>
      <c r="C5012" s="27" t="s">
        <v>1075</v>
      </c>
      <c r="D5012" s="27" t="s">
        <v>1026</v>
      </c>
      <c r="E5012" s="21">
        <f>IF(D5012="?OLD","!!!","")</f>
        <v/>
      </c>
      <c r="F5012" s="22" t="str">
        <f>IF(OR(E5012="",E5012="!!!"),"",IF(NOT(ISNA(VLOOKUP(E5012,E$1:E5011,1,FALSE()))),"OLD",IF(AND(E5012&lt;&gt;"",E5012&lt;&gt;"!!!"),"NEW","")))</f>
        <v> </v>
      </c>
      <c r="G5012" s="23" t="str">
        <f>IF(OR(E5012="",E5012="!!!"),"",IF(OR(J5012=0,AND(J5012=1,K5012=1),AND(J5012=1,I5012="SBJ"),AND(J5012=1,I5012=0)),"?IN_FOCUS",IF(J5012&lt;=2,"?ACTIVATED",IF(J5012&lt;&gt;"","?FAMILIAR",IF(F5012="NEW",IF(ISNA(VLOOKUP(E5012,#REF!,1,FALSE())),"?TYPE_IDENTIFIABLE","?REFERENTIAL"),"_")))))</f>
        <v> </v>
      </c>
      <c r="H5012" s="24" t="str">
        <f>IF(J5012&lt;&gt;1,"",IF(I5012="SBJ","CB","?"))</f>
        <v> </v>
      </c>
      <c r="I5012" s="25" t="str">
        <f>IF(OR(E5012="",E5012="!!!",F5012="NEW"),"",INDEX(B5011:B$2,-1+SUMPRODUCT(MAX(ROW(E5011:E$2)*(E5012=E5011:E$2)))))</f>
        <v> </v>
      </c>
      <c r="J5012" s="25" t="str">
        <f>IF(OR(E5012="",E5012="!!!",F5012="NEW"),"",COUNTBLANK(OFFSET(A$1,,,SUMPRODUCT(MAX(ROW(E$2:E5012)*(E5012=E$2:E5012)))))-COUNTBLANK(OFFSET(A$1,,,SUMPRODUCT(MAX(ROW(E$1:E5011)*(E2=E$1:E5011))))))</f>
        <v> </v>
      </c>
      <c r="K5012" s="25" t="str">
        <f>IF(OR(E5012="",E5012="!!!",F5012="NEW"),"",INDEX(J$1:J5011,SUMPRODUCT(MAX(ROW(E$1:E5011)*(E5012=E$1:E5011)))))</f>
        <v> </v>
      </c>
      <c r="L5012" s="26"/>
    </row>
    <row r="5013" spans="1:12">
      <c r="A5013" s="20"/>
    </row>
    <row r="5014" spans="1:12">
      <c r="A5014" s="20" t="s">
        <v>3021</v>
      </c>
    </row>
    <row r="5015" spans="1:12">
      <c r="A5015" s="20" t="s">
        <v>744</v>
      </c>
      <c r="B5015" s="27" t="s">
        <v>1080</v>
      </c>
      <c r="C5015" s="27" t="s">
        <v>1075</v>
      </c>
      <c r="D5015" s="27" t="s">
        <v>1026</v>
      </c>
      <c r="E5015" s="21">
        <f>IF(D5015="?OLD","!!!","")</f>
        <v/>
      </c>
      <c r="F5015" s="22" t="str">
        <f>IF(OR(E5015="",E5015="!!!"),"",IF(NOT(ISNA(VLOOKUP(E5015,E$1:E5014,1,FALSE()))),"OLD",IF(AND(E5015&lt;&gt;"",E5015&lt;&gt;"!!!"),"NEW","")))</f>
        <v> </v>
      </c>
      <c r="G5015" s="23" t="str">
        <f>IF(OR(E5015="",E5015="!!!"),"",IF(OR(J5015=0,AND(J5015=1,K5015=1),AND(J5015=1,I5015="SBJ"),AND(J5015=1,I5015=0)),"?IN_FOCUS",IF(J5015&lt;=2,"?ACTIVATED",IF(J5015&lt;&gt;"","?FAMILIAR",IF(F5015="NEW",IF(ISNA(VLOOKUP(E5015,#REF!,1,FALSE())),"?TYPE_IDENTIFIABLE","?REFERENTIAL"),"_")))))</f>
        <v> </v>
      </c>
      <c r="H5015" s="24" t="str">
        <f>IF(J5015&lt;&gt;1,"",IF(I5015="SBJ","CB","?"))</f>
        <v> </v>
      </c>
      <c r="I5015" s="25" t="str">
        <f>IF(OR(E5015="",E5015="!!!",F5015="NEW"),"",INDEX(B5014:B$2,-1+SUMPRODUCT(MAX(ROW(E5014:E$2)*(E5015=E5014:E$2)))))</f>
        <v> </v>
      </c>
      <c r="J5015" s="25" t="str">
        <f>IF(OR(E5015="",E5015="!!!",F5015="NEW"),"",COUNTBLANK(OFFSET(A$1,,,SUMPRODUCT(MAX(ROW(E$2:E5015)*(E5015=E$2:E5015)))))-COUNTBLANK(OFFSET(A$1,,,SUMPRODUCT(MAX(ROW(E$1:E5014)*(E2=E$1:E5014))))))</f>
        <v> </v>
      </c>
      <c r="K5015" s="25" t="str">
        <f>IF(OR(E5015="",E5015="!!!",F5015="NEW"),"",INDEX(J$1:J5014,SUMPRODUCT(MAX(ROW(E$1:E5014)*(E5015=E$1:E5014)))))</f>
        <v> </v>
      </c>
      <c r="L5015" s="26"/>
    </row>
    <row r="5016" spans="1:12">
      <c r="A5016" s="20" t="s">
        <v>2530</v>
      </c>
      <c r="B5016" s="27" t="s">
        <v>1080</v>
      </c>
      <c r="C5016" s="27" t="s">
        <v>1075</v>
      </c>
      <c r="D5016" s="27" t="s">
        <v>1026</v>
      </c>
      <c r="E5016" s="21">
        <f>IF(D5016="?OLD","!!!","")</f>
        <v/>
      </c>
      <c r="F5016" s="22" t="str">
        <f>IF(OR(E5016="",E5016="!!!"),"",IF(NOT(ISNA(VLOOKUP(E5016,E$1:E5015,1,FALSE()))),"OLD",IF(AND(E5016&lt;&gt;"",E5016&lt;&gt;"!!!"),"NEW","")))</f>
        <v> </v>
      </c>
      <c r="G5016" s="23" t="str">
        <f>IF(OR(E5016="",E5016="!!!"),"",IF(OR(J5016=0,AND(J5016=1,K5016=1),AND(J5016=1,I5016="SBJ"),AND(J5016=1,I5016=0)),"?IN_FOCUS",IF(J5016&lt;=2,"?ACTIVATED",IF(J5016&lt;&gt;"","?FAMILIAR",IF(F5016="NEW",IF(ISNA(VLOOKUP(E5016,#REF!,1,FALSE())),"?TYPE_IDENTIFIABLE","?REFERENTIAL"),"_")))))</f>
        <v> </v>
      </c>
      <c r="H5016" s="24" t="str">
        <f>IF(J5016&lt;&gt;1,"",IF(I5016="SBJ","CB","?"))</f>
        <v> </v>
      </c>
      <c r="I5016" s="25" t="str">
        <f>IF(OR(E5016="",E5016="!!!",F5016="NEW"),"",INDEX(B5015:B$2,-1+SUMPRODUCT(MAX(ROW(E5015:E$2)*(E5016=E5015:E$2)))))</f>
        <v> </v>
      </c>
      <c r="J5016" s="25" t="str">
        <f>IF(OR(E5016="",E5016="!!!",F5016="NEW"),"",COUNTBLANK(OFFSET(A$1,,,SUMPRODUCT(MAX(ROW(E$2:E5016)*(E5016=E$2:E5016)))))-COUNTBLANK(OFFSET(A$1,,,SUMPRODUCT(MAX(ROW(E$1:E5015)*(E2=E$1:E5015))))))</f>
        <v> </v>
      </c>
      <c r="K5016" s="25" t="str">
        <f>IF(OR(E5016="",E5016="!!!",F5016="NEW"),"",INDEX(J$1:J5015,SUMPRODUCT(MAX(ROW(E$1:E5015)*(E5016=E$1:E5015)))))</f>
        <v> </v>
      </c>
      <c r="L5016" s="26"/>
    </row>
    <row r="5017" spans="1:12">
      <c r="A5017" s="20" t="s">
        <v>1222</v>
      </c>
      <c r="E5017" s="21">
        <f>IF(D5017="?OLD","!!!","")</f>
        <v/>
      </c>
      <c r="F5017" s="22" t="str">
        <f>IF(OR(E5017="",E5017="!!!"),"",IF(NOT(ISNA(VLOOKUP(E5017,E$1:E5016,1,FALSE()))),"OLD",IF(AND(E5017&lt;&gt;"",E5017&lt;&gt;"!!!"),"NEW","")))</f>
        <v> </v>
      </c>
      <c r="G5017" s="23" t="str">
        <f>IF(OR(E5017="",E5017="!!!"),"",IF(OR(J5017=0,AND(J5017=1,K5017=1),AND(J5017=1,I5017="SBJ"),AND(J5017=1,I5017=0)),"?IN_FOCUS",IF(J5017&lt;=2,"?ACTIVATED",IF(J5017&lt;&gt;"","?FAMILIAR",IF(F5017="NEW",IF(ISNA(VLOOKUP(E5017,#REF!,1,FALSE())),"?TYPE_IDENTIFIABLE","?REFERENTIAL"),"_")))))</f>
        <v> </v>
      </c>
      <c r="H5017" s="24" t="str">
        <f>IF(J5017&lt;&gt;1,"",IF(I5017="SBJ","CB","?"))</f>
        <v> </v>
      </c>
      <c r="I5017" s="25" t="str">
        <f>IF(OR(E5017="",E5017="!!!",F5017="NEW"),"",INDEX(B5016:B$2,-1+SUMPRODUCT(MAX(ROW(E5016:E$2)*(E5017=E5016:E$2)))))</f>
        <v> </v>
      </c>
      <c r="J5017" s="25" t="str">
        <f>IF(OR(E5017="",E5017="!!!",F5017="NEW"),"",COUNTBLANK(OFFSET(A$1,,,SUMPRODUCT(MAX(ROW(E$2:E5017)*(E5017=E$2:E5017)))))-COUNTBLANK(OFFSET(A$1,,,SUMPRODUCT(MAX(ROW(E$1:E5016)*(E2=E$1:E5016))))))</f>
        <v> </v>
      </c>
      <c r="K5017" s="25" t="str">
        <f>IF(OR(E5017="",E5017="!!!",F5017="NEW"),"",INDEX(J$1:J5016,SUMPRODUCT(MAX(ROW(E$1:E5016)*(E5017=E$1:E5016)))))</f>
        <v> </v>
      </c>
      <c r="L5017" s="26"/>
    </row>
    <row r="5018" spans="1:12">
      <c r="A5018" s="20" t="s">
        <v>2018</v>
      </c>
      <c r="B5018" s="27" t="s">
        <v>1136</v>
      </c>
      <c r="C5018" s="27" t="s">
        <v>1151</v>
      </c>
      <c r="E5018" s="21">
        <f>IF(D5018="?OLD","!!!","")</f>
        <v/>
      </c>
      <c r="F5018" s="22" t="str">
        <f>IF(OR(E5018="",E5018="!!!"),"",IF(NOT(ISNA(VLOOKUP(E5018,E$1:E5017,1,FALSE()))),"OLD",IF(AND(E5018&lt;&gt;"",E5018&lt;&gt;"!!!"),"NEW","")))</f>
        <v> </v>
      </c>
      <c r="G5018" s="23" t="str">
        <f>IF(OR(E5018="",E5018="!!!"),"",IF(OR(J5018=0,AND(J5018=1,K5018=1),AND(J5018=1,I5018="SBJ"),AND(J5018=1,I5018=0)),"?IN_FOCUS",IF(J5018&lt;=2,"?ACTIVATED",IF(J5018&lt;&gt;"","?FAMILIAR",IF(F5018="NEW",IF(ISNA(VLOOKUP(E5018,#REF!,1,FALSE())),"?TYPE_IDENTIFIABLE","?REFERENTIAL"),"_")))))</f>
        <v> </v>
      </c>
      <c r="H5018" s="24" t="str">
        <f>IF(J5018&lt;&gt;1,"",IF(I5018="SBJ","CB","?"))</f>
        <v> </v>
      </c>
      <c r="I5018" s="25" t="str">
        <f>IF(OR(E5018="",E5018="!!!",F5018="NEW"),"",INDEX(B5017:B$2,-1+SUMPRODUCT(MAX(ROW(E5017:E$2)*(E5018=E5017:E$2)))))</f>
        <v> </v>
      </c>
      <c r="J5018" s="25" t="str">
        <f>IF(OR(E5018="",E5018="!!!",F5018="NEW"),"",COUNTBLANK(OFFSET(A$1,,,SUMPRODUCT(MAX(ROW(E$2:E5018)*(E5018=E$2:E5018)))))-COUNTBLANK(OFFSET(A$1,,,SUMPRODUCT(MAX(ROW(E$1:E5017)*(E2=E$1:E5017))))))</f>
        <v> </v>
      </c>
      <c r="K5018" s="25" t="str">
        <f>IF(OR(E5018="",E5018="!!!",F5018="NEW"),"",INDEX(J$1:J5017,SUMPRODUCT(MAX(ROW(E$1:E5017)*(E5018=E$1:E5017)))))</f>
        <v> </v>
      </c>
      <c r="L5018" s="26"/>
    </row>
    <row r="5019" spans="1:12">
      <c r="A5019" s="20" t="s">
        <v>2233</v>
      </c>
      <c r="E5019" s="21">
        <f>IF(D5019="?OLD","!!!","")</f>
        <v/>
      </c>
      <c r="F5019" s="22" t="str">
        <f>IF(OR(E5019="",E5019="!!!"),"",IF(NOT(ISNA(VLOOKUP(E5019,E$1:E5018,1,FALSE()))),"OLD",IF(AND(E5019&lt;&gt;"",E5019&lt;&gt;"!!!"),"NEW","")))</f>
        <v> </v>
      </c>
      <c r="G5019" s="23" t="str">
        <f>IF(OR(E5019="",E5019="!!!"),"",IF(OR(J5019=0,AND(J5019=1,K5019=1),AND(J5019=1,I5019="SBJ"),AND(J5019=1,I5019=0)),"?IN_FOCUS",IF(J5019&lt;=2,"?ACTIVATED",IF(J5019&lt;&gt;"","?FAMILIAR",IF(F5019="NEW",IF(ISNA(VLOOKUP(E5019,#REF!,1,FALSE())),"?TYPE_IDENTIFIABLE","?REFERENTIAL"),"_")))))</f>
        <v> </v>
      </c>
      <c r="H5019" s="24" t="str">
        <f>IF(J5019&lt;&gt;1,"",IF(I5019="SBJ","CB","?"))</f>
        <v> </v>
      </c>
      <c r="I5019" s="25" t="str">
        <f>IF(OR(E5019="",E5019="!!!",F5019="NEW"),"",INDEX(B5018:B$2,-1+SUMPRODUCT(MAX(ROW(E5018:E$2)*(E5019=E5018:E$2)))))</f>
        <v> </v>
      </c>
      <c r="J5019" s="25" t="str">
        <f>IF(OR(E5019="",E5019="!!!",F5019="NEW"),"",COUNTBLANK(OFFSET(A$1,,,SUMPRODUCT(MAX(ROW(E$2:E5019)*(E5019=E$2:E5019)))))-COUNTBLANK(OFFSET(A$1,,,SUMPRODUCT(MAX(ROW(E$1:E5018)*(E2=E$1:E5018))))))</f>
        <v> </v>
      </c>
      <c r="K5019" s="25" t="str">
        <f>IF(OR(E5019="",E5019="!!!",F5019="NEW"),"",INDEX(J$1:J5018,SUMPRODUCT(MAX(ROW(E$1:E5018)*(E5019=E$1:E5018)))))</f>
        <v> </v>
      </c>
      <c r="L5019" s="26"/>
    </row>
    <row r="5020" spans="1:12">
      <c r="A5020" s="20" t="s">
        <v>1041</v>
      </c>
      <c r="E5020" s="21">
        <f>IF(D5020="?OLD","!!!","")</f>
        <v/>
      </c>
      <c r="F5020" s="22" t="str">
        <f>IF(OR(E5020="",E5020="!!!"),"",IF(NOT(ISNA(VLOOKUP(E5020,E$1:E5019,1,FALSE()))),"OLD",IF(AND(E5020&lt;&gt;"",E5020&lt;&gt;"!!!"),"NEW","")))</f>
        <v> </v>
      </c>
      <c r="G5020" s="23" t="str">
        <f>IF(OR(E5020="",E5020="!!!"),"",IF(OR(J5020=0,AND(J5020=1,K5020=1),AND(J5020=1,I5020="SBJ"),AND(J5020=1,I5020=0)),"?IN_FOCUS",IF(J5020&lt;=2,"?ACTIVATED",IF(J5020&lt;&gt;"","?FAMILIAR",IF(F5020="NEW",IF(ISNA(VLOOKUP(E5020,#REF!,1,FALSE())),"?TYPE_IDENTIFIABLE","?REFERENTIAL"),"_")))))</f>
        <v> </v>
      </c>
      <c r="H5020" s="24" t="str">
        <f>IF(J5020&lt;&gt;1,"",IF(I5020="SBJ","CB","?"))</f>
        <v> </v>
      </c>
      <c r="I5020" s="25" t="str">
        <f>IF(OR(E5020="",E5020="!!!",F5020="NEW"),"",INDEX(B5019:B$2,-1+SUMPRODUCT(MAX(ROW(E5019:E$2)*(E5020=E5019:E$2)))))</f>
        <v> </v>
      </c>
      <c r="J5020" s="25" t="str">
        <f>IF(OR(E5020="",E5020="!!!",F5020="NEW"),"",COUNTBLANK(OFFSET(A$1,,,SUMPRODUCT(MAX(ROW(E$2:E5020)*(E5020=E$2:E5020)))))-COUNTBLANK(OFFSET(A$1,,,SUMPRODUCT(MAX(ROW(E$1:E5019)*(E2=E$1:E5019))))))</f>
        <v> </v>
      </c>
      <c r="K5020" s="25" t="str">
        <f>IF(OR(E5020="",E5020="!!!",F5020="NEW"),"",INDEX(J$1:J5019,SUMPRODUCT(MAX(ROW(E$1:E5019)*(E5020=E$1:E5019)))))</f>
        <v> </v>
      </c>
      <c r="L5020" s="26"/>
    </row>
    <row r="5021" spans="1:12">
      <c r="A5021" s="20" t="s">
        <v>2044</v>
      </c>
      <c r="E5021" s="21">
        <f>IF(D5021="?OLD","!!!","")</f>
        <v/>
      </c>
      <c r="F5021" s="22" t="str">
        <f>IF(OR(E5021="",E5021="!!!"),"",IF(NOT(ISNA(VLOOKUP(E5021,E$1:E5020,1,FALSE()))),"OLD",IF(AND(E5021&lt;&gt;"",E5021&lt;&gt;"!!!"),"NEW","")))</f>
        <v> </v>
      </c>
      <c r="G5021" s="23" t="str">
        <f>IF(OR(E5021="",E5021="!!!"),"",IF(OR(J5021=0,AND(J5021=1,K5021=1),AND(J5021=1,I5021="SBJ"),AND(J5021=1,I5021=0)),"?IN_FOCUS",IF(J5021&lt;=2,"?ACTIVATED",IF(J5021&lt;&gt;"","?FAMILIAR",IF(F5021="NEW",IF(ISNA(VLOOKUP(E5021,#REF!,1,FALSE())),"?TYPE_IDENTIFIABLE","?REFERENTIAL"),"_")))))</f>
        <v> </v>
      </c>
      <c r="H5021" s="24" t="str">
        <f>IF(J5021&lt;&gt;1,"",IF(I5021="SBJ","CB","?"))</f>
        <v> </v>
      </c>
      <c r="I5021" s="25" t="str">
        <f>IF(OR(E5021="",E5021="!!!",F5021="NEW"),"",INDEX(B5020:B$2,-1+SUMPRODUCT(MAX(ROW(E5020:E$2)*(E5021=E5020:E$2)))))</f>
        <v> </v>
      </c>
      <c r="J5021" s="25" t="str">
        <f>IF(OR(E5021="",E5021="!!!",F5021="NEW"),"",COUNTBLANK(OFFSET(A$1,,,SUMPRODUCT(MAX(ROW(E$2:E5021)*(E5021=E$2:E5021)))))-COUNTBLANK(OFFSET(A$1,,,SUMPRODUCT(MAX(ROW(E$1:E5020)*(E2=E$1:E5020))))))</f>
        <v> </v>
      </c>
      <c r="K5021" s="25" t="str">
        <f>IF(OR(E5021="",E5021="!!!",F5021="NEW"),"",INDEX(J$1:J5020,SUMPRODUCT(MAX(ROW(E$1:E5020)*(E5021=E$1:E5020)))))</f>
        <v> </v>
      </c>
      <c r="L5021" s="26"/>
    </row>
    <row r="5022" spans="1:12">
      <c r="A5022" s="20" t="s">
        <v>1041</v>
      </c>
      <c r="E5022" s="21">
        <f>IF(D5022="?OLD","!!!","")</f>
        <v/>
      </c>
      <c r="F5022" s="22" t="str">
        <f>IF(OR(E5022="",E5022="!!!"),"",IF(NOT(ISNA(VLOOKUP(E5022,E$1:E5021,1,FALSE()))),"OLD",IF(AND(E5022&lt;&gt;"",E5022&lt;&gt;"!!!"),"NEW","")))</f>
        <v> </v>
      </c>
      <c r="G5022" s="23" t="str">
        <f>IF(OR(E5022="",E5022="!!!"),"",IF(OR(J5022=0,AND(J5022=1,K5022=1),AND(J5022=1,I5022="SBJ"),AND(J5022=1,I5022=0)),"?IN_FOCUS",IF(J5022&lt;=2,"?ACTIVATED",IF(J5022&lt;&gt;"","?FAMILIAR",IF(F5022="NEW",IF(ISNA(VLOOKUP(E5022,#REF!,1,FALSE())),"?TYPE_IDENTIFIABLE","?REFERENTIAL"),"_")))))</f>
        <v> </v>
      </c>
      <c r="H5022" s="24" t="str">
        <f>IF(J5022&lt;&gt;1,"",IF(I5022="SBJ","CB","?"))</f>
        <v> </v>
      </c>
      <c r="I5022" s="25" t="str">
        <f>IF(OR(E5022="",E5022="!!!",F5022="NEW"),"",INDEX(B5021:B$2,-1+SUMPRODUCT(MAX(ROW(E5021:E$2)*(E5022=E5021:E$2)))))</f>
        <v> </v>
      </c>
      <c r="J5022" s="25" t="str">
        <f>IF(OR(E5022="",E5022="!!!",F5022="NEW"),"",COUNTBLANK(OFFSET(A$1,,,SUMPRODUCT(MAX(ROW(E$2:E5022)*(E5022=E$2:E5022)))))-COUNTBLANK(OFFSET(A$1,,,SUMPRODUCT(MAX(ROW(E$1:E5021)*(E2=E$1:E5021))))))</f>
        <v> </v>
      </c>
      <c r="K5022" s="25" t="str">
        <f>IF(OR(E5022="",E5022="!!!",F5022="NEW"),"",INDEX(J$1:J5021,SUMPRODUCT(MAX(ROW(E$1:E5021)*(E5022=E$1:E5021)))))</f>
        <v> </v>
      </c>
      <c r="L5022" s="26"/>
    </row>
    <row r="5023" spans="1:12">
      <c r="A5023" s="20" t="s">
        <v>201</v>
      </c>
      <c r="E5023" s="21">
        <f>IF(D5023="?OLD","!!!","")</f>
        <v/>
      </c>
      <c r="F5023" s="22" t="str">
        <f>IF(OR(E5023="",E5023="!!!"),"",IF(NOT(ISNA(VLOOKUP(E5023,E$1:E5022,1,FALSE()))),"OLD",IF(AND(E5023&lt;&gt;"",E5023&lt;&gt;"!!!"),"NEW","")))</f>
        <v> </v>
      </c>
      <c r="G5023" s="23" t="str">
        <f>IF(OR(E5023="",E5023="!!!"),"",IF(OR(J5023=0,AND(J5023=1,K5023=1),AND(J5023=1,I5023="SBJ"),AND(J5023=1,I5023=0)),"?IN_FOCUS",IF(J5023&lt;=2,"?ACTIVATED",IF(J5023&lt;&gt;"","?FAMILIAR",IF(F5023="NEW",IF(ISNA(VLOOKUP(E5023,#REF!,1,FALSE())),"?TYPE_IDENTIFIABLE","?REFERENTIAL"),"_")))))</f>
        <v> </v>
      </c>
      <c r="H5023" s="24" t="str">
        <f>IF(J5023&lt;&gt;1,"",IF(I5023="SBJ","CB","?"))</f>
        <v> </v>
      </c>
      <c r="I5023" s="25" t="str">
        <f>IF(OR(E5023="",E5023="!!!",F5023="NEW"),"",INDEX(B5022:B$2,-1+SUMPRODUCT(MAX(ROW(E5022:E$2)*(E5023=E5022:E$2)))))</f>
        <v> </v>
      </c>
      <c r="J5023" s="25" t="str">
        <f>IF(OR(E5023="",E5023="!!!",F5023="NEW"),"",COUNTBLANK(OFFSET(A$1,,,SUMPRODUCT(MAX(ROW(E$2:E5023)*(E5023=E$2:E5023)))))-COUNTBLANK(OFFSET(A$1,,,SUMPRODUCT(MAX(ROW(E$1:E5022)*(E2=E$1:E5022))))))</f>
        <v> </v>
      </c>
      <c r="K5023" s="25" t="str">
        <f>IF(OR(E5023="",E5023="!!!",F5023="NEW"),"",INDEX(J$1:J5022,SUMPRODUCT(MAX(ROW(E$1:E5022)*(E5023=E$1:E5022)))))</f>
        <v> </v>
      </c>
      <c r="L5023" s="26"/>
    </row>
    <row r="5024" spans="1:12">
      <c r="A5024" s="20" t="s">
        <v>3022</v>
      </c>
      <c r="E5024" s="21">
        <f>IF(D5024="?OLD","!!!","")</f>
        <v/>
      </c>
      <c r="F5024" s="22" t="str">
        <f>IF(OR(E5024="",E5024="!!!"),"",IF(NOT(ISNA(VLOOKUP(E5024,E$1:E5023,1,FALSE()))),"OLD",IF(AND(E5024&lt;&gt;"",E5024&lt;&gt;"!!!"),"NEW","")))</f>
        <v> </v>
      </c>
      <c r="G5024" s="23" t="str">
        <f>IF(OR(E5024="",E5024="!!!"),"",IF(OR(J5024=0,AND(J5024=1,K5024=1),AND(J5024=1,I5024="SBJ"),AND(J5024=1,I5024=0)),"?IN_FOCUS",IF(J5024&lt;=2,"?ACTIVATED",IF(J5024&lt;&gt;"","?FAMILIAR",IF(F5024="NEW",IF(ISNA(VLOOKUP(E5024,#REF!,1,FALSE())),"?TYPE_IDENTIFIABLE","?REFERENTIAL"),"_")))))</f>
        <v> </v>
      </c>
      <c r="H5024" s="24" t="str">
        <f>IF(J5024&lt;&gt;1,"",IF(I5024="SBJ","CB","?"))</f>
        <v> </v>
      </c>
      <c r="I5024" s="25" t="str">
        <f>IF(OR(E5024="",E5024="!!!",F5024="NEW"),"",INDEX(B5023:B$2,-1+SUMPRODUCT(MAX(ROW(E5023:E$2)*(E5024=E5023:E$2)))))</f>
        <v> </v>
      </c>
      <c r="J5024" s="25" t="str">
        <f>IF(OR(E5024="",E5024="!!!",F5024="NEW"),"",COUNTBLANK(OFFSET(A$1,,,SUMPRODUCT(MAX(ROW(E$2:E5024)*(E5024=E$2:E5024)))))-COUNTBLANK(OFFSET(A$1,,,SUMPRODUCT(MAX(ROW(E$1:E5023)*(E2=E$1:E5023))))))</f>
        <v> </v>
      </c>
      <c r="K5024" s="25" t="str">
        <f>IF(OR(E5024="",E5024="!!!",F5024="NEW"),"",INDEX(J$1:J5023,SUMPRODUCT(MAX(ROW(E$1:E5023)*(E5024=E$1:E5023)))))</f>
        <v> </v>
      </c>
      <c r="L5024" s="26"/>
    </row>
    <row r="5025" spans="1:12">
      <c r="A5025" s="20" t="s">
        <v>3023</v>
      </c>
      <c r="B5025" s="27" t="s">
        <v>1059</v>
      </c>
      <c r="E5025" s="21">
        <f>IF(D5025="?OLD","!!!","")</f>
        <v/>
      </c>
      <c r="F5025" s="22" t="str">
        <f>IF(OR(E5025="",E5025="!!!"),"",IF(NOT(ISNA(VLOOKUP(E5025,E$1:E5024,1,FALSE()))),"OLD",IF(AND(E5025&lt;&gt;"",E5025&lt;&gt;"!!!"),"NEW","")))</f>
        <v> </v>
      </c>
      <c r="G5025" s="23" t="str">
        <f>IF(OR(E5025="",E5025="!!!"),"",IF(OR(J5025=0,AND(J5025=1,K5025=1),AND(J5025=1,I5025="SBJ"),AND(J5025=1,I5025=0)),"?IN_FOCUS",IF(J5025&lt;=2,"?ACTIVATED",IF(J5025&lt;&gt;"","?FAMILIAR",IF(F5025="NEW",IF(ISNA(VLOOKUP(E5025,#REF!,1,FALSE())),"?TYPE_IDENTIFIABLE","?REFERENTIAL"),"_")))))</f>
        <v> </v>
      </c>
      <c r="H5025" s="24" t="str">
        <f>IF(J5025&lt;&gt;1,"",IF(I5025="SBJ","CB","?"))</f>
        <v> </v>
      </c>
      <c r="I5025" s="25" t="str">
        <f>IF(OR(E5025="",E5025="!!!",F5025="NEW"),"",INDEX(B5024:B$2,-1+SUMPRODUCT(MAX(ROW(E5024:E$2)*(E5025=E5024:E$2)))))</f>
        <v> </v>
      </c>
      <c r="J5025" s="25" t="str">
        <f>IF(OR(E5025="",E5025="!!!",F5025="NEW"),"",COUNTBLANK(OFFSET(A$1,,,SUMPRODUCT(MAX(ROW(E$2:E5025)*(E5025=E$2:E5025)))))-COUNTBLANK(OFFSET(A$1,,,SUMPRODUCT(MAX(ROW(E$1:E5024)*(E2=E$1:E5024))))))</f>
        <v> </v>
      </c>
      <c r="K5025" s="25" t="str">
        <f>IF(OR(E5025="",E5025="!!!",F5025="NEW"),"",INDEX(J$1:J5024,SUMPRODUCT(MAX(ROW(E$1:E5024)*(E5025=E$1:E5024)))))</f>
        <v> </v>
      </c>
      <c r="L5025" s="26"/>
    </row>
    <row r="5026" spans="1:12">
      <c r="A5026" s="20" t="s">
        <v>3024</v>
      </c>
      <c r="E5026" s="21">
        <f>IF(D5026="?OLD","!!!","")</f>
        <v/>
      </c>
      <c r="F5026" s="22" t="str">
        <f>IF(OR(E5026="",E5026="!!!"),"",IF(NOT(ISNA(VLOOKUP(E5026,E$1:E5025,1,FALSE()))),"OLD",IF(AND(E5026&lt;&gt;"",E5026&lt;&gt;"!!!"),"NEW","")))</f>
        <v> </v>
      </c>
      <c r="G5026" s="23" t="str">
        <f>IF(OR(E5026="",E5026="!!!"),"",IF(OR(J5026=0,AND(J5026=1,K5026=1),AND(J5026=1,I5026="SBJ"),AND(J5026=1,I5026=0)),"?IN_FOCUS",IF(J5026&lt;=2,"?ACTIVATED",IF(J5026&lt;&gt;"","?FAMILIAR",IF(F5026="NEW",IF(ISNA(VLOOKUP(E5026,#REF!,1,FALSE())),"?TYPE_IDENTIFIABLE","?REFERENTIAL"),"_")))))</f>
        <v> </v>
      </c>
      <c r="H5026" s="24" t="str">
        <f>IF(J5026&lt;&gt;1,"",IF(I5026="SBJ","CB","?"))</f>
        <v> </v>
      </c>
      <c r="I5026" s="25" t="str">
        <f>IF(OR(E5026="",E5026="!!!",F5026="NEW"),"",INDEX(B5025:B$2,-1+SUMPRODUCT(MAX(ROW(E5025:E$2)*(E5026=E5025:E$2)))))</f>
        <v> </v>
      </c>
      <c r="J5026" s="25" t="str">
        <f>IF(OR(E5026="",E5026="!!!",F5026="NEW"),"",COUNTBLANK(OFFSET(A$1,,,SUMPRODUCT(MAX(ROW(E$2:E5026)*(E5026=E$2:E5026)))))-COUNTBLANK(OFFSET(A$1,,,SUMPRODUCT(MAX(ROW(E$1:E5025)*(E2=E$1:E5025))))))</f>
        <v> </v>
      </c>
      <c r="K5026" s="25" t="str">
        <f>IF(OR(E5026="",E5026="!!!",F5026="NEW"),"",INDEX(J$1:J5025,SUMPRODUCT(MAX(ROW(E$1:E5025)*(E5026=E$1:E5025)))))</f>
        <v> </v>
      </c>
      <c r="L5026" s="26"/>
    </row>
    <row r="5027" spans="1:12">
      <c r="A5027" s="20" t="s">
        <v>1041</v>
      </c>
      <c r="E5027" s="21">
        <f>IF(D5027="?OLD","!!!","")</f>
        <v/>
      </c>
      <c r="F5027" s="22" t="str">
        <f>IF(OR(E5027="",E5027="!!!"),"",IF(NOT(ISNA(VLOOKUP(E5027,E$1:E5026,1,FALSE()))),"OLD",IF(AND(E5027&lt;&gt;"",E5027&lt;&gt;"!!!"),"NEW","")))</f>
        <v> </v>
      </c>
      <c r="G5027" s="23" t="str">
        <f>IF(OR(E5027="",E5027="!!!"),"",IF(OR(J5027=0,AND(J5027=1,K5027=1),AND(J5027=1,I5027="SBJ"),AND(J5027=1,I5027=0)),"?IN_FOCUS",IF(J5027&lt;=2,"?ACTIVATED",IF(J5027&lt;&gt;"","?FAMILIAR",IF(F5027="NEW",IF(ISNA(VLOOKUP(E5027,#REF!,1,FALSE())),"?TYPE_IDENTIFIABLE","?REFERENTIAL"),"_")))))</f>
        <v> </v>
      </c>
      <c r="H5027" s="24" t="str">
        <f>IF(J5027&lt;&gt;1,"",IF(I5027="SBJ","CB","?"))</f>
        <v> </v>
      </c>
      <c r="I5027" s="25" t="str">
        <f>IF(OR(E5027="",E5027="!!!",F5027="NEW"),"",INDEX(B5026:B$2,-1+SUMPRODUCT(MAX(ROW(E5026:E$2)*(E5027=E5026:E$2)))))</f>
        <v> </v>
      </c>
      <c r="J5027" s="25" t="str">
        <f>IF(OR(E5027="",E5027="!!!",F5027="NEW"),"",COUNTBLANK(OFFSET(A$1,,,SUMPRODUCT(MAX(ROW(E$2:E5027)*(E5027=E$2:E5027)))))-COUNTBLANK(OFFSET(A$1,,,SUMPRODUCT(MAX(ROW(E$1:E5026)*(E2=E$1:E5026))))))</f>
        <v> </v>
      </c>
      <c r="K5027" s="25" t="str">
        <f>IF(OR(E5027="",E5027="!!!",F5027="NEW"),"",INDEX(J$1:J5026,SUMPRODUCT(MAX(ROW(E$1:E5026)*(E5027=E$1:E5026)))))</f>
        <v> </v>
      </c>
      <c r="L5027" s="26"/>
    </row>
    <row r="5028" spans="1:12">
      <c r="A5028" s="20" t="s">
        <v>1147</v>
      </c>
      <c r="E5028" s="21">
        <f>IF(D5028="?OLD","!!!","")</f>
        <v/>
      </c>
      <c r="F5028" s="22" t="str">
        <f>IF(OR(E5028="",E5028="!!!"),"",IF(NOT(ISNA(VLOOKUP(E5028,E$1:E5027,1,FALSE()))),"OLD",IF(AND(E5028&lt;&gt;"",E5028&lt;&gt;"!!!"),"NEW","")))</f>
        <v> </v>
      </c>
      <c r="G5028" s="23" t="str">
        <f>IF(OR(E5028="",E5028="!!!"),"",IF(OR(J5028=0,AND(J5028=1,K5028=1),AND(J5028=1,I5028="SBJ"),AND(J5028=1,I5028=0)),"?IN_FOCUS",IF(J5028&lt;=2,"?ACTIVATED",IF(J5028&lt;&gt;"","?FAMILIAR",IF(F5028="NEW",IF(ISNA(VLOOKUP(E5028,#REF!,1,FALSE())),"?TYPE_IDENTIFIABLE","?REFERENTIAL"),"_")))))</f>
        <v> </v>
      </c>
      <c r="H5028" s="24" t="str">
        <f>IF(J5028&lt;&gt;1,"",IF(I5028="SBJ","CB","?"))</f>
        <v> </v>
      </c>
      <c r="I5028" s="25" t="str">
        <f>IF(OR(E5028="",E5028="!!!",F5028="NEW"),"",INDEX(B5027:B$2,-1+SUMPRODUCT(MAX(ROW(E5027:E$2)*(E5028=E5027:E$2)))))</f>
        <v> </v>
      </c>
      <c r="J5028" s="25" t="str">
        <f>IF(OR(E5028="",E5028="!!!",F5028="NEW"),"",COUNTBLANK(OFFSET(A$1,,,SUMPRODUCT(MAX(ROW(E$2:E5028)*(E5028=E$2:E5028)))))-COUNTBLANK(OFFSET(A$1,,,SUMPRODUCT(MAX(ROW(E$1:E5027)*(E2=E$1:E5027))))))</f>
        <v> </v>
      </c>
      <c r="K5028" s="25" t="str">
        <f>IF(OR(E5028="",E5028="!!!",F5028="NEW"),"",INDEX(J$1:J5027,SUMPRODUCT(MAX(ROW(E$1:E5027)*(E5028=E$1:E5027)))))</f>
        <v> </v>
      </c>
      <c r="L5028" s="26"/>
    </row>
    <row r="5029" spans="1:12">
      <c r="A5029" s="20" t="s">
        <v>3025</v>
      </c>
      <c r="E5029" s="21">
        <f>IF(D5029="?OLD","!!!","")</f>
        <v/>
      </c>
      <c r="F5029" s="22" t="str">
        <f>IF(OR(E5029="",E5029="!!!"),"",IF(NOT(ISNA(VLOOKUP(E5029,E$1:E5028,1,FALSE()))),"OLD",IF(AND(E5029&lt;&gt;"",E5029&lt;&gt;"!!!"),"NEW","")))</f>
        <v> </v>
      </c>
      <c r="G5029" s="23" t="str">
        <f>IF(OR(E5029="",E5029="!!!"),"",IF(OR(J5029=0,AND(J5029=1,K5029=1),AND(J5029=1,I5029="SBJ"),AND(J5029=1,I5029=0)),"?IN_FOCUS",IF(J5029&lt;=2,"?ACTIVATED",IF(J5029&lt;&gt;"","?FAMILIAR",IF(F5029="NEW",IF(ISNA(VLOOKUP(E5029,#REF!,1,FALSE())),"?TYPE_IDENTIFIABLE","?REFERENTIAL"),"_")))))</f>
        <v> </v>
      </c>
      <c r="H5029" s="24" t="str">
        <f>IF(J5029&lt;&gt;1,"",IF(I5029="SBJ","CB","?"))</f>
        <v> </v>
      </c>
      <c r="I5029" s="25" t="str">
        <f>IF(OR(E5029="",E5029="!!!",F5029="NEW"),"",INDEX(B5028:B$2,-1+SUMPRODUCT(MAX(ROW(E5028:E$2)*(E5029=E5028:E$2)))))</f>
        <v> </v>
      </c>
      <c r="J5029" s="25" t="str">
        <f>IF(OR(E5029="",E5029="!!!",F5029="NEW"),"",COUNTBLANK(OFFSET(A$1,,,SUMPRODUCT(MAX(ROW(E$2:E5029)*(E5029=E$2:E5029)))))-COUNTBLANK(OFFSET(A$1,,,SUMPRODUCT(MAX(ROW(E$1:E5028)*(E2=E$1:E5028))))))</f>
        <v> </v>
      </c>
      <c r="K5029" s="25" t="str">
        <f>IF(OR(E5029="",E5029="!!!",F5029="NEW"),"",INDEX(J$1:J5028,SUMPRODUCT(MAX(ROW(E$1:E5028)*(E5029=E$1:E5028)))))</f>
        <v> </v>
      </c>
      <c r="L5029" s="26"/>
    </row>
    <row r="5030" spans="1:12">
      <c r="A5030" s="20" t="s">
        <v>3026</v>
      </c>
      <c r="E5030" s="21">
        <f>IF(D5030="?OLD","!!!","")</f>
        <v/>
      </c>
      <c r="F5030" s="22" t="str">
        <f>IF(OR(E5030="",E5030="!!!"),"",IF(NOT(ISNA(VLOOKUP(E5030,E$1:E5029,1,FALSE()))),"OLD",IF(AND(E5030&lt;&gt;"",E5030&lt;&gt;"!!!"),"NEW","")))</f>
        <v> </v>
      </c>
      <c r="G5030" s="23" t="str">
        <f>IF(OR(E5030="",E5030="!!!"),"",IF(OR(J5030=0,AND(J5030=1,K5030=1),AND(J5030=1,I5030="SBJ"),AND(J5030=1,I5030=0)),"?IN_FOCUS",IF(J5030&lt;=2,"?ACTIVATED",IF(J5030&lt;&gt;"","?FAMILIAR",IF(F5030="NEW",IF(ISNA(VLOOKUP(E5030,#REF!,1,FALSE())),"?TYPE_IDENTIFIABLE","?REFERENTIAL"),"_")))))</f>
        <v> </v>
      </c>
      <c r="H5030" s="24" t="str">
        <f>IF(J5030&lt;&gt;1,"",IF(I5030="SBJ","CB","?"))</f>
        <v> </v>
      </c>
      <c r="I5030" s="25" t="str">
        <f>IF(OR(E5030="",E5030="!!!",F5030="NEW"),"",INDEX(B5029:B$2,-1+SUMPRODUCT(MAX(ROW(E5029:E$2)*(E5030=E5029:E$2)))))</f>
        <v> </v>
      </c>
      <c r="J5030" s="25" t="str">
        <f>IF(OR(E5030="",E5030="!!!",F5030="NEW"),"",COUNTBLANK(OFFSET(A$1,,,SUMPRODUCT(MAX(ROW(E$2:E5030)*(E5030=E$2:E5030)))))-COUNTBLANK(OFFSET(A$1,,,SUMPRODUCT(MAX(ROW(E$1:E5029)*(E2=E$1:E5029))))))</f>
        <v> </v>
      </c>
      <c r="K5030" s="25" t="str">
        <f>IF(OR(E5030="",E5030="!!!",F5030="NEW"),"",INDEX(J$1:J5029,SUMPRODUCT(MAX(ROW(E$1:E5029)*(E5030=E$1:E5029)))))</f>
        <v> </v>
      </c>
      <c r="L5030" s="26"/>
    </row>
    <row r="5031" spans="1:12">
      <c r="A5031" s="20" t="s">
        <v>3027</v>
      </c>
      <c r="B5031" s="27" t="s">
        <v>1409</v>
      </c>
      <c r="E5031" s="21">
        <f>IF(D5031="?OLD","!!!","")</f>
        <v/>
      </c>
      <c r="F5031" s="22" t="str">
        <f>IF(OR(E5031="",E5031="!!!"),"",IF(NOT(ISNA(VLOOKUP(E5031,E$1:E5030,1,FALSE()))),"OLD",IF(AND(E5031&lt;&gt;"",E5031&lt;&gt;"!!!"),"NEW","")))</f>
        <v> </v>
      </c>
      <c r="G5031" s="23" t="str">
        <f>IF(OR(E5031="",E5031="!!!"),"",IF(OR(J5031=0,AND(J5031=1,K5031=1),AND(J5031=1,I5031="SBJ"),AND(J5031=1,I5031=0)),"?IN_FOCUS",IF(J5031&lt;=2,"?ACTIVATED",IF(J5031&lt;&gt;"","?FAMILIAR",IF(F5031="NEW",IF(ISNA(VLOOKUP(E5031,#REF!,1,FALSE())),"?TYPE_IDENTIFIABLE","?REFERENTIAL"),"_")))))</f>
        <v> </v>
      </c>
      <c r="H5031" s="24" t="str">
        <f>IF(J5031&lt;&gt;1,"",IF(I5031="SBJ","CB","?"))</f>
        <v> </v>
      </c>
      <c r="I5031" s="25" t="str">
        <f>IF(OR(E5031="",E5031="!!!",F5031="NEW"),"",INDEX(B5030:B$2,-1+SUMPRODUCT(MAX(ROW(E5030:E$2)*(E5031=E5030:E$2)))))</f>
        <v> </v>
      </c>
      <c r="J5031" s="25" t="str">
        <f>IF(OR(E5031="",E5031="!!!",F5031="NEW"),"",COUNTBLANK(OFFSET(A$1,,,SUMPRODUCT(MAX(ROW(E$2:E5031)*(E5031=E$2:E5031)))))-COUNTBLANK(OFFSET(A$1,,,SUMPRODUCT(MAX(ROW(E$1:E5030)*(E2=E$1:E5030))))))</f>
        <v> </v>
      </c>
      <c r="K5031" s="25" t="str">
        <f>IF(OR(E5031="",E5031="!!!",F5031="NEW"),"",INDEX(J$1:J5030,SUMPRODUCT(MAX(ROW(E$1:E5030)*(E5031=E$1:E5030)))))</f>
        <v> </v>
      </c>
      <c r="L5031" s="26"/>
    </row>
    <row r="5032" spans="1:12">
      <c r="A5032" s="20" t="s">
        <v>3028</v>
      </c>
      <c r="B5032" s="27" t="s">
        <v>1339</v>
      </c>
      <c r="C5032" s="27" t="s">
        <v>1046</v>
      </c>
      <c r="D5032" s="27" t="s">
        <v>1026</v>
      </c>
      <c r="E5032" s="21">
        <f>IF(D5032="?OLD","!!!","")</f>
        <v/>
      </c>
      <c r="F5032" s="22" t="str">
        <f>IF(OR(E5032="",E5032="!!!"),"",IF(NOT(ISNA(VLOOKUP(E5032,E$1:E5031,1,FALSE()))),"OLD",IF(AND(E5032&lt;&gt;"",E5032&lt;&gt;"!!!"),"NEW","")))</f>
        <v> </v>
      </c>
      <c r="G5032" s="23" t="str">
        <f>IF(OR(E5032="",E5032="!!!"),"",IF(OR(J5032=0,AND(J5032=1,K5032=1),AND(J5032=1,I5032="SBJ"),AND(J5032=1,I5032=0)),"?IN_FOCUS",IF(J5032&lt;=2,"?ACTIVATED",IF(J5032&lt;&gt;"","?FAMILIAR",IF(F5032="NEW",IF(ISNA(VLOOKUP(E5032,#REF!,1,FALSE())),"?TYPE_IDENTIFIABLE","?REFERENTIAL"),"_")))))</f>
        <v> </v>
      </c>
      <c r="H5032" s="24" t="str">
        <f>IF(J5032&lt;&gt;1,"",IF(I5032="SBJ","CB","?"))</f>
        <v> </v>
      </c>
      <c r="I5032" s="25" t="str">
        <f>IF(OR(E5032="",E5032="!!!",F5032="NEW"),"",INDEX(B5031:B$2,-1+SUMPRODUCT(MAX(ROW(E5031:E$2)*(E5032=E5031:E$2)))))</f>
        <v> </v>
      </c>
      <c r="J5032" s="25" t="str">
        <f>IF(OR(E5032="",E5032="!!!",F5032="NEW"),"",COUNTBLANK(OFFSET(A$1,,,SUMPRODUCT(MAX(ROW(E$2:E5032)*(E5032=E$2:E5032)))))-COUNTBLANK(OFFSET(A$1,,,SUMPRODUCT(MAX(ROW(E$1:E5031)*(E2=E$1:E5031))))))</f>
        <v> </v>
      </c>
      <c r="K5032" s="25" t="str">
        <f>IF(OR(E5032="",E5032="!!!",F5032="NEW"),"",INDEX(J$1:J5031,SUMPRODUCT(MAX(ROW(E$1:E5031)*(E5032=E$1:E5031)))))</f>
        <v> </v>
      </c>
      <c r="L5032" s="26"/>
    </row>
    <row r="5033" spans="1:12">
      <c r="A5033" s="20" t="s">
        <v>3029</v>
      </c>
      <c r="E5033" s="21">
        <f>IF(D5033="?OLD","!!!","")</f>
        <v/>
      </c>
      <c r="F5033" s="22" t="str">
        <f>IF(OR(E5033="",E5033="!!!"),"",IF(NOT(ISNA(VLOOKUP(E5033,E$1:E5032,1,FALSE()))),"OLD",IF(AND(E5033&lt;&gt;"",E5033&lt;&gt;"!!!"),"NEW","")))</f>
        <v> </v>
      </c>
      <c r="G5033" s="23" t="str">
        <f>IF(OR(E5033="",E5033="!!!"),"",IF(OR(J5033=0,AND(J5033=1,K5033=1),AND(J5033=1,I5033="SBJ"),AND(J5033=1,I5033=0)),"?IN_FOCUS",IF(J5033&lt;=2,"?ACTIVATED",IF(J5033&lt;&gt;"","?FAMILIAR",IF(F5033="NEW",IF(ISNA(VLOOKUP(E5033,#REF!,1,FALSE())),"?TYPE_IDENTIFIABLE","?REFERENTIAL"),"_")))))</f>
        <v> </v>
      </c>
      <c r="H5033" s="24" t="str">
        <f>IF(J5033&lt;&gt;1,"",IF(I5033="SBJ","CB","?"))</f>
        <v> </v>
      </c>
      <c r="I5033" s="25" t="str">
        <f>IF(OR(E5033="",E5033="!!!",F5033="NEW"),"",INDEX(B5032:B$2,-1+SUMPRODUCT(MAX(ROW(E5032:E$2)*(E5033=E5032:E$2)))))</f>
        <v> </v>
      </c>
      <c r="J5033" s="25" t="str">
        <f>IF(OR(E5033="",E5033="!!!",F5033="NEW"),"",COUNTBLANK(OFFSET(A$1,,,SUMPRODUCT(MAX(ROW(E$2:E5033)*(E5033=E$2:E5033)))))-COUNTBLANK(OFFSET(A$1,,,SUMPRODUCT(MAX(ROW(E$1:E5032)*(E2=E$1:E5032))))))</f>
        <v> </v>
      </c>
      <c r="K5033" s="25" t="str">
        <f>IF(OR(E5033="",E5033="!!!",F5033="NEW"),"",INDEX(J$1:J5032,SUMPRODUCT(MAX(ROW(E$1:E5032)*(E5033=E$1:E5032)))))</f>
        <v> </v>
      </c>
      <c r="L5033" s="26"/>
    </row>
    <row r="5034" spans="1:12">
      <c r="A5034" s="20" t="s">
        <v>1032</v>
      </c>
      <c r="E5034" s="21">
        <f>IF(D5034="?OLD","!!!","")</f>
        <v/>
      </c>
      <c r="F5034" s="22" t="str">
        <f>IF(OR(E5034="",E5034="!!!"),"",IF(NOT(ISNA(VLOOKUP(E5034,E$1:E5033,1,FALSE()))),"OLD",IF(AND(E5034&lt;&gt;"",E5034&lt;&gt;"!!!"),"NEW","")))</f>
        <v> </v>
      </c>
      <c r="G5034" s="23" t="str">
        <f>IF(OR(E5034="",E5034="!!!"),"",IF(OR(J5034=0,AND(J5034=1,K5034=1),AND(J5034=1,I5034="SBJ"),AND(J5034=1,I5034=0)),"?IN_FOCUS",IF(J5034&lt;=2,"?ACTIVATED",IF(J5034&lt;&gt;"","?FAMILIAR",IF(F5034="NEW",IF(ISNA(VLOOKUP(E5034,#REF!,1,FALSE())),"?TYPE_IDENTIFIABLE","?REFERENTIAL"),"_")))))</f>
        <v> </v>
      </c>
      <c r="H5034" s="24" t="str">
        <f>IF(J5034&lt;&gt;1,"",IF(I5034="SBJ","CB","?"))</f>
        <v> </v>
      </c>
      <c r="I5034" s="25" t="str">
        <f>IF(OR(E5034="",E5034="!!!",F5034="NEW"),"",INDEX(B5033:B$2,-1+SUMPRODUCT(MAX(ROW(E5033:E$2)*(E5034=E5033:E$2)))))</f>
        <v> </v>
      </c>
      <c r="J5034" s="25" t="str">
        <f>IF(OR(E5034="",E5034="!!!",F5034="NEW"),"",COUNTBLANK(OFFSET(A$1,,,SUMPRODUCT(MAX(ROW(E$2:E5034)*(E5034=E$2:E5034)))))-COUNTBLANK(OFFSET(A$1,,,SUMPRODUCT(MAX(ROW(E$1:E5033)*(E2=E$1:E5033))))))</f>
        <v> </v>
      </c>
      <c r="K5034" s="25" t="str">
        <f>IF(OR(E5034="",E5034="!!!",F5034="NEW"),"",INDEX(J$1:J5033,SUMPRODUCT(MAX(ROW(E$1:E5033)*(E5034=E$1:E5033)))))</f>
        <v> </v>
      </c>
      <c r="L5034" s="26"/>
    </row>
    <row r="5035" spans="1:12">
      <c r="A5035" s="20"/>
    </row>
    <row r="5036" spans="1:12">
      <c r="A5036" s="20" t="s">
        <v>3030</v>
      </c>
    </row>
    <row r="5037" spans="1:12">
      <c r="A5037" s="20" t="s">
        <v>3031</v>
      </c>
      <c r="E5037" s="21">
        <f>IF(D5037="?OLD","!!!","")</f>
        <v/>
      </c>
      <c r="F5037" s="22" t="str">
        <f>IF(OR(E5037="",E5037="!!!"),"",IF(NOT(ISNA(VLOOKUP(E5037,E$1:E5036,1,FALSE()))),"OLD",IF(AND(E5037&lt;&gt;"",E5037&lt;&gt;"!!!"),"NEW","")))</f>
        <v> </v>
      </c>
      <c r="G5037" s="23" t="str">
        <f>IF(OR(E5037="",E5037="!!!"),"",IF(OR(J5037=0,AND(J5037=1,K5037=1),AND(J5037=1,I5037="SBJ"),AND(J5037=1,I5037=0)),"?IN_FOCUS",IF(J5037&lt;=2,"?ACTIVATED",IF(J5037&lt;&gt;"","?FAMILIAR",IF(F5037="NEW",IF(ISNA(VLOOKUP(E5037,#REF!,1,FALSE())),"?TYPE_IDENTIFIABLE","?REFERENTIAL"),"_")))))</f>
        <v> </v>
      </c>
      <c r="H5037" s="24" t="str">
        <f>IF(J5037&lt;&gt;1,"",IF(I5037="SBJ","CB","?"))</f>
        <v> </v>
      </c>
      <c r="I5037" s="25" t="str">
        <f>IF(OR(E5037="",E5037="!!!",F5037="NEW"),"",INDEX(B5036:B$2,-1+SUMPRODUCT(MAX(ROW(E5036:E$2)*(E5037=E5036:E$2)))))</f>
        <v> </v>
      </c>
      <c r="J5037" s="25" t="str">
        <f>IF(OR(E5037="",E5037="!!!",F5037="NEW"),"",COUNTBLANK(OFFSET(A$1,,,SUMPRODUCT(MAX(ROW(E$2:E5037)*(E5037=E$2:E5037)))))-COUNTBLANK(OFFSET(A$1,,,SUMPRODUCT(MAX(ROW(E$1:E5036)*(E2=E$1:E5036))))))</f>
        <v> </v>
      </c>
      <c r="K5037" s="25" t="str">
        <f>IF(OR(E5037="",E5037="!!!",F5037="NEW"),"",INDEX(J$1:J5036,SUMPRODUCT(MAX(ROW(E$1:E5036)*(E5037=E$1:E5036)))))</f>
        <v> </v>
      </c>
      <c r="L5037" s="26"/>
    </row>
    <row r="5038" spans="1:12">
      <c r="A5038" s="20" t="s">
        <v>706</v>
      </c>
      <c r="E5038" s="21">
        <f>IF(D5038="?OLD","!!!","")</f>
        <v/>
      </c>
      <c r="F5038" s="22" t="str">
        <f>IF(OR(E5038="",E5038="!!!"),"",IF(NOT(ISNA(VLOOKUP(E5038,E$1:E5037,1,FALSE()))),"OLD",IF(AND(E5038&lt;&gt;"",E5038&lt;&gt;"!!!"),"NEW","")))</f>
        <v> </v>
      </c>
      <c r="G5038" s="23" t="str">
        <f>IF(OR(E5038="",E5038="!!!"),"",IF(OR(J5038=0,AND(J5038=1,K5038=1),AND(J5038=1,I5038="SBJ"),AND(J5038=1,I5038=0)),"?IN_FOCUS",IF(J5038&lt;=2,"?ACTIVATED",IF(J5038&lt;&gt;"","?FAMILIAR",IF(F5038="NEW",IF(ISNA(VLOOKUP(E5038,#REF!,1,FALSE())),"?TYPE_IDENTIFIABLE","?REFERENTIAL"),"_")))))</f>
        <v> </v>
      </c>
      <c r="H5038" s="24" t="str">
        <f>IF(J5038&lt;&gt;1,"",IF(I5038="SBJ","CB","?"))</f>
        <v> </v>
      </c>
      <c r="I5038" s="25" t="str">
        <f>IF(OR(E5038="",E5038="!!!",F5038="NEW"),"",INDEX(B5037:B$2,-1+SUMPRODUCT(MAX(ROW(E5037:E$2)*(E5038=E5037:E$2)))))</f>
        <v> </v>
      </c>
      <c r="J5038" s="25" t="str">
        <f>IF(OR(E5038="",E5038="!!!",F5038="NEW"),"",COUNTBLANK(OFFSET(A$1,,,SUMPRODUCT(MAX(ROW(E$2:E5038)*(E5038=E$2:E5038)))))-COUNTBLANK(OFFSET(A$1,,,SUMPRODUCT(MAX(ROW(E$1:E5037)*(E2=E$1:E5037))))))</f>
        <v> </v>
      </c>
      <c r="K5038" s="25" t="str">
        <f>IF(OR(E5038="",E5038="!!!",F5038="NEW"),"",INDEX(J$1:J5037,SUMPRODUCT(MAX(ROW(E$1:E5037)*(E5038=E$1:E5037)))))</f>
        <v> </v>
      </c>
      <c r="L5038" s="26"/>
    </row>
    <row r="5039" spans="1:12">
      <c r="A5039" s="20" t="s">
        <v>1032</v>
      </c>
      <c r="E5039" s="21">
        <f>IF(D5039="?OLD","!!!","")</f>
        <v/>
      </c>
      <c r="F5039" s="22" t="str">
        <f>IF(OR(E5039="",E5039="!!!"),"",IF(NOT(ISNA(VLOOKUP(E5039,E$1:E5038,1,FALSE()))),"OLD",IF(AND(E5039&lt;&gt;"",E5039&lt;&gt;"!!!"),"NEW","")))</f>
        <v> </v>
      </c>
      <c r="G5039" s="23" t="str">
        <f>IF(OR(E5039="",E5039="!!!"),"",IF(OR(J5039=0,AND(J5039=1,K5039=1),AND(J5039=1,I5039="SBJ"),AND(J5039=1,I5039=0)),"?IN_FOCUS",IF(J5039&lt;=2,"?ACTIVATED",IF(J5039&lt;&gt;"","?FAMILIAR",IF(F5039="NEW",IF(ISNA(VLOOKUP(E5039,#REF!,1,FALSE())),"?TYPE_IDENTIFIABLE","?REFERENTIAL"),"_")))))</f>
        <v> </v>
      </c>
      <c r="H5039" s="24" t="str">
        <f>IF(J5039&lt;&gt;1,"",IF(I5039="SBJ","CB","?"))</f>
        <v> </v>
      </c>
      <c r="I5039" s="25" t="str">
        <f>IF(OR(E5039="",E5039="!!!",F5039="NEW"),"",INDEX(B5038:B$2,-1+SUMPRODUCT(MAX(ROW(E5038:E$2)*(E5039=E5038:E$2)))))</f>
        <v> </v>
      </c>
      <c r="J5039" s="25" t="str">
        <f>IF(OR(E5039="",E5039="!!!",F5039="NEW"),"",COUNTBLANK(OFFSET(A$1,,,SUMPRODUCT(MAX(ROW(E$2:E5039)*(E5039=E$2:E5039)))))-COUNTBLANK(OFFSET(A$1,,,SUMPRODUCT(MAX(ROW(E$1:E5038)*(E2=E$1:E5038))))))</f>
        <v> </v>
      </c>
      <c r="K5039" s="25" t="str">
        <f>IF(OR(E5039="",E5039="!!!",F5039="NEW"),"",INDEX(J$1:J5038,SUMPRODUCT(MAX(ROW(E$1:E5038)*(E5039=E$1:E5038)))))</f>
        <v> </v>
      </c>
      <c r="L5039" s="26"/>
    </row>
    <row r="5040" spans="1:12">
      <c r="A5040" s="20"/>
    </row>
    <row r="5041" spans="1:12">
      <c r="A5041" s="20" t="s">
        <v>3032</v>
      </c>
    </row>
    <row r="5042" spans="1:12">
      <c r="A5042" s="20" t="s">
        <v>752</v>
      </c>
      <c r="B5042" s="27" t="s">
        <v>1080</v>
      </c>
      <c r="C5042" s="27" t="s">
        <v>1075</v>
      </c>
      <c r="D5042" s="27" t="s">
        <v>1026</v>
      </c>
      <c r="E5042" s="21">
        <f>IF(D5042="?OLD","!!!","")</f>
        <v/>
      </c>
      <c r="F5042" s="22" t="str">
        <f>IF(OR(E5042="",E5042="!!!"),"",IF(NOT(ISNA(VLOOKUP(E5042,E$1:E5041,1,FALSE()))),"OLD",IF(AND(E5042&lt;&gt;"",E5042&lt;&gt;"!!!"),"NEW","")))</f>
        <v> </v>
      </c>
      <c r="G5042" s="23" t="str">
        <f>IF(OR(E5042="",E5042="!!!"),"",IF(OR(J5042=0,AND(J5042=1,K5042=1),AND(J5042=1,I5042="SBJ"),AND(J5042=1,I5042=0)),"?IN_FOCUS",IF(J5042&lt;=2,"?ACTIVATED",IF(J5042&lt;&gt;"","?FAMILIAR",IF(F5042="NEW",IF(ISNA(VLOOKUP(E5042,#REF!,1,FALSE())),"?TYPE_IDENTIFIABLE","?REFERENTIAL"),"_")))))</f>
        <v> </v>
      </c>
      <c r="H5042" s="24" t="str">
        <f>IF(J5042&lt;&gt;1,"",IF(I5042="SBJ","CB","?"))</f>
        <v> </v>
      </c>
      <c r="I5042" s="25" t="str">
        <f>IF(OR(E5042="",E5042="!!!",F5042="NEW"),"",INDEX(B5041:B$2,-1+SUMPRODUCT(MAX(ROW(E5041:E$2)*(E5042=E5041:E$2)))))</f>
        <v> </v>
      </c>
      <c r="J5042" s="25" t="str">
        <f>IF(OR(E5042="",E5042="!!!",F5042="NEW"),"",COUNTBLANK(OFFSET(A$1,,,SUMPRODUCT(MAX(ROW(E$2:E5042)*(E5042=E$2:E5042)))))-COUNTBLANK(OFFSET(A$1,,,SUMPRODUCT(MAX(ROW(E$1:E5041)*(E2=E$1:E5041))))))</f>
        <v> </v>
      </c>
      <c r="K5042" s="25" t="str">
        <f>IF(OR(E5042="",E5042="!!!",F5042="NEW"),"",INDEX(J$1:J5041,SUMPRODUCT(MAX(ROW(E$1:E5041)*(E5042=E$1:E5041)))))</f>
        <v> </v>
      </c>
      <c r="L5042" s="26"/>
    </row>
    <row r="5043" spans="1:12">
      <c r="A5043" s="20" t="s">
        <v>2548</v>
      </c>
      <c r="B5043" s="27" t="s">
        <v>1080</v>
      </c>
      <c r="C5043" s="27" t="s">
        <v>1075</v>
      </c>
      <c r="D5043" s="27" t="s">
        <v>1026</v>
      </c>
      <c r="E5043" s="21">
        <f>IF(D5043="?OLD","!!!","")</f>
        <v/>
      </c>
      <c r="F5043" s="22" t="str">
        <f>IF(OR(E5043="",E5043="!!!"),"",IF(NOT(ISNA(VLOOKUP(E5043,E$1:E5042,1,FALSE()))),"OLD",IF(AND(E5043&lt;&gt;"",E5043&lt;&gt;"!!!"),"NEW","")))</f>
        <v> </v>
      </c>
      <c r="G5043" s="23" t="str">
        <f>IF(OR(E5043="",E5043="!!!"),"",IF(OR(J5043=0,AND(J5043=1,K5043=1),AND(J5043=1,I5043="SBJ"),AND(J5043=1,I5043=0)),"?IN_FOCUS",IF(J5043&lt;=2,"?ACTIVATED",IF(J5043&lt;&gt;"","?FAMILIAR",IF(F5043="NEW",IF(ISNA(VLOOKUP(E5043,#REF!,1,FALSE())),"?TYPE_IDENTIFIABLE","?REFERENTIAL"),"_")))))</f>
        <v> </v>
      </c>
      <c r="H5043" s="24" t="str">
        <f>IF(J5043&lt;&gt;1,"",IF(I5043="SBJ","CB","?"))</f>
        <v> </v>
      </c>
      <c r="I5043" s="25" t="str">
        <f>IF(OR(E5043="",E5043="!!!",F5043="NEW"),"",INDEX(B5042:B$2,-1+SUMPRODUCT(MAX(ROW(E5042:E$2)*(E5043=E5042:E$2)))))</f>
        <v> </v>
      </c>
      <c r="J5043" s="25" t="str">
        <f>IF(OR(E5043="",E5043="!!!",F5043="NEW"),"",COUNTBLANK(OFFSET(A$1,,,SUMPRODUCT(MAX(ROW(E$2:E5043)*(E5043=E$2:E5043)))))-COUNTBLANK(OFFSET(A$1,,,SUMPRODUCT(MAX(ROW(E$1:E5042)*(E2=E$1:E5042))))))</f>
        <v> </v>
      </c>
      <c r="K5043" s="25" t="str">
        <f>IF(OR(E5043="",E5043="!!!",F5043="NEW"),"",INDEX(J$1:J5042,SUMPRODUCT(MAX(ROW(E$1:E5042)*(E5043=E$1:E5042)))))</f>
        <v> </v>
      </c>
      <c r="L5043" s="26"/>
    </row>
    <row r="5044" spans="1:12">
      <c r="A5044" s="20" t="s">
        <v>1222</v>
      </c>
      <c r="E5044" s="21">
        <f>IF(D5044="?OLD","!!!","")</f>
        <v/>
      </c>
      <c r="F5044" s="22" t="str">
        <f>IF(OR(E5044="",E5044="!!!"),"",IF(NOT(ISNA(VLOOKUP(E5044,E$1:E5043,1,FALSE()))),"OLD",IF(AND(E5044&lt;&gt;"",E5044&lt;&gt;"!!!"),"NEW","")))</f>
        <v> </v>
      </c>
      <c r="G5044" s="23" t="str">
        <f>IF(OR(E5044="",E5044="!!!"),"",IF(OR(J5044=0,AND(J5044=1,K5044=1),AND(J5044=1,I5044="SBJ"),AND(J5044=1,I5044=0)),"?IN_FOCUS",IF(J5044&lt;=2,"?ACTIVATED",IF(J5044&lt;&gt;"","?FAMILIAR",IF(F5044="NEW",IF(ISNA(VLOOKUP(E5044,#REF!,1,FALSE())),"?TYPE_IDENTIFIABLE","?REFERENTIAL"),"_")))))</f>
        <v> </v>
      </c>
      <c r="H5044" s="24" t="str">
        <f>IF(J5044&lt;&gt;1,"",IF(I5044="SBJ","CB","?"))</f>
        <v> </v>
      </c>
      <c r="I5044" s="25" t="str">
        <f>IF(OR(E5044="",E5044="!!!",F5044="NEW"),"",INDEX(B5043:B$2,-1+SUMPRODUCT(MAX(ROW(E5043:E$2)*(E5044=E5043:E$2)))))</f>
        <v> </v>
      </c>
      <c r="J5044" s="25" t="str">
        <f>IF(OR(E5044="",E5044="!!!",F5044="NEW"),"",COUNTBLANK(OFFSET(A$1,,,SUMPRODUCT(MAX(ROW(E$2:E5044)*(E5044=E$2:E5044)))))-COUNTBLANK(OFFSET(A$1,,,SUMPRODUCT(MAX(ROW(E$1:E5043)*(E2=E$1:E5043))))))</f>
        <v> </v>
      </c>
      <c r="K5044" s="25" t="str">
        <f>IF(OR(E5044="",E5044="!!!",F5044="NEW"),"",INDEX(J$1:J5043,SUMPRODUCT(MAX(ROW(E$1:E5043)*(E5044=E$1:E5043)))))</f>
        <v> </v>
      </c>
      <c r="L5044" s="26"/>
    </row>
    <row r="5045" spans="1:12">
      <c r="A5045" s="20" t="s">
        <v>3033</v>
      </c>
      <c r="B5045" s="27" t="s">
        <v>1080</v>
      </c>
      <c r="C5045" s="27" t="s">
        <v>1075</v>
      </c>
      <c r="D5045" s="27" t="s">
        <v>1026</v>
      </c>
      <c r="E5045" s="21">
        <f>IF(D5045="?OLD","!!!","")</f>
        <v/>
      </c>
      <c r="F5045" s="22" t="str">
        <f>IF(OR(E5045="",E5045="!!!"),"",IF(NOT(ISNA(VLOOKUP(E5045,E$1:E5044,1,FALSE()))),"OLD",IF(AND(E5045&lt;&gt;"",E5045&lt;&gt;"!!!"),"NEW","")))</f>
        <v> </v>
      </c>
      <c r="G5045" s="23" t="str">
        <f>IF(OR(E5045="",E5045="!!!"),"",IF(OR(J5045=0,AND(J5045=1,K5045=1),AND(J5045=1,I5045="SBJ"),AND(J5045=1,I5045=0)),"?IN_FOCUS",IF(J5045&lt;=2,"?ACTIVATED",IF(J5045&lt;&gt;"","?FAMILIAR",IF(F5045="NEW",IF(ISNA(VLOOKUP(E5045,#REF!,1,FALSE())),"?TYPE_IDENTIFIABLE","?REFERENTIAL"),"_")))))</f>
        <v> </v>
      </c>
      <c r="H5045" s="24" t="str">
        <f>IF(J5045&lt;&gt;1,"",IF(I5045="SBJ","CB","?"))</f>
        <v> </v>
      </c>
      <c r="I5045" s="25" t="str">
        <f>IF(OR(E5045="",E5045="!!!",F5045="NEW"),"",INDEX(B5044:B$2,-1+SUMPRODUCT(MAX(ROW(E5044:E$2)*(E5045=E5044:E$2)))))</f>
        <v> </v>
      </c>
      <c r="J5045" s="25" t="str">
        <f>IF(OR(E5045="",E5045="!!!",F5045="NEW"),"",COUNTBLANK(OFFSET(A$1,,,SUMPRODUCT(MAX(ROW(E$2:E5045)*(E5045=E$2:E5045)))))-COUNTBLANK(OFFSET(A$1,,,SUMPRODUCT(MAX(ROW(E$1:E5044)*(E2=E$1:E5044))))))</f>
        <v> </v>
      </c>
      <c r="K5045" s="25" t="str">
        <f>IF(OR(E5045="",E5045="!!!",F5045="NEW"),"",INDEX(J$1:J5044,SUMPRODUCT(MAX(ROW(E$1:E5044)*(E5045=E$1:E5044)))))</f>
        <v> </v>
      </c>
      <c r="L5045" s="26"/>
    </row>
    <row r="5046" spans="1:12">
      <c r="A5046" s="20" t="s">
        <v>1032</v>
      </c>
      <c r="E5046" s="21">
        <f>IF(D5046="?OLD","!!!","")</f>
        <v/>
      </c>
      <c r="F5046" s="22" t="str">
        <f>IF(OR(E5046="",E5046="!!!"),"",IF(NOT(ISNA(VLOOKUP(E5046,E$1:E5045,1,FALSE()))),"OLD",IF(AND(E5046&lt;&gt;"",E5046&lt;&gt;"!!!"),"NEW","")))</f>
        <v> </v>
      </c>
      <c r="G5046" s="23" t="str">
        <f>IF(OR(E5046="",E5046="!!!"),"",IF(OR(J5046=0,AND(J5046=1,K5046=1),AND(J5046=1,I5046="SBJ"),AND(J5046=1,I5046=0)),"?IN_FOCUS",IF(J5046&lt;=2,"?ACTIVATED",IF(J5046&lt;&gt;"","?FAMILIAR",IF(F5046="NEW",IF(ISNA(VLOOKUP(E5046,#REF!,1,FALSE())),"?TYPE_IDENTIFIABLE","?REFERENTIAL"),"_")))))</f>
        <v> </v>
      </c>
      <c r="H5046" s="24" t="str">
        <f>IF(J5046&lt;&gt;1,"",IF(I5046="SBJ","CB","?"))</f>
        <v> </v>
      </c>
      <c r="I5046" s="25" t="str">
        <f>IF(OR(E5046="",E5046="!!!",F5046="NEW"),"",INDEX(B5045:B$2,-1+SUMPRODUCT(MAX(ROW(E5045:E$2)*(E5046=E5045:E$2)))))</f>
        <v> </v>
      </c>
      <c r="J5046" s="25" t="str">
        <f>IF(OR(E5046="",E5046="!!!",F5046="NEW"),"",COUNTBLANK(OFFSET(A$1,,,SUMPRODUCT(MAX(ROW(E$2:E5046)*(E5046=E$2:E5046)))))-COUNTBLANK(OFFSET(A$1,,,SUMPRODUCT(MAX(ROW(E$1:E5045)*(E2=E$1:E5045))))))</f>
        <v> </v>
      </c>
      <c r="K5046" s="25" t="str">
        <f>IF(OR(E5046="",E5046="!!!",F5046="NEW"),"",INDEX(J$1:J5045,SUMPRODUCT(MAX(ROW(E$1:E5045)*(E5046=E$1:E5045)))))</f>
        <v> </v>
      </c>
      <c r="L5046" s="26"/>
    </row>
    <row r="5047" spans="1:12">
      <c r="A504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2024-12-05T18:04:06Z</dcterms:created>
  <dcterms:modified xsi:type="dcterms:W3CDTF">2024-12-05T18:04:06Z</dcterms:modified>
</cp:coreProperties>
</file>