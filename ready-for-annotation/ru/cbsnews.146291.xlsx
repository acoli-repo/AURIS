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<sst xmlns="http://schemas.openxmlformats.org/spreadsheetml/2006/main" count="1571" uniqueCount="641">
  <si>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</si>
  <si>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</si>
  <si>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</si>
  <si>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</si>
  <si>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</si>
  <si>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</si>
  <si>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</si>
  <si>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</si>
  <si>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</si>
  <si>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</si>
  <si>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</si>
  <si>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5</t>
  </si>
  <si>
    <t>_</t>
  </si>
  <si>
    <t>служить</t>
  </si>
  <si>
    <t>Сильный дождь , наводнение служат причиной спасательных работ в Луизиане , штат Миссисипи Сильный дождь и широкомасштабное наводнение в Луизиане вынудили губернатора объявить чрезвычайное положение в пятницу , при этом еще больше осадков , как ожидается , выпадут над штатом до субботы включительно .</t>
  </si>
  <si>
    <t>file://conllu/ru/cbsnews.146291.conllu#s1_0</t>
  </si>
  <si>
    <t>2</t>
  </si>
  <si>
    <t>9</t>
  </si>
  <si>
    <t>выйти</t>
  </si>
  <si>
    <t>Многочисленные реки на юго-востоке Луизианы и юге Миссисипи вышли из берегов и угрожают широкомасштабным наводнением после экстремального количества осадков , сообщила Национальная Метеорологическая служба .</t>
  </si>
  <si>
    <t>file://conllu/ru/cbsnews.146291.conllu#s2_0</t>
  </si>
  <si>
    <t>3</t>
  </si>
  <si>
    <t>Луизиана</t>
  </si>
  <si>
    <t>Губернатор Луизианы Джон Белл Эдвардс заявил , что государственные чиновники находятся в постоянном контакте с местными властями и помощь уже выехала к пострадавшим приходам .</t>
  </si>
  <si>
    <t>file://conllu/ru/cbsnews.146291.conllu#s3_0</t>
  </si>
  <si>
    <t>4</t>
  </si>
  <si>
    <t>15</t>
  </si>
  <si>
    <t>заявить</t>
  </si>
  <si>
    <t>Майк Стил , представитель Канцелярии губернатора по национальной безопасности и готовности к чрезвычайным ситуациям заявил , что поступают запросы на транспорт для высокой воды , лодки и мешки с песком .</t>
  </si>
  <si>
    <t>file://conllu/ru/cbsnews.146291.conllu#s4_0</t>
  </si>
  <si>
    <t>Стить</t>
  </si>
  <si>
    <t>Стил сказал , что только приход Танджипахоа запросил десятки тысяч мешков с песком .</t>
  </si>
  <si>
    <t>file://conllu/ru/cbsnews.146291.conllu#s5_0</t>
  </si>
  <si>
    <t>6</t>
  </si>
  <si>
    <t>оставаться</t>
  </si>
  <si>
    <t>Опасность наводнения остается в силе до субботы на большей части юга Луизианы .</t>
  </si>
  <si>
    <t>file://conllu/ru/cbsnews.146291.conllu#s6_0</t>
  </si>
  <si>
    <t>7</t>
  </si>
  <si>
    <t>сказать</t>
  </si>
  <si>
    <t>Метеослужба сказала в заявлении , что дополнительные 3 – 5 дюймов могут нахлынуть на область .</t>
  </si>
  <si>
    <t>file://conllu/ru/cbsnews.146291.conllu#s7_0</t>
  </si>
  <si>
    <t>8</t>
  </si>
  <si>
    <t>действовать</t>
  </si>
  <si>
    <t>В южной Алабаме дежурство в ожидании наводнения действовало до пятницы , так как дождь продолжал идти в районе Мобила .</t>
  </si>
  <si>
    <t>file://conllu/ru/cbsnews.146291.conllu#s8_0</t>
  </si>
  <si>
    <t>Комит</t>
  </si>
  <si>
    <t>Река Комит рядом с Батон-Ружем и река Эймит рядом с Денем Спрингс , обе в Луизиане , по прогнозам должны были установить рекорд уровня паводка в минувшие выходные .</t>
  </si>
  <si>
    <t>file://conllu/ru/cbsnews.146291.conllu#s9_0</t>
  </si>
  <si>
    <t>10</t>
  </si>
  <si>
    <t>Синоптик Алек Краутманн сказал , что обе реки могли затопить много домов в пригородных районах вблизи Батон-Ружа .</t>
  </si>
  <si>
    <t>file://conllu/ru/cbsnews.146291.conllu#s10_0</t>
  </si>
  <si>
    <t>11</t>
  </si>
  <si>
    <t>Он также сказал , что наводнение , идущее вниз по течению в приходе Ассеншен , является угрозой , так как эти вздувшиеся реки будут медленно стекать в озеро Морпа .</t>
  </si>
  <si>
    <t>file://conllu/ru/cbsnews.146291.conllu#s11_0</t>
  </si>
  <si>
    <t>12</t>
  </si>
  <si>
    <t>река</t>
  </si>
  <si>
    <t>Река Тикфо , чуть южнее границы штата Миссисипи в Ливерпуле , штат Луизиана , достигла наивысшего из когда-либо зарегистрированных уровней в 9 часов утра пятницы .</t>
  </si>
  <si>
    <t>file://conllu/ru/cbsnews.146291.conllu#s12_0</t>
  </si>
  <si>
    <t>13</t>
  </si>
  <si>
    <t>вытаскивать</t>
  </si>
  <si>
    <t>Спасатели все еще вытаскивали людей из наводнения в округах Эймит и Уилкинсон на юго-западе штата Миссисипи .</t>
  </si>
  <si>
    <t>file://conllu/ru/cbsnews.146291.conllu#s13_0</t>
  </si>
  <si>
    <t>14</t>
  </si>
  <si>
    <t>Лерый</t>
  </si>
  <si>
    <t>Лерой Хансфорд , его жена и пасынок были среди спасенных раннее в пятницу возле Глостера .</t>
  </si>
  <si>
    <t>file://conllu/ru/cbsnews.146291.conllu#s14_0</t>
  </si>
  <si>
    <t>говорить</t>
  </si>
  <si>
    <t>Хансфорд , 62 лет , говорит , что воды Бивер-Крик , которые находятся обычно в более , чем 400 футах от его дома , быстро поднялись за ночь .</t>
  </si>
  <si>
    <t>file://conllu/ru/cbsnews.146291.conllu#s15_0</t>
  </si>
  <si>
    <t>16</t>
  </si>
  <si>
    <t>Он сказал , что другой пасынок , который живет неподалеку , предупредил его .</t>
  </si>
  <si>
    <t>file://conllu/ru/cbsnews.146291.conllu#s16_0</t>
  </si>
  <si>
    <t>17</t>
  </si>
  <si>
    <t>проснуться</t>
  </si>
  <si>
    <t>&amp;quot; Мы проснулись , и вода продолжала наступать &amp;quot; , — сказал Хансфорд .</t>
  </si>
  <si>
    <t>file://conllu/ru/cbsnews.146291.conllu#s17_0</t>
  </si>
  <si>
    <t>18</t>
  </si>
  <si>
    <t>достичь</t>
  </si>
  <si>
    <t>Она достигла уровня моего пояса .</t>
  </si>
  <si>
    <t>file://conllu/ru/cbsnews.146291.conllu#s18_0</t>
  </si>
  <si>
    <t>19</t>
  </si>
  <si>
    <t>Его жена сказала Хансфорду , что это самый большой приток , который она видела за 48 лет , что жила здесь .</t>
  </si>
  <si>
    <t>file://conllu/ru/cbsnews.146291.conllu#s19_0</t>
  </si>
  <si>
    <t>20</t>
  </si>
  <si>
    <t>Хансфорд сказал , что у него и всех членов его семьи инвалидность , и он единственный , кто умеет плавать .</t>
  </si>
  <si>
    <t>file://conllu/ru/cbsnews.146291.conllu#s20_0</t>
  </si>
  <si>
    <t>21</t>
  </si>
  <si>
    <t>Хансфорд сказал , что работники спасательной службы спасли всех троих с помощью армейского грузовика и доставили их на пожарную станцию в Глостере , где они укрывались в пятницу .</t>
  </si>
  <si>
    <t>file://conllu/ru/cbsnews.146291.conllu#s21_0</t>
  </si>
  <si>
    <t>22</t>
  </si>
  <si>
    <t>Краутманн говорит , что наводнение &amp;quot; быстро распространяется &amp;quot; , так как дожди продолжаются , отмечая , что чиновники рассматривают приказ об эвакуации .</t>
  </si>
  <si>
    <t>file://conllu/ru/cbsnews.146291.conllu#s22_0</t>
  </si>
  <si>
    <t>23</t>
  </si>
  <si>
    <t>Краутманн говорит , что один наблюдатель возле Ливингстона сообщил о выпадении 13,75 дюймов дождя с полуночи до утра пятницы .</t>
  </si>
  <si>
    <t>file://conllu/ru/cbsnews.146291.conllu#s23_0</t>
  </si>
  <si>
    <t>24</t>
  </si>
  <si>
    <t>Краутманн сказал , что почва была перенасыщена дождевыми осадками со среды .</t>
  </si>
  <si>
    <t>file://conllu/ru/cbsnews.146291.conllu#s24_0</t>
  </si>
  <si>
    <t>25</t>
  </si>
  <si>
    <t>привести</t>
  </si>
  <si>
    <t>Сильный дождь и затопление улиц привели к работам по спасению жителей из домов в приходе Танджипахоа и отмене занятий в пяти школьных округах , заявляют власти .</t>
  </si>
  <si>
    <t>file://conllu/ru/cbsnews.146291.conllu#s25_0</t>
  </si>
  <si>
    <t>26</t>
  </si>
  <si>
    <t>сообщать</t>
  </si>
  <si>
    <t>WWL , филиал CBS , сообщает , что советник Танджипахоа рассказала о 200 затопленных домов .</t>
  </si>
  <si>
    <t>file://conllu/ru/cbsnews.146291.conllu#s26_0</t>
  </si>
  <si>
    <t>27</t>
  </si>
  <si>
    <t>эвакуировать</t>
  </si>
  <si>
    <t>Жители были эвакуированы в две церкви , но они обе сейчас затопляются .</t>
  </si>
  <si>
    <t>file://conllu/ru/cbsnews.146291.conllu#s27_0</t>
  </si>
  <si>
    <t>28</t>
  </si>
  <si>
    <t>Председатель прихода Робби Миллер заявил , что власти спасли 72 человека и семь домашних животных , оказавшихся в высокой воде .</t>
  </si>
  <si>
    <t>file://conllu/ru/cbsnews.146291.conllu#s28_0</t>
  </si>
  <si>
    <t>29</t>
  </si>
  <si>
    <t>открыть</t>
  </si>
  <si>
    <t>Приюты были открыты в городе Эймит и городе Хэммонд , чтобы принять тех , кто был эвакуирован .</t>
  </si>
  <si>
    <t>file://conllu/ru/cbsnews.146291.conllu#s29_0</t>
  </si>
  <si>
    <t>30</t>
  </si>
  <si>
    <t>быть</t>
  </si>
  <si>
    <t>&amp;quot; У них будет возможность вернуться домой , как только вода начнет отступать &amp;quot; , сказал он .</t>
  </si>
  <si>
    <t>file://conllu/ru/cbsnews.146291.conllu#s30_0</t>
  </si>
  <si>
    <t>31</t>
  </si>
  <si>
    <t>закрыть</t>
  </si>
  <si>
    <t>В городе Хэммонд прихода Танджипахоа около двух десятков улиц были закрыты из-за высокого уровня воды , а мешки с песком были доступны для выдачи жителям в надежде , что они удержат воду вдали от домов и предприятий .</t>
  </si>
  <si>
    <t>file://conllu/ru/cbsnews.146291.conllu#s31_0</t>
  </si>
  <si>
    <t>32</t>
  </si>
  <si>
    <t>быть (быть март)</t>
  </si>
  <si>
    <t>&amp;quot; Последнее крупное наводнение , которое у нас было , было в марте &amp;quot; , — сказал городской управляющий Лейси Ландрум .</t>
  </si>
  <si>
    <t>file://conllu/ru/cbsnews.146291.conllu#s32_0</t>
  </si>
  <si>
    <t>33</t>
  </si>
  <si>
    <t>путь</t>
  </si>
  <si>
    <t>Это на пути к тому , чтобы стать аналогичным событием .</t>
  </si>
  <si>
    <t>file://conllu/ru/cbsnews.146291.conllu#s33_0</t>
  </si>
  <si>
    <t>34</t>
  </si>
  <si>
    <t>сообщить</t>
  </si>
  <si>
    <t>В Миссисипи , округ Харрисон , руководитель Службы по чрезвычайным ситуациям Руперт Лейси сообщил , что обложной дождь продолжал идти на побережье Мексиканского залива .</t>
  </si>
  <si>
    <t>file://conllu/ru/cbsnews.146291.conllu#s34_0</t>
  </si>
  <si>
    <t>35</t>
  </si>
  <si>
    <t>регистрировать</t>
  </si>
  <si>
    <t>По его словам , несколько домов были зарегистрированы как затопленные в четверг , но ни один не был зарегистрирован в пятницу .</t>
  </si>
  <si>
    <t>file://conllu/ru/cbsnews.146291.conllu#s35_0</t>
  </si>
  <si>
    <t>36</t>
  </si>
  <si>
    <t>жить</t>
  </si>
  <si>
    <t>Кейт Тоусон , руководитель магазина Shopper Value Foods в Эймит , живет в этом районе 40 лет .</t>
  </si>
  <si>
    <t>file://conllu/ru/cbsnews.146291.conllu#s36_0</t>
  </si>
  <si>
    <t>37</t>
  </si>
  <si>
    <t>сказать (сказать видеть)</t>
  </si>
  <si>
    <t>&amp;quot; Я видел воду в тех местах , где я раньше никогда её не видел , сказал Таусон , и она до сих пор льёт на землю &amp;quot; .</t>
  </si>
  <si>
    <t>file://conllu/ru/cbsnews.146291.conllu#s37_0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</si>
  <si>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</si>
  <si>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</si>
  <si>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</si>
  <si>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</si>
  <si>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</si>
  <si>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</si>
  <si>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</si>
  <si>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</si>
  <si>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</si>
  <si>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</si>
  <si>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</si>
  <si>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Сильный дождь, наводнение служат причиной спасательных работ в Луизиане, штат Миссисипи Сильный дождь и широкомасштабное наводнение в Луизиане вынудили губернатора объявить чрезвычайное положение в пятницу, при этом еще больше осадков, как ожидается, выпадут над штатом до субботы включительно.</t>
  </si>
  <si>
    <t>Сильный</t>
  </si>
  <si>
    <t>дождь</t>
  </si>
  <si>
    <t>SBJ</t>
  </si>
  <si>
    <t>,</t>
  </si>
  <si>
    <t>наводнение</t>
  </si>
  <si>
    <t>служат</t>
  </si>
  <si>
    <t>причиной</t>
  </si>
  <si>
    <t>спасательных</t>
  </si>
  <si>
    <t>работ</t>
  </si>
  <si>
    <t>в</t>
  </si>
  <si>
    <t>Луизиане</t>
  </si>
  <si>
    <t>other_3</t>
  </si>
  <si>
    <t>ne</t>
  </si>
  <si>
    <t>?OLD</t>
  </si>
  <si>
    <t>штат</t>
  </si>
  <si>
    <t>SBJ_5</t>
  </si>
  <si>
    <t>Миссисипи</t>
  </si>
  <si>
    <t>other_6</t>
  </si>
  <si>
    <t>и</t>
  </si>
  <si>
    <t>широкомасштабное</t>
  </si>
  <si>
    <t>other_5</t>
  </si>
  <si>
    <t>вынудили</t>
  </si>
  <si>
    <t>губернатора</t>
  </si>
  <si>
    <t>OBJ_2</t>
  </si>
  <si>
    <t>объявить</t>
  </si>
  <si>
    <t>чрезвычайное</t>
  </si>
  <si>
    <t>положение</t>
  </si>
  <si>
    <t>OBJ_3</t>
  </si>
  <si>
    <t>пятницу</t>
  </si>
  <si>
    <t>при</t>
  </si>
  <si>
    <t>этом</t>
  </si>
  <si>
    <t>pron.pds</t>
  </si>
  <si>
    <t>еще</t>
  </si>
  <si>
    <t>больше</t>
  </si>
  <si>
    <t>осадков</t>
  </si>
  <si>
    <t>как</t>
  </si>
  <si>
    <t>ожидается</t>
  </si>
  <si>
    <t>выпадут</t>
  </si>
  <si>
    <t>над</t>
  </si>
  <si>
    <t>штатом</t>
  </si>
  <si>
    <t>до</t>
  </si>
  <si>
    <t>субботы</t>
  </si>
  <si>
    <t>включительно</t>
  </si>
  <si>
    <t>.</t>
  </si>
  <si>
    <t># text = Многочисленные реки на юго-востоке Луизианы и юге Миссисипи вышли из берегов и угрожают широкомасштабным наводнением после экстремального количества осадков, сообщила Национальная Метеорологическая служба.</t>
  </si>
  <si>
    <t>Многочисленные</t>
  </si>
  <si>
    <t>реки</t>
  </si>
  <si>
    <t>на</t>
  </si>
  <si>
    <t>юго-востоке</t>
  </si>
  <si>
    <t>Луизианы</t>
  </si>
  <si>
    <t>юге</t>
  </si>
  <si>
    <t>other_4</t>
  </si>
  <si>
    <t>вышли</t>
  </si>
  <si>
    <t>из</t>
  </si>
  <si>
    <t>берегов</t>
  </si>
  <si>
    <t>угрожают</t>
  </si>
  <si>
    <t>широкомасштабным</t>
  </si>
  <si>
    <t>наводнением</t>
  </si>
  <si>
    <t>после</t>
  </si>
  <si>
    <t>экстремального</t>
  </si>
  <si>
    <t>количества</t>
  </si>
  <si>
    <t>сообщила</t>
  </si>
  <si>
    <t>Национальная</t>
  </si>
  <si>
    <t>Метеорологическая</t>
  </si>
  <si>
    <t>служба</t>
  </si>
  <si>
    <t>SBJ_2</t>
  </si>
  <si>
    <t># text = Губернатор Луизианы Джон Белл Эдвардс заявил, что государственные чиновники находятся в постоянном контакте с местными властями и помощь уже выехала к пострадавшим приходам.</t>
  </si>
  <si>
    <t>Губернатор</t>
  </si>
  <si>
    <t>Джон</t>
  </si>
  <si>
    <t>Белл</t>
  </si>
  <si>
    <t>other_2</t>
  </si>
  <si>
    <t>Эдвардс</t>
  </si>
  <si>
    <t>заявил</t>
  </si>
  <si>
    <t>что</t>
  </si>
  <si>
    <t>государственные</t>
  </si>
  <si>
    <t>чиновники</t>
  </si>
  <si>
    <t>SBJ_3</t>
  </si>
  <si>
    <t>находятся</t>
  </si>
  <si>
    <t>постоянном</t>
  </si>
  <si>
    <t>контакте</t>
  </si>
  <si>
    <t>с</t>
  </si>
  <si>
    <t>местными</t>
  </si>
  <si>
    <t>властями</t>
  </si>
  <si>
    <t>помощь</t>
  </si>
  <si>
    <t>SBJ_4</t>
  </si>
  <si>
    <t>уже</t>
  </si>
  <si>
    <t>выехала</t>
  </si>
  <si>
    <t>к</t>
  </si>
  <si>
    <t>пострадавшим</t>
  </si>
  <si>
    <t>приходам</t>
  </si>
  <si>
    <t># text = Майк Стил, представитель Канцелярии губернатора по национальной безопасности и готовности к чрезвычайным ситуациям заявил, что поступают запросы на транспорт для высокой воды, лодки и мешки с песком.</t>
  </si>
  <si>
    <t>Майк</t>
  </si>
  <si>
    <t>Стил</t>
  </si>
  <si>
    <t>представитель</t>
  </si>
  <si>
    <t>def-np.poss</t>
  </si>
  <si>
    <t>Канцелярии</t>
  </si>
  <si>
    <t>по</t>
  </si>
  <si>
    <t>национальной</t>
  </si>
  <si>
    <t>безопасности</t>
  </si>
  <si>
    <t>готовности</t>
  </si>
  <si>
    <t>чрезвычайным</t>
  </si>
  <si>
    <t>ситуациям</t>
  </si>
  <si>
    <t>поступают</t>
  </si>
  <si>
    <t>запросы</t>
  </si>
  <si>
    <t>транспорт</t>
  </si>
  <si>
    <t>для</t>
  </si>
  <si>
    <t>высокой</t>
  </si>
  <si>
    <t>воды</t>
  </si>
  <si>
    <t>лодки</t>
  </si>
  <si>
    <t>мешки</t>
  </si>
  <si>
    <t>песком</t>
  </si>
  <si>
    <t># text = Стил сказал, что только приход Танджипахоа запросил десятки тысяч мешков с песком.</t>
  </si>
  <si>
    <t>сказал</t>
  </si>
  <si>
    <t>только</t>
  </si>
  <si>
    <t>приход</t>
  </si>
  <si>
    <t>Танджипахоа</t>
  </si>
  <si>
    <t>запросил</t>
  </si>
  <si>
    <t>десятки</t>
  </si>
  <si>
    <t>тысяч</t>
  </si>
  <si>
    <t>мешков</t>
  </si>
  <si>
    <t># text = Опасность наводнения остается в силе до субботы на большей части юга Луизианы.</t>
  </si>
  <si>
    <t>Опасность</t>
  </si>
  <si>
    <t>наводнения</t>
  </si>
  <si>
    <t>остается</t>
  </si>
  <si>
    <t>силе</t>
  </si>
  <si>
    <t>большей</t>
  </si>
  <si>
    <t>части</t>
  </si>
  <si>
    <t>юга</t>
  </si>
  <si>
    <t># text = Метеослужба сказала в заявлении, что дополнительные 3–5 дюймов могут нахлынуть на область.</t>
  </si>
  <si>
    <t>Метеослужба</t>
  </si>
  <si>
    <t>сказала</t>
  </si>
  <si>
    <t>заявлении</t>
  </si>
  <si>
    <t>дополнительные</t>
  </si>
  <si>
    <t>–</t>
  </si>
  <si>
    <t>дюймов</t>
  </si>
  <si>
    <t>indef-np.quant</t>
  </si>
  <si>
    <t>могут</t>
  </si>
  <si>
    <t>нахлынуть</t>
  </si>
  <si>
    <t>область</t>
  </si>
  <si>
    <t># text = В южной Алабаме дежурство в ожидании наводнения действовало до пятницы, так как дождь продолжал идти в районе Мобила.</t>
  </si>
  <si>
    <t>В</t>
  </si>
  <si>
    <t>южной</t>
  </si>
  <si>
    <t>Алабаме</t>
  </si>
  <si>
    <t>other</t>
  </si>
  <si>
    <t>дежурство</t>
  </si>
  <si>
    <t>ожидании</t>
  </si>
  <si>
    <t>действовало</t>
  </si>
  <si>
    <t>пятницы</t>
  </si>
  <si>
    <t>так</t>
  </si>
  <si>
    <t>продолжал</t>
  </si>
  <si>
    <t>идти</t>
  </si>
  <si>
    <t>районе</t>
  </si>
  <si>
    <t>Мобила</t>
  </si>
  <si>
    <t># text = Река Комит рядом с Батон-Ружем и река Эймит рядом с Денем Спрингс, обе в Луизиане, по прогнозам должны были установить рекорд уровня паводка в минувшие выходные.</t>
  </si>
  <si>
    <t>Река</t>
  </si>
  <si>
    <t>рядом</t>
  </si>
  <si>
    <t>Батон-Ружем</t>
  </si>
  <si>
    <t>Эймит</t>
  </si>
  <si>
    <t>Денем</t>
  </si>
  <si>
    <t>Спрингс</t>
  </si>
  <si>
    <t>обе</t>
  </si>
  <si>
    <t>прогнозам</t>
  </si>
  <si>
    <t>должны</t>
  </si>
  <si>
    <t>были</t>
  </si>
  <si>
    <t>установить</t>
  </si>
  <si>
    <t>рекорд</t>
  </si>
  <si>
    <t>OBJ_4</t>
  </si>
  <si>
    <t>уровня</t>
  </si>
  <si>
    <t>паводка</t>
  </si>
  <si>
    <t>минувшие</t>
  </si>
  <si>
    <t>выходные</t>
  </si>
  <si>
    <t># text = Синоптик Алек Краутманн сказал, что обе реки могли затопить много домов в пригородных районах вблизи Батон-Ружа.</t>
  </si>
  <si>
    <t>Синоптик</t>
  </si>
  <si>
    <t>Алек</t>
  </si>
  <si>
    <t>Краутманн</t>
  </si>
  <si>
    <t>могли</t>
  </si>
  <si>
    <t>затопить</t>
  </si>
  <si>
    <t>много</t>
  </si>
  <si>
    <t>домов</t>
  </si>
  <si>
    <t>пригородных</t>
  </si>
  <si>
    <t>районах</t>
  </si>
  <si>
    <t>вблизи</t>
  </si>
  <si>
    <t>Батон-Ружа</t>
  </si>
  <si>
    <t># text = Он также сказал, что наводнение, идущее вниз по течению в приходе Ассеншен, является угрозой, так как эти вздувшиеся реки будут медленно стекать в озеро Морпа.</t>
  </si>
  <si>
    <t>Он</t>
  </si>
  <si>
    <t>pron</t>
  </si>
  <si>
    <t>также</t>
  </si>
  <si>
    <t>идущее</t>
  </si>
  <si>
    <t>вниз</t>
  </si>
  <si>
    <t>течению</t>
  </si>
  <si>
    <t>приходе</t>
  </si>
  <si>
    <t>Ассеншен</t>
  </si>
  <si>
    <t>является</t>
  </si>
  <si>
    <t>угрозой</t>
  </si>
  <si>
    <t>эти</t>
  </si>
  <si>
    <t>вздувшиеся</t>
  </si>
  <si>
    <t>def-np.dem</t>
  </si>
  <si>
    <t>будут</t>
  </si>
  <si>
    <t>медленно</t>
  </si>
  <si>
    <t>стекать</t>
  </si>
  <si>
    <t>озеро</t>
  </si>
  <si>
    <t>Морпа</t>
  </si>
  <si>
    <t># text = Река Тикфо, чуть южнее границы штата Миссисипи в Ливерпуле, штат Луизиана, достигла наивысшего из когда-либо зарегистрированных уровней в 9 часов утра пятницы.</t>
  </si>
  <si>
    <t>Тикфо</t>
  </si>
  <si>
    <t>чуть</t>
  </si>
  <si>
    <t>южнее</t>
  </si>
  <si>
    <t>границы</t>
  </si>
  <si>
    <t>штата</t>
  </si>
  <si>
    <t>Ливерпуле</t>
  </si>
  <si>
    <t>достигла</t>
  </si>
  <si>
    <t>наивысшего</t>
  </si>
  <si>
    <t>когда-либо</t>
  </si>
  <si>
    <t>зарегистрированных</t>
  </si>
  <si>
    <t>уровней</t>
  </si>
  <si>
    <t>часов</t>
  </si>
  <si>
    <t>утра</t>
  </si>
  <si>
    <t># text = Спасатели все еще вытаскивали людей из наводнения в округах Эймит и Уилкинсон на юго-западе штата Миссисипи.</t>
  </si>
  <si>
    <t>Спасатели</t>
  </si>
  <si>
    <t>все</t>
  </si>
  <si>
    <t>вытаскивали</t>
  </si>
  <si>
    <t>людей</t>
  </si>
  <si>
    <t>OBJ</t>
  </si>
  <si>
    <t>округах</t>
  </si>
  <si>
    <t>Уилкинсон</t>
  </si>
  <si>
    <t>юго-западе</t>
  </si>
  <si>
    <t># text = Лерой Хансфорд, его жена и пасынок были среди спасенных раннее в пятницу возле Глостера.</t>
  </si>
  <si>
    <t>Лерой</t>
  </si>
  <si>
    <t>Хансфорд</t>
  </si>
  <si>
    <t>его</t>
  </si>
  <si>
    <t>жена</t>
  </si>
  <si>
    <t>пасынок</t>
  </si>
  <si>
    <t>среди</t>
  </si>
  <si>
    <t>спасенных</t>
  </si>
  <si>
    <t>раннее</t>
  </si>
  <si>
    <t>возле</t>
  </si>
  <si>
    <t>Глостера</t>
  </si>
  <si>
    <t># text = Хансфорд, 62 лет, говорит, что воды Бивер-Крик, которые находятся обычно в более, чем 400 футах от его дома, быстро поднялись за ночь.</t>
  </si>
  <si>
    <t>62</t>
  </si>
  <si>
    <t>лет</t>
  </si>
  <si>
    <t>говорит</t>
  </si>
  <si>
    <t>Бивер-Крик</t>
  </si>
  <si>
    <t>которые</t>
  </si>
  <si>
    <t>pron.pint</t>
  </si>
  <si>
    <t>обычно</t>
  </si>
  <si>
    <t>более</t>
  </si>
  <si>
    <t>чем</t>
  </si>
  <si>
    <t>400</t>
  </si>
  <si>
    <t>футах</t>
  </si>
  <si>
    <t>от</t>
  </si>
  <si>
    <t>pron.ppos</t>
  </si>
  <si>
    <t>дома</t>
  </si>
  <si>
    <t>быстро</t>
  </si>
  <si>
    <t>поднялись</t>
  </si>
  <si>
    <t>за</t>
  </si>
  <si>
    <t>ночь</t>
  </si>
  <si>
    <t># text = Он сказал, что другой пасынок, который живет неподалеку, предупредил его.</t>
  </si>
  <si>
    <t>другой</t>
  </si>
  <si>
    <t>который</t>
  </si>
  <si>
    <t>живет</t>
  </si>
  <si>
    <t>неподалеку</t>
  </si>
  <si>
    <t>предупредил</t>
  </si>
  <si>
    <t>--</t>
  </si>
  <si>
    <t># text = \"Мы проснулись, и вода продолжала наступать\", — сказал Хансфорд.</t>
  </si>
  <si>
    <t>&amp;quot;</t>
  </si>
  <si>
    <t>Мы</t>
  </si>
  <si>
    <t>проснулись</t>
  </si>
  <si>
    <t>вода</t>
  </si>
  <si>
    <t>продолжала</t>
  </si>
  <si>
    <t>наступать</t>
  </si>
  <si>
    <t>—</t>
  </si>
  <si>
    <t># text = Она достигла уровня моего пояса.</t>
  </si>
  <si>
    <t>Она</t>
  </si>
  <si>
    <t>моего</t>
  </si>
  <si>
    <t>пояса</t>
  </si>
  <si>
    <t># text = Его жена сказала Хансфорду, что это самый большой приток, который она видела за 48 лет, что жила здесь.</t>
  </si>
  <si>
    <t>Его</t>
  </si>
  <si>
    <t>Хансфорду</t>
  </si>
  <si>
    <t>это</t>
  </si>
  <si>
    <t>самый</t>
  </si>
  <si>
    <t>большой</t>
  </si>
  <si>
    <t>приток</t>
  </si>
  <si>
    <t>она</t>
  </si>
  <si>
    <t>видела</t>
  </si>
  <si>
    <t>48</t>
  </si>
  <si>
    <t>жила</t>
  </si>
  <si>
    <t>здесь</t>
  </si>
  <si>
    <t># text = Хансфорд сказал, что у него и всех членов его семьи инвалидность, и он единственный, кто умеет плавать.</t>
  </si>
  <si>
    <t>у</t>
  </si>
  <si>
    <t>него</t>
  </si>
  <si>
    <t>всех</t>
  </si>
  <si>
    <t>членов</t>
  </si>
  <si>
    <t>семьи</t>
  </si>
  <si>
    <t>инвалидность</t>
  </si>
  <si>
    <t>он</t>
  </si>
  <si>
    <t>единственный</t>
  </si>
  <si>
    <t>кто</t>
  </si>
  <si>
    <t>умеет</t>
  </si>
  <si>
    <t>плавать</t>
  </si>
  <si>
    <t># text = Хансфорд сказал, что работники спасательной службы спасли всех троих с помощью армейского грузовика и доставили их на пожарную станцию в Глостере, где они укрывались в пятницу.</t>
  </si>
  <si>
    <t>работники</t>
  </si>
  <si>
    <t>спасательной</t>
  </si>
  <si>
    <t>службы</t>
  </si>
  <si>
    <t>спасли</t>
  </si>
  <si>
    <t>троих</t>
  </si>
  <si>
    <t>помощью</t>
  </si>
  <si>
    <t>армейского</t>
  </si>
  <si>
    <t>грузовика</t>
  </si>
  <si>
    <t>доставили</t>
  </si>
  <si>
    <t>их</t>
  </si>
  <si>
    <t>пожарную</t>
  </si>
  <si>
    <t>станцию</t>
  </si>
  <si>
    <t>Глостере</t>
  </si>
  <si>
    <t>где</t>
  </si>
  <si>
    <t>они</t>
  </si>
  <si>
    <t>SBJ_6</t>
  </si>
  <si>
    <t>укрывались</t>
  </si>
  <si>
    <t># text = Краутманн говорит, что наводнение "быстро распространяется", так как дожди продолжаются, отмечая, что чиновники рассматривают приказ об эвакуации.</t>
  </si>
  <si>
    <t>распространяется</t>
  </si>
  <si>
    <t>дожди</t>
  </si>
  <si>
    <t>продолжаются</t>
  </si>
  <si>
    <t>отмечая</t>
  </si>
  <si>
    <t>рассматривают</t>
  </si>
  <si>
    <t>приказ</t>
  </si>
  <si>
    <t>OBJ_5</t>
  </si>
  <si>
    <t>об</t>
  </si>
  <si>
    <t>эвакуации</t>
  </si>
  <si>
    <t># text = Краутманн говорит, что один наблюдатель возле Ливингстона сообщил о выпадении 13,75 дюймов дождя с полуночи до утра пятницы.</t>
  </si>
  <si>
    <t>один</t>
  </si>
  <si>
    <t>наблюдатель</t>
  </si>
  <si>
    <t>Ливингстона</t>
  </si>
  <si>
    <t>сообщил</t>
  </si>
  <si>
    <t>о</t>
  </si>
  <si>
    <t>выпадении</t>
  </si>
  <si>
    <t>13,75</t>
  </si>
  <si>
    <t>дождя</t>
  </si>
  <si>
    <t>полуночи</t>
  </si>
  <si>
    <t># text = Краутманн сказал, что почва была перенасыщена дождевыми осадками со среды.</t>
  </si>
  <si>
    <t>почва</t>
  </si>
  <si>
    <t>была</t>
  </si>
  <si>
    <t>перенасыщена</t>
  </si>
  <si>
    <t>дождевыми</t>
  </si>
  <si>
    <t>осадками</t>
  </si>
  <si>
    <t>со</t>
  </si>
  <si>
    <t>среды</t>
  </si>
  <si>
    <t># text = Сильный дождь и затопление улиц привели к работам по спасению жителей из домов в приходе Танджипахоа и отмене занятий в пяти школьных округах, заявляют власти.</t>
  </si>
  <si>
    <t>затопление</t>
  </si>
  <si>
    <t>улиц</t>
  </si>
  <si>
    <t>привели</t>
  </si>
  <si>
    <t>работам</t>
  </si>
  <si>
    <t>спасению</t>
  </si>
  <si>
    <t>жителей</t>
  </si>
  <si>
    <t>отмене</t>
  </si>
  <si>
    <t>занятий</t>
  </si>
  <si>
    <t>пяти</t>
  </si>
  <si>
    <t>школьных</t>
  </si>
  <si>
    <t>заявляют</t>
  </si>
  <si>
    <t>власти</t>
  </si>
  <si>
    <t># text = WWL, филиал CBS, сообщает, что советник Танджипахоа рассказала о 200 затопленных домов.</t>
  </si>
  <si>
    <t>WWL</t>
  </si>
  <si>
    <t>филиал</t>
  </si>
  <si>
    <t>CBS</t>
  </si>
  <si>
    <t>сообщает</t>
  </si>
  <si>
    <t>советник</t>
  </si>
  <si>
    <t>рассказала</t>
  </si>
  <si>
    <t>200</t>
  </si>
  <si>
    <t>затопленных</t>
  </si>
  <si>
    <t># text = Жители были эвакуированы в две церкви, но они обе сейчас затопляются.</t>
  </si>
  <si>
    <t>Жители</t>
  </si>
  <si>
    <t>эвакуированы</t>
  </si>
  <si>
    <t>две</t>
  </si>
  <si>
    <t>церкви</t>
  </si>
  <si>
    <t>но</t>
  </si>
  <si>
    <t>сейчас</t>
  </si>
  <si>
    <t>затопляются</t>
  </si>
  <si>
    <t># text = Председатель прихода Робби Миллер заявил, что власти спасли 72 человека и семь домашних животных, оказавшихся в высокой воде.</t>
  </si>
  <si>
    <t>Председатель</t>
  </si>
  <si>
    <t>прихода</t>
  </si>
  <si>
    <t>Робби</t>
  </si>
  <si>
    <t>Миллер</t>
  </si>
  <si>
    <t>72</t>
  </si>
  <si>
    <t>человека</t>
  </si>
  <si>
    <t>семь</t>
  </si>
  <si>
    <t>домашних</t>
  </si>
  <si>
    <t>животных</t>
  </si>
  <si>
    <t>оказавшихся</t>
  </si>
  <si>
    <t>воде</t>
  </si>
  <si>
    <t># text = Приюты были открыты в городе Эймит и городе Хэммонд, чтобы принять тех, кто был эвакуирован.</t>
  </si>
  <si>
    <t>Приюты</t>
  </si>
  <si>
    <t>открыты</t>
  </si>
  <si>
    <t>городе</t>
  </si>
  <si>
    <t>Хэммонд</t>
  </si>
  <si>
    <t>чтобы</t>
  </si>
  <si>
    <t>принять</t>
  </si>
  <si>
    <t>тех</t>
  </si>
  <si>
    <t>был</t>
  </si>
  <si>
    <t>эвакуирован</t>
  </si>
  <si>
    <t># text = "У них будет возможность вернуться домой, как только вода начнет отступать", сказал он.</t>
  </si>
  <si>
    <t>У</t>
  </si>
  <si>
    <t>них</t>
  </si>
  <si>
    <t>будет</t>
  </si>
  <si>
    <t>возможность</t>
  </si>
  <si>
    <t>вернуться</t>
  </si>
  <si>
    <t>домой</t>
  </si>
  <si>
    <t>начнет</t>
  </si>
  <si>
    <t>отступать</t>
  </si>
  <si>
    <t># text = В городе Хэммонд прихода Танджипахоа около двух десятков улиц были закрыты из-за высокого уровня воды, а мешки с песком были доступны для выдачи жителям в надежде, что они удержат воду вдали от домов и предприятий.</t>
  </si>
  <si>
    <t>около</t>
  </si>
  <si>
    <t>двух</t>
  </si>
  <si>
    <t>десятков</t>
  </si>
  <si>
    <t>закрыты</t>
  </si>
  <si>
    <t>из-за</t>
  </si>
  <si>
    <t>высокого</t>
  </si>
  <si>
    <t>а</t>
  </si>
  <si>
    <t>доступны</t>
  </si>
  <si>
    <t>выдачи</t>
  </si>
  <si>
    <t>жителям</t>
  </si>
  <si>
    <t>надежде</t>
  </si>
  <si>
    <t>удержат</t>
  </si>
  <si>
    <t>воду</t>
  </si>
  <si>
    <t>вдали</t>
  </si>
  <si>
    <t>предприятий</t>
  </si>
  <si>
    <t># text = "Последнее крупное наводнение, которое у нас было, было в марте", — сказал городской управляющий Лейси Ландрум.</t>
  </si>
  <si>
    <t>Последнее</t>
  </si>
  <si>
    <t>крупное</t>
  </si>
  <si>
    <t>которое</t>
  </si>
  <si>
    <t>нас</t>
  </si>
  <si>
    <t>было</t>
  </si>
  <si>
    <t>марте</t>
  </si>
  <si>
    <t>городской</t>
  </si>
  <si>
    <t>управляющий</t>
  </si>
  <si>
    <t>Лейси</t>
  </si>
  <si>
    <t>Ландрум</t>
  </si>
  <si>
    <t># text = Это на пути к тому, чтобы стать аналогичным событием.</t>
  </si>
  <si>
    <t>Это</t>
  </si>
  <si>
    <t>пути</t>
  </si>
  <si>
    <t>тому</t>
  </si>
  <si>
    <t>стать</t>
  </si>
  <si>
    <t>аналогичным</t>
  </si>
  <si>
    <t>событием</t>
  </si>
  <si>
    <t># text = В Миссисипи, округ Харрисон, руководитель Службы по чрезвычайным ситуациям Руперт Лейси сообщил, что обложной дождь продолжал идти на побережье Мексиканского залива.</t>
  </si>
  <si>
    <t>округ</t>
  </si>
  <si>
    <t>Харрисон</t>
  </si>
  <si>
    <t>руководитель</t>
  </si>
  <si>
    <t>Службы</t>
  </si>
  <si>
    <t>Руперт</t>
  </si>
  <si>
    <t>обложной</t>
  </si>
  <si>
    <t>побережье</t>
  </si>
  <si>
    <t>Мексиканского</t>
  </si>
  <si>
    <t>залива</t>
  </si>
  <si>
    <t># text = По его словам, несколько домов были зарегистрированы как затопленные в четверг, но ни один не был зарегистрирован в пятницу.</t>
  </si>
  <si>
    <t>По</t>
  </si>
  <si>
    <t>словам</t>
  </si>
  <si>
    <t>несколько</t>
  </si>
  <si>
    <t>зарегистрированы</t>
  </si>
  <si>
    <t>затопленные</t>
  </si>
  <si>
    <t>четверг</t>
  </si>
  <si>
    <t>ни</t>
  </si>
  <si>
    <t>не</t>
  </si>
  <si>
    <t>зарегистрирован</t>
  </si>
  <si>
    <t># text = Кейт Тоусон, руководитель магазина Shopper Value Foods в Эймит, живет в этом районе 40 лет.</t>
  </si>
  <si>
    <t>Кейт</t>
  </si>
  <si>
    <t>Тоусон</t>
  </si>
  <si>
    <t>магазина</t>
  </si>
  <si>
    <t>Shopper</t>
  </si>
  <si>
    <t>Value</t>
  </si>
  <si>
    <t>Foods</t>
  </si>
  <si>
    <t>40</t>
  </si>
  <si>
    <t># text = "Я видел воду в тех местах, где я раньше никогда её не видел, - сказал Таусон, - и она до сих пор льёт на землю".</t>
  </si>
  <si>
    <t>Я</t>
  </si>
  <si>
    <t>видел</t>
  </si>
  <si>
    <t>местах</t>
  </si>
  <si>
    <t>я</t>
  </si>
  <si>
    <t>раньше</t>
  </si>
  <si>
    <t>никогда</t>
  </si>
  <si>
    <t>её</t>
  </si>
  <si>
    <t>Таусон</t>
  </si>
  <si>
    <t>сих</t>
  </si>
  <si>
    <t>пор</t>
  </si>
  <si>
    <t>льёт</t>
  </si>
  <si>
    <t>землю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</si>
</sst>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38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17</v>
      </c>
      <c r="C3" s="6" t="s">
        <v>12</v>
      </c>
      <c r="D3" s="7" t="s">
        <v>18</v>
      </c>
      <c r="E3" s="8" t="s">
        <v>19</v>
      </c>
      <c r="F3" s="6" t="s">
        <v>20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21</v>
      </c>
      <c r="B4" s="6" t="s">
        <v>16</v>
      </c>
      <c r="C4" s="6" t="s">
        <v>12</v>
      </c>
      <c r="D4" s="7" t="s">
        <v>22</v>
      </c>
      <c r="E4" s="8" t="s">
        <v>23</v>
      </c>
      <c r="F4" s="6" t="s">
        <v>24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25</v>
      </c>
      <c r="B5" s="6" t="s">
        <v>26</v>
      </c>
      <c r="C5" s="6" t="s">
        <v>12</v>
      </c>
      <c r="D5" s="7" t="s">
        <v>27</v>
      </c>
      <c r="E5" s="8" t="s">
        <v>28</v>
      </c>
      <c r="F5" s="6" t="s">
        <v>29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11</v>
      </c>
      <c r="B6" s="6" t="s">
        <v>10</v>
      </c>
      <c r="C6" s="6" t="s">
        <v>12</v>
      </c>
      <c r="D6" s="7" t="s">
        <v>30</v>
      </c>
      <c r="E6" s="8" t="s">
        <v>31</v>
      </c>
      <c r="F6" s="6" t="s">
        <v>32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33</v>
      </c>
      <c r="B7" s="6" t="s">
        <v>21</v>
      </c>
      <c r="C7" s="6" t="s">
        <v>12</v>
      </c>
      <c r="D7" s="7" t="s">
        <v>34</v>
      </c>
      <c r="E7" s="8" t="s">
        <v>35</v>
      </c>
      <c r="F7" s="6" t="s">
        <v>36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37</v>
      </c>
      <c r="B8" s="6" t="s">
        <v>16</v>
      </c>
      <c r="C8" s="6" t="s">
        <v>12</v>
      </c>
      <c r="D8" s="7" t="s">
        <v>38</v>
      </c>
      <c r="E8" s="8" t="s">
        <v>39</v>
      </c>
      <c r="F8" s="6" t="s">
        <v>40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41</v>
      </c>
      <c r="B9" s="6" t="s">
        <v>41</v>
      </c>
      <c r="C9" s="6" t="s">
        <v>12</v>
      </c>
      <c r="D9" s="7" t="s">
        <v>42</v>
      </c>
      <c r="E9" s="8" t="s">
        <v>43</v>
      </c>
      <c r="F9" s="6" t="s">
        <v>44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17</v>
      </c>
      <c r="B10" s="6" t="s">
        <v>16</v>
      </c>
      <c r="C10" s="6" t="s">
        <v>12</v>
      </c>
      <c r="D10" s="7" t="s">
        <v>45</v>
      </c>
      <c r="E10" s="8" t="s">
        <v>46</v>
      </c>
      <c r="F10" s="6" t="s">
        <v>47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48</v>
      </c>
      <c r="B11" s="6" t="s">
        <v>25</v>
      </c>
      <c r="C11" s="6" t="s">
        <v>12</v>
      </c>
      <c r="D11" s="7" t="s">
        <v>38</v>
      </c>
      <c r="E11" s="8" t="s">
        <v>49</v>
      </c>
      <c r="F11" s="6" t="s">
        <v>50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51</v>
      </c>
      <c r="B12" s="6" t="s">
        <v>21</v>
      </c>
      <c r="C12" s="6" t="s">
        <v>12</v>
      </c>
      <c r="D12" s="7" t="s">
        <v>38</v>
      </c>
      <c r="E12" s="8" t="s">
        <v>52</v>
      </c>
      <c r="F12" s="6" t="s">
        <v>53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54</v>
      </c>
      <c r="B13" s="6" t="s">
        <v>10</v>
      </c>
      <c r="C13" s="6" t="s">
        <v>12</v>
      </c>
      <c r="D13" s="7" t="s">
        <v>55</v>
      </c>
      <c r="E13" s="8" t="s">
        <v>56</v>
      </c>
      <c r="F13" s="6" t="s">
        <v>57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58</v>
      </c>
      <c r="B14" s="6" t="s">
        <v>25</v>
      </c>
      <c r="C14" s="6" t="s">
        <v>12</v>
      </c>
      <c r="D14" s="7" t="s">
        <v>59</v>
      </c>
      <c r="E14" s="8" t="s">
        <v>60</v>
      </c>
      <c r="F14" s="6" t="s">
        <v>61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62</v>
      </c>
      <c r="B15" s="6" t="s">
        <v>10</v>
      </c>
      <c r="C15" s="6" t="s">
        <v>12</v>
      </c>
      <c r="D15" s="7" t="s">
        <v>63</v>
      </c>
      <c r="E15" s="8" t="s">
        <v>64</v>
      </c>
      <c r="F15" s="6" t="s">
        <v>65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26</v>
      </c>
      <c r="B16" s="6" t="s">
        <v>33</v>
      </c>
      <c r="C16" s="6" t="s">
        <v>12</v>
      </c>
      <c r="D16" s="7" t="s">
        <v>66</v>
      </c>
      <c r="E16" s="8" t="s">
        <v>67</v>
      </c>
      <c r="F16" s="6" t="s">
        <v>68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69</v>
      </c>
      <c r="B17" s="6" t="s">
        <v>16</v>
      </c>
      <c r="C17" s="6" t="s">
        <v>12</v>
      </c>
      <c r="D17" s="7" t="s">
        <v>38</v>
      </c>
      <c r="E17" s="8" t="s">
        <v>70</v>
      </c>
      <c r="F17" s="6" t="s">
        <v>71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72</v>
      </c>
      <c r="B18" s="6" t="s">
        <v>21</v>
      </c>
      <c r="C18" s="6" t="s">
        <v>12</v>
      </c>
      <c r="D18" s="7" t="s">
        <v>73</v>
      </c>
      <c r="E18" s="8" t="s">
        <v>74</v>
      </c>
      <c r="F18" s="6" t="s">
        <v>75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76</v>
      </c>
      <c r="B19" s="6" t="s">
        <v>16</v>
      </c>
      <c r="C19" s="6" t="s">
        <v>12</v>
      </c>
      <c r="D19" s="7" t="s">
        <v>77</v>
      </c>
      <c r="E19" s="8" t="s">
        <v>78</v>
      </c>
      <c r="F19" s="6" t="s">
        <v>79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80</v>
      </c>
      <c r="B20" s="6" t="s">
        <v>21</v>
      </c>
      <c r="C20" s="6" t="s">
        <v>12</v>
      </c>
      <c r="D20" s="7" t="s">
        <v>38</v>
      </c>
      <c r="E20" s="8" t="s">
        <v>81</v>
      </c>
      <c r="F20" s="6" t="s">
        <v>82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83</v>
      </c>
      <c r="B21" s="6" t="s">
        <v>16</v>
      </c>
      <c r="C21" s="6" t="s">
        <v>12</v>
      </c>
      <c r="D21" s="7" t="s">
        <v>38</v>
      </c>
      <c r="E21" s="8" t="s">
        <v>84</v>
      </c>
      <c r="F21" s="6" t="s">
        <v>85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86</v>
      </c>
      <c r="B22" s="6" t="s">
        <v>16</v>
      </c>
      <c r="C22" s="6" t="s">
        <v>12</v>
      </c>
      <c r="D22" s="7" t="s">
        <v>38</v>
      </c>
      <c r="E22" s="8" t="s">
        <v>87</v>
      </c>
      <c r="F22" s="6" t="s">
        <v>88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89</v>
      </c>
      <c r="B23" s="6" t="s">
        <v>16</v>
      </c>
      <c r="C23" s="6" t="s">
        <v>12</v>
      </c>
      <c r="D23" s="7" t="s">
        <v>66</v>
      </c>
      <c r="E23" s="8" t="s">
        <v>90</v>
      </c>
      <c r="F23" s="6" t="s">
        <v>91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92</v>
      </c>
      <c r="B24" s="6" t="s">
        <v>16</v>
      </c>
      <c r="C24" s="6" t="s">
        <v>12</v>
      </c>
      <c r="D24" s="7" t="s">
        <v>66</v>
      </c>
      <c r="E24" s="8" t="s">
        <v>93</v>
      </c>
      <c r="F24" s="6" t="s">
        <v>94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95</v>
      </c>
      <c r="B25" s="6" t="s">
        <v>16</v>
      </c>
      <c r="C25" s="6" t="s">
        <v>12</v>
      </c>
      <c r="D25" s="7" t="s">
        <v>38</v>
      </c>
      <c r="E25" s="8" t="s">
        <v>96</v>
      </c>
      <c r="F25" s="6" t="s">
        <v>97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98</v>
      </c>
      <c r="B26" s="6" t="s">
        <v>33</v>
      </c>
      <c r="C26" s="6" t="s">
        <v>12</v>
      </c>
      <c r="D26" s="7" t="s">
        <v>99</v>
      </c>
      <c r="E26" s="8" t="s">
        <v>100</v>
      </c>
      <c r="F26" s="6" t="s">
        <v>101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102</v>
      </c>
      <c r="B27" s="6" t="s">
        <v>33</v>
      </c>
      <c r="C27" s="6" t="s">
        <v>12</v>
      </c>
      <c r="D27" s="7" t="s">
        <v>103</v>
      </c>
      <c r="E27" s="8" t="s">
        <v>104</v>
      </c>
      <c r="F27" s="6" t="s">
        <v>105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106</v>
      </c>
      <c r="B28" s="6" t="s">
        <v>21</v>
      </c>
      <c r="C28" s="6" t="s">
        <v>12</v>
      </c>
      <c r="D28" s="7" t="s">
        <v>107</v>
      </c>
      <c r="E28" s="8" t="s">
        <v>108</v>
      </c>
      <c r="F28" s="6" t="s">
        <v>109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110</v>
      </c>
      <c r="B29" s="6" t="s">
        <v>11</v>
      </c>
      <c r="C29" s="6" t="s">
        <v>12</v>
      </c>
      <c r="D29" s="7" t="s">
        <v>27</v>
      </c>
      <c r="E29" s="8" t="s">
        <v>111</v>
      </c>
      <c r="F29" s="6" t="s">
        <v>112</v>
      </c>
      <c r="G29" s="9">
        <f>IF(A29=1,"_",IF(C29="_","???",C29))</f>
        <v/>
      </c>
      <c r="H29" s="10" t="s">
        <v>12</v>
      </c>
      <c r="I29" s="11" t="s">
        <v>12</v>
      </c>
      <c r="J29" s="12"/>
    </row>
    <row r="30" spans="1:10" ht="60" customHeight="1">
      <c r="A30" s="6" t="s">
        <v>113</v>
      </c>
      <c r="B30" s="6" t="s">
        <v>21</v>
      </c>
      <c r="C30" s="6" t="s">
        <v>12</v>
      </c>
      <c r="D30" s="7" t="s">
        <v>114</v>
      </c>
      <c r="E30" s="8" t="s">
        <v>115</v>
      </c>
      <c r="F30" s="6" t="s">
        <v>116</v>
      </c>
      <c r="G30" s="9">
        <f>IF(A30=1,"_",IF(C30="_","???",C30))</f>
        <v/>
      </c>
      <c r="H30" s="10" t="s">
        <v>12</v>
      </c>
      <c r="I30" s="11" t="s">
        <v>12</v>
      </c>
      <c r="J30" s="12"/>
    </row>
    <row r="31" spans="1:10" ht="60" customHeight="1">
      <c r="A31" s="6" t="s">
        <v>117</v>
      </c>
      <c r="B31" s="6" t="s">
        <v>25</v>
      </c>
      <c r="C31" s="6" t="s">
        <v>12</v>
      </c>
      <c r="D31" s="7" t="s">
        <v>118</v>
      </c>
      <c r="E31" s="8" t="s">
        <v>119</v>
      </c>
      <c r="F31" s="6" t="s">
        <v>120</v>
      </c>
      <c r="G31" s="9">
        <f>IF(A31=1,"_",IF(C31="_","???",C31))</f>
        <v/>
      </c>
      <c r="H31" s="10" t="s">
        <v>12</v>
      </c>
      <c r="I31" s="11" t="s">
        <v>12</v>
      </c>
      <c r="J31" s="12"/>
    </row>
    <row r="32" spans="1:10" ht="60" customHeight="1">
      <c r="A32" s="6" t="s">
        <v>121</v>
      </c>
      <c r="B32" s="6" t="s">
        <v>51</v>
      </c>
      <c r="C32" s="6" t="s">
        <v>12</v>
      </c>
      <c r="D32" s="7" t="s">
        <v>122</v>
      </c>
      <c r="E32" s="8" t="s">
        <v>123</v>
      </c>
      <c r="F32" s="6" t="s">
        <v>124</v>
      </c>
      <c r="G32" s="9">
        <f>IF(A32=1,"_",IF(C32="_","???",C32))</f>
        <v/>
      </c>
      <c r="H32" s="10" t="s">
        <v>12</v>
      </c>
      <c r="I32" s="11" t="s">
        <v>12</v>
      </c>
      <c r="J32" s="12"/>
    </row>
    <row r="33" spans="1:10" ht="60" customHeight="1">
      <c r="A33" s="6" t="s">
        <v>125</v>
      </c>
      <c r="B33" s="6" t="s">
        <v>51</v>
      </c>
      <c r="C33" s="6" t="s">
        <v>12</v>
      </c>
      <c r="D33" s="7" t="s">
        <v>126</v>
      </c>
      <c r="E33" s="8" t="s">
        <v>127</v>
      </c>
      <c r="F33" s="6" t="s">
        <v>128</v>
      </c>
      <c r="G33" s="9">
        <f>IF(A33=1,"_",IF(C33="_","???",C33))</f>
        <v/>
      </c>
      <c r="H33" s="10" t="s">
        <v>12</v>
      </c>
      <c r="I33" s="11" t="s">
        <v>12</v>
      </c>
      <c r="J33" s="12"/>
    </row>
    <row r="34" spans="1:10" ht="60" customHeight="1">
      <c r="A34" s="6" t="s">
        <v>129</v>
      </c>
      <c r="B34" s="6" t="s">
        <v>21</v>
      </c>
      <c r="C34" s="6" t="s">
        <v>12</v>
      </c>
      <c r="D34" s="7" t="s">
        <v>130</v>
      </c>
      <c r="E34" s="8" t="s">
        <v>131</v>
      </c>
      <c r="F34" s="6" t="s">
        <v>132</v>
      </c>
      <c r="G34" s="9">
        <f>IF(A34=1,"_",IF(C34="_","???",C34))</f>
        <v/>
      </c>
      <c r="H34" s="10" t="s">
        <v>12</v>
      </c>
      <c r="I34" s="11" t="s">
        <v>12</v>
      </c>
      <c r="J34" s="12"/>
    </row>
    <row r="35" spans="1:10" ht="60" customHeight="1">
      <c r="A35" s="6" t="s">
        <v>133</v>
      </c>
      <c r="B35" s="6" t="s">
        <v>62</v>
      </c>
      <c r="C35" s="6" t="s">
        <v>12</v>
      </c>
      <c r="D35" s="7" t="s">
        <v>134</v>
      </c>
      <c r="E35" s="8" t="s">
        <v>135</v>
      </c>
      <c r="F35" s="6" t="s">
        <v>136</v>
      </c>
      <c r="G35" s="9">
        <f>IF(A35=1,"_",IF(C35="_","???",C35))</f>
        <v/>
      </c>
      <c r="H35" s="10" t="s">
        <v>12</v>
      </c>
      <c r="I35" s="11" t="s">
        <v>12</v>
      </c>
      <c r="J35" s="12"/>
    </row>
    <row r="36" spans="1:10" ht="60" customHeight="1">
      <c r="A36" s="6" t="s">
        <v>137</v>
      </c>
      <c r="B36" s="6" t="s">
        <v>41</v>
      </c>
      <c r="C36" s="6" t="s">
        <v>12</v>
      </c>
      <c r="D36" s="7" t="s">
        <v>138</v>
      </c>
      <c r="E36" s="8" t="s">
        <v>139</v>
      </c>
      <c r="F36" s="6" t="s">
        <v>140</v>
      </c>
      <c r="G36" s="9">
        <f>IF(A36=1,"_",IF(C36="_","???",C36))</f>
        <v/>
      </c>
      <c r="H36" s="10" t="s">
        <v>12</v>
      </c>
      <c r="I36" s="11" t="s">
        <v>12</v>
      </c>
      <c r="J36" s="12"/>
    </row>
    <row r="37" spans="1:10" ht="60" customHeight="1">
      <c r="A37" s="6" t="s">
        <v>141</v>
      </c>
      <c r="B37" s="6" t="s">
        <v>54</v>
      </c>
      <c r="C37" s="6" t="s">
        <v>12</v>
      </c>
      <c r="D37" s="7" t="s">
        <v>142</v>
      </c>
      <c r="E37" s="8" t="s">
        <v>143</v>
      </c>
      <c r="F37" s="6" t="s">
        <v>144</v>
      </c>
      <c r="G37" s="9">
        <f>IF(A37=1,"_",IF(C37="_","???",C37))</f>
        <v/>
      </c>
      <c r="H37" s="10" t="s">
        <v>12</v>
      </c>
      <c r="I37" s="11" t="s">
        <v>12</v>
      </c>
      <c r="J37" s="12"/>
    </row>
    <row r="38" spans="1:10" ht="60" customHeight="1">
      <c r="A38" s="6" t="s">
        <v>145</v>
      </c>
      <c r="B38" s="6" t="s">
        <v>76</v>
      </c>
      <c r="C38" s="6" t="s">
        <v>12</v>
      </c>
      <c r="D38" s="7" t="s">
        <v>146</v>
      </c>
      <c r="E38" s="8" t="s">
        <v>147</v>
      </c>
      <c r="F38" s="6" t="s">
        <v>148</v>
      </c>
      <c r="G38" s="9">
        <f>IF(A38=1,"_",IF(C38="_","???",C38))</f>
        <v/>
      </c>
      <c r="H38" s="10" t="s">
        <v>12</v>
      </c>
      <c r="I38" s="11" t="s">
        <v>12</v>
      </c>
      <c r="J38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8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149</v>
      </c>
      <c r="B1" s="13" t="s">
        <v>150</v>
      </c>
      <c r="C1" s="13" t="s">
        <v>151</v>
      </c>
      <c r="D1" s="13" t="s">
        <v>152</v>
      </c>
      <c r="E1" s="14" t="s">
        <v>153</v>
      </c>
      <c r="F1" s="15" t="s">
        <v>154</v>
      </c>
      <c r="G1" s="16" t="s">
        <v>155</v>
      </c>
      <c r="H1" s="17" t="s">
        <v>156</v>
      </c>
      <c r="I1" s="18" t="s">
        <v>157</v>
      </c>
      <c r="J1" s="18" t="s">
        <v>158</v>
      </c>
      <c r="K1" s="18" t="s">
        <v>159</v>
      </c>
      <c r="L1" s="19" t="s">
        <v>9</v>
      </c>
    </row>
    <row r="2" spans="1:12">
      <c r="A2" s="20" t="s">
        <v>160</v>
      </c>
    </row>
    <row r="3" spans="1:12">
      <c r="A3" s="20" t="s">
        <v>161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162</v>
      </c>
      <c r="B4" s="27" t="s">
        <v>163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164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165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166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167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168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169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170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171</v>
      </c>
      <c r="B12" s="27" t="s">
        <v>172</v>
      </c>
      <c r="C12" s="27" t="s">
        <v>173</v>
      </c>
      <c r="D12" s="27" t="s">
        <v>174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164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175</v>
      </c>
      <c r="B14" s="27" t="s">
        <v>176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177</v>
      </c>
      <c r="B15" s="27" t="s">
        <v>178</v>
      </c>
      <c r="C15" s="27" t="s">
        <v>173</v>
      </c>
      <c r="D15" s="27" t="s">
        <v>174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161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162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179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180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165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170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171</v>
      </c>
      <c r="B22" s="27" t="s">
        <v>181</v>
      </c>
      <c r="C22" s="27" t="s">
        <v>173</v>
      </c>
      <c r="D22" s="27" t="s">
        <v>174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182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183</v>
      </c>
      <c r="B24" s="27" t="s">
        <v>184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185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186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187</v>
      </c>
      <c r="B27" s="27" t="s">
        <v>188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170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189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164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190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191</v>
      </c>
      <c r="B32" s="27" t="s">
        <v>172</v>
      </c>
      <c r="C32" s="27" t="s">
        <v>192</v>
      </c>
      <c r="D32" s="27" t="s">
        <v>174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193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194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195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164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196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197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164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198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199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200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201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202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203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204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/>
    </row>
    <row r="48" spans="1:12">
      <c r="A48" s="20" t="s">
        <v>205</v>
      </c>
    </row>
    <row r="49" spans="1:12">
      <c r="A49" s="20" t="s">
        <v>206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207</v>
      </c>
      <c r="B50" s="27" t="s">
        <v>163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208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209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210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179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211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177</v>
      </c>
      <c r="B56" s="27" t="s">
        <v>212</v>
      </c>
      <c r="C56" s="27" t="s">
        <v>173</v>
      </c>
      <c r="D56" s="27" t="s">
        <v>174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213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214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215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179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216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217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218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219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220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221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195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164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222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223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224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225</v>
      </c>
      <c r="B72" s="27" t="s">
        <v>226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204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/>
    </row>
    <row r="75" spans="1:12">
      <c r="A75" s="20" t="s">
        <v>227</v>
      </c>
    </row>
    <row r="76" spans="1:12">
      <c r="A76" s="20" t="s">
        <v>228</v>
      </c>
      <c r="B76" s="27" t="s">
        <v>163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210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229</v>
      </c>
      <c r="B78" s="27" t="s">
        <v>163</v>
      </c>
      <c r="C78" s="27" t="s">
        <v>173</v>
      </c>
      <c r="D78" s="27" t="s">
        <v>174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230</v>
      </c>
      <c r="B79" s="27" t="s">
        <v>231</v>
      </c>
      <c r="C79" s="27" t="s">
        <v>173</v>
      </c>
      <c r="D79" s="27" t="s">
        <v>174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232</v>
      </c>
      <c r="B80" s="27" t="s">
        <v>231</v>
      </c>
      <c r="C80" s="27" t="s">
        <v>173</v>
      </c>
      <c r="D80" s="27" t="s">
        <v>174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233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164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234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235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236</v>
      </c>
      <c r="B85" s="27" t="s">
        <v>237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238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170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239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240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241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242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243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179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244</v>
      </c>
      <c r="B94" s="27" t="s">
        <v>245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246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247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248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249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250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204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/>
    </row>
    <row r="102" spans="1:12">
      <c r="A102" s="20" t="s">
        <v>251</v>
      </c>
    </row>
    <row r="103" spans="1:12">
      <c r="A103" s="20" t="s">
        <v>252</v>
      </c>
      <c r="B103" s="27" t="s">
        <v>163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253</v>
      </c>
      <c r="B104" s="27" t="s">
        <v>231</v>
      </c>
      <c r="C104" s="27" t="s">
        <v>173</v>
      </c>
      <c r="D104" s="27" t="s">
        <v>174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164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254</v>
      </c>
      <c r="B106" s="27" t="s">
        <v>231</v>
      </c>
      <c r="C106" s="27" t="s">
        <v>255</v>
      </c>
      <c r="D106" s="27" t="s">
        <v>174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256</v>
      </c>
      <c r="B107" s="27" t="s">
        <v>172</v>
      </c>
      <c r="C107" s="27" t="s">
        <v>173</v>
      </c>
      <c r="D107" s="27" t="s">
        <v>174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183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257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258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259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179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260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248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261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262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233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164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234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263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264</v>
      </c>
      <c r="B121" s="27" t="s">
        <v>184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208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265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266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267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268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164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269</v>
      </c>
      <c r="B128" s="27" t="s">
        <v>226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179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270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241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271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204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/>
    </row>
    <row r="135" spans="1:12">
      <c r="A135" s="20" t="s">
        <v>272</v>
      </c>
    </row>
    <row r="136" spans="1:12">
      <c r="A136" s="20" t="s">
        <v>253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273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164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234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274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275</v>
      </c>
      <c r="B141" s="27" t="s">
        <v>237</v>
      </c>
      <c r="C141" s="27" t="s">
        <v>255</v>
      </c>
      <c r="D141" s="27" t="s">
        <v>174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276</v>
      </c>
      <c r="B142" s="27" t="s">
        <v>212</v>
      </c>
      <c r="C142" s="27" t="s">
        <v>173</v>
      </c>
      <c r="D142" s="27" t="s">
        <v>174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277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278</v>
      </c>
      <c r="B144" s="27" t="s">
        <v>188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279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280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241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271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204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/>
    </row>
    <row r="151" spans="1:12">
      <c r="A151" s="20" t="s">
        <v>281</v>
      </c>
    </row>
    <row r="152" spans="1:12">
      <c r="A152" s="20" t="s">
        <v>282</v>
      </c>
      <c r="B152" s="27" t="s">
        <v>163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283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284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170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285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201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202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208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286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287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288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210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204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/>
    </row>
    <row r="166" spans="1:12">
      <c r="A166" s="20" t="s">
        <v>289</v>
      </c>
    </row>
    <row r="167" spans="1:12">
      <c r="A167" s="20" t="s">
        <v>290</v>
      </c>
      <c r="B167" s="27" t="s">
        <v>163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291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170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292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164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234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293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21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294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11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295</v>
      </c>
      <c r="B177" s="27" t="s">
        <v>226</v>
      </c>
      <c r="C177" s="27" t="s">
        <v>296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297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298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208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299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204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/>
    </row>
    <row r="184" spans="1:12">
      <c r="A184" s="20" t="s">
        <v>300</v>
      </c>
    </row>
    <row r="185" spans="1:12">
      <c r="A185" s="20" t="s">
        <v>301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302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303</v>
      </c>
      <c r="B187" s="27" t="s">
        <v>304</v>
      </c>
      <c r="C187" s="27" t="s">
        <v>173</v>
      </c>
      <c r="D187" s="27" t="s">
        <v>174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305</v>
      </c>
      <c r="B188" s="27" t="s">
        <v>163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170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306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283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307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201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308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164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309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196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162</v>
      </c>
      <c r="B198" s="27" t="s">
        <v>226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310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311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170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312</v>
      </c>
      <c r="B202" s="27" t="s">
        <v>172</v>
      </c>
      <c r="C202" s="27" t="s">
        <v>255</v>
      </c>
      <c r="D202" s="27" t="s">
        <v>174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313</v>
      </c>
      <c r="B203" s="27" t="s">
        <v>212</v>
      </c>
      <c r="C203" s="27" t="s">
        <v>173</v>
      </c>
      <c r="D203" s="27" t="s">
        <v>174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204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/>
    </row>
    <row r="206" spans="1:12">
      <c r="A206" s="20" t="s">
        <v>314</v>
      </c>
    </row>
    <row r="207" spans="1:12">
      <c r="A207" s="20" t="s">
        <v>315</v>
      </c>
      <c r="B207" s="27" t="s">
        <v>163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45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316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241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317</v>
      </c>
      <c r="B211" s="27" t="s">
        <v>231</v>
      </c>
      <c r="C211" s="27" t="s">
        <v>173</v>
      </c>
      <c r="D211" s="27" t="s">
        <v>174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179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55</v>
      </c>
      <c r="B213" s="27" t="s">
        <v>226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318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316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241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319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320</v>
      </c>
      <c r="B218" s="27" t="s">
        <v>184</v>
      </c>
      <c r="C218" s="27" t="s">
        <v>173</v>
      </c>
      <c r="D218" s="27" t="s">
        <v>174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164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321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170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171</v>
      </c>
      <c r="B222" s="27" t="s">
        <v>231</v>
      </c>
      <c r="C222" s="27" t="s">
        <v>173</v>
      </c>
      <c r="D222" s="27" t="s">
        <v>174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164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257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322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323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324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325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326</v>
      </c>
      <c r="B229" s="27" t="s">
        <v>327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328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329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170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330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331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204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/>
    </row>
    <row r="237" spans="1:12">
      <c r="A237" s="20" t="s">
        <v>332</v>
      </c>
    </row>
    <row r="238" spans="1:12">
      <c r="A238" s="20" t="s">
        <v>333</v>
      </c>
      <c r="B238" s="27" t="s">
        <v>163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334</v>
      </c>
      <c r="B239" s="27" t="s">
        <v>231</v>
      </c>
      <c r="C239" s="27" t="s">
        <v>173</v>
      </c>
      <c r="D239" s="27" t="s">
        <v>174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335</v>
      </c>
      <c r="B240" s="27" t="s">
        <v>172</v>
      </c>
      <c r="C240" s="27" t="s">
        <v>173</v>
      </c>
      <c r="D240" s="27" t="s">
        <v>174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273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164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234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321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207</v>
      </c>
      <c r="B245" s="27" t="s">
        <v>226</v>
      </c>
      <c r="C245" s="27" t="s">
        <v>296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336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337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338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339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170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340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341</v>
      </c>
      <c r="B252" s="27" t="s">
        <v>172</v>
      </c>
      <c r="C252" s="27" t="s">
        <v>255</v>
      </c>
      <c r="D252" s="27" t="s">
        <v>174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342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343</v>
      </c>
      <c r="B254" s="27" t="s">
        <v>212</v>
      </c>
      <c r="C254" s="27" t="s">
        <v>173</v>
      </c>
      <c r="D254" s="27" t="s">
        <v>174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204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/>
    </row>
    <row r="257" spans="1:12">
      <c r="A257" s="20" t="s">
        <v>344</v>
      </c>
    </row>
    <row r="258" spans="1:12">
      <c r="A258" s="20" t="s">
        <v>345</v>
      </c>
      <c r="B258" s="27" t="s">
        <v>163</v>
      </c>
      <c r="C258" s="27" t="s">
        <v>346</v>
      </c>
      <c r="D258" s="27" t="s">
        <v>174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347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273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164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234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165</v>
      </c>
      <c r="B263" s="27" t="s">
        <v>226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164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348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349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257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350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170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351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352</v>
      </c>
      <c r="B271" s="27" t="s">
        <v>172</v>
      </c>
      <c r="C271" s="27" t="s">
        <v>173</v>
      </c>
      <c r="D271" s="27" t="s">
        <v>174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164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353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354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164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309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196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355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356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207</v>
      </c>
      <c r="B280" s="27" t="s">
        <v>237</v>
      </c>
      <c r="C280" s="27" t="s">
        <v>357</v>
      </c>
      <c r="D280" s="27" t="s">
        <v>174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358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359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360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170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361</v>
      </c>
      <c r="B285" s="27" t="s">
        <v>172</v>
      </c>
      <c r="C285" s="27" t="s">
        <v>255</v>
      </c>
      <c r="D285" s="27" t="s">
        <v>174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362</v>
      </c>
      <c r="B286" s="27" t="s">
        <v>212</v>
      </c>
      <c r="C286" s="27" t="s">
        <v>173</v>
      </c>
      <c r="D286" s="27" t="s">
        <v>174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204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/>
    </row>
    <row r="289" spans="1:12">
      <c r="A289" s="20" t="s">
        <v>363</v>
      </c>
    </row>
    <row r="290" spans="1:12">
      <c r="A290" s="20" t="s">
        <v>315</v>
      </c>
      <c r="B290" s="27" t="s">
        <v>304</v>
      </c>
      <c r="C290" s="27" t="s">
        <v>255</v>
      </c>
      <c r="D290" s="27" t="s">
        <v>174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364</v>
      </c>
      <c r="B291" s="27" t="s">
        <v>304</v>
      </c>
      <c r="C291" s="27" t="s">
        <v>173</v>
      </c>
      <c r="D291" s="27" t="s">
        <v>174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164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365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366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367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368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177</v>
      </c>
      <c r="B297" s="27" t="s">
        <v>212</v>
      </c>
      <c r="C297" s="27" t="s">
        <v>173</v>
      </c>
      <c r="D297" s="27" t="s">
        <v>174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170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369</v>
      </c>
      <c r="B299" s="27" t="s">
        <v>172</v>
      </c>
      <c r="C299" s="27" t="s">
        <v>173</v>
      </c>
      <c r="D299" s="27" t="s">
        <v>174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164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175</v>
      </c>
      <c r="B301" s="27" t="s">
        <v>212</v>
      </c>
      <c r="C301" s="27" t="s">
        <v>255</v>
      </c>
      <c r="D301" s="27" t="s">
        <v>174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22</v>
      </c>
      <c r="B302" s="27" t="s">
        <v>181</v>
      </c>
      <c r="C302" s="27" t="s">
        <v>173</v>
      </c>
      <c r="D302" s="27" t="s">
        <v>174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164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370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371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214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372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373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374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170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17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375</v>
      </c>
      <c r="B312" s="27" t="s">
        <v>181</v>
      </c>
      <c r="C312" s="27" t="s">
        <v>296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376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308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204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/>
    </row>
    <row r="317" spans="1:12">
      <c r="A317" s="20" t="s">
        <v>377</v>
      </c>
    </row>
    <row r="318" spans="1:12">
      <c r="A318" s="20" t="s">
        <v>378</v>
      </c>
      <c r="B318" s="27" t="s">
        <v>163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379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193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380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381</v>
      </c>
      <c r="B322" s="27" t="s">
        <v>382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214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283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170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383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318</v>
      </c>
      <c r="B327" s="27" t="s">
        <v>163</v>
      </c>
      <c r="C327" s="27" t="s">
        <v>173</v>
      </c>
      <c r="D327" s="27" t="s">
        <v>174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179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384</v>
      </c>
      <c r="B329" s="27" t="s">
        <v>231</v>
      </c>
      <c r="C329" s="27" t="s">
        <v>173</v>
      </c>
      <c r="D329" s="27" t="s">
        <v>174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208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385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368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177</v>
      </c>
      <c r="B333" s="27" t="s">
        <v>181</v>
      </c>
      <c r="C333" s="27" t="s">
        <v>173</v>
      </c>
      <c r="D333" s="27" t="s">
        <v>174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204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/>
    </row>
    <row r="336" spans="1:12">
      <c r="A336" s="20" t="s">
        <v>386</v>
      </c>
    </row>
    <row r="337" spans="1:12">
      <c r="A337" s="20" t="s">
        <v>387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388</v>
      </c>
      <c r="B338" s="27" t="s">
        <v>304</v>
      </c>
      <c r="C338" s="27" t="s">
        <v>173</v>
      </c>
      <c r="D338" s="27" t="s">
        <v>174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164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389</v>
      </c>
      <c r="B340" s="27" t="s">
        <v>231</v>
      </c>
      <c r="C340" s="27" t="s">
        <v>346</v>
      </c>
      <c r="D340" s="27" t="s">
        <v>174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390</v>
      </c>
      <c r="B341" s="27" t="s">
        <v>304</v>
      </c>
      <c r="C341" s="27" t="s">
        <v>255</v>
      </c>
      <c r="D341" s="27" t="s">
        <v>174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179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391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324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392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393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394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170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189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395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396</v>
      </c>
      <c r="B351" s="27" t="s">
        <v>212</v>
      </c>
      <c r="C351" s="27" t="s">
        <v>173</v>
      </c>
      <c r="D351" s="27" t="s">
        <v>174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204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/>
    </row>
    <row r="354" spans="1:12">
      <c r="A354" s="20" t="s">
        <v>397</v>
      </c>
    </row>
    <row r="355" spans="1:12">
      <c r="A355" s="20" t="s">
        <v>388</v>
      </c>
      <c r="B355" s="27" t="s">
        <v>163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164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398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399</v>
      </c>
      <c r="B358" s="27" t="s">
        <v>231</v>
      </c>
      <c r="C358" s="27" t="s">
        <v>296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164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400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164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234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268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401</v>
      </c>
      <c r="B364" s="27" t="s">
        <v>231</v>
      </c>
      <c r="C364" s="27" t="s">
        <v>173</v>
      </c>
      <c r="D364" s="27" t="s">
        <v>174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164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402</v>
      </c>
      <c r="B366" s="27" t="s">
        <v>237</v>
      </c>
      <c r="C366" s="27" t="s">
        <v>403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238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404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170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405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164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406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407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408</v>
      </c>
      <c r="B374" s="27" t="s">
        <v>212</v>
      </c>
      <c r="C374" s="27" t="s">
        <v>296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409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389</v>
      </c>
      <c r="B376" s="27" t="s">
        <v>181</v>
      </c>
      <c r="C376" s="27" t="s">
        <v>410</v>
      </c>
      <c r="D376" s="27" t="s">
        <v>174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411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164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412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413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414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415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204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/>
    </row>
    <row r="385" spans="1:12">
      <c r="A385" s="20" t="s">
        <v>416</v>
      </c>
    </row>
    <row r="386" spans="1:12">
      <c r="A386" s="20" t="s">
        <v>345</v>
      </c>
      <c r="B386" s="27" t="s">
        <v>163</v>
      </c>
      <c r="C386" s="27" t="s">
        <v>346</v>
      </c>
      <c r="D386" s="27" t="s">
        <v>174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273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164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234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417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391</v>
      </c>
      <c r="B391" s="27" t="s">
        <v>226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164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418</v>
      </c>
      <c r="B393" s="27" t="s">
        <v>245</v>
      </c>
      <c r="C393" s="27" t="s">
        <v>403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419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420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164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421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389</v>
      </c>
      <c r="B398" s="27" t="s">
        <v>184</v>
      </c>
      <c r="C398" s="27" t="s">
        <v>346</v>
      </c>
      <c r="D398" s="27" t="s">
        <v>174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204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/>
    </row>
    <row r="401" spans="1:12">
      <c r="A401" s="20" t="s">
        <v>422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423</v>
      </c>
    </row>
    <row r="403" spans="1:12">
      <c r="A403" s="20" t="s">
        <v>424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425</v>
      </c>
      <c r="B404" s="27" t="s">
        <v>163</v>
      </c>
      <c r="C404" s="27" t="s">
        <v>346</v>
      </c>
      <c r="D404" s="27" t="s">
        <v>174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426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164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179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427</v>
      </c>
      <c r="B408" s="27" t="s">
        <v>226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428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429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424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164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430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273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388</v>
      </c>
      <c r="B415" s="27" t="s">
        <v>245</v>
      </c>
      <c r="C415" s="27" t="s">
        <v>173</v>
      </c>
      <c r="D415" s="27" t="s">
        <v>174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204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/>
    </row>
    <row r="418" spans="1:12">
      <c r="A418" s="20" t="s">
        <v>431</v>
      </c>
    </row>
    <row r="419" spans="1:12">
      <c r="A419" s="20" t="s">
        <v>432</v>
      </c>
      <c r="B419" s="27" t="s">
        <v>163</v>
      </c>
      <c r="C419" s="27" t="s">
        <v>346</v>
      </c>
      <c r="D419" s="27" t="s">
        <v>174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370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328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433</v>
      </c>
      <c r="B422" s="27" t="s">
        <v>172</v>
      </c>
      <c r="C422" s="27" t="s">
        <v>410</v>
      </c>
      <c r="D422" s="27" t="s">
        <v>174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434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204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/>
    </row>
    <row r="426" spans="1:12">
      <c r="A426" s="20" t="s">
        <v>435</v>
      </c>
    </row>
    <row r="427" spans="1:12">
      <c r="A427" s="20" t="s">
        <v>436</v>
      </c>
      <c r="B427" s="27" t="s">
        <v>231</v>
      </c>
      <c r="C427" s="27" t="s">
        <v>346</v>
      </c>
      <c r="D427" s="27" t="s">
        <v>174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390</v>
      </c>
      <c r="B428" s="27" t="s">
        <v>163</v>
      </c>
      <c r="C428" s="27" t="s">
        <v>255</v>
      </c>
      <c r="D428" s="27" t="s">
        <v>174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291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437</v>
      </c>
      <c r="B430" s="27" t="s">
        <v>382</v>
      </c>
      <c r="C430" s="27" t="s">
        <v>173</v>
      </c>
      <c r="D430" s="27" t="s">
        <v>174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164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234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438</v>
      </c>
      <c r="B433" s="27" t="s">
        <v>226</v>
      </c>
      <c r="C433" s="27" t="s">
        <v>192</v>
      </c>
      <c r="D433" s="27" t="s">
        <v>174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439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440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441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164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418</v>
      </c>
      <c r="B438" s="27" t="s">
        <v>188</v>
      </c>
      <c r="C438" s="27" t="s">
        <v>403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442</v>
      </c>
      <c r="B439" s="27" t="s">
        <v>237</v>
      </c>
      <c r="C439" s="27" t="s">
        <v>346</v>
      </c>
      <c r="D439" s="27" t="s">
        <v>174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443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414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444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399</v>
      </c>
      <c r="B443" s="27" t="s">
        <v>172</v>
      </c>
      <c r="C443" s="27" t="s">
        <v>296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164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234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445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446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204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/>
    </row>
    <row r="450" spans="1:12">
      <c r="A450" s="20" t="s">
        <v>447</v>
      </c>
    </row>
    <row r="451" spans="1:12">
      <c r="A451" s="20" t="s">
        <v>388</v>
      </c>
      <c r="B451" s="27" t="s">
        <v>163</v>
      </c>
      <c r="C451" s="27" t="s">
        <v>173</v>
      </c>
      <c r="D451" s="27" t="s">
        <v>174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273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164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234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448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449</v>
      </c>
      <c r="B456" s="27" t="s">
        <v>231</v>
      </c>
      <c r="C456" s="27" t="s">
        <v>346</v>
      </c>
      <c r="D456" s="27" t="s">
        <v>174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179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450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451</v>
      </c>
      <c r="B459" s="27" t="s">
        <v>172</v>
      </c>
      <c r="C459" s="27" t="s">
        <v>296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389</v>
      </c>
      <c r="B460" s="27" t="s">
        <v>172</v>
      </c>
      <c r="C460" s="27" t="s">
        <v>410</v>
      </c>
      <c r="D460" s="27" t="s">
        <v>174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452</v>
      </c>
      <c r="B461" s="27" t="s">
        <v>226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453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164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179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454</v>
      </c>
      <c r="B465" s="27" t="s">
        <v>226</v>
      </c>
      <c r="C465" s="27" t="s">
        <v>346</v>
      </c>
      <c r="D465" s="27" t="s">
        <v>174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455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164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456</v>
      </c>
      <c r="B468" s="27" t="s">
        <v>237</v>
      </c>
      <c r="C468" s="27" t="s">
        <v>403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457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458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204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/>
    </row>
    <row r="473" spans="1:12">
      <c r="A473" s="20" t="s">
        <v>459</v>
      </c>
    </row>
    <row r="474" spans="1:12">
      <c r="A474" s="20" t="s">
        <v>388</v>
      </c>
      <c r="B474" s="27" t="s">
        <v>163</v>
      </c>
      <c r="C474" s="27" t="s">
        <v>173</v>
      </c>
      <c r="D474" s="27" t="s">
        <v>174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273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164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234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460</v>
      </c>
      <c r="B478" s="27" t="s">
        <v>226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461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462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463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450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464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241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465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466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467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179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468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469</v>
      </c>
      <c r="B490" s="27" t="s">
        <v>188</v>
      </c>
      <c r="C490" s="27" t="s">
        <v>346</v>
      </c>
      <c r="D490" s="27" t="s">
        <v>174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208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470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471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170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472</v>
      </c>
      <c r="B495" s="27" t="s">
        <v>212</v>
      </c>
      <c r="C495" s="27" t="s">
        <v>173</v>
      </c>
      <c r="D495" s="27" t="s">
        <v>174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164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473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474</v>
      </c>
      <c r="B498" s="27" t="s">
        <v>475</v>
      </c>
      <c r="C498" s="27" t="s">
        <v>346</v>
      </c>
      <c r="D498" s="27" t="s">
        <v>174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476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170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189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204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/>
    </row>
    <row r="504" spans="1:12">
      <c r="A504" s="20" t="s">
        <v>422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477</v>
      </c>
    </row>
    <row r="506" spans="1:12">
      <c r="A506" s="20" t="s">
        <v>335</v>
      </c>
      <c r="B506" s="27" t="s">
        <v>163</v>
      </c>
      <c r="C506" s="27" t="s">
        <v>173</v>
      </c>
      <c r="D506" s="27" t="s">
        <v>174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400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164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234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165</v>
      </c>
      <c r="B510" s="27" t="s">
        <v>226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424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412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478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424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164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309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196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479</v>
      </c>
      <c r="B518" s="27" t="s">
        <v>237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480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164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481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164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234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236</v>
      </c>
      <c r="B524" s="27" t="s">
        <v>176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482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483</v>
      </c>
      <c r="B526" s="27" t="s">
        <v>484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485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486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204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/>
    </row>
    <row r="531" spans="1:12">
      <c r="A531" s="20" t="s">
        <v>487</v>
      </c>
    </row>
    <row r="532" spans="1:12">
      <c r="A532" s="20" t="s">
        <v>335</v>
      </c>
      <c r="B532" s="27" t="s">
        <v>163</v>
      </c>
      <c r="C532" s="27" t="s">
        <v>173</v>
      </c>
      <c r="D532" s="27" t="s">
        <v>174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400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164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234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488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489</v>
      </c>
      <c r="B537" s="27" t="s">
        <v>226</v>
      </c>
      <c r="C537" s="27" t="s">
        <v>296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395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 t="s">
        <v>490</v>
      </c>
      <c r="B539" s="27" t="s">
        <v>231</v>
      </c>
      <c r="C539" s="27" t="s">
        <v>173</v>
      </c>
      <c r="D539" s="27" t="s">
        <v>174</v>
      </c>
      <c r="E539" s="21">
        <f>IF(D539="?OLD","!!!","")</f>
        <v/>
      </c>
      <c r="F539" s="22" t="str">
        <f>IF(OR(E539="",E539="!!!"),"",IF(NOT(ISNA(VLOOKUP(E539,E$1:E538,1,FALSE()))),"OLD",IF(AND(E539&lt;&gt;"",E539&lt;&gt;"!!!"),"NEW","")))</f>
        <v> </v>
      </c>
      <c r="G539" s="23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4" t="str">
        <f>IF(J539&lt;&gt;1,"",IF(I539="SBJ","CB","?"))</f>
        <v> </v>
      </c>
      <c r="I539" s="25" t="str">
        <f>IF(OR(E539="",E539="!!!",F539="NEW"),"",INDEX(B538:B$2,-1+SUMPRODUCT(MAX(ROW(E538:E$2)*(E539=E538:E$2)))))</f>
        <v> </v>
      </c>
      <c r="J539" s="25" t="str">
        <f>IF(OR(E539="",E539="!!!",F539="NEW"),"",COUNTBLANK(OFFSET(A$1,,,SUMPRODUCT(MAX(ROW(E$2:E539)*(E539=E$2:E539)))))-COUNTBLANK(OFFSET(A$1,,,SUMPRODUCT(MAX(ROW(E$1:E538)*(E2=E$1:E538))))))</f>
        <v> </v>
      </c>
      <c r="K539" s="25" t="str">
        <f>IF(OR(E539="",E539="!!!",F539="NEW"),"",INDEX(J$1:J538,SUMPRODUCT(MAX(ROW(E$1:E538)*(E539=E$1:E538)))))</f>
        <v> </v>
      </c>
      <c r="L539" s="26"/>
    </row>
    <row r="540" spans="1:12">
      <c r="A540" s="20" t="s">
        <v>491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 t="s">
        <v>492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493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494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295</v>
      </c>
      <c r="B544" s="27" t="s">
        <v>172</v>
      </c>
      <c r="C544" s="27" t="s">
        <v>296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495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241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496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201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376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308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 t="s">
        <v>204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/>
    </row>
    <row r="553" spans="1:12">
      <c r="A553" s="20" t="s">
        <v>497</v>
      </c>
    </row>
    <row r="554" spans="1:12">
      <c r="A554" s="20" t="s">
        <v>335</v>
      </c>
      <c r="B554" s="27" t="s">
        <v>163</v>
      </c>
      <c r="C554" s="27" t="s">
        <v>173</v>
      </c>
      <c r="D554" s="27" t="s">
        <v>174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273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164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 t="s">
        <v>234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498</v>
      </c>
      <c r="B558" s="27" t="s">
        <v>226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499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500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501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502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503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504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204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/>
    </row>
    <row r="567" spans="1:12">
      <c r="A567" s="20" t="s">
        <v>505</v>
      </c>
    </row>
    <row r="568" spans="1:12">
      <c r="A568" s="20" t="s">
        <v>161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162</v>
      </c>
      <c r="B569" s="27" t="s">
        <v>163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179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506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 t="s">
        <v>507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508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248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509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257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510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511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214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339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170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 t="s">
        <v>351</v>
      </c>
      <c r="B582" s="27" t="s">
        <v>172</v>
      </c>
      <c r="C582" s="27" t="s">
        <v>255</v>
      </c>
      <c r="D582" s="27" t="s">
        <v>174</v>
      </c>
      <c r="E582" s="21">
        <f>IF(D582="?OLD","!!!","")</f>
        <v/>
      </c>
      <c r="F582" s="22" t="str">
        <f>IF(OR(E582="",E582="!!!"),"",IF(NOT(ISNA(VLOOKUP(E582,E$1:E581,1,FALSE()))),"OLD",IF(AND(E582&lt;&gt;"",E582&lt;&gt;"!!!"),"NEW","")))</f>
        <v> </v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4" t="str">
        <f>IF(J582&lt;&gt;1,"",IF(I582="SBJ","CB","?"))</f>
        <v> </v>
      </c>
      <c r="I582" s="25" t="str">
        <f>IF(OR(E582="",E582="!!!",F582="NEW"),"",INDEX(B581:B$2,-1+SUMPRODUCT(MAX(ROW(E581:E$2)*(E582=E581:E$2)))))</f>
        <v> </v>
      </c>
      <c r="J582" s="25" t="str">
        <f>IF(OR(E582="",E582="!!!",F582="NEW"),"",COUNTBLANK(OFFSET(A$1,,,SUMPRODUCT(MAX(ROW(E$2:E582)*(E582=E$2:E582)))))-COUNTBLANK(OFFSET(A$1,,,SUMPRODUCT(MAX(ROW(E$1:E581)*(E2=E$1:E581))))))</f>
        <v> </v>
      </c>
      <c r="K582" s="25" t="str">
        <f>IF(OR(E582="",E582="!!!",F582="NEW"),"",INDEX(J$1:J581,SUMPRODUCT(MAX(ROW(E$1:E581)*(E582=E$1:E581)))))</f>
        <v> </v>
      </c>
      <c r="L582" s="26"/>
    </row>
    <row r="583" spans="1:12">
      <c r="A583" s="20" t="s">
        <v>276</v>
      </c>
      <c r="B583" s="27" t="s">
        <v>212</v>
      </c>
      <c r="C583" s="27" t="s">
        <v>173</v>
      </c>
      <c r="D583" s="27" t="s">
        <v>174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 t="s">
        <v>179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512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513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170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514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515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383</v>
      </c>
      <c r="B590" s="27" t="s">
        <v>181</v>
      </c>
      <c r="C590" s="27" t="s">
        <v>296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164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516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517</v>
      </c>
      <c r="B593" s="27" t="s">
        <v>226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204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/>
    </row>
    <row r="596" spans="1:12">
      <c r="A596" s="20" t="s">
        <v>518</v>
      </c>
    </row>
    <row r="597" spans="1:12">
      <c r="A597" s="20" t="s">
        <v>519</v>
      </c>
      <c r="B597" s="27" t="s">
        <v>163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164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520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521</v>
      </c>
      <c r="B600" s="27" t="s">
        <v>172</v>
      </c>
      <c r="C600" s="27" t="s">
        <v>173</v>
      </c>
      <c r="D600" s="27" t="s">
        <v>174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164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522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164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234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 t="s">
        <v>523</v>
      </c>
      <c r="B605" s="27" t="s">
        <v>226</v>
      </c>
      <c r="C605" s="27" t="s">
        <v>255</v>
      </c>
      <c r="D605" s="27" t="s">
        <v>174</v>
      </c>
      <c r="E605" s="21">
        <f>IF(D605="?OLD","!!!","")</f>
        <v/>
      </c>
      <c r="F605" s="22" t="str">
        <f>IF(OR(E605="",E605="!!!"),"",IF(NOT(ISNA(VLOOKUP(E605,E$1:E604,1,FALSE()))),"OLD",IF(AND(E605&lt;&gt;"",E605&lt;&gt;"!!!"),"NEW","")))</f>
        <v> </v>
      </c>
      <c r="G605" s="23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4" t="str">
        <f>IF(J605&lt;&gt;1,"",IF(I605="SBJ","CB","?"))</f>
        <v> </v>
      </c>
      <c r="I605" s="25" t="str">
        <f>IF(OR(E605="",E605="!!!",F605="NEW"),"",INDEX(B604:B$2,-1+SUMPRODUCT(MAX(ROW(E604:E$2)*(E605=E604:E$2)))))</f>
        <v> </v>
      </c>
      <c r="J605" s="25" t="str">
        <f>IF(OR(E605="",E605="!!!",F605="NEW"),"",COUNTBLANK(OFFSET(A$1,,,SUMPRODUCT(MAX(ROW(E$2:E605)*(E605=E$2:E605)))))-COUNTBLANK(OFFSET(A$1,,,SUMPRODUCT(MAX(ROW(E$1:E604)*(E2=E$1:E604))))))</f>
        <v> </v>
      </c>
      <c r="K605" s="25" t="str">
        <f>IF(OR(E605="",E605="!!!",F605="NEW"),"",INDEX(J$1:J604,SUMPRODUCT(MAX(ROW(E$1:E604)*(E605=E$1:E604)))))</f>
        <v> </v>
      </c>
      <c r="L605" s="26"/>
    </row>
    <row r="606" spans="1:12">
      <c r="A606" s="20" t="s">
        <v>276</v>
      </c>
      <c r="B606" s="27" t="s">
        <v>172</v>
      </c>
      <c r="C606" s="27" t="s">
        <v>173</v>
      </c>
      <c r="D606" s="27" t="s">
        <v>174</v>
      </c>
      <c r="E606" s="21">
        <f>IF(D606="?OLD","!!!","")</f>
        <v/>
      </c>
      <c r="F606" s="22" t="str">
        <f>IF(OR(E606="",E606="!!!"),"",IF(NOT(ISNA(VLOOKUP(E606,E$1:E605,1,FALSE()))),"OLD",IF(AND(E606&lt;&gt;"",E606&lt;&gt;"!!!"),"NEW","")))</f>
        <v> </v>
      </c>
      <c r="G606" s="23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4" t="str">
        <f>IF(J606&lt;&gt;1,"",IF(I606="SBJ","CB","?"))</f>
        <v> </v>
      </c>
      <c r="I606" s="25" t="str">
        <f>IF(OR(E606="",E606="!!!",F606="NEW"),"",INDEX(B605:B$2,-1+SUMPRODUCT(MAX(ROW(E605:E$2)*(E606=E605:E$2)))))</f>
        <v> </v>
      </c>
      <c r="J606" s="25" t="str">
        <f>IF(OR(E606="",E606="!!!",F606="NEW"),"",COUNTBLANK(OFFSET(A$1,,,SUMPRODUCT(MAX(ROW(E$2:E606)*(E606=E$2:E606)))))-COUNTBLANK(OFFSET(A$1,,,SUMPRODUCT(MAX(ROW(E$1:E605)*(E2=E$1:E605))))))</f>
        <v> </v>
      </c>
      <c r="K606" s="25" t="str">
        <f>IF(OR(E606="",E606="!!!",F606="NEW"),"",INDEX(J$1:J605,SUMPRODUCT(MAX(ROW(E$1:E605)*(E606=E$1:E605)))))</f>
        <v> </v>
      </c>
      <c r="L606" s="26"/>
    </row>
    <row r="607" spans="1:12">
      <c r="A607" s="20" t="s">
        <v>524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492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525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526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339</v>
      </c>
      <c r="B611" s="27" t="s">
        <v>231</v>
      </c>
      <c r="C611" s="27" t="s">
        <v>296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204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/>
    </row>
    <row r="614" spans="1:12">
      <c r="A614" s="20" t="s">
        <v>527</v>
      </c>
    </row>
    <row r="615" spans="1:12">
      <c r="A615" s="20" t="s">
        <v>528</v>
      </c>
      <c r="B615" s="27" t="s">
        <v>163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324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529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170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530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531</v>
      </c>
      <c r="B620" s="27" t="s">
        <v>304</v>
      </c>
      <c r="C620" s="27" t="s">
        <v>296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164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532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474</v>
      </c>
      <c r="B623" s="27" t="s">
        <v>226</v>
      </c>
      <c r="C623" s="27" t="s">
        <v>346</v>
      </c>
      <c r="D623" s="27" t="s">
        <v>174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321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 t="s">
        <v>533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 t="s">
        <v>534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 t="s">
        <v>204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/>
    </row>
    <row r="629" spans="1:12">
      <c r="A629" s="20" t="s">
        <v>535</v>
      </c>
    </row>
    <row r="630" spans="1:12">
      <c r="A630" s="20" t="s">
        <v>536</v>
      </c>
      <c r="B630" s="27" t="s">
        <v>163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537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538</v>
      </c>
      <c r="B632" s="27" t="s">
        <v>231</v>
      </c>
      <c r="C632" s="27" t="s">
        <v>173</v>
      </c>
      <c r="D632" s="27" t="s">
        <v>174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539</v>
      </c>
      <c r="B633" s="27" t="s">
        <v>172</v>
      </c>
      <c r="C633" s="27" t="s">
        <v>173</v>
      </c>
      <c r="D633" s="27" t="s">
        <v>174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233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164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234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 t="s">
        <v>517</v>
      </c>
      <c r="B637" s="27" t="s">
        <v>226</v>
      </c>
      <c r="E637" s="21">
        <f>IF(D637="?OLD","!!!","")</f>
        <v/>
      </c>
      <c r="F637" s="22" t="str">
        <f>IF(OR(E637="",E637="!!!"),"",IF(NOT(ISNA(VLOOKUP(E637,E$1:E636,1,FALSE()))),"OLD",IF(AND(E637&lt;&gt;"",E637&lt;&gt;"!!!"),"NEW","")))</f>
        <v> </v>
      </c>
      <c r="G637" s="23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4" t="str">
        <f>IF(J637&lt;&gt;1,"",IF(I637="SBJ","CB","?"))</f>
        <v> </v>
      </c>
      <c r="I637" s="25" t="str">
        <f>IF(OR(E637="",E637="!!!",F637="NEW"),"",INDEX(B636:B$2,-1+SUMPRODUCT(MAX(ROW(E636:E$2)*(E637=E636:E$2)))))</f>
        <v> </v>
      </c>
      <c r="J637" s="25" t="str">
        <f>IF(OR(E637="",E637="!!!",F637="NEW"),"",COUNTBLANK(OFFSET(A$1,,,SUMPRODUCT(MAX(ROW(E$2:E637)*(E637=E$2:E637)))))-COUNTBLANK(OFFSET(A$1,,,SUMPRODUCT(MAX(ROW(E$1:E636)*(E2=E$1:E636))))))</f>
        <v> </v>
      </c>
      <c r="K637" s="25" t="str">
        <f>IF(OR(E637="",E637="!!!",F637="NEW"),"",INDEX(J$1:J636,SUMPRODUCT(MAX(ROW(E$1:E636)*(E637=E$1:E636)))))</f>
        <v> </v>
      </c>
      <c r="L637" s="26"/>
    </row>
    <row r="638" spans="1:12">
      <c r="A638" s="20" t="s">
        <v>463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540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541</v>
      </c>
      <c r="B640" s="27" t="s">
        <v>231</v>
      </c>
      <c r="C640" s="27" t="s">
        <v>296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179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 t="s">
        <v>542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543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544</v>
      </c>
      <c r="B644" s="27" t="s">
        <v>172</v>
      </c>
      <c r="C644" s="27" t="s">
        <v>296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164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545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170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267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546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204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/>
    </row>
    <row r="652" spans="1:12">
      <c r="A652" s="20" t="s">
        <v>547</v>
      </c>
    </row>
    <row r="653" spans="1:12">
      <c r="A653" s="20" t="s">
        <v>548</v>
      </c>
      <c r="B653" s="27" t="s">
        <v>163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 t="s">
        <v>324</v>
      </c>
      <c r="E654" s="21">
        <f>IF(D654="?OLD","!!!","")</f>
        <v/>
      </c>
      <c r="F654" s="22" t="str">
        <f>IF(OR(E654="",E654="!!!"),"",IF(NOT(ISNA(VLOOKUP(E654,E$1:E653,1,FALSE()))),"OLD",IF(AND(E654&lt;&gt;"",E654&lt;&gt;"!!!"),"NEW","")))</f>
        <v> </v>
      </c>
      <c r="G654" s="23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4" t="str">
        <f>IF(J654&lt;&gt;1,"",IF(I654="SBJ","CB","?"))</f>
        <v> </v>
      </c>
      <c r="I654" s="25" t="str">
        <f>IF(OR(E654="",E654="!!!",F654="NEW"),"",INDEX(B653:B$2,-1+SUMPRODUCT(MAX(ROW(E653:E$2)*(E654=E653:E$2)))))</f>
        <v> </v>
      </c>
      <c r="J654" s="25" t="str">
        <f>IF(OR(E654="",E654="!!!",F654="NEW"),"",COUNTBLANK(OFFSET(A$1,,,SUMPRODUCT(MAX(ROW(E$2:E654)*(E654=E$2:E654)))))-COUNTBLANK(OFFSET(A$1,,,SUMPRODUCT(MAX(ROW(E$1:E653)*(E2=E$1:E653))))))</f>
        <v> </v>
      </c>
      <c r="K654" s="25" t="str">
        <f>IF(OR(E654="",E654="!!!",F654="NEW"),"",INDEX(J$1:J653,SUMPRODUCT(MAX(ROW(E$1:E653)*(E654=E$1:E653)))))</f>
        <v> </v>
      </c>
      <c r="L654" s="26"/>
    </row>
    <row r="655" spans="1:12">
      <c r="A655" s="20" t="s">
        <v>549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 t="s">
        <v>170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550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318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179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550</v>
      </c>
      <c r="B660" s="27" t="s">
        <v>226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 t="s">
        <v>551</v>
      </c>
      <c r="B661" s="27" t="s">
        <v>172</v>
      </c>
      <c r="C661" s="27" t="s">
        <v>173</v>
      </c>
      <c r="D661" s="27" t="s">
        <v>174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 t="s">
        <v>164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552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553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554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 t="s">
        <v>164</v>
      </c>
      <c r="E666" s="21">
        <f>IF(D666="?OLD","!!!","")</f>
        <v/>
      </c>
      <c r="F666" s="22" t="str">
        <f>IF(OR(E666="",E666="!!!"),"",IF(NOT(ISNA(VLOOKUP(E666,E$1:E665,1,FALSE()))),"OLD",IF(AND(E666&lt;&gt;"",E666&lt;&gt;"!!!"),"NEW","")))</f>
        <v> </v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4" t="str">
        <f>IF(J666&lt;&gt;1,"",IF(I666="SBJ","CB","?"))</f>
        <v> </v>
      </c>
      <c r="I666" s="25" t="str">
        <f>IF(OR(E666="",E666="!!!",F666="NEW"),"",INDEX(B665:B$2,-1+SUMPRODUCT(MAX(ROW(E665:E$2)*(E666=E665:E$2)))))</f>
        <v> </v>
      </c>
      <c r="J666" s="25" t="str">
        <f>IF(OR(E666="",E666="!!!",F666="NEW"),"",COUNTBLANK(OFFSET(A$1,,,SUMPRODUCT(MAX(ROW(E$2:E666)*(E666=E$2:E666)))))-COUNTBLANK(OFFSET(A$1,,,SUMPRODUCT(MAX(ROW(E$1:E665)*(E2=E$1:E665))))))</f>
        <v> </v>
      </c>
      <c r="K666" s="25" t="str">
        <f>IF(OR(E666="",E666="!!!",F666="NEW"),"",INDEX(J$1:J665,SUMPRODUCT(MAX(ROW(E$1:E665)*(E666=E$1:E665)))))</f>
        <v> </v>
      </c>
      <c r="L666" s="26"/>
    </row>
    <row r="667" spans="1:12">
      <c r="A667" s="20" t="s">
        <v>456</v>
      </c>
      <c r="B667" s="27" t="s">
        <v>176</v>
      </c>
      <c r="C667" s="27" t="s">
        <v>403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555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556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204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/>
    </row>
    <row r="672" spans="1:12">
      <c r="A672" s="20" t="s">
        <v>422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557</v>
      </c>
    </row>
    <row r="674" spans="1:12">
      <c r="A674" s="20" t="s">
        <v>424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558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 t="s">
        <v>559</v>
      </c>
      <c r="B676" s="27" t="s">
        <v>304</v>
      </c>
      <c r="C676" s="27" t="s">
        <v>346</v>
      </c>
      <c r="D676" s="27" t="s">
        <v>174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 t="s">
        <v>560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 t="s">
        <v>561</v>
      </c>
      <c r="B678" s="27" t="s">
        <v>163</v>
      </c>
      <c r="E678" s="21">
        <f>IF(D678="?OLD","!!!","")</f>
        <v/>
      </c>
      <c r="F678" s="22" t="str">
        <f>IF(OR(E678="",E678="!!!"),"",IF(NOT(ISNA(VLOOKUP(E678,E$1:E677,1,FALSE()))),"OLD",IF(AND(E678&lt;&gt;"",E678&lt;&gt;"!!!"),"NEW","")))</f>
        <v> </v>
      </c>
      <c r="G678" s="23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4" t="str">
        <f>IF(J678&lt;&gt;1,"",IF(I678="SBJ","CB","?"))</f>
        <v> </v>
      </c>
      <c r="I678" s="25" t="str">
        <f>IF(OR(E678="",E678="!!!",F678="NEW"),"",INDEX(B677:B$2,-1+SUMPRODUCT(MAX(ROW(E677:E$2)*(E678=E677:E$2)))))</f>
        <v> </v>
      </c>
      <c r="J678" s="25" t="str">
        <f>IF(OR(E678="",E678="!!!",F678="NEW"),"",COUNTBLANK(OFFSET(A$1,,,SUMPRODUCT(MAX(ROW(E$2:E678)*(E678=E$2:E678)))))-COUNTBLANK(OFFSET(A$1,,,SUMPRODUCT(MAX(ROW(E$1:E677)*(E2=E$1:E677))))))</f>
        <v> </v>
      </c>
      <c r="K678" s="25" t="str">
        <f>IF(OR(E678="",E678="!!!",F678="NEW"),"",INDEX(J$1:J677,SUMPRODUCT(MAX(ROW(E$1:E677)*(E678=E$1:E677)))))</f>
        <v> </v>
      </c>
      <c r="L678" s="26"/>
    </row>
    <row r="679" spans="1:12">
      <c r="A679" s="20" t="s">
        <v>562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563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164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 t="s">
        <v>196</v>
      </c>
      <c r="E682" s="21">
        <f>IF(D682="?OLD","!!!","")</f>
        <v/>
      </c>
      <c r="F682" s="22" t="str">
        <f>IF(OR(E682="",E682="!!!"),"",IF(NOT(ISNA(VLOOKUP(E682,E$1:E681,1,FALSE()))),"OLD",IF(AND(E682&lt;&gt;"",E682&lt;&gt;"!!!"),"NEW","")))</f>
        <v> </v>
      </c>
      <c r="G682" s="23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4" t="str">
        <f>IF(J682&lt;&gt;1,"",IF(I682="SBJ","CB","?"))</f>
        <v> </v>
      </c>
      <c r="I682" s="25" t="str">
        <f>IF(OR(E682="",E682="!!!",F682="NEW"),"",INDEX(B681:B$2,-1+SUMPRODUCT(MAX(ROW(E681:E$2)*(E682=E681:E$2)))))</f>
        <v> </v>
      </c>
      <c r="J682" s="25" t="str">
        <f>IF(OR(E682="",E682="!!!",F682="NEW"),"",COUNTBLANK(OFFSET(A$1,,,SUMPRODUCT(MAX(ROW(E$2:E682)*(E682=E$2:E682)))))-COUNTBLANK(OFFSET(A$1,,,SUMPRODUCT(MAX(ROW(E$1:E681)*(E2=E$1:E681))))))</f>
        <v> </v>
      </c>
      <c r="K682" s="25" t="str">
        <f>IF(OR(E682="",E682="!!!",F682="NEW"),"",INDEX(J$1:J681,SUMPRODUCT(MAX(ROW(E$1:E681)*(E682=E$1:E681)))))</f>
        <v> </v>
      </c>
      <c r="L682" s="26"/>
    </row>
    <row r="683" spans="1:12">
      <c r="A683" s="20" t="s">
        <v>274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 t="s">
        <v>427</v>
      </c>
      <c r="B684" s="27" t="s">
        <v>245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564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565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424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164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273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454</v>
      </c>
      <c r="B690" s="27" t="s">
        <v>176</v>
      </c>
      <c r="C690" s="27" t="s">
        <v>346</v>
      </c>
      <c r="D690" s="27" t="s">
        <v>174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 t="s">
        <v>204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/>
    </row>
    <row r="693" spans="1:12">
      <c r="A693" s="20" t="s">
        <v>566</v>
      </c>
    </row>
    <row r="694" spans="1:12">
      <c r="A694" s="20" t="s">
        <v>301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 t="s">
        <v>550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 t="s">
        <v>551</v>
      </c>
      <c r="B696" s="27" t="s">
        <v>231</v>
      </c>
      <c r="C696" s="27" t="s">
        <v>173</v>
      </c>
      <c r="D696" s="27" t="s">
        <v>174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 t="s">
        <v>537</v>
      </c>
      <c r="B697" s="27" t="s">
        <v>304</v>
      </c>
      <c r="C697" s="27" t="s">
        <v>255</v>
      </c>
      <c r="D697" s="27" t="s">
        <v>174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 t="s">
        <v>276</v>
      </c>
      <c r="B698" s="27" t="s">
        <v>231</v>
      </c>
      <c r="C698" s="27" t="s">
        <v>173</v>
      </c>
      <c r="D698" s="27" t="s">
        <v>174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567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568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569</v>
      </c>
      <c r="B701" s="27" t="s">
        <v>163</v>
      </c>
      <c r="C701" s="27" t="s">
        <v>296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507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324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570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571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572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 t="s">
        <v>328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 t="s">
        <v>268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164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573</v>
      </c>
      <c r="E710" s="21">
        <f>IF(D710="?OLD","!!!","")</f>
        <v/>
      </c>
      <c r="F710" s="22" t="str">
        <f>IF(OR(E710="",E710="!!!"),"",IF(NOT(ISNA(VLOOKUP(E710,E$1:E709,1,FALSE()))),"OLD",IF(AND(E710&lt;&gt;"",E710&lt;&gt;"!!!"),"NEW","")))</f>
        <v> </v>
      </c>
      <c r="G710" s="23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4" t="str">
        <f>IF(J710&lt;&gt;1,"",IF(I710="SBJ","CB","?"))</f>
        <v> </v>
      </c>
      <c r="I710" s="25" t="str">
        <f>IF(OR(E710="",E710="!!!",F710="NEW"),"",INDEX(B709:B$2,-1+SUMPRODUCT(MAX(ROW(E709:E$2)*(E710=E709:E$2)))))</f>
        <v> </v>
      </c>
      <c r="J710" s="25" t="str">
        <f>IF(OR(E710="",E710="!!!",F710="NEW"),"",COUNTBLANK(OFFSET(A$1,,,SUMPRODUCT(MAX(ROW(E$2:E710)*(E710=E$2:E710)))))-COUNTBLANK(OFFSET(A$1,,,SUMPRODUCT(MAX(ROW(E$1:E709)*(E2=E$1:E709))))))</f>
        <v> </v>
      </c>
      <c r="K710" s="25" t="str">
        <f>IF(OR(E710="",E710="!!!",F710="NEW"),"",INDEX(J$1:J709,SUMPRODUCT(MAX(ROW(E$1:E709)*(E710=E$1:E709)))))</f>
        <v> </v>
      </c>
      <c r="L710" s="26"/>
    </row>
    <row r="711" spans="1:12">
      <c r="A711" s="20" t="s">
        <v>270</v>
      </c>
      <c r="B711" s="27" t="s">
        <v>226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 t="s">
        <v>241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271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324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574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266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 t="s">
        <v>575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 t="s">
        <v>576</v>
      </c>
      <c r="B718" s="27" t="s">
        <v>188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170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 t="s">
        <v>577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 t="s">
        <v>164</v>
      </c>
      <c r="E721" s="21">
        <f>IF(D721="?OLD","!!!","")</f>
        <v/>
      </c>
      <c r="F721" s="22" t="str">
        <f>IF(OR(E721="",E721="!!!"),"",IF(NOT(ISNA(VLOOKUP(E721,E$1:E720,1,FALSE()))),"OLD",IF(AND(E721&lt;&gt;"",E721&lt;&gt;"!!!"),"NEW","")))</f>
        <v> </v>
      </c>
      <c r="G721" s="23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4" t="str">
        <f>IF(J721&lt;&gt;1,"",IF(I721="SBJ","CB","?"))</f>
        <v> </v>
      </c>
      <c r="I721" s="25" t="str">
        <f>IF(OR(E721="",E721="!!!",F721="NEW"),"",INDEX(B720:B$2,-1+SUMPRODUCT(MAX(ROW(E720:E$2)*(E721=E720:E$2)))))</f>
        <v> </v>
      </c>
      <c r="J721" s="25" t="str">
        <f>IF(OR(E721="",E721="!!!",F721="NEW"),"",COUNTBLANK(OFFSET(A$1,,,SUMPRODUCT(MAX(ROW(E$2:E721)*(E721=E$2:E721)))))-COUNTBLANK(OFFSET(A$1,,,SUMPRODUCT(MAX(ROW(E$1:E720)*(E2=E$1:E720))))))</f>
        <v> </v>
      </c>
      <c r="K721" s="25" t="str">
        <f>IF(OR(E721="",E721="!!!",F721="NEW"),"",INDEX(J$1:J720,SUMPRODUCT(MAX(ROW(E$1:E720)*(E721=E$1:E720)))))</f>
        <v> </v>
      </c>
      <c r="L721" s="26"/>
    </row>
    <row r="722" spans="1:12">
      <c r="A722" s="20" t="s">
        <v>234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 t="s">
        <v>474</v>
      </c>
      <c r="B723" s="27" t="s">
        <v>245</v>
      </c>
      <c r="C723" s="27" t="s">
        <v>346</v>
      </c>
      <c r="D723" s="27" t="s">
        <v>174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578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 t="s">
        <v>579</v>
      </c>
      <c r="B725" s="27" t="s">
        <v>327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 t="s">
        <v>580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 t="s">
        <v>409</v>
      </c>
      <c r="E727" s="21">
        <f>IF(D727="?OLD","!!!","")</f>
        <v/>
      </c>
      <c r="F727" s="22" t="str">
        <f>IF(OR(E727="",E727="!!!"),"",IF(NOT(ISNA(VLOOKUP(E727,E$1:E726,1,FALSE()))),"OLD",IF(AND(E727&lt;&gt;"",E727&lt;&gt;"!!!"),"NEW","")))</f>
        <v> </v>
      </c>
      <c r="G727" s="23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4" t="str">
        <f>IF(J727&lt;&gt;1,"",IF(I727="SBJ","CB","?"))</f>
        <v> </v>
      </c>
      <c r="I727" s="25" t="str">
        <f>IF(OR(E727="",E727="!!!",F727="NEW"),"",INDEX(B726:B$2,-1+SUMPRODUCT(MAX(ROW(E726:E$2)*(E727=E726:E$2)))))</f>
        <v> </v>
      </c>
      <c r="J727" s="25" t="str">
        <f>IF(OR(E727="",E727="!!!",F727="NEW"),"",COUNTBLANK(OFFSET(A$1,,,SUMPRODUCT(MAX(ROW(E$2:E727)*(E727=E$2:E727)))))-COUNTBLANK(OFFSET(A$1,,,SUMPRODUCT(MAX(ROW(E$1:E726)*(E2=E$1:E726))))))</f>
        <v> </v>
      </c>
      <c r="K727" s="25" t="str">
        <f>IF(OR(E727="",E727="!!!",F727="NEW"),"",INDEX(J$1:J726,SUMPRODUCT(MAX(ROW(E$1:E726)*(E727=E$1:E726)))))</f>
        <v> </v>
      </c>
      <c r="L727" s="26"/>
    </row>
    <row r="728" spans="1:12">
      <c r="A728" s="20" t="s">
        <v>339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 t="s">
        <v>179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 t="s">
        <v>581</v>
      </c>
      <c r="E730" s="21">
        <f>IF(D730="?OLD","!!!","")</f>
        <v/>
      </c>
      <c r="F730" s="22" t="str">
        <f>IF(OR(E730="",E730="!!!"),"",IF(NOT(ISNA(VLOOKUP(E730,E$1:E729,1,FALSE()))),"OLD",IF(AND(E730&lt;&gt;"",E730&lt;&gt;"!!!"),"NEW","")))</f>
        <v> </v>
      </c>
      <c r="G730" s="23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4" t="str">
        <f>IF(J730&lt;&gt;1,"",IF(I730="SBJ","CB","?"))</f>
        <v> </v>
      </c>
      <c r="I730" s="25" t="str">
        <f>IF(OR(E730="",E730="!!!",F730="NEW"),"",INDEX(B729:B$2,-1+SUMPRODUCT(MAX(ROW(E729:E$2)*(E730=E729:E$2)))))</f>
        <v> </v>
      </c>
      <c r="J730" s="25" t="str">
        <f>IF(OR(E730="",E730="!!!",F730="NEW"),"",COUNTBLANK(OFFSET(A$1,,,SUMPRODUCT(MAX(ROW(E$2:E730)*(E730=E$2:E730)))))-COUNTBLANK(OFFSET(A$1,,,SUMPRODUCT(MAX(ROW(E$1:E729)*(E2=E$1:E729))))))</f>
        <v> </v>
      </c>
      <c r="K730" s="25" t="str">
        <f>IF(OR(E730="",E730="!!!",F730="NEW"),"",INDEX(J$1:J729,SUMPRODUCT(MAX(ROW(E$1:E729)*(E730=E$1:E729)))))</f>
        <v> </v>
      </c>
      <c r="L730" s="26"/>
    </row>
    <row r="731" spans="1:12">
      <c r="A731" s="20" t="s">
        <v>204</v>
      </c>
      <c r="E731" s="21">
        <f>IF(D731="?OLD","!!!","")</f>
        <v/>
      </c>
      <c r="F731" s="22" t="str">
        <f>IF(OR(E731="",E731="!!!"),"",IF(NOT(ISNA(VLOOKUP(E731,E$1:E730,1,FALSE()))),"OLD",IF(AND(E731&lt;&gt;"",E731&lt;&gt;"!!!"),"NEW","")))</f>
        <v> </v>
      </c>
      <c r="G731" s="23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4" t="str">
        <f>IF(J731&lt;&gt;1,"",IF(I731="SBJ","CB","?"))</f>
        <v> </v>
      </c>
      <c r="I731" s="25" t="str">
        <f>IF(OR(E731="",E731="!!!",F731="NEW"),"",INDEX(B730:B$2,-1+SUMPRODUCT(MAX(ROW(E730:E$2)*(E731=E730:E$2)))))</f>
        <v> </v>
      </c>
      <c r="J731" s="25" t="str">
        <f>IF(OR(E731="",E731="!!!",F731="NEW"),"",COUNTBLANK(OFFSET(A$1,,,SUMPRODUCT(MAX(ROW(E$2:E731)*(E731=E$2:E731)))))-COUNTBLANK(OFFSET(A$1,,,SUMPRODUCT(MAX(ROW(E$1:E730)*(E2=E$1:E730))))))</f>
        <v> </v>
      </c>
      <c r="K731" s="25" t="str">
        <f>IF(OR(E731="",E731="!!!",F731="NEW"),"",INDEX(J$1:J730,SUMPRODUCT(MAX(ROW(E$1:E730)*(E731=E$1:E730)))))</f>
        <v> </v>
      </c>
      <c r="L731" s="26"/>
    </row>
    <row r="732" spans="1:12">
      <c r="A732" s="20"/>
    </row>
    <row r="733" spans="1:12">
      <c r="A733" s="20" t="s">
        <v>422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 t="s">
        <v>582</v>
      </c>
    </row>
    <row r="735" spans="1:12">
      <c r="A735" s="20" t="s">
        <v>424</v>
      </c>
      <c r="E735" s="21">
        <f>IF(D735="?OLD","!!!","")</f>
        <v/>
      </c>
      <c r="F735" s="22" t="str">
        <f>IF(OR(E735="",E735="!!!"),"",IF(NOT(ISNA(VLOOKUP(E735,E$1:E734,1,FALSE()))),"OLD",IF(AND(E735&lt;&gt;"",E735&lt;&gt;"!!!"),"NEW","")))</f>
        <v> </v>
      </c>
      <c r="G735" s="23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4" t="str">
        <f>IF(J735&lt;&gt;1,"",IF(I735="SBJ","CB","?"))</f>
        <v> </v>
      </c>
      <c r="I735" s="25" t="str">
        <f>IF(OR(E735="",E735="!!!",F735="NEW"),"",INDEX(B734:B$2,-1+SUMPRODUCT(MAX(ROW(E734:E$2)*(E735=E734:E$2)))))</f>
        <v> </v>
      </c>
      <c r="J735" s="25" t="str">
        <f>IF(OR(E735="",E735="!!!",F735="NEW"),"",COUNTBLANK(OFFSET(A$1,,,SUMPRODUCT(MAX(ROW(E$2:E735)*(E735=E$2:E735)))))-COUNTBLANK(OFFSET(A$1,,,SUMPRODUCT(MAX(ROW(E$1:E734)*(E2=E$1:E734))))))</f>
        <v> </v>
      </c>
      <c r="K735" s="25" t="str">
        <f>IF(OR(E735="",E735="!!!",F735="NEW"),"",INDEX(J$1:J734,SUMPRODUCT(MAX(ROW(E$1:E734)*(E735=E$1:E734)))))</f>
        <v> </v>
      </c>
      <c r="L735" s="26"/>
    </row>
    <row r="736" spans="1:12">
      <c r="A736" s="20" t="s">
        <v>583</v>
      </c>
      <c r="E736" s="21">
        <f>IF(D736="?OLD","!!!","")</f>
        <v/>
      </c>
      <c r="F736" s="22" t="str">
        <f>IF(OR(E736="",E736="!!!"),"",IF(NOT(ISNA(VLOOKUP(E736,E$1:E735,1,FALSE()))),"OLD",IF(AND(E736&lt;&gt;"",E736&lt;&gt;"!!!"),"NEW","")))</f>
        <v> </v>
      </c>
      <c r="G736" s="23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4" t="str">
        <f>IF(J736&lt;&gt;1,"",IF(I736="SBJ","CB","?"))</f>
        <v> </v>
      </c>
      <c r="I736" s="25" t="str">
        <f>IF(OR(E736="",E736="!!!",F736="NEW"),"",INDEX(B735:B$2,-1+SUMPRODUCT(MAX(ROW(E735:E$2)*(E736=E735:E$2)))))</f>
        <v> </v>
      </c>
      <c r="J736" s="25" t="str">
        <f>IF(OR(E736="",E736="!!!",F736="NEW"),"",COUNTBLANK(OFFSET(A$1,,,SUMPRODUCT(MAX(ROW(E$2:E736)*(E736=E$2:E736)))))-COUNTBLANK(OFFSET(A$1,,,SUMPRODUCT(MAX(ROW(E$1:E735)*(E2=E$1:E735))))))</f>
        <v> </v>
      </c>
      <c r="K736" s="25" t="str">
        <f>IF(OR(E736="",E736="!!!",F736="NEW"),"",INDEX(J$1:J735,SUMPRODUCT(MAX(ROW(E$1:E735)*(E736=E$1:E735)))))</f>
        <v> </v>
      </c>
      <c r="L736" s="26"/>
    </row>
    <row r="737" spans="1:12">
      <c r="A737" s="20" t="s">
        <v>584</v>
      </c>
      <c r="E737" s="21">
        <f>IF(D737="?OLD","!!!","")</f>
        <v/>
      </c>
      <c r="F737" s="22" t="str">
        <f>IF(OR(E737="",E737="!!!"),"",IF(NOT(ISNA(VLOOKUP(E737,E$1:E736,1,FALSE()))),"OLD",IF(AND(E737&lt;&gt;"",E737&lt;&gt;"!!!"),"NEW","")))</f>
        <v> </v>
      </c>
      <c r="G737" s="23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4" t="str">
        <f>IF(J737&lt;&gt;1,"",IF(I737="SBJ","CB","?"))</f>
        <v> </v>
      </c>
      <c r="I737" s="25" t="str">
        <f>IF(OR(E737="",E737="!!!",F737="NEW"),"",INDEX(B736:B$2,-1+SUMPRODUCT(MAX(ROW(E736:E$2)*(E737=E736:E$2)))))</f>
        <v> </v>
      </c>
      <c r="J737" s="25" t="str">
        <f>IF(OR(E737="",E737="!!!",F737="NEW"),"",COUNTBLANK(OFFSET(A$1,,,SUMPRODUCT(MAX(ROW(E$2:E737)*(E737=E$2:E737)))))-COUNTBLANK(OFFSET(A$1,,,SUMPRODUCT(MAX(ROW(E$1:E736)*(E2=E$1:E736))))))</f>
        <v> </v>
      </c>
      <c r="K737" s="25" t="str">
        <f>IF(OR(E737="",E737="!!!",F737="NEW"),"",INDEX(J$1:J736,SUMPRODUCT(MAX(ROW(E$1:E736)*(E737=E$1:E736)))))</f>
        <v> </v>
      </c>
      <c r="L737" s="26"/>
    </row>
    <row r="738" spans="1:12">
      <c r="A738" s="20" t="s">
        <v>165</v>
      </c>
      <c r="B738" s="27" t="s">
        <v>163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164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585</v>
      </c>
      <c r="B740" s="27" t="s">
        <v>237</v>
      </c>
      <c r="C740" s="27" t="s">
        <v>403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 t="s">
        <v>448</v>
      </c>
      <c r="E741" s="21">
        <f>IF(D741="?OLD","!!!","")</f>
        <v/>
      </c>
      <c r="F741" s="22" t="str">
        <f>IF(OR(E741="",E741="!!!"),"",IF(NOT(ISNA(VLOOKUP(E741,E$1:E740,1,FALSE()))),"OLD",IF(AND(E741&lt;&gt;"",E741&lt;&gt;"!!!"),"NEW","")))</f>
        <v> </v>
      </c>
      <c r="G741" s="23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4" t="str">
        <f>IF(J741&lt;&gt;1,"",IF(I741="SBJ","CB","?"))</f>
        <v> </v>
      </c>
      <c r="I741" s="25" t="str">
        <f>IF(OR(E741="",E741="!!!",F741="NEW"),"",INDEX(B740:B$2,-1+SUMPRODUCT(MAX(ROW(E740:E$2)*(E741=E740:E$2)))))</f>
        <v> </v>
      </c>
      <c r="J741" s="25" t="str">
        <f>IF(OR(E741="",E741="!!!",F741="NEW"),"",COUNTBLANK(OFFSET(A$1,,,SUMPRODUCT(MAX(ROW(E$2:E741)*(E741=E$2:E741)))))-COUNTBLANK(OFFSET(A$1,,,SUMPRODUCT(MAX(ROW(E$1:E740)*(E2=E$1:E740))))))</f>
        <v> </v>
      </c>
      <c r="K741" s="25" t="str">
        <f>IF(OR(E741="",E741="!!!",F741="NEW"),"",INDEX(J$1:J740,SUMPRODUCT(MAX(ROW(E$1:E740)*(E741=E$1:E740)))))</f>
        <v> </v>
      </c>
      <c r="L741" s="26"/>
    </row>
    <row r="742" spans="1:12">
      <c r="A742" s="20" t="s">
        <v>586</v>
      </c>
      <c r="B742" s="27" t="s">
        <v>172</v>
      </c>
      <c r="C742" s="27" t="s">
        <v>346</v>
      </c>
      <c r="D742" s="27" t="s">
        <v>174</v>
      </c>
      <c r="E742" s="21">
        <f>IF(D742="?OLD","!!!","")</f>
        <v/>
      </c>
      <c r="F742" s="22" t="str">
        <f>IF(OR(E742="",E742="!!!"),"",IF(NOT(ISNA(VLOOKUP(E742,E$1:E741,1,FALSE()))),"OLD",IF(AND(E742&lt;&gt;"",E742&lt;&gt;"!!!"),"NEW","")))</f>
        <v> </v>
      </c>
      <c r="G742" s="23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4" t="str">
        <f>IF(J742&lt;&gt;1,"",IF(I742="SBJ","CB","?"))</f>
        <v> </v>
      </c>
      <c r="I742" s="25" t="str">
        <f>IF(OR(E742="",E742="!!!",F742="NEW"),"",INDEX(B741:B$2,-1+SUMPRODUCT(MAX(ROW(E741:E$2)*(E742=E741:E$2)))))</f>
        <v> </v>
      </c>
      <c r="J742" s="25" t="str">
        <f>IF(OR(E742="",E742="!!!",F742="NEW"),"",COUNTBLANK(OFFSET(A$1,,,SUMPRODUCT(MAX(ROW(E$2:E742)*(E742=E$2:E742)))))-COUNTBLANK(OFFSET(A$1,,,SUMPRODUCT(MAX(ROW(E$1:E741)*(E2=E$1:E741))))))</f>
        <v> </v>
      </c>
      <c r="K742" s="25" t="str">
        <f>IF(OR(E742="",E742="!!!",F742="NEW"),"",INDEX(J$1:J741,SUMPRODUCT(MAX(ROW(E$1:E741)*(E742=E$1:E741)))))</f>
        <v> </v>
      </c>
      <c r="L742" s="26"/>
    </row>
    <row r="743" spans="1:12">
      <c r="A743" s="20" t="s">
        <v>587</v>
      </c>
      <c r="E743" s="21">
        <f>IF(D743="?OLD","!!!","")</f>
        <v/>
      </c>
      <c r="F743" s="22" t="str">
        <f>IF(OR(E743="",E743="!!!"),"",IF(NOT(ISNA(VLOOKUP(E743,E$1:E742,1,FALSE()))),"OLD",IF(AND(E743&lt;&gt;"",E743&lt;&gt;"!!!"),"NEW","")))</f>
        <v> </v>
      </c>
      <c r="G743" s="23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4" t="str">
        <f>IF(J743&lt;&gt;1,"",IF(I743="SBJ","CB","?"))</f>
        <v> </v>
      </c>
      <c r="I743" s="25" t="str">
        <f>IF(OR(E743="",E743="!!!",F743="NEW"),"",INDEX(B742:B$2,-1+SUMPRODUCT(MAX(ROW(E742:E$2)*(E743=E742:E$2)))))</f>
        <v> </v>
      </c>
      <c r="J743" s="25" t="str">
        <f>IF(OR(E743="",E743="!!!",F743="NEW"),"",COUNTBLANK(OFFSET(A$1,,,SUMPRODUCT(MAX(ROW(E$2:E743)*(E743=E$2:E743)))))-COUNTBLANK(OFFSET(A$1,,,SUMPRODUCT(MAX(ROW(E$1:E742)*(E2=E$1:E742))))))</f>
        <v> </v>
      </c>
      <c r="K743" s="25" t="str">
        <f>IF(OR(E743="",E743="!!!",F743="NEW"),"",INDEX(J$1:J742,SUMPRODUCT(MAX(ROW(E$1:E742)*(E743=E$1:E742)))))</f>
        <v> </v>
      </c>
      <c r="L743" s="26"/>
    </row>
    <row r="744" spans="1:12">
      <c r="A744" s="20" t="s">
        <v>164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 t="s">
        <v>587</v>
      </c>
      <c r="E745" s="21">
        <f>IF(D745="?OLD","!!!","")</f>
        <v/>
      </c>
      <c r="F745" s="22" t="str">
        <f>IF(OR(E745="",E745="!!!"),"",IF(NOT(ISNA(VLOOKUP(E745,E$1:E744,1,FALSE()))),"OLD",IF(AND(E745&lt;&gt;"",E745&lt;&gt;"!!!"),"NEW","")))</f>
        <v> </v>
      </c>
      <c r="G745" s="23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4" t="str">
        <f>IF(J745&lt;&gt;1,"",IF(I745="SBJ","CB","?"))</f>
        <v> </v>
      </c>
      <c r="I745" s="25" t="str">
        <f>IF(OR(E745="",E745="!!!",F745="NEW"),"",INDEX(B744:B$2,-1+SUMPRODUCT(MAX(ROW(E744:E$2)*(E745=E744:E$2)))))</f>
        <v> </v>
      </c>
      <c r="J745" s="25" t="str">
        <f>IF(OR(E745="",E745="!!!",F745="NEW"),"",COUNTBLANK(OFFSET(A$1,,,SUMPRODUCT(MAX(ROW(E$2:E745)*(E745=E$2:E745)))))-COUNTBLANK(OFFSET(A$1,,,SUMPRODUCT(MAX(ROW(E$1:E744)*(E2=E$1:E744))))))</f>
        <v> </v>
      </c>
      <c r="K745" s="25" t="str">
        <f>IF(OR(E745="",E745="!!!",F745="NEW"),"",INDEX(J$1:J744,SUMPRODUCT(MAX(ROW(E$1:E744)*(E745=E$1:E744)))))</f>
        <v> </v>
      </c>
      <c r="L745" s="26"/>
    </row>
    <row r="746" spans="1:12">
      <c r="A746" s="20" t="s">
        <v>170</v>
      </c>
      <c r="E746" s="21">
        <f>IF(D746="?OLD","!!!","")</f>
        <v/>
      </c>
      <c r="F746" s="22" t="str">
        <f>IF(OR(E746="",E746="!!!"),"",IF(NOT(ISNA(VLOOKUP(E746,E$1:E745,1,FALSE()))),"OLD",IF(AND(E746&lt;&gt;"",E746&lt;&gt;"!!!"),"NEW","")))</f>
        <v> </v>
      </c>
      <c r="G746" s="23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4" t="str">
        <f>IF(J746&lt;&gt;1,"",IF(I746="SBJ","CB","?"))</f>
        <v> </v>
      </c>
      <c r="I746" s="25" t="str">
        <f>IF(OR(E746="",E746="!!!",F746="NEW"),"",INDEX(B745:B$2,-1+SUMPRODUCT(MAX(ROW(E745:E$2)*(E746=E745:E$2)))))</f>
        <v> </v>
      </c>
      <c r="J746" s="25" t="str">
        <f>IF(OR(E746="",E746="!!!",F746="NEW"),"",COUNTBLANK(OFFSET(A$1,,,SUMPRODUCT(MAX(ROW(E$2:E746)*(E746=E$2:E746)))))-COUNTBLANK(OFFSET(A$1,,,SUMPRODUCT(MAX(ROW(E$1:E745)*(E2=E$1:E745))))))</f>
        <v> </v>
      </c>
      <c r="K746" s="25" t="str">
        <f>IF(OR(E746="",E746="!!!",F746="NEW"),"",INDEX(J$1:J745,SUMPRODUCT(MAX(ROW(E$1:E745)*(E746=E$1:E745)))))</f>
        <v> </v>
      </c>
      <c r="L746" s="26"/>
    </row>
    <row r="747" spans="1:12">
      <c r="A747" s="20" t="s">
        <v>588</v>
      </c>
      <c r="E747" s="21">
        <f>IF(D747="?OLD","!!!","")</f>
        <v/>
      </c>
      <c r="F747" s="22" t="str">
        <f>IF(OR(E747="",E747="!!!"),"",IF(NOT(ISNA(VLOOKUP(E747,E$1:E746,1,FALSE()))),"OLD",IF(AND(E747&lt;&gt;"",E747&lt;&gt;"!!!"),"NEW","")))</f>
        <v> </v>
      </c>
      <c r="G747" s="23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4" t="str">
        <f>IF(J747&lt;&gt;1,"",IF(I747="SBJ","CB","?"))</f>
        <v> </v>
      </c>
      <c r="I747" s="25" t="str">
        <f>IF(OR(E747="",E747="!!!",F747="NEW"),"",INDEX(B746:B$2,-1+SUMPRODUCT(MAX(ROW(E746:E$2)*(E747=E746:E$2)))))</f>
        <v> </v>
      </c>
      <c r="J747" s="25" t="str">
        <f>IF(OR(E747="",E747="!!!",F747="NEW"),"",COUNTBLANK(OFFSET(A$1,,,SUMPRODUCT(MAX(ROW(E$2:E747)*(E747=E$2:E747)))))-COUNTBLANK(OFFSET(A$1,,,SUMPRODUCT(MAX(ROW(E$1:E746)*(E2=E$1:E746))))))</f>
        <v> </v>
      </c>
      <c r="K747" s="25" t="str">
        <f>IF(OR(E747="",E747="!!!",F747="NEW"),"",INDEX(J$1:J746,SUMPRODUCT(MAX(ROW(E$1:E746)*(E747=E$1:E746)))))</f>
        <v> </v>
      </c>
      <c r="L747" s="26"/>
    </row>
    <row r="748" spans="1:12">
      <c r="A748" s="20" t="s">
        <v>424</v>
      </c>
      <c r="E748" s="21">
        <f>IF(D748="?OLD","!!!","")</f>
        <v/>
      </c>
      <c r="F748" s="22" t="str">
        <f>IF(OR(E748="",E748="!!!"),"",IF(NOT(ISNA(VLOOKUP(E748,E$1:E747,1,FALSE()))),"OLD",IF(AND(E748&lt;&gt;"",E748&lt;&gt;"!!!"),"NEW","")))</f>
        <v> </v>
      </c>
      <c r="G748" s="23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4" t="str">
        <f>IF(J748&lt;&gt;1,"",IF(I748="SBJ","CB","?"))</f>
        <v> </v>
      </c>
      <c r="I748" s="25" t="str">
        <f>IF(OR(E748="",E748="!!!",F748="NEW"),"",INDEX(B747:B$2,-1+SUMPRODUCT(MAX(ROW(E747:E$2)*(E748=E747:E$2)))))</f>
        <v> </v>
      </c>
      <c r="J748" s="25" t="str">
        <f>IF(OR(E748="",E748="!!!",F748="NEW"),"",COUNTBLANK(OFFSET(A$1,,,SUMPRODUCT(MAX(ROW(E$2:E748)*(E748=E$2:E748)))))-COUNTBLANK(OFFSET(A$1,,,SUMPRODUCT(MAX(ROW(E$1:E747)*(E2=E$1:E747))))))</f>
        <v> </v>
      </c>
      <c r="K748" s="25" t="str">
        <f>IF(OR(E748="",E748="!!!",F748="NEW"),"",INDEX(J$1:J747,SUMPRODUCT(MAX(ROW(E$1:E747)*(E748=E$1:E747)))))</f>
        <v> </v>
      </c>
      <c r="L748" s="26"/>
    </row>
    <row r="749" spans="1:12">
      <c r="A749" s="20" t="s">
        <v>164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 t="s">
        <v>430</v>
      </c>
      <c r="E750" s="21">
        <f>IF(D750="?OLD","!!!","")</f>
        <v/>
      </c>
      <c r="F750" s="22" t="str">
        <f>IF(OR(E750="",E750="!!!"),"",IF(NOT(ISNA(VLOOKUP(E750,E$1:E749,1,FALSE()))),"OLD",IF(AND(E750&lt;&gt;"",E750&lt;&gt;"!!!"),"NEW","")))</f>
        <v> </v>
      </c>
      <c r="G750" s="23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4" t="str">
        <f>IF(J750&lt;&gt;1,"",IF(I750="SBJ","CB","?"))</f>
        <v> </v>
      </c>
      <c r="I750" s="25" t="str">
        <f>IF(OR(E750="",E750="!!!",F750="NEW"),"",INDEX(B749:B$2,-1+SUMPRODUCT(MAX(ROW(E749:E$2)*(E750=E749:E$2)))))</f>
        <v> </v>
      </c>
      <c r="J750" s="25" t="str">
        <f>IF(OR(E750="",E750="!!!",F750="NEW"),"",COUNTBLANK(OFFSET(A$1,,,SUMPRODUCT(MAX(ROW(E$2:E750)*(E750=E$2:E750)))))-COUNTBLANK(OFFSET(A$1,,,SUMPRODUCT(MAX(ROW(E$1:E749)*(E2=E$1:E749))))))</f>
        <v> </v>
      </c>
      <c r="K750" s="25" t="str">
        <f>IF(OR(E750="",E750="!!!",F750="NEW"),"",INDEX(J$1:J749,SUMPRODUCT(MAX(ROW(E$1:E749)*(E750=E$1:E749)))))</f>
        <v> </v>
      </c>
      <c r="L750" s="26"/>
    </row>
    <row r="751" spans="1:12">
      <c r="A751" s="20" t="s">
        <v>273</v>
      </c>
      <c r="E751" s="21">
        <f>IF(D751="?OLD","!!!","")</f>
        <v/>
      </c>
      <c r="F751" s="22" t="str">
        <f>IF(OR(E751="",E751="!!!"),"",IF(NOT(ISNA(VLOOKUP(E751,E$1:E750,1,FALSE()))),"OLD",IF(AND(E751&lt;&gt;"",E751&lt;&gt;"!!!"),"NEW","")))</f>
        <v> </v>
      </c>
      <c r="G751" s="23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4" t="str">
        <f>IF(J751&lt;&gt;1,"",IF(I751="SBJ","CB","?"))</f>
        <v> </v>
      </c>
      <c r="I751" s="25" t="str">
        <f>IF(OR(E751="",E751="!!!",F751="NEW"),"",INDEX(B750:B$2,-1+SUMPRODUCT(MAX(ROW(E750:E$2)*(E751=E750:E$2)))))</f>
        <v> </v>
      </c>
      <c r="J751" s="25" t="str">
        <f>IF(OR(E751="",E751="!!!",F751="NEW"),"",COUNTBLANK(OFFSET(A$1,,,SUMPRODUCT(MAX(ROW(E$2:E751)*(E751=E$2:E751)))))-COUNTBLANK(OFFSET(A$1,,,SUMPRODUCT(MAX(ROW(E$1:E750)*(E2=E$1:E750))))))</f>
        <v> </v>
      </c>
      <c r="K751" s="25" t="str">
        <f>IF(OR(E751="",E751="!!!",F751="NEW"),"",INDEX(J$1:J750,SUMPRODUCT(MAX(ROW(E$1:E750)*(E751=E$1:E750)))))</f>
        <v> </v>
      </c>
      <c r="L751" s="26"/>
    </row>
    <row r="752" spans="1:12">
      <c r="A752" s="20" t="s">
        <v>589</v>
      </c>
      <c r="E752" s="21">
        <f>IF(D752="?OLD","!!!","")</f>
        <v/>
      </c>
      <c r="F752" s="22" t="str">
        <f>IF(OR(E752="",E752="!!!"),"",IF(NOT(ISNA(VLOOKUP(E752,E$1:E751,1,FALSE()))),"OLD",IF(AND(E752&lt;&gt;"",E752&lt;&gt;"!!!"),"NEW","")))</f>
        <v> </v>
      </c>
      <c r="G752" s="23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4" t="str">
        <f>IF(J752&lt;&gt;1,"",IF(I752="SBJ","CB","?"))</f>
        <v> </v>
      </c>
      <c r="I752" s="25" t="str">
        <f>IF(OR(E752="",E752="!!!",F752="NEW"),"",INDEX(B751:B$2,-1+SUMPRODUCT(MAX(ROW(E751:E$2)*(E752=E751:E$2)))))</f>
        <v> </v>
      </c>
      <c r="J752" s="25" t="str">
        <f>IF(OR(E752="",E752="!!!",F752="NEW"),"",COUNTBLANK(OFFSET(A$1,,,SUMPRODUCT(MAX(ROW(E$2:E752)*(E752=E$2:E752)))))-COUNTBLANK(OFFSET(A$1,,,SUMPRODUCT(MAX(ROW(E$1:E751)*(E2=E$1:E751))))))</f>
        <v> </v>
      </c>
      <c r="K752" s="25" t="str">
        <f>IF(OR(E752="",E752="!!!",F752="NEW"),"",INDEX(J$1:J751,SUMPRODUCT(MAX(ROW(E$1:E751)*(E752=E$1:E751)))))</f>
        <v> </v>
      </c>
      <c r="L752" s="26"/>
    </row>
    <row r="753" spans="1:12">
      <c r="A753" s="20" t="s">
        <v>590</v>
      </c>
      <c r="B753" s="27" t="s">
        <v>226</v>
      </c>
      <c r="E753" s="21">
        <f>IF(D753="?OLD","!!!","")</f>
        <v/>
      </c>
      <c r="F753" s="22" t="str">
        <f>IF(OR(E753="",E753="!!!"),"",IF(NOT(ISNA(VLOOKUP(E753,E$1:E752,1,FALSE()))),"OLD",IF(AND(E753&lt;&gt;"",E753&lt;&gt;"!!!"),"NEW","")))</f>
        <v> </v>
      </c>
      <c r="G753" s="23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4" t="str">
        <f>IF(J753&lt;&gt;1,"",IF(I753="SBJ","CB","?"))</f>
        <v> </v>
      </c>
      <c r="I753" s="25" t="str">
        <f>IF(OR(E753="",E753="!!!",F753="NEW"),"",INDEX(B752:B$2,-1+SUMPRODUCT(MAX(ROW(E752:E$2)*(E753=E752:E$2)))))</f>
        <v> </v>
      </c>
      <c r="J753" s="25" t="str">
        <f>IF(OR(E753="",E753="!!!",F753="NEW"),"",COUNTBLANK(OFFSET(A$1,,,SUMPRODUCT(MAX(ROW(E$2:E753)*(E753=E$2:E753)))))-COUNTBLANK(OFFSET(A$1,,,SUMPRODUCT(MAX(ROW(E$1:E752)*(E2=E$1:E752))))))</f>
        <v> </v>
      </c>
      <c r="K753" s="25" t="str">
        <f>IF(OR(E753="",E753="!!!",F753="NEW"),"",INDEX(J$1:J752,SUMPRODUCT(MAX(ROW(E$1:E752)*(E753=E$1:E752)))))</f>
        <v> </v>
      </c>
      <c r="L753" s="26"/>
    </row>
    <row r="754" spans="1:12">
      <c r="A754" s="20" t="s">
        <v>591</v>
      </c>
      <c r="B754" s="27" t="s">
        <v>172</v>
      </c>
      <c r="C754" s="27" t="s">
        <v>173</v>
      </c>
      <c r="D754" s="27" t="s">
        <v>174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 t="s">
        <v>592</v>
      </c>
      <c r="B755" s="27" t="s">
        <v>212</v>
      </c>
      <c r="C755" s="27" t="s">
        <v>173</v>
      </c>
      <c r="D755" s="27" t="s">
        <v>174</v>
      </c>
      <c r="E755" s="21">
        <f>IF(D755="?OLD","!!!","")</f>
        <v/>
      </c>
      <c r="F755" s="22" t="str">
        <f>IF(OR(E755="",E755="!!!"),"",IF(NOT(ISNA(VLOOKUP(E755,E$1:E754,1,FALSE()))),"OLD",IF(AND(E755&lt;&gt;"",E755&lt;&gt;"!!!"),"NEW","")))</f>
        <v> </v>
      </c>
      <c r="G755" s="23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4" t="str">
        <f>IF(J755&lt;&gt;1,"",IF(I755="SBJ","CB","?"))</f>
        <v> </v>
      </c>
      <c r="I755" s="25" t="str">
        <f>IF(OR(E755="",E755="!!!",F755="NEW"),"",INDEX(B754:B$2,-1+SUMPRODUCT(MAX(ROW(E754:E$2)*(E755=E754:E$2)))))</f>
        <v> </v>
      </c>
      <c r="J755" s="25" t="str">
        <f>IF(OR(E755="",E755="!!!",F755="NEW"),"",COUNTBLANK(OFFSET(A$1,,,SUMPRODUCT(MAX(ROW(E$2:E755)*(E755=E$2:E755)))))-COUNTBLANK(OFFSET(A$1,,,SUMPRODUCT(MAX(ROW(E$1:E754)*(E2=E$1:E754))))))</f>
        <v> </v>
      </c>
      <c r="K755" s="25" t="str">
        <f>IF(OR(E755="",E755="!!!",F755="NEW"),"",INDEX(J$1:J754,SUMPRODUCT(MAX(ROW(E$1:E754)*(E755=E$1:E754)))))</f>
        <v> </v>
      </c>
      <c r="L755" s="26"/>
    </row>
    <row r="756" spans="1:12">
      <c r="A756" s="20" t="s">
        <v>204</v>
      </c>
      <c r="E756" s="21">
        <f>IF(D756="?OLD","!!!","")</f>
        <v/>
      </c>
      <c r="F756" s="22" t="str">
        <f>IF(OR(E756="",E756="!!!"),"",IF(NOT(ISNA(VLOOKUP(E756,E$1:E755,1,FALSE()))),"OLD",IF(AND(E756&lt;&gt;"",E756&lt;&gt;"!!!"),"NEW","")))</f>
        <v> </v>
      </c>
      <c r="G756" s="23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4" t="str">
        <f>IF(J756&lt;&gt;1,"",IF(I756="SBJ","CB","?"))</f>
        <v> </v>
      </c>
      <c r="I756" s="25" t="str">
        <f>IF(OR(E756="",E756="!!!",F756="NEW"),"",INDEX(B755:B$2,-1+SUMPRODUCT(MAX(ROW(E755:E$2)*(E756=E755:E$2)))))</f>
        <v> </v>
      </c>
      <c r="J756" s="25" t="str">
        <f>IF(OR(E756="",E756="!!!",F756="NEW"),"",COUNTBLANK(OFFSET(A$1,,,SUMPRODUCT(MAX(ROW(E$2:E756)*(E756=E$2:E756)))))-COUNTBLANK(OFFSET(A$1,,,SUMPRODUCT(MAX(ROW(E$1:E755)*(E2=E$1:E755))))))</f>
        <v> </v>
      </c>
      <c r="K756" s="25" t="str">
        <f>IF(OR(E756="",E756="!!!",F756="NEW"),"",INDEX(J$1:J755,SUMPRODUCT(MAX(ROW(E$1:E755)*(E756=E$1:E755)))))</f>
        <v> </v>
      </c>
      <c r="L756" s="26"/>
    </row>
    <row r="757" spans="1:12">
      <c r="A757" s="20"/>
    </row>
    <row r="758" spans="1:12">
      <c r="A758" s="20" t="s">
        <v>593</v>
      </c>
    </row>
    <row r="759" spans="1:12">
      <c r="A759" s="20" t="s">
        <v>594</v>
      </c>
      <c r="B759" s="27" t="s">
        <v>163</v>
      </c>
      <c r="C759" s="27" t="s">
        <v>192</v>
      </c>
      <c r="D759" s="27" t="s">
        <v>174</v>
      </c>
      <c r="E759" s="21">
        <f>IF(D759="?OLD","!!!","")</f>
        <v/>
      </c>
      <c r="F759" s="22" t="str">
        <f>IF(OR(E759="",E759="!!!"),"",IF(NOT(ISNA(VLOOKUP(E759,E$1:E758,1,FALSE()))),"OLD",IF(AND(E759&lt;&gt;"",E759&lt;&gt;"!!!"),"NEW","")))</f>
        <v> </v>
      </c>
      <c r="G759" s="23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4" t="str">
        <f>IF(J759&lt;&gt;1,"",IF(I759="SBJ","CB","?"))</f>
        <v> </v>
      </c>
      <c r="I759" s="25" t="str">
        <f>IF(OR(E759="",E759="!!!",F759="NEW"),"",INDEX(B758:B$2,-1+SUMPRODUCT(MAX(ROW(E758:E$2)*(E759=E758:E$2)))))</f>
        <v> </v>
      </c>
      <c r="J759" s="25" t="str">
        <f>IF(OR(E759="",E759="!!!",F759="NEW"),"",COUNTBLANK(OFFSET(A$1,,,SUMPRODUCT(MAX(ROW(E$2:E759)*(E759=E$2:E759)))))-COUNTBLANK(OFFSET(A$1,,,SUMPRODUCT(MAX(ROW(E$1:E758)*(E2=E$1:E758))))))</f>
        <v> </v>
      </c>
      <c r="K759" s="25" t="str">
        <f>IF(OR(E759="",E759="!!!",F759="NEW"),"",INDEX(J$1:J758,SUMPRODUCT(MAX(ROW(E$1:E758)*(E759=E$1:E758)))))</f>
        <v> </v>
      </c>
      <c r="L759" s="26"/>
    </row>
    <row r="760" spans="1:12">
      <c r="A760" s="20" t="s">
        <v>208</v>
      </c>
      <c r="E760" s="21">
        <f>IF(D760="?OLD","!!!","")</f>
        <v/>
      </c>
      <c r="F760" s="22" t="str">
        <f>IF(OR(E760="",E760="!!!"),"",IF(NOT(ISNA(VLOOKUP(E760,E$1:E759,1,FALSE()))),"OLD",IF(AND(E760&lt;&gt;"",E760&lt;&gt;"!!!"),"NEW","")))</f>
        <v> </v>
      </c>
      <c r="G760" s="23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4" t="str">
        <f>IF(J760&lt;&gt;1,"",IF(I760="SBJ","CB","?"))</f>
        <v> </v>
      </c>
      <c r="I760" s="25" t="str">
        <f>IF(OR(E760="",E760="!!!",F760="NEW"),"",INDEX(B759:B$2,-1+SUMPRODUCT(MAX(ROW(E759:E$2)*(E760=E759:E$2)))))</f>
        <v> </v>
      </c>
      <c r="J760" s="25" t="str">
        <f>IF(OR(E760="",E760="!!!",F760="NEW"),"",COUNTBLANK(OFFSET(A$1,,,SUMPRODUCT(MAX(ROW(E$2:E760)*(E760=E$2:E760)))))-COUNTBLANK(OFFSET(A$1,,,SUMPRODUCT(MAX(ROW(E$1:E759)*(E2=E$1:E759))))))</f>
        <v> </v>
      </c>
      <c r="K760" s="25" t="str">
        <f>IF(OR(E760="",E760="!!!",F760="NEW"),"",INDEX(J$1:J759,SUMPRODUCT(MAX(ROW(E$1:E759)*(E760=E$1:E759)))))</f>
        <v> </v>
      </c>
      <c r="L760" s="26"/>
    </row>
    <row r="761" spans="1:12">
      <c r="A761" s="20" t="s">
        <v>595</v>
      </c>
      <c r="B761" s="27" t="s">
        <v>304</v>
      </c>
      <c r="C761" s="27" t="s">
        <v>255</v>
      </c>
      <c r="D761" s="27" t="s">
        <v>174</v>
      </c>
      <c r="E761" s="21">
        <f>IF(D761="?OLD","!!!","")</f>
        <v/>
      </c>
      <c r="F761" s="22" t="str">
        <f>IF(OR(E761="",E761="!!!"),"",IF(NOT(ISNA(VLOOKUP(E761,E$1:E760,1,FALSE()))),"OLD",IF(AND(E761&lt;&gt;"",E761&lt;&gt;"!!!"),"NEW","")))</f>
        <v> </v>
      </c>
      <c r="G761" s="23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4" t="str">
        <f>IF(J761&lt;&gt;1,"",IF(I761="SBJ","CB","?"))</f>
        <v> </v>
      </c>
      <c r="I761" s="25" t="str">
        <f>IF(OR(E761="",E761="!!!",F761="NEW"),"",INDEX(B760:B$2,-1+SUMPRODUCT(MAX(ROW(E760:E$2)*(E761=E760:E$2)))))</f>
        <v> </v>
      </c>
      <c r="J761" s="25" t="str">
        <f>IF(OR(E761="",E761="!!!",F761="NEW"),"",COUNTBLANK(OFFSET(A$1,,,SUMPRODUCT(MAX(ROW(E$2:E761)*(E761=E$2:E761)))))-COUNTBLANK(OFFSET(A$1,,,SUMPRODUCT(MAX(ROW(E$1:E760)*(E2=E$1:E760))))))</f>
        <v> </v>
      </c>
      <c r="K761" s="25" t="str">
        <f>IF(OR(E761="",E761="!!!",F761="NEW"),"",INDEX(J$1:J760,SUMPRODUCT(MAX(ROW(E$1:E760)*(E761=E$1:E760)))))</f>
        <v> </v>
      </c>
      <c r="L761" s="26"/>
    </row>
    <row r="762" spans="1:12">
      <c r="A762" s="20" t="s">
        <v>248</v>
      </c>
      <c r="E762" s="21">
        <f>IF(D762="?OLD","!!!","")</f>
        <v/>
      </c>
      <c r="F762" s="22" t="str">
        <f>IF(OR(E762="",E762="!!!"),"",IF(NOT(ISNA(VLOOKUP(E762,E$1:E761,1,FALSE()))),"OLD",IF(AND(E762&lt;&gt;"",E762&lt;&gt;"!!!"),"NEW","")))</f>
        <v> </v>
      </c>
      <c r="G762" s="23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4" t="str">
        <f>IF(J762&lt;&gt;1,"",IF(I762="SBJ","CB","?"))</f>
        <v> </v>
      </c>
      <c r="I762" s="25" t="str">
        <f>IF(OR(E762="",E762="!!!",F762="NEW"),"",INDEX(B761:B$2,-1+SUMPRODUCT(MAX(ROW(E761:E$2)*(E762=E761:E$2)))))</f>
        <v> </v>
      </c>
      <c r="J762" s="25" t="str">
        <f>IF(OR(E762="",E762="!!!",F762="NEW"),"",COUNTBLANK(OFFSET(A$1,,,SUMPRODUCT(MAX(ROW(E$2:E762)*(E762=E$2:E762)))))-COUNTBLANK(OFFSET(A$1,,,SUMPRODUCT(MAX(ROW(E$1:E761)*(E2=E$1:E761))))))</f>
        <v> </v>
      </c>
      <c r="K762" s="25" t="str">
        <f>IF(OR(E762="",E762="!!!",F762="NEW"),"",INDEX(J$1:J761,SUMPRODUCT(MAX(ROW(E$1:E761)*(E762=E$1:E761)))))</f>
        <v> </v>
      </c>
      <c r="L762" s="26"/>
    </row>
    <row r="763" spans="1:12">
      <c r="A763" s="20" t="s">
        <v>596</v>
      </c>
      <c r="B763" s="27" t="s">
        <v>304</v>
      </c>
      <c r="C763" s="27" t="s">
        <v>192</v>
      </c>
      <c r="D763" s="27" t="s">
        <v>174</v>
      </c>
      <c r="E763" s="21">
        <f>IF(D763="?OLD","!!!","")</f>
        <v/>
      </c>
      <c r="F763" s="22" t="str">
        <f>IF(OR(E763="",E763="!!!"),"",IF(NOT(ISNA(VLOOKUP(E763,E$1:E762,1,FALSE()))),"OLD",IF(AND(E763&lt;&gt;"",E763&lt;&gt;"!!!"),"NEW","")))</f>
        <v> </v>
      </c>
      <c r="G763" s="23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4" t="str">
        <f>IF(J763&lt;&gt;1,"",IF(I763="SBJ","CB","?"))</f>
        <v> </v>
      </c>
      <c r="I763" s="25" t="str">
        <f>IF(OR(E763="",E763="!!!",F763="NEW"),"",INDEX(B762:B$2,-1+SUMPRODUCT(MAX(ROW(E762:E$2)*(E763=E762:E$2)))))</f>
        <v> </v>
      </c>
      <c r="J763" s="25" t="str">
        <f>IF(OR(E763="",E763="!!!",F763="NEW"),"",COUNTBLANK(OFFSET(A$1,,,SUMPRODUCT(MAX(ROW(E$2:E763)*(E763=E$2:E763)))))-COUNTBLANK(OFFSET(A$1,,,SUMPRODUCT(MAX(ROW(E$1:E762)*(E2=E$1:E762))))))</f>
        <v> </v>
      </c>
      <c r="K763" s="25" t="str">
        <f>IF(OR(E763="",E763="!!!",F763="NEW"),"",INDEX(J$1:J762,SUMPRODUCT(MAX(ROW(E$1:E762)*(E763=E$1:E762)))))</f>
        <v> </v>
      </c>
      <c r="L763" s="26"/>
    </row>
    <row r="764" spans="1:12">
      <c r="A764" s="20" t="s">
        <v>164</v>
      </c>
      <c r="E764" s="21">
        <f>IF(D764="?OLD","!!!","")</f>
        <v/>
      </c>
      <c r="F764" s="22" t="str">
        <f>IF(OR(E764="",E764="!!!"),"",IF(NOT(ISNA(VLOOKUP(E764,E$1:E763,1,FALSE()))),"OLD",IF(AND(E764&lt;&gt;"",E764&lt;&gt;"!!!"),"NEW","")))</f>
        <v> </v>
      </c>
      <c r="G764" s="23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4" t="str">
        <f>IF(J764&lt;&gt;1,"",IF(I764="SBJ","CB","?"))</f>
        <v> </v>
      </c>
      <c r="I764" s="25" t="str">
        <f>IF(OR(E764="",E764="!!!",F764="NEW"),"",INDEX(B763:B$2,-1+SUMPRODUCT(MAX(ROW(E763:E$2)*(E764=E763:E$2)))))</f>
        <v> </v>
      </c>
      <c r="J764" s="25" t="str">
        <f>IF(OR(E764="",E764="!!!",F764="NEW"),"",COUNTBLANK(OFFSET(A$1,,,SUMPRODUCT(MAX(ROW(E$2:E764)*(E764=E$2:E764)))))-COUNTBLANK(OFFSET(A$1,,,SUMPRODUCT(MAX(ROW(E$1:E763)*(E2=E$1:E763))))))</f>
        <v> </v>
      </c>
      <c r="K764" s="25" t="str">
        <f>IF(OR(E764="",E764="!!!",F764="NEW"),"",INDEX(J$1:J763,SUMPRODUCT(MAX(ROW(E$1:E763)*(E764=E$1:E763)))))</f>
        <v> </v>
      </c>
      <c r="L764" s="26"/>
    </row>
    <row r="765" spans="1:12">
      <c r="A765" s="20" t="s">
        <v>552</v>
      </c>
      <c r="E765" s="21">
        <f>IF(D765="?OLD","!!!","")</f>
        <v/>
      </c>
      <c r="F765" s="22" t="str">
        <f>IF(OR(E765="",E765="!!!"),"",IF(NOT(ISNA(VLOOKUP(E765,E$1:E764,1,FALSE()))),"OLD",IF(AND(E765&lt;&gt;"",E765&lt;&gt;"!!!"),"NEW","")))</f>
        <v> </v>
      </c>
      <c r="G765" s="23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4" t="str">
        <f>IF(J765&lt;&gt;1,"",IF(I765="SBJ","CB","?"))</f>
        <v> </v>
      </c>
      <c r="I765" s="25" t="str">
        <f>IF(OR(E765="",E765="!!!",F765="NEW"),"",INDEX(B764:B$2,-1+SUMPRODUCT(MAX(ROW(E764:E$2)*(E765=E764:E$2)))))</f>
        <v> </v>
      </c>
      <c r="J765" s="25" t="str">
        <f>IF(OR(E765="",E765="!!!",F765="NEW"),"",COUNTBLANK(OFFSET(A$1,,,SUMPRODUCT(MAX(ROW(E$2:E765)*(E765=E$2:E765)))))-COUNTBLANK(OFFSET(A$1,,,SUMPRODUCT(MAX(ROW(E$1:E764)*(E2=E$1:E764))))))</f>
        <v> </v>
      </c>
      <c r="K765" s="25" t="str">
        <f>IF(OR(E765="",E765="!!!",F765="NEW"),"",INDEX(J$1:J764,SUMPRODUCT(MAX(ROW(E$1:E764)*(E765=E$1:E764)))))</f>
        <v> </v>
      </c>
      <c r="L765" s="26"/>
    </row>
    <row r="766" spans="1:12">
      <c r="A766" s="20" t="s">
        <v>597</v>
      </c>
      <c r="E766" s="21">
        <f>IF(D766="?OLD","!!!","")</f>
        <v/>
      </c>
      <c r="F766" s="22" t="str">
        <f>IF(OR(E766="",E766="!!!"),"",IF(NOT(ISNA(VLOOKUP(E766,E$1:E765,1,FALSE()))),"OLD",IF(AND(E766&lt;&gt;"",E766&lt;&gt;"!!!"),"NEW","")))</f>
        <v> </v>
      </c>
      <c r="G766" s="23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4" t="str">
        <f>IF(J766&lt;&gt;1,"",IF(I766="SBJ","CB","?"))</f>
        <v> </v>
      </c>
      <c r="I766" s="25" t="str">
        <f>IF(OR(E766="",E766="!!!",F766="NEW"),"",INDEX(B765:B$2,-1+SUMPRODUCT(MAX(ROW(E765:E$2)*(E766=E765:E$2)))))</f>
        <v> </v>
      </c>
      <c r="J766" s="25" t="str">
        <f>IF(OR(E766="",E766="!!!",F766="NEW"),"",COUNTBLANK(OFFSET(A$1,,,SUMPRODUCT(MAX(ROW(E$2:E766)*(E766=E$2:E766)))))-COUNTBLANK(OFFSET(A$1,,,SUMPRODUCT(MAX(ROW(E$1:E765)*(E2=E$1:E765))))))</f>
        <v> </v>
      </c>
      <c r="K766" s="25" t="str">
        <f>IF(OR(E766="",E766="!!!",F766="NEW"),"",INDEX(J$1:J765,SUMPRODUCT(MAX(ROW(E$1:E765)*(E766=E$1:E765)))))</f>
        <v> </v>
      </c>
      <c r="L766" s="26"/>
    </row>
    <row r="767" spans="1:12">
      <c r="A767" s="20" t="s">
        <v>598</v>
      </c>
      <c r="E767" s="21">
        <f>IF(D767="?OLD","!!!","")</f>
        <v/>
      </c>
      <c r="F767" s="22" t="str">
        <f>IF(OR(E767="",E767="!!!"),"",IF(NOT(ISNA(VLOOKUP(E767,E$1:E766,1,FALSE()))),"OLD",IF(AND(E767&lt;&gt;"",E767&lt;&gt;"!!!"),"NEW","")))</f>
        <v> </v>
      </c>
      <c r="G767" s="23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4" t="str">
        <f>IF(J767&lt;&gt;1,"",IF(I767="SBJ","CB","?"))</f>
        <v> </v>
      </c>
      <c r="I767" s="25" t="str">
        <f>IF(OR(E767="",E767="!!!",F767="NEW"),"",INDEX(B766:B$2,-1+SUMPRODUCT(MAX(ROW(E766:E$2)*(E767=E766:E$2)))))</f>
        <v> </v>
      </c>
      <c r="J767" s="25" t="str">
        <f>IF(OR(E767="",E767="!!!",F767="NEW"),"",COUNTBLANK(OFFSET(A$1,,,SUMPRODUCT(MAX(ROW(E$2:E767)*(E767=E$2:E767)))))-COUNTBLANK(OFFSET(A$1,,,SUMPRODUCT(MAX(ROW(E$1:E766)*(E2=E$1:E766))))))</f>
        <v> </v>
      </c>
      <c r="K767" s="25" t="str">
        <f>IF(OR(E767="",E767="!!!",F767="NEW"),"",INDEX(J$1:J766,SUMPRODUCT(MAX(ROW(E$1:E766)*(E767=E$1:E766)))))</f>
        <v> </v>
      </c>
      <c r="L767" s="26"/>
    </row>
    <row r="768" spans="1:12">
      <c r="A768" s="20" t="s">
        <v>599</v>
      </c>
      <c r="E768" s="21">
        <f>IF(D768="?OLD","!!!","")</f>
        <v/>
      </c>
      <c r="F768" s="22" t="str">
        <f>IF(OR(E768="",E768="!!!"),"",IF(NOT(ISNA(VLOOKUP(E768,E$1:E767,1,FALSE()))),"OLD",IF(AND(E768&lt;&gt;"",E768&lt;&gt;"!!!"),"NEW","")))</f>
        <v> </v>
      </c>
      <c r="G768" s="23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4" t="str">
        <f>IF(J768&lt;&gt;1,"",IF(I768="SBJ","CB","?"))</f>
        <v> </v>
      </c>
      <c r="I768" s="25" t="str">
        <f>IF(OR(E768="",E768="!!!",F768="NEW"),"",INDEX(B767:B$2,-1+SUMPRODUCT(MAX(ROW(E767:E$2)*(E768=E767:E$2)))))</f>
        <v> </v>
      </c>
      <c r="J768" s="25" t="str">
        <f>IF(OR(E768="",E768="!!!",F768="NEW"),"",COUNTBLANK(OFFSET(A$1,,,SUMPRODUCT(MAX(ROW(E$2:E768)*(E768=E$2:E768)))))-COUNTBLANK(OFFSET(A$1,,,SUMPRODUCT(MAX(ROW(E$1:E767)*(E2=E$1:E767))))))</f>
        <v> </v>
      </c>
      <c r="K768" s="25" t="str">
        <f>IF(OR(E768="",E768="!!!",F768="NEW"),"",INDEX(J$1:J767,SUMPRODUCT(MAX(ROW(E$1:E767)*(E768=E$1:E767)))))</f>
        <v> </v>
      </c>
      <c r="L768" s="26"/>
    </row>
    <row r="769" spans="1:12">
      <c r="A769" s="20" t="s">
        <v>204</v>
      </c>
      <c r="E769" s="21">
        <f>IF(D769="?OLD","!!!","")</f>
        <v/>
      </c>
      <c r="F769" s="22" t="str">
        <f>IF(OR(E769="",E769="!!!"),"",IF(NOT(ISNA(VLOOKUP(E769,E$1:E768,1,FALSE()))),"OLD",IF(AND(E769&lt;&gt;"",E769&lt;&gt;"!!!"),"NEW","")))</f>
        <v> </v>
      </c>
      <c r="G769" s="23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4" t="str">
        <f>IF(J769&lt;&gt;1,"",IF(I769="SBJ","CB","?"))</f>
        <v> </v>
      </c>
      <c r="I769" s="25" t="str">
        <f>IF(OR(E769="",E769="!!!",F769="NEW"),"",INDEX(B768:B$2,-1+SUMPRODUCT(MAX(ROW(E768:E$2)*(E769=E768:E$2)))))</f>
        <v> </v>
      </c>
      <c r="J769" s="25" t="str">
        <f>IF(OR(E769="",E769="!!!",F769="NEW"),"",COUNTBLANK(OFFSET(A$1,,,SUMPRODUCT(MAX(ROW(E$2:E769)*(E769=E$2:E769)))))-COUNTBLANK(OFFSET(A$1,,,SUMPRODUCT(MAX(ROW(E$1:E768)*(E2=E$1:E768))))))</f>
        <v> </v>
      </c>
      <c r="K769" s="25" t="str">
        <f>IF(OR(E769="",E769="!!!",F769="NEW"),"",INDEX(J$1:J768,SUMPRODUCT(MAX(ROW(E$1:E768)*(E769=E$1:E768)))))</f>
        <v> </v>
      </c>
      <c r="L769" s="26"/>
    </row>
    <row r="770" spans="1:12">
      <c r="A770" s="20"/>
    </row>
    <row r="771" spans="1:12">
      <c r="A771" s="20" t="s">
        <v>600</v>
      </c>
    </row>
    <row r="772" spans="1:12">
      <c r="A772" s="20" t="s">
        <v>301</v>
      </c>
      <c r="E772" s="21">
        <f>IF(D772="?OLD","!!!","")</f>
        <v/>
      </c>
      <c r="F772" s="22" t="str">
        <f>IF(OR(E772="",E772="!!!"),"",IF(NOT(ISNA(VLOOKUP(E772,E$1:E771,1,FALSE()))),"OLD",IF(AND(E772&lt;&gt;"",E772&lt;&gt;"!!!"),"NEW","")))</f>
        <v> </v>
      </c>
      <c r="G772" s="23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4" t="str">
        <f>IF(J772&lt;&gt;1,"",IF(I772="SBJ","CB","?"))</f>
        <v> </v>
      </c>
      <c r="I772" s="25" t="str">
        <f>IF(OR(E772="",E772="!!!",F772="NEW"),"",INDEX(B771:B$2,-1+SUMPRODUCT(MAX(ROW(E771:E$2)*(E772=E771:E$2)))))</f>
        <v> </v>
      </c>
      <c r="J772" s="25" t="str">
        <f>IF(OR(E772="",E772="!!!",F772="NEW"),"",COUNTBLANK(OFFSET(A$1,,,SUMPRODUCT(MAX(ROW(E$2:E772)*(E772=E$2:E772)))))-COUNTBLANK(OFFSET(A$1,,,SUMPRODUCT(MAX(ROW(E$1:E771)*(E2=E$1:E771))))))</f>
        <v> </v>
      </c>
      <c r="K772" s="25" t="str">
        <f>IF(OR(E772="",E772="!!!",F772="NEW"),"",INDEX(J$1:J771,SUMPRODUCT(MAX(ROW(E$1:E771)*(E772=E$1:E771)))))</f>
        <v> </v>
      </c>
      <c r="L772" s="26"/>
    </row>
    <row r="773" spans="1:12">
      <c r="A773" s="20" t="s">
        <v>177</v>
      </c>
      <c r="B773" s="27" t="s">
        <v>163</v>
      </c>
      <c r="C773" s="27" t="s">
        <v>173</v>
      </c>
      <c r="D773" s="27" t="s">
        <v>174</v>
      </c>
      <c r="E773" s="21">
        <f>IF(D773="?OLD","!!!","")</f>
        <v/>
      </c>
      <c r="F773" s="22" t="str">
        <f>IF(OR(E773="",E773="!!!"),"",IF(NOT(ISNA(VLOOKUP(E773,E$1:E772,1,FALSE()))),"OLD",IF(AND(E773&lt;&gt;"",E773&lt;&gt;"!!!"),"NEW","")))</f>
        <v> </v>
      </c>
      <c r="G773" s="23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4" t="str">
        <f>IF(J773&lt;&gt;1,"",IF(I773="SBJ","CB","?"))</f>
        <v> </v>
      </c>
      <c r="I773" s="25" t="str">
        <f>IF(OR(E773="",E773="!!!",F773="NEW"),"",INDEX(B772:B$2,-1+SUMPRODUCT(MAX(ROW(E772:E$2)*(E773=E772:E$2)))))</f>
        <v> </v>
      </c>
      <c r="J773" s="25" t="str">
        <f>IF(OR(E773="",E773="!!!",F773="NEW"),"",COUNTBLANK(OFFSET(A$1,,,SUMPRODUCT(MAX(ROW(E$2:E773)*(E773=E$2:E773)))))-COUNTBLANK(OFFSET(A$1,,,SUMPRODUCT(MAX(ROW(E$1:E772)*(E2=E$1:E772))))))</f>
        <v> </v>
      </c>
      <c r="K773" s="25" t="str">
        <f>IF(OR(E773="",E773="!!!",F773="NEW"),"",INDEX(J$1:J772,SUMPRODUCT(MAX(ROW(E$1:E772)*(E773=E$1:E772)))))</f>
        <v> </v>
      </c>
      <c r="L773" s="26"/>
    </row>
    <row r="774" spans="1:12">
      <c r="A774" s="20" t="s">
        <v>164</v>
      </c>
      <c r="E774" s="21">
        <f>IF(D774="?OLD","!!!","")</f>
        <v/>
      </c>
      <c r="F774" s="22" t="str">
        <f>IF(OR(E774="",E774="!!!"),"",IF(NOT(ISNA(VLOOKUP(E774,E$1:E773,1,FALSE()))),"OLD",IF(AND(E774&lt;&gt;"",E774&lt;&gt;"!!!"),"NEW","")))</f>
        <v> </v>
      </c>
      <c r="G774" s="23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4" t="str">
        <f>IF(J774&lt;&gt;1,"",IF(I774="SBJ","CB","?"))</f>
        <v> </v>
      </c>
      <c r="I774" s="25" t="str">
        <f>IF(OR(E774="",E774="!!!",F774="NEW"),"",INDEX(B773:B$2,-1+SUMPRODUCT(MAX(ROW(E773:E$2)*(E774=E773:E$2)))))</f>
        <v> </v>
      </c>
      <c r="J774" s="25" t="str">
        <f>IF(OR(E774="",E774="!!!",F774="NEW"),"",COUNTBLANK(OFFSET(A$1,,,SUMPRODUCT(MAX(ROW(E$2:E774)*(E774=E$2:E774)))))-COUNTBLANK(OFFSET(A$1,,,SUMPRODUCT(MAX(ROW(E$1:E773)*(E2=E$1:E773))))))</f>
        <v> </v>
      </c>
      <c r="K774" s="25" t="str">
        <f>IF(OR(E774="",E774="!!!",F774="NEW"),"",INDEX(J$1:J773,SUMPRODUCT(MAX(ROW(E$1:E773)*(E774=E$1:E773)))))</f>
        <v> </v>
      </c>
      <c r="L774" s="26"/>
    </row>
    <row r="775" spans="1:12">
      <c r="A775" s="20" t="s">
        <v>601</v>
      </c>
      <c r="E775" s="21">
        <f>IF(D775="?OLD","!!!","")</f>
        <v/>
      </c>
      <c r="F775" s="22" t="str">
        <f>IF(OR(E775="",E775="!!!"),"",IF(NOT(ISNA(VLOOKUP(E775,E$1:E774,1,FALSE()))),"OLD",IF(AND(E775&lt;&gt;"",E775&lt;&gt;"!!!"),"NEW","")))</f>
        <v> </v>
      </c>
      <c r="G775" s="23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4" t="str">
        <f>IF(J775&lt;&gt;1,"",IF(I775="SBJ","CB","?"))</f>
        <v> </v>
      </c>
      <c r="I775" s="25" t="str">
        <f>IF(OR(E775="",E775="!!!",F775="NEW"),"",INDEX(B774:B$2,-1+SUMPRODUCT(MAX(ROW(E774:E$2)*(E775=E774:E$2)))))</f>
        <v> </v>
      </c>
      <c r="J775" s="25" t="str">
        <f>IF(OR(E775="",E775="!!!",F775="NEW"),"",COUNTBLANK(OFFSET(A$1,,,SUMPRODUCT(MAX(ROW(E$2:E775)*(E775=E$2:E775)))))-COUNTBLANK(OFFSET(A$1,,,SUMPRODUCT(MAX(ROW(E$1:E774)*(E2=E$1:E774))))))</f>
        <v> </v>
      </c>
      <c r="K775" s="25" t="str">
        <f>IF(OR(E775="",E775="!!!",F775="NEW"),"",INDEX(J$1:J774,SUMPRODUCT(MAX(ROW(E$1:E774)*(E775=E$1:E774)))))</f>
        <v> </v>
      </c>
      <c r="L775" s="26"/>
    </row>
    <row r="776" spans="1:12">
      <c r="A776" s="20" t="s">
        <v>602</v>
      </c>
      <c r="B776" s="27" t="s">
        <v>172</v>
      </c>
      <c r="C776" s="27" t="s">
        <v>173</v>
      </c>
      <c r="D776" s="27" t="s">
        <v>174</v>
      </c>
      <c r="E776" s="21">
        <f>IF(D776="?OLD","!!!","")</f>
        <v/>
      </c>
      <c r="F776" s="22" t="str">
        <f>IF(OR(E776="",E776="!!!"),"",IF(NOT(ISNA(VLOOKUP(E776,E$1:E775,1,FALSE()))),"OLD",IF(AND(E776&lt;&gt;"",E776&lt;&gt;"!!!"),"NEW","")))</f>
        <v> </v>
      </c>
      <c r="G776" s="23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4" t="str">
        <f>IF(J776&lt;&gt;1,"",IF(I776="SBJ","CB","?"))</f>
        <v> </v>
      </c>
      <c r="I776" s="25" t="str">
        <f>IF(OR(E776="",E776="!!!",F776="NEW"),"",INDEX(B775:B$2,-1+SUMPRODUCT(MAX(ROW(E775:E$2)*(E776=E775:E$2)))))</f>
        <v> </v>
      </c>
      <c r="J776" s="25" t="str">
        <f>IF(OR(E776="",E776="!!!",F776="NEW"),"",COUNTBLANK(OFFSET(A$1,,,SUMPRODUCT(MAX(ROW(E$2:E776)*(E776=E$2:E776)))))-COUNTBLANK(OFFSET(A$1,,,SUMPRODUCT(MAX(ROW(E$1:E775)*(E2=E$1:E775))))))</f>
        <v> </v>
      </c>
      <c r="K776" s="25" t="str">
        <f>IF(OR(E776="",E776="!!!",F776="NEW"),"",INDEX(J$1:J775,SUMPRODUCT(MAX(ROW(E$1:E775)*(E776=E$1:E775)))))</f>
        <v> </v>
      </c>
      <c r="L776" s="26"/>
    </row>
    <row r="777" spans="1:12">
      <c r="A777" s="20" t="s">
        <v>164</v>
      </c>
      <c r="E777" s="21">
        <f>IF(D777="?OLD","!!!","")</f>
        <v/>
      </c>
      <c r="F777" s="22" t="str">
        <f>IF(OR(E777="",E777="!!!"),"",IF(NOT(ISNA(VLOOKUP(E777,E$1:E776,1,FALSE()))),"OLD",IF(AND(E777&lt;&gt;"",E777&lt;&gt;"!!!"),"NEW","")))</f>
        <v> </v>
      </c>
      <c r="G777" s="23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4" t="str">
        <f>IF(J777&lt;&gt;1,"",IF(I777="SBJ","CB","?"))</f>
        <v> </v>
      </c>
      <c r="I777" s="25" t="str">
        <f>IF(OR(E777="",E777="!!!",F777="NEW"),"",INDEX(B776:B$2,-1+SUMPRODUCT(MAX(ROW(E776:E$2)*(E777=E776:E$2)))))</f>
        <v> </v>
      </c>
      <c r="J777" s="25" t="str">
        <f>IF(OR(E777="",E777="!!!",F777="NEW"),"",COUNTBLANK(OFFSET(A$1,,,SUMPRODUCT(MAX(ROW(E$2:E777)*(E777=E$2:E777)))))-COUNTBLANK(OFFSET(A$1,,,SUMPRODUCT(MAX(ROW(E$1:E776)*(E2=E$1:E776))))))</f>
        <v> </v>
      </c>
      <c r="K777" s="25" t="str">
        <f>IF(OR(E777="",E777="!!!",F777="NEW"),"",INDEX(J$1:J776,SUMPRODUCT(MAX(ROW(E$1:E776)*(E777=E$1:E776)))))</f>
        <v> </v>
      </c>
      <c r="L777" s="26"/>
    </row>
    <row r="778" spans="1:12">
      <c r="A778" s="20" t="s">
        <v>603</v>
      </c>
      <c r="B778" s="27" t="s">
        <v>231</v>
      </c>
      <c r="C778" s="27" t="s">
        <v>255</v>
      </c>
      <c r="D778" s="27" t="s">
        <v>174</v>
      </c>
      <c r="E778" s="21">
        <f>IF(D778="?OLD","!!!","")</f>
        <v/>
      </c>
      <c r="F778" s="22" t="str">
        <f>IF(OR(E778="",E778="!!!"),"",IF(NOT(ISNA(VLOOKUP(E778,E$1:E777,1,FALSE()))),"OLD",IF(AND(E778&lt;&gt;"",E778&lt;&gt;"!!!"),"NEW","")))</f>
        <v> </v>
      </c>
      <c r="G778" s="23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4" t="str">
        <f>IF(J778&lt;&gt;1,"",IF(I778="SBJ","CB","?"))</f>
        <v> </v>
      </c>
      <c r="I778" s="25" t="str">
        <f>IF(OR(E778="",E778="!!!",F778="NEW"),"",INDEX(B777:B$2,-1+SUMPRODUCT(MAX(ROW(E777:E$2)*(E778=E777:E$2)))))</f>
        <v> </v>
      </c>
      <c r="J778" s="25" t="str">
        <f>IF(OR(E778="",E778="!!!",F778="NEW"),"",COUNTBLANK(OFFSET(A$1,,,SUMPRODUCT(MAX(ROW(E$2:E778)*(E778=E$2:E778)))))-COUNTBLANK(OFFSET(A$1,,,SUMPRODUCT(MAX(ROW(E$1:E777)*(E2=E$1:E777))))))</f>
        <v> </v>
      </c>
      <c r="K778" s="25" t="str">
        <f>IF(OR(E778="",E778="!!!",F778="NEW"),"",INDEX(J$1:J777,SUMPRODUCT(MAX(ROW(E$1:E777)*(E778=E$1:E777)))))</f>
        <v> </v>
      </c>
      <c r="L778" s="26"/>
    </row>
    <row r="779" spans="1:12">
      <c r="A779" s="20" t="s">
        <v>604</v>
      </c>
      <c r="B779" s="27" t="s">
        <v>172</v>
      </c>
      <c r="C779" s="27" t="s">
        <v>173</v>
      </c>
      <c r="D779" s="27" t="s">
        <v>174</v>
      </c>
      <c r="E779" s="21">
        <f>IF(D779="?OLD","!!!","")</f>
        <v/>
      </c>
      <c r="F779" s="22" t="str">
        <f>IF(OR(E779="",E779="!!!"),"",IF(NOT(ISNA(VLOOKUP(E779,E$1:E778,1,FALSE()))),"OLD",IF(AND(E779&lt;&gt;"",E779&lt;&gt;"!!!"),"NEW","")))</f>
        <v> </v>
      </c>
      <c r="G779" s="23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4" t="str">
        <f>IF(J779&lt;&gt;1,"",IF(I779="SBJ","CB","?"))</f>
        <v> </v>
      </c>
      <c r="I779" s="25" t="str">
        <f>IF(OR(E779="",E779="!!!",F779="NEW"),"",INDEX(B778:B$2,-1+SUMPRODUCT(MAX(ROW(E778:E$2)*(E779=E778:E$2)))))</f>
        <v> </v>
      </c>
      <c r="J779" s="25" t="str">
        <f>IF(OR(E779="",E779="!!!",F779="NEW"),"",COUNTBLANK(OFFSET(A$1,,,SUMPRODUCT(MAX(ROW(E$2:E779)*(E779=E$2:E779)))))-COUNTBLANK(OFFSET(A$1,,,SUMPRODUCT(MAX(ROW(E$1:E778)*(E2=E$1:E778))))))</f>
        <v> </v>
      </c>
      <c r="K779" s="25" t="str">
        <f>IF(OR(E779="",E779="!!!",F779="NEW"),"",INDEX(J$1:J778,SUMPRODUCT(MAX(ROW(E$1:E778)*(E779=E$1:E778)))))</f>
        <v> </v>
      </c>
      <c r="L779" s="26"/>
    </row>
    <row r="780" spans="1:12">
      <c r="A780" s="20" t="s">
        <v>257</v>
      </c>
      <c r="E780" s="21">
        <f>IF(D780="?OLD","!!!","")</f>
        <v/>
      </c>
      <c r="F780" s="22" t="str">
        <f>IF(OR(E780="",E780="!!!"),"",IF(NOT(ISNA(VLOOKUP(E780,E$1:E779,1,FALSE()))),"OLD",IF(AND(E780&lt;&gt;"",E780&lt;&gt;"!!!"),"NEW","")))</f>
        <v> </v>
      </c>
      <c r="G780" s="23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4" t="str">
        <f>IF(J780&lt;&gt;1,"",IF(I780="SBJ","CB","?"))</f>
        <v> </v>
      </c>
      <c r="I780" s="25" t="str">
        <f>IF(OR(E780="",E780="!!!",F780="NEW"),"",INDEX(B779:B$2,-1+SUMPRODUCT(MAX(ROW(E779:E$2)*(E780=E779:E$2)))))</f>
        <v> </v>
      </c>
      <c r="J780" s="25" t="str">
        <f>IF(OR(E780="",E780="!!!",F780="NEW"),"",COUNTBLANK(OFFSET(A$1,,,SUMPRODUCT(MAX(ROW(E$2:E780)*(E780=E$2:E780)))))-COUNTBLANK(OFFSET(A$1,,,SUMPRODUCT(MAX(ROW(E$1:E779)*(E2=E$1:E779))))))</f>
        <v> </v>
      </c>
      <c r="K780" s="25" t="str">
        <f>IF(OR(E780="",E780="!!!",F780="NEW"),"",INDEX(J$1:J779,SUMPRODUCT(MAX(ROW(E$1:E779)*(E780=E$1:E779)))))</f>
        <v> </v>
      </c>
      <c r="L780" s="26"/>
    </row>
    <row r="781" spans="1:12">
      <c r="A781" s="20" t="s">
        <v>261</v>
      </c>
      <c r="E781" s="21">
        <f>IF(D781="?OLD","!!!","")</f>
        <v/>
      </c>
      <c r="F781" s="22" t="str">
        <f>IF(OR(E781="",E781="!!!"),"",IF(NOT(ISNA(VLOOKUP(E781,E$1:E780,1,FALSE()))),"OLD",IF(AND(E781&lt;&gt;"",E781&lt;&gt;"!!!"),"NEW","")))</f>
        <v> </v>
      </c>
      <c r="G781" s="23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4" t="str">
        <f>IF(J781&lt;&gt;1,"",IF(I781="SBJ","CB","?"))</f>
        <v> </v>
      </c>
      <c r="I781" s="25" t="str">
        <f>IF(OR(E781="",E781="!!!",F781="NEW"),"",INDEX(B780:B$2,-1+SUMPRODUCT(MAX(ROW(E780:E$2)*(E781=E780:E$2)))))</f>
        <v> </v>
      </c>
      <c r="J781" s="25" t="str">
        <f>IF(OR(E781="",E781="!!!",F781="NEW"),"",COUNTBLANK(OFFSET(A$1,,,SUMPRODUCT(MAX(ROW(E$2:E781)*(E781=E$2:E781)))))-COUNTBLANK(OFFSET(A$1,,,SUMPRODUCT(MAX(ROW(E$1:E780)*(E2=E$1:E780))))))</f>
        <v> </v>
      </c>
      <c r="K781" s="25" t="str">
        <f>IF(OR(E781="",E781="!!!",F781="NEW"),"",INDEX(J$1:J780,SUMPRODUCT(MAX(ROW(E$1:E780)*(E781=E$1:E780)))))</f>
        <v> </v>
      </c>
      <c r="L781" s="26"/>
    </row>
    <row r="782" spans="1:12">
      <c r="A782" s="20" t="s">
        <v>262</v>
      </c>
      <c r="E782" s="21">
        <f>IF(D782="?OLD","!!!","")</f>
        <v/>
      </c>
      <c r="F782" s="22" t="str">
        <f>IF(OR(E782="",E782="!!!"),"",IF(NOT(ISNA(VLOOKUP(E782,E$1:E781,1,FALSE()))),"OLD",IF(AND(E782&lt;&gt;"",E782&lt;&gt;"!!!"),"NEW","")))</f>
        <v> </v>
      </c>
      <c r="G782" s="23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4" t="str">
        <f>IF(J782&lt;&gt;1,"",IF(I782="SBJ","CB","?"))</f>
        <v> </v>
      </c>
      <c r="I782" s="25" t="str">
        <f>IF(OR(E782="",E782="!!!",F782="NEW"),"",INDEX(B781:B$2,-1+SUMPRODUCT(MAX(ROW(E781:E$2)*(E782=E781:E$2)))))</f>
        <v> </v>
      </c>
      <c r="J782" s="25" t="str">
        <f>IF(OR(E782="",E782="!!!",F782="NEW"),"",COUNTBLANK(OFFSET(A$1,,,SUMPRODUCT(MAX(ROW(E$2:E782)*(E782=E$2:E782)))))-COUNTBLANK(OFFSET(A$1,,,SUMPRODUCT(MAX(ROW(E$1:E781)*(E2=E$1:E781))))))</f>
        <v> </v>
      </c>
      <c r="K782" s="25" t="str">
        <f>IF(OR(E782="",E782="!!!",F782="NEW"),"",INDEX(J$1:J781,SUMPRODUCT(MAX(ROW(E$1:E781)*(E782=E$1:E781)))))</f>
        <v> </v>
      </c>
      <c r="L782" s="26"/>
    </row>
    <row r="783" spans="1:12">
      <c r="A783" s="20" t="s">
        <v>605</v>
      </c>
      <c r="B783" s="27" t="s">
        <v>172</v>
      </c>
      <c r="C783" s="27" t="s">
        <v>173</v>
      </c>
      <c r="D783" s="27" t="s">
        <v>174</v>
      </c>
      <c r="E783" s="21">
        <f>IF(D783="?OLD","!!!","")</f>
        <v/>
      </c>
      <c r="F783" s="22" t="str">
        <f>IF(OR(E783="",E783="!!!"),"",IF(NOT(ISNA(VLOOKUP(E783,E$1:E782,1,FALSE()))),"OLD",IF(AND(E783&lt;&gt;"",E783&lt;&gt;"!!!"),"NEW","")))</f>
        <v> </v>
      </c>
      <c r="G783" s="23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4" t="str">
        <f>IF(J783&lt;&gt;1,"",IF(I783="SBJ","CB","?"))</f>
        <v> </v>
      </c>
      <c r="I783" s="25" t="str">
        <f>IF(OR(E783="",E783="!!!",F783="NEW"),"",INDEX(B782:B$2,-1+SUMPRODUCT(MAX(ROW(E782:E$2)*(E783=E782:E$2)))))</f>
        <v> </v>
      </c>
      <c r="J783" s="25" t="str">
        <f>IF(OR(E783="",E783="!!!",F783="NEW"),"",COUNTBLANK(OFFSET(A$1,,,SUMPRODUCT(MAX(ROW(E$2:E783)*(E783=E$2:E783)))))-COUNTBLANK(OFFSET(A$1,,,SUMPRODUCT(MAX(ROW(E$1:E782)*(E2=E$1:E782))))))</f>
        <v> </v>
      </c>
      <c r="K783" s="25" t="str">
        <f>IF(OR(E783="",E783="!!!",F783="NEW"),"",INDEX(J$1:J782,SUMPRODUCT(MAX(ROW(E$1:E782)*(E783=E$1:E782)))))</f>
        <v> </v>
      </c>
      <c r="L783" s="26"/>
    </row>
    <row r="784" spans="1:12">
      <c r="A784" s="20" t="s">
        <v>591</v>
      </c>
      <c r="B784" s="27" t="s">
        <v>212</v>
      </c>
      <c r="C784" s="27" t="s">
        <v>173</v>
      </c>
      <c r="D784" s="27" t="s">
        <v>174</v>
      </c>
      <c r="E784" s="21">
        <f>IF(D784="?OLD","!!!","")</f>
        <v/>
      </c>
      <c r="F784" s="22" t="str">
        <f>IF(OR(E784="",E784="!!!"),"",IF(NOT(ISNA(VLOOKUP(E784,E$1:E783,1,FALSE()))),"OLD",IF(AND(E784&lt;&gt;"",E784&lt;&gt;"!!!"),"NEW","")))</f>
        <v> </v>
      </c>
      <c r="G784" s="23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4" t="str">
        <f>IF(J784&lt;&gt;1,"",IF(I784="SBJ","CB","?"))</f>
        <v> </v>
      </c>
      <c r="I784" s="25" t="str">
        <f>IF(OR(E784="",E784="!!!",F784="NEW"),"",INDEX(B783:B$2,-1+SUMPRODUCT(MAX(ROW(E783:E$2)*(E784=E783:E$2)))))</f>
        <v> </v>
      </c>
      <c r="J784" s="25" t="str">
        <f>IF(OR(E784="",E784="!!!",F784="NEW"),"",COUNTBLANK(OFFSET(A$1,,,SUMPRODUCT(MAX(ROW(E$2:E784)*(E784=E$2:E784)))))-COUNTBLANK(OFFSET(A$1,,,SUMPRODUCT(MAX(ROW(E$1:E783)*(E2=E$1:E783))))))</f>
        <v> </v>
      </c>
      <c r="K784" s="25" t="str">
        <f>IF(OR(E784="",E784="!!!",F784="NEW"),"",INDEX(J$1:J783,SUMPRODUCT(MAX(ROW(E$1:E783)*(E784=E$1:E783)))))</f>
        <v> </v>
      </c>
      <c r="L784" s="26"/>
    </row>
    <row r="785" spans="1:12">
      <c r="A785" s="20" t="s">
        <v>491</v>
      </c>
      <c r="E785" s="21">
        <f>IF(D785="?OLD","!!!","")</f>
        <v/>
      </c>
      <c r="F785" s="22" t="str">
        <f>IF(OR(E785="",E785="!!!"),"",IF(NOT(ISNA(VLOOKUP(E785,E$1:E784,1,FALSE()))),"OLD",IF(AND(E785&lt;&gt;"",E785&lt;&gt;"!!!"),"NEW","")))</f>
        <v> </v>
      </c>
      <c r="G785" s="23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4" t="str">
        <f>IF(J785&lt;&gt;1,"",IF(I785="SBJ","CB","?"))</f>
        <v> </v>
      </c>
      <c r="I785" s="25" t="str">
        <f>IF(OR(E785="",E785="!!!",F785="NEW"),"",INDEX(B784:B$2,-1+SUMPRODUCT(MAX(ROW(E784:E$2)*(E785=E784:E$2)))))</f>
        <v> </v>
      </c>
      <c r="J785" s="25" t="str">
        <f>IF(OR(E785="",E785="!!!",F785="NEW"),"",COUNTBLANK(OFFSET(A$1,,,SUMPRODUCT(MAX(ROW(E$2:E785)*(E785=E$2:E785)))))-COUNTBLANK(OFFSET(A$1,,,SUMPRODUCT(MAX(ROW(E$1:E784)*(E2=E$1:E784))))))</f>
        <v> </v>
      </c>
      <c r="K785" s="25" t="str">
        <f>IF(OR(E785="",E785="!!!",F785="NEW"),"",INDEX(J$1:J784,SUMPRODUCT(MAX(ROW(E$1:E784)*(E785=E$1:E784)))))</f>
        <v> </v>
      </c>
      <c r="L785" s="26"/>
    </row>
    <row r="786" spans="1:12">
      <c r="A786" s="20" t="s">
        <v>164</v>
      </c>
      <c r="E786" s="21">
        <f>IF(D786="?OLD","!!!","")</f>
        <v/>
      </c>
      <c r="F786" s="22" t="str">
        <f>IF(OR(E786="",E786="!!!"),"",IF(NOT(ISNA(VLOOKUP(E786,E$1:E785,1,FALSE()))),"OLD",IF(AND(E786&lt;&gt;"",E786&lt;&gt;"!!!"),"NEW","")))</f>
        <v> </v>
      </c>
      <c r="G786" s="23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4" t="str">
        <f>IF(J786&lt;&gt;1,"",IF(I786="SBJ","CB","?"))</f>
        <v> </v>
      </c>
      <c r="I786" s="25" t="str">
        <f>IF(OR(E786="",E786="!!!",F786="NEW"),"",INDEX(B785:B$2,-1+SUMPRODUCT(MAX(ROW(E785:E$2)*(E786=E785:E$2)))))</f>
        <v> </v>
      </c>
      <c r="J786" s="25" t="str">
        <f>IF(OR(E786="",E786="!!!",F786="NEW"),"",COUNTBLANK(OFFSET(A$1,,,SUMPRODUCT(MAX(ROW(E$2:E786)*(E786=E$2:E786)))))-COUNTBLANK(OFFSET(A$1,,,SUMPRODUCT(MAX(ROW(E$1:E785)*(E2=E$1:E785))))))</f>
        <v> </v>
      </c>
      <c r="K786" s="25" t="str">
        <f>IF(OR(E786="",E786="!!!",F786="NEW"),"",INDEX(J$1:J785,SUMPRODUCT(MAX(ROW(E$1:E785)*(E786=E$1:E785)))))</f>
        <v> </v>
      </c>
      <c r="L786" s="26"/>
    </row>
    <row r="787" spans="1:12">
      <c r="A787" s="20" t="s">
        <v>234</v>
      </c>
      <c r="E787" s="21">
        <f>IF(D787="?OLD","!!!","")</f>
        <v/>
      </c>
      <c r="F787" s="22" t="str">
        <f>IF(OR(E787="",E787="!!!"),"",IF(NOT(ISNA(VLOOKUP(E787,E$1:E786,1,FALSE()))),"OLD",IF(AND(E787&lt;&gt;"",E787&lt;&gt;"!!!"),"NEW","")))</f>
        <v> </v>
      </c>
      <c r="G787" s="23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4" t="str">
        <f>IF(J787&lt;&gt;1,"",IF(I787="SBJ","CB","?"))</f>
        <v> </v>
      </c>
      <c r="I787" s="25" t="str">
        <f>IF(OR(E787="",E787="!!!",F787="NEW"),"",INDEX(B786:B$2,-1+SUMPRODUCT(MAX(ROW(E786:E$2)*(E787=E786:E$2)))))</f>
        <v> </v>
      </c>
      <c r="J787" s="25" t="str">
        <f>IF(OR(E787="",E787="!!!",F787="NEW"),"",COUNTBLANK(OFFSET(A$1,,,SUMPRODUCT(MAX(ROW(E$2:E787)*(E787=E$2:E787)))))-COUNTBLANK(OFFSET(A$1,,,SUMPRODUCT(MAX(ROW(E$1:E786)*(E2=E$1:E786))))))</f>
        <v> </v>
      </c>
      <c r="K787" s="25" t="str">
        <f>IF(OR(E787="",E787="!!!",F787="NEW"),"",INDEX(J$1:J786,SUMPRODUCT(MAX(ROW(E$1:E786)*(E787=E$1:E786)))))</f>
        <v> </v>
      </c>
      <c r="L787" s="26"/>
    </row>
    <row r="788" spans="1:12">
      <c r="A788" s="20" t="s">
        <v>606</v>
      </c>
      <c r="E788" s="21">
        <f>IF(D788="?OLD","!!!","")</f>
        <v/>
      </c>
      <c r="F788" s="22" t="str">
        <f>IF(OR(E788="",E788="!!!"),"",IF(NOT(ISNA(VLOOKUP(E788,E$1:E787,1,FALSE()))),"OLD",IF(AND(E788&lt;&gt;"",E788&lt;&gt;"!!!"),"NEW","")))</f>
        <v> </v>
      </c>
      <c r="G788" s="23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4" t="str">
        <f>IF(J788&lt;&gt;1,"",IF(I788="SBJ","CB","?"))</f>
        <v> </v>
      </c>
      <c r="I788" s="25" t="str">
        <f>IF(OR(E788="",E788="!!!",F788="NEW"),"",INDEX(B787:B$2,-1+SUMPRODUCT(MAX(ROW(E787:E$2)*(E788=E787:E$2)))))</f>
        <v> </v>
      </c>
      <c r="J788" s="25" t="str">
        <f>IF(OR(E788="",E788="!!!",F788="NEW"),"",COUNTBLANK(OFFSET(A$1,,,SUMPRODUCT(MAX(ROW(E$2:E788)*(E788=E$2:E788)))))-COUNTBLANK(OFFSET(A$1,,,SUMPRODUCT(MAX(ROW(E$1:E787)*(E2=E$1:E787))))))</f>
        <v> </v>
      </c>
      <c r="K788" s="25" t="str">
        <f>IF(OR(E788="",E788="!!!",F788="NEW"),"",INDEX(J$1:J787,SUMPRODUCT(MAX(ROW(E$1:E787)*(E788=E$1:E787)))))</f>
        <v> </v>
      </c>
      <c r="L788" s="26"/>
    </row>
    <row r="789" spans="1:12">
      <c r="A789" s="20" t="s">
        <v>162</v>
      </c>
      <c r="B789" s="27" t="s">
        <v>226</v>
      </c>
      <c r="E789" s="21">
        <f>IF(D789="?OLD","!!!","")</f>
        <v/>
      </c>
      <c r="F789" s="22" t="str">
        <f>IF(OR(E789="",E789="!!!"),"",IF(NOT(ISNA(VLOOKUP(E789,E$1:E788,1,FALSE()))),"OLD",IF(AND(E789&lt;&gt;"",E789&lt;&gt;"!!!"),"NEW","")))</f>
        <v> </v>
      </c>
      <c r="G789" s="23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4" t="str">
        <f>IF(J789&lt;&gt;1,"",IF(I789="SBJ","CB","?"))</f>
        <v> </v>
      </c>
      <c r="I789" s="25" t="str">
        <f>IF(OR(E789="",E789="!!!",F789="NEW"),"",INDEX(B788:B$2,-1+SUMPRODUCT(MAX(ROW(E788:E$2)*(E789=E788:E$2)))))</f>
        <v> </v>
      </c>
      <c r="J789" s="25" t="str">
        <f>IF(OR(E789="",E789="!!!",F789="NEW"),"",COUNTBLANK(OFFSET(A$1,,,SUMPRODUCT(MAX(ROW(E$2:E789)*(E789=E$2:E789)))))-COUNTBLANK(OFFSET(A$1,,,SUMPRODUCT(MAX(ROW(E$1:E788)*(E2=E$1:E788))))))</f>
        <v> </v>
      </c>
      <c r="K789" s="25" t="str">
        <f>IF(OR(E789="",E789="!!!",F789="NEW"),"",INDEX(J$1:J788,SUMPRODUCT(MAX(ROW(E$1:E788)*(E789=E$1:E788)))))</f>
        <v> </v>
      </c>
      <c r="L789" s="26"/>
    </row>
    <row r="790" spans="1:12">
      <c r="A790" s="20" t="s">
        <v>310</v>
      </c>
      <c r="E790" s="21">
        <f>IF(D790="?OLD","!!!","")</f>
        <v/>
      </c>
      <c r="F790" s="22" t="str">
        <f>IF(OR(E790="",E790="!!!"),"",IF(NOT(ISNA(VLOOKUP(E790,E$1:E789,1,FALSE()))),"OLD",IF(AND(E790&lt;&gt;"",E790&lt;&gt;"!!!"),"NEW","")))</f>
        <v> </v>
      </c>
      <c r="G790" s="23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4" t="str">
        <f>IF(J790&lt;&gt;1,"",IF(I790="SBJ","CB","?"))</f>
        <v> </v>
      </c>
      <c r="I790" s="25" t="str">
        <f>IF(OR(E790="",E790="!!!",F790="NEW"),"",INDEX(B789:B$2,-1+SUMPRODUCT(MAX(ROW(E789:E$2)*(E790=E789:E$2)))))</f>
        <v> </v>
      </c>
      <c r="J790" s="25" t="str">
        <f>IF(OR(E790="",E790="!!!",F790="NEW"),"",COUNTBLANK(OFFSET(A$1,,,SUMPRODUCT(MAX(ROW(E$2:E790)*(E790=E$2:E790)))))-COUNTBLANK(OFFSET(A$1,,,SUMPRODUCT(MAX(ROW(E$1:E789)*(E2=E$1:E789))))))</f>
        <v> </v>
      </c>
      <c r="K790" s="25" t="str">
        <f>IF(OR(E790="",E790="!!!",F790="NEW"),"",INDEX(J$1:J789,SUMPRODUCT(MAX(ROW(E$1:E789)*(E790=E$1:E789)))))</f>
        <v> </v>
      </c>
      <c r="L790" s="26"/>
    </row>
    <row r="791" spans="1:12">
      <c r="A791" s="20" t="s">
        <v>311</v>
      </c>
      <c r="E791" s="21">
        <f>IF(D791="?OLD","!!!","")</f>
        <v/>
      </c>
      <c r="F791" s="22" t="str">
        <f>IF(OR(E791="",E791="!!!"),"",IF(NOT(ISNA(VLOOKUP(E791,E$1:E790,1,FALSE()))),"OLD",IF(AND(E791&lt;&gt;"",E791&lt;&gt;"!!!"),"NEW","")))</f>
        <v> </v>
      </c>
      <c r="G791" s="23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4" t="str">
        <f>IF(J791&lt;&gt;1,"",IF(I791="SBJ","CB","?"))</f>
        <v> </v>
      </c>
      <c r="I791" s="25" t="str">
        <f>IF(OR(E791="",E791="!!!",F791="NEW"),"",INDEX(B790:B$2,-1+SUMPRODUCT(MAX(ROW(E790:E$2)*(E791=E790:E$2)))))</f>
        <v> </v>
      </c>
      <c r="J791" s="25" t="str">
        <f>IF(OR(E791="",E791="!!!",F791="NEW"),"",COUNTBLANK(OFFSET(A$1,,,SUMPRODUCT(MAX(ROW(E$2:E791)*(E791=E$2:E791)))))-COUNTBLANK(OFFSET(A$1,,,SUMPRODUCT(MAX(ROW(E$1:E790)*(E2=E$1:E790))))))</f>
        <v> </v>
      </c>
      <c r="K791" s="25" t="str">
        <f>IF(OR(E791="",E791="!!!",F791="NEW"),"",INDEX(J$1:J790,SUMPRODUCT(MAX(ROW(E$1:E790)*(E791=E$1:E790)))))</f>
        <v> </v>
      </c>
      <c r="L791" s="26"/>
    </row>
    <row r="792" spans="1:12">
      <c r="A792" s="20" t="s">
        <v>208</v>
      </c>
      <c r="E792" s="21">
        <f>IF(D792="?OLD","!!!","")</f>
        <v/>
      </c>
      <c r="F792" s="22" t="str">
        <f>IF(OR(E792="",E792="!!!"),"",IF(NOT(ISNA(VLOOKUP(E792,E$1:E791,1,FALSE()))),"OLD",IF(AND(E792&lt;&gt;"",E792&lt;&gt;"!!!"),"NEW","")))</f>
        <v> </v>
      </c>
      <c r="G792" s="23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4" t="str">
        <f>IF(J792&lt;&gt;1,"",IF(I792="SBJ","CB","?"))</f>
        <v> </v>
      </c>
      <c r="I792" s="25" t="str">
        <f>IF(OR(E792="",E792="!!!",F792="NEW"),"",INDEX(B791:B$2,-1+SUMPRODUCT(MAX(ROW(E791:E$2)*(E792=E791:E$2)))))</f>
        <v> </v>
      </c>
      <c r="J792" s="25" t="str">
        <f>IF(OR(E792="",E792="!!!",F792="NEW"),"",COUNTBLANK(OFFSET(A$1,,,SUMPRODUCT(MAX(ROW(E$2:E792)*(E792=E$2:E792)))))-COUNTBLANK(OFFSET(A$1,,,SUMPRODUCT(MAX(ROW(E$1:E791)*(E2=E$1:E791))))))</f>
        <v> </v>
      </c>
      <c r="K792" s="25" t="str">
        <f>IF(OR(E792="",E792="!!!",F792="NEW"),"",INDEX(J$1:J791,SUMPRODUCT(MAX(ROW(E$1:E791)*(E792=E$1:E791)))))</f>
        <v> </v>
      </c>
      <c r="L792" s="26"/>
    </row>
    <row r="793" spans="1:12">
      <c r="A793" s="20" t="s">
        <v>607</v>
      </c>
      <c r="E793" s="21">
        <f>IF(D793="?OLD","!!!","")</f>
        <v/>
      </c>
      <c r="F793" s="22" t="str">
        <f>IF(OR(E793="",E793="!!!"),"",IF(NOT(ISNA(VLOOKUP(E793,E$1:E792,1,FALSE()))),"OLD",IF(AND(E793&lt;&gt;"",E793&lt;&gt;"!!!"),"NEW","")))</f>
        <v> </v>
      </c>
      <c r="G793" s="23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4" t="str">
        <f>IF(J793&lt;&gt;1,"",IF(I793="SBJ","CB","?"))</f>
        <v> </v>
      </c>
      <c r="I793" s="25" t="str">
        <f>IF(OR(E793="",E793="!!!",F793="NEW"),"",INDEX(B792:B$2,-1+SUMPRODUCT(MAX(ROW(E792:E$2)*(E793=E792:E$2)))))</f>
        <v> </v>
      </c>
      <c r="J793" s="25" t="str">
        <f>IF(OR(E793="",E793="!!!",F793="NEW"),"",COUNTBLANK(OFFSET(A$1,,,SUMPRODUCT(MAX(ROW(E$2:E793)*(E793=E$2:E793)))))-COUNTBLANK(OFFSET(A$1,,,SUMPRODUCT(MAX(ROW(E$1:E792)*(E2=E$1:E792))))))</f>
        <v> </v>
      </c>
      <c r="K793" s="25" t="str">
        <f>IF(OR(E793="",E793="!!!",F793="NEW"),"",INDEX(J$1:J792,SUMPRODUCT(MAX(ROW(E$1:E792)*(E793=E$1:E792)))))</f>
        <v> </v>
      </c>
      <c r="L793" s="26"/>
    </row>
    <row r="794" spans="1:12">
      <c r="A794" s="20" t="s">
        <v>608</v>
      </c>
      <c r="E794" s="21">
        <f>IF(D794="?OLD","!!!","")</f>
        <v/>
      </c>
      <c r="F794" s="22" t="str">
        <f>IF(OR(E794="",E794="!!!"),"",IF(NOT(ISNA(VLOOKUP(E794,E$1:E793,1,FALSE()))),"OLD",IF(AND(E794&lt;&gt;"",E794&lt;&gt;"!!!"),"NEW","")))</f>
        <v> </v>
      </c>
      <c r="G794" s="23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4" t="str">
        <f>IF(J794&lt;&gt;1,"",IF(I794="SBJ","CB","?"))</f>
        <v> </v>
      </c>
      <c r="I794" s="25" t="str">
        <f>IF(OR(E794="",E794="!!!",F794="NEW"),"",INDEX(B793:B$2,-1+SUMPRODUCT(MAX(ROW(E793:E$2)*(E794=E793:E$2)))))</f>
        <v> </v>
      </c>
      <c r="J794" s="25" t="str">
        <f>IF(OR(E794="",E794="!!!",F794="NEW"),"",COUNTBLANK(OFFSET(A$1,,,SUMPRODUCT(MAX(ROW(E$2:E794)*(E794=E$2:E794)))))-COUNTBLANK(OFFSET(A$1,,,SUMPRODUCT(MAX(ROW(E$1:E793)*(E2=E$1:E793))))))</f>
        <v> </v>
      </c>
      <c r="K794" s="25" t="str">
        <f>IF(OR(E794="",E794="!!!",F794="NEW"),"",INDEX(J$1:J793,SUMPRODUCT(MAX(ROW(E$1:E793)*(E794=E$1:E793)))))</f>
        <v> </v>
      </c>
      <c r="L794" s="26"/>
    </row>
    <row r="795" spans="1:12">
      <c r="A795" s="20" t="s">
        <v>609</v>
      </c>
      <c r="E795" s="21">
        <f>IF(D795="?OLD","!!!","")</f>
        <v/>
      </c>
      <c r="F795" s="22" t="str">
        <f>IF(OR(E795="",E795="!!!"),"",IF(NOT(ISNA(VLOOKUP(E795,E$1:E794,1,FALSE()))),"OLD",IF(AND(E795&lt;&gt;"",E795&lt;&gt;"!!!"),"NEW","")))</f>
        <v> </v>
      </c>
      <c r="G795" s="23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4" t="str">
        <f>IF(J795&lt;&gt;1,"",IF(I795="SBJ","CB","?"))</f>
        <v> </v>
      </c>
      <c r="I795" s="25" t="str">
        <f>IF(OR(E795="",E795="!!!",F795="NEW"),"",INDEX(B794:B$2,-1+SUMPRODUCT(MAX(ROW(E794:E$2)*(E795=E794:E$2)))))</f>
        <v> </v>
      </c>
      <c r="J795" s="25" t="str">
        <f>IF(OR(E795="",E795="!!!",F795="NEW"),"",COUNTBLANK(OFFSET(A$1,,,SUMPRODUCT(MAX(ROW(E$2:E795)*(E795=E$2:E795)))))-COUNTBLANK(OFFSET(A$1,,,SUMPRODUCT(MAX(ROW(E$1:E794)*(E2=E$1:E794))))))</f>
        <v> </v>
      </c>
      <c r="K795" s="25" t="str">
        <f>IF(OR(E795="",E795="!!!",F795="NEW"),"",INDEX(J$1:J794,SUMPRODUCT(MAX(ROW(E$1:E794)*(E795=E$1:E794)))))</f>
        <v> </v>
      </c>
      <c r="L795" s="26"/>
    </row>
    <row r="796" spans="1:12">
      <c r="A796" s="20" t="s">
        <v>204</v>
      </c>
      <c r="E796" s="21">
        <f>IF(D796="?OLD","!!!","")</f>
        <v/>
      </c>
      <c r="F796" s="22" t="str">
        <f>IF(OR(E796="",E796="!!!"),"",IF(NOT(ISNA(VLOOKUP(E796,E$1:E795,1,FALSE()))),"OLD",IF(AND(E796&lt;&gt;"",E796&lt;&gt;"!!!"),"NEW","")))</f>
        <v> </v>
      </c>
      <c r="G796" s="23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4" t="str">
        <f>IF(J796&lt;&gt;1,"",IF(I796="SBJ","CB","?"))</f>
        <v> </v>
      </c>
      <c r="I796" s="25" t="str">
        <f>IF(OR(E796="",E796="!!!",F796="NEW"),"",INDEX(B795:B$2,-1+SUMPRODUCT(MAX(ROW(E795:E$2)*(E796=E795:E$2)))))</f>
        <v> </v>
      </c>
      <c r="J796" s="25" t="str">
        <f>IF(OR(E796="",E796="!!!",F796="NEW"),"",COUNTBLANK(OFFSET(A$1,,,SUMPRODUCT(MAX(ROW(E$2:E796)*(E796=E$2:E796)))))-COUNTBLANK(OFFSET(A$1,,,SUMPRODUCT(MAX(ROW(E$1:E795)*(E2=E$1:E795))))))</f>
        <v> </v>
      </c>
      <c r="K796" s="25" t="str">
        <f>IF(OR(E796="",E796="!!!",F796="NEW"),"",INDEX(J$1:J795,SUMPRODUCT(MAX(ROW(E$1:E795)*(E796=E$1:E795)))))</f>
        <v> </v>
      </c>
      <c r="L796" s="26"/>
    </row>
    <row r="797" spans="1:12">
      <c r="A797" s="20"/>
    </row>
    <row r="798" spans="1:12">
      <c r="A798" s="20" t="s">
        <v>610</v>
      </c>
    </row>
    <row r="799" spans="1:12">
      <c r="A799" s="20" t="s">
        <v>611</v>
      </c>
      <c r="E799" s="21">
        <f>IF(D799="?OLD","!!!","")</f>
        <v/>
      </c>
      <c r="F799" s="22" t="str">
        <f>IF(OR(E799="",E799="!!!"),"",IF(NOT(ISNA(VLOOKUP(E799,E$1:E798,1,FALSE()))),"OLD",IF(AND(E799&lt;&gt;"",E799&lt;&gt;"!!!"),"NEW","")))</f>
        <v> </v>
      </c>
      <c r="G799" s="23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4" t="str">
        <f>IF(J799&lt;&gt;1,"",IF(I799="SBJ","CB","?"))</f>
        <v> </v>
      </c>
      <c r="I799" s="25" t="str">
        <f>IF(OR(E799="",E799="!!!",F799="NEW"),"",INDEX(B798:B$2,-1+SUMPRODUCT(MAX(ROW(E798:E$2)*(E799=E798:E$2)))))</f>
        <v> </v>
      </c>
      <c r="J799" s="25" t="str">
        <f>IF(OR(E799="",E799="!!!",F799="NEW"),"",COUNTBLANK(OFFSET(A$1,,,SUMPRODUCT(MAX(ROW(E$2:E799)*(E799=E$2:E799)))))-COUNTBLANK(OFFSET(A$1,,,SUMPRODUCT(MAX(ROW(E$1:E798)*(E2=E$1:E798))))))</f>
        <v> </v>
      </c>
      <c r="K799" s="25" t="str">
        <f>IF(OR(E799="",E799="!!!",F799="NEW"),"",INDEX(J$1:J798,SUMPRODUCT(MAX(ROW(E$1:E798)*(E799=E$1:E798)))))</f>
        <v> </v>
      </c>
      <c r="L799" s="26"/>
    </row>
    <row r="800" spans="1:12">
      <c r="A800" s="20" t="s">
        <v>389</v>
      </c>
      <c r="B800" s="27" t="s">
        <v>231</v>
      </c>
      <c r="C800" s="27" t="s">
        <v>410</v>
      </c>
      <c r="D800" s="27" t="s">
        <v>174</v>
      </c>
      <c r="E800" s="21">
        <f>IF(D800="?OLD","!!!","")</f>
        <v/>
      </c>
      <c r="F800" s="22" t="str">
        <f>IF(OR(E800="",E800="!!!"),"",IF(NOT(ISNA(VLOOKUP(E800,E$1:E799,1,FALSE()))),"OLD",IF(AND(E800&lt;&gt;"",E800&lt;&gt;"!!!"),"NEW","")))</f>
        <v> </v>
      </c>
      <c r="G800" s="23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4" t="str">
        <f>IF(J800&lt;&gt;1,"",IF(I800="SBJ","CB","?"))</f>
        <v> </v>
      </c>
      <c r="I800" s="25" t="str">
        <f>IF(OR(E800="",E800="!!!",F800="NEW"),"",INDEX(B799:B$2,-1+SUMPRODUCT(MAX(ROW(E799:E$2)*(E800=E799:E$2)))))</f>
        <v> </v>
      </c>
      <c r="J800" s="25" t="str">
        <f>IF(OR(E800="",E800="!!!",F800="NEW"),"",COUNTBLANK(OFFSET(A$1,,,SUMPRODUCT(MAX(ROW(E$2:E800)*(E800=E$2:E800)))))-COUNTBLANK(OFFSET(A$1,,,SUMPRODUCT(MAX(ROW(E$1:E799)*(E2=E$1:E799))))))</f>
        <v> </v>
      </c>
      <c r="K800" s="25" t="str">
        <f>IF(OR(E800="",E800="!!!",F800="NEW"),"",INDEX(J$1:J799,SUMPRODUCT(MAX(ROW(E$1:E799)*(E800=E$1:E799)))))</f>
        <v> </v>
      </c>
      <c r="L800" s="26"/>
    </row>
    <row r="801" spans="1:12">
      <c r="A801" s="20" t="s">
        <v>612</v>
      </c>
      <c r="E801" s="21">
        <f>IF(D801="?OLD","!!!","")</f>
        <v/>
      </c>
      <c r="F801" s="22" t="str">
        <f>IF(OR(E801="",E801="!!!"),"",IF(NOT(ISNA(VLOOKUP(E801,E$1:E800,1,FALSE()))),"OLD",IF(AND(E801&lt;&gt;"",E801&lt;&gt;"!!!"),"NEW","")))</f>
        <v> </v>
      </c>
      <c r="G801" s="23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4" t="str">
        <f>IF(J801&lt;&gt;1,"",IF(I801="SBJ","CB","?"))</f>
        <v> </v>
      </c>
      <c r="I801" s="25" t="str">
        <f>IF(OR(E801="",E801="!!!",F801="NEW"),"",INDEX(B800:B$2,-1+SUMPRODUCT(MAX(ROW(E800:E$2)*(E801=E800:E$2)))))</f>
        <v> </v>
      </c>
      <c r="J801" s="25" t="str">
        <f>IF(OR(E801="",E801="!!!",F801="NEW"),"",COUNTBLANK(OFFSET(A$1,,,SUMPRODUCT(MAX(ROW(E$2:E801)*(E801=E$2:E801)))))-COUNTBLANK(OFFSET(A$1,,,SUMPRODUCT(MAX(ROW(E$1:E800)*(E2=E$1:E800))))))</f>
        <v> </v>
      </c>
      <c r="K801" s="25" t="str">
        <f>IF(OR(E801="",E801="!!!",F801="NEW"),"",INDEX(J$1:J800,SUMPRODUCT(MAX(ROW(E$1:E800)*(E801=E$1:E800)))))</f>
        <v> </v>
      </c>
      <c r="L801" s="26"/>
    </row>
    <row r="802" spans="1:12">
      <c r="A802" s="20" t="s">
        <v>164</v>
      </c>
      <c r="E802" s="21">
        <f>IF(D802="?OLD","!!!","")</f>
        <v/>
      </c>
      <c r="F802" s="22" t="str">
        <f>IF(OR(E802="",E802="!!!"),"",IF(NOT(ISNA(VLOOKUP(E802,E$1:E801,1,FALSE()))),"OLD",IF(AND(E802&lt;&gt;"",E802&lt;&gt;"!!!"),"NEW","")))</f>
        <v> </v>
      </c>
      <c r="G802" s="23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4" t="str">
        <f>IF(J802&lt;&gt;1,"",IF(I802="SBJ","CB","?"))</f>
        <v> </v>
      </c>
      <c r="I802" s="25" t="str">
        <f>IF(OR(E802="",E802="!!!",F802="NEW"),"",INDEX(B801:B$2,-1+SUMPRODUCT(MAX(ROW(E801:E$2)*(E802=E801:E$2)))))</f>
        <v> </v>
      </c>
      <c r="J802" s="25" t="str">
        <f>IF(OR(E802="",E802="!!!",F802="NEW"),"",COUNTBLANK(OFFSET(A$1,,,SUMPRODUCT(MAX(ROW(E$2:E802)*(E802=E$2:E802)))))-COUNTBLANK(OFFSET(A$1,,,SUMPRODUCT(MAX(ROW(E$1:E801)*(E2=E$1:E801))))))</f>
        <v> </v>
      </c>
      <c r="K802" s="25" t="str">
        <f>IF(OR(E802="",E802="!!!",F802="NEW"),"",INDEX(J$1:J801,SUMPRODUCT(MAX(ROW(E$1:E801)*(E802=E$1:E801)))))</f>
        <v> </v>
      </c>
      <c r="L802" s="26"/>
    </row>
    <row r="803" spans="1:12">
      <c r="A803" s="20" t="s">
        <v>613</v>
      </c>
      <c r="E803" s="21">
        <f>IF(D803="?OLD","!!!","")</f>
        <v/>
      </c>
      <c r="F803" s="22" t="str">
        <f>IF(OR(E803="",E803="!!!"),"",IF(NOT(ISNA(VLOOKUP(E803,E$1:E802,1,FALSE()))),"OLD",IF(AND(E803&lt;&gt;"",E803&lt;&gt;"!!!"),"NEW","")))</f>
        <v> </v>
      </c>
      <c r="G803" s="23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4" t="str">
        <f>IF(J803&lt;&gt;1,"",IF(I803="SBJ","CB","?"))</f>
        <v> </v>
      </c>
      <c r="I803" s="25" t="str">
        <f>IF(OR(E803="",E803="!!!",F803="NEW"),"",INDEX(B802:B$2,-1+SUMPRODUCT(MAX(ROW(E802:E$2)*(E803=E802:E$2)))))</f>
        <v> </v>
      </c>
      <c r="J803" s="25" t="str">
        <f>IF(OR(E803="",E803="!!!",F803="NEW"),"",COUNTBLANK(OFFSET(A$1,,,SUMPRODUCT(MAX(ROW(E$2:E803)*(E803=E$2:E803)))))-COUNTBLANK(OFFSET(A$1,,,SUMPRODUCT(MAX(ROW(E$1:E802)*(E2=E$1:E802))))))</f>
        <v> </v>
      </c>
      <c r="K803" s="25" t="str">
        <f>IF(OR(E803="",E803="!!!",F803="NEW"),"",INDEX(J$1:J802,SUMPRODUCT(MAX(ROW(E$1:E802)*(E803=E$1:E802)))))</f>
        <v> </v>
      </c>
      <c r="L803" s="26"/>
    </row>
    <row r="804" spans="1:12">
      <c r="A804" s="20" t="s">
        <v>339</v>
      </c>
      <c r="B804" s="27" t="s">
        <v>163</v>
      </c>
      <c r="C804" s="27" t="s">
        <v>296</v>
      </c>
      <c r="E804" s="21">
        <f>IF(D804="?OLD","!!!","")</f>
        <v/>
      </c>
      <c r="F804" s="22" t="str">
        <f>IF(OR(E804="",E804="!!!"),"",IF(NOT(ISNA(VLOOKUP(E804,E$1:E803,1,FALSE()))),"OLD",IF(AND(E804&lt;&gt;"",E804&lt;&gt;"!!!"),"NEW","")))</f>
        <v> </v>
      </c>
      <c r="G804" s="23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4" t="str">
        <f>IF(J804&lt;&gt;1,"",IF(I804="SBJ","CB","?"))</f>
        <v> </v>
      </c>
      <c r="I804" s="25" t="str">
        <f>IF(OR(E804="",E804="!!!",F804="NEW"),"",INDEX(B803:B$2,-1+SUMPRODUCT(MAX(ROW(E803:E$2)*(E804=E803:E$2)))))</f>
        <v> </v>
      </c>
      <c r="J804" s="25" t="str">
        <f>IF(OR(E804="",E804="!!!",F804="NEW"),"",COUNTBLANK(OFFSET(A$1,,,SUMPRODUCT(MAX(ROW(E$2:E804)*(E804=E$2:E804)))))-COUNTBLANK(OFFSET(A$1,,,SUMPRODUCT(MAX(ROW(E$1:E803)*(E2=E$1:E803))))))</f>
        <v> </v>
      </c>
      <c r="K804" s="25" t="str">
        <f>IF(OR(E804="",E804="!!!",F804="NEW"),"",INDEX(J$1:J803,SUMPRODUCT(MAX(ROW(E$1:E803)*(E804=E$1:E803)))))</f>
        <v> </v>
      </c>
      <c r="L804" s="26"/>
    </row>
    <row r="805" spans="1:12">
      <c r="A805" s="20" t="s">
        <v>324</v>
      </c>
      <c r="E805" s="21">
        <f>IF(D805="?OLD","!!!","")</f>
        <v/>
      </c>
      <c r="F805" s="22" t="str">
        <f>IF(OR(E805="",E805="!!!"),"",IF(NOT(ISNA(VLOOKUP(E805,E$1:E804,1,FALSE()))),"OLD",IF(AND(E805&lt;&gt;"",E805&lt;&gt;"!!!"),"NEW","")))</f>
        <v> </v>
      </c>
      <c r="G805" s="23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4" t="str">
        <f>IF(J805&lt;&gt;1,"",IF(I805="SBJ","CB","?"))</f>
        <v> </v>
      </c>
      <c r="I805" s="25" t="str">
        <f>IF(OR(E805="",E805="!!!",F805="NEW"),"",INDEX(B804:B$2,-1+SUMPRODUCT(MAX(ROW(E804:E$2)*(E805=E804:E$2)))))</f>
        <v> </v>
      </c>
      <c r="J805" s="25" t="str">
        <f>IF(OR(E805="",E805="!!!",F805="NEW"),"",COUNTBLANK(OFFSET(A$1,,,SUMPRODUCT(MAX(ROW(E$2:E805)*(E805=E$2:E805)))))-COUNTBLANK(OFFSET(A$1,,,SUMPRODUCT(MAX(ROW(E$1:E804)*(E2=E$1:E804))))))</f>
        <v> </v>
      </c>
      <c r="K805" s="25" t="str">
        <f>IF(OR(E805="",E805="!!!",F805="NEW"),"",INDEX(J$1:J804,SUMPRODUCT(MAX(ROW(E$1:E804)*(E805=E$1:E804)))))</f>
        <v> </v>
      </c>
      <c r="L805" s="26"/>
    </row>
    <row r="806" spans="1:12">
      <c r="A806" s="20" t="s">
        <v>614</v>
      </c>
      <c r="E806" s="21">
        <f>IF(D806="?OLD","!!!","")</f>
        <v/>
      </c>
      <c r="F806" s="22" t="str">
        <f>IF(OR(E806="",E806="!!!"),"",IF(NOT(ISNA(VLOOKUP(E806,E$1:E805,1,FALSE()))),"OLD",IF(AND(E806&lt;&gt;"",E806&lt;&gt;"!!!"),"NEW","")))</f>
        <v> </v>
      </c>
      <c r="G806" s="23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4" t="str">
        <f>IF(J806&lt;&gt;1,"",IF(I806="SBJ","CB","?"))</f>
        <v> </v>
      </c>
      <c r="I806" s="25" t="str">
        <f>IF(OR(E806="",E806="!!!",F806="NEW"),"",INDEX(B805:B$2,-1+SUMPRODUCT(MAX(ROW(E805:E$2)*(E806=E805:E$2)))))</f>
        <v> </v>
      </c>
      <c r="J806" s="25" t="str">
        <f>IF(OR(E806="",E806="!!!",F806="NEW"),"",COUNTBLANK(OFFSET(A$1,,,SUMPRODUCT(MAX(ROW(E$2:E806)*(E806=E$2:E806)))))-COUNTBLANK(OFFSET(A$1,,,SUMPRODUCT(MAX(ROW(E$1:E805)*(E2=E$1:E805))))))</f>
        <v> </v>
      </c>
      <c r="K806" s="25" t="str">
        <f>IF(OR(E806="",E806="!!!",F806="NEW"),"",INDEX(J$1:J805,SUMPRODUCT(MAX(ROW(E$1:E805)*(E806=E$1:E805)))))</f>
        <v> </v>
      </c>
      <c r="L806" s="26"/>
    </row>
    <row r="807" spans="1:12">
      <c r="A807" s="20" t="s">
        <v>196</v>
      </c>
      <c r="E807" s="21">
        <f>IF(D807="?OLD","!!!","")</f>
        <v/>
      </c>
      <c r="F807" s="22" t="str">
        <f>IF(OR(E807="",E807="!!!"),"",IF(NOT(ISNA(VLOOKUP(E807,E$1:E806,1,FALSE()))),"OLD",IF(AND(E807&lt;&gt;"",E807&lt;&gt;"!!!"),"NEW","")))</f>
        <v> </v>
      </c>
      <c r="G807" s="23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4" t="str">
        <f>IF(J807&lt;&gt;1,"",IF(I807="SBJ","CB","?"))</f>
        <v> </v>
      </c>
      <c r="I807" s="25" t="str">
        <f>IF(OR(E807="",E807="!!!",F807="NEW"),"",INDEX(B806:B$2,-1+SUMPRODUCT(MAX(ROW(E806:E$2)*(E807=E806:E$2)))))</f>
        <v> </v>
      </c>
      <c r="J807" s="25" t="str">
        <f>IF(OR(E807="",E807="!!!",F807="NEW"),"",COUNTBLANK(OFFSET(A$1,,,SUMPRODUCT(MAX(ROW(E$2:E807)*(E807=E$2:E807)))))-COUNTBLANK(OFFSET(A$1,,,SUMPRODUCT(MAX(ROW(E$1:E806)*(E2=E$1:E806))))))</f>
        <v> </v>
      </c>
      <c r="K807" s="25" t="str">
        <f>IF(OR(E807="",E807="!!!",F807="NEW"),"",INDEX(J$1:J806,SUMPRODUCT(MAX(ROW(E$1:E806)*(E807=E$1:E806)))))</f>
        <v> </v>
      </c>
      <c r="L807" s="26"/>
    </row>
    <row r="808" spans="1:12">
      <c r="A808" s="20" t="s">
        <v>615</v>
      </c>
      <c r="E808" s="21">
        <f>IF(D808="?OLD","!!!","")</f>
        <v/>
      </c>
      <c r="F808" s="22" t="str">
        <f>IF(OR(E808="",E808="!!!"),"",IF(NOT(ISNA(VLOOKUP(E808,E$1:E807,1,FALSE()))),"OLD",IF(AND(E808&lt;&gt;"",E808&lt;&gt;"!!!"),"NEW","")))</f>
        <v> </v>
      </c>
      <c r="G808" s="23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4" t="str">
        <f>IF(J808&lt;&gt;1,"",IF(I808="SBJ","CB","?"))</f>
        <v> </v>
      </c>
      <c r="I808" s="25" t="str">
        <f>IF(OR(E808="",E808="!!!",F808="NEW"),"",INDEX(B807:B$2,-1+SUMPRODUCT(MAX(ROW(E807:E$2)*(E808=E807:E$2)))))</f>
        <v> </v>
      </c>
      <c r="J808" s="25" t="str">
        <f>IF(OR(E808="",E808="!!!",F808="NEW"),"",COUNTBLANK(OFFSET(A$1,,,SUMPRODUCT(MAX(ROW(E$2:E808)*(E808=E$2:E808)))))-COUNTBLANK(OFFSET(A$1,,,SUMPRODUCT(MAX(ROW(E$1:E807)*(E2=E$1:E807))))))</f>
        <v> </v>
      </c>
      <c r="K808" s="25" t="str">
        <f>IF(OR(E808="",E808="!!!",F808="NEW"),"",INDEX(J$1:J807,SUMPRODUCT(MAX(ROW(E$1:E807)*(E808=E$1:E807)))))</f>
        <v> </v>
      </c>
      <c r="L808" s="26"/>
    </row>
    <row r="809" spans="1:12">
      <c r="A809" s="20" t="s">
        <v>170</v>
      </c>
      <c r="E809" s="21">
        <f>IF(D809="?OLD","!!!","")</f>
        <v/>
      </c>
      <c r="F809" s="22" t="str">
        <f>IF(OR(E809="",E809="!!!"),"",IF(NOT(ISNA(VLOOKUP(E809,E$1:E808,1,FALSE()))),"OLD",IF(AND(E809&lt;&gt;"",E809&lt;&gt;"!!!"),"NEW","")))</f>
        <v> </v>
      </c>
      <c r="G809" s="23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4" t="str">
        <f>IF(J809&lt;&gt;1,"",IF(I809="SBJ","CB","?"))</f>
        <v> </v>
      </c>
      <c r="I809" s="25" t="str">
        <f>IF(OR(E809="",E809="!!!",F809="NEW"),"",INDEX(B808:B$2,-1+SUMPRODUCT(MAX(ROW(E808:E$2)*(E809=E808:E$2)))))</f>
        <v> </v>
      </c>
      <c r="J809" s="25" t="str">
        <f>IF(OR(E809="",E809="!!!",F809="NEW"),"",COUNTBLANK(OFFSET(A$1,,,SUMPRODUCT(MAX(ROW(E$2:E809)*(E809=E$2:E809)))))-COUNTBLANK(OFFSET(A$1,,,SUMPRODUCT(MAX(ROW(E$1:E808)*(E2=E$1:E808))))))</f>
        <v> </v>
      </c>
      <c r="K809" s="25" t="str">
        <f>IF(OR(E809="",E809="!!!",F809="NEW"),"",INDEX(J$1:J808,SUMPRODUCT(MAX(ROW(E$1:E808)*(E809=E$1:E808)))))</f>
        <v> </v>
      </c>
      <c r="L809" s="26"/>
    </row>
    <row r="810" spans="1:12">
      <c r="A810" s="20" t="s">
        <v>616</v>
      </c>
      <c r="E810" s="21">
        <f>IF(D810="?OLD","!!!","")</f>
        <v/>
      </c>
      <c r="F810" s="22" t="str">
        <f>IF(OR(E810="",E810="!!!"),"",IF(NOT(ISNA(VLOOKUP(E810,E$1:E809,1,FALSE()))),"OLD",IF(AND(E810&lt;&gt;"",E810&lt;&gt;"!!!"),"NEW","")))</f>
        <v> </v>
      </c>
      <c r="G810" s="23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4" t="str">
        <f>IF(J810&lt;&gt;1,"",IF(I810="SBJ","CB","?"))</f>
        <v> </v>
      </c>
      <c r="I810" s="25" t="str">
        <f>IF(OR(E810="",E810="!!!",F810="NEW"),"",INDEX(B809:B$2,-1+SUMPRODUCT(MAX(ROW(E809:E$2)*(E810=E809:E$2)))))</f>
        <v> </v>
      </c>
      <c r="J810" s="25" t="str">
        <f>IF(OR(E810="",E810="!!!",F810="NEW"),"",COUNTBLANK(OFFSET(A$1,,,SUMPRODUCT(MAX(ROW(E$2:E810)*(E810=E$2:E810)))))-COUNTBLANK(OFFSET(A$1,,,SUMPRODUCT(MAX(ROW(E$1:E809)*(E2=E$1:E809))))))</f>
        <v> </v>
      </c>
      <c r="K810" s="25" t="str">
        <f>IF(OR(E810="",E810="!!!",F810="NEW"),"",INDEX(J$1:J809,SUMPRODUCT(MAX(ROW(E$1:E809)*(E810=E$1:E809)))))</f>
        <v> </v>
      </c>
      <c r="L810" s="26"/>
    </row>
    <row r="811" spans="1:12">
      <c r="A811" s="20" t="s">
        <v>164</v>
      </c>
      <c r="E811" s="21">
        <f>IF(D811="?OLD","!!!","")</f>
        <v/>
      </c>
      <c r="F811" s="22" t="str">
        <f>IF(OR(E811="",E811="!!!"),"",IF(NOT(ISNA(VLOOKUP(E811,E$1:E810,1,FALSE()))),"OLD",IF(AND(E811&lt;&gt;"",E811&lt;&gt;"!!!"),"NEW","")))</f>
        <v> </v>
      </c>
      <c r="G811" s="23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4" t="str">
        <f>IF(J811&lt;&gt;1,"",IF(I811="SBJ","CB","?"))</f>
        <v> </v>
      </c>
      <c r="I811" s="25" t="str">
        <f>IF(OR(E811="",E811="!!!",F811="NEW"),"",INDEX(B810:B$2,-1+SUMPRODUCT(MAX(ROW(E810:E$2)*(E811=E810:E$2)))))</f>
        <v> </v>
      </c>
      <c r="J811" s="25" t="str">
        <f>IF(OR(E811="",E811="!!!",F811="NEW"),"",COUNTBLANK(OFFSET(A$1,,,SUMPRODUCT(MAX(ROW(E$2:E811)*(E811=E$2:E811)))))-COUNTBLANK(OFFSET(A$1,,,SUMPRODUCT(MAX(ROW(E$1:E810)*(E2=E$1:E810))))))</f>
        <v> </v>
      </c>
      <c r="K811" s="25" t="str">
        <f>IF(OR(E811="",E811="!!!",F811="NEW"),"",INDEX(J$1:J810,SUMPRODUCT(MAX(ROW(E$1:E810)*(E811=E$1:E810)))))</f>
        <v> </v>
      </c>
      <c r="L811" s="26"/>
    </row>
    <row r="812" spans="1:12">
      <c r="A812" s="20" t="s">
        <v>532</v>
      </c>
      <c r="E812" s="21">
        <f>IF(D812="?OLD","!!!","")</f>
        <v/>
      </c>
      <c r="F812" s="22" t="str">
        <f>IF(OR(E812="",E812="!!!"),"",IF(NOT(ISNA(VLOOKUP(E812,E$1:E811,1,FALSE()))),"OLD",IF(AND(E812&lt;&gt;"",E812&lt;&gt;"!!!"),"NEW","")))</f>
        <v> </v>
      </c>
      <c r="G812" s="23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4" t="str">
        <f>IF(J812&lt;&gt;1,"",IF(I812="SBJ","CB","?"))</f>
        <v> </v>
      </c>
      <c r="I812" s="25" t="str">
        <f>IF(OR(E812="",E812="!!!",F812="NEW"),"",INDEX(B811:B$2,-1+SUMPRODUCT(MAX(ROW(E811:E$2)*(E812=E811:E$2)))))</f>
        <v> </v>
      </c>
      <c r="J812" s="25" t="str">
        <f>IF(OR(E812="",E812="!!!",F812="NEW"),"",COUNTBLANK(OFFSET(A$1,,,SUMPRODUCT(MAX(ROW(E$2:E812)*(E812=E$2:E812)))))-COUNTBLANK(OFFSET(A$1,,,SUMPRODUCT(MAX(ROW(E$1:E811)*(E2=E$1:E811))))))</f>
        <v> </v>
      </c>
      <c r="K812" s="25" t="str">
        <f>IF(OR(E812="",E812="!!!",F812="NEW"),"",INDEX(J$1:J811,SUMPRODUCT(MAX(ROW(E$1:E811)*(E812=E$1:E811)))))</f>
        <v> </v>
      </c>
      <c r="L812" s="26"/>
    </row>
    <row r="813" spans="1:12">
      <c r="A813" s="20" t="s">
        <v>617</v>
      </c>
      <c r="E813" s="21">
        <f>IF(D813="?OLD","!!!","")</f>
        <v/>
      </c>
      <c r="F813" s="22" t="str">
        <f>IF(OR(E813="",E813="!!!"),"",IF(NOT(ISNA(VLOOKUP(E813,E$1:E812,1,FALSE()))),"OLD",IF(AND(E813&lt;&gt;"",E813&lt;&gt;"!!!"),"NEW","")))</f>
        <v> </v>
      </c>
      <c r="G813" s="23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4" t="str">
        <f>IF(J813&lt;&gt;1,"",IF(I813="SBJ","CB","?"))</f>
        <v> </v>
      </c>
      <c r="I813" s="25" t="str">
        <f>IF(OR(E813="",E813="!!!",F813="NEW"),"",INDEX(B812:B$2,-1+SUMPRODUCT(MAX(ROW(E812:E$2)*(E813=E812:E$2)))))</f>
        <v> </v>
      </c>
      <c r="J813" s="25" t="str">
        <f>IF(OR(E813="",E813="!!!",F813="NEW"),"",COUNTBLANK(OFFSET(A$1,,,SUMPRODUCT(MAX(ROW(E$2:E813)*(E813=E$2:E813)))))-COUNTBLANK(OFFSET(A$1,,,SUMPRODUCT(MAX(ROW(E$1:E812)*(E2=E$1:E812))))))</f>
        <v> </v>
      </c>
      <c r="K813" s="25" t="str">
        <f>IF(OR(E813="",E813="!!!",F813="NEW"),"",INDEX(J$1:J812,SUMPRODUCT(MAX(ROW(E$1:E812)*(E813=E$1:E812)))))</f>
        <v> </v>
      </c>
      <c r="L813" s="26"/>
    </row>
    <row r="814" spans="1:12">
      <c r="A814" s="20" t="s">
        <v>488</v>
      </c>
      <c r="B814" s="27" t="s">
        <v>226</v>
      </c>
      <c r="E814" s="21">
        <f>IF(D814="?OLD","!!!","")</f>
        <v/>
      </c>
      <c r="F814" s="22" t="str">
        <f>IF(OR(E814="",E814="!!!"),"",IF(NOT(ISNA(VLOOKUP(E814,E$1:E813,1,FALSE()))),"OLD",IF(AND(E814&lt;&gt;"",E814&lt;&gt;"!!!"),"NEW","")))</f>
        <v> </v>
      </c>
      <c r="G814" s="23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4" t="str">
        <f>IF(J814&lt;&gt;1,"",IF(I814="SBJ","CB","?"))</f>
        <v> </v>
      </c>
      <c r="I814" s="25" t="str">
        <f>IF(OR(E814="",E814="!!!",F814="NEW"),"",INDEX(B813:B$2,-1+SUMPRODUCT(MAX(ROW(E813:E$2)*(E814=E813:E$2)))))</f>
        <v> </v>
      </c>
      <c r="J814" s="25" t="str">
        <f>IF(OR(E814="",E814="!!!",F814="NEW"),"",COUNTBLANK(OFFSET(A$1,,,SUMPRODUCT(MAX(ROW(E$2:E814)*(E814=E$2:E814)))))-COUNTBLANK(OFFSET(A$1,,,SUMPRODUCT(MAX(ROW(E$1:E813)*(E2=E$1:E813))))))</f>
        <v> </v>
      </c>
      <c r="K814" s="25" t="str">
        <f>IF(OR(E814="",E814="!!!",F814="NEW"),"",INDEX(J$1:J813,SUMPRODUCT(MAX(ROW(E$1:E813)*(E814=E$1:E813)))))</f>
        <v> </v>
      </c>
      <c r="L814" s="26"/>
    </row>
    <row r="815" spans="1:12">
      <c r="A815" s="20" t="s">
        <v>618</v>
      </c>
      <c r="E815" s="21">
        <f>IF(D815="?OLD","!!!","")</f>
        <v/>
      </c>
      <c r="F815" s="22" t="str">
        <f>IF(OR(E815="",E815="!!!"),"",IF(NOT(ISNA(VLOOKUP(E815,E$1:E814,1,FALSE()))),"OLD",IF(AND(E815&lt;&gt;"",E815&lt;&gt;"!!!"),"NEW","")))</f>
        <v> </v>
      </c>
      <c r="G815" s="23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4" t="str">
        <f>IF(J815&lt;&gt;1,"",IF(I815="SBJ","CB","?"))</f>
        <v> </v>
      </c>
      <c r="I815" s="25" t="str">
        <f>IF(OR(E815="",E815="!!!",F815="NEW"),"",INDEX(B814:B$2,-1+SUMPRODUCT(MAX(ROW(E814:E$2)*(E815=E814:E$2)))))</f>
        <v> </v>
      </c>
      <c r="J815" s="25" t="str">
        <f>IF(OR(E815="",E815="!!!",F815="NEW"),"",COUNTBLANK(OFFSET(A$1,,,SUMPRODUCT(MAX(ROW(E$2:E815)*(E815=E$2:E815)))))-COUNTBLANK(OFFSET(A$1,,,SUMPRODUCT(MAX(ROW(E$1:E814)*(E2=E$1:E814))))))</f>
        <v> </v>
      </c>
      <c r="K815" s="25" t="str">
        <f>IF(OR(E815="",E815="!!!",F815="NEW"),"",INDEX(J$1:J814,SUMPRODUCT(MAX(ROW(E$1:E814)*(E815=E$1:E814)))))</f>
        <v> </v>
      </c>
      <c r="L815" s="26"/>
    </row>
    <row r="816" spans="1:12">
      <c r="A816" s="20" t="s">
        <v>555</v>
      </c>
      <c r="E816" s="21">
        <f>IF(D816="?OLD","!!!","")</f>
        <v/>
      </c>
      <c r="F816" s="22" t="str">
        <f>IF(OR(E816="",E816="!!!"),"",IF(NOT(ISNA(VLOOKUP(E816,E$1:E815,1,FALSE()))),"OLD",IF(AND(E816&lt;&gt;"",E816&lt;&gt;"!!!"),"NEW","")))</f>
        <v> </v>
      </c>
      <c r="G816" s="23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4" t="str">
        <f>IF(J816&lt;&gt;1,"",IF(I816="SBJ","CB","?"))</f>
        <v> </v>
      </c>
      <c r="I816" s="25" t="str">
        <f>IF(OR(E816="",E816="!!!",F816="NEW"),"",INDEX(B815:B$2,-1+SUMPRODUCT(MAX(ROW(E815:E$2)*(E816=E815:E$2)))))</f>
        <v> </v>
      </c>
      <c r="J816" s="25" t="str">
        <f>IF(OR(E816="",E816="!!!",F816="NEW"),"",COUNTBLANK(OFFSET(A$1,,,SUMPRODUCT(MAX(ROW(E$2:E816)*(E816=E$2:E816)))))-COUNTBLANK(OFFSET(A$1,,,SUMPRODUCT(MAX(ROW(E$1:E815)*(E2=E$1:E815))))))</f>
        <v> </v>
      </c>
      <c r="K816" s="25" t="str">
        <f>IF(OR(E816="",E816="!!!",F816="NEW"),"",INDEX(J$1:J815,SUMPRODUCT(MAX(ROW(E$1:E815)*(E816=E$1:E815)))))</f>
        <v> </v>
      </c>
      <c r="L816" s="26"/>
    </row>
    <row r="817" spans="1:12">
      <c r="A817" s="20" t="s">
        <v>619</v>
      </c>
      <c r="E817" s="21">
        <f>IF(D817="?OLD","!!!","")</f>
        <v/>
      </c>
      <c r="F817" s="22" t="str">
        <f>IF(OR(E817="",E817="!!!"),"",IF(NOT(ISNA(VLOOKUP(E817,E$1:E816,1,FALSE()))),"OLD",IF(AND(E817&lt;&gt;"",E817&lt;&gt;"!!!"),"NEW","")))</f>
        <v> </v>
      </c>
      <c r="G817" s="23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4" t="str">
        <f>IF(J817&lt;&gt;1,"",IF(I817="SBJ","CB","?"))</f>
        <v> </v>
      </c>
      <c r="I817" s="25" t="str">
        <f>IF(OR(E817="",E817="!!!",F817="NEW"),"",INDEX(B816:B$2,-1+SUMPRODUCT(MAX(ROW(E816:E$2)*(E817=E816:E$2)))))</f>
        <v> </v>
      </c>
      <c r="J817" s="25" t="str">
        <f>IF(OR(E817="",E817="!!!",F817="NEW"),"",COUNTBLANK(OFFSET(A$1,,,SUMPRODUCT(MAX(ROW(E$2:E817)*(E817=E$2:E817)))))-COUNTBLANK(OFFSET(A$1,,,SUMPRODUCT(MAX(ROW(E$1:E816)*(E2=E$1:E816))))))</f>
        <v> </v>
      </c>
      <c r="K817" s="25" t="str">
        <f>IF(OR(E817="",E817="!!!",F817="NEW"),"",INDEX(J$1:J816,SUMPRODUCT(MAX(ROW(E$1:E816)*(E817=E$1:E816)))))</f>
        <v> </v>
      </c>
      <c r="L817" s="26"/>
    </row>
    <row r="818" spans="1:12">
      <c r="A818" s="20" t="s">
        <v>170</v>
      </c>
      <c r="E818" s="21">
        <f>IF(D818="?OLD","!!!","")</f>
        <v/>
      </c>
      <c r="F818" s="22" t="str">
        <f>IF(OR(E818="",E818="!!!"),"",IF(NOT(ISNA(VLOOKUP(E818,E$1:E817,1,FALSE()))),"OLD",IF(AND(E818&lt;&gt;"",E818&lt;&gt;"!!!"),"NEW","")))</f>
        <v> </v>
      </c>
      <c r="G818" s="23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4" t="str">
        <f>IF(J818&lt;&gt;1,"",IF(I818="SBJ","CB","?"))</f>
        <v> </v>
      </c>
      <c r="I818" s="25" t="str">
        <f>IF(OR(E818="",E818="!!!",F818="NEW"),"",INDEX(B817:B$2,-1+SUMPRODUCT(MAX(ROW(E817:E$2)*(E818=E817:E$2)))))</f>
        <v> </v>
      </c>
      <c r="J818" s="25" t="str">
        <f>IF(OR(E818="",E818="!!!",F818="NEW"),"",COUNTBLANK(OFFSET(A$1,,,SUMPRODUCT(MAX(ROW(E$2:E818)*(E818=E$2:E818)))))-COUNTBLANK(OFFSET(A$1,,,SUMPRODUCT(MAX(ROW(E$1:E817)*(E2=E$1:E817))))))</f>
        <v> </v>
      </c>
      <c r="K818" s="25" t="str">
        <f>IF(OR(E818="",E818="!!!",F818="NEW"),"",INDEX(J$1:J817,SUMPRODUCT(MAX(ROW(E$1:E817)*(E818=E$1:E817)))))</f>
        <v> </v>
      </c>
      <c r="L818" s="26"/>
    </row>
    <row r="819" spans="1:12">
      <c r="A819" s="20" t="s">
        <v>189</v>
      </c>
      <c r="E819" s="21">
        <f>IF(D819="?OLD","!!!","")</f>
        <v/>
      </c>
      <c r="F819" s="22" t="str">
        <f>IF(OR(E819="",E819="!!!"),"",IF(NOT(ISNA(VLOOKUP(E819,E$1:E818,1,FALSE()))),"OLD",IF(AND(E819&lt;&gt;"",E819&lt;&gt;"!!!"),"NEW","")))</f>
        <v> </v>
      </c>
      <c r="G819" s="23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4" t="str">
        <f>IF(J819&lt;&gt;1,"",IF(I819="SBJ","CB","?"))</f>
        <v> </v>
      </c>
      <c r="I819" s="25" t="str">
        <f>IF(OR(E819="",E819="!!!",F819="NEW"),"",INDEX(B818:B$2,-1+SUMPRODUCT(MAX(ROW(E818:E$2)*(E819=E818:E$2)))))</f>
        <v> </v>
      </c>
      <c r="J819" s="25" t="str">
        <f>IF(OR(E819="",E819="!!!",F819="NEW"),"",COUNTBLANK(OFFSET(A$1,,,SUMPRODUCT(MAX(ROW(E$2:E819)*(E819=E$2:E819)))))-COUNTBLANK(OFFSET(A$1,,,SUMPRODUCT(MAX(ROW(E$1:E818)*(E2=E$1:E818))))))</f>
        <v> </v>
      </c>
      <c r="K819" s="25" t="str">
        <f>IF(OR(E819="",E819="!!!",F819="NEW"),"",INDEX(J$1:J818,SUMPRODUCT(MAX(ROW(E$1:E818)*(E819=E$1:E818)))))</f>
        <v> </v>
      </c>
      <c r="L819" s="26"/>
    </row>
    <row r="820" spans="1:12">
      <c r="A820" s="20" t="s">
        <v>204</v>
      </c>
      <c r="E820" s="21">
        <f>IF(D820="?OLD","!!!","")</f>
        <v/>
      </c>
      <c r="F820" s="22" t="str">
        <f>IF(OR(E820="",E820="!!!"),"",IF(NOT(ISNA(VLOOKUP(E820,E$1:E819,1,FALSE()))),"OLD",IF(AND(E820&lt;&gt;"",E820&lt;&gt;"!!!"),"NEW","")))</f>
        <v> </v>
      </c>
      <c r="G820" s="23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4" t="str">
        <f>IF(J820&lt;&gt;1,"",IF(I820="SBJ","CB","?"))</f>
        <v> </v>
      </c>
      <c r="I820" s="25" t="str">
        <f>IF(OR(E820="",E820="!!!",F820="NEW"),"",INDEX(B819:B$2,-1+SUMPRODUCT(MAX(ROW(E819:E$2)*(E820=E819:E$2)))))</f>
        <v> </v>
      </c>
      <c r="J820" s="25" t="str">
        <f>IF(OR(E820="",E820="!!!",F820="NEW"),"",COUNTBLANK(OFFSET(A$1,,,SUMPRODUCT(MAX(ROW(E$2:E820)*(E820=E$2:E820)))))-COUNTBLANK(OFFSET(A$1,,,SUMPRODUCT(MAX(ROW(E$1:E819)*(E2=E$1:E819))))))</f>
        <v> </v>
      </c>
      <c r="K820" s="25" t="str">
        <f>IF(OR(E820="",E820="!!!",F820="NEW"),"",INDEX(J$1:J819,SUMPRODUCT(MAX(ROW(E$1:E819)*(E820=E$1:E819)))))</f>
        <v> </v>
      </c>
      <c r="L820" s="26"/>
    </row>
    <row r="821" spans="1:12">
      <c r="A821" s="20"/>
    </row>
    <row r="822" spans="1:12">
      <c r="A822" s="20" t="s">
        <v>620</v>
      </c>
    </row>
    <row r="823" spans="1:12">
      <c r="A823" s="20" t="s">
        <v>621</v>
      </c>
      <c r="B823" s="27" t="s">
        <v>163</v>
      </c>
      <c r="C823" s="27" t="s">
        <v>173</v>
      </c>
      <c r="D823" s="27" t="s">
        <v>174</v>
      </c>
      <c r="E823" s="21">
        <f>IF(D823="?OLD","!!!","")</f>
        <v/>
      </c>
      <c r="F823" s="22" t="str">
        <f>IF(OR(E823="",E823="!!!"),"",IF(NOT(ISNA(VLOOKUP(E823,E$1:E822,1,FALSE()))),"OLD",IF(AND(E823&lt;&gt;"",E823&lt;&gt;"!!!"),"NEW","")))</f>
        <v> </v>
      </c>
      <c r="G823" s="23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4" t="str">
        <f>IF(J823&lt;&gt;1,"",IF(I823="SBJ","CB","?"))</f>
        <v> </v>
      </c>
      <c r="I823" s="25" t="str">
        <f>IF(OR(E823="",E823="!!!",F823="NEW"),"",INDEX(B822:B$2,-1+SUMPRODUCT(MAX(ROW(E822:E$2)*(E823=E822:E$2)))))</f>
        <v> </v>
      </c>
      <c r="J823" s="25" t="str">
        <f>IF(OR(E823="",E823="!!!",F823="NEW"),"",COUNTBLANK(OFFSET(A$1,,,SUMPRODUCT(MAX(ROW(E$2:E823)*(E823=E$2:E823)))))-COUNTBLANK(OFFSET(A$1,,,SUMPRODUCT(MAX(ROW(E$1:E822)*(E2=E$1:E822))))))</f>
        <v> </v>
      </c>
      <c r="K823" s="25" t="str">
        <f>IF(OR(E823="",E823="!!!",F823="NEW"),"",INDEX(J$1:J822,SUMPRODUCT(MAX(ROW(E$1:E822)*(E823=E$1:E822)))))</f>
        <v> </v>
      </c>
      <c r="L823" s="26"/>
    </row>
    <row r="824" spans="1:12">
      <c r="A824" s="20" t="s">
        <v>622</v>
      </c>
      <c r="B824" s="27" t="s">
        <v>231</v>
      </c>
      <c r="C824" s="27" t="s">
        <v>173</v>
      </c>
      <c r="D824" s="27" t="s">
        <v>174</v>
      </c>
      <c r="E824" s="21">
        <f>IF(D824="?OLD","!!!","")</f>
        <v/>
      </c>
      <c r="F824" s="22" t="str">
        <f>IF(OR(E824="",E824="!!!"),"",IF(NOT(ISNA(VLOOKUP(E824,E$1:E823,1,FALSE()))),"OLD",IF(AND(E824&lt;&gt;"",E824&lt;&gt;"!!!"),"NEW","")))</f>
        <v> </v>
      </c>
      <c r="G824" s="23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4" t="str">
        <f>IF(J824&lt;&gt;1,"",IF(I824="SBJ","CB","?"))</f>
        <v> </v>
      </c>
      <c r="I824" s="25" t="str">
        <f>IF(OR(E824="",E824="!!!",F824="NEW"),"",INDEX(B823:B$2,-1+SUMPRODUCT(MAX(ROW(E823:E$2)*(E824=E823:E$2)))))</f>
        <v> </v>
      </c>
      <c r="J824" s="25" t="str">
        <f>IF(OR(E824="",E824="!!!",F824="NEW"),"",COUNTBLANK(OFFSET(A$1,,,SUMPRODUCT(MAX(ROW(E$2:E824)*(E824=E$2:E824)))))-COUNTBLANK(OFFSET(A$1,,,SUMPRODUCT(MAX(ROW(E$1:E823)*(E2=E$1:E823))))))</f>
        <v> </v>
      </c>
      <c r="K824" s="25" t="str">
        <f>IF(OR(E824="",E824="!!!",F824="NEW"),"",INDEX(J$1:J823,SUMPRODUCT(MAX(ROW(E$1:E823)*(E824=E$1:E823)))))</f>
        <v> </v>
      </c>
      <c r="L824" s="26"/>
    </row>
    <row r="825" spans="1:12">
      <c r="A825" s="20" t="s">
        <v>164</v>
      </c>
      <c r="E825" s="21">
        <f>IF(D825="?OLD","!!!","")</f>
        <v/>
      </c>
      <c r="F825" s="22" t="str">
        <f>IF(OR(E825="",E825="!!!"),"",IF(NOT(ISNA(VLOOKUP(E825,E$1:E824,1,FALSE()))),"OLD",IF(AND(E825&lt;&gt;"",E825&lt;&gt;"!!!"),"NEW","")))</f>
        <v> </v>
      </c>
      <c r="G825" s="23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4" t="str">
        <f>IF(J825&lt;&gt;1,"",IF(I825="SBJ","CB","?"))</f>
        <v> </v>
      </c>
      <c r="I825" s="25" t="str">
        <f>IF(OR(E825="",E825="!!!",F825="NEW"),"",INDEX(B824:B$2,-1+SUMPRODUCT(MAX(ROW(E824:E$2)*(E825=E824:E$2)))))</f>
        <v> </v>
      </c>
      <c r="J825" s="25" t="str">
        <f>IF(OR(E825="",E825="!!!",F825="NEW"),"",COUNTBLANK(OFFSET(A$1,,,SUMPRODUCT(MAX(ROW(E$2:E825)*(E825=E$2:E825)))))-COUNTBLANK(OFFSET(A$1,,,SUMPRODUCT(MAX(ROW(E$1:E824)*(E2=E$1:E824))))))</f>
        <v> </v>
      </c>
      <c r="K825" s="25" t="str">
        <f>IF(OR(E825="",E825="!!!",F825="NEW"),"",INDEX(J$1:J824,SUMPRODUCT(MAX(ROW(E$1:E824)*(E825=E$1:E824)))))</f>
        <v> </v>
      </c>
      <c r="L825" s="26"/>
    </row>
    <row r="826" spans="1:12">
      <c r="A826" s="20" t="s">
        <v>603</v>
      </c>
      <c r="E826" s="21">
        <f>IF(D826="?OLD","!!!","")</f>
        <v/>
      </c>
      <c r="F826" s="22" t="str">
        <f>IF(OR(E826="",E826="!!!"),"",IF(NOT(ISNA(VLOOKUP(E826,E$1:E825,1,FALSE()))),"OLD",IF(AND(E826&lt;&gt;"",E826&lt;&gt;"!!!"),"NEW","")))</f>
        <v> </v>
      </c>
      <c r="G826" s="23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4" t="str">
        <f>IF(J826&lt;&gt;1,"",IF(I826="SBJ","CB","?"))</f>
        <v> </v>
      </c>
      <c r="I826" s="25" t="str">
        <f>IF(OR(E826="",E826="!!!",F826="NEW"),"",INDEX(B825:B$2,-1+SUMPRODUCT(MAX(ROW(E825:E$2)*(E826=E825:E$2)))))</f>
        <v> </v>
      </c>
      <c r="J826" s="25" t="str">
        <f>IF(OR(E826="",E826="!!!",F826="NEW"),"",COUNTBLANK(OFFSET(A$1,,,SUMPRODUCT(MAX(ROW(E$2:E826)*(E826=E$2:E826)))))-COUNTBLANK(OFFSET(A$1,,,SUMPRODUCT(MAX(ROW(E$1:E825)*(E2=E$1:E825))))))</f>
        <v> </v>
      </c>
      <c r="K826" s="25" t="str">
        <f>IF(OR(E826="",E826="!!!",F826="NEW"),"",INDEX(J$1:J825,SUMPRODUCT(MAX(ROW(E$1:E825)*(E826=E$1:E825)))))</f>
        <v> </v>
      </c>
      <c r="L826" s="26"/>
    </row>
    <row r="827" spans="1:12">
      <c r="A827" s="20" t="s">
        <v>623</v>
      </c>
      <c r="E827" s="21">
        <f>IF(D827="?OLD","!!!","")</f>
        <v/>
      </c>
      <c r="F827" s="22" t="str">
        <f>IF(OR(E827="",E827="!!!"),"",IF(NOT(ISNA(VLOOKUP(E827,E$1:E826,1,FALSE()))),"OLD",IF(AND(E827&lt;&gt;"",E827&lt;&gt;"!!!"),"NEW","")))</f>
        <v> </v>
      </c>
      <c r="G827" s="23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4" t="str">
        <f>IF(J827&lt;&gt;1,"",IF(I827="SBJ","CB","?"))</f>
        <v> </v>
      </c>
      <c r="I827" s="25" t="str">
        <f>IF(OR(E827="",E827="!!!",F827="NEW"),"",INDEX(B826:B$2,-1+SUMPRODUCT(MAX(ROW(E826:E$2)*(E827=E826:E$2)))))</f>
        <v> </v>
      </c>
      <c r="J827" s="25" t="str">
        <f>IF(OR(E827="",E827="!!!",F827="NEW"),"",COUNTBLANK(OFFSET(A$1,,,SUMPRODUCT(MAX(ROW(E$2:E827)*(E827=E$2:E827)))))-COUNTBLANK(OFFSET(A$1,,,SUMPRODUCT(MAX(ROW(E$1:E826)*(E2=E$1:E826))))))</f>
        <v> </v>
      </c>
      <c r="K827" s="25" t="str">
        <f>IF(OR(E827="",E827="!!!",F827="NEW"),"",INDEX(J$1:J826,SUMPRODUCT(MAX(ROW(E$1:E826)*(E827=E$1:E826)))))</f>
        <v> </v>
      </c>
      <c r="L827" s="26"/>
    </row>
    <row r="828" spans="1:12">
      <c r="A828" s="20" t="s">
        <v>624</v>
      </c>
      <c r="B828" s="27" t="s">
        <v>212</v>
      </c>
      <c r="C828" s="27" t="s">
        <v>173</v>
      </c>
      <c r="D828" s="27" t="s">
        <v>174</v>
      </c>
      <c r="E828" s="21">
        <f>IF(D828="?OLD","!!!","")</f>
        <v/>
      </c>
      <c r="F828" s="22" t="str">
        <f>IF(OR(E828="",E828="!!!"),"",IF(NOT(ISNA(VLOOKUP(E828,E$1:E827,1,FALSE()))),"OLD",IF(AND(E828&lt;&gt;"",E828&lt;&gt;"!!!"),"NEW","")))</f>
        <v> </v>
      </c>
      <c r="G828" s="23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4" t="str">
        <f>IF(J828&lt;&gt;1,"",IF(I828="SBJ","CB","?"))</f>
        <v> </v>
      </c>
      <c r="I828" s="25" t="str">
        <f>IF(OR(E828="",E828="!!!",F828="NEW"),"",INDEX(B827:B$2,-1+SUMPRODUCT(MAX(ROW(E827:E$2)*(E828=E827:E$2)))))</f>
        <v> </v>
      </c>
      <c r="J828" s="25" t="str">
        <f>IF(OR(E828="",E828="!!!",F828="NEW"),"",COUNTBLANK(OFFSET(A$1,,,SUMPRODUCT(MAX(ROW(E$2:E828)*(E828=E$2:E828)))))-COUNTBLANK(OFFSET(A$1,,,SUMPRODUCT(MAX(ROW(E$1:E827)*(E2=E$1:E827))))))</f>
        <v> </v>
      </c>
      <c r="K828" s="25" t="str">
        <f>IF(OR(E828="",E828="!!!",F828="NEW"),"",INDEX(J$1:J827,SUMPRODUCT(MAX(ROW(E$1:E827)*(E828=E$1:E827)))))</f>
        <v> </v>
      </c>
      <c r="L828" s="26"/>
    </row>
    <row r="829" spans="1:12">
      <c r="A829" s="20" t="s">
        <v>625</v>
      </c>
      <c r="B829" s="27" t="s">
        <v>212</v>
      </c>
      <c r="C829" s="27" t="s">
        <v>173</v>
      </c>
      <c r="D829" s="27" t="s">
        <v>174</v>
      </c>
      <c r="E829" s="21">
        <f>IF(D829="?OLD","!!!","")</f>
        <v/>
      </c>
      <c r="F829" s="22" t="str">
        <f>IF(OR(E829="",E829="!!!"),"",IF(NOT(ISNA(VLOOKUP(E829,E$1:E828,1,FALSE()))),"OLD",IF(AND(E829&lt;&gt;"",E829&lt;&gt;"!!!"),"NEW","")))</f>
        <v> </v>
      </c>
      <c r="G829" s="23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4" t="str">
        <f>IF(J829&lt;&gt;1,"",IF(I829="SBJ","CB","?"))</f>
        <v> </v>
      </c>
      <c r="I829" s="25" t="str">
        <f>IF(OR(E829="",E829="!!!",F829="NEW"),"",INDEX(B828:B$2,-1+SUMPRODUCT(MAX(ROW(E828:E$2)*(E829=E828:E$2)))))</f>
        <v> </v>
      </c>
      <c r="J829" s="25" t="str">
        <f>IF(OR(E829="",E829="!!!",F829="NEW"),"",COUNTBLANK(OFFSET(A$1,,,SUMPRODUCT(MAX(ROW(E$2:E829)*(E829=E$2:E829)))))-COUNTBLANK(OFFSET(A$1,,,SUMPRODUCT(MAX(ROW(E$1:E828)*(E2=E$1:E828))))))</f>
        <v> </v>
      </c>
      <c r="K829" s="25" t="str">
        <f>IF(OR(E829="",E829="!!!",F829="NEW"),"",INDEX(J$1:J828,SUMPRODUCT(MAX(ROW(E$1:E828)*(E829=E$1:E828)))))</f>
        <v> </v>
      </c>
      <c r="L829" s="26"/>
    </row>
    <row r="830" spans="1:12">
      <c r="A830" s="20" t="s">
        <v>626</v>
      </c>
      <c r="B830" s="27" t="s">
        <v>212</v>
      </c>
      <c r="C830" s="27" t="s">
        <v>173</v>
      </c>
      <c r="D830" s="27" t="s">
        <v>174</v>
      </c>
      <c r="E830" s="21">
        <f>IF(D830="?OLD","!!!","")</f>
        <v/>
      </c>
      <c r="F830" s="22" t="str">
        <f>IF(OR(E830="",E830="!!!"),"",IF(NOT(ISNA(VLOOKUP(E830,E$1:E829,1,FALSE()))),"OLD",IF(AND(E830&lt;&gt;"",E830&lt;&gt;"!!!"),"NEW","")))</f>
        <v> </v>
      </c>
      <c r="G830" s="23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4" t="str">
        <f>IF(J830&lt;&gt;1,"",IF(I830="SBJ","CB","?"))</f>
        <v> </v>
      </c>
      <c r="I830" s="25" t="str">
        <f>IF(OR(E830="",E830="!!!",F830="NEW"),"",INDEX(B829:B$2,-1+SUMPRODUCT(MAX(ROW(E829:E$2)*(E830=E829:E$2)))))</f>
        <v> </v>
      </c>
      <c r="J830" s="25" t="str">
        <f>IF(OR(E830="",E830="!!!",F830="NEW"),"",COUNTBLANK(OFFSET(A$1,,,SUMPRODUCT(MAX(ROW(E$2:E830)*(E830=E$2:E830)))))-COUNTBLANK(OFFSET(A$1,,,SUMPRODUCT(MAX(ROW(E$1:E829)*(E2=E$1:E829))))))</f>
        <v> </v>
      </c>
      <c r="K830" s="25" t="str">
        <f>IF(OR(E830="",E830="!!!",F830="NEW"),"",INDEX(J$1:J829,SUMPRODUCT(MAX(ROW(E$1:E829)*(E830=E$1:E829)))))</f>
        <v> </v>
      </c>
      <c r="L830" s="26"/>
    </row>
    <row r="831" spans="1:12">
      <c r="A831" s="20" t="s">
        <v>170</v>
      </c>
      <c r="E831" s="21">
        <f>IF(D831="?OLD","!!!","")</f>
        <v/>
      </c>
      <c r="F831" s="22" t="str">
        <f>IF(OR(E831="",E831="!!!"),"",IF(NOT(ISNA(VLOOKUP(E831,E$1:E830,1,FALSE()))),"OLD",IF(AND(E831&lt;&gt;"",E831&lt;&gt;"!!!"),"NEW","")))</f>
        <v> </v>
      </c>
      <c r="G831" s="23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4" t="str">
        <f>IF(J831&lt;&gt;1,"",IF(I831="SBJ","CB","?"))</f>
        <v> </v>
      </c>
      <c r="I831" s="25" t="str">
        <f>IF(OR(E831="",E831="!!!",F831="NEW"),"",INDEX(B830:B$2,-1+SUMPRODUCT(MAX(ROW(E830:E$2)*(E831=E830:E$2)))))</f>
        <v> </v>
      </c>
      <c r="J831" s="25" t="str">
        <f>IF(OR(E831="",E831="!!!",F831="NEW"),"",COUNTBLANK(OFFSET(A$1,,,SUMPRODUCT(MAX(ROW(E$2:E831)*(E831=E$2:E831)))))-COUNTBLANK(OFFSET(A$1,,,SUMPRODUCT(MAX(ROW(E$1:E830)*(E2=E$1:E830))))))</f>
        <v> </v>
      </c>
      <c r="K831" s="25" t="str">
        <f>IF(OR(E831="",E831="!!!",F831="NEW"),"",INDEX(J$1:J830,SUMPRODUCT(MAX(ROW(E$1:E830)*(E831=E$1:E830)))))</f>
        <v> </v>
      </c>
      <c r="L831" s="26"/>
    </row>
    <row r="832" spans="1:12">
      <c r="A832" s="20" t="s">
        <v>318</v>
      </c>
      <c r="E832" s="21">
        <f>IF(D832="?OLD","!!!","")</f>
        <v/>
      </c>
      <c r="F832" s="22" t="str">
        <f>IF(OR(E832="",E832="!!!"),"",IF(NOT(ISNA(VLOOKUP(E832,E$1:E831,1,FALSE()))),"OLD",IF(AND(E832&lt;&gt;"",E832&lt;&gt;"!!!"),"NEW","")))</f>
        <v> </v>
      </c>
      <c r="G832" s="23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4" t="str">
        <f>IF(J832&lt;&gt;1,"",IF(I832="SBJ","CB","?"))</f>
        <v> </v>
      </c>
      <c r="I832" s="25" t="str">
        <f>IF(OR(E832="",E832="!!!",F832="NEW"),"",INDEX(B831:B$2,-1+SUMPRODUCT(MAX(ROW(E831:E$2)*(E832=E831:E$2)))))</f>
        <v> </v>
      </c>
      <c r="J832" s="25" t="str">
        <f>IF(OR(E832="",E832="!!!",F832="NEW"),"",COUNTBLANK(OFFSET(A$1,,,SUMPRODUCT(MAX(ROW(E$2:E832)*(E832=E$2:E832)))))-COUNTBLANK(OFFSET(A$1,,,SUMPRODUCT(MAX(ROW(E$1:E831)*(E2=E$1:E831))))))</f>
        <v> </v>
      </c>
      <c r="K832" s="25" t="str">
        <f>IF(OR(E832="",E832="!!!",F832="NEW"),"",INDEX(J$1:J831,SUMPRODUCT(MAX(ROW(E$1:E831)*(E832=E$1:E831)))))</f>
        <v> </v>
      </c>
      <c r="L832" s="26"/>
    </row>
    <row r="833" spans="1:12">
      <c r="A833" s="20" t="s">
        <v>164</v>
      </c>
      <c r="E833" s="21">
        <f>IF(D833="?OLD","!!!","")</f>
        <v/>
      </c>
      <c r="F833" s="22" t="str">
        <f>IF(OR(E833="",E833="!!!"),"",IF(NOT(ISNA(VLOOKUP(E833,E$1:E832,1,FALSE()))),"OLD",IF(AND(E833&lt;&gt;"",E833&lt;&gt;"!!!"),"NEW","")))</f>
        <v> </v>
      </c>
      <c r="G833" s="23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4" t="str">
        <f>IF(J833&lt;&gt;1,"",IF(I833="SBJ","CB","?"))</f>
        <v> </v>
      </c>
      <c r="I833" s="25" t="str">
        <f>IF(OR(E833="",E833="!!!",F833="NEW"),"",INDEX(B832:B$2,-1+SUMPRODUCT(MAX(ROW(E832:E$2)*(E833=E832:E$2)))))</f>
        <v> </v>
      </c>
      <c r="J833" s="25" t="str">
        <f>IF(OR(E833="",E833="!!!",F833="NEW"),"",COUNTBLANK(OFFSET(A$1,,,SUMPRODUCT(MAX(ROW(E$2:E833)*(E833=E$2:E833)))))-COUNTBLANK(OFFSET(A$1,,,SUMPRODUCT(MAX(ROW(E$1:E832)*(E2=E$1:E832))))))</f>
        <v> </v>
      </c>
      <c r="K833" s="25" t="str">
        <f>IF(OR(E833="",E833="!!!",F833="NEW"),"",INDEX(J$1:J832,SUMPRODUCT(MAX(ROW(E$1:E832)*(E833=E$1:E832)))))</f>
        <v> </v>
      </c>
      <c r="L833" s="26"/>
    </row>
    <row r="834" spans="1:12">
      <c r="A834" s="20" t="s">
        <v>419</v>
      </c>
      <c r="E834" s="21">
        <f>IF(D834="?OLD","!!!","")</f>
        <v/>
      </c>
      <c r="F834" s="22" t="str">
        <f>IF(OR(E834="",E834="!!!"),"",IF(NOT(ISNA(VLOOKUP(E834,E$1:E833,1,FALSE()))),"OLD",IF(AND(E834&lt;&gt;"",E834&lt;&gt;"!!!"),"NEW","")))</f>
        <v> </v>
      </c>
      <c r="G834" s="23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4" t="str">
        <f>IF(J834&lt;&gt;1,"",IF(I834="SBJ","CB","?"))</f>
        <v> </v>
      </c>
      <c r="I834" s="25" t="str">
        <f>IF(OR(E834="",E834="!!!",F834="NEW"),"",INDEX(B833:B$2,-1+SUMPRODUCT(MAX(ROW(E833:E$2)*(E834=E833:E$2)))))</f>
        <v> </v>
      </c>
      <c r="J834" s="25" t="str">
        <f>IF(OR(E834="",E834="!!!",F834="NEW"),"",COUNTBLANK(OFFSET(A$1,,,SUMPRODUCT(MAX(ROW(E$2:E834)*(E834=E$2:E834)))))-COUNTBLANK(OFFSET(A$1,,,SUMPRODUCT(MAX(ROW(E$1:E833)*(E2=E$1:E833))))))</f>
        <v> </v>
      </c>
      <c r="K834" s="25" t="str">
        <f>IF(OR(E834="",E834="!!!",F834="NEW"),"",INDEX(J$1:J833,SUMPRODUCT(MAX(ROW(E$1:E833)*(E834=E$1:E833)))))</f>
        <v> </v>
      </c>
      <c r="L834" s="26"/>
    </row>
    <row r="835" spans="1:12">
      <c r="A835" s="20" t="s">
        <v>170</v>
      </c>
      <c r="E835" s="21">
        <f>IF(D835="?OLD","!!!","")</f>
        <v/>
      </c>
      <c r="F835" s="22" t="str">
        <f>IF(OR(E835="",E835="!!!"),"",IF(NOT(ISNA(VLOOKUP(E835,E$1:E834,1,FALSE()))),"OLD",IF(AND(E835&lt;&gt;"",E835&lt;&gt;"!!!"),"NEW","")))</f>
        <v> </v>
      </c>
      <c r="G835" s="23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4" t="str">
        <f>IF(J835&lt;&gt;1,"",IF(I835="SBJ","CB","?"))</f>
        <v> </v>
      </c>
      <c r="I835" s="25" t="str">
        <f>IF(OR(E835="",E835="!!!",F835="NEW"),"",INDEX(B834:B$2,-1+SUMPRODUCT(MAX(ROW(E834:E$2)*(E835=E834:E$2)))))</f>
        <v> </v>
      </c>
      <c r="J835" s="25" t="str">
        <f>IF(OR(E835="",E835="!!!",F835="NEW"),"",COUNTBLANK(OFFSET(A$1,,,SUMPRODUCT(MAX(ROW(E$2:E835)*(E835=E$2:E835)))))-COUNTBLANK(OFFSET(A$1,,,SUMPRODUCT(MAX(ROW(E$1:E834)*(E2=E$1:E834))))))</f>
        <v> </v>
      </c>
      <c r="K835" s="25" t="str">
        <f>IF(OR(E835="",E835="!!!",F835="NEW"),"",INDEX(J$1:J834,SUMPRODUCT(MAX(ROW(E$1:E834)*(E835=E$1:E834)))))</f>
        <v> </v>
      </c>
      <c r="L835" s="26"/>
    </row>
    <row r="836" spans="1:12">
      <c r="A836" s="20" t="s">
        <v>191</v>
      </c>
      <c r="E836" s="21">
        <f>IF(D836="?OLD","!!!","")</f>
        <v/>
      </c>
      <c r="F836" s="22" t="str">
        <f>IF(OR(E836="",E836="!!!"),"",IF(NOT(ISNA(VLOOKUP(E836,E$1:E835,1,FALSE()))),"OLD",IF(AND(E836&lt;&gt;"",E836&lt;&gt;"!!!"),"NEW","")))</f>
        <v> </v>
      </c>
      <c r="G836" s="23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4" t="str">
        <f>IF(J836&lt;&gt;1,"",IF(I836="SBJ","CB","?"))</f>
        <v> </v>
      </c>
      <c r="I836" s="25" t="str">
        <f>IF(OR(E836="",E836="!!!",F836="NEW"),"",INDEX(B835:B$2,-1+SUMPRODUCT(MAX(ROW(E835:E$2)*(E836=E835:E$2)))))</f>
        <v> </v>
      </c>
      <c r="J836" s="25" t="str">
        <f>IF(OR(E836="",E836="!!!",F836="NEW"),"",COUNTBLANK(OFFSET(A$1,,,SUMPRODUCT(MAX(ROW(E$2:E836)*(E836=E$2:E836)))))-COUNTBLANK(OFFSET(A$1,,,SUMPRODUCT(MAX(ROW(E$1:E835)*(E2=E$1:E835))))))</f>
        <v> </v>
      </c>
      <c r="K836" s="25" t="str">
        <f>IF(OR(E836="",E836="!!!",F836="NEW"),"",INDEX(J$1:J835,SUMPRODUCT(MAX(ROW(E$1:E835)*(E836=E$1:E835)))))</f>
        <v> </v>
      </c>
      <c r="L836" s="26"/>
    </row>
    <row r="837" spans="1:12">
      <c r="A837" s="20" t="s">
        <v>312</v>
      </c>
      <c r="B837" s="27" t="s">
        <v>304</v>
      </c>
      <c r="C837" s="27" t="s">
        <v>357</v>
      </c>
      <c r="D837" s="27" t="s">
        <v>174</v>
      </c>
      <c r="E837" s="21">
        <f>IF(D837="?OLD","!!!","")</f>
        <v/>
      </c>
      <c r="F837" s="22" t="str">
        <f>IF(OR(E837="",E837="!!!"),"",IF(NOT(ISNA(VLOOKUP(E837,E$1:E836,1,FALSE()))),"OLD",IF(AND(E837&lt;&gt;"",E837&lt;&gt;"!!!"),"NEW","")))</f>
        <v> </v>
      </c>
      <c r="G837" s="23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4" t="str">
        <f>IF(J837&lt;&gt;1,"",IF(I837="SBJ","CB","?"))</f>
        <v> </v>
      </c>
      <c r="I837" s="25" t="str">
        <f>IF(OR(E837="",E837="!!!",F837="NEW"),"",INDEX(B836:B$2,-1+SUMPRODUCT(MAX(ROW(E836:E$2)*(E837=E836:E$2)))))</f>
        <v> </v>
      </c>
      <c r="J837" s="25" t="str">
        <f>IF(OR(E837="",E837="!!!",F837="NEW"),"",COUNTBLANK(OFFSET(A$1,,,SUMPRODUCT(MAX(ROW(E$2:E837)*(E837=E$2:E837)))))-COUNTBLANK(OFFSET(A$1,,,SUMPRODUCT(MAX(ROW(E$1:E836)*(E2=E$1:E836))))))</f>
        <v> </v>
      </c>
      <c r="K837" s="25" t="str">
        <f>IF(OR(E837="",E837="!!!",F837="NEW"),"",INDEX(J$1:J836,SUMPRODUCT(MAX(ROW(E$1:E836)*(E837=E$1:E836)))))</f>
        <v> </v>
      </c>
      <c r="L837" s="26"/>
    </row>
    <row r="838" spans="1:12">
      <c r="A838" s="20" t="s">
        <v>627</v>
      </c>
      <c r="E838" s="21">
        <f>IF(D838="?OLD","!!!","")</f>
        <v/>
      </c>
      <c r="F838" s="22" t="str">
        <f>IF(OR(E838="",E838="!!!"),"",IF(NOT(ISNA(VLOOKUP(E838,E$1:E837,1,FALSE()))),"OLD",IF(AND(E838&lt;&gt;"",E838&lt;&gt;"!!!"),"NEW","")))</f>
        <v> </v>
      </c>
      <c r="G838" s="23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4" t="str">
        <f>IF(J838&lt;&gt;1,"",IF(I838="SBJ","CB","?"))</f>
        <v> </v>
      </c>
      <c r="I838" s="25" t="str">
        <f>IF(OR(E838="",E838="!!!",F838="NEW"),"",INDEX(B837:B$2,-1+SUMPRODUCT(MAX(ROW(E837:E$2)*(E838=E837:E$2)))))</f>
        <v> </v>
      </c>
      <c r="J838" s="25" t="str">
        <f>IF(OR(E838="",E838="!!!",F838="NEW"),"",COUNTBLANK(OFFSET(A$1,,,SUMPRODUCT(MAX(ROW(E$2:E838)*(E838=E$2:E838)))))-COUNTBLANK(OFFSET(A$1,,,SUMPRODUCT(MAX(ROW(E$1:E837)*(E2=E$1:E837))))))</f>
        <v> </v>
      </c>
      <c r="K838" s="25" t="str">
        <f>IF(OR(E838="",E838="!!!",F838="NEW"),"",INDEX(J$1:J837,SUMPRODUCT(MAX(ROW(E$1:E837)*(E838=E$1:E837)))))</f>
        <v> </v>
      </c>
      <c r="L838" s="26"/>
    </row>
    <row r="839" spans="1:12">
      <c r="A839" s="20" t="s">
        <v>399</v>
      </c>
      <c r="B839" s="27" t="s">
        <v>304</v>
      </c>
      <c r="C839" s="27" t="s">
        <v>296</v>
      </c>
      <c r="E839" s="21">
        <f>IF(D839="?OLD","!!!","")</f>
        <v/>
      </c>
      <c r="F839" s="22" t="str">
        <f>IF(OR(E839="",E839="!!!"),"",IF(NOT(ISNA(VLOOKUP(E839,E$1:E838,1,FALSE()))),"OLD",IF(AND(E839&lt;&gt;"",E839&lt;&gt;"!!!"),"NEW","")))</f>
        <v> </v>
      </c>
      <c r="G839" s="23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4" t="str">
        <f>IF(J839&lt;&gt;1,"",IF(I839="SBJ","CB","?"))</f>
        <v> </v>
      </c>
      <c r="I839" s="25" t="str">
        <f>IF(OR(E839="",E839="!!!",F839="NEW"),"",INDEX(B838:B$2,-1+SUMPRODUCT(MAX(ROW(E838:E$2)*(E839=E838:E$2)))))</f>
        <v> </v>
      </c>
      <c r="J839" s="25" t="str">
        <f>IF(OR(E839="",E839="!!!",F839="NEW"),"",COUNTBLANK(OFFSET(A$1,,,SUMPRODUCT(MAX(ROW(E$2:E839)*(E839=E$2:E839)))))-COUNTBLANK(OFFSET(A$1,,,SUMPRODUCT(MAX(ROW(E$1:E838)*(E2=E$1:E838))))))</f>
        <v> </v>
      </c>
      <c r="K839" s="25" t="str">
        <f>IF(OR(E839="",E839="!!!",F839="NEW"),"",INDEX(J$1:J838,SUMPRODUCT(MAX(ROW(E$1:E838)*(E839=E$1:E838)))))</f>
        <v> </v>
      </c>
      <c r="L839" s="26"/>
    </row>
    <row r="840" spans="1:12">
      <c r="A840" s="20" t="s">
        <v>204</v>
      </c>
      <c r="E840" s="21">
        <f>IF(D840="?OLD","!!!","")</f>
        <v/>
      </c>
      <c r="F840" s="22" t="str">
        <f>IF(OR(E840="",E840="!!!"),"",IF(NOT(ISNA(VLOOKUP(E840,E$1:E839,1,FALSE()))),"OLD",IF(AND(E840&lt;&gt;"",E840&lt;&gt;"!!!"),"NEW","")))</f>
        <v> </v>
      </c>
      <c r="G840" s="23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4" t="str">
        <f>IF(J840&lt;&gt;1,"",IF(I840="SBJ","CB","?"))</f>
        <v> </v>
      </c>
      <c r="I840" s="25" t="str">
        <f>IF(OR(E840="",E840="!!!",F840="NEW"),"",INDEX(B839:B$2,-1+SUMPRODUCT(MAX(ROW(E839:E$2)*(E840=E839:E$2)))))</f>
        <v> </v>
      </c>
      <c r="J840" s="25" t="str">
        <f>IF(OR(E840="",E840="!!!",F840="NEW"),"",COUNTBLANK(OFFSET(A$1,,,SUMPRODUCT(MAX(ROW(E$2:E840)*(E840=E$2:E840)))))-COUNTBLANK(OFFSET(A$1,,,SUMPRODUCT(MAX(ROW(E$1:E839)*(E2=E$1:E839))))))</f>
        <v> </v>
      </c>
      <c r="K840" s="25" t="str">
        <f>IF(OR(E840="",E840="!!!",F840="NEW"),"",INDEX(J$1:J839,SUMPRODUCT(MAX(ROW(E$1:E839)*(E840=E$1:E839)))))</f>
        <v> </v>
      </c>
      <c r="L840" s="26"/>
    </row>
    <row r="841" spans="1:12">
      <c r="A841" s="20"/>
    </row>
    <row r="842" spans="1:12">
      <c r="A842" s="20" t="s">
        <v>422</v>
      </c>
      <c r="E842" s="21">
        <f>IF(D842="?OLD","!!!","")</f>
        <v/>
      </c>
      <c r="F842" s="22" t="str">
        <f>IF(OR(E842="",E842="!!!"),"",IF(NOT(ISNA(VLOOKUP(E842,E$1:E841,1,FALSE()))),"OLD",IF(AND(E842&lt;&gt;"",E842&lt;&gt;"!!!"),"NEW","")))</f>
        <v> </v>
      </c>
      <c r="G842" s="23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4" t="str">
        <f>IF(J842&lt;&gt;1,"",IF(I842="SBJ","CB","?"))</f>
        <v> </v>
      </c>
      <c r="I842" s="25" t="str">
        <f>IF(OR(E842="",E842="!!!",F842="NEW"),"",INDEX(B841:B$2,-1+SUMPRODUCT(MAX(ROW(E841:E$2)*(E842=E841:E$2)))))</f>
        <v> </v>
      </c>
      <c r="J842" s="25" t="str">
        <f>IF(OR(E842="",E842="!!!",F842="NEW"),"",COUNTBLANK(OFFSET(A$1,,,SUMPRODUCT(MAX(ROW(E$2:E842)*(E842=E$2:E842)))))-COUNTBLANK(OFFSET(A$1,,,SUMPRODUCT(MAX(ROW(E$1:E841)*(E2=E$1:E841))))))</f>
        <v> </v>
      </c>
      <c r="K842" s="25" t="str">
        <f>IF(OR(E842="",E842="!!!",F842="NEW"),"",INDEX(J$1:J841,SUMPRODUCT(MAX(ROW(E$1:E841)*(E842=E$1:E841)))))</f>
        <v> </v>
      </c>
      <c r="L842" s="26"/>
    </row>
    <row r="843" spans="1:12">
      <c r="A843" s="20" t="s">
        <v>628</v>
      </c>
    </row>
    <row r="844" spans="1:12">
      <c r="A844" s="20" t="s">
        <v>424</v>
      </c>
      <c r="E844" s="21">
        <f>IF(D844="?OLD","!!!","")</f>
        <v/>
      </c>
      <c r="F844" s="22" t="str">
        <f>IF(OR(E844="",E844="!!!"),"",IF(NOT(ISNA(VLOOKUP(E844,E$1:E843,1,FALSE()))),"OLD",IF(AND(E844&lt;&gt;"",E844&lt;&gt;"!!!"),"NEW","")))</f>
        <v> </v>
      </c>
      <c r="G844" s="23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4" t="str">
        <f>IF(J844&lt;&gt;1,"",IF(I844="SBJ","CB","?"))</f>
        <v> </v>
      </c>
      <c r="I844" s="25" t="str">
        <f>IF(OR(E844="",E844="!!!",F844="NEW"),"",INDEX(B843:B$2,-1+SUMPRODUCT(MAX(ROW(E843:E$2)*(E844=E843:E$2)))))</f>
        <v> </v>
      </c>
      <c r="J844" s="25" t="str">
        <f>IF(OR(E844="",E844="!!!",F844="NEW"),"",COUNTBLANK(OFFSET(A$1,,,SUMPRODUCT(MAX(ROW(E$2:E844)*(E844=E$2:E844)))))-COUNTBLANK(OFFSET(A$1,,,SUMPRODUCT(MAX(ROW(E$1:E843)*(E2=E$1:E843))))))</f>
        <v> </v>
      </c>
      <c r="K844" s="25" t="str">
        <f>IF(OR(E844="",E844="!!!",F844="NEW"),"",INDEX(J$1:J843,SUMPRODUCT(MAX(ROW(E$1:E843)*(E844=E$1:E843)))))</f>
        <v> </v>
      </c>
      <c r="L844" s="26"/>
    </row>
    <row r="845" spans="1:12">
      <c r="A845" s="20" t="s">
        <v>629</v>
      </c>
      <c r="B845" s="27" t="s">
        <v>163</v>
      </c>
      <c r="C845" s="27" t="s">
        <v>346</v>
      </c>
      <c r="D845" s="27" t="s">
        <v>174</v>
      </c>
      <c r="E845" s="21">
        <f>IF(D845="?OLD","!!!","")</f>
        <v/>
      </c>
      <c r="F845" s="22" t="str">
        <f>IF(OR(E845="",E845="!!!"),"",IF(NOT(ISNA(VLOOKUP(E845,E$1:E844,1,FALSE()))),"OLD",IF(AND(E845&lt;&gt;"",E845&lt;&gt;"!!!"),"NEW","")))</f>
        <v> </v>
      </c>
      <c r="G845" s="23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4" t="str">
        <f>IF(J845&lt;&gt;1,"",IF(I845="SBJ","CB","?"))</f>
        <v> </v>
      </c>
      <c r="I845" s="25" t="str">
        <f>IF(OR(E845="",E845="!!!",F845="NEW"),"",INDEX(B844:B$2,-1+SUMPRODUCT(MAX(ROW(E844:E$2)*(E845=E844:E$2)))))</f>
        <v> </v>
      </c>
      <c r="J845" s="25" t="str">
        <f>IF(OR(E845="",E845="!!!",F845="NEW"),"",COUNTBLANK(OFFSET(A$1,,,SUMPRODUCT(MAX(ROW(E$2:E845)*(E845=E$2:E845)))))-COUNTBLANK(OFFSET(A$1,,,SUMPRODUCT(MAX(ROW(E$1:E844)*(E2=E$1:E844))))))</f>
        <v> </v>
      </c>
      <c r="K845" s="25" t="str">
        <f>IF(OR(E845="",E845="!!!",F845="NEW"),"",INDEX(J$1:J844,SUMPRODUCT(MAX(ROW(E$1:E844)*(E845=E$1:E844)))))</f>
        <v> </v>
      </c>
      <c r="L845" s="26"/>
    </row>
    <row r="846" spans="1:12">
      <c r="A846" s="20" t="s">
        <v>630</v>
      </c>
      <c r="E846" s="21">
        <f>IF(D846="?OLD","!!!","")</f>
        <v/>
      </c>
      <c r="F846" s="22" t="str">
        <f>IF(OR(E846="",E846="!!!"),"",IF(NOT(ISNA(VLOOKUP(E846,E$1:E845,1,FALSE()))),"OLD",IF(AND(E846&lt;&gt;"",E846&lt;&gt;"!!!"),"NEW","")))</f>
        <v> </v>
      </c>
      <c r="G846" s="23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4" t="str">
        <f>IF(J846&lt;&gt;1,"",IF(I846="SBJ","CB","?"))</f>
        <v> </v>
      </c>
      <c r="I846" s="25" t="str">
        <f>IF(OR(E846="",E846="!!!",F846="NEW"),"",INDEX(B845:B$2,-1+SUMPRODUCT(MAX(ROW(E845:E$2)*(E846=E845:E$2)))))</f>
        <v> </v>
      </c>
      <c r="J846" s="25" t="str">
        <f>IF(OR(E846="",E846="!!!",F846="NEW"),"",COUNTBLANK(OFFSET(A$1,,,SUMPRODUCT(MAX(ROW(E$2:E846)*(E846=E$2:E846)))))-COUNTBLANK(OFFSET(A$1,,,SUMPRODUCT(MAX(ROW(E$1:E845)*(E2=E$1:E845))))))</f>
        <v> </v>
      </c>
      <c r="K846" s="25" t="str">
        <f>IF(OR(E846="",E846="!!!",F846="NEW"),"",INDEX(J$1:J845,SUMPRODUCT(MAX(ROW(E$1:E845)*(E846=E$1:E845)))))</f>
        <v> </v>
      </c>
      <c r="L846" s="26"/>
    </row>
    <row r="847" spans="1:12">
      <c r="A847" s="20" t="s">
        <v>579</v>
      </c>
      <c r="B847" s="27" t="s">
        <v>382</v>
      </c>
      <c r="E847" s="21">
        <f>IF(D847="?OLD","!!!","")</f>
        <v/>
      </c>
      <c r="F847" s="22" t="str">
        <f>IF(OR(E847="",E847="!!!"),"",IF(NOT(ISNA(VLOOKUP(E847,E$1:E846,1,FALSE()))),"OLD",IF(AND(E847&lt;&gt;"",E847&lt;&gt;"!!!"),"NEW","")))</f>
        <v> </v>
      </c>
      <c r="G847" s="23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4" t="str">
        <f>IF(J847&lt;&gt;1,"",IF(I847="SBJ","CB","?"))</f>
        <v> </v>
      </c>
      <c r="I847" s="25" t="str">
        <f>IF(OR(E847="",E847="!!!",F847="NEW"),"",INDEX(B846:B$2,-1+SUMPRODUCT(MAX(ROW(E846:E$2)*(E847=E846:E$2)))))</f>
        <v> </v>
      </c>
      <c r="J847" s="25" t="str">
        <f>IF(OR(E847="",E847="!!!",F847="NEW"),"",COUNTBLANK(OFFSET(A$1,,,SUMPRODUCT(MAX(ROW(E$2:E847)*(E847=E$2:E847)))))-COUNTBLANK(OFFSET(A$1,,,SUMPRODUCT(MAX(ROW(E$1:E846)*(E2=E$1:E846))))))</f>
        <v> </v>
      </c>
      <c r="K847" s="25" t="str">
        <f>IF(OR(E847="",E847="!!!",F847="NEW"),"",INDEX(J$1:J846,SUMPRODUCT(MAX(ROW(E$1:E846)*(E847=E$1:E846)))))</f>
        <v> </v>
      </c>
      <c r="L847" s="26"/>
    </row>
    <row r="848" spans="1:12">
      <c r="A848" s="20" t="s">
        <v>170</v>
      </c>
      <c r="E848" s="21">
        <f>IF(D848="?OLD","!!!","")</f>
        <v/>
      </c>
      <c r="F848" s="22" t="str">
        <f>IF(OR(E848="",E848="!!!"),"",IF(NOT(ISNA(VLOOKUP(E848,E$1:E847,1,FALSE()))),"OLD",IF(AND(E848&lt;&gt;"",E848&lt;&gt;"!!!"),"NEW","")))</f>
        <v> </v>
      </c>
      <c r="G848" s="23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4" t="str">
        <f>IF(J848&lt;&gt;1,"",IF(I848="SBJ","CB","?"))</f>
        <v> </v>
      </c>
      <c r="I848" s="25" t="str">
        <f>IF(OR(E848="",E848="!!!",F848="NEW"),"",INDEX(B847:B$2,-1+SUMPRODUCT(MAX(ROW(E847:E$2)*(E848=E847:E$2)))))</f>
        <v> </v>
      </c>
      <c r="J848" s="25" t="str">
        <f>IF(OR(E848="",E848="!!!",F848="NEW"),"",COUNTBLANK(OFFSET(A$1,,,SUMPRODUCT(MAX(ROW(E$2:E848)*(E848=E$2:E848)))))-COUNTBLANK(OFFSET(A$1,,,SUMPRODUCT(MAX(ROW(E$1:E847)*(E2=E$1:E847))))))</f>
        <v> </v>
      </c>
      <c r="K848" s="25" t="str">
        <f>IF(OR(E848="",E848="!!!",F848="NEW"),"",INDEX(J$1:J847,SUMPRODUCT(MAX(ROW(E$1:E847)*(E848=E$1:E847)))))</f>
        <v> </v>
      </c>
      <c r="L848" s="26"/>
    </row>
    <row r="849" spans="1:12">
      <c r="A849" s="20" t="s">
        <v>554</v>
      </c>
      <c r="E849" s="21">
        <f>IF(D849="?OLD","!!!","")</f>
        <v/>
      </c>
      <c r="F849" s="22" t="str">
        <f>IF(OR(E849="",E849="!!!"),"",IF(NOT(ISNA(VLOOKUP(E849,E$1:E848,1,FALSE()))),"OLD",IF(AND(E849&lt;&gt;"",E849&lt;&gt;"!!!"),"NEW","")))</f>
        <v> </v>
      </c>
      <c r="G849" s="23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4" t="str">
        <f>IF(J849&lt;&gt;1,"",IF(I849="SBJ","CB","?"))</f>
        <v> </v>
      </c>
      <c r="I849" s="25" t="str">
        <f>IF(OR(E849="",E849="!!!",F849="NEW"),"",INDEX(B848:B$2,-1+SUMPRODUCT(MAX(ROW(E848:E$2)*(E849=E848:E$2)))))</f>
        <v> </v>
      </c>
      <c r="J849" s="25" t="str">
        <f>IF(OR(E849="",E849="!!!",F849="NEW"),"",COUNTBLANK(OFFSET(A$1,,,SUMPRODUCT(MAX(ROW(E$2:E849)*(E849=E$2:E849)))))-COUNTBLANK(OFFSET(A$1,,,SUMPRODUCT(MAX(ROW(E$1:E848)*(E2=E$1:E848))))))</f>
        <v> </v>
      </c>
      <c r="K849" s="25" t="str">
        <f>IF(OR(E849="",E849="!!!",F849="NEW"),"",INDEX(J$1:J848,SUMPRODUCT(MAX(ROW(E$1:E848)*(E849=E$1:E848)))))</f>
        <v> </v>
      </c>
      <c r="L849" s="26"/>
    </row>
    <row r="850" spans="1:12">
      <c r="A850" s="20" t="s">
        <v>631</v>
      </c>
      <c r="B850" s="27" t="s">
        <v>304</v>
      </c>
      <c r="C850" s="27" t="s">
        <v>357</v>
      </c>
      <c r="D850" s="27" t="s">
        <v>174</v>
      </c>
      <c r="E850" s="21">
        <f>IF(D850="?OLD","!!!","")</f>
        <v/>
      </c>
      <c r="F850" s="22" t="str">
        <f>IF(OR(E850="",E850="!!!"),"",IF(NOT(ISNA(VLOOKUP(E850,E$1:E849,1,FALSE()))),"OLD",IF(AND(E850&lt;&gt;"",E850&lt;&gt;"!!!"),"NEW","")))</f>
        <v> </v>
      </c>
      <c r="G850" s="23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4" t="str">
        <f>IF(J850&lt;&gt;1,"",IF(I850="SBJ","CB","?"))</f>
        <v> </v>
      </c>
      <c r="I850" s="25" t="str">
        <f>IF(OR(E850="",E850="!!!",F850="NEW"),"",INDEX(B849:B$2,-1+SUMPRODUCT(MAX(ROW(E849:E$2)*(E850=E849:E$2)))))</f>
        <v> </v>
      </c>
      <c r="J850" s="25" t="str">
        <f>IF(OR(E850="",E850="!!!",F850="NEW"),"",COUNTBLANK(OFFSET(A$1,,,SUMPRODUCT(MAX(ROW(E$2:E850)*(E850=E$2:E850)))))-COUNTBLANK(OFFSET(A$1,,,SUMPRODUCT(MAX(ROW(E$1:E849)*(E2=E$1:E849))))))</f>
        <v> </v>
      </c>
      <c r="K850" s="25" t="str">
        <f>IF(OR(E850="",E850="!!!",F850="NEW"),"",INDEX(J$1:J849,SUMPRODUCT(MAX(ROW(E$1:E849)*(E850=E$1:E849)))))</f>
        <v> </v>
      </c>
      <c r="L850" s="26"/>
    </row>
    <row r="851" spans="1:12">
      <c r="A851" s="20" t="s">
        <v>164</v>
      </c>
      <c r="E851" s="21">
        <f>IF(D851="?OLD","!!!","")</f>
        <v/>
      </c>
      <c r="F851" s="22" t="str">
        <f>IF(OR(E851="",E851="!!!"),"",IF(NOT(ISNA(VLOOKUP(E851,E$1:E850,1,FALSE()))),"OLD",IF(AND(E851&lt;&gt;"",E851&lt;&gt;"!!!"),"NEW","")))</f>
        <v> </v>
      </c>
      <c r="G851" s="23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4" t="str">
        <f>IF(J851&lt;&gt;1,"",IF(I851="SBJ","CB","?"))</f>
        <v> </v>
      </c>
      <c r="I851" s="25" t="str">
        <f>IF(OR(E851="",E851="!!!",F851="NEW"),"",INDEX(B850:B$2,-1+SUMPRODUCT(MAX(ROW(E850:E$2)*(E851=E850:E$2)))))</f>
        <v> </v>
      </c>
      <c r="J851" s="25" t="str">
        <f>IF(OR(E851="",E851="!!!",F851="NEW"),"",COUNTBLANK(OFFSET(A$1,,,SUMPRODUCT(MAX(ROW(E$2:E851)*(E851=E$2:E851)))))-COUNTBLANK(OFFSET(A$1,,,SUMPRODUCT(MAX(ROW(E$1:E850)*(E2=E$1:E850))))))</f>
        <v> </v>
      </c>
      <c r="K851" s="25" t="str">
        <f>IF(OR(E851="",E851="!!!",F851="NEW"),"",INDEX(J$1:J850,SUMPRODUCT(MAX(ROW(E$1:E850)*(E851=E$1:E850)))))</f>
        <v> </v>
      </c>
      <c r="L851" s="26"/>
    </row>
    <row r="852" spans="1:12">
      <c r="A852" s="20" t="s">
        <v>473</v>
      </c>
      <c r="E852" s="21">
        <f>IF(D852="?OLD","!!!","")</f>
        <v/>
      </c>
      <c r="F852" s="22" t="str">
        <f>IF(OR(E852="",E852="!!!"),"",IF(NOT(ISNA(VLOOKUP(E852,E$1:E851,1,FALSE()))),"OLD",IF(AND(E852&lt;&gt;"",E852&lt;&gt;"!!!"),"NEW","")))</f>
        <v> </v>
      </c>
      <c r="G852" s="23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4" t="str">
        <f>IF(J852&lt;&gt;1,"",IF(I852="SBJ","CB","?"))</f>
        <v> </v>
      </c>
      <c r="I852" s="25" t="str">
        <f>IF(OR(E852="",E852="!!!",F852="NEW"),"",INDEX(B851:B$2,-1+SUMPRODUCT(MAX(ROW(E851:E$2)*(E852=E851:E$2)))))</f>
        <v> </v>
      </c>
      <c r="J852" s="25" t="str">
        <f>IF(OR(E852="",E852="!!!",F852="NEW"),"",COUNTBLANK(OFFSET(A$1,,,SUMPRODUCT(MAX(ROW(E$2:E852)*(E852=E$2:E852)))))-COUNTBLANK(OFFSET(A$1,,,SUMPRODUCT(MAX(ROW(E$1:E851)*(E2=E$1:E851))))))</f>
        <v> </v>
      </c>
      <c r="K852" s="25" t="str">
        <f>IF(OR(E852="",E852="!!!",F852="NEW"),"",INDEX(J$1:J851,SUMPRODUCT(MAX(ROW(E$1:E851)*(E852=E$1:E851)))))</f>
        <v> </v>
      </c>
      <c r="L852" s="26"/>
    </row>
    <row r="853" spans="1:12">
      <c r="A853" s="20" t="s">
        <v>632</v>
      </c>
      <c r="B853" s="27" t="s">
        <v>237</v>
      </c>
      <c r="C853" s="27" t="s">
        <v>346</v>
      </c>
      <c r="D853" s="27" t="s">
        <v>174</v>
      </c>
      <c r="E853" s="21">
        <f>IF(D853="?OLD","!!!","")</f>
        <v/>
      </c>
      <c r="F853" s="22" t="str">
        <f>IF(OR(E853="",E853="!!!"),"",IF(NOT(ISNA(VLOOKUP(E853,E$1:E852,1,FALSE()))),"OLD",IF(AND(E853&lt;&gt;"",E853&lt;&gt;"!!!"),"NEW","")))</f>
        <v> </v>
      </c>
      <c r="G853" s="23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4" t="str">
        <f>IF(J853&lt;&gt;1,"",IF(I853="SBJ","CB","?"))</f>
        <v> </v>
      </c>
      <c r="I853" s="25" t="str">
        <f>IF(OR(E853="",E853="!!!",F853="NEW"),"",INDEX(B852:B$2,-1+SUMPRODUCT(MAX(ROW(E852:E$2)*(E853=E852:E$2)))))</f>
        <v> </v>
      </c>
      <c r="J853" s="25" t="str">
        <f>IF(OR(E853="",E853="!!!",F853="NEW"),"",COUNTBLANK(OFFSET(A$1,,,SUMPRODUCT(MAX(ROW(E$2:E853)*(E853=E$2:E853)))))-COUNTBLANK(OFFSET(A$1,,,SUMPRODUCT(MAX(ROW(E$1:E852)*(E2=E$1:E852))))))</f>
        <v> </v>
      </c>
      <c r="K853" s="25" t="str">
        <f>IF(OR(E853="",E853="!!!",F853="NEW"),"",INDEX(J$1:J852,SUMPRODUCT(MAX(ROW(E$1:E852)*(E853=E$1:E852)))))</f>
        <v> </v>
      </c>
      <c r="L853" s="26"/>
    </row>
    <row r="854" spans="1:12">
      <c r="A854" s="20" t="s">
        <v>633</v>
      </c>
      <c r="E854" s="21">
        <f>IF(D854="?OLD","!!!","")</f>
        <v/>
      </c>
      <c r="F854" s="22" t="str">
        <f>IF(OR(E854="",E854="!!!"),"",IF(NOT(ISNA(VLOOKUP(E854,E$1:E853,1,FALSE()))),"OLD",IF(AND(E854&lt;&gt;"",E854&lt;&gt;"!!!"),"NEW","")))</f>
        <v> </v>
      </c>
      <c r="G854" s="23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4" t="str">
        <f>IF(J854&lt;&gt;1,"",IF(I854="SBJ","CB","?"))</f>
        <v> </v>
      </c>
      <c r="I854" s="25" t="str">
        <f>IF(OR(E854="",E854="!!!",F854="NEW"),"",INDEX(B853:B$2,-1+SUMPRODUCT(MAX(ROW(E853:E$2)*(E854=E853:E$2)))))</f>
        <v> </v>
      </c>
      <c r="J854" s="25" t="str">
        <f>IF(OR(E854="",E854="!!!",F854="NEW"),"",COUNTBLANK(OFFSET(A$1,,,SUMPRODUCT(MAX(ROW(E$2:E854)*(E854=E$2:E854)))))-COUNTBLANK(OFFSET(A$1,,,SUMPRODUCT(MAX(ROW(E$1:E853)*(E2=E$1:E853))))))</f>
        <v> </v>
      </c>
      <c r="K854" s="25" t="str">
        <f>IF(OR(E854="",E854="!!!",F854="NEW"),"",INDEX(J$1:J853,SUMPRODUCT(MAX(ROW(E$1:E853)*(E854=E$1:E853)))))</f>
        <v> </v>
      </c>
      <c r="L854" s="26"/>
    </row>
    <row r="855" spans="1:12">
      <c r="A855" s="20" t="s">
        <v>634</v>
      </c>
      <c r="E855" s="21">
        <f>IF(D855="?OLD","!!!","")</f>
        <v/>
      </c>
      <c r="F855" s="22" t="str">
        <f>IF(OR(E855="",E855="!!!"),"",IF(NOT(ISNA(VLOOKUP(E855,E$1:E854,1,FALSE()))),"OLD",IF(AND(E855&lt;&gt;"",E855&lt;&gt;"!!!"),"NEW","")))</f>
        <v> </v>
      </c>
      <c r="G855" s="23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4" t="str">
        <f>IF(J855&lt;&gt;1,"",IF(I855="SBJ","CB","?"))</f>
        <v> </v>
      </c>
      <c r="I855" s="25" t="str">
        <f>IF(OR(E855="",E855="!!!",F855="NEW"),"",INDEX(B854:B$2,-1+SUMPRODUCT(MAX(ROW(E854:E$2)*(E855=E854:E$2)))))</f>
        <v> </v>
      </c>
      <c r="J855" s="25" t="str">
        <f>IF(OR(E855="",E855="!!!",F855="NEW"),"",COUNTBLANK(OFFSET(A$1,,,SUMPRODUCT(MAX(ROW(E$2:E855)*(E855=E$2:E855)))))-COUNTBLANK(OFFSET(A$1,,,SUMPRODUCT(MAX(ROW(E$1:E854)*(E2=E$1:E854))))))</f>
        <v> </v>
      </c>
      <c r="K855" s="25" t="str">
        <f>IF(OR(E855="",E855="!!!",F855="NEW"),"",INDEX(J$1:J854,SUMPRODUCT(MAX(ROW(E$1:E854)*(E855=E$1:E854)))))</f>
        <v> </v>
      </c>
      <c r="L855" s="26"/>
    </row>
    <row r="856" spans="1:12">
      <c r="A856" s="20" t="s">
        <v>635</v>
      </c>
      <c r="B856" s="27" t="s">
        <v>172</v>
      </c>
      <c r="C856" s="27" t="s">
        <v>346</v>
      </c>
      <c r="D856" s="27" t="s">
        <v>174</v>
      </c>
      <c r="E856" s="21">
        <f>IF(D856="?OLD","!!!","")</f>
        <v/>
      </c>
      <c r="F856" s="22" t="str">
        <f>IF(OR(E856="",E856="!!!"),"",IF(NOT(ISNA(VLOOKUP(E856,E$1:E855,1,FALSE()))),"OLD",IF(AND(E856&lt;&gt;"",E856&lt;&gt;"!!!"),"NEW","")))</f>
        <v> </v>
      </c>
      <c r="G856" s="23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4" t="str">
        <f>IF(J856&lt;&gt;1,"",IF(I856="SBJ","CB","?"))</f>
        <v> </v>
      </c>
      <c r="I856" s="25" t="str">
        <f>IF(OR(E856="",E856="!!!",F856="NEW"),"",INDEX(B855:B$2,-1+SUMPRODUCT(MAX(ROW(E855:E$2)*(E856=E855:E$2)))))</f>
        <v> </v>
      </c>
      <c r="J856" s="25" t="str">
        <f>IF(OR(E856="",E856="!!!",F856="NEW"),"",COUNTBLANK(OFFSET(A$1,,,SUMPRODUCT(MAX(ROW(E$2:E856)*(E856=E$2:E856)))))-COUNTBLANK(OFFSET(A$1,,,SUMPRODUCT(MAX(ROW(E$1:E855)*(E2=E$1:E855))))))</f>
        <v> </v>
      </c>
      <c r="K856" s="25" t="str">
        <f>IF(OR(E856="",E856="!!!",F856="NEW"),"",INDEX(J$1:J855,SUMPRODUCT(MAX(ROW(E$1:E855)*(E856=E$1:E855)))))</f>
        <v> </v>
      </c>
      <c r="L856" s="26"/>
    </row>
    <row r="857" spans="1:12">
      <c r="A857" s="20" t="s">
        <v>618</v>
      </c>
      <c r="E857" s="21">
        <f>IF(D857="?OLD","!!!","")</f>
        <v/>
      </c>
      <c r="F857" s="22" t="str">
        <f>IF(OR(E857="",E857="!!!"),"",IF(NOT(ISNA(VLOOKUP(E857,E$1:E856,1,FALSE()))),"OLD",IF(AND(E857&lt;&gt;"",E857&lt;&gt;"!!!"),"NEW","")))</f>
        <v> </v>
      </c>
      <c r="G857" s="23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4" t="str">
        <f>IF(J857&lt;&gt;1,"",IF(I857="SBJ","CB","?"))</f>
        <v> </v>
      </c>
      <c r="I857" s="25" t="str">
        <f>IF(OR(E857="",E857="!!!",F857="NEW"),"",INDEX(B856:B$2,-1+SUMPRODUCT(MAX(ROW(E856:E$2)*(E857=E856:E$2)))))</f>
        <v> </v>
      </c>
      <c r="J857" s="25" t="str">
        <f>IF(OR(E857="",E857="!!!",F857="NEW"),"",COUNTBLANK(OFFSET(A$1,,,SUMPRODUCT(MAX(ROW(E$2:E857)*(E857=E$2:E857)))))-COUNTBLANK(OFFSET(A$1,,,SUMPRODUCT(MAX(ROW(E$1:E856)*(E2=E$1:E856))))))</f>
        <v> </v>
      </c>
      <c r="K857" s="25" t="str">
        <f>IF(OR(E857="",E857="!!!",F857="NEW"),"",INDEX(J$1:J856,SUMPRODUCT(MAX(ROW(E$1:E856)*(E857=E$1:E856)))))</f>
        <v> </v>
      </c>
      <c r="L857" s="26"/>
    </row>
    <row r="858" spans="1:12">
      <c r="A858" s="20" t="s">
        <v>630</v>
      </c>
      <c r="E858" s="21">
        <f>IF(D858="?OLD","!!!","")</f>
        <v/>
      </c>
      <c r="F858" s="22" t="str">
        <f>IF(OR(E858="",E858="!!!"),"",IF(NOT(ISNA(VLOOKUP(E858,E$1:E857,1,FALSE()))),"OLD",IF(AND(E858&lt;&gt;"",E858&lt;&gt;"!!!"),"NEW","")))</f>
        <v> </v>
      </c>
      <c r="G858" s="23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4" t="str">
        <f>IF(J858&lt;&gt;1,"",IF(I858="SBJ","CB","?"))</f>
        <v> </v>
      </c>
      <c r="I858" s="25" t="str">
        <f>IF(OR(E858="",E858="!!!",F858="NEW"),"",INDEX(B857:B$2,-1+SUMPRODUCT(MAX(ROW(E857:E$2)*(E858=E857:E$2)))))</f>
        <v> </v>
      </c>
      <c r="J858" s="25" t="str">
        <f>IF(OR(E858="",E858="!!!",F858="NEW"),"",COUNTBLANK(OFFSET(A$1,,,SUMPRODUCT(MAX(ROW(E$2:E858)*(E858=E$2:E858)))))-COUNTBLANK(OFFSET(A$1,,,SUMPRODUCT(MAX(ROW(E$1:E857)*(E2=E$1:E857))))))</f>
        <v> </v>
      </c>
      <c r="K858" s="25" t="str">
        <f>IF(OR(E858="",E858="!!!",F858="NEW"),"",INDEX(J$1:J857,SUMPRODUCT(MAX(ROW(E$1:E857)*(E858=E$1:E857)))))</f>
        <v> </v>
      </c>
      <c r="L858" s="26"/>
    </row>
    <row r="859" spans="1:12">
      <c r="A859" s="20" t="s">
        <v>164</v>
      </c>
      <c r="E859" s="21">
        <f>IF(D859="?OLD","!!!","")</f>
        <v/>
      </c>
      <c r="F859" s="22" t="str">
        <f>IF(OR(E859="",E859="!!!"),"",IF(NOT(ISNA(VLOOKUP(E859,E$1:E858,1,FALSE()))),"OLD",IF(AND(E859&lt;&gt;"",E859&lt;&gt;"!!!"),"NEW","")))</f>
        <v> </v>
      </c>
      <c r="G859" s="23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4" t="str">
        <f>IF(J859&lt;&gt;1,"",IF(I859="SBJ","CB","?"))</f>
        <v> </v>
      </c>
      <c r="I859" s="25" t="str">
        <f>IF(OR(E859="",E859="!!!",F859="NEW"),"",INDEX(B858:B$2,-1+SUMPRODUCT(MAX(ROW(E858:E$2)*(E859=E858:E$2)))))</f>
        <v> </v>
      </c>
      <c r="J859" s="25" t="str">
        <f>IF(OR(E859="",E859="!!!",F859="NEW"),"",COUNTBLANK(OFFSET(A$1,,,SUMPRODUCT(MAX(ROW(E$2:E859)*(E859=E$2:E859)))))-COUNTBLANK(OFFSET(A$1,,,SUMPRODUCT(MAX(ROW(E$1:E858)*(E2=E$1:E858))))))</f>
        <v> </v>
      </c>
      <c r="K859" s="25" t="str">
        <f>IF(OR(E859="",E859="!!!",F859="NEW"),"",INDEX(J$1:J858,SUMPRODUCT(MAX(ROW(E$1:E858)*(E859=E$1:E858)))))</f>
        <v> </v>
      </c>
      <c r="L859" s="26"/>
    </row>
    <row r="860" spans="1:12">
      <c r="A860" s="20" t="s">
        <v>12</v>
      </c>
      <c r="E860" s="21">
        <f>IF(D860="?OLD","!!!","")</f>
        <v/>
      </c>
      <c r="F860" s="22" t="str">
        <f>IF(OR(E860="",E860="!!!"),"",IF(NOT(ISNA(VLOOKUP(E860,E$1:E859,1,FALSE()))),"OLD",IF(AND(E860&lt;&gt;"",E860&lt;&gt;"!!!"),"NEW","")))</f>
        <v> </v>
      </c>
      <c r="G860" s="23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4" t="str">
        <f>IF(J860&lt;&gt;1,"",IF(I860="SBJ","CB","?"))</f>
        <v> </v>
      </c>
      <c r="I860" s="25" t="str">
        <f>IF(OR(E860="",E860="!!!",F860="NEW"),"",INDEX(B859:B$2,-1+SUMPRODUCT(MAX(ROW(E859:E$2)*(E860=E859:E$2)))))</f>
        <v> </v>
      </c>
      <c r="J860" s="25" t="str">
        <f>IF(OR(E860="",E860="!!!",F860="NEW"),"",COUNTBLANK(OFFSET(A$1,,,SUMPRODUCT(MAX(ROW(E$2:E860)*(E860=E$2:E860)))))-COUNTBLANK(OFFSET(A$1,,,SUMPRODUCT(MAX(ROW(E$1:E859)*(E2=E$1:E859))))))</f>
        <v> </v>
      </c>
      <c r="K860" s="25" t="str">
        <f>IF(OR(E860="",E860="!!!",F860="NEW"),"",INDEX(J$1:J859,SUMPRODUCT(MAX(ROW(E$1:E859)*(E860=E$1:E859)))))</f>
        <v> </v>
      </c>
      <c r="L860" s="26"/>
    </row>
    <row r="861" spans="1:12">
      <c r="A861" s="20" t="s">
        <v>273</v>
      </c>
      <c r="E861" s="21">
        <f>IF(D861="?OLD","!!!","")</f>
        <v/>
      </c>
      <c r="F861" s="22" t="str">
        <f>IF(OR(E861="",E861="!!!"),"",IF(NOT(ISNA(VLOOKUP(E861,E$1:E860,1,FALSE()))),"OLD",IF(AND(E861&lt;&gt;"",E861&lt;&gt;"!!!"),"NEW","")))</f>
        <v> </v>
      </c>
      <c r="G861" s="23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4" t="str">
        <f>IF(J861&lt;&gt;1,"",IF(I861="SBJ","CB","?"))</f>
        <v> </v>
      </c>
      <c r="I861" s="25" t="str">
        <f>IF(OR(E861="",E861="!!!",F861="NEW"),"",INDEX(B860:B$2,-1+SUMPRODUCT(MAX(ROW(E860:E$2)*(E861=E860:E$2)))))</f>
        <v> </v>
      </c>
      <c r="J861" s="25" t="str">
        <f>IF(OR(E861="",E861="!!!",F861="NEW"),"",COUNTBLANK(OFFSET(A$1,,,SUMPRODUCT(MAX(ROW(E$2:E861)*(E861=E$2:E861)))))-COUNTBLANK(OFFSET(A$1,,,SUMPRODUCT(MAX(ROW(E$1:E860)*(E2=E$1:E860))))))</f>
        <v> </v>
      </c>
      <c r="K861" s="25" t="str">
        <f>IF(OR(E861="",E861="!!!",F861="NEW"),"",INDEX(J$1:J860,SUMPRODUCT(MAX(ROW(E$1:E860)*(E861=E$1:E860)))))</f>
        <v> </v>
      </c>
      <c r="L861" s="26"/>
    </row>
    <row r="862" spans="1:12">
      <c r="A862" s="20" t="s">
        <v>636</v>
      </c>
      <c r="B862" s="27" t="s">
        <v>226</v>
      </c>
      <c r="C862" s="27" t="s">
        <v>173</v>
      </c>
      <c r="D862" s="27" t="s">
        <v>174</v>
      </c>
      <c r="E862" s="21">
        <f>IF(D862="?OLD","!!!","")</f>
        <v/>
      </c>
      <c r="F862" s="22" t="str">
        <f>IF(OR(E862="",E862="!!!"),"",IF(NOT(ISNA(VLOOKUP(E862,E$1:E861,1,FALSE()))),"OLD",IF(AND(E862&lt;&gt;"",E862&lt;&gt;"!!!"),"NEW","")))</f>
        <v> </v>
      </c>
      <c r="G862" s="23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4" t="str">
        <f>IF(J862&lt;&gt;1,"",IF(I862="SBJ","CB","?"))</f>
        <v> </v>
      </c>
      <c r="I862" s="25" t="str">
        <f>IF(OR(E862="",E862="!!!",F862="NEW"),"",INDEX(B861:B$2,-1+SUMPRODUCT(MAX(ROW(E861:E$2)*(E862=E861:E$2)))))</f>
        <v> </v>
      </c>
      <c r="J862" s="25" t="str">
        <f>IF(OR(E862="",E862="!!!",F862="NEW"),"",COUNTBLANK(OFFSET(A$1,,,SUMPRODUCT(MAX(ROW(E$2:E862)*(E862=E$2:E862)))))-COUNTBLANK(OFFSET(A$1,,,SUMPRODUCT(MAX(ROW(E$1:E861)*(E2=E$1:E861))))))</f>
        <v> </v>
      </c>
      <c r="K862" s="25" t="str">
        <f>IF(OR(E862="",E862="!!!",F862="NEW"),"",INDEX(J$1:J861,SUMPRODUCT(MAX(ROW(E$1:E861)*(E862=E$1:E861)))))</f>
        <v> </v>
      </c>
      <c r="L862" s="26"/>
    </row>
    <row r="863" spans="1:12">
      <c r="A863" s="20" t="s">
        <v>164</v>
      </c>
      <c r="E863" s="21">
        <f>IF(D863="?OLD","!!!","")</f>
        <v/>
      </c>
      <c r="F863" s="22" t="str">
        <f>IF(OR(E863="",E863="!!!"),"",IF(NOT(ISNA(VLOOKUP(E863,E$1:E862,1,FALSE()))),"OLD",IF(AND(E863&lt;&gt;"",E863&lt;&gt;"!!!"),"NEW","")))</f>
        <v> </v>
      </c>
      <c r="G863" s="23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4" t="str">
        <f>IF(J863&lt;&gt;1,"",IF(I863="SBJ","CB","?"))</f>
        <v> </v>
      </c>
      <c r="I863" s="25" t="str">
        <f>IF(OR(E863="",E863="!!!",F863="NEW"),"",INDEX(B862:B$2,-1+SUMPRODUCT(MAX(ROW(E862:E$2)*(E863=E862:E$2)))))</f>
        <v> </v>
      </c>
      <c r="J863" s="25" t="str">
        <f>IF(OR(E863="",E863="!!!",F863="NEW"),"",COUNTBLANK(OFFSET(A$1,,,SUMPRODUCT(MAX(ROW(E$2:E863)*(E863=E$2:E863)))))-COUNTBLANK(OFFSET(A$1,,,SUMPRODUCT(MAX(ROW(E$1:E862)*(E2=E$1:E862))))))</f>
        <v> </v>
      </c>
      <c r="K863" s="25" t="str">
        <f>IF(OR(E863="",E863="!!!",F863="NEW"),"",INDEX(J$1:J862,SUMPRODUCT(MAX(ROW(E$1:E862)*(E863=E$1:E862)))))</f>
        <v> </v>
      </c>
      <c r="L863" s="26"/>
    </row>
    <row r="864" spans="1:12">
      <c r="A864" s="20" t="s">
        <v>12</v>
      </c>
      <c r="E864" s="21">
        <f>IF(D864="?OLD","!!!","")</f>
        <v/>
      </c>
      <c r="F864" s="22" t="str">
        <f>IF(OR(E864="",E864="!!!"),"",IF(NOT(ISNA(VLOOKUP(E864,E$1:E863,1,FALSE()))),"OLD",IF(AND(E864&lt;&gt;"",E864&lt;&gt;"!!!"),"NEW","")))</f>
        <v> </v>
      </c>
      <c r="G864" s="23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4" t="str">
        <f>IF(J864&lt;&gt;1,"",IF(I864="SBJ","CB","?"))</f>
        <v> </v>
      </c>
      <c r="I864" s="25" t="str">
        <f>IF(OR(E864="",E864="!!!",F864="NEW"),"",INDEX(B863:B$2,-1+SUMPRODUCT(MAX(ROW(E863:E$2)*(E864=E863:E$2)))))</f>
        <v> </v>
      </c>
      <c r="J864" s="25" t="str">
        <f>IF(OR(E864="",E864="!!!",F864="NEW"),"",COUNTBLANK(OFFSET(A$1,,,SUMPRODUCT(MAX(ROW(E$2:E864)*(E864=E$2:E864)))))-COUNTBLANK(OFFSET(A$1,,,SUMPRODUCT(MAX(ROW(E$1:E863)*(E2=E$1:E863))))))</f>
        <v> </v>
      </c>
      <c r="K864" s="25" t="str">
        <f>IF(OR(E864="",E864="!!!",F864="NEW"),"",INDEX(J$1:J863,SUMPRODUCT(MAX(ROW(E$1:E863)*(E864=E$1:E863)))))</f>
        <v> </v>
      </c>
      <c r="L864" s="26"/>
    </row>
    <row r="865" spans="1:12">
      <c r="A865" s="20" t="s">
        <v>179</v>
      </c>
      <c r="E865" s="21">
        <f>IF(D865="?OLD","!!!","")</f>
        <v/>
      </c>
      <c r="F865" s="22" t="str">
        <f>IF(OR(E865="",E865="!!!"),"",IF(NOT(ISNA(VLOOKUP(E865,E$1:E864,1,FALSE()))),"OLD",IF(AND(E865&lt;&gt;"",E865&lt;&gt;"!!!"),"NEW","")))</f>
        <v> </v>
      </c>
      <c r="G865" s="23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4" t="str">
        <f>IF(J865&lt;&gt;1,"",IF(I865="SBJ","CB","?"))</f>
        <v> </v>
      </c>
      <c r="I865" s="25" t="str">
        <f>IF(OR(E865="",E865="!!!",F865="NEW"),"",INDEX(B864:B$2,-1+SUMPRODUCT(MAX(ROW(E864:E$2)*(E865=E864:E$2)))))</f>
        <v> </v>
      </c>
      <c r="J865" s="25" t="str">
        <f>IF(OR(E865="",E865="!!!",F865="NEW"),"",COUNTBLANK(OFFSET(A$1,,,SUMPRODUCT(MAX(ROW(E$2:E865)*(E865=E$2:E865)))))-COUNTBLANK(OFFSET(A$1,,,SUMPRODUCT(MAX(ROW(E$1:E864)*(E2=E$1:E864))))))</f>
        <v> </v>
      </c>
      <c r="K865" s="25" t="str">
        <f>IF(OR(E865="",E865="!!!",F865="NEW"),"",INDEX(J$1:J864,SUMPRODUCT(MAX(ROW(E$1:E864)*(E865=E$1:E864)))))</f>
        <v> </v>
      </c>
      <c r="L865" s="26"/>
    </row>
    <row r="866" spans="1:12">
      <c r="A866" s="20" t="s">
        <v>442</v>
      </c>
      <c r="B866" s="27" t="s">
        <v>226</v>
      </c>
      <c r="C866" s="27" t="s">
        <v>346</v>
      </c>
      <c r="D866" s="27" t="s">
        <v>174</v>
      </c>
      <c r="E866" s="21">
        <f>IF(D866="?OLD","!!!","")</f>
        <v/>
      </c>
      <c r="F866" s="22" t="str">
        <f>IF(OR(E866="",E866="!!!"),"",IF(NOT(ISNA(VLOOKUP(E866,E$1:E865,1,FALSE()))),"OLD",IF(AND(E866&lt;&gt;"",E866&lt;&gt;"!!!"),"NEW","")))</f>
        <v> </v>
      </c>
      <c r="G866" s="23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4" t="str">
        <f>IF(J866&lt;&gt;1,"",IF(I866="SBJ","CB","?"))</f>
        <v> </v>
      </c>
      <c r="I866" s="25" t="str">
        <f>IF(OR(E866="",E866="!!!",F866="NEW"),"",INDEX(B865:B$2,-1+SUMPRODUCT(MAX(ROW(E865:E$2)*(E866=E865:E$2)))))</f>
        <v> </v>
      </c>
      <c r="J866" s="25" t="str">
        <f>IF(OR(E866="",E866="!!!",F866="NEW"),"",COUNTBLANK(OFFSET(A$1,,,SUMPRODUCT(MAX(ROW(E$2:E866)*(E866=E$2:E866)))))-COUNTBLANK(OFFSET(A$1,,,SUMPRODUCT(MAX(ROW(E$1:E865)*(E2=E$1:E865))))))</f>
        <v> </v>
      </c>
      <c r="K866" s="25" t="str">
        <f>IF(OR(E866="",E866="!!!",F866="NEW"),"",INDEX(J$1:J865,SUMPRODUCT(MAX(ROW(E$1:E865)*(E866=E$1:E865)))))</f>
        <v> </v>
      </c>
      <c r="L866" s="26"/>
    </row>
    <row r="867" spans="1:12">
      <c r="A867" s="20" t="s">
        <v>201</v>
      </c>
      <c r="E867" s="21">
        <f>IF(D867="?OLD","!!!","")</f>
        <v/>
      </c>
      <c r="F867" s="22" t="str">
        <f>IF(OR(E867="",E867="!!!"),"",IF(NOT(ISNA(VLOOKUP(E867,E$1:E866,1,FALSE()))),"OLD",IF(AND(E867&lt;&gt;"",E867&lt;&gt;"!!!"),"NEW","")))</f>
        <v> </v>
      </c>
      <c r="G867" s="23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4" t="str">
        <f>IF(J867&lt;&gt;1,"",IF(I867="SBJ","CB","?"))</f>
        <v> </v>
      </c>
      <c r="I867" s="25" t="str">
        <f>IF(OR(E867="",E867="!!!",F867="NEW"),"",INDEX(B866:B$2,-1+SUMPRODUCT(MAX(ROW(E866:E$2)*(E867=E866:E$2)))))</f>
        <v> </v>
      </c>
      <c r="J867" s="25" t="str">
        <f>IF(OR(E867="",E867="!!!",F867="NEW"),"",COUNTBLANK(OFFSET(A$1,,,SUMPRODUCT(MAX(ROW(E$2:E867)*(E867=E$2:E867)))))-COUNTBLANK(OFFSET(A$1,,,SUMPRODUCT(MAX(ROW(E$1:E866)*(E2=E$1:E866))))))</f>
        <v> </v>
      </c>
      <c r="K867" s="25" t="str">
        <f>IF(OR(E867="",E867="!!!",F867="NEW"),"",INDEX(J$1:J866,SUMPRODUCT(MAX(ROW(E$1:E866)*(E867=E$1:E866)))))</f>
        <v> </v>
      </c>
      <c r="L867" s="26"/>
    </row>
    <row r="868" spans="1:12">
      <c r="A868" s="20" t="s">
        <v>637</v>
      </c>
      <c r="E868" s="21">
        <f>IF(D868="?OLD","!!!","")</f>
        <v/>
      </c>
      <c r="F868" s="22" t="str">
        <f>IF(OR(E868="",E868="!!!"),"",IF(NOT(ISNA(VLOOKUP(E868,E$1:E867,1,FALSE()))),"OLD",IF(AND(E868&lt;&gt;"",E868&lt;&gt;"!!!"),"NEW","")))</f>
        <v> </v>
      </c>
      <c r="G868" s="23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4" t="str">
        <f>IF(J868&lt;&gt;1,"",IF(I868="SBJ","CB","?"))</f>
        <v> </v>
      </c>
      <c r="I868" s="25" t="str">
        <f>IF(OR(E868="",E868="!!!",F868="NEW"),"",INDEX(B867:B$2,-1+SUMPRODUCT(MAX(ROW(E867:E$2)*(E868=E867:E$2)))))</f>
        <v> </v>
      </c>
      <c r="J868" s="25" t="str">
        <f>IF(OR(E868="",E868="!!!",F868="NEW"),"",COUNTBLANK(OFFSET(A$1,,,SUMPRODUCT(MAX(ROW(E$2:E868)*(E868=E$2:E868)))))-COUNTBLANK(OFFSET(A$1,,,SUMPRODUCT(MAX(ROW(E$1:E867)*(E2=E$1:E867))))))</f>
        <v> </v>
      </c>
      <c r="K868" s="25" t="str">
        <f>IF(OR(E868="",E868="!!!",F868="NEW"),"",INDEX(J$1:J867,SUMPRODUCT(MAX(ROW(E$1:E867)*(E868=E$1:E867)))))</f>
        <v> </v>
      </c>
      <c r="L868" s="26"/>
    </row>
    <row r="869" spans="1:12">
      <c r="A869" s="20" t="s">
        <v>638</v>
      </c>
      <c r="E869" s="21">
        <f>IF(D869="?OLD","!!!","")</f>
        <v/>
      </c>
      <c r="F869" s="22" t="str">
        <f>IF(OR(E869="",E869="!!!"),"",IF(NOT(ISNA(VLOOKUP(E869,E$1:E868,1,FALSE()))),"OLD",IF(AND(E869&lt;&gt;"",E869&lt;&gt;"!!!"),"NEW","")))</f>
        <v> </v>
      </c>
      <c r="G869" s="23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4" t="str">
        <f>IF(J869&lt;&gt;1,"",IF(I869="SBJ","CB","?"))</f>
        <v> </v>
      </c>
      <c r="I869" s="25" t="str">
        <f>IF(OR(E869="",E869="!!!",F869="NEW"),"",INDEX(B868:B$2,-1+SUMPRODUCT(MAX(ROW(E868:E$2)*(E869=E868:E$2)))))</f>
        <v> </v>
      </c>
      <c r="J869" s="25" t="str">
        <f>IF(OR(E869="",E869="!!!",F869="NEW"),"",COUNTBLANK(OFFSET(A$1,,,SUMPRODUCT(MAX(ROW(E$2:E869)*(E869=E$2:E869)))))-COUNTBLANK(OFFSET(A$1,,,SUMPRODUCT(MAX(ROW(E$1:E868)*(E2=E$1:E868))))))</f>
        <v> </v>
      </c>
      <c r="K869" s="25" t="str">
        <f>IF(OR(E869="",E869="!!!",F869="NEW"),"",INDEX(J$1:J868,SUMPRODUCT(MAX(ROW(E$1:E868)*(E869=E$1:E868)))))</f>
        <v> </v>
      </c>
      <c r="L869" s="26"/>
    </row>
    <row r="870" spans="1:12">
      <c r="A870" s="20" t="s">
        <v>639</v>
      </c>
      <c r="E870" s="21">
        <f>IF(D870="?OLD","!!!","")</f>
        <v/>
      </c>
      <c r="F870" s="22" t="str">
        <f>IF(OR(E870="",E870="!!!"),"",IF(NOT(ISNA(VLOOKUP(E870,E$1:E869,1,FALSE()))),"OLD",IF(AND(E870&lt;&gt;"",E870&lt;&gt;"!!!"),"NEW","")))</f>
        <v> </v>
      </c>
      <c r="G870" s="23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4" t="str">
        <f>IF(J870&lt;&gt;1,"",IF(I870="SBJ","CB","?"))</f>
        <v> </v>
      </c>
      <c r="I870" s="25" t="str">
        <f>IF(OR(E870="",E870="!!!",F870="NEW"),"",INDEX(B869:B$2,-1+SUMPRODUCT(MAX(ROW(E869:E$2)*(E870=E869:E$2)))))</f>
        <v> </v>
      </c>
      <c r="J870" s="25" t="str">
        <f>IF(OR(E870="",E870="!!!",F870="NEW"),"",COUNTBLANK(OFFSET(A$1,,,SUMPRODUCT(MAX(ROW(E$2:E870)*(E870=E$2:E870)))))-COUNTBLANK(OFFSET(A$1,,,SUMPRODUCT(MAX(ROW(E$1:E869)*(E2=E$1:E869))))))</f>
        <v> </v>
      </c>
      <c r="K870" s="25" t="str">
        <f>IF(OR(E870="",E870="!!!",F870="NEW"),"",INDEX(J$1:J869,SUMPRODUCT(MAX(ROW(E$1:E869)*(E870=E$1:E869)))))</f>
        <v> </v>
      </c>
      <c r="L870" s="26"/>
    </row>
    <row r="871" spans="1:12">
      <c r="A871" s="20" t="s">
        <v>208</v>
      </c>
      <c r="E871" s="21">
        <f>IF(D871="?OLD","!!!","")</f>
        <v/>
      </c>
      <c r="F871" s="22" t="str">
        <f>IF(OR(E871="",E871="!!!"),"",IF(NOT(ISNA(VLOOKUP(E871,E$1:E870,1,FALSE()))),"OLD",IF(AND(E871&lt;&gt;"",E871&lt;&gt;"!!!"),"NEW","")))</f>
        <v> </v>
      </c>
      <c r="G871" s="23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4" t="str">
        <f>IF(J871&lt;&gt;1,"",IF(I871="SBJ","CB","?"))</f>
        <v> </v>
      </c>
      <c r="I871" s="25" t="str">
        <f>IF(OR(E871="",E871="!!!",F871="NEW"),"",INDEX(B870:B$2,-1+SUMPRODUCT(MAX(ROW(E870:E$2)*(E871=E870:E$2)))))</f>
        <v> </v>
      </c>
      <c r="J871" s="25" t="str">
        <f>IF(OR(E871="",E871="!!!",F871="NEW"),"",COUNTBLANK(OFFSET(A$1,,,SUMPRODUCT(MAX(ROW(E$2:E871)*(E871=E$2:E871)))))-COUNTBLANK(OFFSET(A$1,,,SUMPRODUCT(MAX(ROW(E$1:E870)*(E2=E$1:E870))))))</f>
        <v> </v>
      </c>
      <c r="K871" s="25" t="str">
        <f>IF(OR(E871="",E871="!!!",F871="NEW"),"",INDEX(J$1:J870,SUMPRODUCT(MAX(ROW(E$1:E870)*(E871=E$1:E870)))))</f>
        <v> </v>
      </c>
      <c r="L871" s="26"/>
    </row>
    <row r="872" spans="1:12">
      <c r="A872" s="20" t="s">
        <v>640</v>
      </c>
      <c r="E872" s="21">
        <f>IF(D872="?OLD","!!!","")</f>
        <v/>
      </c>
      <c r="F872" s="22" t="str">
        <f>IF(OR(E872="",E872="!!!"),"",IF(NOT(ISNA(VLOOKUP(E872,E$1:E871,1,FALSE()))),"OLD",IF(AND(E872&lt;&gt;"",E872&lt;&gt;"!!!"),"NEW","")))</f>
        <v> </v>
      </c>
      <c r="G872" s="23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4" t="str">
        <f>IF(J872&lt;&gt;1,"",IF(I872="SBJ","CB","?"))</f>
        <v> </v>
      </c>
      <c r="I872" s="25" t="str">
        <f>IF(OR(E872="",E872="!!!",F872="NEW"),"",INDEX(B871:B$2,-1+SUMPRODUCT(MAX(ROW(E871:E$2)*(E872=E871:E$2)))))</f>
        <v> </v>
      </c>
      <c r="J872" s="25" t="str">
        <f>IF(OR(E872="",E872="!!!",F872="NEW"),"",COUNTBLANK(OFFSET(A$1,,,SUMPRODUCT(MAX(ROW(E$2:E872)*(E872=E$2:E872)))))-COUNTBLANK(OFFSET(A$1,,,SUMPRODUCT(MAX(ROW(E$1:E871)*(E2=E$1:E871))))))</f>
        <v> </v>
      </c>
      <c r="K872" s="25" t="str">
        <f>IF(OR(E872="",E872="!!!",F872="NEW"),"",INDEX(J$1:J871,SUMPRODUCT(MAX(ROW(E$1:E871)*(E872=E$1:E871)))))</f>
        <v> </v>
      </c>
      <c r="L872" s="26"/>
    </row>
    <row r="873" spans="1:12">
      <c r="A873" s="20" t="s">
        <v>424</v>
      </c>
      <c r="E873" s="21">
        <f>IF(D873="?OLD","!!!","")</f>
        <v/>
      </c>
      <c r="F873" s="22" t="str">
        <f>IF(OR(E873="",E873="!!!"),"",IF(NOT(ISNA(VLOOKUP(E873,E$1:E872,1,FALSE()))),"OLD",IF(AND(E873&lt;&gt;"",E873&lt;&gt;"!!!"),"NEW","")))</f>
        <v> </v>
      </c>
      <c r="G873" s="23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4" t="str">
        <f>IF(J873&lt;&gt;1,"",IF(I873="SBJ","CB","?"))</f>
        <v> </v>
      </c>
      <c r="I873" s="25" t="str">
        <f>IF(OR(E873="",E873="!!!",F873="NEW"),"",INDEX(B872:B$2,-1+SUMPRODUCT(MAX(ROW(E872:E$2)*(E873=E872:E$2)))))</f>
        <v> </v>
      </c>
      <c r="J873" s="25" t="str">
        <f>IF(OR(E873="",E873="!!!",F873="NEW"),"",COUNTBLANK(OFFSET(A$1,,,SUMPRODUCT(MAX(ROW(E$2:E873)*(E873=E$2:E873)))))-COUNTBLANK(OFFSET(A$1,,,SUMPRODUCT(MAX(ROW(E$1:E872)*(E2=E$1:E872))))))</f>
        <v> </v>
      </c>
      <c r="K873" s="25" t="str">
        <f>IF(OR(E873="",E873="!!!",F873="NEW"),"",INDEX(J$1:J872,SUMPRODUCT(MAX(ROW(E$1:E872)*(E873=E$1:E872)))))</f>
        <v> </v>
      </c>
      <c r="L873" s="26"/>
    </row>
    <row r="874" spans="1:12">
      <c r="A874" s="20" t="s">
        <v>204</v>
      </c>
      <c r="E874" s="21">
        <f>IF(D874="?OLD","!!!","")</f>
        <v/>
      </c>
      <c r="F874" s="22" t="str">
        <f>IF(OR(E874="",E874="!!!"),"",IF(NOT(ISNA(VLOOKUP(E874,E$1:E873,1,FALSE()))),"OLD",IF(AND(E874&lt;&gt;"",E874&lt;&gt;"!!!"),"NEW","")))</f>
        <v> </v>
      </c>
      <c r="G874" s="23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4" t="str">
        <f>IF(J874&lt;&gt;1,"",IF(I874="SBJ","CB","?"))</f>
        <v> </v>
      </c>
      <c r="I874" s="25" t="str">
        <f>IF(OR(E874="",E874="!!!",F874="NEW"),"",INDEX(B873:B$2,-1+SUMPRODUCT(MAX(ROW(E873:E$2)*(E874=E873:E$2)))))</f>
        <v> </v>
      </c>
      <c r="J874" s="25" t="str">
        <f>IF(OR(E874="",E874="!!!",F874="NEW"),"",COUNTBLANK(OFFSET(A$1,,,SUMPRODUCT(MAX(ROW(E$2:E874)*(E874=E$2:E874)))))-COUNTBLANK(OFFSET(A$1,,,SUMPRODUCT(MAX(ROW(E$1:E873)*(E2=E$1:E873))))))</f>
        <v> </v>
      </c>
      <c r="K874" s="25" t="str">
        <f>IF(OR(E874="",E874="!!!",F874="NEW"),"",INDEX(J$1:J873,SUMPRODUCT(MAX(ROW(E$1:E873)*(E874=E$1:E873)))))</f>
        <v> </v>
      </c>
      <c r="L874" s="26"/>
    </row>
    <row r="875" spans="1:12">
      <c r="A875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2024-07-05T04:32:20Z</dcterms:created>
  <dcterms:modified xsi:type="dcterms:W3CDTF">2024-07-05T04:32:20Z</dcterms:modified>
</cp:coreProperties>
</file>