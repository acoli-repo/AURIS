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<sst xmlns="http://schemas.openxmlformats.org/spreadsheetml/2006/main" count="1571" uniqueCount="641">
  <si>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</si>
  <si>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</si>
  <si>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</si>
  <si>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</si>
  <si>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</si>
  <si>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</si>
  <si>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</si>
  <si>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</si>
  <si>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</si>
  <si>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</si>
  <si>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</si>
  <si>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5</t>
  </si>
  <si>
    <t>_</t>
  </si>
  <si>
    <t>служить</t>
  </si>
  <si>
    <t>Сильный дождь , наводнение служат причиной спасательных работ в Луизиане , штат Миссисипи Сильный дождь и широкомасштабное наводнение в Луизиане вынудили губернатора объявить чрезвычайное положение в пятницу , при этом еще больше осадков , как ожидается , выпадут над штатом до субботы включительно .</t>
  </si>
  <si>
    <t>file://conllu/ru/cbsnews.146291.conllu#s1_0</t>
  </si>
  <si>
    <t>2</t>
  </si>
  <si>
    <t>9</t>
  </si>
  <si>
    <t>выйти</t>
  </si>
  <si>
    <t>Многочисленные реки на юго-востоке Луизианы и юге Миссисипи вышли из берегов и угрожают широкомасштабным наводнением после экстремального количества осадков , сообщила Национальная Метеорологическая служба .</t>
  </si>
  <si>
    <t>file://conllu/ru/cbsnews.146291.conllu#s2_0</t>
  </si>
  <si>
    <t>3</t>
  </si>
  <si>
    <t>Луизиана</t>
  </si>
  <si>
    <t>Губернатор Луизианы Джон Белл Эдвардс заявил , что государственные чиновники находятся в постоянном контакте с местными властями и помощь уже выехала к пострадавшим приходам .</t>
  </si>
  <si>
    <t>file://conllu/ru/cbsnews.146291.conllu#s3_0</t>
  </si>
  <si>
    <t>4</t>
  </si>
  <si>
    <t>15</t>
  </si>
  <si>
    <t>заявить</t>
  </si>
  <si>
    <t>Майк Стил , представитель Канцелярии губернатора по национальной безопасности и готовности к чрезвычайным ситуациям заявил , что поступают запросы на транспорт для высокой воды , лодки и мешки с песком .</t>
  </si>
  <si>
    <t>file://conllu/ru/cbsnews.146291.conllu#s4_0</t>
  </si>
  <si>
    <t>Стить</t>
  </si>
  <si>
    <t>Стил сказал , что только приход Танджипахоа запросил десятки тысяч мешков с песком .</t>
  </si>
  <si>
    <t>file://conllu/ru/cbsnews.146291.conllu#s5_0</t>
  </si>
  <si>
    <t>6</t>
  </si>
  <si>
    <t>оставаться</t>
  </si>
  <si>
    <t>Опасность наводнения остается в силе до субботы на большей части юга Луизианы .</t>
  </si>
  <si>
    <t>file://conllu/ru/cbsnews.146291.conllu#s6_0</t>
  </si>
  <si>
    <t>7</t>
  </si>
  <si>
    <t>сказать</t>
  </si>
  <si>
    <t>Метеослужба сказала в заявлении , что дополнительные 3 – 5 дюймов могут нахлынуть на область .</t>
  </si>
  <si>
    <t>file://conllu/ru/cbsnews.146291.conllu#s7_0</t>
  </si>
  <si>
    <t>8</t>
  </si>
  <si>
    <t>действовать</t>
  </si>
  <si>
    <t>В южной Алабаме дежурство в ожидании наводнения действовало до пятницы , так как дождь продолжал идти в районе Мобила .</t>
  </si>
  <si>
    <t>file://conllu/ru/cbsnews.146291.conllu#s8_0</t>
  </si>
  <si>
    <t>Комит</t>
  </si>
  <si>
    <t>Река Комит рядом с Батон-Ружем и река Эймит рядом с Денем Спрингс , обе в Луизиане , по прогнозам должны были установить рекорд уровня паводка в минувшие выходные .</t>
  </si>
  <si>
    <t>file://conllu/ru/cbsnews.146291.conllu#s9_0</t>
  </si>
  <si>
    <t>10</t>
  </si>
  <si>
    <t>Синоптик Алек Краутманн сказал , что обе реки могли затопить много домов в пригородных районах вблизи Батон-Ружа .</t>
  </si>
  <si>
    <t>file://conllu/ru/cbsnews.146291.conllu#s10_0</t>
  </si>
  <si>
    <t>11</t>
  </si>
  <si>
    <t>Он также сказал , что наводнение , идущее вниз по течению в приходе Ассеншен , является угрозой , так как эти вздувшиеся реки будут медленно стекать в озеро Морпа .</t>
  </si>
  <si>
    <t>file://conllu/ru/cbsnews.146291.conllu#s11_0</t>
  </si>
  <si>
    <t>12</t>
  </si>
  <si>
    <t>река</t>
  </si>
  <si>
    <t>Река Тикфо , чуть южнее границы штата Миссисипи в Ливерпуле , штат Луизиана , достигла наивысшего из когда-либо зарегистрированных уровней в 9 часов утра пятницы .</t>
  </si>
  <si>
    <t>file://conllu/ru/cbsnews.146291.conllu#s12_0</t>
  </si>
  <si>
    <t>13</t>
  </si>
  <si>
    <t>вытаскивать</t>
  </si>
  <si>
    <t>Спасатели все еще вытаскивали людей из наводнения в округах Эймит и Уилкинсон на юго-западе штата Миссисипи .</t>
  </si>
  <si>
    <t>file://conllu/ru/cbsnews.146291.conllu#s13_0</t>
  </si>
  <si>
    <t>14</t>
  </si>
  <si>
    <t>Лерый</t>
  </si>
  <si>
    <t>Лерой Хансфорд , его жена и пасынок были среди спасенных раннее в пятницу возле Глостера .</t>
  </si>
  <si>
    <t>file://conllu/ru/cbsnews.146291.conllu#s14_0</t>
  </si>
  <si>
    <t>говорить</t>
  </si>
  <si>
    <t>Хансфорд , 62 лет , говорит , что воды Бивер-Крик , которые находятся обычно в более , чем 400 футах от его дома , быстро поднялись за ночь .</t>
  </si>
  <si>
    <t>file://conllu/ru/cbsnews.146291.conllu#s15_0</t>
  </si>
  <si>
    <t>16</t>
  </si>
  <si>
    <t>Он сказал , что другой пасынок , который живет неподалеку , предупредил его .</t>
  </si>
  <si>
    <t>file://conllu/ru/cbsnews.146291.conllu#s16_0</t>
  </si>
  <si>
    <t>17</t>
  </si>
  <si>
    <t>проснуться</t>
  </si>
  <si>
    <t>&amp;quot; Мы проснулись , и вода продолжала наступать &amp;quot; , — сказал Хансфорд .</t>
  </si>
  <si>
    <t>file://conllu/ru/cbsnews.146291.conllu#s17_0</t>
  </si>
  <si>
    <t>18</t>
  </si>
  <si>
    <t>достичь</t>
  </si>
  <si>
    <t>Она достигла уровня моего пояса .</t>
  </si>
  <si>
    <t>file://conllu/ru/cbsnews.146291.conllu#s18_0</t>
  </si>
  <si>
    <t>19</t>
  </si>
  <si>
    <t>Его жена сказала Хансфорду , что это самый большой приток , который она видела за 48 лет , что жила здесь .</t>
  </si>
  <si>
    <t>file://conllu/ru/cbsnews.146291.conllu#s19_0</t>
  </si>
  <si>
    <t>20</t>
  </si>
  <si>
    <t>Хансфорд сказал , что у него и всех членов его семьи инвалидность , и он единственный , кто умеет плавать .</t>
  </si>
  <si>
    <t>file://conllu/ru/cbsnews.146291.conllu#s20_0</t>
  </si>
  <si>
    <t>21</t>
  </si>
  <si>
    <t>Хансфорд сказал , что работники спасательной службы спасли всех троих с помощью армейского грузовика и доставили их на пожарную станцию в Глостере , где они укрывались в пятницу .</t>
  </si>
  <si>
    <t>file://conllu/ru/cbsnews.146291.conllu#s21_0</t>
  </si>
  <si>
    <t>22</t>
  </si>
  <si>
    <t>Краутманн говорит , что наводнение &amp;quot; быстро распространяется &amp;quot; , так как дожди продолжаются , отмечая , что чиновники рассматривают приказ об эвакуации .</t>
  </si>
  <si>
    <t>file://conllu/ru/cbsnews.146291.conllu#s22_0</t>
  </si>
  <si>
    <t>23</t>
  </si>
  <si>
    <t>Краутманн говорит , что один наблюдатель возле Ливингстона сообщил о выпадении 13,75 дюймов дождя с полуночи до утра пятницы .</t>
  </si>
  <si>
    <t>file://conllu/ru/cbsnews.146291.conllu#s23_0</t>
  </si>
  <si>
    <t>24</t>
  </si>
  <si>
    <t>Краутманн сказал , что почва была перенасыщена дождевыми осадками со среды .</t>
  </si>
  <si>
    <t>file://conllu/ru/cbsnews.146291.conllu#s24_0</t>
  </si>
  <si>
    <t>25</t>
  </si>
  <si>
    <t>привести</t>
  </si>
  <si>
    <t>Сильный дождь и затопление улиц привели к работам по спасению жителей из домов в приходе Танджипахоа и отмене занятий в пяти школьных округах , заявляют власти .</t>
  </si>
  <si>
    <t>file://conllu/ru/cbsnews.146291.conllu#s25_0</t>
  </si>
  <si>
    <t>26</t>
  </si>
  <si>
    <t>сообщать</t>
  </si>
  <si>
    <t>WWL , филиал CBS , сообщает , что советник Танджипахоа рассказала о 200 затопленных домов .</t>
  </si>
  <si>
    <t>file://conllu/ru/cbsnews.146291.conllu#s26_0</t>
  </si>
  <si>
    <t>27</t>
  </si>
  <si>
    <t>эвакуировать</t>
  </si>
  <si>
    <t>Жители были эвакуированы в две церкви , но они обе сейчас затопляются .</t>
  </si>
  <si>
    <t>file://conllu/ru/cbsnews.146291.conllu#s27_0</t>
  </si>
  <si>
    <t>28</t>
  </si>
  <si>
    <t>Председатель прихода Робби Миллер заявил , что власти спасли 72 человека и семь домашних животных , оказавшихся в высокой воде .</t>
  </si>
  <si>
    <t>file://conllu/ru/cbsnews.146291.conllu#s28_0</t>
  </si>
  <si>
    <t>29</t>
  </si>
  <si>
    <t>открыть</t>
  </si>
  <si>
    <t>Приюты были открыты в городе Эймит и городе Хэммонд , чтобы принять тех , кто был эвакуирован .</t>
  </si>
  <si>
    <t>file://conllu/ru/cbsnews.146291.conllu#s29_0</t>
  </si>
  <si>
    <t>30</t>
  </si>
  <si>
    <t>быть</t>
  </si>
  <si>
    <t>&amp;quot; У них будет возможность вернуться домой , как только вода начнет отступать &amp;quot; , сказал он .</t>
  </si>
  <si>
    <t>file://conllu/ru/cbsnews.146291.conllu#s30_0</t>
  </si>
  <si>
    <t>31</t>
  </si>
  <si>
    <t>закрыть</t>
  </si>
  <si>
    <t>В городе Хэммонд прихода Танджипахоа около двух десятков улиц были закрыты из-за высокого уровня воды , а мешки с песком были доступны для выдачи жителям в надежде , что они удержат воду вдали от домов и предприятий .</t>
  </si>
  <si>
    <t>file://conllu/ru/cbsnews.146291.conllu#s31_0</t>
  </si>
  <si>
    <t>32</t>
  </si>
  <si>
    <t>быть (быть март)</t>
  </si>
  <si>
    <t>&amp;quot; Последнее крупное наводнение , которое у нас было , было в марте &amp;quot; , — сказал городской управляющий Лейси Ландрум .</t>
  </si>
  <si>
    <t>file://conllu/ru/cbsnews.146291.conllu#s32_0</t>
  </si>
  <si>
    <t>33</t>
  </si>
  <si>
    <t>путь</t>
  </si>
  <si>
    <t>Это на пути к тому , чтобы стать аналогичным событием .</t>
  </si>
  <si>
    <t>file://conllu/ru/cbsnews.146291.conllu#s33_0</t>
  </si>
  <si>
    <t>34</t>
  </si>
  <si>
    <t>сообщить</t>
  </si>
  <si>
    <t>В Миссисипи , округ Харрисон , руководитель Службы по чрезвычайным ситуациям Руперт Лейси сообщил , что обложной дождь продолжал идти на побережье Мексиканского залива .</t>
  </si>
  <si>
    <t>file://conllu/ru/cbsnews.146291.conllu#s34_0</t>
  </si>
  <si>
    <t>35</t>
  </si>
  <si>
    <t>регистрировать</t>
  </si>
  <si>
    <t>По его словам , несколько домов были зарегистрированы как затопленные в четверг , но ни один не был зарегистрирован в пятницу .</t>
  </si>
  <si>
    <t>file://conllu/ru/cbsnews.146291.conllu#s35_0</t>
  </si>
  <si>
    <t>36</t>
  </si>
  <si>
    <t>жить</t>
  </si>
  <si>
    <t>Кейт Тоусон , руководитель магазина Shopper Value Foods в Эймит , живет в этом районе 40 лет .</t>
  </si>
  <si>
    <t>file://conllu/ru/cbsnews.146291.conllu#s36_0</t>
  </si>
  <si>
    <t>37</t>
  </si>
  <si>
    <t>сказать (сказать видеть)</t>
  </si>
  <si>
    <t>&amp;quot; Я видел воду в тех местах , где я раньше никогда её не видел , сказал Таусон , и она до сих пор льёт на землю &amp;quot; .</t>
  </si>
  <si>
    <t>file://conllu/ru/cbsnews.146291.conllu#s37_0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</si>
  <si>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</si>
  <si>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</si>
  <si>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</si>
  <si>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</si>
  <si>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</si>
  <si>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</si>
  <si>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</si>
  <si>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</si>
  <si>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</si>
  <si>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</si>
  <si>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</si>
  <si>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Сильный дождь, наводнение служат причиной спасательных работ в Луизиане, штат Миссисипи Сильный дождь и широкомасштабное наводнение в Луизиане вынудили губернатора объявить чрезвычайное положение в пятницу, при этом еще больше осадков, как ожидается, выпадут над штатом до субботы включительно.</t>
  </si>
  <si>
    <t>Сильный</t>
  </si>
  <si>
    <t>дождь</t>
  </si>
  <si>
    <t>SBJ</t>
  </si>
  <si>
    <t>,</t>
  </si>
  <si>
    <t>наводнение</t>
  </si>
  <si>
    <t>служат</t>
  </si>
  <si>
    <t>причиной</t>
  </si>
  <si>
    <t>спасательных</t>
  </si>
  <si>
    <t>работ</t>
  </si>
  <si>
    <t>в</t>
  </si>
  <si>
    <t>Луизиане</t>
  </si>
  <si>
    <t>other_3</t>
  </si>
  <si>
    <t>ne</t>
  </si>
  <si>
    <t>?OLD</t>
  </si>
  <si>
    <t>штат</t>
  </si>
  <si>
    <t>SBJ_5</t>
  </si>
  <si>
    <t>Миссисипи</t>
  </si>
  <si>
    <t>other_6</t>
  </si>
  <si>
    <t>и</t>
  </si>
  <si>
    <t>широкомасштабное</t>
  </si>
  <si>
    <t>other_5</t>
  </si>
  <si>
    <t>вынудили</t>
  </si>
  <si>
    <t>губернатора</t>
  </si>
  <si>
    <t>OBJ_2</t>
  </si>
  <si>
    <t>объявить</t>
  </si>
  <si>
    <t>чрезвычайное</t>
  </si>
  <si>
    <t>положение</t>
  </si>
  <si>
    <t>OBJ_3</t>
  </si>
  <si>
    <t>пятницу</t>
  </si>
  <si>
    <t>при</t>
  </si>
  <si>
    <t>этом</t>
  </si>
  <si>
    <t>pron.pds</t>
  </si>
  <si>
    <t>еще</t>
  </si>
  <si>
    <t>больше</t>
  </si>
  <si>
    <t>осадков</t>
  </si>
  <si>
    <t>как</t>
  </si>
  <si>
    <t>ожидается</t>
  </si>
  <si>
    <t>выпадут</t>
  </si>
  <si>
    <t>над</t>
  </si>
  <si>
    <t>штатом</t>
  </si>
  <si>
    <t>до</t>
  </si>
  <si>
    <t>субботы</t>
  </si>
  <si>
    <t>включительно</t>
  </si>
  <si>
    <t>.</t>
  </si>
  <si>
    <t># text = Многочисленные реки на юго-востоке Луизианы и юге Миссисипи вышли из берегов и угрожают широкомасштабным наводнением после экстремального количества осадков, сообщила Национальная Метеорологическая служба.</t>
  </si>
  <si>
    <t>Многочисленные</t>
  </si>
  <si>
    <t>реки</t>
  </si>
  <si>
    <t>на</t>
  </si>
  <si>
    <t>юго-востоке</t>
  </si>
  <si>
    <t>Луизианы</t>
  </si>
  <si>
    <t>юге</t>
  </si>
  <si>
    <t>other_4</t>
  </si>
  <si>
    <t>вышли</t>
  </si>
  <si>
    <t>из</t>
  </si>
  <si>
    <t>берегов</t>
  </si>
  <si>
    <t>угрожают</t>
  </si>
  <si>
    <t>широкомасштабным</t>
  </si>
  <si>
    <t>наводнением</t>
  </si>
  <si>
    <t>после</t>
  </si>
  <si>
    <t>экстремального</t>
  </si>
  <si>
    <t>количества</t>
  </si>
  <si>
    <t>сообщила</t>
  </si>
  <si>
    <t>Национальная</t>
  </si>
  <si>
    <t>Метеорологическая</t>
  </si>
  <si>
    <t>служба</t>
  </si>
  <si>
    <t>SBJ_2</t>
  </si>
  <si>
    <t># text = Губернатор Луизианы Джон Белл Эдвардс заявил, что государственные чиновники находятся в постоянном контакте с местными властями и помощь уже выехала к пострадавшим приходам.</t>
  </si>
  <si>
    <t>Губернатор</t>
  </si>
  <si>
    <t>Джон</t>
  </si>
  <si>
    <t>Белл</t>
  </si>
  <si>
    <t>other_2</t>
  </si>
  <si>
    <t>Эдвардс</t>
  </si>
  <si>
    <t>заявил</t>
  </si>
  <si>
    <t>что</t>
  </si>
  <si>
    <t>государственные</t>
  </si>
  <si>
    <t>чиновники</t>
  </si>
  <si>
    <t>SBJ_3</t>
  </si>
  <si>
    <t>находятся</t>
  </si>
  <si>
    <t>постоянном</t>
  </si>
  <si>
    <t>контакте</t>
  </si>
  <si>
    <t>с</t>
  </si>
  <si>
    <t>местными</t>
  </si>
  <si>
    <t>властями</t>
  </si>
  <si>
    <t>помощь</t>
  </si>
  <si>
    <t>SBJ_4</t>
  </si>
  <si>
    <t>уже</t>
  </si>
  <si>
    <t>выехала</t>
  </si>
  <si>
    <t>к</t>
  </si>
  <si>
    <t>пострадавшим</t>
  </si>
  <si>
    <t>приходам</t>
  </si>
  <si>
    <t># text = Майк Стил, представитель Канцелярии губернатора по национальной безопасности и готовности к чрезвычайным ситуациям заявил, что поступают запросы на транспорт для высокой воды, лодки и мешки с песком.</t>
  </si>
  <si>
    <t>Майк</t>
  </si>
  <si>
    <t>Стил</t>
  </si>
  <si>
    <t>представитель</t>
  </si>
  <si>
    <t>def-np.poss</t>
  </si>
  <si>
    <t>Канцелярии</t>
  </si>
  <si>
    <t>по</t>
  </si>
  <si>
    <t>национальной</t>
  </si>
  <si>
    <t>безопасности</t>
  </si>
  <si>
    <t>готовности</t>
  </si>
  <si>
    <t>чрезвычайным</t>
  </si>
  <si>
    <t>ситуациям</t>
  </si>
  <si>
    <t>поступают</t>
  </si>
  <si>
    <t>запросы</t>
  </si>
  <si>
    <t>транспорт</t>
  </si>
  <si>
    <t>для</t>
  </si>
  <si>
    <t>высокой</t>
  </si>
  <si>
    <t>воды</t>
  </si>
  <si>
    <t>лодки</t>
  </si>
  <si>
    <t>мешки</t>
  </si>
  <si>
    <t>песком</t>
  </si>
  <si>
    <t># text = Стил сказал, что только приход Танджипахоа запросил десятки тысяч мешков с песком.</t>
  </si>
  <si>
    <t>сказал</t>
  </si>
  <si>
    <t>только</t>
  </si>
  <si>
    <t>приход</t>
  </si>
  <si>
    <t>Танджипахоа</t>
  </si>
  <si>
    <t>запросил</t>
  </si>
  <si>
    <t>десятки</t>
  </si>
  <si>
    <t>тысяч</t>
  </si>
  <si>
    <t>мешков</t>
  </si>
  <si>
    <t># text = Опасность наводнения остается в силе до субботы на большей части юга Луизианы.</t>
  </si>
  <si>
    <t>Опасность</t>
  </si>
  <si>
    <t>наводнения</t>
  </si>
  <si>
    <t>остается</t>
  </si>
  <si>
    <t>силе</t>
  </si>
  <si>
    <t>большей</t>
  </si>
  <si>
    <t>части</t>
  </si>
  <si>
    <t>юга</t>
  </si>
  <si>
    <t># text = Метеослужба сказала в заявлении, что дополнительные 3–5 дюймов могут нахлынуть на область.</t>
  </si>
  <si>
    <t>Метеослужба</t>
  </si>
  <si>
    <t>сказала</t>
  </si>
  <si>
    <t>заявлении</t>
  </si>
  <si>
    <t>дополнительные</t>
  </si>
  <si>
    <t>–</t>
  </si>
  <si>
    <t>дюймов</t>
  </si>
  <si>
    <t>indef-np.quant</t>
  </si>
  <si>
    <t>могут</t>
  </si>
  <si>
    <t>нахлынуть</t>
  </si>
  <si>
    <t>область</t>
  </si>
  <si>
    <t># text = В южной Алабаме дежурство в ожидании наводнения действовало до пятницы, так как дождь продолжал идти в районе Мобила.</t>
  </si>
  <si>
    <t>В</t>
  </si>
  <si>
    <t>южной</t>
  </si>
  <si>
    <t>Алабаме</t>
  </si>
  <si>
    <t>other</t>
  </si>
  <si>
    <t>дежурство</t>
  </si>
  <si>
    <t>ожидании</t>
  </si>
  <si>
    <t>действовало</t>
  </si>
  <si>
    <t>пятницы</t>
  </si>
  <si>
    <t>так</t>
  </si>
  <si>
    <t>продолжал</t>
  </si>
  <si>
    <t>идти</t>
  </si>
  <si>
    <t>районе</t>
  </si>
  <si>
    <t>Мобила</t>
  </si>
  <si>
    <t># text = Река Комит рядом с Батон-Ружем и река Эймит рядом с Денем Спрингс, обе в Луизиане, по прогнозам должны были установить рекорд уровня паводка в минувшие выходные.</t>
  </si>
  <si>
    <t>Река</t>
  </si>
  <si>
    <t>рядом</t>
  </si>
  <si>
    <t>Батон-Ружем</t>
  </si>
  <si>
    <t>Эймит</t>
  </si>
  <si>
    <t>Денем</t>
  </si>
  <si>
    <t>Спрингс</t>
  </si>
  <si>
    <t>обе</t>
  </si>
  <si>
    <t>прогнозам</t>
  </si>
  <si>
    <t>должны</t>
  </si>
  <si>
    <t>были</t>
  </si>
  <si>
    <t>установить</t>
  </si>
  <si>
    <t>рекорд</t>
  </si>
  <si>
    <t>OBJ_4</t>
  </si>
  <si>
    <t>уровня</t>
  </si>
  <si>
    <t>паводка</t>
  </si>
  <si>
    <t>минувшие</t>
  </si>
  <si>
    <t>выходные</t>
  </si>
  <si>
    <t># text = Синоптик Алек Краутманн сказал, что обе реки могли затопить много домов в пригородных районах вблизи Батон-Ружа.</t>
  </si>
  <si>
    <t>Синоптик</t>
  </si>
  <si>
    <t>Алек</t>
  </si>
  <si>
    <t>Краутманн</t>
  </si>
  <si>
    <t>могли</t>
  </si>
  <si>
    <t>затопить</t>
  </si>
  <si>
    <t>много</t>
  </si>
  <si>
    <t>домов</t>
  </si>
  <si>
    <t>пригородных</t>
  </si>
  <si>
    <t>районах</t>
  </si>
  <si>
    <t>вблизи</t>
  </si>
  <si>
    <t>Батон-Ружа</t>
  </si>
  <si>
    <t># text = Он также сказал, что наводнение, идущее вниз по течению в приходе Ассеншен, является угрозой, так как эти вздувшиеся реки будут медленно стекать в озеро Морпа.</t>
  </si>
  <si>
    <t>Он</t>
  </si>
  <si>
    <t>pron</t>
  </si>
  <si>
    <t>также</t>
  </si>
  <si>
    <t>идущее</t>
  </si>
  <si>
    <t>вниз</t>
  </si>
  <si>
    <t>течению</t>
  </si>
  <si>
    <t>приходе</t>
  </si>
  <si>
    <t>Ассеншен</t>
  </si>
  <si>
    <t>является</t>
  </si>
  <si>
    <t>угрозой</t>
  </si>
  <si>
    <t>эти</t>
  </si>
  <si>
    <t>вздувшиеся</t>
  </si>
  <si>
    <t>def-np.dem</t>
  </si>
  <si>
    <t>будут</t>
  </si>
  <si>
    <t>медленно</t>
  </si>
  <si>
    <t>стекать</t>
  </si>
  <si>
    <t>озеро</t>
  </si>
  <si>
    <t>Морпа</t>
  </si>
  <si>
    <t># text = Река Тикфо, чуть южнее границы штата Миссисипи в Ливерпуле, штат Луизиана, достигла наивысшего из когда-либо зарегистрированных уровней в 9 часов утра пятницы.</t>
  </si>
  <si>
    <t>Тикфо</t>
  </si>
  <si>
    <t>чуть</t>
  </si>
  <si>
    <t>южнее</t>
  </si>
  <si>
    <t>границы</t>
  </si>
  <si>
    <t>штата</t>
  </si>
  <si>
    <t>Ливерпуле</t>
  </si>
  <si>
    <t>достигла</t>
  </si>
  <si>
    <t>наивысшего</t>
  </si>
  <si>
    <t>когда-либо</t>
  </si>
  <si>
    <t>зарегистрированных</t>
  </si>
  <si>
    <t>уровней</t>
  </si>
  <si>
    <t>часов</t>
  </si>
  <si>
    <t>утра</t>
  </si>
  <si>
    <t># text = Спасатели все еще вытаскивали людей из наводнения в округах Эймит и Уилкинсон на юго-западе штата Миссисипи.</t>
  </si>
  <si>
    <t>Спасатели</t>
  </si>
  <si>
    <t>все</t>
  </si>
  <si>
    <t>вытаскивали</t>
  </si>
  <si>
    <t>людей</t>
  </si>
  <si>
    <t>OBJ</t>
  </si>
  <si>
    <t>округах</t>
  </si>
  <si>
    <t>Уилкинсон</t>
  </si>
  <si>
    <t>юго-западе</t>
  </si>
  <si>
    <t># text = Лерой Хансфорд, его жена и пасынок были среди спасенных раннее в пятницу возле Глостера.</t>
  </si>
  <si>
    <t>Лерой</t>
  </si>
  <si>
    <t>Хансфорд</t>
  </si>
  <si>
    <t>его</t>
  </si>
  <si>
    <t>жена</t>
  </si>
  <si>
    <t>пасынок</t>
  </si>
  <si>
    <t>среди</t>
  </si>
  <si>
    <t>спасенных</t>
  </si>
  <si>
    <t>раннее</t>
  </si>
  <si>
    <t>возле</t>
  </si>
  <si>
    <t>Глостера</t>
  </si>
  <si>
    <t># text = Хансфорд, 62 лет, говорит, что воды Бивер-Крик, которые находятся обычно в более, чем 400 футах от его дома, быстро поднялись за ночь.</t>
  </si>
  <si>
    <t>62</t>
  </si>
  <si>
    <t>лет</t>
  </si>
  <si>
    <t>говорит</t>
  </si>
  <si>
    <t>Бивер-Крик</t>
  </si>
  <si>
    <t>которые</t>
  </si>
  <si>
    <t>pron.pint</t>
  </si>
  <si>
    <t>обычно</t>
  </si>
  <si>
    <t>более</t>
  </si>
  <si>
    <t>чем</t>
  </si>
  <si>
    <t>400</t>
  </si>
  <si>
    <t>футах</t>
  </si>
  <si>
    <t>от</t>
  </si>
  <si>
    <t>pron.ppos</t>
  </si>
  <si>
    <t>дома</t>
  </si>
  <si>
    <t>быстро</t>
  </si>
  <si>
    <t>поднялись</t>
  </si>
  <si>
    <t>за</t>
  </si>
  <si>
    <t>ночь</t>
  </si>
  <si>
    <t># text = Он сказал, что другой пасынок, который живет неподалеку, предупредил его.</t>
  </si>
  <si>
    <t>другой</t>
  </si>
  <si>
    <t>который</t>
  </si>
  <si>
    <t>живет</t>
  </si>
  <si>
    <t>неподалеку</t>
  </si>
  <si>
    <t>предупредил</t>
  </si>
  <si>
    <t>--</t>
  </si>
  <si>
    <t># text = \"Мы проснулись, и вода продолжала наступать\", — сказал Хансфорд.</t>
  </si>
  <si>
    <t>&amp;quot;</t>
  </si>
  <si>
    <t>Мы</t>
  </si>
  <si>
    <t>проснулись</t>
  </si>
  <si>
    <t>вода</t>
  </si>
  <si>
    <t>продолжала</t>
  </si>
  <si>
    <t>наступать</t>
  </si>
  <si>
    <t>—</t>
  </si>
  <si>
    <t># text = Она достигла уровня моего пояса.</t>
  </si>
  <si>
    <t>Она</t>
  </si>
  <si>
    <t>моего</t>
  </si>
  <si>
    <t>пояса</t>
  </si>
  <si>
    <t># text = Его жена сказала Хансфорду, что это самый большой приток, который она видела за 48 лет, что жила здесь.</t>
  </si>
  <si>
    <t>Его</t>
  </si>
  <si>
    <t>Хансфорду</t>
  </si>
  <si>
    <t>это</t>
  </si>
  <si>
    <t>самый</t>
  </si>
  <si>
    <t>большой</t>
  </si>
  <si>
    <t>приток</t>
  </si>
  <si>
    <t>она</t>
  </si>
  <si>
    <t>видела</t>
  </si>
  <si>
    <t>48</t>
  </si>
  <si>
    <t>жила</t>
  </si>
  <si>
    <t>здесь</t>
  </si>
  <si>
    <t># text = Хансфорд сказал, что у него и всех членов его семьи инвалидность, и он единственный, кто умеет плавать.</t>
  </si>
  <si>
    <t>у</t>
  </si>
  <si>
    <t>него</t>
  </si>
  <si>
    <t>всех</t>
  </si>
  <si>
    <t>членов</t>
  </si>
  <si>
    <t>семьи</t>
  </si>
  <si>
    <t>инвалидность</t>
  </si>
  <si>
    <t>он</t>
  </si>
  <si>
    <t>единственный</t>
  </si>
  <si>
    <t>кто</t>
  </si>
  <si>
    <t>умеет</t>
  </si>
  <si>
    <t>плавать</t>
  </si>
  <si>
    <t># text = Хансфорд сказал, что работники спасательной службы спасли всех троих с помощью армейского грузовика и доставили их на пожарную станцию в Глостере, где они укрывались в пятницу.</t>
  </si>
  <si>
    <t>работники</t>
  </si>
  <si>
    <t>спасательной</t>
  </si>
  <si>
    <t>службы</t>
  </si>
  <si>
    <t>спасли</t>
  </si>
  <si>
    <t>троих</t>
  </si>
  <si>
    <t>помощью</t>
  </si>
  <si>
    <t>армейского</t>
  </si>
  <si>
    <t>грузовика</t>
  </si>
  <si>
    <t>доставили</t>
  </si>
  <si>
    <t>их</t>
  </si>
  <si>
    <t>пожарную</t>
  </si>
  <si>
    <t>станцию</t>
  </si>
  <si>
    <t>Глостере</t>
  </si>
  <si>
    <t>где</t>
  </si>
  <si>
    <t>они</t>
  </si>
  <si>
    <t>SBJ_6</t>
  </si>
  <si>
    <t>укрывались</t>
  </si>
  <si>
    <t># text = Краутманн говорит, что наводнение "быстро распространяется", так как дожди продолжаются, отмечая, что чиновники рассматривают приказ об эвакуации.</t>
  </si>
  <si>
    <t>распространяется</t>
  </si>
  <si>
    <t>дожди</t>
  </si>
  <si>
    <t>продолжаются</t>
  </si>
  <si>
    <t>отмечая</t>
  </si>
  <si>
    <t>рассматривают</t>
  </si>
  <si>
    <t>приказ</t>
  </si>
  <si>
    <t>OBJ_5</t>
  </si>
  <si>
    <t>об</t>
  </si>
  <si>
    <t>эвакуации</t>
  </si>
  <si>
    <t># text = Краутманн говорит, что один наблюдатель возле Ливингстона сообщил о выпадении 13,75 дюймов дождя с полуночи до утра пятницы.</t>
  </si>
  <si>
    <t>один</t>
  </si>
  <si>
    <t>наблюдатель</t>
  </si>
  <si>
    <t>Ливингстона</t>
  </si>
  <si>
    <t>сообщил</t>
  </si>
  <si>
    <t>о</t>
  </si>
  <si>
    <t>выпадении</t>
  </si>
  <si>
    <t>13,75</t>
  </si>
  <si>
    <t>дождя</t>
  </si>
  <si>
    <t>полуночи</t>
  </si>
  <si>
    <t># text = Краутманн сказал, что почва была перенасыщена дождевыми осадками со среды.</t>
  </si>
  <si>
    <t>почва</t>
  </si>
  <si>
    <t>была</t>
  </si>
  <si>
    <t>перенасыщена</t>
  </si>
  <si>
    <t>дождевыми</t>
  </si>
  <si>
    <t>осадками</t>
  </si>
  <si>
    <t>со</t>
  </si>
  <si>
    <t>среды</t>
  </si>
  <si>
    <t># text = Сильный дождь и затопление улиц привели к работам по спасению жителей из домов в приходе Танджипахоа и отмене занятий в пяти школьных округах, заявляют власти.</t>
  </si>
  <si>
    <t>затопление</t>
  </si>
  <si>
    <t>улиц</t>
  </si>
  <si>
    <t>привели</t>
  </si>
  <si>
    <t>работам</t>
  </si>
  <si>
    <t>спасению</t>
  </si>
  <si>
    <t>жителей</t>
  </si>
  <si>
    <t>отмене</t>
  </si>
  <si>
    <t>занятий</t>
  </si>
  <si>
    <t>пяти</t>
  </si>
  <si>
    <t>школьных</t>
  </si>
  <si>
    <t>заявляют</t>
  </si>
  <si>
    <t>власти</t>
  </si>
  <si>
    <t># text = WWL, филиал CBS, сообщает, что советник Танджипахоа рассказала о 200 затопленных домов.</t>
  </si>
  <si>
    <t>WWL</t>
  </si>
  <si>
    <t>филиал</t>
  </si>
  <si>
    <t>CBS</t>
  </si>
  <si>
    <t>сообщает</t>
  </si>
  <si>
    <t>советник</t>
  </si>
  <si>
    <t>рассказала</t>
  </si>
  <si>
    <t>200</t>
  </si>
  <si>
    <t>затопленных</t>
  </si>
  <si>
    <t># text = Жители были эвакуированы в две церкви, но они обе сейчас затопляются.</t>
  </si>
  <si>
    <t>Жители</t>
  </si>
  <si>
    <t>эвакуированы</t>
  </si>
  <si>
    <t>две</t>
  </si>
  <si>
    <t>церкви</t>
  </si>
  <si>
    <t>но</t>
  </si>
  <si>
    <t>сейчас</t>
  </si>
  <si>
    <t>затопляются</t>
  </si>
  <si>
    <t># text = Председатель прихода Робби Миллер заявил, что власти спасли 72 человека и семь домашних животных, оказавшихся в высокой воде.</t>
  </si>
  <si>
    <t>Председатель</t>
  </si>
  <si>
    <t>прихода</t>
  </si>
  <si>
    <t>Робби</t>
  </si>
  <si>
    <t>Миллер</t>
  </si>
  <si>
    <t>72</t>
  </si>
  <si>
    <t>человека</t>
  </si>
  <si>
    <t>семь</t>
  </si>
  <si>
    <t>домашних</t>
  </si>
  <si>
    <t>животных</t>
  </si>
  <si>
    <t>оказавшихся</t>
  </si>
  <si>
    <t>воде</t>
  </si>
  <si>
    <t># text = Приюты были открыты в городе Эймит и городе Хэммонд, чтобы принять тех, кто был эвакуирован.</t>
  </si>
  <si>
    <t>Приюты</t>
  </si>
  <si>
    <t>открыты</t>
  </si>
  <si>
    <t>городе</t>
  </si>
  <si>
    <t>Хэммонд</t>
  </si>
  <si>
    <t>чтобы</t>
  </si>
  <si>
    <t>принять</t>
  </si>
  <si>
    <t>тех</t>
  </si>
  <si>
    <t>был</t>
  </si>
  <si>
    <t>эвакуирован</t>
  </si>
  <si>
    <t># text = "У них будет возможность вернуться домой, как только вода начнет отступать", сказал он.</t>
  </si>
  <si>
    <t>У</t>
  </si>
  <si>
    <t>них</t>
  </si>
  <si>
    <t>будет</t>
  </si>
  <si>
    <t>возможность</t>
  </si>
  <si>
    <t>вернуться</t>
  </si>
  <si>
    <t>домой</t>
  </si>
  <si>
    <t>начнет</t>
  </si>
  <si>
    <t>отступать</t>
  </si>
  <si>
    <t># text = В городе Хэммонд прихода Танджипахоа около двух десятков улиц были закрыты из-за высокого уровня воды, а мешки с песком были доступны для выдачи жителям в надежде, что они удержат воду вдали от домов и предприятий.</t>
  </si>
  <si>
    <t>около</t>
  </si>
  <si>
    <t>двух</t>
  </si>
  <si>
    <t>десятков</t>
  </si>
  <si>
    <t>закрыты</t>
  </si>
  <si>
    <t>из-за</t>
  </si>
  <si>
    <t>высокого</t>
  </si>
  <si>
    <t>а</t>
  </si>
  <si>
    <t>доступны</t>
  </si>
  <si>
    <t>выдачи</t>
  </si>
  <si>
    <t>жителям</t>
  </si>
  <si>
    <t>надежде</t>
  </si>
  <si>
    <t>удержат</t>
  </si>
  <si>
    <t>воду</t>
  </si>
  <si>
    <t>вдали</t>
  </si>
  <si>
    <t>предприятий</t>
  </si>
  <si>
    <t># text = "Последнее крупное наводнение, которое у нас было, было в марте", — сказал городской управляющий Лейси Ландрум.</t>
  </si>
  <si>
    <t>Последнее</t>
  </si>
  <si>
    <t>крупное</t>
  </si>
  <si>
    <t>которое</t>
  </si>
  <si>
    <t>нас</t>
  </si>
  <si>
    <t>было</t>
  </si>
  <si>
    <t>марте</t>
  </si>
  <si>
    <t>городской</t>
  </si>
  <si>
    <t>управляющий</t>
  </si>
  <si>
    <t>Лейси</t>
  </si>
  <si>
    <t>Ландрум</t>
  </si>
  <si>
    <t># text = Это на пути к тому, чтобы стать аналогичным событием.</t>
  </si>
  <si>
    <t>Это</t>
  </si>
  <si>
    <t>пути</t>
  </si>
  <si>
    <t>тому</t>
  </si>
  <si>
    <t>стать</t>
  </si>
  <si>
    <t>аналогичным</t>
  </si>
  <si>
    <t>событием</t>
  </si>
  <si>
    <t># text = В Миссисипи, округ Харрисон, руководитель Службы по чрезвычайным ситуациям Руперт Лейси сообщил, что обложной дождь продолжал идти на побережье Мексиканского залива.</t>
  </si>
  <si>
    <t>округ</t>
  </si>
  <si>
    <t>Харрисон</t>
  </si>
  <si>
    <t>руководитель</t>
  </si>
  <si>
    <t>Службы</t>
  </si>
  <si>
    <t>Руперт</t>
  </si>
  <si>
    <t>обложной</t>
  </si>
  <si>
    <t>побережье</t>
  </si>
  <si>
    <t>Мексиканского</t>
  </si>
  <si>
    <t>залива</t>
  </si>
  <si>
    <t># text = По его словам, несколько домов были зарегистрированы как затопленные в четверг, но ни один не был зарегистрирован в пятницу.</t>
  </si>
  <si>
    <t>По</t>
  </si>
  <si>
    <t>словам</t>
  </si>
  <si>
    <t>несколько</t>
  </si>
  <si>
    <t>зарегистрированы</t>
  </si>
  <si>
    <t>затопленные</t>
  </si>
  <si>
    <t>четверг</t>
  </si>
  <si>
    <t>ни</t>
  </si>
  <si>
    <t>не</t>
  </si>
  <si>
    <t>зарегистрирован</t>
  </si>
  <si>
    <t># text = Кейт Тоусон, руководитель магазина Shopper Value Foods в Эймит, живет в этом районе 40 лет.</t>
  </si>
  <si>
    <t>Кейт</t>
  </si>
  <si>
    <t>Тоусон</t>
  </si>
  <si>
    <t>магазина</t>
  </si>
  <si>
    <t>Shopper</t>
  </si>
  <si>
    <t>Value</t>
  </si>
  <si>
    <t>Foods</t>
  </si>
  <si>
    <t>40</t>
  </si>
  <si>
    <t># text = "Я видел воду в тех местах, где я раньше никогда её не видел, - сказал Таусон, - и она до сих пор льёт на землю".</t>
  </si>
  <si>
    <t>Я</t>
  </si>
  <si>
    <t>видел</t>
  </si>
  <si>
    <t>местах</t>
  </si>
  <si>
    <t>я</t>
  </si>
  <si>
    <t>раньше</t>
  </si>
  <si>
    <t>никогда</t>
  </si>
  <si>
    <t>её</t>
  </si>
  <si>
    <t>Таусон</t>
  </si>
  <si>
    <t>сих</t>
  </si>
  <si>
    <t>пор</t>
  </si>
  <si>
    <t>льёт</t>
  </si>
  <si>
    <t>землю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</si>
</sst>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12</v>
      </c>
      <c r="D3" s="7" t="s">
        <v>18</v>
      </c>
      <c r="E3" s="8" t="s">
        <v>19</v>
      </c>
      <c r="F3" s="6" t="s">
        <v>20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21</v>
      </c>
      <c r="B4" s="6" t="s">
        <v>16</v>
      </c>
      <c r="C4" s="6" t="s">
        <v>12</v>
      </c>
      <c r="D4" s="7" t="s">
        <v>22</v>
      </c>
      <c r="E4" s="8" t="s">
        <v>23</v>
      </c>
      <c r="F4" s="6" t="s">
        <v>24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25</v>
      </c>
      <c r="B5" s="6" t="s">
        <v>26</v>
      </c>
      <c r="C5" s="6" t="s">
        <v>12</v>
      </c>
      <c r="D5" s="7" t="s">
        <v>27</v>
      </c>
      <c r="E5" s="8" t="s">
        <v>28</v>
      </c>
      <c r="F5" s="6" t="s">
        <v>29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11</v>
      </c>
      <c r="B6" s="6" t="s">
        <v>10</v>
      </c>
      <c r="C6" s="6" t="s">
        <v>12</v>
      </c>
      <c r="D6" s="7" t="s">
        <v>30</v>
      </c>
      <c r="E6" s="8" t="s">
        <v>31</v>
      </c>
      <c r="F6" s="6" t="s">
        <v>32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33</v>
      </c>
      <c r="B7" s="6" t="s">
        <v>21</v>
      </c>
      <c r="C7" s="6" t="s">
        <v>12</v>
      </c>
      <c r="D7" s="7" t="s">
        <v>34</v>
      </c>
      <c r="E7" s="8" t="s">
        <v>35</v>
      </c>
      <c r="F7" s="6" t="s">
        <v>36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37</v>
      </c>
      <c r="B8" s="6" t="s">
        <v>16</v>
      </c>
      <c r="C8" s="6" t="s">
        <v>12</v>
      </c>
      <c r="D8" s="7" t="s">
        <v>38</v>
      </c>
      <c r="E8" s="8" t="s">
        <v>39</v>
      </c>
      <c r="F8" s="6" t="s">
        <v>40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41</v>
      </c>
      <c r="B9" s="6" t="s">
        <v>41</v>
      </c>
      <c r="C9" s="6" t="s">
        <v>12</v>
      </c>
      <c r="D9" s="7" t="s">
        <v>42</v>
      </c>
      <c r="E9" s="8" t="s">
        <v>43</v>
      </c>
      <c r="F9" s="6" t="s">
        <v>44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17</v>
      </c>
      <c r="B10" s="6" t="s">
        <v>16</v>
      </c>
      <c r="C10" s="6" t="s">
        <v>12</v>
      </c>
      <c r="D10" s="7" t="s">
        <v>45</v>
      </c>
      <c r="E10" s="8" t="s">
        <v>46</v>
      </c>
      <c r="F10" s="6" t="s">
        <v>47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48</v>
      </c>
      <c r="B11" s="6" t="s">
        <v>25</v>
      </c>
      <c r="C11" s="6" t="s">
        <v>12</v>
      </c>
      <c r="D11" s="7" t="s">
        <v>38</v>
      </c>
      <c r="E11" s="8" t="s">
        <v>49</v>
      </c>
      <c r="F11" s="6" t="s">
        <v>50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51</v>
      </c>
      <c r="B12" s="6" t="s">
        <v>21</v>
      </c>
      <c r="C12" s="6" t="s">
        <v>12</v>
      </c>
      <c r="D12" s="7" t="s">
        <v>38</v>
      </c>
      <c r="E12" s="8" t="s">
        <v>52</v>
      </c>
      <c r="F12" s="6" t="s">
        <v>53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54</v>
      </c>
      <c r="B13" s="6" t="s">
        <v>10</v>
      </c>
      <c r="C13" s="6" t="s">
        <v>12</v>
      </c>
      <c r="D13" s="7" t="s">
        <v>55</v>
      </c>
      <c r="E13" s="8" t="s">
        <v>56</v>
      </c>
      <c r="F13" s="6" t="s">
        <v>57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58</v>
      </c>
      <c r="B14" s="6" t="s">
        <v>25</v>
      </c>
      <c r="C14" s="6" t="s">
        <v>12</v>
      </c>
      <c r="D14" s="7" t="s">
        <v>59</v>
      </c>
      <c r="E14" s="8" t="s">
        <v>60</v>
      </c>
      <c r="F14" s="6" t="s">
        <v>61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62</v>
      </c>
      <c r="B15" s="6" t="s">
        <v>10</v>
      </c>
      <c r="C15" s="6" t="s">
        <v>12</v>
      </c>
      <c r="D15" s="7" t="s">
        <v>63</v>
      </c>
      <c r="E15" s="8" t="s">
        <v>64</v>
      </c>
      <c r="F15" s="6" t="s">
        <v>65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26</v>
      </c>
      <c r="B16" s="6" t="s">
        <v>33</v>
      </c>
      <c r="C16" s="6" t="s">
        <v>12</v>
      </c>
      <c r="D16" s="7" t="s">
        <v>66</v>
      </c>
      <c r="E16" s="8" t="s">
        <v>67</v>
      </c>
      <c r="F16" s="6" t="s">
        <v>68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69</v>
      </c>
      <c r="B17" s="6" t="s">
        <v>16</v>
      </c>
      <c r="C17" s="6" t="s">
        <v>12</v>
      </c>
      <c r="D17" s="7" t="s">
        <v>38</v>
      </c>
      <c r="E17" s="8" t="s">
        <v>70</v>
      </c>
      <c r="F17" s="6" t="s">
        <v>71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72</v>
      </c>
      <c r="B18" s="6" t="s">
        <v>21</v>
      </c>
      <c r="C18" s="6" t="s">
        <v>12</v>
      </c>
      <c r="D18" s="7" t="s">
        <v>73</v>
      </c>
      <c r="E18" s="8" t="s">
        <v>74</v>
      </c>
      <c r="F18" s="6" t="s">
        <v>75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76</v>
      </c>
      <c r="B19" s="6" t="s">
        <v>16</v>
      </c>
      <c r="C19" s="6" t="s">
        <v>12</v>
      </c>
      <c r="D19" s="7" t="s">
        <v>77</v>
      </c>
      <c r="E19" s="8" t="s">
        <v>78</v>
      </c>
      <c r="F19" s="6" t="s">
        <v>79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80</v>
      </c>
      <c r="B20" s="6" t="s">
        <v>21</v>
      </c>
      <c r="C20" s="6" t="s">
        <v>12</v>
      </c>
      <c r="D20" s="7" t="s">
        <v>38</v>
      </c>
      <c r="E20" s="8" t="s">
        <v>81</v>
      </c>
      <c r="F20" s="6" t="s">
        <v>82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83</v>
      </c>
      <c r="B21" s="6" t="s">
        <v>16</v>
      </c>
      <c r="C21" s="6" t="s">
        <v>12</v>
      </c>
      <c r="D21" s="7" t="s">
        <v>38</v>
      </c>
      <c r="E21" s="8" t="s">
        <v>84</v>
      </c>
      <c r="F21" s="6" t="s">
        <v>85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86</v>
      </c>
      <c r="B22" s="6" t="s">
        <v>16</v>
      </c>
      <c r="C22" s="6" t="s">
        <v>12</v>
      </c>
      <c r="D22" s="7" t="s">
        <v>38</v>
      </c>
      <c r="E22" s="8" t="s">
        <v>87</v>
      </c>
      <c r="F22" s="6" t="s">
        <v>88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89</v>
      </c>
      <c r="B23" s="6" t="s">
        <v>16</v>
      </c>
      <c r="C23" s="6" t="s">
        <v>12</v>
      </c>
      <c r="D23" s="7" t="s">
        <v>66</v>
      </c>
      <c r="E23" s="8" t="s">
        <v>90</v>
      </c>
      <c r="F23" s="6" t="s">
        <v>91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92</v>
      </c>
      <c r="B24" s="6" t="s">
        <v>16</v>
      </c>
      <c r="C24" s="6" t="s">
        <v>12</v>
      </c>
      <c r="D24" s="7" t="s">
        <v>66</v>
      </c>
      <c r="E24" s="8" t="s">
        <v>93</v>
      </c>
      <c r="F24" s="6" t="s">
        <v>94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95</v>
      </c>
      <c r="B25" s="6" t="s">
        <v>16</v>
      </c>
      <c r="C25" s="6" t="s">
        <v>12</v>
      </c>
      <c r="D25" s="7" t="s">
        <v>38</v>
      </c>
      <c r="E25" s="8" t="s">
        <v>96</v>
      </c>
      <c r="F25" s="6" t="s">
        <v>97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98</v>
      </c>
      <c r="B26" s="6" t="s">
        <v>33</v>
      </c>
      <c r="C26" s="6" t="s">
        <v>12</v>
      </c>
      <c r="D26" s="7" t="s">
        <v>99</v>
      </c>
      <c r="E26" s="8" t="s">
        <v>100</v>
      </c>
      <c r="F26" s="6" t="s">
        <v>101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102</v>
      </c>
      <c r="B27" s="6" t="s">
        <v>33</v>
      </c>
      <c r="C27" s="6" t="s">
        <v>12</v>
      </c>
      <c r="D27" s="7" t="s">
        <v>103</v>
      </c>
      <c r="E27" s="8" t="s">
        <v>104</v>
      </c>
      <c r="F27" s="6" t="s">
        <v>105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106</v>
      </c>
      <c r="B28" s="6" t="s">
        <v>21</v>
      </c>
      <c r="C28" s="6" t="s">
        <v>12</v>
      </c>
      <c r="D28" s="7" t="s">
        <v>107</v>
      </c>
      <c r="E28" s="8" t="s">
        <v>108</v>
      </c>
      <c r="F28" s="6" t="s">
        <v>109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110</v>
      </c>
      <c r="B29" s="6" t="s">
        <v>11</v>
      </c>
      <c r="C29" s="6" t="s">
        <v>12</v>
      </c>
      <c r="D29" s="7" t="s">
        <v>27</v>
      </c>
      <c r="E29" s="8" t="s">
        <v>111</v>
      </c>
      <c r="F29" s="6" t="s">
        <v>112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113</v>
      </c>
      <c r="B30" s="6" t="s">
        <v>21</v>
      </c>
      <c r="C30" s="6" t="s">
        <v>12</v>
      </c>
      <c r="D30" s="7" t="s">
        <v>114</v>
      </c>
      <c r="E30" s="8" t="s">
        <v>115</v>
      </c>
      <c r="F30" s="6" t="s">
        <v>116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117</v>
      </c>
      <c r="B31" s="6" t="s">
        <v>25</v>
      </c>
      <c r="C31" s="6" t="s">
        <v>12</v>
      </c>
      <c r="D31" s="7" t="s">
        <v>118</v>
      </c>
      <c r="E31" s="8" t="s">
        <v>119</v>
      </c>
      <c r="F31" s="6" t="s">
        <v>120</v>
      </c>
      <c r="G31" s="9">
        <f>IF(A31=1,"_",IF(C31="_","???",C31))</f>
        <v/>
      </c>
      <c r="H31" s="10" t="s">
        <v>12</v>
      </c>
      <c r="I31" s="11" t="s">
        <v>12</v>
      </c>
      <c r="J31" s="12"/>
    </row>
    <row r="32" spans="1:10" ht="60" customHeight="1">
      <c r="A32" s="6" t="s">
        <v>121</v>
      </c>
      <c r="B32" s="6" t="s">
        <v>51</v>
      </c>
      <c r="C32" s="6" t="s">
        <v>12</v>
      </c>
      <c r="D32" s="7" t="s">
        <v>122</v>
      </c>
      <c r="E32" s="8" t="s">
        <v>123</v>
      </c>
      <c r="F32" s="6" t="s">
        <v>124</v>
      </c>
      <c r="G32" s="9">
        <f>IF(A32=1,"_",IF(C32="_","???",C32))</f>
        <v/>
      </c>
      <c r="H32" s="10" t="s">
        <v>12</v>
      </c>
      <c r="I32" s="11" t="s">
        <v>12</v>
      </c>
      <c r="J32" s="12"/>
    </row>
    <row r="33" spans="1:10" ht="60" customHeight="1">
      <c r="A33" s="6" t="s">
        <v>125</v>
      </c>
      <c r="B33" s="6" t="s">
        <v>51</v>
      </c>
      <c r="C33" s="6" t="s">
        <v>12</v>
      </c>
      <c r="D33" s="7" t="s">
        <v>126</v>
      </c>
      <c r="E33" s="8" t="s">
        <v>127</v>
      </c>
      <c r="F33" s="6" t="s">
        <v>128</v>
      </c>
      <c r="G33" s="9">
        <f>IF(A33=1,"_",IF(C33="_","???",C33))</f>
        <v/>
      </c>
      <c r="H33" s="10" t="s">
        <v>12</v>
      </c>
      <c r="I33" s="11" t="s">
        <v>12</v>
      </c>
      <c r="J33" s="12"/>
    </row>
    <row r="34" spans="1:10" ht="60" customHeight="1">
      <c r="A34" s="6" t="s">
        <v>129</v>
      </c>
      <c r="B34" s="6" t="s">
        <v>21</v>
      </c>
      <c r="C34" s="6" t="s">
        <v>12</v>
      </c>
      <c r="D34" s="7" t="s">
        <v>130</v>
      </c>
      <c r="E34" s="8" t="s">
        <v>131</v>
      </c>
      <c r="F34" s="6" t="s">
        <v>132</v>
      </c>
      <c r="G34" s="9">
        <f>IF(A34=1,"_",IF(C34="_","???",C34))</f>
        <v/>
      </c>
      <c r="H34" s="10" t="s">
        <v>12</v>
      </c>
      <c r="I34" s="11" t="s">
        <v>12</v>
      </c>
      <c r="J34" s="12"/>
    </row>
    <row r="35" spans="1:10" ht="60" customHeight="1">
      <c r="A35" s="6" t="s">
        <v>133</v>
      </c>
      <c r="B35" s="6" t="s">
        <v>62</v>
      </c>
      <c r="C35" s="6" t="s">
        <v>12</v>
      </c>
      <c r="D35" s="7" t="s">
        <v>134</v>
      </c>
      <c r="E35" s="8" t="s">
        <v>135</v>
      </c>
      <c r="F35" s="6" t="s">
        <v>136</v>
      </c>
      <c r="G35" s="9">
        <f>IF(A35=1,"_",IF(C35="_","???",C35))</f>
        <v/>
      </c>
      <c r="H35" s="10" t="s">
        <v>12</v>
      </c>
      <c r="I35" s="11" t="s">
        <v>12</v>
      </c>
      <c r="J35" s="12"/>
    </row>
    <row r="36" spans="1:10" ht="60" customHeight="1">
      <c r="A36" s="6" t="s">
        <v>137</v>
      </c>
      <c r="B36" s="6" t="s">
        <v>41</v>
      </c>
      <c r="C36" s="6" t="s">
        <v>12</v>
      </c>
      <c r="D36" s="7" t="s">
        <v>138</v>
      </c>
      <c r="E36" s="8" t="s">
        <v>139</v>
      </c>
      <c r="F36" s="6" t="s">
        <v>140</v>
      </c>
      <c r="G36" s="9">
        <f>IF(A36=1,"_",IF(C36="_","???",C36))</f>
        <v/>
      </c>
      <c r="H36" s="10" t="s">
        <v>12</v>
      </c>
      <c r="I36" s="11" t="s">
        <v>12</v>
      </c>
      <c r="J36" s="12"/>
    </row>
    <row r="37" spans="1:10" ht="60" customHeight="1">
      <c r="A37" s="6" t="s">
        <v>141</v>
      </c>
      <c r="B37" s="6" t="s">
        <v>54</v>
      </c>
      <c r="C37" s="6" t="s">
        <v>12</v>
      </c>
      <c r="D37" s="7" t="s">
        <v>142</v>
      </c>
      <c r="E37" s="8" t="s">
        <v>143</v>
      </c>
      <c r="F37" s="6" t="s">
        <v>144</v>
      </c>
      <c r="G37" s="9">
        <f>IF(A37=1,"_",IF(C37="_","???",C37))</f>
        <v/>
      </c>
      <c r="H37" s="10" t="s">
        <v>12</v>
      </c>
      <c r="I37" s="11" t="s">
        <v>12</v>
      </c>
      <c r="J37" s="12"/>
    </row>
    <row r="38" spans="1:10" ht="60" customHeight="1">
      <c r="A38" s="6" t="s">
        <v>145</v>
      </c>
      <c r="B38" s="6" t="s">
        <v>76</v>
      </c>
      <c r="C38" s="6" t="s">
        <v>12</v>
      </c>
      <c r="D38" s="7" t="s">
        <v>146</v>
      </c>
      <c r="E38" s="8" t="s">
        <v>147</v>
      </c>
      <c r="F38" s="6" t="s">
        <v>148</v>
      </c>
      <c r="G38" s="9">
        <f>IF(A38=1,"_",IF(C38="_","???",C38))</f>
        <v/>
      </c>
      <c r="H38" s="10" t="s">
        <v>12</v>
      </c>
      <c r="I38" s="11" t="s">
        <v>12</v>
      </c>
      <c r="J38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7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149</v>
      </c>
      <c r="B1" s="13" t="s">
        <v>150</v>
      </c>
      <c r="C1" s="13" t="s">
        <v>151</v>
      </c>
      <c r="D1" s="13" t="s">
        <v>152</v>
      </c>
      <c r="E1" s="14" t="s">
        <v>153</v>
      </c>
      <c r="F1" s="15" t="s">
        <v>154</v>
      </c>
      <c r="G1" s="16" t="s">
        <v>155</v>
      </c>
      <c r="H1" s="17" t="s">
        <v>156</v>
      </c>
      <c r="I1" s="18" t="s">
        <v>157</v>
      </c>
      <c r="J1" s="18" t="s">
        <v>158</v>
      </c>
      <c r="K1" s="18" t="s">
        <v>159</v>
      </c>
      <c r="L1" s="19" t="s">
        <v>9</v>
      </c>
    </row>
    <row r="2" spans="1:12">
      <c r="A2" s="20" t="s">
        <v>160</v>
      </c>
    </row>
    <row r="3" spans="1:12">
      <c r="A3" s="20" t="s">
        <v>161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162</v>
      </c>
      <c r="B4" s="27" t="s">
        <v>163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164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165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166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167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168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169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170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171</v>
      </c>
      <c r="B12" s="27" t="s">
        <v>172</v>
      </c>
      <c r="C12" s="27" t="s">
        <v>173</v>
      </c>
      <c r="D12" s="27" t="s">
        <v>174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164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175</v>
      </c>
      <c r="B14" s="27" t="s">
        <v>176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177</v>
      </c>
      <c r="B15" s="27" t="s">
        <v>178</v>
      </c>
      <c r="C15" s="27" t="s">
        <v>173</v>
      </c>
      <c r="D15" s="27" t="s">
        <v>174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161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162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179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180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165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170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171</v>
      </c>
      <c r="B22" s="27" t="s">
        <v>181</v>
      </c>
      <c r="C22" s="27" t="s">
        <v>173</v>
      </c>
      <c r="D22" s="27" t="s">
        <v>174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182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183</v>
      </c>
      <c r="B24" s="27" t="s">
        <v>184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185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186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187</v>
      </c>
      <c r="B27" s="27" t="s">
        <v>188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170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189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164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190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191</v>
      </c>
      <c r="B32" s="27" t="s">
        <v>172</v>
      </c>
      <c r="C32" s="27" t="s">
        <v>192</v>
      </c>
      <c r="D32" s="27" t="s">
        <v>174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193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194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195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164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196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197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164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198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199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200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201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202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203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204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/>
    </row>
    <row r="48" spans="1:12">
      <c r="A48" s="20" t="s">
        <v>205</v>
      </c>
    </row>
    <row r="49" spans="1:12">
      <c r="A49" s="20" t="s">
        <v>206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207</v>
      </c>
      <c r="B50" s="27" t="s">
        <v>163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208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209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210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179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211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177</v>
      </c>
      <c r="B56" s="27" t="s">
        <v>212</v>
      </c>
      <c r="C56" s="27" t="s">
        <v>173</v>
      </c>
      <c r="D56" s="27" t="s">
        <v>174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213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214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215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179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216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217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218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219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220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221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195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164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222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223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224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225</v>
      </c>
      <c r="B72" s="27" t="s">
        <v>226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204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/>
    </row>
    <row r="75" spans="1:12">
      <c r="A75" s="20" t="s">
        <v>227</v>
      </c>
    </row>
    <row r="76" spans="1:12">
      <c r="A76" s="20" t="s">
        <v>228</v>
      </c>
      <c r="B76" s="27" t="s">
        <v>163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210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229</v>
      </c>
      <c r="B78" s="27" t="s">
        <v>163</v>
      </c>
      <c r="C78" s="27" t="s">
        <v>173</v>
      </c>
      <c r="D78" s="27" t="s">
        <v>174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230</v>
      </c>
      <c r="B79" s="27" t="s">
        <v>231</v>
      </c>
      <c r="C79" s="27" t="s">
        <v>173</v>
      </c>
      <c r="D79" s="27" t="s">
        <v>174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232</v>
      </c>
      <c r="B80" s="27" t="s">
        <v>231</v>
      </c>
      <c r="C80" s="27" t="s">
        <v>173</v>
      </c>
      <c r="D80" s="27" t="s">
        <v>174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233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164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234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235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236</v>
      </c>
      <c r="B85" s="27" t="s">
        <v>237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238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170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239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240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241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242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243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179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244</v>
      </c>
      <c r="B94" s="27" t="s">
        <v>245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246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247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248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249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250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204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/>
    </row>
    <row r="102" spans="1:12">
      <c r="A102" s="20" t="s">
        <v>251</v>
      </c>
    </row>
    <row r="103" spans="1:12">
      <c r="A103" s="20" t="s">
        <v>252</v>
      </c>
      <c r="B103" s="27" t="s">
        <v>163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253</v>
      </c>
      <c r="B104" s="27" t="s">
        <v>231</v>
      </c>
      <c r="C104" s="27" t="s">
        <v>173</v>
      </c>
      <c r="D104" s="27" t="s">
        <v>174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164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254</v>
      </c>
      <c r="B106" s="27" t="s">
        <v>231</v>
      </c>
      <c r="C106" s="27" t="s">
        <v>255</v>
      </c>
      <c r="D106" s="27" t="s">
        <v>174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256</v>
      </c>
      <c r="B107" s="27" t="s">
        <v>172</v>
      </c>
      <c r="C107" s="27" t="s">
        <v>173</v>
      </c>
      <c r="D107" s="27" t="s">
        <v>174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183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257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258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259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179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260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248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261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262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233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164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234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263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264</v>
      </c>
      <c r="B121" s="27" t="s">
        <v>184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208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265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266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267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268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164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269</v>
      </c>
      <c r="B128" s="27" t="s">
        <v>226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179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270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241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271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204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/>
    </row>
    <row r="135" spans="1:12">
      <c r="A135" s="20" t="s">
        <v>272</v>
      </c>
    </row>
    <row r="136" spans="1:12">
      <c r="A136" s="20" t="s">
        <v>253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273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164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234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274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275</v>
      </c>
      <c r="B141" s="27" t="s">
        <v>237</v>
      </c>
      <c r="C141" s="27" t="s">
        <v>255</v>
      </c>
      <c r="D141" s="27" t="s">
        <v>174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276</v>
      </c>
      <c r="B142" s="27" t="s">
        <v>212</v>
      </c>
      <c r="C142" s="27" t="s">
        <v>173</v>
      </c>
      <c r="D142" s="27" t="s">
        <v>174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277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278</v>
      </c>
      <c r="B144" s="27" t="s">
        <v>188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279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280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241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271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204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/>
    </row>
    <row r="151" spans="1:12">
      <c r="A151" s="20" t="s">
        <v>281</v>
      </c>
    </row>
    <row r="152" spans="1:12">
      <c r="A152" s="20" t="s">
        <v>282</v>
      </c>
      <c r="B152" s="27" t="s">
        <v>163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283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284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170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285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201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202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208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286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287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288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210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204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/>
    </row>
    <row r="166" spans="1:12">
      <c r="A166" s="20" t="s">
        <v>289</v>
      </c>
    </row>
    <row r="167" spans="1:12">
      <c r="A167" s="20" t="s">
        <v>290</v>
      </c>
      <c r="B167" s="27" t="s">
        <v>163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291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170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292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164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234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293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21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294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11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295</v>
      </c>
      <c r="B177" s="27" t="s">
        <v>226</v>
      </c>
      <c r="C177" s="27" t="s">
        <v>296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297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298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208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299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204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/>
    </row>
    <row r="184" spans="1:12">
      <c r="A184" s="20" t="s">
        <v>300</v>
      </c>
    </row>
    <row r="185" spans="1:12">
      <c r="A185" s="20" t="s">
        <v>301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302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303</v>
      </c>
      <c r="B187" s="27" t="s">
        <v>304</v>
      </c>
      <c r="C187" s="27" t="s">
        <v>173</v>
      </c>
      <c r="D187" s="27" t="s">
        <v>174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305</v>
      </c>
      <c r="B188" s="27" t="s">
        <v>163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170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306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283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307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201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308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164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309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196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162</v>
      </c>
      <c r="B198" s="27" t="s">
        <v>226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310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311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170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312</v>
      </c>
      <c r="B202" s="27" t="s">
        <v>172</v>
      </c>
      <c r="C202" s="27" t="s">
        <v>255</v>
      </c>
      <c r="D202" s="27" t="s">
        <v>174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313</v>
      </c>
      <c r="B203" s="27" t="s">
        <v>212</v>
      </c>
      <c r="C203" s="27" t="s">
        <v>173</v>
      </c>
      <c r="D203" s="27" t="s">
        <v>174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204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/>
    </row>
    <row r="206" spans="1:12">
      <c r="A206" s="20" t="s">
        <v>314</v>
      </c>
    </row>
    <row r="207" spans="1:12">
      <c r="A207" s="20" t="s">
        <v>315</v>
      </c>
      <c r="B207" s="27" t="s">
        <v>163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45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316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241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317</v>
      </c>
      <c r="B211" s="27" t="s">
        <v>231</v>
      </c>
      <c r="C211" s="27" t="s">
        <v>173</v>
      </c>
      <c r="D211" s="27" t="s">
        <v>174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179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55</v>
      </c>
      <c r="B213" s="27" t="s">
        <v>226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318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316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241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319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320</v>
      </c>
      <c r="B218" s="27" t="s">
        <v>184</v>
      </c>
      <c r="C218" s="27" t="s">
        <v>173</v>
      </c>
      <c r="D218" s="27" t="s">
        <v>174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164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321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170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171</v>
      </c>
      <c r="B222" s="27" t="s">
        <v>231</v>
      </c>
      <c r="C222" s="27" t="s">
        <v>173</v>
      </c>
      <c r="D222" s="27" t="s">
        <v>174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164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257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322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323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324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325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326</v>
      </c>
      <c r="B229" s="27" t="s">
        <v>327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328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329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170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330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331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204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/>
    </row>
    <row r="237" spans="1:12">
      <c r="A237" s="20" t="s">
        <v>332</v>
      </c>
    </row>
    <row r="238" spans="1:12">
      <c r="A238" s="20" t="s">
        <v>333</v>
      </c>
      <c r="B238" s="27" t="s">
        <v>163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334</v>
      </c>
      <c r="B239" s="27" t="s">
        <v>231</v>
      </c>
      <c r="C239" s="27" t="s">
        <v>173</v>
      </c>
      <c r="D239" s="27" t="s">
        <v>174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335</v>
      </c>
      <c r="B240" s="27" t="s">
        <v>172</v>
      </c>
      <c r="C240" s="27" t="s">
        <v>173</v>
      </c>
      <c r="D240" s="27" t="s">
        <v>174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273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164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234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321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207</v>
      </c>
      <c r="B245" s="27" t="s">
        <v>226</v>
      </c>
      <c r="C245" s="27" t="s">
        <v>296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336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337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338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339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170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340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341</v>
      </c>
      <c r="B252" s="27" t="s">
        <v>172</v>
      </c>
      <c r="C252" s="27" t="s">
        <v>255</v>
      </c>
      <c r="D252" s="27" t="s">
        <v>174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342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343</v>
      </c>
      <c r="B254" s="27" t="s">
        <v>212</v>
      </c>
      <c r="C254" s="27" t="s">
        <v>173</v>
      </c>
      <c r="D254" s="27" t="s">
        <v>174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204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/>
    </row>
    <row r="257" spans="1:12">
      <c r="A257" s="20" t="s">
        <v>344</v>
      </c>
    </row>
    <row r="258" spans="1:12">
      <c r="A258" s="20" t="s">
        <v>345</v>
      </c>
      <c r="B258" s="27" t="s">
        <v>163</v>
      </c>
      <c r="C258" s="27" t="s">
        <v>346</v>
      </c>
      <c r="D258" s="27" t="s">
        <v>174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347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273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164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234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165</v>
      </c>
      <c r="B263" s="27" t="s">
        <v>226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164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348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349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257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350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170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351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352</v>
      </c>
      <c r="B271" s="27" t="s">
        <v>172</v>
      </c>
      <c r="C271" s="27" t="s">
        <v>173</v>
      </c>
      <c r="D271" s="27" t="s">
        <v>174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164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353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354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164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309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196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355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356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207</v>
      </c>
      <c r="B280" s="27" t="s">
        <v>237</v>
      </c>
      <c r="C280" s="27" t="s">
        <v>357</v>
      </c>
      <c r="D280" s="27" t="s">
        <v>174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358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359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360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170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361</v>
      </c>
      <c r="B285" s="27" t="s">
        <v>172</v>
      </c>
      <c r="C285" s="27" t="s">
        <v>255</v>
      </c>
      <c r="D285" s="27" t="s">
        <v>174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362</v>
      </c>
      <c r="B286" s="27" t="s">
        <v>212</v>
      </c>
      <c r="C286" s="27" t="s">
        <v>173</v>
      </c>
      <c r="D286" s="27" t="s">
        <v>174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204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/>
    </row>
    <row r="289" spans="1:12">
      <c r="A289" s="20" t="s">
        <v>363</v>
      </c>
    </row>
    <row r="290" spans="1:12">
      <c r="A290" s="20" t="s">
        <v>315</v>
      </c>
      <c r="B290" s="27" t="s">
        <v>304</v>
      </c>
      <c r="C290" s="27" t="s">
        <v>255</v>
      </c>
      <c r="D290" s="27" t="s">
        <v>174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364</v>
      </c>
      <c r="B291" s="27" t="s">
        <v>304</v>
      </c>
      <c r="C291" s="27" t="s">
        <v>173</v>
      </c>
      <c r="D291" s="27" t="s">
        <v>174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164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365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366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367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368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177</v>
      </c>
      <c r="B297" s="27" t="s">
        <v>212</v>
      </c>
      <c r="C297" s="27" t="s">
        <v>173</v>
      </c>
      <c r="D297" s="27" t="s">
        <v>174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170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369</v>
      </c>
      <c r="B299" s="27" t="s">
        <v>172</v>
      </c>
      <c r="C299" s="27" t="s">
        <v>173</v>
      </c>
      <c r="D299" s="27" t="s">
        <v>174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164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175</v>
      </c>
      <c r="B301" s="27" t="s">
        <v>212</v>
      </c>
      <c r="C301" s="27" t="s">
        <v>255</v>
      </c>
      <c r="D301" s="27" t="s">
        <v>174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22</v>
      </c>
      <c r="B302" s="27" t="s">
        <v>181</v>
      </c>
      <c r="C302" s="27" t="s">
        <v>173</v>
      </c>
      <c r="D302" s="27" t="s">
        <v>174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164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370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371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214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372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373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374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170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17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375</v>
      </c>
      <c r="B312" s="27" t="s">
        <v>181</v>
      </c>
      <c r="C312" s="27" t="s">
        <v>296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376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308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204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/>
    </row>
    <row r="317" spans="1:12">
      <c r="A317" s="20" t="s">
        <v>377</v>
      </c>
    </row>
    <row r="318" spans="1:12">
      <c r="A318" s="20" t="s">
        <v>378</v>
      </c>
      <c r="B318" s="27" t="s">
        <v>163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379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193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380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381</v>
      </c>
      <c r="B322" s="27" t="s">
        <v>382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214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283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170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383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318</v>
      </c>
      <c r="B327" s="27" t="s">
        <v>163</v>
      </c>
      <c r="C327" s="27" t="s">
        <v>173</v>
      </c>
      <c r="D327" s="27" t="s">
        <v>174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179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384</v>
      </c>
      <c r="B329" s="27" t="s">
        <v>231</v>
      </c>
      <c r="C329" s="27" t="s">
        <v>173</v>
      </c>
      <c r="D329" s="27" t="s">
        <v>174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208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385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368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177</v>
      </c>
      <c r="B333" s="27" t="s">
        <v>181</v>
      </c>
      <c r="C333" s="27" t="s">
        <v>173</v>
      </c>
      <c r="D333" s="27" t="s">
        <v>174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204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/>
    </row>
    <row r="336" spans="1:12">
      <c r="A336" s="20" t="s">
        <v>386</v>
      </c>
    </row>
    <row r="337" spans="1:12">
      <c r="A337" s="20" t="s">
        <v>387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388</v>
      </c>
      <c r="B338" s="27" t="s">
        <v>304</v>
      </c>
      <c r="C338" s="27" t="s">
        <v>173</v>
      </c>
      <c r="D338" s="27" t="s">
        <v>174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164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389</v>
      </c>
      <c r="B340" s="27" t="s">
        <v>231</v>
      </c>
      <c r="C340" s="27" t="s">
        <v>346</v>
      </c>
      <c r="D340" s="27" t="s">
        <v>174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390</v>
      </c>
      <c r="B341" s="27" t="s">
        <v>304</v>
      </c>
      <c r="C341" s="27" t="s">
        <v>255</v>
      </c>
      <c r="D341" s="27" t="s">
        <v>174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179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391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324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392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393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394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170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189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395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396</v>
      </c>
      <c r="B351" s="27" t="s">
        <v>212</v>
      </c>
      <c r="C351" s="27" t="s">
        <v>173</v>
      </c>
      <c r="D351" s="27" t="s">
        <v>174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204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/>
    </row>
    <row r="354" spans="1:12">
      <c r="A354" s="20" t="s">
        <v>397</v>
      </c>
    </row>
    <row r="355" spans="1:12">
      <c r="A355" s="20" t="s">
        <v>388</v>
      </c>
      <c r="B355" s="27" t="s">
        <v>163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164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398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399</v>
      </c>
      <c r="B358" s="27" t="s">
        <v>231</v>
      </c>
      <c r="C358" s="27" t="s">
        <v>296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164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400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164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234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268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401</v>
      </c>
      <c r="B364" s="27" t="s">
        <v>231</v>
      </c>
      <c r="C364" s="27" t="s">
        <v>173</v>
      </c>
      <c r="D364" s="27" t="s">
        <v>174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164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402</v>
      </c>
      <c r="B366" s="27" t="s">
        <v>237</v>
      </c>
      <c r="C366" s="27" t="s">
        <v>403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238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404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170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405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164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406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407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408</v>
      </c>
      <c r="B374" s="27" t="s">
        <v>212</v>
      </c>
      <c r="C374" s="27" t="s">
        <v>296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409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389</v>
      </c>
      <c r="B376" s="27" t="s">
        <v>181</v>
      </c>
      <c r="C376" s="27" t="s">
        <v>410</v>
      </c>
      <c r="D376" s="27" t="s">
        <v>174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411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164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412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413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414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415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204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/>
    </row>
    <row r="385" spans="1:12">
      <c r="A385" s="20" t="s">
        <v>416</v>
      </c>
    </row>
    <row r="386" spans="1:12">
      <c r="A386" s="20" t="s">
        <v>345</v>
      </c>
      <c r="B386" s="27" t="s">
        <v>163</v>
      </c>
      <c r="C386" s="27" t="s">
        <v>346</v>
      </c>
      <c r="D386" s="27" t="s">
        <v>174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273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164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234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417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391</v>
      </c>
      <c r="B391" s="27" t="s">
        <v>226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164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418</v>
      </c>
      <c r="B393" s="27" t="s">
        <v>245</v>
      </c>
      <c r="C393" s="27" t="s">
        <v>403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419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420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164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421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389</v>
      </c>
      <c r="B398" s="27" t="s">
        <v>184</v>
      </c>
      <c r="C398" s="27" t="s">
        <v>346</v>
      </c>
      <c r="D398" s="27" t="s">
        <v>174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204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/>
    </row>
    <row r="401" spans="1:12">
      <c r="A401" s="20" t="s">
        <v>422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423</v>
      </c>
    </row>
    <row r="403" spans="1:12">
      <c r="A403" s="20" t="s">
        <v>424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425</v>
      </c>
      <c r="B404" s="27" t="s">
        <v>163</v>
      </c>
      <c r="C404" s="27" t="s">
        <v>346</v>
      </c>
      <c r="D404" s="27" t="s">
        <v>174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426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164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179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427</v>
      </c>
      <c r="B408" s="27" t="s">
        <v>226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428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429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424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164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430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273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388</v>
      </c>
      <c r="B415" s="27" t="s">
        <v>245</v>
      </c>
      <c r="C415" s="27" t="s">
        <v>173</v>
      </c>
      <c r="D415" s="27" t="s">
        <v>174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204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/>
    </row>
    <row r="418" spans="1:12">
      <c r="A418" s="20" t="s">
        <v>431</v>
      </c>
    </row>
    <row r="419" spans="1:12">
      <c r="A419" s="20" t="s">
        <v>432</v>
      </c>
      <c r="B419" s="27" t="s">
        <v>163</v>
      </c>
      <c r="C419" s="27" t="s">
        <v>346</v>
      </c>
      <c r="D419" s="27" t="s">
        <v>174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370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328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433</v>
      </c>
      <c r="B422" s="27" t="s">
        <v>172</v>
      </c>
      <c r="C422" s="27" t="s">
        <v>410</v>
      </c>
      <c r="D422" s="27" t="s">
        <v>174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434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204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/>
    </row>
    <row r="426" spans="1:12">
      <c r="A426" s="20" t="s">
        <v>435</v>
      </c>
    </row>
    <row r="427" spans="1:12">
      <c r="A427" s="20" t="s">
        <v>436</v>
      </c>
      <c r="B427" s="27" t="s">
        <v>231</v>
      </c>
      <c r="C427" s="27" t="s">
        <v>346</v>
      </c>
      <c r="D427" s="27" t="s">
        <v>174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390</v>
      </c>
      <c r="B428" s="27" t="s">
        <v>163</v>
      </c>
      <c r="C428" s="27" t="s">
        <v>255</v>
      </c>
      <c r="D428" s="27" t="s">
        <v>174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291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437</v>
      </c>
      <c r="B430" s="27" t="s">
        <v>382</v>
      </c>
      <c r="C430" s="27" t="s">
        <v>173</v>
      </c>
      <c r="D430" s="27" t="s">
        <v>174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164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234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438</v>
      </c>
      <c r="B433" s="27" t="s">
        <v>226</v>
      </c>
      <c r="C433" s="27" t="s">
        <v>192</v>
      </c>
      <c r="D433" s="27" t="s">
        <v>174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439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440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441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164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418</v>
      </c>
      <c r="B438" s="27" t="s">
        <v>188</v>
      </c>
      <c r="C438" s="27" t="s">
        <v>403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442</v>
      </c>
      <c r="B439" s="27" t="s">
        <v>237</v>
      </c>
      <c r="C439" s="27" t="s">
        <v>346</v>
      </c>
      <c r="D439" s="27" t="s">
        <v>174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443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 t="s">
        <v>414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444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399</v>
      </c>
      <c r="B443" s="27" t="s">
        <v>172</v>
      </c>
      <c r="C443" s="27" t="s">
        <v>296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164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234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445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446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204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/>
    </row>
    <row r="450" spans="1:12">
      <c r="A450" s="20" t="s">
        <v>447</v>
      </c>
    </row>
    <row r="451" spans="1:12">
      <c r="A451" s="20" t="s">
        <v>388</v>
      </c>
      <c r="B451" s="27" t="s">
        <v>163</v>
      </c>
      <c r="C451" s="27" t="s">
        <v>173</v>
      </c>
      <c r="D451" s="27" t="s">
        <v>174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273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164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234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448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449</v>
      </c>
      <c r="B456" s="27" t="s">
        <v>231</v>
      </c>
      <c r="C456" s="27" t="s">
        <v>346</v>
      </c>
      <c r="D456" s="27" t="s">
        <v>174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179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450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451</v>
      </c>
      <c r="B459" s="27" t="s">
        <v>172</v>
      </c>
      <c r="C459" s="27" t="s">
        <v>296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389</v>
      </c>
      <c r="B460" s="27" t="s">
        <v>172</v>
      </c>
      <c r="C460" s="27" t="s">
        <v>410</v>
      </c>
      <c r="D460" s="27" t="s">
        <v>174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452</v>
      </c>
      <c r="B461" s="27" t="s">
        <v>226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453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164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179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454</v>
      </c>
      <c r="B465" s="27" t="s">
        <v>226</v>
      </c>
      <c r="C465" s="27" t="s">
        <v>346</v>
      </c>
      <c r="D465" s="27" t="s">
        <v>174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455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164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456</v>
      </c>
      <c r="B468" s="27" t="s">
        <v>237</v>
      </c>
      <c r="C468" s="27" t="s">
        <v>403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457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458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204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/>
    </row>
    <row r="473" spans="1:12">
      <c r="A473" s="20" t="s">
        <v>459</v>
      </c>
    </row>
    <row r="474" spans="1:12">
      <c r="A474" s="20" t="s">
        <v>388</v>
      </c>
      <c r="B474" s="27" t="s">
        <v>163</v>
      </c>
      <c r="C474" s="27" t="s">
        <v>173</v>
      </c>
      <c r="D474" s="27" t="s">
        <v>174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273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164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234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460</v>
      </c>
      <c r="B478" s="27" t="s">
        <v>226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461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462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463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450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464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241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465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466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467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179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468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469</v>
      </c>
      <c r="B490" s="27" t="s">
        <v>188</v>
      </c>
      <c r="C490" s="27" t="s">
        <v>346</v>
      </c>
      <c r="D490" s="27" t="s">
        <v>174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208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470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471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170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472</v>
      </c>
      <c r="B495" s="27" t="s">
        <v>212</v>
      </c>
      <c r="C495" s="27" t="s">
        <v>173</v>
      </c>
      <c r="D495" s="27" t="s">
        <v>174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164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473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474</v>
      </c>
      <c r="B498" s="27" t="s">
        <v>475</v>
      </c>
      <c r="C498" s="27" t="s">
        <v>346</v>
      </c>
      <c r="D498" s="27" t="s">
        <v>174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476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170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189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204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/>
    </row>
    <row r="504" spans="1:12">
      <c r="A504" s="20" t="s">
        <v>422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477</v>
      </c>
    </row>
    <row r="506" spans="1:12">
      <c r="A506" s="20" t="s">
        <v>335</v>
      </c>
      <c r="B506" s="27" t="s">
        <v>163</v>
      </c>
      <c r="C506" s="27" t="s">
        <v>173</v>
      </c>
      <c r="D506" s="27" t="s">
        <v>174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400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164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234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165</v>
      </c>
      <c r="B510" s="27" t="s">
        <v>226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424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412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478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424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164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309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196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479</v>
      </c>
      <c r="B518" s="27" t="s">
        <v>237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480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164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481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164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234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236</v>
      </c>
      <c r="B524" s="27" t="s">
        <v>176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482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483</v>
      </c>
      <c r="B526" s="27" t="s">
        <v>484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485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486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204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/>
    </row>
    <row r="531" spans="1:12">
      <c r="A531" s="20" t="s">
        <v>487</v>
      </c>
    </row>
    <row r="532" spans="1:12">
      <c r="A532" s="20" t="s">
        <v>335</v>
      </c>
      <c r="B532" s="27" t="s">
        <v>163</v>
      </c>
      <c r="C532" s="27" t="s">
        <v>173</v>
      </c>
      <c r="D532" s="27" t="s">
        <v>174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400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164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234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488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489</v>
      </c>
      <c r="B537" s="27" t="s">
        <v>226</v>
      </c>
      <c r="C537" s="27" t="s">
        <v>296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395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490</v>
      </c>
      <c r="B539" s="27" t="s">
        <v>231</v>
      </c>
      <c r="C539" s="27" t="s">
        <v>173</v>
      </c>
      <c r="D539" s="27" t="s">
        <v>174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491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492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493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494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295</v>
      </c>
      <c r="B544" s="27" t="s">
        <v>172</v>
      </c>
      <c r="C544" s="27" t="s">
        <v>296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495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241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496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201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376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308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204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/>
    </row>
    <row r="553" spans="1:12">
      <c r="A553" s="20" t="s">
        <v>497</v>
      </c>
    </row>
    <row r="554" spans="1:12">
      <c r="A554" s="20" t="s">
        <v>335</v>
      </c>
      <c r="B554" s="27" t="s">
        <v>163</v>
      </c>
      <c r="C554" s="27" t="s">
        <v>173</v>
      </c>
      <c r="D554" s="27" t="s">
        <v>174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273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164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234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498</v>
      </c>
      <c r="B558" s="27" t="s">
        <v>226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499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500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501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502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503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504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204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/>
    </row>
    <row r="567" spans="1:12">
      <c r="A567" s="20" t="s">
        <v>505</v>
      </c>
    </row>
    <row r="568" spans="1:12">
      <c r="A568" s="20" t="s">
        <v>161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162</v>
      </c>
      <c r="B569" s="27" t="s">
        <v>163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 t="s">
        <v>179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506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507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508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248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509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257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510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511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214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339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170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351</v>
      </c>
      <c r="B582" s="27" t="s">
        <v>172</v>
      </c>
      <c r="C582" s="27" t="s">
        <v>255</v>
      </c>
      <c r="D582" s="27" t="s">
        <v>174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276</v>
      </c>
      <c r="B583" s="27" t="s">
        <v>212</v>
      </c>
      <c r="C583" s="27" t="s">
        <v>173</v>
      </c>
      <c r="D583" s="27" t="s">
        <v>174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179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512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513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170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514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515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383</v>
      </c>
      <c r="B590" s="27" t="s">
        <v>181</v>
      </c>
      <c r="C590" s="27" t="s">
        <v>296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164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516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517</v>
      </c>
      <c r="B593" s="27" t="s">
        <v>226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204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/>
    </row>
    <row r="596" spans="1:12">
      <c r="A596" s="20" t="s">
        <v>518</v>
      </c>
    </row>
    <row r="597" spans="1:12">
      <c r="A597" s="20" t="s">
        <v>519</v>
      </c>
      <c r="B597" s="27" t="s">
        <v>163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164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520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521</v>
      </c>
      <c r="B600" s="27" t="s">
        <v>172</v>
      </c>
      <c r="C600" s="27" t="s">
        <v>173</v>
      </c>
      <c r="D600" s="27" t="s">
        <v>174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164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522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164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234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523</v>
      </c>
      <c r="B605" s="27" t="s">
        <v>226</v>
      </c>
      <c r="C605" s="27" t="s">
        <v>255</v>
      </c>
      <c r="D605" s="27" t="s">
        <v>174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276</v>
      </c>
      <c r="B606" s="27" t="s">
        <v>172</v>
      </c>
      <c r="C606" s="27" t="s">
        <v>173</v>
      </c>
      <c r="D606" s="27" t="s">
        <v>174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524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492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525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526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339</v>
      </c>
      <c r="B611" s="27" t="s">
        <v>231</v>
      </c>
      <c r="C611" s="27" t="s">
        <v>296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204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/>
    </row>
    <row r="614" spans="1:12">
      <c r="A614" s="20" t="s">
        <v>527</v>
      </c>
    </row>
    <row r="615" spans="1:12">
      <c r="A615" s="20" t="s">
        <v>528</v>
      </c>
      <c r="B615" s="27" t="s">
        <v>163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324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529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170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530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531</v>
      </c>
      <c r="B620" s="27" t="s">
        <v>304</v>
      </c>
      <c r="C620" s="27" t="s">
        <v>296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164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532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474</v>
      </c>
      <c r="B623" s="27" t="s">
        <v>226</v>
      </c>
      <c r="C623" s="27" t="s">
        <v>346</v>
      </c>
      <c r="D623" s="27" t="s">
        <v>174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321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533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534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204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/>
    </row>
    <row r="629" spans="1:12">
      <c r="A629" s="20" t="s">
        <v>535</v>
      </c>
    </row>
    <row r="630" spans="1:12">
      <c r="A630" s="20" t="s">
        <v>536</v>
      </c>
      <c r="B630" s="27" t="s">
        <v>163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537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538</v>
      </c>
      <c r="B632" s="27" t="s">
        <v>231</v>
      </c>
      <c r="C632" s="27" t="s">
        <v>173</v>
      </c>
      <c r="D632" s="27" t="s">
        <v>174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539</v>
      </c>
      <c r="B633" s="27" t="s">
        <v>172</v>
      </c>
      <c r="C633" s="27" t="s">
        <v>173</v>
      </c>
      <c r="D633" s="27" t="s">
        <v>174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233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164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234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517</v>
      </c>
      <c r="B637" s="27" t="s">
        <v>226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463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540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541</v>
      </c>
      <c r="B640" s="27" t="s">
        <v>231</v>
      </c>
      <c r="C640" s="27" t="s">
        <v>296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179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542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543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544</v>
      </c>
      <c r="B644" s="27" t="s">
        <v>172</v>
      </c>
      <c r="C644" s="27" t="s">
        <v>296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164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545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170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267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546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204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/>
    </row>
    <row r="652" spans="1:12">
      <c r="A652" s="20" t="s">
        <v>547</v>
      </c>
    </row>
    <row r="653" spans="1:12">
      <c r="A653" s="20" t="s">
        <v>548</v>
      </c>
      <c r="B653" s="27" t="s">
        <v>163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324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549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170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550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318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179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550</v>
      </c>
      <c r="B660" s="27" t="s">
        <v>226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551</v>
      </c>
      <c r="B661" s="27" t="s">
        <v>172</v>
      </c>
      <c r="C661" s="27" t="s">
        <v>173</v>
      </c>
      <c r="D661" s="27" t="s">
        <v>174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164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552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553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554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164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456</v>
      </c>
      <c r="B667" s="27" t="s">
        <v>176</v>
      </c>
      <c r="C667" s="27" t="s">
        <v>403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555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556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204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/>
    </row>
    <row r="672" spans="1:12">
      <c r="A672" s="20" t="s">
        <v>422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557</v>
      </c>
    </row>
    <row r="674" spans="1:12">
      <c r="A674" s="20" t="s">
        <v>424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558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559</v>
      </c>
      <c r="B676" s="27" t="s">
        <v>304</v>
      </c>
      <c r="C676" s="27" t="s">
        <v>346</v>
      </c>
      <c r="D676" s="27" t="s">
        <v>174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560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561</v>
      </c>
      <c r="B678" s="27" t="s">
        <v>163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562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563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164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196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274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427</v>
      </c>
      <c r="B684" s="27" t="s">
        <v>245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564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565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424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164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273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454</v>
      </c>
      <c r="B690" s="27" t="s">
        <v>176</v>
      </c>
      <c r="C690" s="27" t="s">
        <v>346</v>
      </c>
      <c r="D690" s="27" t="s">
        <v>174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204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/>
    </row>
    <row r="693" spans="1:12">
      <c r="A693" s="20" t="s">
        <v>566</v>
      </c>
    </row>
    <row r="694" spans="1:12">
      <c r="A694" s="20" t="s">
        <v>301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550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551</v>
      </c>
      <c r="B696" s="27" t="s">
        <v>231</v>
      </c>
      <c r="C696" s="27" t="s">
        <v>173</v>
      </c>
      <c r="D696" s="27" t="s">
        <v>174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537</v>
      </c>
      <c r="B697" s="27" t="s">
        <v>304</v>
      </c>
      <c r="C697" s="27" t="s">
        <v>255</v>
      </c>
      <c r="D697" s="27" t="s">
        <v>174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276</v>
      </c>
      <c r="B698" s="27" t="s">
        <v>231</v>
      </c>
      <c r="C698" s="27" t="s">
        <v>173</v>
      </c>
      <c r="D698" s="27" t="s">
        <v>174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567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568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569</v>
      </c>
      <c r="B701" s="27" t="s">
        <v>163</v>
      </c>
      <c r="C701" s="27" t="s">
        <v>296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507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324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570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571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572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328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268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164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573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270</v>
      </c>
      <c r="B711" s="27" t="s">
        <v>226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241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271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324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574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266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575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576</v>
      </c>
      <c r="B718" s="27" t="s">
        <v>188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170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577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164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234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474</v>
      </c>
      <c r="B723" s="27" t="s">
        <v>245</v>
      </c>
      <c r="C723" s="27" t="s">
        <v>346</v>
      </c>
      <c r="D723" s="27" t="s">
        <v>174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578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579</v>
      </c>
      <c r="B725" s="27" t="s">
        <v>327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580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409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339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179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581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204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/>
    </row>
    <row r="733" spans="1:12">
      <c r="A733" s="20" t="s">
        <v>422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582</v>
      </c>
    </row>
    <row r="735" spans="1:12">
      <c r="A735" s="20" t="s">
        <v>424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583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584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165</v>
      </c>
      <c r="B738" s="27" t="s">
        <v>163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164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585</v>
      </c>
      <c r="B740" s="27" t="s">
        <v>237</v>
      </c>
      <c r="C740" s="27" t="s">
        <v>403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448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586</v>
      </c>
      <c r="B742" s="27" t="s">
        <v>172</v>
      </c>
      <c r="C742" s="27" t="s">
        <v>346</v>
      </c>
      <c r="D742" s="27" t="s">
        <v>174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587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164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587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170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588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424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164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430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273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589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590</v>
      </c>
      <c r="B753" s="27" t="s">
        <v>226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591</v>
      </c>
      <c r="B754" s="27" t="s">
        <v>172</v>
      </c>
      <c r="C754" s="27" t="s">
        <v>173</v>
      </c>
      <c r="D754" s="27" t="s">
        <v>174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592</v>
      </c>
      <c r="B755" s="27" t="s">
        <v>212</v>
      </c>
      <c r="C755" s="27" t="s">
        <v>173</v>
      </c>
      <c r="D755" s="27" t="s">
        <v>174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204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/>
    </row>
    <row r="758" spans="1:12">
      <c r="A758" s="20" t="s">
        <v>593</v>
      </c>
    </row>
    <row r="759" spans="1:12">
      <c r="A759" s="20" t="s">
        <v>594</v>
      </c>
      <c r="B759" s="27" t="s">
        <v>163</v>
      </c>
      <c r="C759" s="27" t="s">
        <v>192</v>
      </c>
      <c r="D759" s="27" t="s">
        <v>174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208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595</v>
      </c>
      <c r="B761" s="27" t="s">
        <v>304</v>
      </c>
      <c r="C761" s="27" t="s">
        <v>255</v>
      </c>
      <c r="D761" s="27" t="s">
        <v>174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248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596</v>
      </c>
      <c r="B763" s="27" t="s">
        <v>304</v>
      </c>
      <c r="C763" s="27" t="s">
        <v>192</v>
      </c>
      <c r="D763" s="27" t="s">
        <v>174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164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552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597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598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599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204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/>
    </row>
    <row r="771" spans="1:12">
      <c r="A771" s="20" t="s">
        <v>600</v>
      </c>
    </row>
    <row r="772" spans="1:12">
      <c r="A772" s="20" t="s">
        <v>301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177</v>
      </c>
      <c r="B773" s="27" t="s">
        <v>163</v>
      </c>
      <c r="C773" s="27" t="s">
        <v>173</v>
      </c>
      <c r="D773" s="27" t="s">
        <v>174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164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601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602</v>
      </c>
      <c r="B776" s="27" t="s">
        <v>172</v>
      </c>
      <c r="C776" s="27" t="s">
        <v>173</v>
      </c>
      <c r="D776" s="27" t="s">
        <v>174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164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603</v>
      </c>
      <c r="B778" s="27" t="s">
        <v>231</v>
      </c>
      <c r="C778" s="27" t="s">
        <v>255</v>
      </c>
      <c r="D778" s="27" t="s">
        <v>174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604</v>
      </c>
      <c r="B779" s="27" t="s">
        <v>172</v>
      </c>
      <c r="C779" s="27" t="s">
        <v>173</v>
      </c>
      <c r="D779" s="27" t="s">
        <v>174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257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261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262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605</v>
      </c>
      <c r="B783" s="27" t="s">
        <v>172</v>
      </c>
      <c r="C783" s="27" t="s">
        <v>173</v>
      </c>
      <c r="D783" s="27" t="s">
        <v>174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591</v>
      </c>
      <c r="B784" s="27" t="s">
        <v>212</v>
      </c>
      <c r="C784" s="27" t="s">
        <v>173</v>
      </c>
      <c r="D784" s="27" t="s">
        <v>174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491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164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234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606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162</v>
      </c>
      <c r="B789" s="27" t="s">
        <v>226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310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311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208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607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608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609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204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/>
    </row>
    <row r="798" spans="1:12">
      <c r="A798" s="20" t="s">
        <v>610</v>
      </c>
    </row>
    <row r="799" spans="1:12">
      <c r="A799" s="20" t="s">
        <v>611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389</v>
      </c>
      <c r="B800" s="27" t="s">
        <v>231</v>
      </c>
      <c r="C800" s="27" t="s">
        <v>410</v>
      </c>
      <c r="D800" s="27" t="s">
        <v>174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612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164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613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339</v>
      </c>
      <c r="B804" s="27" t="s">
        <v>163</v>
      </c>
      <c r="C804" s="27" t="s">
        <v>296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324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614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196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615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170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616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164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532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617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488</v>
      </c>
      <c r="B814" s="27" t="s">
        <v>226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618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555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619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170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189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204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/>
    </row>
    <row r="822" spans="1:12">
      <c r="A822" s="20" t="s">
        <v>620</v>
      </c>
    </row>
    <row r="823" spans="1:12">
      <c r="A823" s="20" t="s">
        <v>621</v>
      </c>
      <c r="B823" s="27" t="s">
        <v>163</v>
      </c>
      <c r="C823" s="27" t="s">
        <v>173</v>
      </c>
      <c r="D823" s="27" t="s">
        <v>174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622</v>
      </c>
      <c r="B824" s="27" t="s">
        <v>231</v>
      </c>
      <c r="C824" s="27" t="s">
        <v>173</v>
      </c>
      <c r="D824" s="27" t="s">
        <v>174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164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603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623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624</v>
      </c>
      <c r="B828" s="27" t="s">
        <v>212</v>
      </c>
      <c r="C828" s="27" t="s">
        <v>173</v>
      </c>
      <c r="D828" s="27" t="s">
        <v>174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625</v>
      </c>
      <c r="B829" s="27" t="s">
        <v>212</v>
      </c>
      <c r="C829" s="27" t="s">
        <v>173</v>
      </c>
      <c r="D829" s="27" t="s">
        <v>174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626</v>
      </c>
      <c r="B830" s="27" t="s">
        <v>212</v>
      </c>
      <c r="C830" s="27" t="s">
        <v>173</v>
      </c>
      <c r="D830" s="27" t="s">
        <v>174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170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318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164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419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170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191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312</v>
      </c>
      <c r="B837" s="27" t="s">
        <v>304</v>
      </c>
      <c r="C837" s="27" t="s">
        <v>357</v>
      </c>
      <c r="D837" s="27" t="s">
        <v>174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627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399</v>
      </c>
      <c r="B839" s="27" t="s">
        <v>304</v>
      </c>
      <c r="C839" s="27" t="s">
        <v>296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204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/>
    </row>
    <row r="842" spans="1:12">
      <c r="A842" s="20" t="s">
        <v>422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628</v>
      </c>
    </row>
    <row r="844" spans="1:12">
      <c r="A844" s="20" t="s">
        <v>424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629</v>
      </c>
      <c r="B845" s="27" t="s">
        <v>163</v>
      </c>
      <c r="C845" s="27" t="s">
        <v>346</v>
      </c>
      <c r="D845" s="27" t="s">
        <v>174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630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579</v>
      </c>
      <c r="B847" s="27" t="s">
        <v>382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 t="s">
        <v>170</v>
      </c>
      <c r="E848" s="21">
        <f>IF(D848="?OLD","!!!","")</f>
        <v/>
      </c>
      <c r="F848" s="22" t="str">
        <f>IF(OR(E848="",E848="!!!"),"",IF(NOT(ISNA(VLOOKUP(E848,E$1:E847,1,FALSE()))),"OLD",IF(AND(E848&lt;&gt;"",E848&lt;&gt;"!!!"),"NEW","")))</f>
        <v> </v>
      </c>
      <c r="G848" s="23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4" t="str">
        <f>IF(J848&lt;&gt;1,"",IF(I848="SBJ","CB","?"))</f>
        <v> </v>
      </c>
      <c r="I848" s="25" t="str">
        <f>IF(OR(E848="",E848="!!!",F848="NEW"),"",INDEX(B847:B$2,-1+SUMPRODUCT(MAX(ROW(E847:E$2)*(E848=E847:E$2)))))</f>
        <v> </v>
      </c>
      <c r="J848" s="25" t="str">
        <f>IF(OR(E848="",E848="!!!",F848="NEW"),"",COUNTBLANK(OFFSET(A$1,,,SUMPRODUCT(MAX(ROW(E$2:E848)*(E848=E$2:E848)))))-COUNTBLANK(OFFSET(A$1,,,SUMPRODUCT(MAX(ROW(E$1:E847)*(E2=E$1:E847))))))</f>
        <v> </v>
      </c>
      <c r="K848" s="25" t="str">
        <f>IF(OR(E848="",E848="!!!",F848="NEW"),"",INDEX(J$1:J847,SUMPRODUCT(MAX(ROW(E$1:E847)*(E848=E$1:E847)))))</f>
        <v> </v>
      </c>
      <c r="L848" s="26"/>
    </row>
    <row r="849" spans="1:12">
      <c r="A849" s="20" t="s">
        <v>554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631</v>
      </c>
      <c r="B850" s="27" t="s">
        <v>304</v>
      </c>
      <c r="C850" s="27" t="s">
        <v>357</v>
      </c>
      <c r="D850" s="27" t="s">
        <v>174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164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473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632</v>
      </c>
      <c r="B853" s="27" t="s">
        <v>237</v>
      </c>
      <c r="C853" s="27" t="s">
        <v>346</v>
      </c>
      <c r="D853" s="27" t="s">
        <v>174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633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634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635</v>
      </c>
      <c r="B856" s="27" t="s">
        <v>172</v>
      </c>
      <c r="C856" s="27" t="s">
        <v>346</v>
      </c>
      <c r="D856" s="27" t="s">
        <v>174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618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630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164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12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273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636</v>
      </c>
      <c r="B862" s="27" t="s">
        <v>226</v>
      </c>
      <c r="C862" s="27" t="s">
        <v>173</v>
      </c>
      <c r="D862" s="27" t="s">
        <v>174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164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12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179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442</v>
      </c>
      <c r="B866" s="27" t="s">
        <v>226</v>
      </c>
      <c r="C866" s="27" t="s">
        <v>346</v>
      </c>
      <c r="D866" s="27" t="s">
        <v>174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201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637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638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639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208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640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424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204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2025-07-10T18:09:07Z</dcterms:created>
  <dcterms:modified xsi:type="dcterms:W3CDTF">2025-07-10T18:09:07Z</dcterms:modified>
</cp:coreProperties>
</file>