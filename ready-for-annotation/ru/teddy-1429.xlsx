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<sst xmlns="http://schemas.openxmlformats.org/spreadsheetml/2006/main" count="2459" uniqueCount="1098">
  <si>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</si>
  <si>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</si>
  <si>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</si>
  <si>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</si>
  <si>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</si>
  <si>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</si>
  <si>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</si>
  <si>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</si>
  <si>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</si>
  <si>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</si>
  <si>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</si>
  <si>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12</t>
  </si>
  <si>
    <t>_</t>
  </si>
  <si>
    <t>предложить</t>
  </si>
  <si>
    <t>Несколько лет назад здесь , на конференции TED , Питер Скиллман предложил дизайнерскую задачку , называлась она «задача с зефиром» .</t>
  </si>
  <si>
    <t>file://conllu/ru/teddy-1429.conllu#s1_0</t>
  </si>
  <si>
    <t>2</t>
  </si>
  <si>
    <t>3</t>
  </si>
  <si>
    <t>простой</t>
  </si>
  <si>
    <t>Идея очень проста .</t>
  </si>
  <si>
    <t>file://conllu/ru/teddy-1429.conllu#s2_0</t>
  </si>
  <si>
    <t>5</t>
  </si>
  <si>
    <t>строить</t>
  </si>
  <si>
    <t>Группы по 4 участника строят как можно более высокую башню , имея лишь 20 макаронных палочек , 1 метр клейкой ленты , 1 метр бечёвки и зефира .</t>
  </si>
  <si>
    <t>file://conllu/ru/teddy-1429.conllu#s3_0</t>
  </si>
  <si>
    <t>4</t>
  </si>
  <si>
    <t>должен</t>
  </si>
  <si>
    <t>Зефир должен располагаться грузиком на макушке башни .</t>
  </si>
  <si>
    <t>file://conllu/ru/teddy-1429.conllu#s4_0</t>
  </si>
  <si>
    <t>мочь</t>
  </si>
  <si>
    <t>Может показаться , что это легко , но на самом деле задача трудная , потому что она вынуждает участников в быстром темпе установить сотрудничество .</t>
  </si>
  <si>
    <t>file://conllu/ru/teddy-1429.conllu#s5_0</t>
  </si>
  <si>
    <t>6</t>
  </si>
  <si>
    <t>понравиться</t>
  </si>
  <si>
    <t>Мне эта идея понравилась , и включил её в программу своих семинаров по дизайну .</t>
  </si>
  <si>
    <t>file://conllu/ru/teddy-1429.conllu#s6_0</t>
  </si>
  <si>
    <t>7</t>
  </si>
  <si>
    <t>иметь</t>
  </si>
  <si>
    <t>Идея , как оказалось , имела огромный успех .</t>
  </si>
  <si>
    <t>file://conllu/ru/teddy-1429.conllu#s7_0</t>
  </si>
  <si>
    <t>8</t>
  </si>
  <si>
    <t>провести</t>
  </si>
  <si>
    <t>К настоящему времени я провёл по всему миру около 70 таких семинаров по дизайну со студентами , дизайнерами , архитекторами , и даже с техническими руководителями крупнейших фирм Fortune 50 .</t>
  </si>
  <si>
    <t>file://conllu/ru/teddy-1429.conllu#s8_0</t>
  </si>
  <si>
    <t>9</t>
  </si>
  <si>
    <t>оказаться</t>
  </si>
  <si>
    <t>Оказалось , что это задание помогает узнать глубокие стороны человеческого сотрудничества , и я хотел бы поделится с вами некоторыми выводами .</t>
  </si>
  <si>
    <t>file://conllu/ru/teddy-1429.conllu#s9_0</t>
  </si>
  <si>
    <t>10</t>
  </si>
  <si>
    <t>начинать</t>
  </si>
  <si>
    <t>Обычно большинство людей начинают с того , что настраиваются на работу : говорят о задании , пытаясь прикинуть , как будет выглядеть результат , исподволь пытаются добиться влияния в группе .</t>
  </si>
  <si>
    <t>file://conllu/ru/teddy-1429.conllu#s10_0</t>
  </si>
  <si>
    <t>11</t>
  </si>
  <si>
    <t>уходить</t>
  </si>
  <si>
    <t>Затем какое-то время уходит на планирование и организацию : участники рисуют наброски и раскладывают макароны , и большую часть времени они тратят на то , чтобы собрать трубочки в постепенно возвышающуюся башню , и наконец , когда у них почти не остаётся времени , в дело вступает зефир : они робко пытаются установить его на макушку .</t>
  </si>
  <si>
    <t>file://conllu/ru/teddy-1429.conllu#s11_0</t>
  </si>
  <si>
    <t>отходить</t>
  </si>
  <si>
    <t>Потом участники отходят назад и … фанфары : та-даа !</t>
  </si>
  <si>
    <t>file://conllu/ru/teddy-1429.conllu#s12_0</t>
  </si>
  <si>
    <t>13</t>
  </si>
  <si>
    <t>восхищаться</t>
  </si>
  <si>
    <t>Все восхищаются результатом собственного труда .</t>
  </si>
  <si>
    <t>file://conllu/ru/teddy-1429.conllu#s13_0</t>
  </si>
  <si>
    <t>14</t>
  </si>
  <si>
    <t>Потому?</t>
  </si>
  <si>
    <t>переходить</t>
  </si>
  <si>
    <t>Однако на самом деле , в большинстве случаев «та-даа ! » переходит в «ой-ой ! » , потому что груз зефира заставляет башню сначала изогнуться , а потом и вовсе развалиться .</t>
  </si>
  <si>
    <t>file://conllu/ru/teddy-1429.conllu#s14_0</t>
  </si>
  <si>
    <t>15</t>
  </si>
  <si>
    <t>результат</t>
  </si>
  <si>
    <t>В результате у некоторых участников больше , чем у других , концовка сопровождается нотой «ой-ой ! » , и среди них хуже всего дело обстоит с недавними выпускниками бизнес школ .</t>
  </si>
  <si>
    <t>file://conllu/ru/teddy-1429.conllu#s15_0</t>
  </si>
  <si>
    <t>16</t>
  </si>
  <si>
    <t>характерный</t>
  </si>
  <si>
    <t>( Смех ) Для них характерны обман и надувательство , они легко отвлекаются и башни у них в результате получаются дефектные .</t>
  </si>
  <si>
    <t>file://conllu/ru/teddy-1429.conllu#s16_0</t>
  </si>
  <si>
    <t>17</t>
  </si>
  <si>
    <t>создавать</t>
  </si>
  <si>
    <t>Конечно же , немало команд создают башни типа «Та даа ! » , и среди них лучше всех дело обстоит у недавних выпускников детских садов .</t>
  </si>
  <si>
    <t>file://conllu/ru/teddy-1429.conllu#s17_0</t>
  </si>
  <si>
    <t>18</t>
  </si>
  <si>
    <t>удивительный</t>
  </si>
  <si>
    <t>Достаточно удивительно .</t>
  </si>
  <si>
    <t>file://conllu/ru/teddy-1429.conllu#s18_0</t>
  </si>
  <si>
    <t>19</t>
  </si>
  <si>
    <t>По словам Питера , они не только создают самые высокие башни , но и самые интересные .</t>
  </si>
  <si>
    <t>file://conllu/ru/teddy-1429.conllu#s19_0</t>
  </si>
  <si>
    <t>20</t>
  </si>
  <si>
    <t>У вас может возникнуть вопрос : Как это так ?</t>
  </si>
  <si>
    <t>file://conllu/ru/teddy-1429.conllu#s20_0</t>
  </si>
  <si>
    <t>21</t>
  </si>
  <si>
    <t>почему</t>
  </si>
  <si>
    <t>Почему ?</t>
  </si>
  <si>
    <t>file://conllu/ru/teddy-1429.conllu#s21_0</t>
  </si>
  <si>
    <t>22</t>
  </si>
  <si>
    <t>они</t>
  </si>
  <si>
    <t>Что в них такого ?</t>
  </si>
  <si>
    <t>file://conllu/ru/teddy-1429.conllu#s22_0</t>
  </si>
  <si>
    <t>23</t>
  </si>
  <si>
    <t>любить</t>
  </si>
  <si>
    <t>Питер любит повторять : «Ни один ребёнок не транжирит время на попытки стать Президентом Макаронной Корпорации» .</t>
  </si>
  <si>
    <t>file://conllu/ru/teddy-1429.conllu#s23_0</t>
  </si>
  <si>
    <t>24</t>
  </si>
  <si>
    <t>тратить</t>
  </si>
  <si>
    <t>Они не тратят время на подковёрную борьбу за влияние в группе .</t>
  </si>
  <si>
    <t>file://conllu/ru/teddy-1429.conllu#s24_0</t>
  </si>
  <si>
    <t>25</t>
  </si>
  <si>
    <t>быть</t>
  </si>
  <si>
    <t>Но есть и другая причина .</t>
  </si>
  <si>
    <t>file://conllu/ru/teddy-1429.conllu#s25_0</t>
  </si>
  <si>
    <t>26</t>
  </si>
  <si>
    <t>то</t>
  </si>
  <si>
    <t>Дело в том , что выпускников бизнес школ учили разрабатывать единственно правильный план .</t>
  </si>
  <si>
    <t>file://conllu/ru/teddy-1429.conllu#s26_0</t>
  </si>
  <si>
    <t>27</t>
  </si>
  <si>
    <t>применять</t>
  </si>
  <si>
    <t>Вот они и применяют это на практике .</t>
  </si>
  <si>
    <t>file://conllu/ru/teddy-1429.conllu#s27_0</t>
  </si>
  <si>
    <t>28</t>
  </si>
  <si>
    <t>типичный</t>
  </si>
  <si>
    <t>Типична для них ситуация : они пытаются закрепить зефир на макушке , но у них кончается время .</t>
  </si>
  <si>
    <t>file://conllu/ru/teddy-1429.conllu#s28_0</t>
  </si>
  <si>
    <t>29</t>
  </si>
  <si>
    <t>бывать</t>
  </si>
  <si>
    <t>И что потом бывает ?</t>
  </si>
  <si>
    <t>file://conllu/ru/teddy-1429.conllu#s29_0</t>
  </si>
  <si>
    <t>30</t>
  </si>
  <si>
    <t>ничто</t>
  </si>
  <si>
    <t>Ничего хорошего .</t>
  </si>
  <si>
    <t>file://conllu/ru/teddy-1429.conllu#s30_0</t>
  </si>
  <si>
    <t>31</t>
  </si>
  <si>
    <t>называться</t>
  </si>
  <si>
    <t>Кризис называется .</t>
  </si>
  <si>
    <t>file://conllu/ru/teddy-1429.conllu#s31_0</t>
  </si>
  <si>
    <t>32</t>
  </si>
  <si>
    <t>слово</t>
  </si>
  <si>
    <t>Знакомое слово ?</t>
  </si>
  <si>
    <t>file://conllu/ru/teddy-1429.conllu#s32_0</t>
  </si>
  <si>
    <t>33</t>
  </si>
  <si>
    <t>еще</t>
  </si>
  <si>
    <t>Ещё бы .</t>
  </si>
  <si>
    <t>file://conllu/ru/teddy-1429.conllu#s33_0</t>
  </si>
  <si>
    <t>34</t>
  </si>
  <si>
    <t>вести</t>
  </si>
  <si>
    <t>Детишки из детского сада ведут себя иначе : они начинают сразу с зефира , и создают прототипы , которые с каждым разом всё более удачные , при этом зефир всё время на макушке , а потому они успевают по ходу дела многократно подправлять нескладные прототипы .</t>
  </si>
  <si>
    <t>file://conllu/ru/teddy-1429.conllu#s34_0</t>
  </si>
  <si>
    <t>35</t>
  </si>
  <si>
    <t>знакомый</t>
  </si>
  <si>
    <t>Такой тип сотрудничества хорошо знаком дизайнерам : это – основа итерационного процесса .</t>
  </si>
  <si>
    <t>file://conllu/ru/teddy-1429.conllu#s35_0</t>
  </si>
  <si>
    <t>36</t>
  </si>
  <si>
    <t>давать</t>
  </si>
  <si>
    <t>Каждый новый вариант даёт ребёнку понимание того , что – удачно , а что – неудачно .</t>
  </si>
  <si>
    <t>file://conllu/ru/teddy-1429.conllu#s36_0</t>
  </si>
  <si>
    <t>37</t>
  </si>
  <si>
    <t>играть</t>
  </si>
  <si>
    <t>Возможность опробовать прототипы играет тут огромную роль , но давайте проанализируем результаты по различным группам .</t>
  </si>
  <si>
    <t>file://conllu/ru/teddy-1429.conllu#s37_0</t>
  </si>
  <si>
    <t>38</t>
  </si>
  <si>
    <t>быть (быть сантиметр)</t>
  </si>
  <si>
    <t>Средняя высота башен была примерно 50 см , у выпускников бизнес школ – примерно половина этого , у юристов – незначительно лучше , а намного лучше получалось у детей : лучше , чем у большинства взрослых .</t>
  </si>
  <si>
    <t>file://conllu/ru/teddy-1429.conllu#s38_0</t>
  </si>
  <si>
    <t>39</t>
  </si>
  <si>
    <t>хороший</t>
  </si>
  <si>
    <t>А какая группа лучше всех ?</t>
  </si>
  <si>
    <t>file://conllu/ru/teddy-1429.conllu#s39_0</t>
  </si>
  <si>
    <t>40</t>
  </si>
  <si>
    <t>архитектор</t>
  </si>
  <si>
    <t>Архитекторы и инженеры .</t>
  </si>
  <si>
    <t>file://conllu/ru/teddy-1429.conllu#s40_0</t>
  </si>
  <si>
    <t>41</t>
  </si>
  <si>
    <t>слава</t>
  </si>
  <si>
    <t>Слава богу !</t>
  </si>
  <si>
    <t>file://conllu/ru/teddy-1429.conllu#s41_0</t>
  </si>
  <si>
    <t>42</t>
  </si>
  <si>
    <t>99 см – высший результат среди всех , что я видел .</t>
  </si>
  <si>
    <t>file://conllu/ru/teddy-1429.conllu#s42_0</t>
  </si>
  <si>
    <t>43</t>
  </si>
  <si>
    <t>удаваться</t>
  </si>
  <si>
    <t>Как это удаётся ?</t>
  </si>
  <si>
    <t>file://conllu/ru/teddy-1429.conllu#s43_0</t>
  </si>
  <si>
    <t>44</t>
  </si>
  <si>
    <t>понимать</t>
  </si>
  <si>
    <t>Они понимают , что треугольники и само закрепляющиеся геометрические фигуры – основа строительства устойчивых сооружений .</t>
  </si>
  <si>
    <t>file://conllu/ru/teddy-1429.conllu#s44_0</t>
  </si>
  <si>
    <t>45</t>
  </si>
  <si>
    <t>высокий</t>
  </si>
  <si>
    <t>Главные Руководители – результаты чуть выше среднего .</t>
  </si>
  <si>
    <t>file://conllu/ru/teddy-1429.conllu#s45_0</t>
  </si>
  <si>
    <t>46</t>
  </si>
  <si>
    <t>любопытный</t>
  </si>
  <si>
    <t>А вот это действительно любопытно : если в команду руководителей ввести одного высшего администратора , результат резко улучшится .</t>
  </si>
  <si>
    <t>file://conllu/ru/teddy-1429.conllu#s46_0</t>
  </si>
  <si>
    <t>47</t>
  </si>
  <si>
    <t>невероятный</t>
  </si>
  <si>
    <t>Невероятно , но одного взгляда иногда достаточно , чтобы сказать : «Вот эта команда победит ! » Можно даже заранее быть уверенным .</t>
  </si>
  <si>
    <t>file://conllu/ru/teddy-1429.conllu#s47_0</t>
  </si>
  <si>
    <t>48</t>
  </si>
  <si>
    <t>file://conllu/ru/teddy-1429.conllu#s48_0</t>
  </si>
  <si>
    <t>49</t>
  </si>
  <si>
    <t>потому</t>
  </si>
  <si>
    <t>Потому , что у таких людей есть навыки организационной работы .</t>
  </si>
  <si>
    <t>file://conllu/ru/teddy-1429.conllu#s49_0</t>
  </si>
  <si>
    <t>50</t>
  </si>
  <si>
    <t>управлять</t>
  </si>
  <si>
    <t>Они управляют процессом , они понимают процесс .</t>
  </si>
  <si>
    <t>file://conllu/ru/teddy-1429.conllu#s50_0</t>
  </si>
  <si>
    <t>51</t>
  </si>
  <si>
    <t>Любая команда с умением управлять работой , уделить этому нужное внимание , добивается существенно лучших результатов .</t>
  </si>
  <si>
    <t>file://conllu/ru/teddy-1429.conllu#s51_0</t>
  </si>
  <si>
    <t>52</t>
  </si>
  <si>
    <t>Специализированные навыки плюс организационные навыки – такая комбинация даёт высокую гарантию успеха .</t>
  </si>
  <si>
    <t>file://conllu/ru/teddy-1429.conllu#s52_0</t>
  </si>
  <si>
    <t>53</t>
  </si>
  <si>
    <t>возвышаться</t>
  </si>
  <si>
    <t>Обычно , если участвует 10 команд , башня возвышается только примерно у шести из них .</t>
  </si>
  <si>
    <t>file://conllu/ru/teddy-1429.conllu#s53_0</t>
  </si>
  <si>
    <t>54</t>
  </si>
  <si>
    <t>И вот я провёл интересный эксперимент .</t>
  </si>
  <si>
    <t>file://conllu/ru/teddy-1429.conllu#s54_0</t>
  </si>
  <si>
    <t>55</t>
  </si>
  <si>
    <t>решить</t>
  </si>
  <si>
    <t>Я решил увеличить ставки и учредил приз – программное обеспечение стоимостью в $ 10000 .</t>
  </si>
  <si>
    <t>file://conllu/ru/teddy-1429.conllu#s55_0</t>
  </si>
  <si>
    <t>56</t>
  </si>
  <si>
    <t>Какой эффект , по вашему мнению , это имело на участников ?</t>
  </si>
  <si>
    <t>file://conllu/ru/teddy-1429.conllu#s56_0</t>
  </si>
  <si>
    <t>57</t>
  </si>
  <si>
    <t>быть (быть каков)</t>
  </si>
  <si>
    <t>Каков был результат ?</t>
  </si>
  <si>
    <t>file://conllu/ru/teddy-1429.conllu#s57_0</t>
  </si>
  <si>
    <t>58</t>
  </si>
  <si>
    <t>вот</t>
  </si>
  <si>
    <t>Вот он .</t>
  </si>
  <si>
    <t>file://conllu/ru/teddy-1429.conllu#s58_0</t>
  </si>
  <si>
    <t>59</t>
  </si>
  <si>
    <t>Ни одна команда не смогла установить башню .</t>
  </si>
  <si>
    <t>file://conllu/ru/teddy-1429.conllu#s59_0</t>
  </si>
  <si>
    <t>60</t>
  </si>
  <si>
    <t>забрать</t>
  </si>
  <si>
    <t>Если кто-то смог бы выдать башню высотой , скажем в 2 см , то эта команда забрала бы себе приз .</t>
  </si>
  <si>
    <t>file://conllu/ru/teddy-1429.conllu#s60_0</t>
  </si>
  <si>
    <t>61</t>
  </si>
  <si>
    <t>интересный</t>
  </si>
  <si>
    <t>Интересно : насколько сильно влияет само наличие высокой ставки .</t>
  </si>
  <si>
    <t>file://conllu/ru/teddy-1429.conllu#s61_0</t>
  </si>
  <si>
    <t>62</t>
  </si>
  <si>
    <t>Мы повторно провели эксперимент с той же группой .</t>
  </si>
  <si>
    <t>file://conllu/ru/teddy-1429.conllu#s62_0</t>
  </si>
  <si>
    <t>63</t>
  </si>
  <si>
    <t>получиться</t>
  </si>
  <si>
    <t>И что , вы думаете , получилось ?</t>
  </si>
  <si>
    <t>file://conllu/ru/teddy-1429.conllu#s63_0</t>
  </si>
  <si>
    <t>64</t>
  </si>
  <si>
    <t>знать</t>
  </si>
  <si>
    <t>К этому времени они уже знали ценность прототипов .</t>
  </si>
  <si>
    <t>file://conllu/ru/teddy-1429.conllu#s64_0</t>
  </si>
  <si>
    <t>65</t>
  </si>
  <si>
    <t>стать</t>
  </si>
  <si>
    <t>Наихудшая до этого группа стала одной из лучших .</t>
  </si>
  <si>
    <t>file://conllu/ru/teddy-1429.conllu#s65_0</t>
  </si>
  <si>
    <t>66</t>
  </si>
  <si>
    <t>надпись</t>
  </si>
  <si>
    <t>[ Надпись :</t>
  </si>
  <si>
    <t>file://conllu/ru/teddy-1429.conllu#s66_0</t>
  </si>
  <si>
    <t>67</t>
  </si>
  <si>
    <t>удаться</t>
  </si>
  <si>
    <t>Высокие ставки + информированность ] Им удалось построить самую высокую башню за кратчайший срок .</t>
  </si>
  <si>
    <t>file://conllu/ru/teddy-1429.conllu#s67_0</t>
  </si>
  <si>
    <t>68</t>
  </si>
  <si>
    <t>Мы можем сделать важные выводы о связи стимула и успеха .</t>
  </si>
  <si>
    <t>file://conllu/ru/teddy-1429.conllu#s68_0</t>
  </si>
  <si>
    <t>69</t>
  </si>
  <si>
    <t>[ Надпись : Стимул + умение = успех ; Стимул + неумение = неуспех ] Можно спросить :</t>
  </si>
  <si>
    <t>file://conllu/ru/teddy-1429.conllu#s69_0</t>
  </si>
  <si>
    <t>70</t>
  </si>
  <si>
    <t>нужный</t>
  </si>
  <si>
    <t>А нужны ли кому-нибудь эти «задачки с зефиром» вообще ?</t>
  </si>
  <si>
    <t>file://conllu/ru/teddy-1429.conllu#s70_0</t>
  </si>
  <si>
    <t>71</t>
  </si>
  <si>
    <t>Вот почему?</t>
  </si>
  <si>
    <t>Нужны , и вот почему .</t>
  </si>
  <si>
    <t>file://conllu/ru/teddy-1429.conllu#s71_0</t>
  </si>
  <si>
    <t>72</t>
  </si>
  <si>
    <t>состоять</t>
  </si>
  <si>
    <t>Моя работа состоит в оказании помощи группам специалистов по разработке цифровых инструментов и процессов при производстве автомобилей , создании видеоигр и визуальных эффектов .</t>
  </si>
  <si>
    <t>file://conllu/ru/teddy-1429.conllu#s72_0</t>
  </si>
  <si>
    <t>73</t>
  </si>
  <si>
    <t>Задачка с зефиром даёт возможность обнажить скрытые , невысказанные предположения .</t>
  </si>
  <si>
    <t>file://conllu/ru/teddy-1429.conllu#s73_0</t>
  </si>
  <si>
    <t>74</t>
  </si>
  <si>
    <t>Ведь , по правде говоря , у каждого проекта есть свой зефир , есть свой решающий грузик .</t>
  </si>
  <si>
    <t>file://conllu/ru/teddy-1429.conllu#s74_0</t>
  </si>
  <si>
    <t>75</t>
  </si>
  <si>
    <t>Задачка создаёт условия совместного опыта , общего языка , единой установки на строительство прототипа .</t>
  </si>
  <si>
    <t>file://conllu/ru/teddy-1429.conllu#s75_0</t>
  </si>
  <si>
    <t>76</t>
  </si>
  <si>
    <t>что</t>
  </si>
  <si>
    <t>Вот в чём ценность опыта решения такой простой задачи .</t>
  </si>
  <si>
    <t>file://conllu/ru/teddy-1429.conllu#s76_0</t>
  </si>
  <si>
    <t>77</t>
  </si>
  <si>
    <t>Если кого это заинтересует , можете обратиться на сайт marshmallowchallenge.com .</t>
  </si>
  <si>
    <t>file://conllu/ru/teddy-1429.conllu#s77_0</t>
  </si>
  <si>
    <t>78</t>
  </si>
  <si>
    <t>блог</t>
  </si>
  <si>
    <t>Это – блог , где вы найдёте пошаговые инструкции по организации семинаров для решения задачки с зефиром .</t>
  </si>
  <si>
    <t>file://conllu/ru/teddy-1429.conllu#s78_0</t>
  </si>
  <si>
    <t>79</t>
  </si>
  <si>
    <t>находить</t>
  </si>
  <si>
    <t>В разных странах люди находили самые сумасбродные варианты нестандартных подходов и интерпретаций правил .</t>
  </si>
  <si>
    <t>file://conllu/ru/teddy-1429.conllu#s79_0</t>
  </si>
  <si>
    <t>80</t>
  </si>
  <si>
    <t>Там же есть данные о мировых рекордах .</t>
  </si>
  <si>
    <t>file://conllu/ru/teddy-1429.conllu#s80_0</t>
  </si>
  <si>
    <t>81</t>
  </si>
  <si>
    <t>Главный же вывод , я думаю , в том , что дизайн – это по-настоящему контактный вид спорта .</t>
  </si>
  <si>
    <t>file://conllu/ru/teddy-1429.conllu#s81_0</t>
  </si>
  <si>
    <t>82</t>
  </si>
  <si>
    <t>требовать</t>
  </si>
  <si>
    <t>Он требует от нас всей полноты чувств и предела наших мыслительных способностей , нашей вовлечённости и активного подхода при решении стоящих перед нами задач .</t>
  </si>
  <si>
    <t>file://conllu/ru/teddy-1429.conllu#s82_0</t>
  </si>
  <si>
    <t>83</t>
  </si>
  <si>
    <t>И иногда , как показал наш опыт , небольшой прототип играет решающую роль для того , чтобы досадное «ой-ой» превратилось бы в победное «та-даа» .</t>
  </si>
  <si>
    <t>file://conllu/ru/teddy-1429.conllu#s83_0</t>
  </si>
  <si>
    <t>84</t>
  </si>
  <si>
    <t>А это уже имеет огромное значение .</t>
  </si>
  <si>
    <t>file://conllu/ru/teddy-1429.conllu#s84_0</t>
  </si>
  <si>
    <t>85</t>
  </si>
  <si>
    <t>Благодарить</t>
  </si>
  <si>
    <t>Благодарю вас .</t>
  </si>
  <si>
    <t>file://conllu/ru/teddy-1429.conllu#s85_0</t>
  </si>
  <si>
    <t>86</t>
  </si>
  <si>
    <t>аплодисменты</t>
  </si>
  <si>
    <t>( Аплодисменты )</t>
  </si>
  <si>
    <t>file://conllu/ru/teddy-1429.conllu#s86_0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</si>
  <si>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</si>
  <si>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</si>
  <si>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</si>
  <si>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</si>
  <si>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</si>
  <si>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</si>
  <si>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</si>
  <si>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</si>
  <si>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</si>
  <si>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</si>
  <si>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</si>
  <si>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Несколько лет назад здесь, на конференции TED, Питер Скиллман предложил дизайнерскую задачку, называлась она «задача с зефиром».</t>
  </si>
  <si>
    <t>Несколько</t>
  </si>
  <si>
    <t>лет</t>
  </si>
  <si>
    <t>other</t>
  </si>
  <si>
    <t>indef-np.quant</t>
  </si>
  <si>
    <t>назад</t>
  </si>
  <si>
    <t>здесь</t>
  </si>
  <si>
    <t>,</t>
  </si>
  <si>
    <t>на</t>
  </si>
  <si>
    <t>конференции</t>
  </si>
  <si>
    <t>TED</t>
  </si>
  <si>
    <t>other_3</t>
  </si>
  <si>
    <t>ne</t>
  </si>
  <si>
    <t>?OLD</t>
  </si>
  <si>
    <t>Питер</t>
  </si>
  <si>
    <t>SBJ</t>
  </si>
  <si>
    <t>Скиллман</t>
  </si>
  <si>
    <t>other_2</t>
  </si>
  <si>
    <t>предложил</t>
  </si>
  <si>
    <t>дизайнерскую</t>
  </si>
  <si>
    <t>задачку</t>
  </si>
  <si>
    <t>OBJ</t>
  </si>
  <si>
    <t>называлась</t>
  </si>
  <si>
    <t>она</t>
  </si>
  <si>
    <t>SBJ_2</t>
  </si>
  <si>
    <t>pron</t>
  </si>
  <si>
    <t>«задача</t>
  </si>
  <si>
    <t>с</t>
  </si>
  <si>
    <t>зефиром»</t>
  </si>
  <si>
    <t>.</t>
  </si>
  <si>
    <t># text = Идея очень проста.</t>
  </si>
  <si>
    <t>Идея</t>
  </si>
  <si>
    <t>очень</t>
  </si>
  <si>
    <t>проста</t>
  </si>
  <si>
    <t># text = Группы по 4 участника строят как можно более высокую башню, имея лишь 20 макаронных палочек, 1 метр клейкой ленты, 1 метр бечёвки и зефира.</t>
  </si>
  <si>
    <t>Группы</t>
  </si>
  <si>
    <t>по</t>
  </si>
  <si>
    <t>участника</t>
  </si>
  <si>
    <t>строят</t>
  </si>
  <si>
    <t>как</t>
  </si>
  <si>
    <t>можно</t>
  </si>
  <si>
    <t>более</t>
  </si>
  <si>
    <t>высокую</t>
  </si>
  <si>
    <t>башню</t>
  </si>
  <si>
    <t>имея</t>
  </si>
  <si>
    <t>лишь</t>
  </si>
  <si>
    <t>макаронных</t>
  </si>
  <si>
    <t>палочек</t>
  </si>
  <si>
    <t>метр</t>
  </si>
  <si>
    <t>клейкой</t>
  </si>
  <si>
    <t>ленты</t>
  </si>
  <si>
    <t>other_4</t>
  </si>
  <si>
    <t>бечёвки</t>
  </si>
  <si>
    <t>и</t>
  </si>
  <si>
    <t>зефира</t>
  </si>
  <si>
    <t># text = Зефир должен располагаться грузиком на макушке башни.</t>
  </si>
  <si>
    <t>Зефир</t>
  </si>
  <si>
    <t>располагаться</t>
  </si>
  <si>
    <t>грузиком</t>
  </si>
  <si>
    <t>макушке</t>
  </si>
  <si>
    <t>башни</t>
  </si>
  <si>
    <t># text = Может показаться, что это легко, но на самом деле задача трудная, потому что она вынуждает участников в быстром темпе установить сотрудничество.</t>
  </si>
  <si>
    <t>Может</t>
  </si>
  <si>
    <t>показаться</t>
  </si>
  <si>
    <t>это</t>
  </si>
  <si>
    <t>pron.pds</t>
  </si>
  <si>
    <t>легко</t>
  </si>
  <si>
    <t>но</t>
  </si>
  <si>
    <t>самом</t>
  </si>
  <si>
    <t>деле</t>
  </si>
  <si>
    <t>задача</t>
  </si>
  <si>
    <t>SBJ_3</t>
  </si>
  <si>
    <t>трудная</t>
  </si>
  <si>
    <t>SBJ_4</t>
  </si>
  <si>
    <t>вынуждает</t>
  </si>
  <si>
    <t>участников</t>
  </si>
  <si>
    <t>OBJ_4</t>
  </si>
  <si>
    <t>в</t>
  </si>
  <si>
    <t>быстром</t>
  </si>
  <si>
    <t>темпе</t>
  </si>
  <si>
    <t>установить</t>
  </si>
  <si>
    <t>сотрудничество</t>
  </si>
  <si>
    <t>OBJ_5</t>
  </si>
  <si>
    <t># text = Мне эта идея понравилась, и включил её в программу своих семинаров по дизайну.</t>
  </si>
  <si>
    <t>Мне</t>
  </si>
  <si>
    <t>эта</t>
  </si>
  <si>
    <t>идея</t>
  </si>
  <si>
    <t>def-np.dem</t>
  </si>
  <si>
    <t>понравилась</t>
  </si>
  <si>
    <t>включил</t>
  </si>
  <si>
    <t>её</t>
  </si>
  <si>
    <t>OBJ_2</t>
  </si>
  <si>
    <t>программу</t>
  </si>
  <si>
    <t>своих</t>
  </si>
  <si>
    <t>семинаров</t>
  </si>
  <si>
    <t>дизайну</t>
  </si>
  <si>
    <t># text = Идея, как оказалось, имела огромный успех.</t>
  </si>
  <si>
    <t>оказалось</t>
  </si>
  <si>
    <t>имела</t>
  </si>
  <si>
    <t>огромный</t>
  </si>
  <si>
    <t>успех</t>
  </si>
  <si>
    <t># text = К настоящему времени я провёл по всему миру около 70 таких семинаров по дизайну со студентами, дизайнерами, архитекторами, и даже с техническими руководителями крупнейших фирм Fortune 50.</t>
  </si>
  <si>
    <t>К</t>
  </si>
  <si>
    <t>настоящему</t>
  </si>
  <si>
    <t>времени</t>
  </si>
  <si>
    <t>я</t>
  </si>
  <si>
    <t>провёл</t>
  </si>
  <si>
    <t>всему</t>
  </si>
  <si>
    <t>миру</t>
  </si>
  <si>
    <t>около</t>
  </si>
  <si>
    <t>таких</t>
  </si>
  <si>
    <t>со</t>
  </si>
  <si>
    <t>студентами</t>
  </si>
  <si>
    <t>дизайнерами</t>
  </si>
  <si>
    <t>архитекторами</t>
  </si>
  <si>
    <t>даже</t>
  </si>
  <si>
    <t>техническими</t>
  </si>
  <si>
    <t>руководителями</t>
  </si>
  <si>
    <t>крупнейших</t>
  </si>
  <si>
    <t>фирм</t>
  </si>
  <si>
    <t>Fortune</t>
  </si>
  <si>
    <t>other_5</t>
  </si>
  <si>
    <t># text = Оказалось, что это задание помогает узнать глубокие стороны человеческого сотрудничества, и я хотел бы поделится с вами некоторыми выводами.</t>
  </si>
  <si>
    <t>Оказалось</t>
  </si>
  <si>
    <t>задание</t>
  </si>
  <si>
    <t>помогает</t>
  </si>
  <si>
    <t>узнать</t>
  </si>
  <si>
    <t>глубокие</t>
  </si>
  <si>
    <t>стороны</t>
  </si>
  <si>
    <t>OBJ_3</t>
  </si>
  <si>
    <t>человеческого</t>
  </si>
  <si>
    <t>сотрудничества</t>
  </si>
  <si>
    <t>хотел</t>
  </si>
  <si>
    <t>бы</t>
  </si>
  <si>
    <t>поделится</t>
  </si>
  <si>
    <t>вами</t>
  </si>
  <si>
    <t>некоторыми</t>
  </si>
  <si>
    <t>выводами</t>
  </si>
  <si>
    <t>indef-np</t>
  </si>
  <si>
    <t># text = Обычно большинство людей начинают с того, что настраиваются на работу: говорят о задании, пытаясь прикинуть, как будет выглядеть результат, исподволь пытаются добиться влияния в группе.</t>
  </si>
  <si>
    <t>Обычно</t>
  </si>
  <si>
    <t>большинство</t>
  </si>
  <si>
    <t>людей</t>
  </si>
  <si>
    <t>начинают</t>
  </si>
  <si>
    <t>того</t>
  </si>
  <si>
    <t>pron.pint</t>
  </si>
  <si>
    <t>настраиваются</t>
  </si>
  <si>
    <t>работу</t>
  </si>
  <si>
    <t>:</t>
  </si>
  <si>
    <t>говорят</t>
  </si>
  <si>
    <t>о</t>
  </si>
  <si>
    <t>задании</t>
  </si>
  <si>
    <t>пытаясь</t>
  </si>
  <si>
    <t>прикинуть</t>
  </si>
  <si>
    <t>будет</t>
  </si>
  <si>
    <t>выглядеть</t>
  </si>
  <si>
    <t>OBJ_8</t>
  </si>
  <si>
    <t>исподволь</t>
  </si>
  <si>
    <t>пытаются</t>
  </si>
  <si>
    <t>добиться</t>
  </si>
  <si>
    <t>влияния</t>
  </si>
  <si>
    <t>группе</t>
  </si>
  <si>
    <t># text = Затем какое-то время уходит на планирование и организацию: участники рисуют наброски и раскладывают макароны, и большую часть времени они тратят на то, чтобы собрать трубочки в постепенно возвышающуюся башню, и наконец, когда у них почти не остаётся времени, в дело вступает зефир: они робко пытаются установить его на макушку.</t>
  </si>
  <si>
    <t>Затем</t>
  </si>
  <si>
    <t>какое-то</t>
  </si>
  <si>
    <t>время</t>
  </si>
  <si>
    <t>уходит</t>
  </si>
  <si>
    <t>планирование</t>
  </si>
  <si>
    <t>организацию</t>
  </si>
  <si>
    <t>участники</t>
  </si>
  <si>
    <t>рисуют</t>
  </si>
  <si>
    <t>наброски</t>
  </si>
  <si>
    <t>раскладывают</t>
  </si>
  <si>
    <t>макароны</t>
  </si>
  <si>
    <t>большую</t>
  </si>
  <si>
    <t>часть</t>
  </si>
  <si>
    <t>тратят</t>
  </si>
  <si>
    <t>чтобы</t>
  </si>
  <si>
    <t>собрать</t>
  </si>
  <si>
    <t>трубочки</t>
  </si>
  <si>
    <t>OBJ_6</t>
  </si>
  <si>
    <t>постепенно</t>
  </si>
  <si>
    <t>возвышающуюся</t>
  </si>
  <si>
    <t>наконец</t>
  </si>
  <si>
    <t>когда</t>
  </si>
  <si>
    <t>у</t>
  </si>
  <si>
    <t>них</t>
  </si>
  <si>
    <t>other_7</t>
  </si>
  <si>
    <t>почти</t>
  </si>
  <si>
    <t>не</t>
  </si>
  <si>
    <t>остаётся</t>
  </si>
  <si>
    <t>дело</t>
  </si>
  <si>
    <t>вступает</t>
  </si>
  <si>
    <t>зефир</t>
  </si>
  <si>
    <t>SBJ_7</t>
  </si>
  <si>
    <t>SBJ_9</t>
  </si>
  <si>
    <t>робко</t>
  </si>
  <si>
    <t>его</t>
  </si>
  <si>
    <t>OBJ_10</t>
  </si>
  <si>
    <t>макушку</t>
  </si>
  <si>
    <t># text = Потом участники отходят назад и… фанфары: та-даа!</t>
  </si>
  <si>
    <t>Потом</t>
  </si>
  <si>
    <t>отходят</t>
  </si>
  <si>
    <t>…</t>
  </si>
  <si>
    <t>фанфары</t>
  </si>
  <si>
    <t>та-даа</t>
  </si>
  <si>
    <t>!</t>
  </si>
  <si>
    <t># text = Все восхищаются результатом собственного труда.</t>
  </si>
  <si>
    <t>Все</t>
  </si>
  <si>
    <t>восхищаются</t>
  </si>
  <si>
    <t>результатом</t>
  </si>
  <si>
    <t>собственного</t>
  </si>
  <si>
    <t>труда</t>
  </si>
  <si>
    <t># text = Однако на самом деле, в большинстве случаев «та-даа!» переходит в «ой-ой!», потому что груз зефира заставляет башню сначала изогнуться, а потом и вовсе развалиться.</t>
  </si>
  <si>
    <t>Однако</t>
  </si>
  <si>
    <t>большинстве</t>
  </si>
  <si>
    <t>случаев</t>
  </si>
  <si>
    <t>«та-даа</t>
  </si>
  <si>
    <t>»</t>
  </si>
  <si>
    <t>переходит</t>
  </si>
  <si>
    <t>«ой-ой</t>
  </si>
  <si>
    <t>груз</t>
  </si>
  <si>
    <t>заставляет</t>
  </si>
  <si>
    <t>сначала</t>
  </si>
  <si>
    <t>изогнуться</t>
  </si>
  <si>
    <t>а</t>
  </si>
  <si>
    <t>потом</t>
  </si>
  <si>
    <t>вовсе</t>
  </si>
  <si>
    <t>развалиться</t>
  </si>
  <si>
    <t># text = В результате у некоторых участников больше, чем у других, концовка сопровождается нотой «ой-ой!», и среди них хуже всего дело обстоит с недавними выпускниками бизнес-школ.</t>
  </si>
  <si>
    <t>В</t>
  </si>
  <si>
    <t>результате</t>
  </si>
  <si>
    <t>некоторых</t>
  </si>
  <si>
    <t>больше</t>
  </si>
  <si>
    <t>чем</t>
  </si>
  <si>
    <t>других</t>
  </si>
  <si>
    <t>концовка</t>
  </si>
  <si>
    <t>сопровождается</t>
  </si>
  <si>
    <t>нотой</t>
  </si>
  <si>
    <t>среди</t>
  </si>
  <si>
    <t>хуже</t>
  </si>
  <si>
    <t>всего</t>
  </si>
  <si>
    <t>обстоит</t>
  </si>
  <si>
    <t>недавними</t>
  </si>
  <si>
    <t>выпускниками</t>
  </si>
  <si>
    <t>бизнес</t>
  </si>
  <si>
    <t>школ</t>
  </si>
  <si>
    <t># text = (Смех) Для них характерны обман и надувательство, они легко отвлекаются и башни у них в результате получаются дефектные.</t>
  </si>
  <si>
    <t>(</t>
  </si>
  <si>
    <t>Смех</t>
  </si>
  <si>
    <t>)</t>
  </si>
  <si>
    <t>Для</t>
  </si>
  <si>
    <t>характерны</t>
  </si>
  <si>
    <t>обман</t>
  </si>
  <si>
    <t>надувательство</t>
  </si>
  <si>
    <t>отвлекаются</t>
  </si>
  <si>
    <t>def-np.poss</t>
  </si>
  <si>
    <t>получаются</t>
  </si>
  <si>
    <t>дефектные</t>
  </si>
  <si>
    <t># text = Конечно же, немало команд создают башни типа «Та-даа!», и среди них лучше всех дело обстоит у недавних выпускников детских садов.</t>
  </si>
  <si>
    <t>Конечно</t>
  </si>
  <si>
    <t>же</t>
  </si>
  <si>
    <t>немало</t>
  </si>
  <si>
    <t>команд</t>
  </si>
  <si>
    <t>создают</t>
  </si>
  <si>
    <t>типа</t>
  </si>
  <si>
    <t>«Та</t>
  </si>
  <si>
    <t>даа</t>
  </si>
  <si>
    <t>other_6</t>
  </si>
  <si>
    <t>лучше</t>
  </si>
  <si>
    <t>всех</t>
  </si>
  <si>
    <t>SBJ_6</t>
  </si>
  <si>
    <t>недавних</t>
  </si>
  <si>
    <t>выпускников</t>
  </si>
  <si>
    <t>детских</t>
  </si>
  <si>
    <t>садов</t>
  </si>
  <si>
    <t># text = Достаточно удивительно.</t>
  </si>
  <si>
    <t>Достаточно</t>
  </si>
  <si>
    <t>удивительно</t>
  </si>
  <si>
    <t># text = По словам Питера, они не только создают самые высокие башни, но и самые интересные.</t>
  </si>
  <si>
    <t>По</t>
  </si>
  <si>
    <t>словам</t>
  </si>
  <si>
    <t>Питера</t>
  </si>
  <si>
    <t>только</t>
  </si>
  <si>
    <t>самые</t>
  </si>
  <si>
    <t>высокие</t>
  </si>
  <si>
    <t>интересные</t>
  </si>
  <si>
    <t># text = У вас может возникнуть вопрос: Как это так?</t>
  </si>
  <si>
    <t>У</t>
  </si>
  <si>
    <t>вас</t>
  </si>
  <si>
    <t>может</t>
  </si>
  <si>
    <t>возникнуть</t>
  </si>
  <si>
    <t>вопрос</t>
  </si>
  <si>
    <t>Как</t>
  </si>
  <si>
    <t>так</t>
  </si>
  <si>
    <t>?</t>
  </si>
  <si>
    <t># text = Почему?</t>
  </si>
  <si>
    <t>Почему</t>
  </si>
  <si>
    <t># text = Что в них такого?</t>
  </si>
  <si>
    <t>Что</t>
  </si>
  <si>
    <t>такого</t>
  </si>
  <si>
    <t># text = Питер любит повторять: «Ни один ребёнок не транжирит время на попытки стать Президентом Макаронной Корпорации».</t>
  </si>
  <si>
    <t>любит</t>
  </si>
  <si>
    <t>повторять</t>
  </si>
  <si>
    <t>«Ни</t>
  </si>
  <si>
    <t>один</t>
  </si>
  <si>
    <t>ребёнок</t>
  </si>
  <si>
    <t>транжирит</t>
  </si>
  <si>
    <t>попытки</t>
  </si>
  <si>
    <t>Президентом</t>
  </si>
  <si>
    <t>Макаронной</t>
  </si>
  <si>
    <t>Корпорации»</t>
  </si>
  <si>
    <t># text = Они не тратят время на подковёрную борьбу за влияние в группе.</t>
  </si>
  <si>
    <t>Они</t>
  </si>
  <si>
    <t>подковёрную</t>
  </si>
  <si>
    <t>борьбу</t>
  </si>
  <si>
    <t>за</t>
  </si>
  <si>
    <t>влияние</t>
  </si>
  <si>
    <t># text = Но есть и другая причина.</t>
  </si>
  <si>
    <t>Но</t>
  </si>
  <si>
    <t>есть</t>
  </si>
  <si>
    <t>другая</t>
  </si>
  <si>
    <t>причина</t>
  </si>
  <si>
    <t># text = Дело в том, что выпускников бизнес-школ учили разрабатывать единственно правильный план.</t>
  </si>
  <si>
    <t>Дело</t>
  </si>
  <si>
    <t>том</t>
  </si>
  <si>
    <t>учили</t>
  </si>
  <si>
    <t>разрабатывать</t>
  </si>
  <si>
    <t>единственно</t>
  </si>
  <si>
    <t>правильный</t>
  </si>
  <si>
    <t>план</t>
  </si>
  <si>
    <t># text = Вот они и применяют это на практике.</t>
  </si>
  <si>
    <t>Вот</t>
  </si>
  <si>
    <t>применяют</t>
  </si>
  <si>
    <t>практике</t>
  </si>
  <si>
    <t># text = Типична для них ситуация: они пытаются закрепить зефир на макушке, но у них кончается время.</t>
  </si>
  <si>
    <t>Типична</t>
  </si>
  <si>
    <t>для</t>
  </si>
  <si>
    <t>ситуация</t>
  </si>
  <si>
    <t>закрепить</t>
  </si>
  <si>
    <t>кончается</t>
  </si>
  <si>
    <t># text = И что потом бывает?</t>
  </si>
  <si>
    <t>И</t>
  </si>
  <si>
    <t>бывает</t>
  </si>
  <si>
    <t># text = Ничего хорошего.</t>
  </si>
  <si>
    <t>Ничего</t>
  </si>
  <si>
    <t>pron.pind</t>
  </si>
  <si>
    <t>хорошего</t>
  </si>
  <si>
    <t># text = Кризис называется.</t>
  </si>
  <si>
    <t>Кризис</t>
  </si>
  <si>
    <t>называется</t>
  </si>
  <si>
    <t># text = Знакомое слово?</t>
  </si>
  <si>
    <t>Знакомое</t>
  </si>
  <si>
    <t># text = Ещё бы.</t>
  </si>
  <si>
    <t>Ещё</t>
  </si>
  <si>
    <t># text = Детишки из детского сада ведут себя иначе: они начинают сразу с зефира, и создают прототипы, которые с каждым разом всё более удачные, при этом зефир всё время на макушке, а потому они успевают по ходу дела многократно подправлять нескладные прототипы.</t>
  </si>
  <si>
    <t>Детишки</t>
  </si>
  <si>
    <t>из</t>
  </si>
  <si>
    <t>детского</t>
  </si>
  <si>
    <t>сада</t>
  </si>
  <si>
    <t>ведут</t>
  </si>
  <si>
    <t>себя</t>
  </si>
  <si>
    <t>иначе</t>
  </si>
  <si>
    <t>сразу</t>
  </si>
  <si>
    <t>прототипы</t>
  </si>
  <si>
    <t>которые</t>
  </si>
  <si>
    <t>SBJ_5</t>
  </si>
  <si>
    <t>каждым</t>
  </si>
  <si>
    <t>разом</t>
  </si>
  <si>
    <t>всё</t>
  </si>
  <si>
    <t>удачные</t>
  </si>
  <si>
    <t>при</t>
  </si>
  <si>
    <t>этом</t>
  </si>
  <si>
    <t>SBJ_8</t>
  </si>
  <si>
    <t>успевают</t>
  </si>
  <si>
    <t>ходу</t>
  </si>
  <si>
    <t>дела</t>
  </si>
  <si>
    <t>многократно</t>
  </si>
  <si>
    <t>подправлять</t>
  </si>
  <si>
    <t>нескладные</t>
  </si>
  <si>
    <t>OBJ_9</t>
  </si>
  <si>
    <t># text = Такой тип сотрудничества хорошо знаком дизайнерам: это – основа итерационного процесса.</t>
  </si>
  <si>
    <t>Такой</t>
  </si>
  <si>
    <t>тип</t>
  </si>
  <si>
    <t>хорошо</t>
  </si>
  <si>
    <t>знаком</t>
  </si>
  <si>
    <t>дизайнерам</t>
  </si>
  <si>
    <t>–</t>
  </si>
  <si>
    <t>основа</t>
  </si>
  <si>
    <t>итерационного</t>
  </si>
  <si>
    <t>процесса</t>
  </si>
  <si>
    <t># text = Каждый новый вариант даёт ребёнку понимание того, что – удачно, а что – неудачно.</t>
  </si>
  <si>
    <t>Каждый</t>
  </si>
  <si>
    <t>новый</t>
  </si>
  <si>
    <t>вариант</t>
  </si>
  <si>
    <t>даёт</t>
  </si>
  <si>
    <t>ребёнку</t>
  </si>
  <si>
    <t>понимание</t>
  </si>
  <si>
    <t>удачно</t>
  </si>
  <si>
    <t>неудачно</t>
  </si>
  <si>
    <t># text = Возможность опробовать прототипы играет тут огромную роль, но давайте проанализируем результаты по различным группам.</t>
  </si>
  <si>
    <t>Возможность</t>
  </si>
  <si>
    <t>опробовать</t>
  </si>
  <si>
    <t>играет</t>
  </si>
  <si>
    <t>тут</t>
  </si>
  <si>
    <t>огромную</t>
  </si>
  <si>
    <t>роль</t>
  </si>
  <si>
    <t>давайте</t>
  </si>
  <si>
    <t>проанализируем</t>
  </si>
  <si>
    <t>результаты</t>
  </si>
  <si>
    <t>различным</t>
  </si>
  <si>
    <t>группам</t>
  </si>
  <si>
    <t># text = Средняя высота башен была примерно 50 см, у выпускников бизнес-школ – примерно половина этого, у юристов – незначительно лучше, а намного лучше получалось у детей: лучше, чем у большинства взрослых.</t>
  </si>
  <si>
    <t>Средняя</t>
  </si>
  <si>
    <t>высота</t>
  </si>
  <si>
    <t>башен</t>
  </si>
  <si>
    <t>была</t>
  </si>
  <si>
    <t>примерно</t>
  </si>
  <si>
    <t>см</t>
  </si>
  <si>
    <t>половина</t>
  </si>
  <si>
    <t>этого</t>
  </si>
  <si>
    <t>юристов</t>
  </si>
  <si>
    <t>незначительно</t>
  </si>
  <si>
    <t>намного</t>
  </si>
  <si>
    <t>получалось</t>
  </si>
  <si>
    <t>детей</t>
  </si>
  <si>
    <t>большинства</t>
  </si>
  <si>
    <t>взрослых</t>
  </si>
  <si>
    <t># text = А какая группа лучше всех?</t>
  </si>
  <si>
    <t>А</t>
  </si>
  <si>
    <t>какая</t>
  </si>
  <si>
    <t>группа</t>
  </si>
  <si>
    <t># text = Архитекторы и инженеры.</t>
  </si>
  <si>
    <t>Архитекторы</t>
  </si>
  <si>
    <t>инженеры</t>
  </si>
  <si>
    <t># text = Слава богу!</t>
  </si>
  <si>
    <t>Слава</t>
  </si>
  <si>
    <t>богу</t>
  </si>
  <si>
    <t># text = 99 см – высший результат среди всех, что я видел.</t>
  </si>
  <si>
    <t>99</t>
  </si>
  <si>
    <t>высший</t>
  </si>
  <si>
    <t>видел</t>
  </si>
  <si>
    <t># text = Как это удаётся?</t>
  </si>
  <si>
    <t>удаётся</t>
  </si>
  <si>
    <t># text = Они понимают, что треугольники и само-закрепляющиеся геометрические фигуры – основа строительства устойчивых сооружений.</t>
  </si>
  <si>
    <t>понимают</t>
  </si>
  <si>
    <t>треугольники</t>
  </si>
  <si>
    <t>само</t>
  </si>
  <si>
    <t>закрепляющиеся</t>
  </si>
  <si>
    <t>геометрические</t>
  </si>
  <si>
    <t>фигуры</t>
  </si>
  <si>
    <t>строительства</t>
  </si>
  <si>
    <t>устойчивых</t>
  </si>
  <si>
    <t>сооружений</t>
  </si>
  <si>
    <t># text = Главные Руководители – результаты чуть выше среднего.</t>
  </si>
  <si>
    <t>Главные</t>
  </si>
  <si>
    <t>Руководители</t>
  </si>
  <si>
    <t>чуть</t>
  </si>
  <si>
    <t>выше</t>
  </si>
  <si>
    <t>среднего</t>
  </si>
  <si>
    <t># text = А вот это действительно любопытно: если в команду руководителей ввести одного высшего администратора, результат резко улучшится.</t>
  </si>
  <si>
    <t>действительно</t>
  </si>
  <si>
    <t>любопытно</t>
  </si>
  <si>
    <t>если</t>
  </si>
  <si>
    <t>команду</t>
  </si>
  <si>
    <t>руководителей</t>
  </si>
  <si>
    <t>ввести</t>
  </si>
  <si>
    <t>одного</t>
  </si>
  <si>
    <t>высшего</t>
  </si>
  <si>
    <t>администратора</t>
  </si>
  <si>
    <t>резко</t>
  </si>
  <si>
    <t>улучшится</t>
  </si>
  <si>
    <t># text = Невероятно, но одного взгляда иногда достаточно, чтобы сказать: «Вот эта команда победит!» Можно даже заранее быть уверенным.</t>
  </si>
  <si>
    <t>Невероятно</t>
  </si>
  <si>
    <t>взгляда</t>
  </si>
  <si>
    <t>иногда</t>
  </si>
  <si>
    <t>достаточно</t>
  </si>
  <si>
    <t>сказать</t>
  </si>
  <si>
    <t>«Вот</t>
  </si>
  <si>
    <t>команда</t>
  </si>
  <si>
    <t>победит</t>
  </si>
  <si>
    <t>Можно</t>
  </si>
  <si>
    <t>заранее</t>
  </si>
  <si>
    <t>уверенным</t>
  </si>
  <si>
    <t># text = Потому, что у таких людей есть навыки организационной работы.</t>
  </si>
  <si>
    <t>Потому</t>
  </si>
  <si>
    <t>навыки</t>
  </si>
  <si>
    <t>организационной</t>
  </si>
  <si>
    <t>работы</t>
  </si>
  <si>
    <t># text = Они управляют процессом, они понимают процесс.</t>
  </si>
  <si>
    <t>управляют</t>
  </si>
  <si>
    <t>процессом</t>
  </si>
  <si>
    <t>процесс</t>
  </si>
  <si>
    <t># text = Любая команда с умением управлять работой, уделить этому нужное внимание, добивается существенно лучших результатов.</t>
  </si>
  <si>
    <t>Любая</t>
  </si>
  <si>
    <t>умением</t>
  </si>
  <si>
    <t>работой</t>
  </si>
  <si>
    <t>уделить</t>
  </si>
  <si>
    <t>этому</t>
  </si>
  <si>
    <t>нужное</t>
  </si>
  <si>
    <t>внимание</t>
  </si>
  <si>
    <t>добивается</t>
  </si>
  <si>
    <t>существенно</t>
  </si>
  <si>
    <t>лучших</t>
  </si>
  <si>
    <t>результатов</t>
  </si>
  <si>
    <t># text = Специализированные навыки плюс организационные навыки – такая комбинация даёт высокую гарантию успеха.</t>
  </si>
  <si>
    <t>Специализированные</t>
  </si>
  <si>
    <t>плюс</t>
  </si>
  <si>
    <t>организационные</t>
  </si>
  <si>
    <t>такая</t>
  </si>
  <si>
    <t>комбинация</t>
  </si>
  <si>
    <t>гарантию</t>
  </si>
  <si>
    <t>успеха</t>
  </si>
  <si>
    <t># text = Обычно, если участвует 10 команд, башня возвышается только примерно у шести из них.</t>
  </si>
  <si>
    <t>участвует</t>
  </si>
  <si>
    <t>башня</t>
  </si>
  <si>
    <t>возвышается</t>
  </si>
  <si>
    <t>шести</t>
  </si>
  <si>
    <t># text = И вот я провёл интересный эксперимент.</t>
  </si>
  <si>
    <t>эксперимент</t>
  </si>
  <si>
    <t># text = Я решил увеличить ставки и учредил приз – программное обеспечение стоимостью в $10000.</t>
  </si>
  <si>
    <t>Я</t>
  </si>
  <si>
    <t>решил</t>
  </si>
  <si>
    <t>увеличить</t>
  </si>
  <si>
    <t>ставки</t>
  </si>
  <si>
    <t>учредил</t>
  </si>
  <si>
    <t>приз</t>
  </si>
  <si>
    <t>программное</t>
  </si>
  <si>
    <t>обеспечение</t>
  </si>
  <si>
    <t>стоимостью</t>
  </si>
  <si>
    <t>$</t>
  </si>
  <si>
    <t>10000</t>
  </si>
  <si>
    <t># text = Какой эффект, по вашему мнению, это имело на участников?</t>
  </si>
  <si>
    <t>Какой</t>
  </si>
  <si>
    <t>эффект</t>
  </si>
  <si>
    <t>вашему</t>
  </si>
  <si>
    <t>pron.ppos</t>
  </si>
  <si>
    <t>мнению</t>
  </si>
  <si>
    <t>имело</t>
  </si>
  <si>
    <t># text = Каков был результат?</t>
  </si>
  <si>
    <t>Каков</t>
  </si>
  <si>
    <t>был</t>
  </si>
  <si>
    <t># text = Вот он.</t>
  </si>
  <si>
    <t>он</t>
  </si>
  <si>
    <t># text = Ни одна команда не смогла установить башню.</t>
  </si>
  <si>
    <t>Ни</t>
  </si>
  <si>
    <t>одна</t>
  </si>
  <si>
    <t>смогла</t>
  </si>
  <si>
    <t># text = Если кто-то смог бы выдать башню высотой, скажем в 2 см, то эта команда забрала бы себе приз.</t>
  </si>
  <si>
    <t>Если</t>
  </si>
  <si>
    <t>кто-то</t>
  </si>
  <si>
    <t>смог</t>
  </si>
  <si>
    <t>выдать</t>
  </si>
  <si>
    <t>высотой</t>
  </si>
  <si>
    <t>скажем</t>
  </si>
  <si>
    <t>забрала</t>
  </si>
  <si>
    <t>себе</t>
  </si>
  <si>
    <t># text = Интересно: насколько сильно влияет само наличие высокой ставки.</t>
  </si>
  <si>
    <t>Интересно</t>
  </si>
  <si>
    <t>насколько</t>
  </si>
  <si>
    <t>сильно</t>
  </si>
  <si>
    <t>влияет</t>
  </si>
  <si>
    <t>наличие</t>
  </si>
  <si>
    <t>высокой</t>
  </si>
  <si>
    <t># text = Мы повторно провели эксперимент с той же группой.</t>
  </si>
  <si>
    <t>Мы</t>
  </si>
  <si>
    <t>повторно</t>
  </si>
  <si>
    <t>провели</t>
  </si>
  <si>
    <t>той</t>
  </si>
  <si>
    <t>группой</t>
  </si>
  <si>
    <t># text = И что, вы думаете, получилось?</t>
  </si>
  <si>
    <t>вы</t>
  </si>
  <si>
    <t>думаете</t>
  </si>
  <si>
    <t>получилось</t>
  </si>
  <si>
    <t># text = К этому времени они уже знали ценность прототипов.</t>
  </si>
  <si>
    <t>уже</t>
  </si>
  <si>
    <t>знали</t>
  </si>
  <si>
    <t>ценность</t>
  </si>
  <si>
    <t>прототипов</t>
  </si>
  <si>
    <t># text = Наихудшая до этого группа стала одной из лучших.</t>
  </si>
  <si>
    <t>Наихудшая</t>
  </si>
  <si>
    <t>до</t>
  </si>
  <si>
    <t>стала</t>
  </si>
  <si>
    <t>одной</t>
  </si>
  <si>
    <t># text = [Надпись:</t>
  </si>
  <si>
    <t>[</t>
  </si>
  <si>
    <t>Надпись</t>
  </si>
  <si>
    <t># text = Высокие ставки + информированность] Им удалось построить самую высокую башню за кратчайший срок.</t>
  </si>
  <si>
    <t>Высокие</t>
  </si>
  <si>
    <t>+</t>
  </si>
  <si>
    <t>информированность</t>
  </si>
  <si>
    <t>]</t>
  </si>
  <si>
    <t>Им</t>
  </si>
  <si>
    <t>удалось</t>
  </si>
  <si>
    <t>построить</t>
  </si>
  <si>
    <t>самую</t>
  </si>
  <si>
    <t>кратчайший</t>
  </si>
  <si>
    <t>срок</t>
  </si>
  <si>
    <t># text = Мы можем сделать важные выводы о связи стимула и успеха.</t>
  </si>
  <si>
    <t>можем</t>
  </si>
  <si>
    <t>сделать</t>
  </si>
  <si>
    <t>важные</t>
  </si>
  <si>
    <t>выводы</t>
  </si>
  <si>
    <t>связи</t>
  </si>
  <si>
    <t>стимула</t>
  </si>
  <si>
    <t># text = [Надпись: Стимул + умение = успех; Стимул + неумение = неуспех] Можно спросить:</t>
  </si>
  <si>
    <t>Стимул</t>
  </si>
  <si>
    <t>умение</t>
  </si>
  <si>
    <t>;</t>
  </si>
  <si>
    <t>неумение</t>
  </si>
  <si>
    <t>неуспех</t>
  </si>
  <si>
    <t>спросить</t>
  </si>
  <si>
    <t># text = А нужны ли кому-нибудь эти «задачки с зефиром» вообще?</t>
  </si>
  <si>
    <t>нужны</t>
  </si>
  <si>
    <t>ли</t>
  </si>
  <si>
    <t>кому-нибудь</t>
  </si>
  <si>
    <t>эти</t>
  </si>
  <si>
    <t>«задачки</t>
  </si>
  <si>
    <t>вообще</t>
  </si>
  <si>
    <t># text = Нужны, и вот почему.</t>
  </si>
  <si>
    <t>Нужны</t>
  </si>
  <si>
    <t># text = Моя работа состоит в оказании помощи группам специалистов по разработке цифровых инструментов и процессов при производстве автомобилей, создании видеоигр и визуальных эффектов.</t>
  </si>
  <si>
    <t>Моя</t>
  </si>
  <si>
    <t>работа</t>
  </si>
  <si>
    <t>состоит</t>
  </si>
  <si>
    <t>оказании</t>
  </si>
  <si>
    <t>помощи</t>
  </si>
  <si>
    <t>специалистов</t>
  </si>
  <si>
    <t>разработке</t>
  </si>
  <si>
    <t>цифровых</t>
  </si>
  <si>
    <t>инструментов</t>
  </si>
  <si>
    <t>процессов</t>
  </si>
  <si>
    <t>производстве</t>
  </si>
  <si>
    <t>автомобилей</t>
  </si>
  <si>
    <t>создании</t>
  </si>
  <si>
    <t>видеоигр</t>
  </si>
  <si>
    <t>визуальных</t>
  </si>
  <si>
    <t>эффектов</t>
  </si>
  <si>
    <t># text = Задачка с зефиром даёт возможность обнажить скрытые, невысказанные предположения.</t>
  </si>
  <si>
    <t>Задачка</t>
  </si>
  <si>
    <t>зефиром</t>
  </si>
  <si>
    <t>возможность</t>
  </si>
  <si>
    <t>обнажить</t>
  </si>
  <si>
    <t>скрытые</t>
  </si>
  <si>
    <t>невысказанные</t>
  </si>
  <si>
    <t>предположения</t>
  </si>
  <si>
    <t># text = Ведь, по правде говоря, у каждого проекта есть свой зефир, есть свой решающий грузик.</t>
  </si>
  <si>
    <t>Ведь</t>
  </si>
  <si>
    <t>правде</t>
  </si>
  <si>
    <t>говоря</t>
  </si>
  <si>
    <t>каждого</t>
  </si>
  <si>
    <t>проекта</t>
  </si>
  <si>
    <t>свой</t>
  </si>
  <si>
    <t>решающий</t>
  </si>
  <si>
    <t>грузик</t>
  </si>
  <si>
    <t># text = Задачка создаёт условия совместного опыта, общего языка, единой установки на строительство прототипа.</t>
  </si>
  <si>
    <t>создаёт</t>
  </si>
  <si>
    <t>условия</t>
  </si>
  <si>
    <t>совместного</t>
  </si>
  <si>
    <t>опыта</t>
  </si>
  <si>
    <t>общего</t>
  </si>
  <si>
    <t>языка</t>
  </si>
  <si>
    <t>единой</t>
  </si>
  <si>
    <t>установки</t>
  </si>
  <si>
    <t>строительство</t>
  </si>
  <si>
    <t>прототипа</t>
  </si>
  <si>
    <t># text = Вот в чём ценность опыта решения такой простой задачи.</t>
  </si>
  <si>
    <t>чём</t>
  </si>
  <si>
    <t>решения</t>
  </si>
  <si>
    <t>такой</t>
  </si>
  <si>
    <t>задачи</t>
  </si>
  <si>
    <t># text = Если кого это заинтересует, можете обратиться на сайт marshmallowchallenge.com.</t>
  </si>
  <si>
    <t>кого</t>
  </si>
  <si>
    <t>заинтересует</t>
  </si>
  <si>
    <t>можете</t>
  </si>
  <si>
    <t>обратиться</t>
  </si>
  <si>
    <t>сайт</t>
  </si>
  <si>
    <t>marshmallowchallenge.com</t>
  </si>
  <si>
    <t># text = Это – блог, где вы найдёте пошаговые инструкции по организации семинаров для решения задачки с зефиром.</t>
  </si>
  <si>
    <t>Это</t>
  </si>
  <si>
    <t>где</t>
  </si>
  <si>
    <t>найдёте</t>
  </si>
  <si>
    <t>пошаговые</t>
  </si>
  <si>
    <t>инструкции</t>
  </si>
  <si>
    <t>организации</t>
  </si>
  <si>
    <t>задачки</t>
  </si>
  <si>
    <t># text = В разных странах люди находили самые сумасбродные варианты нестандартных подходов и интерпретаций правил.</t>
  </si>
  <si>
    <t>разных</t>
  </si>
  <si>
    <t>странах</t>
  </si>
  <si>
    <t>люди</t>
  </si>
  <si>
    <t>находили</t>
  </si>
  <si>
    <t>сумасбродные</t>
  </si>
  <si>
    <t>варианты</t>
  </si>
  <si>
    <t>нестандартных</t>
  </si>
  <si>
    <t>подходов</t>
  </si>
  <si>
    <t>интерпретаций</t>
  </si>
  <si>
    <t>правил</t>
  </si>
  <si>
    <t># text = Там же есть данные о мировых рекордах.</t>
  </si>
  <si>
    <t>Там</t>
  </si>
  <si>
    <t>данные</t>
  </si>
  <si>
    <t>мировых</t>
  </si>
  <si>
    <t>рекордах</t>
  </si>
  <si>
    <t># text = Главный же вывод, я думаю, в том, что дизайн – это по-настоящему контактный вид спорта.</t>
  </si>
  <si>
    <t>Главный</t>
  </si>
  <si>
    <t>вывод</t>
  </si>
  <si>
    <t>думаю</t>
  </si>
  <si>
    <t>дизайн</t>
  </si>
  <si>
    <t>по-настоящему</t>
  </si>
  <si>
    <t>контактный</t>
  </si>
  <si>
    <t>вид</t>
  </si>
  <si>
    <t>спорта</t>
  </si>
  <si>
    <t># text = Он требует от нас всей полноты чувств и предела наших мыслительных способностей, нашей вовлечённости и активного подхода при решении стоящих перед нами задач.</t>
  </si>
  <si>
    <t>Он</t>
  </si>
  <si>
    <t>требует</t>
  </si>
  <si>
    <t>от</t>
  </si>
  <si>
    <t>нас</t>
  </si>
  <si>
    <t>всей</t>
  </si>
  <si>
    <t>полноты</t>
  </si>
  <si>
    <t>чувств</t>
  </si>
  <si>
    <t>предела</t>
  </si>
  <si>
    <t>наших</t>
  </si>
  <si>
    <t>мыслительных</t>
  </si>
  <si>
    <t>способностей</t>
  </si>
  <si>
    <t>нашей</t>
  </si>
  <si>
    <t>вовлечённости</t>
  </si>
  <si>
    <t>активного</t>
  </si>
  <si>
    <t>подхода</t>
  </si>
  <si>
    <t>решении</t>
  </si>
  <si>
    <t>стоящих</t>
  </si>
  <si>
    <t>перед</t>
  </si>
  <si>
    <t>нами</t>
  </si>
  <si>
    <t>задач</t>
  </si>
  <si>
    <t># text = И иногда, как показал наш опыт, небольшой прототип играет решающую роль для того, чтобы досадное «ой-ой» превратилось бы в победное «та-даа».</t>
  </si>
  <si>
    <t>показал</t>
  </si>
  <si>
    <t>наш</t>
  </si>
  <si>
    <t>опыт</t>
  </si>
  <si>
    <t>небольшой</t>
  </si>
  <si>
    <t>прототип</t>
  </si>
  <si>
    <t>решающую</t>
  </si>
  <si>
    <t>досадное</t>
  </si>
  <si>
    <t>«ой-ой»</t>
  </si>
  <si>
    <t>превратилось</t>
  </si>
  <si>
    <t>победное</t>
  </si>
  <si>
    <t>«та-даа»</t>
  </si>
  <si>
    <t># text = А это уже имеет огромное значение.</t>
  </si>
  <si>
    <t>имеет</t>
  </si>
  <si>
    <t>огромное</t>
  </si>
  <si>
    <t>значение</t>
  </si>
  <si>
    <t># text = Благодарю вас.</t>
  </si>
  <si>
    <t>Благодарю</t>
  </si>
  <si>
    <t># text = (Аплодисменты)</t>
  </si>
  <si>
    <t>Аплодисменты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</si>
</sst>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17</v>
      </c>
      <c r="B4" s="6" t="s">
        <v>21</v>
      </c>
      <c r="C4" s="6" t="s">
        <v>12</v>
      </c>
      <c r="D4" s="7" t="s">
        <v>22</v>
      </c>
      <c r="E4" s="8" t="s">
        <v>23</v>
      </c>
      <c r="F4" s="6" t="s">
        <v>24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25</v>
      </c>
      <c r="B5" s="6" t="s">
        <v>16</v>
      </c>
      <c r="C5" s="6" t="s">
        <v>12</v>
      </c>
      <c r="D5" s="7" t="s">
        <v>26</v>
      </c>
      <c r="E5" s="8" t="s">
        <v>27</v>
      </c>
      <c r="F5" s="6" t="s">
        <v>28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21</v>
      </c>
      <c r="B6" s="6" t="s">
        <v>10</v>
      </c>
      <c r="C6" s="6" t="s">
        <v>12</v>
      </c>
      <c r="D6" s="7" t="s">
        <v>29</v>
      </c>
      <c r="E6" s="8" t="s">
        <v>30</v>
      </c>
      <c r="F6" s="6" t="s">
        <v>31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32</v>
      </c>
      <c r="B7" s="6" t="s">
        <v>25</v>
      </c>
      <c r="C7" s="6" t="s">
        <v>12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36</v>
      </c>
      <c r="B8" s="6" t="s">
        <v>32</v>
      </c>
      <c r="C8" s="6" t="s">
        <v>12</v>
      </c>
      <c r="D8" s="7" t="s">
        <v>37</v>
      </c>
      <c r="E8" s="8" t="s">
        <v>38</v>
      </c>
      <c r="F8" s="6" t="s">
        <v>39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21</v>
      </c>
      <c r="C9" s="6" t="s">
        <v>12</v>
      </c>
      <c r="D9" s="7" t="s">
        <v>41</v>
      </c>
      <c r="E9" s="8" t="s">
        <v>42</v>
      </c>
      <c r="F9" s="6" t="s">
        <v>43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10</v>
      </c>
      <c r="C10" s="6" t="s">
        <v>12</v>
      </c>
      <c r="D10" s="7" t="s">
        <v>45</v>
      </c>
      <c r="E10" s="8" t="s">
        <v>46</v>
      </c>
      <c r="F10" s="6" t="s">
        <v>47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48</v>
      </c>
      <c r="B11" s="6" t="s">
        <v>25</v>
      </c>
      <c r="C11" s="6" t="s">
        <v>12</v>
      </c>
      <c r="D11" s="7" t="s">
        <v>49</v>
      </c>
      <c r="E11" s="8" t="s">
        <v>50</v>
      </c>
      <c r="F11" s="6" t="s">
        <v>51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52</v>
      </c>
      <c r="B12" s="6" t="s">
        <v>25</v>
      </c>
      <c r="C12" s="6" t="s">
        <v>12</v>
      </c>
      <c r="D12" s="7" t="s">
        <v>53</v>
      </c>
      <c r="E12" s="8" t="s">
        <v>54</v>
      </c>
      <c r="F12" s="6" t="s">
        <v>55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11</v>
      </c>
      <c r="B13" s="6" t="s">
        <v>17</v>
      </c>
      <c r="C13" s="6" t="s">
        <v>12</v>
      </c>
      <c r="D13" s="7" t="s">
        <v>56</v>
      </c>
      <c r="E13" s="8" t="s">
        <v>57</v>
      </c>
      <c r="F13" s="6" t="s">
        <v>58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59</v>
      </c>
      <c r="B14" s="6" t="s">
        <v>16</v>
      </c>
      <c r="C14" s="6" t="s">
        <v>12</v>
      </c>
      <c r="D14" s="7" t="s">
        <v>60</v>
      </c>
      <c r="E14" s="8" t="s">
        <v>61</v>
      </c>
      <c r="F14" s="6" t="s">
        <v>62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63</v>
      </c>
      <c r="B15" s="6" t="s">
        <v>11</v>
      </c>
      <c r="C15" s="6" t="s">
        <v>64</v>
      </c>
      <c r="D15" s="7" t="s">
        <v>65</v>
      </c>
      <c r="E15" s="8" t="s">
        <v>66</v>
      </c>
      <c r="F15" s="6" t="s">
        <v>67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68</v>
      </c>
      <c r="B16" s="6" t="s">
        <v>16</v>
      </c>
      <c r="C16" s="6" t="s">
        <v>12</v>
      </c>
      <c r="D16" s="7" t="s">
        <v>69</v>
      </c>
      <c r="E16" s="8" t="s">
        <v>70</v>
      </c>
      <c r="F16" s="6" t="s">
        <v>71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72</v>
      </c>
      <c r="B17" s="6" t="s">
        <v>32</v>
      </c>
      <c r="C17" s="6" t="s">
        <v>12</v>
      </c>
      <c r="D17" s="7" t="s">
        <v>73</v>
      </c>
      <c r="E17" s="8" t="s">
        <v>74</v>
      </c>
      <c r="F17" s="6" t="s">
        <v>75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76</v>
      </c>
      <c r="B18" s="6" t="s">
        <v>32</v>
      </c>
      <c r="C18" s="6" t="s">
        <v>12</v>
      </c>
      <c r="D18" s="7" t="s">
        <v>77</v>
      </c>
      <c r="E18" s="8" t="s">
        <v>78</v>
      </c>
      <c r="F18" s="6" t="s">
        <v>79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80</v>
      </c>
      <c r="B19" s="6" t="s">
        <v>16</v>
      </c>
      <c r="C19" s="6" t="s">
        <v>12</v>
      </c>
      <c r="D19" s="7" t="s">
        <v>81</v>
      </c>
      <c r="E19" s="8" t="s">
        <v>82</v>
      </c>
      <c r="F19" s="6" t="s">
        <v>83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84</v>
      </c>
      <c r="B20" s="6" t="s">
        <v>40</v>
      </c>
      <c r="C20" s="6" t="s">
        <v>12</v>
      </c>
      <c r="D20" s="7" t="s">
        <v>77</v>
      </c>
      <c r="E20" s="8" t="s">
        <v>85</v>
      </c>
      <c r="F20" s="6" t="s">
        <v>86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87</v>
      </c>
      <c r="B21" s="6" t="s">
        <v>17</v>
      </c>
      <c r="C21" s="6" t="s">
        <v>12</v>
      </c>
      <c r="D21" s="7" t="s">
        <v>29</v>
      </c>
      <c r="E21" s="8" t="s">
        <v>88</v>
      </c>
      <c r="F21" s="6" t="s">
        <v>89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90</v>
      </c>
      <c r="B22" s="6" t="s">
        <v>10</v>
      </c>
      <c r="C22" s="6" t="s">
        <v>12</v>
      </c>
      <c r="D22" s="7" t="s">
        <v>91</v>
      </c>
      <c r="E22" s="8" t="s">
        <v>92</v>
      </c>
      <c r="F22" s="6" t="s">
        <v>93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94</v>
      </c>
      <c r="B23" s="6" t="s">
        <v>17</v>
      </c>
      <c r="C23" s="6" t="s">
        <v>12</v>
      </c>
      <c r="D23" s="7" t="s">
        <v>95</v>
      </c>
      <c r="E23" s="8" t="s">
        <v>96</v>
      </c>
      <c r="F23" s="6" t="s">
        <v>97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98</v>
      </c>
      <c r="B24" s="6" t="s">
        <v>16</v>
      </c>
      <c r="C24" s="6" t="s">
        <v>12</v>
      </c>
      <c r="D24" s="7" t="s">
        <v>99</v>
      </c>
      <c r="E24" s="8" t="s">
        <v>100</v>
      </c>
      <c r="F24" s="6" t="s">
        <v>101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102</v>
      </c>
      <c r="B25" s="6" t="s">
        <v>17</v>
      </c>
      <c r="C25" s="6" t="s">
        <v>12</v>
      </c>
      <c r="D25" s="7" t="s">
        <v>103</v>
      </c>
      <c r="E25" s="8" t="s">
        <v>104</v>
      </c>
      <c r="F25" s="6" t="s">
        <v>105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106</v>
      </c>
      <c r="B26" s="6" t="s">
        <v>16</v>
      </c>
      <c r="C26" s="6" t="s">
        <v>12</v>
      </c>
      <c r="D26" s="7" t="s">
        <v>107</v>
      </c>
      <c r="E26" s="8" t="s">
        <v>108</v>
      </c>
      <c r="F26" s="6" t="s">
        <v>109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110</v>
      </c>
      <c r="B27" s="6" t="s">
        <v>17</v>
      </c>
      <c r="C27" s="6" t="s">
        <v>12</v>
      </c>
      <c r="D27" s="7" t="s">
        <v>111</v>
      </c>
      <c r="E27" s="8" t="s">
        <v>112</v>
      </c>
      <c r="F27" s="6" t="s">
        <v>113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114</v>
      </c>
      <c r="B28" s="6" t="s">
        <v>25</v>
      </c>
      <c r="C28" s="6" t="s">
        <v>12</v>
      </c>
      <c r="D28" s="7" t="s">
        <v>115</v>
      </c>
      <c r="E28" s="8" t="s">
        <v>116</v>
      </c>
      <c r="F28" s="6" t="s">
        <v>117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118</v>
      </c>
      <c r="B29" s="6" t="s">
        <v>10</v>
      </c>
      <c r="C29" s="6" t="s">
        <v>12</v>
      </c>
      <c r="D29" s="7" t="s">
        <v>119</v>
      </c>
      <c r="E29" s="8" t="s">
        <v>120</v>
      </c>
      <c r="F29" s="6" t="s">
        <v>121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122</v>
      </c>
      <c r="B30" s="6" t="s">
        <v>25</v>
      </c>
      <c r="C30" s="6" t="s">
        <v>12</v>
      </c>
      <c r="D30" s="7" t="s">
        <v>123</v>
      </c>
      <c r="E30" s="8" t="s">
        <v>124</v>
      </c>
      <c r="F30" s="6" t="s">
        <v>125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126</v>
      </c>
      <c r="B31" s="6" t="s">
        <v>10</v>
      </c>
      <c r="C31" s="6" t="s">
        <v>12</v>
      </c>
      <c r="D31" s="7" t="s">
        <v>127</v>
      </c>
      <c r="E31" s="8" t="s">
        <v>128</v>
      </c>
      <c r="F31" s="6" t="s">
        <v>129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130</v>
      </c>
      <c r="B32" s="6" t="s">
        <v>16</v>
      </c>
      <c r="C32" s="6" t="s">
        <v>12</v>
      </c>
      <c r="D32" s="7" t="s">
        <v>131</v>
      </c>
      <c r="E32" s="8" t="s">
        <v>132</v>
      </c>
      <c r="F32" s="6" t="s">
        <v>133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134</v>
      </c>
      <c r="B33" s="6" t="s">
        <v>16</v>
      </c>
      <c r="C33" s="6" t="s">
        <v>12</v>
      </c>
      <c r="D33" s="7" t="s">
        <v>135</v>
      </c>
      <c r="E33" s="8" t="s">
        <v>136</v>
      </c>
      <c r="F33" s="6" t="s">
        <v>137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138</v>
      </c>
      <c r="B34" s="6" t="s">
        <v>10</v>
      </c>
      <c r="C34" s="6" t="s">
        <v>12</v>
      </c>
      <c r="D34" s="7" t="s">
        <v>139</v>
      </c>
      <c r="E34" s="8" t="s">
        <v>140</v>
      </c>
      <c r="F34" s="6" t="s">
        <v>141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142</v>
      </c>
      <c r="B35" s="6" t="s">
        <v>21</v>
      </c>
      <c r="C35" s="6" t="s">
        <v>12</v>
      </c>
      <c r="D35" s="7" t="s">
        <v>143</v>
      </c>
      <c r="E35" s="8" t="s">
        <v>144</v>
      </c>
      <c r="F35" s="6" t="s">
        <v>145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146</v>
      </c>
      <c r="B36" s="6" t="s">
        <v>21</v>
      </c>
      <c r="C36" s="6" t="s">
        <v>12</v>
      </c>
      <c r="D36" s="7" t="s">
        <v>147</v>
      </c>
      <c r="E36" s="8" t="s">
        <v>148</v>
      </c>
      <c r="F36" s="6" t="s">
        <v>149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150</v>
      </c>
      <c r="B37" s="6" t="s">
        <v>25</v>
      </c>
      <c r="C37" s="6" t="s">
        <v>12</v>
      </c>
      <c r="D37" s="7" t="s">
        <v>151</v>
      </c>
      <c r="E37" s="8" t="s">
        <v>152</v>
      </c>
      <c r="F37" s="6" t="s">
        <v>153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154</v>
      </c>
      <c r="B38" s="6" t="s">
        <v>25</v>
      </c>
      <c r="C38" s="6" t="s">
        <v>12</v>
      </c>
      <c r="D38" s="7" t="s">
        <v>155</v>
      </c>
      <c r="E38" s="8" t="s">
        <v>156</v>
      </c>
      <c r="F38" s="6" t="s">
        <v>157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158</v>
      </c>
      <c r="B39" s="6" t="s">
        <v>25</v>
      </c>
      <c r="C39" s="6" t="s">
        <v>12</v>
      </c>
      <c r="D39" s="7" t="s">
        <v>159</v>
      </c>
      <c r="E39" s="8" t="s">
        <v>160</v>
      </c>
      <c r="F39" s="6" t="s">
        <v>161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162</v>
      </c>
      <c r="B40" s="6" t="s">
        <v>25</v>
      </c>
      <c r="C40" s="6" t="s">
        <v>12</v>
      </c>
      <c r="D40" s="7" t="s">
        <v>163</v>
      </c>
      <c r="E40" s="8" t="s">
        <v>164</v>
      </c>
      <c r="F40" s="6" t="s">
        <v>165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166</v>
      </c>
      <c r="B41" s="6" t="s">
        <v>10</v>
      </c>
      <c r="C41" s="6" t="s">
        <v>12</v>
      </c>
      <c r="D41" s="7" t="s">
        <v>167</v>
      </c>
      <c r="E41" s="8" t="s">
        <v>168</v>
      </c>
      <c r="F41" s="6" t="s">
        <v>169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170</v>
      </c>
      <c r="B42" s="6" t="s">
        <v>10</v>
      </c>
      <c r="C42" s="6" t="s">
        <v>12</v>
      </c>
      <c r="D42" s="7" t="s">
        <v>171</v>
      </c>
      <c r="E42" s="8" t="s">
        <v>172</v>
      </c>
      <c r="F42" s="6" t="s">
        <v>173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174</v>
      </c>
      <c r="B43" s="6" t="s">
        <v>21</v>
      </c>
      <c r="C43" s="6" t="s">
        <v>12</v>
      </c>
      <c r="D43" s="7" t="s">
        <v>69</v>
      </c>
      <c r="E43" s="8" t="s">
        <v>175</v>
      </c>
      <c r="F43" s="6" t="s">
        <v>176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177</v>
      </c>
      <c r="B44" s="6" t="s">
        <v>17</v>
      </c>
      <c r="C44" s="6" t="s">
        <v>12</v>
      </c>
      <c r="D44" s="7" t="s">
        <v>178</v>
      </c>
      <c r="E44" s="8" t="s">
        <v>179</v>
      </c>
      <c r="F44" s="6" t="s">
        <v>180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181</v>
      </c>
      <c r="B45" s="6" t="s">
        <v>16</v>
      </c>
      <c r="C45" s="6" t="s">
        <v>12</v>
      </c>
      <c r="D45" s="7" t="s">
        <v>182</v>
      </c>
      <c r="E45" s="8" t="s">
        <v>183</v>
      </c>
      <c r="F45" s="6" t="s">
        <v>184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185</v>
      </c>
      <c r="B46" s="6" t="s">
        <v>32</v>
      </c>
      <c r="C46" s="6" t="s">
        <v>12</v>
      </c>
      <c r="D46" s="7" t="s">
        <v>186</v>
      </c>
      <c r="E46" s="8" t="s">
        <v>187</v>
      </c>
      <c r="F46" s="6" t="s">
        <v>188</v>
      </c>
      <c r="G46" s="9">
        <f>IF(A46=1,"_",IF(C46="_","???",C46))</f>
        <v/>
      </c>
      <c r="H46" s="10" t="s">
        <v>12</v>
      </c>
      <c r="I46" s="11" t="s">
        <v>12</v>
      </c>
      <c r="J46" s="12"/>
    </row>
    <row r="47" spans="1:10" ht="60" customHeight="1">
      <c r="A47" s="6" t="s">
        <v>189</v>
      </c>
      <c r="B47" s="6" t="s">
        <v>21</v>
      </c>
      <c r="C47" s="6" t="s">
        <v>12</v>
      </c>
      <c r="D47" s="7" t="s">
        <v>190</v>
      </c>
      <c r="E47" s="8" t="s">
        <v>191</v>
      </c>
      <c r="F47" s="6" t="s">
        <v>192</v>
      </c>
      <c r="G47" s="9">
        <f>IF(A47=1,"_",IF(C47="_","???",C47))</f>
        <v/>
      </c>
      <c r="H47" s="10" t="s">
        <v>12</v>
      </c>
      <c r="I47" s="11" t="s">
        <v>12</v>
      </c>
      <c r="J47" s="12"/>
    </row>
    <row r="48" spans="1:10" ht="60" customHeight="1">
      <c r="A48" s="6" t="s">
        <v>193</v>
      </c>
      <c r="B48" s="6" t="s">
        <v>10</v>
      </c>
      <c r="C48" s="6" t="s">
        <v>12</v>
      </c>
      <c r="D48" s="7" t="s">
        <v>194</v>
      </c>
      <c r="E48" s="8" t="s">
        <v>195</v>
      </c>
      <c r="F48" s="6" t="s">
        <v>196</v>
      </c>
      <c r="G48" s="9">
        <f>IF(A48=1,"_",IF(C48="_","???",C48))</f>
        <v/>
      </c>
      <c r="H48" s="10" t="s">
        <v>12</v>
      </c>
      <c r="I48" s="11" t="s">
        <v>12</v>
      </c>
      <c r="J48" s="12"/>
    </row>
    <row r="49" spans="1:10" ht="60" customHeight="1">
      <c r="A49" s="6" t="s">
        <v>197</v>
      </c>
      <c r="B49" s="6" t="s">
        <v>10</v>
      </c>
      <c r="C49" s="6" t="s">
        <v>12</v>
      </c>
      <c r="D49" s="7" t="s">
        <v>91</v>
      </c>
      <c r="E49" s="8" t="s">
        <v>92</v>
      </c>
      <c r="F49" s="6" t="s">
        <v>198</v>
      </c>
      <c r="G49" s="9">
        <f>IF(A49=1,"_",IF(C49="_","???",C49))</f>
        <v/>
      </c>
      <c r="H49" s="10" t="s">
        <v>12</v>
      </c>
      <c r="I49" s="11" t="s">
        <v>12</v>
      </c>
      <c r="J49" s="12"/>
    </row>
    <row r="50" spans="1:10" ht="60" customHeight="1">
      <c r="A50" s="6" t="s">
        <v>199</v>
      </c>
      <c r="B50" s="6" t="s">
        <v>10</v>
      </c>
      <c r="C50" s="6" t="s">
        <v>64</v>
      </c>
      <c r="D50" s="7" t="s">
        <v>200</v>
      </c>
      <c r="E50" s="8" t="s">
        <v>201</v>
      </c>
      <c r="F50" s="6" t="s">
        <v>202</v>
      </c>
      <c r="G50" s="9">
        <f>IF(A50=1,"_",IF(C50="_","???",C50))</f>
        <v/>
      </c>
      <c r="H50" s="10" t="s">
        <v>12</v>
      </c>
      <c r="I50" s="11" t="s">
        <v>12</v>
      </c>
      <c r="J50" s="12"/>
    </row>
    <row r="51" spans="1:10" ht="60" customHeight="1">
      <c r="A51" s="6" t="s">
        <v>203</v>
      </c>
      <c r="B51" s="6" t="s">
        <v>16</v>
      </c>
      <c r="C51" s="6" t="s">
        <v>12</v>
      </c>
      <c r="D51" s="7" t="s">
        <v>204</v>
      </c>
      <c r="E51" s="8" t="s">
        <v>205</v>
      </c>
      <c r="F51" s="6" t="s">
        <v>206</v>
      </c>
      <c r="G51" s="9">
        <f>IF(A51=1,"_",IF(C51="_","???",C51))</f>
        <v/>
      </c>
      <c r="H51" s="10" t="s">
        <v>12</v>
      </c>
      <c r="I51" s="11" t="s">
        <v>12</v>
      </c>
      <c r="J51" s="12"/>
    </row>
    <row r="52" spans="1:10" ht="60" customHeight="1">
      <c r="A52" s="6" t="s">
        <v>207</v>
      </c>
      <c r="B52" s="6" t="s">
        <v>21</v>
      </c>
      <c r="C52" s="6" t="s">
        <v>12</v>
      </c>
      <c r="D52" s="7" t="s">
        <v>204</v>
      </c>
      <c r="E52" s="8" t="s">
        <v>208</v>
      </c>
      <c r="F52" s="6" t="s">
        <v>209</v>
      </c>
      <c r="G52" s="9">
        <f>IF(A52=1,"_",IF(C52="_","???",C52))</f>
        <v/>
      </c>
      <c r="H52" s="10" t="s">
        <v>12</v>
      </c>
      <c r="I52" s="11" t="s">
        <v>12</v>
      </c>
      <c r="J52" s="12"/>
    </row>
    <row r="53" spans="1:10" ht="60" customHeight="1">
      <c r="A53" s="6" t="s">
        <v>210</v>
      </c>
      <c r="B53" s="6" t="s">
        <v>44</v>
      </c>
      <c r="C53" s="6" t="s">
        <v>12</v>
      </c>
      <c r="D53" s="7" t="s">
        <v>151</v>
      </c>
      <c r="E53" s="8" t="s">
        <v>211</v>
      </c>
      <c r="F53" s="6" t="s">
        <v>212</v>
      </c>
      <c r="G53" s="9">
        <f>IF(A53=1,"_",IF(C53="_","???",C53))</f>
        <v/>
      </c>
      <c r="H53" s="10" t="s">
        <v>12</v>
      </c>
      <c r="I53" s="11" t="s">
        <v>12</v>
      </c>
      <c r="J53" s="12"/>
    </row>
    <row r="54" spans="1:10" ht="60" customHeight="1">
      <c r="A54" s="6" t="s">
        <v>213</v>
      </c>
      <c r="B54" s="6" t="s">
        <v>44</v>
      </c>
      <c r="C54" s="6" t="s">
        <v>12</v>
      </c>
      <c r="D54" s="7" t="s">
        <v>214</v>
      </c>
      <c r="E54" s="8" t="s">
        <v>215</v>
      </c>
      <c r="F54" s="6" t="s">
        <v>216</v>
      </c>
      <c r="G54" s="9">
        <f>IF(A54=1,"_",IF(C54="_","???",C54))</f>
        <v/>
      </c>
      <c r="H54" s="10" t="s">
        <v>12</v>
      </c>
      <c r="I54" s="11" t="s">
        <v>12</v>
      </c>
      <c r="J54" s="12"/>
    </row>
    <row r="55" spans="1:10" ht="60" customHeight="1">
      <c r="A55" s="6" t="s">
        <v>217</v>
      </c>
      <c r="B55" s="6" t="s">
        <v>25</v>
      </c>
      <c r="C55" s="6" t="s">
        <v>12</v>
      </c>
      <c r="D55" s="7" t="s">
        <v>41</v>
      </c>
      <c r="E55" s="8" t="s">
        <v>218</v>
      </c>
      <c r="F55" s="6" t="s">
        <v>219</v>
      </c>
      <c r="G55" s="9">
        <f>IF(A55=1,"_",IF(C55="_","???",C55))</f>
        <v/>
      </c>
      <c r="H55" s="10" t="s">
        <v>12</v>
      </c>
      <c r="I55" s="11" t="s">
        <v>12</v>
      </c>
      <c r="J55" s="12"/>
    </row>
    <row r="56" spans="1:10" ht="60" customHeight="1">
      <c r="A56" s="6" t="s">
        <v>220</v>
      </c>
      <c r="B56" s="6" t="s">
        <v>16</v>
      </c>
      <c r="C56" s="6" t="s">
        <v>12</v>
      </c>
      <c r="D56" s="7" t="s">
        <v>221</v>
      </c>
      <c r="E56" s="8" t="s">
        <v>222</v>
      </c>
      <c r="F56" s="6" t="s">
        <v>223</v>
      </c>
      <c r="G56" s="9">
        <f>IF(A56=1,"_",IF(C56="_","???",C56))</f>
        <v/>
      </c>
      <c r="H56" s="10" t="s">
        <v>12</v>
      </c>
      <c r="I56" s="11" t="s">
        <v>12</v>
      </c>
      <c r="J56" s="12"/>
    </row>
    <row r="57" spans="1:10" ht="60" customHeight="1">
      <c r="A57" s="6" t="s">
        <v>224</v>
      </c>
      <c r="B57" s="6" t="s">
        <v>44</v>
      </c>
      <c r="C57" s="6" t="s">
        <v>12</v>
      </c>
      <c r="D57" s="7" t="s">
        <v>37</v>
      </c>
      <c r="E57" s="8" t="s">
        <v>225</v>
      </c>
      <c r="F57" s="6" t="s">
        <v>226</v>
      </c>
      <c r="G57" s="9">
        <f>IF(A57=1,"_",IF(C57="_","???",C57))</f>
        <v/>
      </c>
      <c r="H57" s="10" t="s">
        <v>12</v>
      </c>
      <c r="I57" s="11" t="s">
        <v>12</v>
      </c>
      <c r="J57" s="12"/>
    </row>
    <row r="58" spans="1:10" ht="60" customHeight="1">
      <c r="A58" s="6" t="s">
        <v>227</v>
      </c>
      <c r="B58" s="6" t="s">
        <v>16</v>
      </c>
      <c r="C58" s="6" t="s">
        <v>12</v>
      </c>
      <c r="D58" s="7" t="s">
        <v>228</v>
      </c>
      <c r="E58" s="8" t="s">
        <v>229</v>
      </c>
      <c r="F58" s="6" t="s">
        <v>230</v>
      </c>
      <c r="G58" s="9">
        <f>IF(A58=1,"_",IF(C58="_","???",C58))</f>
        <v/>
      </c>
      <c r="H58" s="10" t="s">
        <v>12</v>
      </c>
      <c r="I58" s="11" t="s">
        <v>12</v>
      </c>
      <c r="J58" s="12"/>
    </row>
    <row r="59" spans="1:10" ht="60" customHeight="1">
      <c r="A59" s="6" t="s">
        <v>231</v>
      </c>
      <c r="B59" s="6" t="s">
        <v>10</v>
      </c>
      <c r="C59" s="6" t="s">
        <v>12</v>
      </c>
      <c r="D59" s="7" t="s">
        <v>232</v>
      </c>
      <c r="E59" s="8" t="s">
        <v>233</v>
      </c>
      <c r="F59" s="6" t="s">
        <v>234</v>
      </c>
      <c r="G59" s="9">
        <f>IF(A59=1,"_",IF(C59="_","???",C59))</f>
        <v/>
      </c>
      <c r="H59" s="10" t="s">
        <v>12</v>
      </c>
      <c r="I59" s="11" t="s">
        <v>12</v>
      </c>
      <c r="J59" s="12"/>
    </row>
    <row r="60" spans="1:10" ht="60" customHeight="1">
      <c r="A60" s="6" t="s">
        <v>235</v>
      </c>
      <c r="B60" s="6" t="s">
        <v>21</v>
      </c>
      <c r="C60" s="6" t="s">
        <v>12</v>
      </c>
      <c r="D60" s="7" t="s">
        <v>29</v>
      </c>
      <c r="E60" s="8" t="s">
        <v>236</v>
      </c>
      <c r="F60" s="6" t="s">
        <v>237</v>
      </c>
      <c r="G60" s="9">
        <f>IF(A60=1,"_",IF(C60="_","???",C60))</f>
        <v/>
      </c>
      <c r="H60" s="10" t="s">
        <v>12</v>
      </c>
      <c r="I60" s="11" t="s">
        <v>12</v>
      </c>
      <c r="J60" s="12"/>
    </row>
    <row r="61" spans="1:10" ht="60" customHeight="1">
      <c r="A61" s="6" t="s">
        <v>238</v>
      </c>
      <c r="B61" s="6" t="s">
        <v>76</v>
      </c>
      <c r="C61" s="6" t="s">
        <v>12</v>
      </c>
      <c r="D61" s="7" t="s">
        <v>239</v>
      </c>
      <c r="E61" s="8" t="s">
        <v>240</v>
      </c>
      <c r="F61" s="6" t="s">
        <v>241</v>
      </c>
      <c r="G61" s="9">
        <f>IF(A61=1,"_",IF(C61="_","???",C61))</f>
        <v/>
      </c>
      <c r="H61" s="10" t="s">
        <v>12</v>
      </c>
      <c r="I61" s="11" t="s">
        <v>12</v>
      </c>
      <c r="J61" s="12"/>
    </row>
    <row r="62" spans="1:10" ht="60" customHeight="1">
      <c r="A62" s="6" t="s">
        <v>242</v>
      </c>
      <c r="B62" s="6" t="s">
        <v>10</v>
      </c>
      <c r="C62" s="6" t="s">
        <v>12</v>
      </c>
      <c r="D62" s="7" t="s">
        <v>243</v>
      </c>
      <c r="E62" s="8" t="s">
        <v>244</v>
      </c>
      <c r="F62" s="6" t="s">
        <v>245</v>
      </c>
      <c r="G62" s="9">
        <f>IF(A62=1,"_",IF(C62="_","???",C62))</f>
        <v/>
      </c>
      <c r="H62" s="10" t="s">
        <v>12</v>
      </c>
      <c r="I62" s="11" t="s">
        <v>12</v>
      </c>
      <c r="J62" s="12"/>
    </row>
    <row r="63" spans="1:10" ht="60" customHeight="1">
      <c r="A63" s="6" t="s">
        <v>246</v>
      </c>
      <c r="B63" s="6" t="s">
        <v>17</v>
      </c>
      <c r="C63" s="6" t="s">
        <v>12</v>
      </c>
      <c r="D63" s="7" t="s">
        <v>41</v>
      </c>
      <c r="E63" s="8" t="s">
        <v>247</v>
      </c>
      <c r="F63" s="6" t="s">
        <v>248</v>
      </c>
      <c r="G63" s="9">
        <f>IF(A63=1,"_",IF(C63="_","???",C63))</f>
        <v/>
      </c>
      <c r="H63" s="10" t="s">
        <v>12</v>
      </c>
      <c r="I63" s="11" t="s">
        <v>12</v>
      </c>
      <c r="J63" s="12"/>
    </row>
    <row r="64" spans="1:10" ht="60" customHeight="1">
      <c r="A64" s="6" t="s">
        <v>249</v>
      </c>
      <c r="B64" s="6" t="s">
        <v>36</v>
      </c>
      <c r="C64" s="6" t="s">
        <v>12</v>
      </c>
      <c r="D64" s="7" t="s">
        <v>250</v>
      </c>
      <c r="E64" s="8" t="s">
        <v>251</v>
      </c>
      <c r="F64" s="6" t="s">
        <v>252</v>
      </c>
      <c r="G64" s="9">
        <f>IF(A64=1,"_",IF(C64="_","???",C64))</f>
        <v/>
      </c>
      <c r="H64" s="10" t="s">
        <v>12</v>
      </c>
      <c r="I64" s="11" t="s">
        <v>12</v>
      </c>
      <c r="J64" s="12"/>
    </row>
    <row r="65" spans="1:10" ht="60" customHeight="1">
      <c r="A65" s="6" t="s">
        <v>253</v>
      </c>
      <c r="B65" s="6" t="s">
        <v>32</v>
      </c>
      <c r="C65" s="6" t="s">
        <v>12</v>
      </c>
      <c r="D65" s="7" t="s">
        <v>254</v>
      </c>
      <c r="E65" s="8" t="s">
        <v>255</v>
      </c>
      <c r="F65" s="6" t="s">
        <v>256</v>
      </c>
      <c r="G65" s="9">
        <f>IF(A65=1,"_",IF(C65="_","???",C65))</f>
        <v/>
      </c>
      <c r="H65" s="10" t="s">
        <v>12</v>
      </c>
      <c r="I65" s="11" t="s">
        <v>12</v>
      </c>
      <c r="J65" s="12"/>
    </row>
    <row r="66" spans="1:10" ht="60" customHeight="1">
      <c r="A66" s="6" t="s">
        <v>257</v>
      </c>
      <c r="B66" s="6" t="s">
        <v>21</v>
      </c>
      <c r="C66" s="6" t="s">
        <v>12</v>
      </c>
      <c r="D66" s="7" t="s">
        <v>258</v>
      </c>
      <c r="E66" s="8" t="s">
        <v>259</v>
      </c>
      <c r="F66" s="6" t="s">
        <v>260</v>
      </c>
      <c r="G66" s="9">
        <f>IF(A66=1,"_",IF(C66="_","???",C66))</f>
        <v/>
      </c>
      <c r="H66" s="10" t="s">
        <v>12</v>
      </c>
      <c r="I66" s="11" t="s">
        <v>12</v>
      </c>
      <c r="J66" s="12"/>
    </row>
    <row r="67" spans="1:10" ht="60" customHeight="1">
      <c r="A67" s="6" t="s">
        <v>261</v>
      </c>
      <c r="B67" s="6" t="s">
        <v>16</v>
      </c>
      <c r="C67" s="6" t="s">
        <v>12</v>
      </c>
      <c r="D67" s="7" t="s">
        <v>262</v>
      </c>
      <c r="E67" s="8" t="s">
        <v>263</v>
      </c>
      <c r="F67" s="6" t="s">
        <v>264</v>
      </c>
      <c r="G67" s="9">
        <f>IF(A67=1,"_",IF(C67="_","???",C67))</f>
        <v/>
      </c>
      <c r="H67" s="10" t="s">
        <v>12</v>
      </c>
      <c r="I67" s="11" t="s">
        <v>12</v>
      </c>
      <c r="J67" s="12"/>
    </row>
    <row r="68" spans="1:10" ht="60" customHeight="1">
      <c r="A68" s="6" t="s">
        <v>265</v>
      </c>
      <c r="B68" s="6" t="s">
        <v>36</v>
      </c>
      <c r="C68" s="6" t="s">
        <v>12</v>
      </c>
      <c r="D68" s="7" t="s">
        <v>266</v>
      </c>
      <c r="E68" s="8" t="s">
        <v>267</v>
      </c>
      <c r="F68" s="6" t="s">
        <v>268</v>
      </c>
      <c r="G68" s="9">
        <f>IF(A68=1,"_",IF(C68="_","???",C68))</f>
        <v/>
      </c>
      <c r="H68" s="10" t="s">
        <v>12</v>
      </c>
      <c r="I68" s="11" t="s">
        <v>12</v>
      </c>
      <c r="J68" s="12"/>
    </row>
    <row r="69" spans="1:10" ht="60" customHeight="1">
      <c r="A69" s="6" t="s">
        <v>269</v>
      </c>
      <c r="B69" s="6" t="s">
        <v>16</v>
      </c>
      <c r="C69" s="6" t="s">
        <v>12</v>
      </c>
      <c r="D69" s="7" t="s">
        <v>29</v>
      </c>
      <c r="E69" s="8" t="s">
        <v>270</v>
      </c>
      <c r="F69" s="6" t="s">
        <v>271</v>
      </c>
      <c r="G69" s="9">
        <f>IF(A69=1,"_",IF(C69="_","???",C69))</f>
        <v/>
      </c>
      <c r="H69" s="10" t="s">
        <v>12</v>
      </c>
      <c r="I69" s="11" t="s">
        <v>12</v>
      </c>
      <c r="J69" s="12"/>
    </row>
    <row r="70" spans="1:10" ht="60" customHeight="1">
      <c r="A70" s="6" t="s">
        <v>272</v>
      </c>
      <c r="B70" s="6" t="s">
        <v>16</v>
      </c>
      <c r="C70" s="6" t="s">
        <v>12</v>
      </c>
      <c r="D70" s="7" t="s">
        <v>262</v>
      </c>
      <c r="E70" s="8" t="s">
        <v>273</v>
      </c>
      <c r="F70" s="6" t="s">
        <v>274</v>
      </c>
      <c r="G70" s="9">
        <f>IF(A70=1,"_",IF(C70="_","???",C70))</f>
        <v/>
      </c>
      <c r="H70" s="10" t="s">
        <v>12</v>
      </c>
      <c r="I70" s="11" t="s">
        <v>12</v>
      </c>
      <c r="J70" s="12"/>
    </row>
    <row r="71" spans="1:10" ht="60" customHeight="1">
      <c r="A71" s="6" t="s">
        <v>275</v>
      </c>
      <c r="B71" s="6" t="s">
        <v>16</v>
      </c>
      <c r="C71" s="6" t="s">
        <v>12</v>
      </c>
      <c r="D71" s="7" t="s">
        <v>276</v>
      </c>
      <c r="E71" s="8" t="s">
        <v>277</v>
      </c>
      <c r="F71" s="6" t="s">
        <v>278</v>
      </c>
      <c r="G71" s="9">
        <f>IF(A71=1,"_",IF(C71="_","???",C71))</f>
        <v/>
      </c>
      <c r="H71" s="10" t="s">
        <v>12</v>
      </c>
      <c r="I71" s="11" t="s">
        <v>12</v>
      </c>
      <c r="J71" s="12"/>
    </row>
    <row r="72" spans="1:10" ht="60" customHeight="1">
      <c r="A72" s="6" t="s">
        <v>279</v>
      </c>
      <c r="B72" s="6" t="s">
        <v>10</v>
      </c>
      <c r="C72" s="6" t="s">
        <v>280</v>
      </c>
      <c r="D72" s="7" t="s">
        <v>276</v>
      </c>
      <c r="E72" s="8" t="s">
        <v>281</v>
      </c>
      <c r="F72" s="6" t="s">
        <v>282</v>
      </c>
      <c r="G72" s="9">
        <f>IF(A72=1,"_",IF(C72="_","???",C72))</f>
        <v/>
      </c>
      <c r="H72" s="10" t="s">
        <v>12</v>
      </c>
      <c r="I72" s="11" t="s">
        <v>12</v>
      </c>
      <c r="J72" s="12"/>
    </row>
    <row r="73" spans="1:10" ht="60" customHeight="1">
      <c r="A73" s="6" t="s">
        <v>283</v>
      </c>
      <c r="B73" s="6" t="s">
        <v>17</v>
      </c>
      <c r="C73" s="6" t="s">
        <v>12</v>
      </c>
      <c r="D73" s="7" t="s">
        <v>284</v>
      </c>
      <c r="E73" s="8" t="s">
        <v>285</v>
      </c>
      <c r="F73" s="6" t="s">
        <v>286</v>
      </c>
      <c r="G73" s="9">
        <f>IF(A73=1,"_",IF(C73="_","???",C73))</f>
        <v/>
      </c>
      <c r="H73" s="10" t="s">
        <v>12</v>
      </c>
      <c r="I73" s="11" t="s">
        <v>12</v>
      </c>
      <c r="J73" s="12"/>
    </row>
    <row r="74" spans="1:10" ht="60" customHeight="1">
      <c r="A74" s="6" t="s">
        <v>287</v>
      </c>
      <c r="B74" s="6" t="s">
        <v>25</v>
      </c>
      <c r="C74" s="6" t="s">
        <v>12</v>
      </c>
      <c r="D74" s="7" t="s">
        <v>151</v>
      </c>
      <c r="E74" s="8" t="s">
        <v>288</v>
      </c>
      <c r="F74" s="6" t="s">
        <v>289</v>
      </c>
      <c r="G74" s="9">
        <f>IF(A74=1,"_",IF(C74="_","???",C74))</f>
        <v/>
      </c>
      <c r="H74" s="10" t="s">
        <v>12</v>
      </c>
      <c r="I74" s="11" t="s">
        <v>12</v>
      </c>
      <c r="J74" s="12"/>
    </row>
    <row r="75" spans="1:10" ht="60" customHeight="1">
      <c r="A75" s="6" t="s">
        <v>290</v>
      </c>
      <c r="B75" s="6" t="s">
        <v>48</v>
      </c>
      <c r="C75" s="6" t="s">
        <v>12</v>
      </c>
      <c r="D75" s="7" t="s">
        <v>107</v>
      </c>
      <c r="E75" s="8" t="s">
        <v>291</v>
      </c>
      <c r="F75" s="6" t="s">
        <v>292</v>
      </c>
      <c r="G75" s="9">
        <f>IF(A75=1,"_",IF(C75="_","???",C75))</f>
        <v/>
      </c>
      <c r="H75" s="10" t="s">
        <v>12</v>
      </c>
      <c r="I75" s="11" t="s">
        <v>12</v>
      </c>
      <c r="J75" s="12"/>
    </row>
    <row r="76" spans="1:10" ht="60" customHeight="1">
      <c r="A76" s="6" t="s">
        <v>293</v>
      </c>
      <c r="B76" s="6" t="s">
        <v>16</v>
      </c>
      <c r="C76" s="6" t="s">
        <v>12</v>
      </c>
      <c r="D76" s="7" t="s">
        <v>77</v>
      </c>
      <c r="E76" s="8" t="s">
        <v>294</v>
      </c>
      <c r="F76" s="6" t="s">
        <v>295</v>
      </c>
      <c r="G76" s="9">
        <f>IF(A76=1,"_",IF(C76="_","???",C76))</f>
        <v/>
      </c>
      <c r="H76" s="10" t="s">
        <v>12</v>
      </c>
      <c r="I76" s="11" t="s">
        <v>12</v>
      </c>
      <c r="J76" s="12"/>
    </row>
    <row r="77" spans="1:10" ht="60" customHeight="1">
      <c r="A77" s="6" t="s">
        <v>296</v>
      </c>
      <c r="B77" s="6" t="s">
        <v>17</v>
      </c>
      <c r="C77" s="6" t="s">
        <v>12</v>
      </c>
      <c r="D77" s="7" t="s">
        <v>297</v>
      </c>
      <c r="E77" s="8" t="s">
        <v>298</v>
      </c>
      <c r="F77" s="6" t="s">
        <v>299</v>
      </c>
      <c r="G77" s="9">
        <f>IF(A77=1,"_",IF(C77="_","???",C77))</f>
        <v/>
      </c>
      <c r="H77" s="10" t="s">
        <v>12</v>
      </c>
      <c r="I77" s="11" t="s">
        <v>12</v>
      </c>
      <c r="J77" s="12"/>
    </row>
    <row r="78" spans="1:10" ht="60" customHeight="1">
      <c r="A78" s="6" t="s">
        <v>300</v>
      </c>
      <c r="B78" s="6" t="s">
        <v>32</v>
      </c>
      <c r="C78" s="6" t="s">
        <v>12</v>
      </c>
      <c r="D78" s="7" t="s">
        <v>29</v>
      </c>
      <c r="E78" s="8" t="s">
        <v>301</v>
      </c>
      <c r="F78" s="6" t="s">
        <v>302</v>
      </c>
      <c r="G78" s="9">
        <f>IF(A78=1,"_",IF(C78="_","???",C78))</f>
        <v/>
      </c>
      <c r="H78" s="10" t="s">
        <v>12</v>
      </c>
      <c r="I78" s="11" t="s">
        <v>12</v>
      </c>
      <c r="J78" s="12"/>
    </row>
    <row r="79" spans="1:10" ht="60" customHeight="1">
      <c r="A79" s="6" t="s">
        <v>303</v>
      </c>
      <c r="B79" s="6" t="s">
        <v>17</v>
      </c>
      <c r="C79" s="6" t="s">
        <v>12</v>
      </c>
      <c r="D79" s="7" t="s">
        <v>304</v>
      </c>
      <c r="E79" s="8" t="s">
        <v>305</v>
      </c>
      <c r="F79" s="6" t="s">
        <v>306</v>
      </c>
      <c r="G79" s="9">
        <f>IF(A79=1,"_",IF(C79="_","???",C79))</f>
        <v/>
      </c>
      <c r="H79" s="10" t="s">
        <v>12</v>
      </c>
      <c r="I79" s="11" t="s">
        <v>12</v>
      </c>
      <c r="J79" s="12"/>
    </row>
    <row r="80" spans="1:10" ht="60" customHeight="1">
      <c r="A80" s="6" t="s">
        <v>307</v>
      </c>
      <c r="B80" s="6" t="s">
        <v>21</v>
      </c>
      <c r="C80" s="6" t="s">
        <v>12</v>
      </c>
      <c r="D80" s="7" t="s">
        <v>308</v>
      </c>
      <c r="E80" s="8" t="s">
        <v>309</v>
      </c>
      <c r="F80" s="6" t="s">
        <v>310</v>
      </c>
      <c r="G80" s="9">
        <f>IF(A80=1,"_",IF(C80="_","???",C80))</f>
        <v/>
      </c>
      <c r="H80" s="10" t="s">
        <v>12</v>
      </c>
      <c r="I80" s="11" t="s">
        <v>12</v>
      </c>
      <c r="J80" s="12"/>
    </row>
    <row r="81" spans="1:10" ht="60" customHeight="1">
      <c r="A81" s="6" t="s">
        <v>311</v>
      </c>
      <c r="B81" s="6" t="s">
        <v>17</v>
      </c>
      <c r="C81" s="6" t="s">
        <v>12</v>
      </c>
      <c r="D81" s="7" t="s">
        <v>107</v>
      </c>
      <c r="E81" s="8" t="s">
        <v>312</v>
      </c>
      <c r="F81" s="6" t="s">
        <v>313</v>
      </c>
      <c r="G81" s="9">
        <f>IF(A81=1,"_",IF(C81="_","???",C81))</f>
        <v/>
      </c>
      <c r="H81" s="10" t="s">
        <v>12</v>
      </c>
      <c r="I81" s="11" t="s">
        <v>12</v>
      </c>
      <c r="J81" s="12"/>
    </row>
    <row r="82" spans="1:10" ht="60" customHeight="1">
      <c r="A82" s="6" t="s">
        <v>314</v>
      </c>
      <c r="B82" s="6" t="s">
        <v>44</v>
      </c>
      <c r="C82" s="6" t="s">
        <v>12</v>
      </c>
      <c r="D82" s="7" t="s">
        <v>111</v>
      </c>
      <c r="E82" s="8" t="s">
        <v>315</v>
      </c>
      <c r="F82" s="6" t="s">
        <v>316</v>
      </c>
      <c r="G82" s="9">
        <f>IF(A82=1,"_",IF(C82="_","???",C82))</f>
        <v/>
      </c>
      <c r="H82" s="10" t="s">
        <v>12</v>
      </c>
      <c r="I82" s="11" t="s">
        <v>12</v>
      </c>
      <c r="J82" s="12"/>
    </row>
    <row r="83" spans="1:10" ht="60" customHeight="1">
      <c r="A83" s="6" t="s">
        <v>317</v>
      </c>
      <c r="B83" s="6" t="s">
        <v>16</v>
      </c>
      <c r="C83" s="6" t="s">
        <v>12</v>
      </c>
      <c r="D83" s="7" t="s">
        <v>318</v>
      </c>
      <c r="E83" s="8" t="s">
        <v>319</v>
      </c>
      <c r="F83" s="6" t="s">
        <v>320</v>
      </c>
      <c r="G83" s="9">
        <f>IF(A83=1,"_",IF(C83="_","???",C83))</f>
        <v/>
      </c>
      <c r="H83" s="10" t="s">
        <v>12</v>
      </c>
      <c r="I83" s="11" t="s">
        <v>12</v>
      </c>
      <c r="J83" s="12"/>
    </row>
    <row r="84" spans="1:10" ht="60" customHeight="1">
      <c r="A84" s="6" t="s">
        <v>321</v>
      </c>
      <c r="B84" s="6" t="s">
        <v>52</v>
      </c>
      <c r="C84" s="6" t="s">
        <v>12</v>
      </c>
      <c r="D84" s="7" t="s">
        <v>155</v>
      </c>
      <c r="E84" s="8" t="s">
        <v>322</v>
      </c>
      <c r="F84" s="6" t="s">
        <v>323</v>
      </c>
      <c r="G84" s="9">
        <f>IF(A84=1,"_",IF(C84="_","???",C84))</f>
        <v/>
      </c>
      <c r="H84" s="10" t="s">
        <v>12</v>
      </c>
      <c r="I84" s="11" t="s">
        <v>12</v>
      </c>
      <c r="J84" s="12"/>
    </row>
    <row r="85" spans="1:10" ht="60" customHeight="1">
      <c r="A85" s="6" t="s">
        <v>324</v>
      </c>
      <c r="B85" s="6" t="s">
        <v>25</v>
      </c>
      <c r="C85" s="6" t="s">
        <v>12</v>
      </c>
      <c r="D85" s="7" t="s">
        <v>37</v>
      </c>
      <c r="E85" s="8" t="s">
        <v>325</v>
      </c>
      <c r="F85" s="6" t="s">
        <v>326</v>
      </c>
      <c r="G85" s="9">
        <f>IF(A85=1,"_",IF(C85="_","???",C85))</f>
        <v/>
      </c>
      <c r="H85" s="10" t="s">
        <v>12</v>
      </c>
      <c r="I85" s="11" t="s">
        <v>12</v>
      </c>
      <c r="J85" s="12"/>
    </row>
    <row r="86" spans="1:10" ht="60" customHeight="1">
      <c r="A86" s="6" t="s">
        <v>327</v>
      </c>
      <c r="B86" s="6" t="s">
        <v>10</v>
      </c>
      <c r="C86" s="6" t="s">
        <v>12</v>
      </c>
      <c r="D86" s="7" t="s">
        <v>328</v>
      </c>
      <c r="E86" s="8" t="s">
        <v>329</v>
      </c>
      <c r="F86" s="6" t="s">
        <v>330</v>
      </c>
      <c r="G86" s="9">
        <f>IF(A86=1,"_",IF(C86="_","???",C86))</f>
        <v/>
      </c>
      <c r="H86" s="10" t="s">
        <v>12</v>
      </c>
      <c r="I86" s="11" t="s">
        <v>12</v>
      </c>
      <c r="J86" s="12"/>
    </row>
    <row r="87" spans="1:10" ht="60" customHeight="1">
      <c r="A87" s="6" t="s">
        <v>331</v>
      </c>
      <c r="B87" s="6" t="s">
        <v>16</v>
      </c>
      <c r="C87" s="6" t="s">
        <v>12</v>
      </c>
      <c r="D87" s="7" t="s">
        <v>332</v>
      </c>
      <c r="E87" s="8" t="s">
        <v>333</v>
      </c>
      <c r="F87" s="6" t="s">
        <v>334</v>
      </c>
      <c r="G87" s="9">
        <f>IF(A87=1,"_",IF(C87="_","???",C87))</f>
        <v/>
      </c>
      <c r="H87" s="10" t="s">
        <v>12</v>
      </c>
      <c r="I87" s="11" t="s">
        <v>12</v>
      </c>
      <c r="J87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6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335</v>
      </c>
      <c r="B1" s="13" t="s">
        <v>336</v>
      </c>
      <c r="C1" s="13" t="s">
        <v>337</v>
      </c>
      <c r="D1" s="13" t="s">
        <v>338</v>
      </c>
      <c r="E1" s="14" t="s">
        <v>339</v>
      </c>
      <c r="F1" s="15" t="s">
        <v>340</v>
      </c>
      <c r="G1" s="16" t="s">
        <v>341</v>
      </c>
      <c r="H1" s="17" t="s">
        <v>342</v>
      </c>
      <c r="I1" s="18" t="s">
        <v>343</v>
      </c>
      <c r="J1" s="18" t="s">
        <v>344</v>
      </c>
      <c r="K1" s="18" t="s">
        <v>345</v>
      </c>
      <c r="L1" s="19" t="s">
        <v>9</v>
      </c>
    </row>
    <row r="2" spans="1:12">
      <c r="A2" s="20" t="s">
        <v>346</v>
      </c>
    </row>
    <row r="3" spans="1:12">
      <c r="A3" s="20" t="s">
        <v>347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348</v>
      </c>
      <c r="B4" s="27" t="s">
        <v>349</v>
      </c>
      <c r="C4" s="27" t="s">
        <v>350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351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352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353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354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355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356</v>
      </c>
      <c r="B10" s="27" t="s">
        <v>357</v>
      </c>
      <c r="C10" s="27" t="s">
        <v>358</v>
      </c>
      <c r="D10" s="27" t="s">
        <v>359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353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360</v>
      </c>
      <c r="B12" s="27" t="s">
        <v>361</v>
      </c>
      <c r="C12" s="27" t="s">
        <v>358</v>
      </c>
      <c r="D12" s="27" t="s">
        <v>359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362</v>
      </c>
      <c r="B13" s="27" t="s">
        <v>363</v>
      </c>
      <c r="C13" s="27" t="s">
        <v>358</v>
      </c>
      <c r="D13" s="27" t="s">
        <v>359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364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365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366</v>
      </c>
      <c r="B16" s="27" t="s">
        <v>367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353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368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369</v>
      </c>
      <c r="B19" s="27" t="s">
        <v>370</v>
      </c>
      <c r="C19" s="27" t="s">
        <v>371</v>
      </c>
      <c r="D19" s="27" t="s">
        <v>359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372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373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374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375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/>
    </row>
    <row r="25" spans="1:12">
      <c r="A25" s="20" t="s">
        <v>376</v>
      </c>
    </row>
    <row r="26" spans="1:12">
      <c r="A26" s="20" t="s">
        <v>377</v>
      </c>
      <c r="B26" s="27" t="s">
        <v>361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378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379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375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/>
    </row>
    <row r="31" spans="1:12">
      <c r="A31" s="20" t="s">
        <v>380</v>
      </c>
    </row>
    <row r="32" spans="1:12">
      <c r="A32" s="20" t="s">
        <v>381</v>
      </c>
      <c r="B32" s="27" t="s">
        <v>361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382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25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383</v>
      </c>
      <c r="B35" s="27" t="s">
        <v>363</v>
      </c>
      <c r="C35" s="27" t="s">
        <v>350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384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385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386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387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388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389</v>
      </c>
      <c r="B41" s="27" t="s">
        <v>367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353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390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391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87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392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393</v>
      </c>
      <c r="B47" s="27" t="s">
        <v>363</v>
      </c>
      <c r="C47" s="27" t="s">
        <v>350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353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10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394</v>
      </c>
      <c r="B50" s="27" t="s">
        <v>357</v>
      </c>
      <c r="C50" s="27" t="s">
        <v>350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395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396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353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10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394</v>
      </c>
      <c r="B55" s="27" t="s">
        <v>397</v>
      </c>
      <c r="C55" s="27" t="s">
        <v>350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398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399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400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375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/>
    </row>
    <row r="61" spans="1:12">
      <c r="A61" s="20" t="s">
        <v>401</v>
      </c>
    </row>
    <row r="62" spans="1:12">
      <c r="A62" s="20" t="s">
        <v>402</v>
      </c>
      <c r="B62" s="27" t="s">
        <v>361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26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403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404</v>
      </c>
      <c r="B65" s="27" t="s">
        <v>370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354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405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406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375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/>
    </row>
    <row r="71" spans="1:12">
      <c r="A71" s="20" t="s">
        <v>407</v>
      </c>
    </row>
    <row r="72" spans="1:12">
      <c r="A72" s="20" t="s">
        <v>408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409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353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297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410</v>
      </c>
      <c r="B76" s="27" t="s">
        <v>370</v>
      </c>
      <c r="C76" s="27" t="s">
        <v>411</v>
      </c>
      <c r="D76" s="27" t="s">
        <v>359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412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353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413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354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414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415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416</v>
      </c>
      <c r="B83" s="27" t="s">
        <v>417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418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353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200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297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369</v>
      </c>
      <c r="B88" s="27" t="s">
        <v>419</v>
      </c>
      <c r="C88" s="27" t="s">
        <v>371</v>
      </c>
      <c r="D88" s="27" t="s">
        <v>359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420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421</v>
      </c>
      <c r="B90" s="27" t="s">
        <v>422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423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424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425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426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427</v>
      </c>
      <c r="B95" s="27" t="s">
        <v>428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375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/>
    </row>
    <row r="98" spans="1:12">
      <c r="A98" s="20" t="s">
        <v>429</v>
      </c>
    </row>
    <row r="99" spans="1:12">
      <c r="A99" s="20" t="s">
        <v>430</v>
      </c>
      <c r="B99" s="27" t="s">
        <v>367</v>
      </c>
      <c r="C99" s="27" t="s">
        <v>371</v>
      </c>
      <c r="D99" s="27" t="s">
        <v>359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431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432</v>
      </c>
      <c r="B101" s="27" t="s">
        <v>361</v>
      </c>
      <c r="C101" s="27" t="s">
        <v>433</v>
      </c>
      <c r="D101" s="27" t="s">
        <v>359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434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353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399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435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436</v>
      </c>
      <c r="B106" s="27" t="s">
        <v>437</v>
      </c>
      <c r="C106" s="27" t="s">
        <v>371</v>
      </c>
      <c r="D106" s="27" t="s">
        <v>359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423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438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439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440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382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441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375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/>
    </row>
    <row r="115" spans="1:12">
      <c r="A115" s="20" t="s">
        <v>442</v>
      </c>
    </row>
    <row r="116" spans="1:12">
      <c r="A116" s="20" t="s">
        <v>377</v>
      </c>
      <c r="B116" s="27" t="s">
        <v>361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353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385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443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353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444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445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446</v>
      </c>
      <c r="B123" s="27" t="s">
        <v>367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375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/>
    </row>
    <row r="126" spans="1:12">
      <c r="A126" s="20" t="s">
        <v>447</v>
      </c>
    </row>
    <row r="127" spans="1:12">
      <c r="A127" s="20" t="s">
        <v>448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449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450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451</v>
      </c>
      <c r="B130" s="27" t="s">
        <v>361</v>
      </c>
      <c r="C130" s="27" t="s">
        <v>371</v>
      </c>
      <c r="D130" s="27" t="s">
        <v>359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452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382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453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454</v>
      </c>
      <c r="B134" s="27" t="s">
        <v>349</v>
      </c>
      <c r="C134" s="27" t="s">
        <v>350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455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275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456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440</v>
      </c>
      <c r="B138" s="27" t="s">
        <v>349</v>
      </c>
      <c r="C138" s="27" t="s">
        <v>411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382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441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457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458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353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459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353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460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353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399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461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373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462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463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464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465</v>
      </c>
      <c r="B154" s="27" t="s">
        <v>397</v>
      </c>
      <c r="C154" s="27" t="s">
        <v>350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466</v>
      </c>
      <c r="B155" s="27" t="s">
        <v>467</v>
      </c>
      <c r="C155" s="27" t="s">
        <v>358</v>
      </c>
      <c r="D155" s="27" t="s">
        <v>359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203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375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/>
    </row>
    <row r="159" spans="1:12">
      <c r="A159" s="20" t="s">
        <v>468</v>
      </c>
    </row>
    <row r="160" spans="1:12">
      <c r="A160" s="20" t="s">
        <v>469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353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297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410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470</v>
      </c>
      <c r="B164" s="27" t="s">
        <v>370</v>
      </c>
      <c r="C164" s="27" t="s">
        <v>433</v>
      </c>
      <c r="D164" s="27" t="s">
        <v>359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471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472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473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474</v>
      </c>
      <c r="B168" s="27" t="s">
        <v>475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476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477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353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399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451</v>
      </c>
      <c r="B173" s="27" t="s">
        <v>417</v>
      </c>
      <c r="C173" s="27" t="s">
        <v>371</v>
      </c>
      <c r="D173" s="27" t="s">
        <v>359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478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479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480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373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481</v>
      </c>
      <c r="B178" s="27" t="s">
        <v>397</v>
      </c>
      <c r="C178" s="27" t="s">
        <v>371</v>
      </c>
      <c r="D178" s="27" t="s">
        <v>359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482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483</v>
      </c>
      <c r="B180" s="27" t="s">
        <v>397</v>
      </c>
      <c r="C180" s="27" t="s">
        <v>484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375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/>
    </row>
    <row r="183" spans="1:12">
      <c r="A183" s="20" t="s">
        <v>485</v>
      </c>
    </row>
    <row r="184" spans="1:12">
      <c r="A184" s="20" t="s">
        <v>486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487</v>
      </c>
      <c r="B185" s="27" t="s">
        <v>361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488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489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373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490</v>
      </c>
      <c r="B189" s="27" t="s">
        <v>349</v>
      </c>
      <c r="C189" s="27" t="s">
        <v>411</v>
      </c>
      <c r="D189" s="27" t="s">
        <v>359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353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297</v>
      </c>
      <c r="B191" s="27" t="s">
        <v>417</v>
      </c>
      <c r="C191" s="27" t="s">
        <v>491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492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354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493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494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495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496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497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353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498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499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353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385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500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501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69</v>
      </c>
      <c r="B206" s="27" t="s">
        <v>502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353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503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504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505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506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423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507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375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/>
    </row>
    <row r="216" spans="1:12">
      <c r="A216" s="20" t="s">
        <v>508</v>
      </c>
    </row>
    <row r="217" spans="1:12">
      <c r="A217" s="20" t="s">
        <v>509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510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511</v>
      </c>
      <c r="B219" s="27" t="s">
        <v>349</v>
      </c>
      <c r="C219" s="27" t="s">
        <v>484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512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354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513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399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514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494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515</v>
      </c>
      <c r="B226" s="27" t="s">
        <v>370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516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517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399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518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519</v>
      </c>
      <c r="B231" s="27" t="s">
        <v>475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353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399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520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521</v>
      </c>
      <c r="B235" s="27" t="s">
        <v>422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450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95</v>
      </c>
      <c r="B237" s="27" t="s">
        <v>419</v>
      </c>
      <c r="C237" s="27" t="s">
        <v>371</v>
      </c>
      <c r="D237" s="27" t="s">
        <v>359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522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354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111</v>
      </c>
      <c r="B240" s="27" t="s">
        <v>397</v>
      </c>
      <c r="C240" s="27" t="s">
        <v>411</v>
      </c>
      <c r="D240" s="27" t="s">
        <v>359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353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523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524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525</v>
      </c>
      <c r="B244" s="27" t="s">
        <v>526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423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527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528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389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353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399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529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353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530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531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532</v>
      </c>
      <c r="B255" s="27" t="s">
        <v>533</v>
      </c>
      <c r="C255" s="27" t="s">
        <v>371</v>
      </c>
      <c r="D255" s="27" t="s">
        <v>359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534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535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536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450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353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423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537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538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539</v>
      </c>
      <c r="B264" s="27" t="s">
        <v>540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494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95</v>
      </c>
      <c r="B266" s="27" t="s">
        <v>541</v>
      </c>
      <c r="C266" s="27" t="s">
        <v>371</v>
      </c>
      <c r="D266" s="27" t="s">
        <v>359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542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504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426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543</v>
      </c>
      <c r="B270" s="27" t="s">
        <v>544</v>
      </c>
      <c r="C270" s="27" t="s">
        <v>371</v>
      </c>
      <c r="D270" s="27" t="s">
        <v>359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354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545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375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/>
    </row>
    <row r="275" spans="1:12">
      <c r="A275" s="20" t="s">
        <v>546</v>
      </c>
    </row>
    <row r="276" spans="1:12">
      <c r="A276" s="20" t="s">
        <v>547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515</v>
      </c>
      <c r="B277" s="27" t="s">
        <v>361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548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351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399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549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550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494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551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552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/>
    </row>
    <row r="287" spans="1:12">
      <c r="A287" s="20" t="s">
        <v>553</v>
      </c>
    </row>
    <row r="288" spans="1:12">
      <c r="A288" s="20" t="s">
        <v>554</v>
      </c>
      <c r="B288" s="27" t="s">
        <v>361</v>
      </c>
      <c r="C288" s="27" t="s">
        <v>371</v>
      </c>
      <c r="D288" s="27" t="s">
        <v>359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555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556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557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558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375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/>
    </row>
    <row r="295" spans="1:12">
      <c r="A295" s="20" t="s">
        <v>559</v>
      </c>
    </row>
    <row r="296" spans="1:12">
      <c r="A296" s="20" t="s">
        <v>560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354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414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415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353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423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561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562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563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552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564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565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423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566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552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564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353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200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297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567</v>
      </c>
      <c r="B315" s="27" t="s">
        <v>370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400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568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389</v>
      </c>
      <c r="B318" s="27" t="s">
        <v>475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569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570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353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571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572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399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573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574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375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/>
    </row>
    <row r="329" spans="1:12">
      <c r="A329" s="20" t="s">
        <v>575</v>
      </c>
    </row>
    <row r="330" spans="1:12">
      <c r="A330" s="20" t="s">
        <v>576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577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531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578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421</v>
      </c>
      <c r="B334" s="27" t="s">
        <v>363</v>
      </c>
      <c r="C334" s="27" t="s">
        <v>484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579</v>
      </c>
      <c r="B335" s="27" t="s">
        <v>361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353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580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531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581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353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582</v>
      </c>
      <c r="B341" s="27" t="s">
        <v>417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583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584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566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552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564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353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399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585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532</v>
      </c>
      <c r="B350" s="27" t="s">
        <v>357</v>
      </c>
      <c r="C350" s="27" t="s">
        <v>371</v>
      </c>
      <c r="D350" s="27" t="s">
        <v>359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586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587</v>
      </c>
      <c r="B352" s="27" t="s">
        <v>397</v>
      </c>
      <c r="C352" s="27" t="s">
        <v>371</v>
      </c>
      <c r="D352" s="27" t="s">
        <v>359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537</v>
      </c>
      <c r="B353" s="27" t="s">
        <v>417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588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373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589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590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591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12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592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375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/>
    </row>
    <row r="363" spans="1:12">
      <c r="A363" s="20" t="s">
        <v>593</v>
      </c>
    </row>
    <row r="364" spans="1:12">
      <c r="A364" s="20" t="s">
        <v>594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595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596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597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532</v>
      </c>
      <c r="B368" s="27" t="s">
        <v>349</v>
      </c>
      <c r="C368" s="27" t="s">
        <v>371</v>
      </c>
      <c r="D368" s="27" t="s">
        <v>359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598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599</v>
      </c>
      <c r="B370" s="27" t="s">
        <v>361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399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600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353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95</v>
      </c>
      <c r="B374" s="27" t="s">
        <v>370</v>
      </c>
      <c r="C374" s="27" t="s">
        <v>371</v>
      </c>
      <c r="D374" s="27" t="s">
        <v>359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412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601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399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406</v>
      </c>
      <c r="B378" s="27" t="s">
        <v>417</v>
      </c>
      <c r="C378" s="27" t="s">
        <v>602</v>
      </c>
      <c r="D378" s="27" t="s">
        <v>359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531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532</v>
      </c>
      <c r="B380" s="27" t="s">
        <v>397</v>
      </c>
      <c r="C380" s="27" t="s">
        <v>371</v>
      </c>
      <c r="D380" s="27" t="s">
        <v>359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423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577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603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604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375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/>
    </row>
    <row r="387" spans="1:12">
      <c r="A387" s="20" t="s">
        <v>605</v>
      </c>
    </row>
    <row r="388" spans="1:12">
      <c r="A388" s="20" t="s">
        <v>606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607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353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608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609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610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406</v>
      </c>
      <c r="B394" s="27" t="s">
        <v>361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611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612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12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613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552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564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353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399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585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532</v>
      </c>
      <c r="B404" s="27" t="s">
        <v>614</v>
      </c>
      <c r="C404" s="27" t="s">
        <v>371</v>
      </c>
      <c r="D404" s="27" t="s">
        <v>359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615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616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537</v>
      </c>
      <c r="B407" s="27" t="s">
        <v>617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588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531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618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619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620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621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375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/>
    </row>
    <row r="416" spans="1:12">
      <c r="A416" s="20" t="s">
        <v>622</v>
      </c>
    </row>
    <row r="417" spans="1:12">
      <c r="A417" s="20" t="s">
        <v>623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624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375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/>
    </row>
    <row r="421" spans="1:12">
      <c r="A421" s="20" t="s">
        <v>625</v>
      </c>
    </row>
    <row r="422" spans="1:12">
      <c r="A422" s="20" t="s">
        <v>626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627</v>
      </c>
      <c r="B423" s="27" t="s">
        <v>349</v>
      </c>
      <c r="C423" s="27" t="s">
        <v>602</v>
      </c>
      <c r="D423" s="27" t="s">
        <v>359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628</v>
      </c>
      <c r="B424" s="27" t="s">
        <v>363</v>
      </c>
      <c r="C424" s="27" t="s">
        <v>358</v>
      </c>
      <c r="D424" s="27" t="s">
        <v>359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353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95</v>
      </c>
      <c r="B426" s="27" t="s">
        <v>361</v>
      </c>
      <c r="C426" s="27" t="s">
        <v>371</v>
      </c>
      <c r="D426" s="27" t="s">
        <v>359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535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629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610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630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631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406</v>
      </c>
      <c r="B432" s="27" t="s">
        <v>367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353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413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399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630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632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375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/>
    </row>
    <row r="440" spans="1:12">
      <c r="A440" s="20" t="s">
        <v>633</v>
      </c>
    </row>
    <row r="441" spans="1:12">
      <c r="A441" s="20" t="s">
        <v>634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635</v>
      </c>
      <c r="B442" s="27" t="s">
        <v>349</v>
      </c>
      <c r="C442" s="27" t="s">
        <v>371</v>
      </c>
      <c r="D442" s="27" t="s">
        <v>359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636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637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638</v>
      </c>
      <c r="B445" s="27" t="s">
        <v>361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494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639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410</v>
      </c>
      <c r="B448" s="27" t="s">
        <v>417</v>
      </c>
      <c r="C448" s="27" t="s">
        <v>411</v>
      </c>
      <c r="D448" s="27" t="s">
        <v>359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640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641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/>
    </row>
    <row r="452" spans="1:12">
      <c r="A452" s="20" t="s">
        <v>642</v>
      </c>
    </row>
    <row r="453" spans="1:12">
      <c r="A453" s="20" t="s">
        <v>643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641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/>
    </row>
    <row r="456" spans="1:12">
      <c r="A456" s="20" t="s">
        <v>644</v>
      </c>
    </row>
    <row r="457" spans="1:12">
      <c r="A457" s="20" t="s">
        <v>645</v>
      </c>
      <c r="B457" s="27" t="s">
        <v>361</v>
      </c>
      <c r="C457" s="27" t="s">
        <v>491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423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532</v>
      </c>
      <c r="B459" s="27" t="s">
        <v>349</v>
      </c>
      <c r="C459" s="27" t="s">
        <v>411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646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641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/>
    </row>
    <row r="463" spans="1:12">
      <c r="A463" s="20" t="s">
        <v>647</v>
      </c>
    </row>
    <row r="464" spans="1:12">
      <c r="A464" s="20" t="s">
        <v>360</v>
      </c>
      <c r="B464" s="27" t="s">
        <v>361</v>
      </c>
      <c r="C464" s="27" t="s">
        <v>358</v>
      </c>
      <c r="D464" s="27" t="s">
        <v>359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648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649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494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650</v>
      </c>
      <c r="B468" s="27" t="s">
        <v>370</v>
      </c>
      <c r="C468" s="27" t="s">
        <v>358</v>
      </c>
      <c r="D468" s="27" t="s">
        <v>359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651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652</v>
      </c>
      <c r="B470" s="27" t="s">
        <v>370</v>
      </c>
      <c r="C470" s="27" t="s">
        <v>350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535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653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511</v>
      </c>
      <c r="B473" s="27" t="s">
        <v>437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354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654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258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655</v>
      </c>
      <c r="B477" s="27" t="s">
        <v>397</v>
      </c>
      <c r="C477" s="27" t="s">
        <v>358</v>
      </c>
      <c r="D477" s="27" t="s">
        <v>359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656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657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375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/>
    </row>
    <row r="482" spans="1:12">
      <c r="A482" s="20" t="s">
        <v>658</v>
      </c>
    </row>
    <row r="483" spans="1:12">
      <c r="A483" s="20" t="s">
        <v>659</v>
      </c>
      <c r="B483" s="27" t="s">
        <v>361</v>
      </c>
      <c r="C483" s="27" t="s">
        <v>371</v>
      </c>
      <c r="D483" s="27" t="s">
        <v>359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535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522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511</v>
      </c>
      <c r="B486" s="27" t="s">
        <v>367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354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660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661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662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663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423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507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375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/>
    </row>
    <row r="496" spans="1:12">
      <c r="A496" s="20" t="s">
        <v>664</v>
      </c>
    </row>
    <row r="497" spans="1:12">
      <c r="A497" s="20" t="s">
        <v>665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666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399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667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668</v>
      </c>
      <c r="B501" s="27" t="s">
        <v>361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375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/>
    </row>
    <row r="504" spans="1:12">
      <c r="A504" s="20" t="s">
        <v>669</v>
      </c>
    </row>
    <row r="505" spans="1:12">
      <c r="A505" s="20" t="s">
        <v>670</v>
      </c>
      <c r="B505" s="27" t="s">
        <v>361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423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671</v>
      </c>
      <c r="B507" s="27" t="s">
        <v>349</v>
      </c>
      <c r="C507" s="27" t="s">
        <v>411</v>
      </c>
      <c r="D507" s="27" t="s">
        <v>359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353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297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619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591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12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592</v>
      </c>
      <c r="B513" s="27" t="s">
        <v>370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672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673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674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675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676</v>
      </c>
      <c r="B518" s="27" t="s">
        <v>475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375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/>
    </row>
    <row r="521" spans="1:12">
      <c r="A521" s="20" t="s">
        <v>677</v>
      </c>
    </row>
    <row r="522" spans="1:12">
      <c r="A522" s="20" t="s">
        <v>678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95</v>
      </c>
      <c r="B523" s="27" t="s">
        <v>361</v>
      </c>
      <c r="C523" s="27" t="s">
        <v>371</v>
      </c>
      <c r="D523" s="27" t="s">
        <v>359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399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679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410</v>
      </c>
      <c r="B526" s="27" t="s">
        <v>367</v>
      </c>
      <c r="C526" s="27" t="s">
        <v>411</v>
      </c>
      <c r="D526" s="27" t="s">
        <v>359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354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680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375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/>
    </row>
    <row r="531" spans="1:12">
      <c r="A531" s="20" t="s">
        <v>681</v>
      </c>
    </row>
    <row r="532" spans="1:12">
      <c r="A532" s="20" t="s">
        <v>682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683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532</v>
      </c>
      <c r="B534" s="27" t="s">
        <v>349</v>
      </c>
      <c r="C534" s="27" t="s">
        <v>371</v>
      </c>
      <c r="D534" s="27" t="s">
        <v>359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684</v>
      </c>
      <c r="B535" s="27" t="s">
        <v>361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494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95</v>
      </c>
      <c r="B537" s="27" t="s">
        <v>417</v>
      </c>
      <c r="C537" s="27" t="s">
        <v>371</v>
      </c>
      <c r="D537" s="27" t="s">
        <v>359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504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685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539</v>
      </c>
      <c r="B540" s="27" t="s">
        <v>422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354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405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353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413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531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532</v>
      </c>
      <c r="B546" s="27" t="s">
        <v>397</v>
      </c>
      <c r="C546" s="27" t="s">
        <v>371</v>
      </c>
      <c r="D546" s="27" t="s">
        <v>359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686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511</v>
      </c>
      <c r="B548" s="27" t="s">
        <v>419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375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/>
    </row>
    <row r="551" spans="1:12">
      <c r="A551" s="20" t="s">
        <v>687</v>
      </c>
    </row>
    <row r="552" spans="1:12">
      <c r="A552" s="20" t="s">
        <v>688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297</v>
      </c>
      <c r="B553" s="27" t="s">
        <v>361</v>
      </c>
      <c r="C553" s="27" t="s">
        <v>491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572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689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641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/>
    </row>
    <row r="558" spans="1:12">
      <c r="A558" s="20" t="s">
        <v>690</v>
      </c>
    </row>
    <row r="559" spans="1:12">
      <c r="A559" s="20" t="s">
        <v>691</v>
      </c>
      <c r="B559" s="27" t="s">
        <v>349</v>
      </c>
      <c r="C559" s="27" t="s">
        <v>692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693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375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/>
    </row>
    <row r="563" spans="1:12">
      <c r="A563" s="20" t="s">
        <v>694</v>
      </c>
    </row>
    <row r="564" spans="1:12">
      <c r="A564" s="20" t="s">
        <v>695</v>
      </c>
      <c r="B564" s="27" t="s">
        <v>361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696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375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/>
    </row>
    <row r="568" spans="1:12">
      <c r="A568" s="20" t="s">
        <v>697</v>
      </c>
    </row>
    <row r="569" spans="1:12">
      <c r="A569" s="20" t="s">
        <v>698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135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641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/>
    </row>
    <row r="573" spans="1:12">
      <c r="A573" s="20" t="s">
        <v>699</v>
      </c>
    </row>
    <row r="574" spans="1:12">
      <c r="A574" s="20" t="s">
        <v>700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479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375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/>
    </row>
    <row r="578" spans="1:12">
      <c r="A578" s="20" t="s">
        <v>701</v>
      </c>
    </row>
    <row r="579" spans="1:12">
      <c r="A579" s="20" t="s">
        <v>702</v>
      </c>
      <c r="B579" s="27" t="s">
        <v>361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703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704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705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706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707</v>
      </c>
      <c r="B584" s="27" t="s">
        <v>367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708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494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95</v>
      </c>
      <c r="B587" s="27" t="s">
        <v>370</v>
      </c>
      <c r="C587" s="27" t="s">
        <v>371</v>
      </c>
      <c r="D587" s="27" t="s">
        <v>359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489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709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373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400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353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399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610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710</v>
      </c>
      <c r="B595" s="27" t="s">
        <v>475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353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711</v>
      </c>
      <c r="B597" s="27" t="s">
        <v>712</v>
      </c>
      <c r="C597" s="27" t="s">
        <v>491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373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713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714</v>
      </c>
      <c r="B600" s="27" t="s">
        <v>467</v>
      </c>
      <c r="C600" s="27" t="s">
        <v>350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715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387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716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353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717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718</v>
      </c>
      <c r="B606" s="27" t="s">
        <v>614</v>
      </c>
      <c r="C606" s="27" t="s">
        <v>411</v>
      </c>
      <c r="D606" s="27" t="s">
        <v>359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539</v>
      </c>
      <c r="B607" s="27" t="s">
        <v>467</v>
      </c>
      <c r="C607" s="27" t="s">
        <v>602</v>
      </c>
      <c r="D607" s="27" t="s">
        <v>359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715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511</v>
      </c>
      <c r="B609" s="27" t="s">
        <v>526</v>
      </c>
      <c r="C609" s="27" t="s">
        <v>350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354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405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353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571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200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95</v>
      </c>
      <c r="B615" s="27" t="s">
        <v>719</v>
      </c>
      <c r="C615" s="27" t="s">
        <v>371</v>
      </c>
      <c r="D615" s="27" t="s">
        <v>359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720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382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721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722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723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724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725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710</v>
      </c>
      <c r="B623" s="27" t="s">
        <v>726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375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/>
    </row>
    <row r="626" spans="1:12">
      <c r="A626" s="20" t="s">
        <v>727</v>
      </c>
    </row>
    <row r="627" spans="1:12">
      <c r="A627" s="20" t="s">
        <v>728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729</v>
      </c>
      <c r="B628" s="27" t="s">
        <v>361</v>
      </c>
      <c r="C628" s="27" t="s">
        <v>411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477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730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731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732</v>
      </c>
      <c r="B632" s="27" t="s">
        <v>367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494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410</v>
      </c>
      <c r="B634" s="27" t="s">
        <v>370</v>
      </c>
      <c r="C634" s="27" t="s">
        <v>411</v>
      </c>
      <c r="D634" s="27" t="s">
        <v>359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733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734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735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736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375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/>
    </row>
    <row r="641" spans="1:12">
      <c r="A641" s="20" t="s">
        <v>737</v>
      </c>
    </row>
    <row r="642" spans="1:12">
      <c r="A642" s="20" t="s">
        <v>738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739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740</v>
      </c>
      <c r="B644" s="27" t="s">
        <v>361</v>
      </c>
      <c r="C644" s="27" t="s">
        <v>350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741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742</v>
      </c>
      <c r="B646" s="27" t="s">
        <v>367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743</v>
      </c>
      <c r="B647" s="27" t="s">
        <v>363</v>
      </c>
      <c r="C647" s="27" t="s">
        <v>602</v>
      </c>
      <c r="D647" s="27" t="s">
        <v>359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490</v>
      </c>
      <c r="B648" s="27" t="s">
        <v>357</v>
      </c>
      <c r="C648" s="27" t="s">
        <v>411</v>
      </c>
      <c r="D648" s="27" t="s">
        <v>359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353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297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733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744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353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571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297</v>
      </c>
      <c r="B655" s="27" t="s">
        <v>357</v>
      </c>
      <c r="C655" s="27" t="s">
        <v>491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733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745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375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/>
    </row>
    <row r="660" spans="1:12">
      <c r="A660" s="20" t="s">
        <v>746</v>
      </c>
    </row>
    <row r="661" spans="1:12">
      <c r="A661" s="20" t="s">
        <v>747</v>
      </c>
      <c r="B661" s="27" t="s">
        <v>361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748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710</v>
      </c>
      <c r="B663" s="27" t="s">
        <v>437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749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750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751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752</v>
      </c>
      <c r="B667" s="27" t="s">
        <v>367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353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413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753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754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755</v>
      </c>
      <c r="B672" s="27" t="s">
        <v>475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382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756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757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375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/>
    </row>
    <row r="678" spans="1:12">
      <c r="A678" s="20" t="s">
        <v>758</v>
      </c>
    </row>
    <row r="679" spans="1:12">
      <c r="A679" s="20" t="s">
        <v>759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760</v>
      </c>
      <c r="B680" s="27" t="s">
        <v>361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761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762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763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203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764</v>
      </c>
      <c r="B685" s="27" t="s">
        <v>349</v>
      </c>
      <c r="C685" s="27" t="s">
        <v>350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353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531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619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591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12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592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733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763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765</v>
      </c>
      <c r="B694" s="27" t="s">
        <v>370</v>
      </c>
      <c r="C694" s="27" t="s">
        <v>602</v>
      </c>
      <c r="D694" s="27" t="s">
        <v>359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766</v>
      </c>
      <c r="B695" s="27" t="s">
        <v>357</v>
      </c>
      <c r="C695" s="27" t="s">
        <v>411</v>
      </c>
      <c r="D695" s="27" t="s">
        <v>359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353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531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767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733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768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615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353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571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769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615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770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531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771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494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615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353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580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531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772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773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375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/>
    </row>
    <row r="718" spans="1:12">
      <c r="A718" s="20" t="s">
        <v>774</v>
      </c>
    </row>
    <row r="719" spans="1:12">
      <c r="A719" s="20" t="s">
        <v>775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776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777</v>
      </c>
      <c r="B721" s="27" t="s">
        <v>361</v>
      </c>
      <c r="C721" s="27" t="s">
        <v>484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615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616</v>
      </c>
      <c r="B723" s="27" t="s">
        <v>349</v>
      </c>
      <c r="C723" s="27" t="s">
        <v>371</v>
      </c>
      <c r="D723" s="27" t="s">
        <v>359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641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/>
    </row>
    <row r="726" spans="1:12">
      <c r="A726" s="20" t="s">
        <v>778</v>
      </c>
    </row>
    <row r="727" spans="1:12">
      <c r="A727" s="20" t="s">
        <v>779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399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780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375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/>
    </row>
    <row r="732" spans="1:12">
      <c r="A732" s="20" t="s">
        <v>781</v>
      </c>
    </row>
    <row r="733" spans="1:12">
      <c r="A733" s="20" t="s">
        <v>782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783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552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/>
    </row>
    <row r="737" spans="1:12">
      <c r="A737" s="20" t="s">
        <v>784</v>
      </c>
    </row>
    <row r="738" spans="1:12">
      <c r="A738" s="20" t="s">
        <v>785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764</v>
      </c>
      <c r="B739" s="27" t="s">
        <v>361</v>
      </c>
      <c r="C739" s="27" t="s">
        <v>350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733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786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69</v>
      </c>
      <c r="B742" s="27" t="s">
        <v>349</v>
      </c>
      <c r="C742" s="27" t="s">
        <v>602</v>
      </c>
      <c r="D742" s="27" t="s">
        <v>359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585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616</v>
      </c>
      <c r="B744" s="27" t="s">
        <v>349</v>
      </c>
      <c r="C744" s="27" t="s">
        <v>371</v>
      </c>
      <c r="D744" s="27" t="s">
        <v>359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353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297</v>
      </c>
      <c r="B746" s="27" t="s">
        <v>475</v>
      </c>
      <c r="C746" s="27" t="s">
        <v>491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451</v>
      </c>
      <c r="B747" s="27" t="s">
        <v>417</v>
      </c>
      <c r="C747" s="27" t="s">
        <v>371</v>
      </c>
      <c r="D747" s="27" t="s">
        <v>359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787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375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/>
    </row>
    <row r="751" spans="1:12">
      <c r="A751" s="20" t="s">
        <v>788</v>
      </c>
    </row>
    <row r="752" spans="1:12">
      <c r="A752" s="20" t="s">
        <v>639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410</v>
      </c>
      <c r="B753" s="27" t="s">
        <v>361</v>
      </c>
      <c r="C753" s="27" t="s">
        <v>411</v>
      </c>
      <c r="D753" s="27" t="s">
        <v>359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789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641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/>
    </row>
    <row r="757" spans="1:12">
      <c r="A757" s="20" t="s">
        <v>790</v>
      </c>
    </row>
    <row r="758" spans="1:12">
      <c r="A758" s="20" t="s">
        <v>659</v>
      </c>
      <c r="B758" s="27" t="s">
        <v>361</v>
      </c>
      <c r="C758" s="27" t="s">
        <v>371</v>
      </c>
      <c r="D758" s="27" t="s">
        <v>359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791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353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297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792</v>
      </c>
      <c r="B762" s="27" t="s">
        <v>370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399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793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12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794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795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796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733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734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797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798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799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375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/>
    </row>
    <row r="776" spans="1:12">
      <c r="A776" s="20" t="s">
        <v>800</v>
      </c>
    </row>
    <row r="777" spans="1:12">
      <c r="A777" s="20" t="s">
        <v>801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802</v>
      </c>
      <c r="B778" s="27" t="s">
        <v>361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733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755</v>
      </c>
      <c r="B780" s="27" t="s">
        <v>361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803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804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805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375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/>
    </row>
    <row r="786" spans="1:12">
      <c r="A786" s="20" t="s">
        <v>806</v>
      </c>
    </row>
    <row r="787" spans="1:12">
      <c r="A787" s="20" t="s">
        <v>775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232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410</v>
      </c>
      <c r="B789" s="27" t="s">
        <v>361</v>
      </c>
      <c r="C789" s="27" t="s">
        <v>411</v>
      </c>
      <c r="D789" s="27" t="s">
        <v>359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807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808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494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809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423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810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811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812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813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814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815</v>
      </c>
      <c r="B800" s="27" t="s">
        <v>357</v>
      </c>
      <c r="C800" s="27" t="s">
        <v>350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353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69</v>
      </c>
      <c r="B802" s="27" t="s">
        <v>370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816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817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375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/>
    </row>
    <row r="807" spans="1:12">
      <c r="A807" s="20" t="s">
        <v>818</v>
      </c>
    </row>
    <row r="808" spans="1:12">
      <c r="A808" s="20" t="s">
        <v>819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353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413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813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820</v>
      </c>
      <c r="B812" s="27" t="s">
        <v>370</v>
      </c>
      <c r="C812" s="27" t="s">
        <v>350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821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822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353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523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823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494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824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431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825</v>
      </c>
      <c r="B821" s="27" t="s">
        <v>419</v>
      </c>
      <c r="C821" s="27" t="s">
        <v>433</v>
      </c>
      <c r="D821" s="27" t="s">
        <v>359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826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552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564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827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461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828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107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829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375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/>
    </row>
    <row r="832" spans="1:12">
      <c r="A832" s="20" t="s">
        <v>642</v>
      </c>
    </row>
    <row r="833" spans="1:12">
      <c r="A833" s="20" t="s">
        <v>643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641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/>
    </row>
    <row r="836" spans="1:12">
      <c r="A836" s="20" t="s">
        <v>830</v>
      </c>
    </row>
    <row r="837" spans="1:12">
      <c r="A837" s="20" t="s">
        <v>831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353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297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531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456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488</v>
      </c>
      <c r="B842" s="27" t="s">
        <v>363</v>
      </c>
      <c r="C842" s="27" t="s">
        <v>411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666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832</v>
      </c>
      <c r="B844" s="27" t="s">
        <v>370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833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834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375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/>
    </row>
    <row r="849" spans="1:12">
      <c r="A849" s="20" t="s">
        <v>835</v>
      </c>
    </row>
    <row r="850" spans="1:12">
      <c r="A850" s="20" t="s">
        <v>659</v>
      </c>
      <c r="B850" s="27" t="s">
        <v>361</v>
      </c>
      <c r="C850" s="27" t="s">
        <v>371</v>
      </c>
      <c r="D850" s="27" t="s">
        <v>359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836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837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353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95</v>
      </c>
      <c r="B854" s="27" t="s">
        <v>370</v>
      </c>
      <c r="C854" s="27" t="s">
        <v>371</v>
      </c>
      <c r="D854" s="27" t="s">
        <v>359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791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838</v>
      </c>
      <c r="B856" s="27" t="s">
        <v>437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375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/>
    </row>
    <row r="859" spans="1:12">
      <c r="A859" s="20" t="s">
        <v>839</v>
      </c>
    </row>
    <row r="860" spans="1:12">
      <c r="A860" s="20" t="s">
        <v>840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825</v>
      </c>
      <c r="B861" s="27" t="s">
        <v>361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373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841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204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842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353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843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844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845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846</v>
      </c>
      <c r="B870" s="27" t="s">
        <v>437</v>
      </c>
      <c r="C870" s="27" t="s">
        <v>433</v>
      </c>
      <c r="D870" s="27" t="s">
        <v>359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353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847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848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849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850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375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/>
    </row>
    <row r="878" spans="1:12">
      <c r="A878" s="20" t="s">
        <v>851</v>
      </c>
    </row>
    <row r="879" spans="1:12">
      <c r="A879" s="20" t="s">
        <v>852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832</v>
      </c>
      <c r="B880" s="27" t="s">
        <v>361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853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854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832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733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855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856</v>
      </c>
      <c r="B886" s="27" t="s">
        <v>361</v>
      </c>
      <c r="C886" s="27" t="s">
        <v>411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741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388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857</v>
      </c>
      <c r="B889" s="27" t="s">
        <v>367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858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375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/>
    </row>
    <row r="893" spans="1:12">
      <c r="A893" s="20" t="s">
        <v>859</v>
      </c>
    </row>
    <row r="894" spans="1:12">
      <c r="A894" s="20" t="s">
        <v>486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353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809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860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48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609</v>
      </c>
      <c r="B899" s="27" t="s">
        <v>363</v>
      </c>
      <c r="C899" s="27" t="s">
        <v>350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353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861</v>
      </c>
      <c r="B901" s="27" t="s">
        <v>361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862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629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763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531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863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703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532</v>
      </c>
      <c r="B908" s="27" t="s">
        <v>363</v>
      </c>
      <c r="C908" s="27" t="s">
        <v>371</v>
      </c>
      <c r="D908" s="27" t="s">
        <v>359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375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/>
    </row>
    <row r="911" spans="1:12">
      <c r="A911" s="20" t="s">
        <v>864</v>
      </c>
    </row>
    <row r="912" spans="1:12">
      <c r="A912" s="20" t="s">
        <v>688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232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451</v>
      </c>
      <c r="B914" s="27" t="s">
        <v>361</v>
      </c>
      <c r="C914" s="27" t="s">
        <v>371</v>
      </c>
      <c r="D914" s="27" t="s">
        <v>359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452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243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865</v>
      </c>
      <c r="B917" s="27" t="s">
        <v>367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375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/>
    </row>
    <row r="920" spans="1:12">
      <c r="A920" s="20" t="s">
        <v>866</v>
      </c>
    </row>
    <row r="921" spans="1:12">
      <c r="A921" s="20" t="s">
        <v>867</v>
      </c>
      <c r="B921" s="27" t="s">
        <v>361</v>
      </c>
      <c r="C921" s="27" t="s">
        <v>371</v>
      </c>
      <c r="D921" s="27" t="s">
        <v>359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868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869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870</v>
      </c>
      <c r="B924" s="27" t="s">
        <v>437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399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871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872</v>
      </c>
      <c r="B927" s="27" t="s">
        <v>437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733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873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874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875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423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876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877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375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/>
    </row>
    <row r="937" spans="1:12">
      <c r="A937" s="20" t="s">
        <v>878</v>
      </c>
    </row>
    <row r="938" spans="1:12">
      <c r="A938" s="20" t="s">
        <v>879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880</v>
      </c>
      <c r="B939" s="27" t="s">
        <v>361</v>
      </c>
      <c r="C939" s="27" t="s">
        <v>484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353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382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881</v>
      </c>
      <c r="B942" s="27" t="s">
        <v>363</v>
      </c>
      <c r="C942" s="27" t="s">
        <v>882</v>
      </c>
      <c r="D942" s="27" t="s">
        <v>359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883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353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410</v>
      </c>
      <c r="B945" s="27" t="s">
        <v>361</v>
      </c>
      <c r="C945" s="27" t="s">
        <v>411</v>
      </c>
      <c r="D945" s="27" t="s">
        <v>359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884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354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421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641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/>
    </row>
    <row r="951" spans="1:12">
      <c r="A951" s="20" t="s">
        <v>885</v>
      </c>
    </row>
    <row r="952" spans="1:12">
      <c r="A952" s="20" t="s">
        <v>886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887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69</v>
      </c>
      <c r="B954" s="27" t="s">
        <v>361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641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/>
    </row>
    <row r="957" spans="1:12">
      <c r="A957" s="20" t="s">
        <v>888</v>
      </c>
    </row>
    <row r="958" spans="1:12">
      <c r="A958" s="20" t="s">
        <v>678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889</v>
      </c>
      <c r="B959" s="27" t="s">
        <v>361</v>
      </c>
      <c r="C959" s="27" t="s">
        <v>371</v>
      </c>
      <c r="D959" s="27" t="s">
        <v>359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375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/>
    </row>
    <row r="962" spans="1:12">
      <c r="A962" s="20" t="s">
        <v>890</v>
      </c>
    </row>
    <row r="963" spans="1:12">
      <c r="A963" s="20" t="s">
        <v>891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892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825</v>
      </c>
      <c r="B965" s="27" t="s">
        <v>361</v>
      </c>
      <c r="C965" s="27" t="s">
        <v>350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535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893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426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389</v>
      </c>
      <c r="B969" s="27" t="s">
        <v>437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375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/>
    </row>
    <row r="972" spans="1:12">
      <c r="A972" s="20" t="s">
        <v>894</v>
      </c>
    </row>
    <row r="973" spans="1:12">
      <c r="A973" s="20" t="s">
        <v>895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896</v>
      </c>
      <c r="B974" s="27" t="s">
        <v>370</v>
      </c>
      <c r="C974" s="27" t="s">
        <v>491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897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479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898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389</v>
      </c>
      <c r="B978" s="27" t="s">
        <v>475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899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353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900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423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16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764</v>
      </c>
      <c r="B984" s="27" t="s">
        <v>397</v>
      </c>
      <c r="C984" s="27" t="s">
        <v>350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353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111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431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825</v>
      </c>
      <c r="B988" s="27" t="s">
        <v>361</v>
      </c>
      <c r="C988" s="27" t="s">
        <v>433</v>
      </c>
      <c r="D988" s="27" t="s">
        <v>359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901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479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902</v>
      </c>
      <c r="B991" s="27" t="s">
        <v>367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872</v>
      </c>
      <c r="B992" s="27" t="s">
        <v>367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375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/>
    </row>
    <row r="995" spans="1:12">
      <c r="A995" s="20" t="s">
        <v>903</v>
      </c>
    </row>
    <row r="996" spans="1:12">
      <c r="A996" s="20" t="s">
        <v>904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494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905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906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907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793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908</v>
      </c>
      <c r="B1002" s="27" t="s">
        <v>370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909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870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375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/>
    </row>
    <row r="1007" spans="1:12">
      <c r="A1007" s="20" t="s">
        <v>910</v>
      </c>
    </row>
    <row r="1008" spans="1:12">
      <c r="A1008" s="20" t="s">
        <v>911</v>
      </c>
      <c r="B1008" s="27" t="s">
        <v>361</v>
      </c>
      <c r="C1008" s="27" t="s">
        <v>371</v>
      </c>
      <c r="D1008" s="27" t="s">
        <v>359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912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913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865</v>
      </c>
      <c r="B1011" s="27" t="s">
        <v>367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373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914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607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915</v>
      </c>
      <c r="B1015" s="27" t="s">
        <v>349</v>
      </c>
      <c r="C1015" s="27" t="s">
        <v>433</v>
      </c>
      <c r="D1015" s="27" t="s">
        <v>359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375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/>
    </row>
    <row r="1018" spans="1:12">
      <c r="A1018" s="20" t="s">
        <v>916</v>
      </c>
    </row>
    <row r="1019" spans="1:12">
      <c r="A1019" s="20" t="s">
        <v>688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297</v>
      </c>
      <c r="B1020" s="27" t="s">
        <v>361</v>
      </c>
      <c r="C1020" s="27" t="s">
        <v>491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353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917</v>
      </c>
      <c r="B1022" s="27" t="s">
        <v>370</v>
      </c>
      <c r="C1022" s="27" t="s">
        <v>371</v>
      </c>
      <c r="D1022" s="27" t="s">
        <v>359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918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353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919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641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/>
    </row>
    <row r="1028" spans="1:12">
      <c r="A1028" s="20" t="s">
        <v>920</v>
      </c>
    </row>
    <row r="1029" spans="1:12">
      <c r="A1029" s="20" t="s">
        <v>448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844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450</v>
      </c>
      <c r="B1031" s="27" t="s">
        <v>349</v>
      </c>
      <c r="C1031" s="27" t="s">
        <v>433</v>
      </c>
      <c r="D1031" s="27" t="s">
        <v>359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95</v>
      </c>
      <c r="B1032" s="27" t="s">
        <v>361</v>
      </c>
      <c r="C1032" s="27" t="s">
        <v>371</v>
      </c>
      <c r="D1032" s="27" t="s">
        <v>359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921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922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923</v>
      </c>
      <c r="B1035" s="27" t="s">
        <v>367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924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375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/>
    </row>
    <row r="1039" spans="1:12">
      <c r="A1039" s="20" t="s">
        <v>925</v>
      </c>
    </row>
    <row r="1040" spans="1:12">
      <c r="A1040" s="20" t="s">
        <v>926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927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766</v>
      </c>
      <c r="B1042" s="27" t="s">
        <v>357</v>
      </c>
      <c r="C1042" s="27" t="s">
        <v>411</v>
      </c>
      <c r="D1042" s="27" t="s">
        <v>359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777</v>
      </c>
      <c r="B1043" s="27" t="s">
        <v>361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928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929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703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849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375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/>
    </row>
    <row r="1050" spans="1:12">
      <c r="A1050" s="20" t="s">
        <v>930</v>
      </c>
    </row>
    <row r="1051" spans="1:12">
      <c r="A1051" s="20" t="s">
        <v>931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932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494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/>
    </row>
    <row r="1055" spans="1:12">
      <c r="A1055" s="20" t="s">
        <v>933</v>
      </c>
    </row>
    <row r="1056" spans="1:12">
      <c r="A1056" s="20" t="s">
        <v>934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870</v>
      </c>
      <c r="B1057" s="27" t="s">
        <v>361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935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936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937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938</v>
      </c>
      <c r="B1061" s="27" t="s">
        <v>367</v>
      </c>
      <c r="C1061" s="27" t="s">
        <v>371</v>
      </c>
      <c r="D1061" s="27" t="s">
        <v>359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939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940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941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388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389</v>
      </c>
      <c r="B1066" s="27" t="s">
        <v>437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662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942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943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375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/>
    </row>
    <row r="1072" spans="1:12">
      <c r="A1072" s="20" t="s">
        <v>944</v>
      </c>
    </row>
    <row r="1073" spans="1:12">
      <c r="A1073" s="20" t="s">
        <v>911</v>
      </c>
      <c r="B1073" s="27" t="s">
        <v>361</v>
      </c>
      <c r="C1073" s="27" t="s">
        <v>371</v>
      </c>
      <c r="D1073" s="27" t="s">
        <v>359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945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946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947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948</v>
      </c>
      <c r="B1077" s="27" t="s">
        <v>437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496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949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950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399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858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375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/>
    </row>
    <row r="1085" spans="1:12">
      <c r="A1085" s="20" t="s">
        <v>951</v>
      </c>
    </row>
    <row r="1086" spans="1:12">
      <c r="A1086" s="20" t="s">
        <v>931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932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494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952</v>
      </c>
      <c r="B1089" s="27" t="s">
        <v>370</v>
      </c>
      <c r="C1089" s="27" t="s">
        <v>358</v>
      </c>
      <c r="D1089" s="27" t="s">
        <v>359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935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953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>
        <f/>
        <v>0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446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954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952</v>
      </c>
      <c r="B1095" s="27" t="s">
        <v>428</v>
      </c>
      <c r="C1095" s="27" t="s">
        <v>358</v>
      </c>
      <c r="D1095" s="27" t="s">
        <v>359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935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955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>
        <f/>
        <v>0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956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937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827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957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494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/>
    </row>
    <row r="1105" spans="1:12">
      <c r="A1105" s="20" t="s">
        <v>958</v>
      </c>
    </row>
    <row r="1106" spans="1:12">
      <c r="A1106" s="20" t="s">
        <v>775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959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960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961</v>
      </c>
      <c r="B1109" s="27" t="s">
        <v>367</v>
      </c>
      <c r="C1109" s="27" t="s">
        <v>491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962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963</v>
      </c>
      <c r="B1111" s="27" t="s">
        <v>367</v>
      </c>
      <c r="C1111" s="27" t="s">
        <v>433</v>
      </c>
      <c r="D1111" s="27" t="s">
        <v>359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373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374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964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641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/>
    </row>
    <row r="1117" spans="1:12">
      <c r="A1117" s="20" t="s">
        <v>965</v>
      </c>
    </row>
    <row r="1118" spans="1:12">
      <c r="A1118" s="20" t="s">
        <v>966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353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399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232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91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375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/>
    </row>
    <row r="1125" spans="1:12">
      <c r="A1125" s="20" t="s">
        <v>967</v>
      </c>
    </row>
    <row r="1126" spans="1:12">
      <c r="A1126" s="20" t="s">
        <v>968</v>
      </c>
      <c r="B1126" s="27" t="s">
        <v>363</v>
      </c>
      <c r="C1126" s="27" t="s">
        <v>882</v>
      </c>
      <c r="D1126" s="27" t="s">
        <v>359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969</v>
      </c>
      <c r="B1127" s="27" t="s">
        <v>361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970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423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971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972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757</v>
      </c>
      <c r="B1132" s="27" t="s">
        <v>437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973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382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974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975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976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399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977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717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978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979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353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980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981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399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982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983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375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/>
    </row>
    <row r="1151" spans="1:12">
      <c r="A1151" s="20" t="s">
        <v>984</v>
      </c>
    </row>
    <row r="1152" spans="1:12">
      <c r="A1152" s="20" t="s">
        <v>985</v>
      </c>
      <c r="B1152" s="27" t="s">
        <v>361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373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986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741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987</v>
      </c>
      <c r="B1156" s="27" t="s">
        <v>367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988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989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353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990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991</v>
      </c>
      <c r="B1161" s="27" t="s">
        <v>475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375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/>
    </row>
    <row r="1164" spans="1:12">
      <c r="A1164" s="20" t="s">
        <v>992</v>
      </c>
    </row>
    <row r="1165" spans="1:12">
      <c r="A1165" s="20" t="s">
        <v>993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353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382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994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995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353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531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996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997</v>
      </c>
      <c r="B1173" s="27" t="s">
        <v>349</v>
      </c>
      <c r="C1173" s="27" t="s">
        <v>350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666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998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539</v>
      </c>
      <c r="B1176" s="27" t="s">
        <v>361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353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666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998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999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1000</v>
      </c>
      <c r="B1181" s="27" t="s">
        <v>370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375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/>
    </row>
    <row r="1184" spans="1:12">
      <c r="A1184" s="20" t="s">
        <v>1001</v>
      </c>
    </row>
    <row r="1185" spans="1:12">
      <c r="A1185" s="20" t="s">
        <v>985</v>
      </c>
      <c r="B1185" s="27" t="s">
        <v>361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1002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1003</v>
      </c>
      <c r="B1187" s="27" t="s">
        <v>367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1004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1005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353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1006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1007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353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1008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1009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354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1010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1011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375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/>
    </row>
    <row r="1201" spans="1:12">
      <c r="A1201" s="20" t="s">
        <v>1012</v>
      </c>
    </row>
    <row r="1202" spans="1:12">
      <c r="A1202" s="20" t="s">
        <v>678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423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1013</v>
      </c>
      <c r="B1204" s="27" t="s">
        <v>349</v>
      </c>
      <c r="C1204" s="27" t="s">
        <v>491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923</v>
      </c>
      <c r="B1205" s="27" t="s">
        <v>361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1005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1014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1015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18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1016</v>
      </c>
      <c r="B1210" s="27" t="s">
        <v>397</v>
      </c>
      <c r="C1210" s="27" t="s">
        <v>411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375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/>
    </row>
    <row r="1213" spans="1:12">
      <c r="A1213" s="20" t="s">
        <v>1017</v>
      </c>
    </row>
    <row r="1214" spans="1:12">
      <c r="A1214" s="20" t="s">
        <v>895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1018</v>
      </c>
      <c r="B1215" s="27" t="s">
        <v>370</v>
      </c>
      <c r="C1215" s="27" t="s">
        <v>491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410</v>
      </c>
      <c r="B1216" s="27" t="s">
        <v>437</v>
      </c>
      <c r="C1216" s="27" t="s">
        <v>411</v>
      </c>
      <c r="D1216" s="27" t="s">
        <v>359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1019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353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1020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1021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354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1022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1023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375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/>
    </row>
    <row r="1226" spans="1:12">
      <c r="A1226" s="20" t="s">
        <v>1024</v>
      </c>
    </row>
    <row r="1227" spans="1:12">
      <c r="A1227" s="20" t="s">
        <v>1025</v>
      </c>
      <c r="B1227" s="27" t="s">
        <v>361</v>
      </c>
      <c r="C1227" s="27" t="s">
        <v>411</v>
      </c>
      <c r="D1227" s="27" t="s">
        <v>359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733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304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353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1026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917</v>
      </c>
      <c r="B1232" s="27" t="s">
        <v>370</v>
      </c>
      <c r="C1232" s="27" t="s">
        <v>371</v>
      </c>
      <c r="D1232" s="27" t="s">
        <v>359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1027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1028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1029</v>
      </c>
      <c r="B1235" s="27" t="s">
        <v>437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382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1030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440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683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1014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1031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373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986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375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/>
    </row>
    <row r="1246" spans="1:12">
      <c r="A1246" s="20" t="s">
        <v>1032</v>
      </c>
    </row>
    <row r="1247" spans="1:12">
      <c r="A1247" s="20" t="s">
        <v>576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1033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1034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1035</v>
      </c>
      <c r="B1250" s="27" t="s">
        <v>361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1036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630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1037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1038</v>
      </c>
      <c r="B1254" s="27" t="s">
        <v>367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1039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1040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399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1041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1042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375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/>
    </row>
    <row r="1262" spans="1:12">
      <c r="A1262" s="20" t="s">
        <v>1043</v>
      </c>
    </row>
    <row r="1263" spans="1:12">
      <c r="A1263" s="20" t="s">
        <v>1044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607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666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1045</v>
      </c>
      <c r="B1266" s="27" t="s">
        <v>361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496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1046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 t="s">
        <v>1047</v>
      </c>
      <c r="E1269" s="21">
        <f>IF(D1269="?OLD","!!!","")</f>
        <v/>
      </c>
      <c r="F1269" s="22" t="str">
        <f>IF(OR(E1269="",E1269="!!!"),"",IF(NOT(ISNA(VLOOKUP(E1269,E$1:E1268,1,FALSE()))),"OLD",IF(AND(E1269&lt;&gt;"",E1269&lt;&gt;"!!!"),"NEW","")))</f>
        <v> </v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4" t="str">
        <f>IF(J1269&lt;&gt;1,"",IF(I1269="SBJ","CB","?"))</f>
        <v> </v>
      </c>
      <c r="I1269" s="25" t="str">
        <f>IF(OR(E1269="",E1269="!!!",F1269="NEW"),"",INDEX(B1268:B$2,-1+SUMPRODUCT(MAX(ROW(E1268:E$2)*(E1269=E1268:E$2)))))</f>
        <v> </v>
      </c>
      <c r="J1269" s="25" t="str">
        <f>IF(OR(E1269="",E1269="!!!",F1269="NEW"),"",COUNTBLANK(OFFSET(A$1,,,SUMPRODUCT(MAX(ROW(E$2:E1269)*(E1269=E$2:E1269)))))-COUNTBLANK(OFFSET(A$1,,,SUMPRODUCT(MAX(ROW(E$1:E1268)*(E2=E$1:E1268))))))</f>
        <v> </v>
      </c>
      <c r="K1269" s="25" t="str">
        <f>IF(OR(E1269="",E1269="!!!",F1269="NEW"),"",INDEX(J$1:J1268,SUMPRODUCT(MAX(ROW(E$1:E1268)*(E1269=E$1:E1268)))))</f>
        <v> </v>
      </c>
      <c r="L1269" s="26"/>
    </row>
    <row r="1270" spans="1:12">
      <c r="A1270" s="20" t="s">
        <v>375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/>
    </row>
    <row r="1272" spans="1:12">
      <c r="A1272" s="20" t="s">
        <v>1048</v>
      </c>
    </row>
    <row r="1273" spans="1:12">
      <c r="A1273" s="20" t="s">
        <v>1049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607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1050</v>
      </c>
      <c r="B1275" s="27" t="s">
        <v>361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353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451</v>
      </c>
      <c r="B1277" s="27" t="s">
        <v>370</v>
      </c>
      <c r="C1277" s="27" t="s">
        <v>371</v>
      </c>
      <c r="D1277" s="27" t="s">
        <v>359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1051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 t="s">
        <v>353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423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671</v>
      </c>
      <c r="B1281" s="27" t="s">
        <v>349</v>
      </c>
      <c r="C1281" s="27" t="s">
        <v>411</v>
      </c>
      <c r="D1281" s="27" t="s">
        <v>359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353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297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1052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733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 t="s">
        <v>410</v>
      </c>
      <c r="B1286" s="27" t="s">
        <v>370</v>
      </c>
      <c r="C1286" s="27" t="s">
        <v>411</v>
      </c>
      <c r="D1286" s="27" t="s">
        <v>359</v>
      </c>
      <c r="E1286" s="21">
        <f>IF(D1286="?OLD","!!!","")</f>
        <v/>
      </c>
      <c r="F1286" s="22" t="str">
        <f>IF(OR(E1286="",E1286="!!!"),"",IF(NOT(ISNA(VLOOKUP(E1286,E$1:E1285,1,FALSE()))),"OLD",IF(AND(E1286&lt;&gt;"",E1286&lt;&gt;"!!!"),"NEW","")))</f>
        <v> </v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4" t="str">
        <f>IF(J1286&lt;&gt;1,"",IF(I1286="SBJ","CB","?"))</f>
        <v> </v>
      </c>
      <c r="I1286" s="25" t="str">
        <f>IF(OR(E1286="",E1286="!!!",F1286="NEW"),"",INDEX(B1285:B$2,-1+SUMPRODUCT(MAX(ROW(E1285:E$2)*(E1286=E1285:E$2)))))</f>
        <v> </v>
      </c>
      <c r="J1286" s="25" t="str">
        <f>IF(OR(E1286="",E1286="!!!",F1286="NEW"),"",COUNTBLANK(OFFSET(A$1,,,SUMPRODUCT(MAX(ROW(E$2:E1286)*(E1286=E$2:E1286)))))-COUNTBLANK(OFFSET(A$1,,,SUMPRODUCT(MAX(ROW(E$1:E1285)*(E2=E$1:E1285))))))</f>
        <v> </v>
      </c>
      <c r="K1286" s="25" t="str">
        <f>IF(OR(E1286="",E1286="!!!",F1286="NEW"),"",INDEX(J$1:J1285,SUMPRODUCT(MAX(ROW(E$1:E1285)*(E1286=E$1:E1285)))))</f>
        <v> </v>
      </c>
      <c r="L1286" s="26"/>
    </row>
    <row r="1287" spans="1:12">
      <c r="A1287" s="20" t="s">
        <v>1053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 t="s">
        <v>1054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1055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1056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375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/>
    </row>
    <row r="1293" spans="1:12">
      <c r="A1293" s="20" t="s">
        <v>1057</v>
      </c>
    </row>
    <row r="1294" spans="1:12">
      <c r="A1294" s="20" t="s">
        <v>1058</v>
      </c>
      <c r="B1294" s="27" t="s">
        <v>361</v>
      </c>
      <c r="C1294" s="27" t="s">
        <v>371</v>
      </c>
      <c r="D1294" s="27" t="s">
        <v>359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1059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 t="s">
        <v>1060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 t="s">
        <v>1061</v>
      </c>
      <c r="B1297" s="27" t="s">
        <v>349</v>
      </c>
      <c r="C1297" s="27" t="s">
        <v>371</v>
      </c>
      <c r="D1297" s="27" t="s">
        <v>359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1062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1063</v>
      </c>
      <c r="B1299" s="27" t="s">
        <v>349</v>
      </c>
      <c r="C1299" s="27" t="s">
        <v>350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1064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399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1065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1066</v>
      </c>
      <c r="B1303" s="27" t="s">
        <v>397</v>
      </c>
      <c r="C1303" s="27" t="s">
        <v>882</v>
      </c>
      <c r="D1303" s="27" t="s">
        <v>359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1067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1068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353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1069</v>
      </c>
      <c r="B1307" s="27" t="s">
        <v>357</v>
      </c>
      <c r="C1307" s="27" t="s">
        <v>882</v>
      </c>
      <c r="D1307" s="27" t="s">
        <v>359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 t="s">
        <v>1070</v>
      </c>
      <c r="E1308" s="21">
        <f>IF(D1308="?OLD","!!!","")</f>
        <v/>
      </c>
      <c r="F1308" s="22" t="str">
        <f>IF(OR(E1308="",E1308="!!!"),"",IF(NOT(ISNA(VLOOKUP(E1308,E$1:E1307,1,FALSE()))),"OLD",IF(AND(E1308&lt;&gt;"",E1308&lt;&gt;"!!!"),"NEW","")))</f>
        <v> </v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4" t="str">
        <f>IF(J1308&lt;&gt;1,"",IF(I1308="SBJ","CB","?"))</f>
        <v> </v>
      </c>
      <c r="I1308" s="25" t="str">
        <f>IF(OR(E1308="",E1308="!!!",F1308="NEW"),"",INDEX(B1307:B$2,-1+SUMPRODUCT(MAX(ROW(E1307:E$2)*(E1308=E1307:E$2)))))</f>
        <v> </v>
      </c>
      <c r="J1308" s="25" t="str">
        <f>IF(OR(E1308="",E1308="!!!",F1308="NEW"),"",COUNTBLANK(OFFSET(A$1,,,SUMPRODUCT(MAX(ROW(E$2:E1308)*(E1308=E$2:E1308)))))-COUNTBLANK(OFFSET(A$1,,,SUMPRODUCT(MAX(ROW(E$1:E1307)*(E2=E$1:E1307))))))</f>
        <v> </v>
      </c>
      <c r="K1308" s="25" t="str">
        <f>IF(OR(E1308="",E1308="!!!",F1308="NEW"),"",INDEX(J$1:J1307,SUMPRODUCT(MAX(ROW(E$1:E1307)*(E1308=E$1:E1307)))))</f>
        <v> </v>
      </c>
      <c r="L1308" s="26"/>
    </row>
    <row r="1309" spans="1:12">
      <c r="A1309" s="20" t="s">
        <v>399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1071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1072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717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1073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 t="s">
        <v>1074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 t="s">
        <v>1075</v>
      </c>
      <c r="E1315" s="21">
        <f>IF(D1315="?OLD","!!!","")</f>
        <v/>
      </c>
      <c r="F1315" s="22" t="str">
        <f>IF(OR(E1315="",E1315="!!!"),"",IF(NOT(ISNA(VLOOKUP(E1315,E$1:E1314,1,FALSE()))),"OLD",IF(AND(E1315&lt;&gt;"",E1315&lt;&gt;"!!!"),"NEW","")))</f>
        <v> </v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4" t="str">
        <f>IF(J1315&lt;&gt;1,"",IF(I1315="SBJ","CB","?"))</f>
        <v> </v>
      </c>
      <c r="I1315" s="25" t="str">
        <f>IF(OR(E1315="",E1315="!!!",F1315="NEW"),"",INDEX(B1314:B$2,-1+SUMPRODUCT(MAX(ROW(E1314:E$2)*(E1315=E1314:E$2)))))</f>
        <v> </v>
      </c>
      <c r="J1315" s="25" t="str">
        <f>IF(OR(E1315="",E1315="!!!",F1315="NEW"),"",COUNTBLANK(OFFSET(A$1,,,SUMPRODUCT(MAX(ROW(E$2:E1315)*(E1315=E$2:E1315)))))-COUNTBLANK(OFFSET(A$1,,,SUMPRODUCT(MAX(ROW(E$1:E1314)*(E2=E$1:E1314))))))</f>
        <v> </v>
      </c>
      <c r="K1315" s="25" t="str">
        <f>IF(OR(E1315="",E1315="!!!",F1315="NEW"),"",INDEX(J$1:J1314,SUMPRODUCT(MAX(ROW(E$1:E1314)*(E1315=E$1:E1314)))))</f>
        <v> </v>
      </c>
      <c r="L1315" s="26"/>
    </row>
    <row r="1316" spans="1:12">
      <c r="A1316" s="20" t="s">
        <v>1076</v>
      </c>
      <c r="B1316" s="27" t="s">
        <v>614</v>
      </c>
      <c r="C1316" s="27" t="s">
        <v>371</v>
      </c>
      <c r="D1316" s="27" t="s">
        <v>359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1077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375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/>
    </row>
    <row r="1320" spans="1:12">
      <c r="A1320" s="20" t="s">
        <v>1078</v>
      </c>
    </row>
    <row r="1321" spans="1:12">
      <c r="A1321" s="20" t="s">
        <v>688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821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353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385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1079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1080</v>
      </c>
      <c r="B1326" s="27" t="s">
        <v>357</v>
      </c>
      <c r="C1326" s="27" t="s">
        <v>882</v>
      </c>
      <c r="D1326" s="27" t="s">
        <v>359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 t="s">
        <v>1081</v>
      </c>
      <c r="B1327" s="27" t="s">
        <v>370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353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1082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1083</v>
      </c>
      <c r="B1330" s="27" t="s">
        <v>361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 t="s">
        <v>749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1084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 t="s">
        <v>752</v>
      </c>
      <c r="B1333" s="27" t="s">
        <v>367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683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490</v>
      </c>
      <c r="B1335" s="27" t="s">
        <v>349</v>
      </c>
      <c r="C1335" s="27" t="s">
        <v>411</v>
      </c>
      <c r="D1335" s="27" t="s">
        <v>359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353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523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1085</v>
      </c>
      <c r="B1338" s="27" t="s">
        <v>417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1086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 t="s">
        <v>1087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479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 t="s">
        <v>423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1088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1089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375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/>
    </row>
    <row r="1347" spans="1:12">
      <c r="A1347" s="20" t="s">
        <v>1090</v>
      </c>
    </row>
    <row r="1348" spans="1:12">
      <c r="A1348" s="20" t="s">
        <v>775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410</v>
      </c>
      <c r="B1349" s="27" t="s">
        <v>361</v>
      </c>
      <c r="C1349" s="27" t="s">
        <v>411</v>
      </c>
      <c r="D1349" s="27" t="s">
        <v>359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921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1091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1092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1093</v>
      </c>
      <c r="B1353" s="27" t="s">
        <v>367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375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/>
    </row>
    <row r="1356" spans="1:12">
      <c r="A1356" s="20" t="s">
        <v>1094</v>
      </c>
    </row>
    <row r="1357" spans="1:12">
      <c r="A1357" s="20" t="s">
        <v>1095</v>
      </c>
      <c r="E1357" s="21">
        <f>IF(D1357="?OLD","!!!","")</f>
        <v/>
      </c>
      <c r="F1357" s="22" t="str">
        <f>IF(OR(E1357="",E1357="!!!"),"",IF(NOT(ISNA(VLOOKUP(E1357,E$1:E1356,1,FALSE()))),"OLD",IF(AND(E1357&lt;&gt;"",E1357&lt;&gt;"!!!"),"NEW","")))</f>
        <v> </v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4" t="str">
        <f>IF(J1357&lt;&gt;1,"",IF(I1357="SBJ","CB","?"))</f>
        <v> </v>
      </c>
      <c r="I1357" s="25" t="str">
        <f>IF(OR(E1357="",E1357="!!!",F1357="NEW"),"",INDEX(B1356:B$2,-1+SUMPRODUCT(MAX(ROW(E1356:E$2)*(E1357=E1356:E$2)))))</f>
        <v> </v>
      </c>
      <c r="J1357" s="25" t="str">
        <f>IF(OR(E1357="",E1357="!!!",F1357="NEW"),"",COUNTBLANK(OFFSET(A$1,,,SUMPRODUCT(MAX(ROW(E$2:E1357)*(E1357=E$2:E1357)))))-COUNTBLANK(OFFSET(A$1,,,SUMPRODUCT(MAX(ROW(E$1:E1356)*(E2=E$1:E1356))))))</f>
        <v> </v>
      </c>
      <c r="K1357" s="25" t="str">
        <f>IF(OR(E1357="",E1357="!!!",F1357="NEW"),"",INDEX(J$1:J1356,SUMPRODUCT(MAX(ROW(E$1:E1356)*(E1357=E$1:E1356)))))</f>
        <v> </v>
      </c>
      <c r="L1357" s="26"/>
    </row>
    <row r="1358" spans="1:12">
      <c r="A1358" s="20" t="s">
        <v>635</v>
      </c>
      <c r="B1358" s="27" t="s">
        <v>367</v>
      </c>
      <c r="C1358" s="27" t="s">
        <v>371</v>
      </c>
      <c r="D1358" s="27" t="s">
        <v>359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375</v>
      </c>
      <c r="E1359" s="21">
        <f>IF(D1359="?OLD","!!!","")</f>
        <v/>
      </c>
      <c r="F1359" s="22" t="str">
        <f>IF(OR(E1359="",E1359="!!!"),"",IF(NOT(ISNA(VLOOKUP(E1359,E$1:E1358,1,FALSE()))),"OLD",IF(AND(E1359&lt;&gt;"",E1359&lt;&gt;"!!!"),"NEW","")))</f>
        <v> </v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4" t="str">
        <f>IF(J1359&lt;&gt;1,"",IF(I1359="SBJ","CB","?"))</f>
        <v> </v>
      </c>
      <c r="I1359" s="25" t="str">
        <f>IF(OR(E1359="",E1359="!!!",F1359="NEW"),"",INDEX(B1358:B$2,-1+SUMPRODUCT(MAX(ROW(E1358:E$2)*(E1359=E1358:E$2)))))</f>
        <v> </v>
      </c>
      <c r="J1359" s="25" t="str">
        <f>IF(OR(E1359="",E1359="!!!",F1359="NEW"),"",COUNTBLANK(OFFSET(A$1,,,SUMPRODUCT(MAX(ROW(E$2:E1359)*(E1359=E$2:E1359)))))-COUNTBLANK(OFFSET(A$1,,,SUMPRODUCT(MAX(ROW(E$1:E1358)*(E2=E$1:E1358))))))</f>
        <v> </v>
      </c>
      <c r="K1359" s="25" t="str">
        <f>IF(OR(E1359="",E1359="!!!",F1359="NEW"),"",INDEX(J$1:J1358,SUMPRODUCT(MAX(ROW(E$1:E1358)*(E1359=E$1:E1358)))))</f>
        <v> </v>
      </c>
      <c r="L1359" s="26"/>
    </row>
    <row r="1360" spans="1:12">
      <c r="A1360" s="20"/>
    </row>
    <row r="1361" spans="1:12">
      <c r="A1361" s="20" t="s">
        <v>1096</v>
      </c>
    </row>
    <row r="1362" spans="1:12">
      <c r="A1362" s="20" t="s">
        <v>594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1097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596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2024-07-05T04:32:55Z</dcterms:created>
  <dcterms:modified xsi:type="dcterms:W3CDTF">2024-07-05T04:32:55Z</dcterms:modified>
</cp:coreProperties>
</file>