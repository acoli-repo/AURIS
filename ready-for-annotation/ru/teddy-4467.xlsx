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<sst xmlns="http://schemas.openxmlformats.org/spreadsheetml/2006/main" count="8919" uniqueCount="2712">
  <si>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</si>
  <si>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</si>
  <si>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</si>
  <si>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</si>
  <si>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</si>
  <si>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</si>
  <si>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</si>
  <si>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</si>
  <si>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</si>
  <si>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</si>
  <si>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</si>
  <si>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</si>
  <si>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Чарли</t>
  </si>
  <si>
    <t>Чарли Роуз : Ларри написал мне письмо и сказал , что мы должны постараться не превращать наше выступление в разговор двух зануд средних лет .</t>
  </si>
  <si>
    <t>file://conllu/ru/teddy-4467.conllu#s1_0</t>
  </si>
  <si>
    <t>2</t>
  </si>
  <si>
    <t>сказать</t>
  </si>
  <si>
    <t>Я сказал , что он мне льстит , — ( Смех ) — ведь я немного старше и из него точно получится более интересный собеседник .</t>
  </si>
  <si>
    <t>file://conllu/ru/teddy-4467.conllu#s2_0</t>
  </si>
  <si>
    <t>3</t>
  </si>
  <si>
    <t>Ларри</t>
  </si>
  <si>
    <t>Ларри Пэйдж : Спасибо .</t>
  </si>
  <si>
    <t>file://conllu/ru/teddy-4467.conllu#s3_0</t>
  </si>
  <si>
    <t>4</t>
  </si>
  <si>
    <t>Чр</t>
  </si>
  <si>
    <t>ЧР : Мы поговорим об Интернете , о твоей работе в Google , мы поговорим об аспектах поиска и об охране персональных данных , а также о твоей философской позиции , о том , как ты нашёл свой путь в перспективном путешествии , начатом некоторое время назад .</t>
  </si>
  <si>
    <t>file://conllu/ru/teddy-4467.conllu#s4_0</t>
  </si>
  <si>
    <t>5</t>
  </si>
  <si>
    <t>говорить</t>
  </si>
  <si>
    <t>В основном мы будем говорить о будущем .</t>
  </si>
  <si>
    <t>file://conllu/ru/teddy-4467.conllu#s5_0</t>
  </si>
  <si>
    <t>6</t>
  </si>
  <si>
    <t>вопрос</t>
  </si>
  <si>
    <t>И вот мой первый вопрос : чем сейчас занимается Google , и каковы планы компании на будущее ?</t>
  </si>
  <si>
    <t>file://conllu/ru/teddy-4467.conllu#s6_0</t>
  </si>
  <si>
    <t>7</t>
  </si>
  <si>
    <t>Лп</t>
  </si>
  <si>
    <t>ЛП : Мы много над этим думаем , и мы определили нашу главную цель достаточно давно : организовать мировую информацию и сделать её доступной и полезной во всём мире .</t>
  </si>
  <si>
    <t>file://conllu/ru/teddy-4467.conllu#s7_0</t>
  </si>
  <si>
    <t>8</t>
  </si>
  <si>
    <t>спрашивать</t>
  </si>
  <si>
    <t>Люди постоянно спрашивают , занимаемся ли мы этим до сих пор .</t>
  </si>
  <si>
    <t>file://conllu/ru/teddy-4467.conllu#s8_0</t>
  </si>
  <si>
    <t>9</t>
  </si>
  <si>
    <t>Я и сам зачастую спрашиваю себя об этом , и не всегда мой ответ однозначен .</t>
  </si>
  <si>
    <t>file://conllu/ru/teddy-4467.conllu#s9_0</t>
  </si>
  <si>
    <t>10</t>
  </si>
  <si>
    <t>думать (думать понимать)</t>
  </si>
  <si>
    <t>Но когда я думаю о поиске , я понимаю : он очень важен для нас , чтобы понять , чего мы хотим , понять мировую информацию , а мы всё ещё на начальной стадии его разработки , с ума сойти .</t>
  </si>
  <si>
    <t>file://conllu/ru/teddy-4467.conllu#s10_0</t>
  </si>
  <si>
    <t>11</t>
  </si>
  <si>
    <t>работать</t>
  </si>
  <si>
    <t>Мы работаем над поиском уже 15 лет , но работа ещё не закончена .</t>
  </si>
  <si>
    <t>file://conllu/ru/teddy-4467.conllu#s11_0</t>
  </si>
  <si>
    <t>12</t>
  </si>
  <si>
    <t>ЧР : Когда вы завершите её , как будет выглядеть поиск ?</t>
  </si>
  <si>
    <t>file://conllu/ru/teddy-4467.conllu#s12_0</t>
  </si>
  <si>
    <t>13</t>
  </si>
  <si>
    <t>ЛП : Думаю , если рассмотреть наш проект — знаешь , почему работа ещё не закончена ?</t>
  </si>
  <si>
    <t>file://conllu/ru/teddy-4467.conllu#s13_0</t>
  </si>
  <si>
    <t>14</t>
  </si>
  <si>
    <t>создавать</t>
  </si>
  <si>
    <t>Вычисления как таковые создают много путаницы .</t>
  </si>
  <si>
    <t>file://conllu/ru/teddy-4467.conllu#s14_0</t>
  </si>
  <si>
    <t>15</t>
  </si>
  <si>
    <t>знать</t>
  </si>
  <si>
    <t>Компьютер не знает , где ты находишься , не знает , что ты делаешь , не знает , что ты уже знаешь .</t>
  </si>
  <si>
    <t>file://conllu/ru/teddy-4467.conllu#s15_0</t>
  </si>
  <si>
    <t>16</t>
  </si>
  <si>
    <t>пытаться</t>
  </si>
  <si>
    <t>Поэтому в последнее время мы в основном и пытались заставить компьютер работать , заставить его понять , где ты и кто ты .</t>
  </si>
  <si>
    <t>file://conllu/ru/teddy-4467.conllu#s16_0</t>
  </si>
  <si>
    <t>17</t>
  </si>
  <si>
    <t>Персонализированный сервис Google Now знает , где ты , и что тебе может понадобится .</t>
  </si>
  <si>
    <t>file://conllu/ru/teddy-4467.conllu#s17_0</t>
  </si>
  <si>
    <t>18</t>
  </si>
  <si>
    <t>Пока?</t>
  </si>
  <si>
    <t>создать</t>
  </si>
  <si>
    <t>Но мы пока не создали вычисления , которые по-настоящему работают и понимают тебя и информацию вокруг .</t>
  </si>
  <si>
    <t>file://conllu/ru/teddy-4467.conllu#s18_0</t>
  </si>
  <si>
    <t>19</t>
  </si>
  <si>
    <t>малоэффективный</t>
  </si>
  <si>
    <t>Они до сих пор малоэффективны .</t>
  </si>
  <si>
    <t>file://conllu/ru/teddy-4467.conllu#s19_0</t>
  </si>
  <si>
    <t>20</t>
  </si>
  <si>
    <t>ЧР : Как ты рассматриваешь компанию Deep Mind в контексте Google ? Deep Mind — это компания , приобретённая нами совсем недавно .</t>
  </si>
  <si>
    <t>file://conllu/ru/teddy-4467.conllu#s20_0</t>
  </si>
  <si>
    <t>21</t>
  </si>
  <si>
    <t>находиться</t>
  </si>
  <si>
    <t>Она находится в Великобритании .</t>
  </si>
  <si>
    <t>file://conllu/ru/teddy-4467.conllu#s21_0</t>
  </si>
  <si>
    <t>22</t>
  </si>
  <si>
    <t>объяснить</t>
  </si>
  <si>
    <t>Для начала я объясню , зачем нам это понадобилось .</t>
  </si>
  <si>
    <t>file://conllu/ru/teddy-4467.conllu#s22_0</t>
  </si>
  <si>
    <t>23</t>
  </si>
  <si>
    <t>изучать</t>
  </si>
  <si>
    <t>Мы изучали поиск , пытались понять его во всех возможных деталях , пытались сделать компьютеры менее неуклюжими и заставить их понимать пользователя .</t>
  </si>
  <si>
    <t>file://conllu/ru/teddy-4467.conllu#s23_0</t>
  </si>
  <si>
    <t>24</t>
  </si>
  <si>
    <t>работа</t>
  </si>
  <si>
    <t>Например , работа с человеческим голосом .</t>
  </si>
  <si>
    <t>file://conllu/ru/teddy-4467.conllu#s24_0</t>
  </si>
  <si>
    <t>25</t>
  </si>
  <si>
    <t>технология</t>
  </si>
  <si>
    <t>На какой стадии сегодня технологии распознавания речи ?</t>
  </si>
  <si>
    <t>file://conllu/ru/teddy-4467.conllu#s25_0</t>
  </si>
  <si>
    <t>26</t>
  </si>
  <si>
    <t>хороший</t>
  </si>
  <si>
    <t>Они не так уж хороши .</t>
  </si>
  <si>
    <t>file://conllu/ru/teddy-4467.conllu#s26_0</t>
  </si>
  <si>
    <t>27</t>
  </si>
  <si>
    <t>понимать</t>
  </si>
  <si>
    <t>Компьютер плохо вас понимает .</t>
  </si>
  <si>
    <t>file://conllu/ru/teddy-4467.conllu#s27_0</t>
  </si>
  <si>
    <t>28</t>
  </si>
  <si>
    <t>начать</t>
  </si>
  <si>
    <t>Поэтому мы начали исследовать машинное обучение , чтобы улучшить ситуацию .</t>
  </si>
  <si>
    <t>file://conllu/ru/teddy-4467.conllu#s28_0</t>
  </si>
  <si>
    <t>29</t>
  </si>
  <si>
    <t>помочь</t>
  </si>
  <si>
    <t>Это помогло .</t>
  </si>
  <si>
    <t>file://conllu/ru/teddy-4467.conllu#s29_0</t>
  </si>
  <si>
    <t>30</t>
  </si>
  <si>
    <t>обратиться</t>
  </si>
  <si>
    <t>Затем мы обратились к таким платформам , как YouTube .</t>
  </si>
  <si>
    <t>file://conllu/ru/teddy-4467.conllu#s30_0</t>
  </si>
  <si>
    <t>31</t>
  </si>
  <si>
    <t>Понимаем ли мы YouTube ?</t>
  </si>
  <si>
    <t>file://conllu/ru/teddy-4467.conllu#s31_0</t>
  </si>
  <si>
    <t>32</t>
  </si>
  <si>
    <t>пропустить</t>
  </si>
  <si>
    <t>Мы пропустили YouTube через машинное обучение и обнаружили котов .</t>
  </si>
  <si>
    <t>file://conllu/ru/teddy-4467.conllu#s32_0</t>
  </si>
  <si>
    <t>33</t>
  </si>
  <si>
    <t>произойти</t>
  </si>
  <si>
    <t>Всё произошло само собой .</t>
  </si>
  <si>
    <t>file://conllu/ru/teddy-4467.conllu#s33_0</t>
  </si>
  <si>
    <t>34</t>
  </si>
  <si>
    <t>идея</t>
  </si>
  <si>
    <t>Это важная идея .</t>
  </si>
  <si>
    <t>file://conllu/ru/teddy-4467.conllu#s34_0</t>
  </si>
  <si>
    <t>35</t>
  </si>
  <si>
    <t>понять</t>
  </si>
  <si>
    <t>Мы поняли , что здесь должно быть что-то интересное .</t>
  </si>
  <si>
    <t>file://conllu/ru/teddy-4467.conllu#s35_0</t>
  </si>
  <si>
    <t>36</t>
  </si>
  <si>
    <t>мочь</t>
  </si>
  <si>
    <t>Если мы сможем обучить компьютер распознавать котов , мы сможем достичь важных вещей .</t>
  </si>
  <si>
    <t>file://conllu/ru/teddy-4467.conllu#s36_0</t>
  </si>
  <si>
    <t>37</t>
  </si>
  <si>
    <t>удивительный</t>
  </si>
  <si>
    <t>Я думаю , компания Deep Mind удивительна именно тем , что она фактически может обучать чему-либо бесконтрольным способом .</t>
  </si>
  <si>
    <t>file://conllu/ru/teddy-4467.conllu#s37_0</t>
  </si>
  <si>
    <t>38</t>
  </si>
  <si>
    <t>Они начали с видеоигр — может , будет лучше , если я покажу вам видео .</t>
  </si>
  <si>
    <t>file://conllu/ru/teddy-4467.conllu#s38_0</t>
  </si>
  <si>
    <t>39</t>
  </si>
  <si>
    <t>играть</t>
  </si>
  <si>
    <t>Компьютер играет в видеоигру и обучается игре автоматически .</t>
  </si>
  <si>
    <t>file://conllu/ru/teddy-4467.conllu#s39_0</t>
  </si>
  <si>
    <t>40</t>
  </si>
  <si>
    <t>ЧР : Посмотрите на видеоигры и на то , как компьютеры начинают делать невероятные вещи .</t>
  </si>
  <si>
    <t>file://conllu/ru/teddy-4467.conllu#s40_0</t>
  </si>
  <si>
    <t>41</t>
  </si>
  <si>
    <t>ЛП : Здесь замечательно то , что — естественно , здесь изображены старые игры — но система видит то , что видите вы , пиксели , она контролирует ситуацию и счёт .</t>
  </si>
  <si>
    <t>file://conllu/ru/teddy-4467.conllu#s41_0</t>
  </si>
  <si>
    <t>42</t>
  </si>
  <si>
    <t>научиться</t>
  </si>
  <si>
    <t>Одна и та же программа научилась играть во все эти игры .</t>
  </si>
  <si>
    <t>file://conllu/ru/teddy-4467.conllu#s42_0</t>
  </si>
  <si>
    <t>43</t>
  </si>
  <si>
    <t>Она научилась играть со сверхчеловеческой эффективностью .</t>
  </si>
  <si>
    <t>file://conllu/ru/teddy-4467.conllu#s43_0</t>
  </si>
  <si>
    <t>44</t>
  </si>
  <si>
    <t>Раньше мы не могли достигнуть таких результатов с компьютерами .</t>
  </si>
  <si>
    <t>file://conllu/ru/teddy-4467.conllu#s44_0</t>
  </si>
  <si>
    <t>45</t>
  </si>
  <si>
    <t>описать</t>
  </si>
  <si>
    <t>Я немного опишу вот эту игру .</t>
  </si>
  <si>
    <t>file://conllu/ru/teddy-4467.conllu#s45_0</t>
  </si>
  <si>
    <t>46</t>
  </si>
  <si>
    <t>бокс</t>
  </si>
  <si>
    <t>Это бокс .</t>
  </si>
  <si>
    <t>file://conllu/ru/teddy-4467.conllu#s46_0</t>
  </si>
  <si>
    <t>47</t>
  </si>
  <si>
    <t>Программа понимает , как она может припереть противника к стене .</t>
  </si>
  <si>
    <t>file://conllu/ru/teddy-4467.conllu#s47_0</t>
  </si>
  <si>
    <t>48</t>
  </si>
  <si>
    <t>компьютер</t>
  </si>
  <si>
    <t>Компьютер слева , и он очень быстро набирает очки .</t>
  </si>
  <si>
    <t>file://conllu/ru/teddy-4467.conllu#s48_0</t>
  </si>
  <si>
    <t>49</t>
  </si>
  <si>
    <t>представить</t>
  </si>
  <si>
    <t>Только представьте , что бы было , если бы такого рода интеллект можно было использовать в планировании вашего графика работы или информационных потребностей .</t>
  </si>
  <si>
    <t>file://conllu/ru/teddy-4467.conllu#s49_0</t>
  </si>
  <si>
    <t>50</t>
  </si>
  <si>
    <t>начинать</t>
  </si>
  <si>
    <t>Мы только начинаем работу , и я нахожу это очень захватывающим .</t>
  </si>
  <si>
    <t>file://conllu/ru/teddy-4467.conllu#s50_0</t>
  </si>
  <si>
    <t>51</t>
  </si>
  <si>
    <t>ЧР :</t>
  </si>
  <si>
    <t>file://conllu/ru/teddy-4467.conllu#s51_0</t>
  </si>
  <si>
    <t>52</t>
  </si>
  <si>
    <t>оценивать</t>
  </si>
  <si>
    <t>Оценивая то , что уже было сделано в рамках Deep Mind и игры в бокс , а также в рамках наших программ по развитию искусственного интеллекта , где мы находимся ?</t>
  </si>
  <si>
    <t>file://conllu/ru/teddy-4467.conllu#s52_0</t>
  </si>
  <si>
    <t>53</t>
  </si>
  <si>
    <t>делать</t>
  </si>
  <si>
    <t>Что уже сделано ?</t>
  </si>
  <si>
    <t>file://conllu/ru/teddy-4467.conllu#s53_0</t>
  </si>
  <si>
    <t>54</t>
  </si>
  <si>
    <t>отвечать</t>
  </si>
  <si>
    <t>Я буду отвечать за себя .</t>
  </si>
  <si>
    <t>file://conllu/ru/teddy-4467.conllu#s54_0</t>
  </si>
  <si>
    <t>55</t>
  </si>
  <si>
    <t>один</t>
  </si>
  <si>
    <t>Это одна из самых замечательных вещей , которые я когда-либо наблюдал .</t>
  </si>
  <si>
    <t>file://conllu/ru/teddy-4467.conllu#s55_0</t>
  </si>
  <si>
    <t>56</t>
  </si>
  <si>
    <t>звать</t>
  </si>
  <si>
    <t>Парня , который основал компанию , зовут Демис .</t>
  </si>
  <si>
    <t>file://conllu/ru/teddy-4467.conllu#s56_0</t>
  </si>
  <si>
    <t>57</t>
  </si>
  <si>
    <t>Он изучал неврологию и информатику .</t>
  </si>
  <si>
    <t>file://conllu/ru/teddy-4467.conllu#s57_0</t>
  </si>
  <si>
    <t>58</t>
  </si>
  <si>
    <t>захотеть</t>
  </si>
  <si>
    <t>Затем он захотел защитить докторскую в сфере изучения мозга .</t>
  </si>
  <si>
    <t>file://conllu/ru/teddy-4467.conllu#s58_0</t>
  </si>
  <si>
    <t>59</t>
  </si>
  <si>
    <t>думать (думать наблюдать)</t>
  </si>
  <si>
    <t>Именно поэтому , думаю , в работе мы наблюдаем захватывающее переплетение информатики и неврологии , которое даёт нам возможность понять , что нужно для того , чтобы делать по-настоящему интересные вещи и создавать умные продукты .</t>
  </si>
  <si>
    <t>file://conllu/ru/teddy-4467.conllu#s59_0</t>
  </si>
  <si>
    <t>60</t>
  </si>
  <si>
    <t>ЧР : Но чего мы уже достигли ?</t>
  </si>
  <si>
    <t>file://conllu/ru/teddy-4467.conllu#s60_0</t>
  </si>
  <si>
    <t>61</t>
  </si>
  <si>
    <t>продвигаться</t>
  </si>
  <si>
    <t>И как быстро мы продвигаемся вперёд ?</t>
  </si>
  <si>
    <t>file://conllu/ru/teddy-4467.conllu#s61_0</t>
  </si>
  <si>
    <t>62</t>
  </si>
  <si>
    <t>ЛП : Пока мы дошли до уровня распознавания котов на YouTube и похожих задач , улучшили распознавание речи .</t>
  </si>
  <si>
    <t>file://conllu/ru/teddy-4467.conllu#s62_0</t>
  </si>
  <si>
    <t>63</t>
  </si>
  <si>
    <t>использовать</t>
  </si>
  <si>
    <t>Мы широко использовали машинное обучение для постепенного улучшения результатов .</t>
  </si>
  <si>
    <t>file://conllu/ru/teddy-4467.conllu#s63_0</t>
  </si>
  <si>
    <t>64</t>
  </si>
  <si>
    <t>замечательный</t>
  </si>
  <si>
    <t>Для меня именно этот результат замечателен , ведь это только одна программа , способная выполнять множество задач .</t>
  </si>
  <si>
    <t>file://conllu/ru/teddy-4467.conllu#s64_0</t>
  </si>
  <si>
    <t>65</t>
  </si>
  <si>
    <t>file://conllu/ru/teddy-4467.conllu#s65_0</t>
  </si>
  <si>
    <t>66</t>
  </si>
  <si>
    <t>Не знаю , сможем ли мы показать это , но у нас есть изображение кота .</t>
  </si>
  <si>
    <t>file://conllu/ru/teddy-4467.conllu#s66_0</t>
  </si>
  <si>
    <t>67</t>
  </si>
  <si>
    <t>быть</t>
  </si>
  <si>
    <t>Было бы замечательно это показать .</t>
  </si>
  <si>
    <t>file://conllu/ru/teddy-4467.conllu#s67_0</t>
  </si>
  <si>
    <t>68</t>
  </si>
  <si>
    <t>представлять (представлять видеть)</t>
  </si>
  <si>
    <t>Вот как машины видят и представляют себе котов .</t>
  </si>
  <si>
    <t>file://conllu/ru/teddy-4467.conllu#s68_0</t>
  </si>
  <si>
    <t>69</t>
  </si>
  <si>
    <t>Покажать</t>
  </si>
  <si>
    <t>Покажите нам изображение .</t>
  </si>
  <si>
    <t>file://conllu/ru/teddy-4467.conllu#s69_0</t>
  </si>
  <si>
    <t>70</t>
  </si>
  <si>
    <t>ЛП : Да .</t>
  </si>
  <si>
    <t>file://conllu/ru/teddy-4467.conllu#s70_0</t>
  </si>
  <si>
    <t>71</t>
  </si>
  <si>
    <t>ЧР : Вот оно .</t>
  </si>
  <si>
    <t>file://conllu/ru/teddy-4467.conllu#s71_0</t>
  </si>
  <si>
    <t>72</t>
  </si>
  <si>
    <t>видеть</t>
  </si>
  <si>
    <t>Видите кота ?</t>
  </si>
  <si>
    <t>file://conllu/ru/teddy-4467.conllu#s72_0</t>
  </si>
  <si>
    <t>73</t>
  </si>
  <si>
    <t>Вот как машина видит и изображает кота .</t>
  </si>
  <si>
    <t>file://conllu/ru/teddy-4467.conllu#s73_0</t>
  </si>
  <si>
    <t>74</t>
  </si>
  <si>
    <t>ЛП : Совершенно верно .</t>
  </si>
  <si>
    <t>file://conllu/ru/teddy-4467.conllu#s74_0</t>
  </si>
  <si>
    <t>75</t>
  </si>
  <si>
    <t>И этому они научились , просто просматривая видео на YouTube .</t>
  </si>
  <si>
    <t>file://conllu/ru/teddy-4467.conllu#s75_0</t>
  </si>
  <si>
    <t>76</t>
  </si>
  <si>
    <t>натаскивать</t>
  </si>
  <si>
    <t>Мы их не натаскивали , не задавали им понятие кота .</t>
  </si>
  <si>
    <t>file://conllu/ru/teddy-4467.conllu#s76_0</t>
  </si>
  <si>
    <t>77</t>
  </si>
  <si>
    <t>это (это нечто)</t>
  </si>
  <si>
    <t>Концепция кота — это нечто важное , что понимает человек , а теперь и машины смогли в какой-то мере это сделать .</t>
  </si>
  <si>
    <t>file://conllu/ru/teddy-4467.conllu#s77_0</t>
  </si>
  <si>
    <t>78</t>
  </si>
  <si>
    <t>хотеть</t>
  </si>
  <si>
    <t>Хотел бы закончить начатую идею о поиске .</t>
  </si>
  <si>
    <t>file://conllu/ru/teddy-4467.conllu#s78_0</t>
  </si>
  <si>
    <t>79</t>
  </si>
  <si>
    <t>понимать (понимать хотеть)</t>
  </si>
  <si>
    <t>Мы изначально хотели , чтобы поиск понимал контекст пользователей и уже имеющуюся у них информацию .</t>
  </si>
  <si>
    <t>file://conllu/ru/teddy-4467.conllu#s79_0</t>
  </si>
  <si>
    <t>80</t>
  </si>
  <si>
    <t>подготовить</t>
  </si>
  <si>
    <t>Я подготовил видео , которое покажет , что мы обнаружили .</t>
  </si>
  <si>
    <t>file://conllu/ru/teddy-4467.conllu#s80_0</t>
  </si>
  <si>
    <t>81</t>
  </si>
  <si>
    <t>видео</t>
  </si>
  <si>
    <t>( Видео ) [ Сой , Кения ] Зак Матере : Недавно я посадил картофель .</t>
  </si>
  <si>
    <t>file://conllu/ru/teddy-4467.conllu#s81_0</t>
  </si>
  <si>
    <t>82</t>
  </si>
  <si>
    <t>Внезапно растения одно за другим начали погибать .</t>
  </si>
  <si>
    <t>file://conllu/ru/teddy-4467.conllu#s82_0</t>
  </si>
  <si>
    <t>83</t>
  </si>
  <si>
    <t>смотреть</t>
  </si>
  <si>
    <t>Я просмотрел кое-какие книги , но не нашёл ничего полезного .</t>
  </si>
  <si>
    <t>file://conllu/ru/teddy-4467.conllu#s83_0</t>
  </si>
  <si>
    <t>84</t>
  </si>
  <si>
    <t>поехать</t>
  </si>
  <si>
    <t>Поэтому я поехал и провёл поиск .</t>
  </si>
  <si>
    <t>file://conllu/ru/teddy-4467.conllu#s84_0</t>
  </si>
  <si>
    <t>85</t>
  </si>
  <si>
    <t>Матер</t>
  </si>
  <si>
    <t>[ Зак Матере , фермер ] Заболевания картофеля .</t>
  </si>
  <si>
    <t>file://conllu/ru/teddy-4467.conllu#s85_0</t>
  </si>
  <si>
    <t>86</t>
  </si>
  <si>
    <t>прочесть</t>
  </si>
  <si>
    <t>На одном из сайтов я прочитал , что муравьи могут быть причиной .</t>
  </si>
  <si>
    <t>file://conllu/ru/teddy-4467.conllu#s86_0</t>
  </si>
  <si>
    <t>87</t>
  </si>
  <si>
    <t>Там было сказано посыпать растения золой .</t>
  </si>
  <si>
    <t>file://conllu/ru/teddy-4467.conllu#s87_0</t>
  </si>
  <si>
    <t>88</t>
  </si>
  <si>
    <t>исчезнуть</t>
  </si>
  <si>
    <t>Через несколько дней муравьи исчезли .</t>
  </si>
  <si>
    <t>file://conllu/ru/teddy-4467.conllu#s88_0</t>
  </si>
  <si>
    <t>89</t>
  </si>
  <si>
    <t>обрадовать</t>
  </si>
  <si>
    <t>Интернет очень обрадовал меня .</t>
  </si>
  <si>
    <t>file://conllu/ru/teddy-4467.conllu#s89_0</t>
  </si>
  <si>
    <t>90</t>
  </si>
  <si>
    <t>У меня есть друг , который очень хочет расширить бизнес .</t>
  </si>
  <si>
    <t>file://conllu/ru/teddy-4467.conllu#s90_0</t>
  </si>
  <si>
    <t>91</t>
  </si>
  <si>
    <t>Вместе?</t>
  </si>
  <si>
    <t>пойти</t>
  </si>
  <si>
    <t>Мы вместе пошли в интернет- кафе и просмотрели несколько сайтов .</t>
  </si>
  <si>
    <t>file://conllu/ru/teddy-4467.conllu#s91_0</t>
  </si>
  <si>
    <t>92</t>
  </si>
  <si>
    <t>собираться</t>
  </si>
  <si>
    <t>Когда я в следующий раз увидел его , он собирался строить ветряную мельницу возле местной школы .</t>
  </si>
  <si>
    <t>file://conllu/ru/teddy-4467.conllu#s92_0</t>
  </si>
  <si>
    <t>93</t>
  </si>
  <si>
    <t>быть (быть гордый)</t>
  </si>
  <si>
    <t>Я был горд : нечто , чего у нас прежде не было , обрело жизнь .</t>
  </si>
  <si>
    <t>file://conllu/ru/teddy-4467.conllu#s93_0</t>
  </si>
  <si>
    <t>94</t>
  </si>
  <si>
    <t>осознать</t>
  </si>
  <si>
    <t>Я осознал , что не у всех есть доступ к ресурсам , которыми могу пользоваться я .</t>
  </si>
  <si>
    <t>file://conllu/ru/teddy-4467.conllu#s94_0</t>
  </si>
  <si>
    <t>95</t>
  </si>
  <si>
    <t>подумать</t>
  </si>
  <si>
    <t>Я подумал , неплохо было бы иметь Интернет , которым могла бы пользоваться и моя бабушка .</t>
  </si>
  <si>
    <t>file://conllu/ru/teddy-4467.conllu#s95_0</t>
  </si>
  <si>
    <t>96</t>
  </si>
  <si>
    <t>прийти</t>
  </si>
  <si>
    <t>И мне пришла в голову идея доски объявлений .</t>
  </si>
  <si>
    <t>file://conllu/ru/teddy-4467.conllu#s96_0</t>
  </si>
  <si>
    <t>97</t>
  </si>
  <si>
    <t>доска</t>
  </si>
  <si>
    <t>Обычная доска объявлений .</t>
  </si>
  <si>
    <t>file://conllu/ru/teddy-4467.conllu#s97_0</t>
  </si>
  <si>
    <t>98</t>
  </si>
  <si>
    <t>получать</t>
  </si>
  <si>
    <t>Я получаю информацию на телефоне и могу поделиться ею на доске .</t>
  </si>
  <si>
    <t>file://conllu/ru/teddy-4467.conllu#s98_0</t>
  </si>
  <si>
    <t>99</t>
  </si>
  <si>
    <t>Это как компьютер .</t>
  </si>
  <si>
    <t>file://conllu/ru/teddy-4467.conllu#s99_0</t>
  </si>
  <si>
    <t>100</t>
  </si>
  <si>
    <t>льзуться</t>
  </si>
  <si>
    <t>Я пользуюсь Интернетом , чтобы помогать людям .</t>
  </si>
  <si>
    <t>file://conllu/ru/teddy-4467.conllu#s100_0</t>
  </si>
  <si>
    <t>101</t>
  </si>
  <si>
    <t>искать</t>
  </si>
  <si>
    <t>Я ищу возможности для лучшей жизни для меня и моих соседей .</t>
  </si>
  <si>
    <t>file://conllu/ru/teddy-4467.conllu#s101_0</t>
  </si>
  <si>
    <t>102</t>
  </si>
  <si>
    <t>У многих есть доступ к информации , но они с ней ничего не делают .</t>
  </si>
  <si>
    <t>file://conllu/ru/teddy-4467.conllu#s102_0</t>
  </si>
  <si>
    <t>103</t>
  </si>
  <si>
    <t>должен</t>
  </si>
  <si>
    <t>Думаю , её результатом должны быть знания .</t>
  </si>
  <si>
    <t>file://conllu/ru/teddy-4467.conllu#s103_0</t>
  </si>
  <si>
    <t>104</t>
  </si>
  <si>
    <t>Когда у людей есть знания , они могут найти решения проблем без помощи других .</t>
  </si>
  <si>
    <t>file://conllu/ru/teddy-4467.conllu#s104_0</t>
  </si>
  <si>
    <t>105</t>
  </si>
  <si>
    <t>могущественный</t>
  </si>
  <si>
    <t>Информация могущественна , но именно то , как мы её используем , определит , кто мы есть на самом деле .</t>
  </si>
  <si>
    <t>file://conllu/ru/teddy-4467.conllu#s105_0</t>
  </si>
  <si>
    <t>106</t>
  </si>
  <si>
    <t>аплодисменты</t>
  </si>
  <si>
    <t>( Аплодисменты ) ЛП :</t>
  </si>
  <si>
    <t>file://conllu/ru/teddy-4467.conllu#s106_0</t>
  </si>
  <si>
    <t>107</t>
  </si>
  <si>
    <t>решить</t>
  </si>
  <si>
    <t>Удивительно здесь то , что мы прочитали об этом мужчине в новостях , решили найти его и снять видеоролик с его участием .</t>
  </si>
  <si>
    <t>file://conllu/ru/teddy-4467.conllu#s107_0</t>
  </si>
  <si>
    <t>108</t>
  </si>
  <si>
    <t>ЧР : Когда я разговариваю о тебе с людьми , с теми , кто тебя хорошо знает , они говорят мне : «Ларри хочет изменить мир и думает , что технология может указать , как этого добиться» .</t>
  </si>
  <si>
    <t>file://conllu/ru/teddy-4467.conllu#s108_0</t>
  </si>
  <si>
    <t>109</t>
  </si>
  <si>
    <t>Это означает?</t>
  </si>
  <si>
    <t>означать</t>
  </si>
  <si>
    <t>Это означает , что нужен доступ в Интернет , владение языками , нужно , чтобы люди могли делать то , что может положительно повлиять на их сообщество , и мы увидели один из таких примеров .</t>
  </si>
  <si>
    <t>file://conllu/ru/teddy-4467.conllu#s109_0</t>
  </si>
  <si>
    <t>110</t>
  </si>
  <si>
    <t>ЛП : Ты прав .</t>
  </si>
  <si>
    <t>file://conllu/ru/teddy-4467.conllu#s110_0</t>
  </si>
  <si>
    <t>111</t>
  </si>
  <si>
    <t>уделять</t>
  </si>
  <si>
    <t>Что касается меня , в последнее время я уделял много времени расширению доступа в Интернет .</t>
  </si>
  <si>
    <t>file://conllu/ru/teddy-4467.conllu#s111_0</t>
  </si>
  <si>
    <t>112</t>
  </si>
  <si>
    <t>хотеться</t>
  </si>
  <si>
    <t>Именно это мне бы хотелось видеть в будущем .</t>
  </si>
  <si>
    <t>file://conllu/ru/teddy-4467.conllu#s112_0</t>
  </si>
  <si>
    <t>113</t>
  </si>
  <si>
    <t>обнародовать</t>
  </si>
  <si>
    <t>Недавно мы обнародовали проект Loon Project , в котором для этого используются воздушные шары .</t>
  </si>
  <si>
    <t>file://conllu/ru/teddy-4467.conllu#s113_0</t>
  </si>
  <si>
    <t>114</t>
  </si>
  <si>
    <t>звучать</t>
  </si>
  <si>
    <t>Звучит безумно , не так ли ?</t>
  </si>
  <si>
    <t>file://conllu/ru/teddy-4467.conllu#s114_0</t>
  </si>
  <si>
    <t>115</t>
  </si>
  <si>
    <t>Посмотрите видео .</t>
  </si>
  <si>
    <t>file://conllu/ru/teddy-4467.conllu#s115_0</t>
  </si>
  <si>
    <t>116</t>
  </si>
  <si>
    <t>нет</t>
  </si>
  <si>
    <t>Сейчас у двоих из трёх людей в мире нет хорошего доступа в Интернет .</t>
  </si>
  <si>
    <t>file://conllu/ru/teddy-4467.conllu#s116_0</t>
  </si>
  <si>
    <t>117</t>
  </si>
  <si>
    <t>думать</t>
  </si>
  <si>
    <t>Мы думаем , что этот проект очень поможет людям и будет эффективен экономически .</t>
  </si>
  <si>
    <t>file://conllu/ru/teddy-4467.conllu#s117_0</t>
  </si>
  <si>
    <t>118</t>
  </si>
  <si>
    <t>ЧР : Это воздушный шар .</t>
  </si>
  <si>
    <t>file://conllu/ru/teddy-4467.conllu#s118_0</t>
  </si>
  <si>
    <t>119</t>
  </si>
  <si>
    <t>ЛП : Да , он даёт доступ в Интернет .</t>
  </si>
  <si>
    <t>file://conllu/ru/teddy-4467.conllu#s119_0</t>
  </si>
  <si>
    <t>120</t>
  </si>
  <si>
    <t>ЧР : И как он это делает ?</t>
  </si>
  <si>
    <t>file://conllu/ru/teddy-4467.conllu#s120_0</t>
  </si>
  <si>
    <t>121</t>
  </si>
  <si>
    <t>быть (быть должен)</t>
  </si>
  <si>
    <t>В процессе работы над шаром вы должны были решить ряд задач , чтобы всё действительно получилось , — шар не должен был быть привязанным .</t>
  </si>
  <si>
    <t>file://conllu/ru/teddy-4467.conllu#s121_0</t>
  </si>
  <si>
    <t>122</t>
  </si>
  <si>
    <t>ЛП : Да , и это хороший пример инновации .</t>
  </si>
  <si>
    <t>file://conllu/ru/teddy-4467.conllu#s122_0</t>
  </si>
  <si>
    <t>123</t>
  </si>
  <si>
    <t>обдумать</t>
  </si>
  <si>
    <t>Мы обдумывали этот проект на протяжении более пяти лет , прежде чем мы начали над ним работу .</t>
  </si>
  <si>
    <t>file://conllu/ru/teddy-4467.conllu#s123_0</t>
  </si>
  <si>
    <t>124</t>
  </si>
  <si>
    <t>Мы всё не могли понять , как получить дешёвый доступ в Интернет высоко в небе ?</t>
  </si>
  <si>
    <t>file://conllu/ru/teddy-4467.conllu#s124_0</t>
  </si>
  <si>
    <t>125</t>
  </si>
  <si>
    <t>возможный</t>
  </si>
  <si>
    <t>Обычно это возможно при помощи спутников , но их запуск занимает много времени .</t>
  </si>
  <si>
    <t>file://conllu/ru/teddy-4467.conllu#s125_0</t>
  </si>
  <si>
    <t>126</t>
  </si>
  <si>
    <t>Но только посмотрите , как легко и быстро запустить в небо воздушный шар .</t>
  </si>
  <si>
    <t>file://conllu/ru/teddy-4467.conllu#s126_0</t>
  </si>
  <si>
    <t>127</t>
  </si>
  <si>
    <t>Кстати , говоря о силе Интернета : я поискал информацию на эту тему и нашёл вот что : 30 40 лет назад кто-то запустил воздушный шар , который пролетел вокруг Земли несколько раз .</t>
  </si>
  <si>
    <t>file://conllu/ru/teddy-4467.conllu#s127_0</t>
  </si>
  <si>
    <t>128</t>
  </si>
  <si>
    <t>И я подумал : почему бы нам не сделать это сегодня ?</t>
  </si>
  <si>
    <t>file://conllu/ru/teddy-4467.conllu#s128_0</t>
  </si>
  <si>
    <t>129</t>
  </si>
  <si>
    <t>рождаться</t>
  </si>
  <si>
    <t>И вот как родился этот проект .</t>
  </si>
  <si>
    <t>file://conllu/ru/teddy-4467.conllu#s129_0</t>
  </si>
  <si>
    <t>130</t>
  </si>
  <si>
    <t>ЧР : Помогает ли вам ветер ?</t>
  </si>
  <si>
    <t>file://conllu/ru/teddy-4467.conllu#s130_0</t>
  </si>
  <si>
    <t>131</t>
  </si>
  <si>
    <t>ЛП : Да , но мы должны были симулировать некоторые погодные условия , что до нас никто не делал .</t>
  </si>
  <si>
    <t>file://conllu/ru/teddy-4467.conllu#s131_0</t>
  </si>
  <si>
    <t>132</t>
  </si>
  <si>
    <t>можно</t>
  </si>
  <si>
    <t>Можно контролировать высоту полёта шара , регулируя подачу воздуха или применяя другие способы .</t>
  </si>
  <si>
    <t>file://conllu/ru/teddy-4467.conllu#s132_0</t>
  </si>
  <si>
    <t>133</t>
  </si>
  <si>
    <t>Так можно приблизительно контролировать , куда он движется .</t>
  </si>
  <si>
    <t>file://conllu/ru/teddy-4467.conllu#s133_0</t>
  </si>
  <si>
    <t>134</t>
  </si>
  <si>
    <t>Думаю , нам под силу создать всемирный парк таких шаров , который смог бы покрыть Интернетом всю планету .</t>
  </si>
  <si>
    <t>file://conllu/ru/teddy-4467.conllu#s134_0</t>
  </si>
  <si>
    <t>135</t>
  </si>
  <si>
    <t>file://conllu/ru/teddy-4467.conllu#s135_0</t>
  </si>
  <si>
    <t>136</t>
  </si>
  <si>
    <t>дсеть</t>
  </si>
  <si>
    <t>Прежде чем мы поговорим о будущем и транспорте — ты в последнее время просто подсел на сферу транспорта , перевозок , беспилотных автомобилей и велосипедов — позволь мне вернуться к тому , о чём здесь недавно говорил Эдвард Сноуден .</t>
  </si>
  <si>
    <t>file://conllu/ru/teddy-4467.conllu#s136_0</t>
  </si>
  <si>
    <t>137</t>
  </si>
  <si>
    <t>Вопросы безопасности и охраны личных данных .</t>
  </si>
  <si>
    <t>file://conllu/ru/teddy-4467.conllu#s137_0</t>
  </si>
  <si>
    <t>138</t>
  </si>
  <si>
    <t>задумываться</t>
  </si>
  <si>
    <t>Ты точно об этом задумывался .</t>
  </si>
  <si>
    <t>file://conllu/ru/teddy-4467.conllu#s138_0</t>
  </si>
  <si>
    <t>139</t>
  </si>
  <si>
    <t>ЛП : Да , конечно .</t>
  </si>
  <si>
    <t>file://conllu/ru/teddy-4467.conllu#s139_0</t>
  </si>
  <si>
    <t>140</t>
  </si>
  <si>
    <t>Я вчера видел фотографию Сергея с Эдвардом Сноуденом .</t>
  </si>
  <si>
    <t>file://conllu/ru/teddy-4467.conllu#s140_0</t>
  </si>
  <si>
    <t>141</t>
  </si>
  <si>
    <t>Некоторые из вас тоже её видели .</t>
  </si>
  <si>
    <t>file://conllu/ru/teddy-4467.conllu#s141_0</t>
  </si>
  <si>
    <t>142</t>
  </si>
  <si>
    <t>важный</t>
  </si>
  <si>
    <t>Лично для меня охрана личных данных и их безопасность очень важны .</t>
  </si>
  <si>
    <t>file://conllu/ru/teddy-4467.conllu#s142_0</t>
  </si>
  <si>
    <t>143</t>
  </si>
  <si>
    <t>думать (думать рассматривать)</t>
  </si>
  <si>
    <t>Мы рассматриваем их как две разные вещи , но я думаю , у нас не может быть одного без другого .</t>
  </si>
  <si>
    <t>file://conllu/ru/teddy-4467.conllu#s143_0</t>
  </si>
  <si>
    <t>144</t>
  </si>
  <si>
    <t>Сначала о безопасности , поскольку мы говорим о Сноудене , а затем я скажу кое-что об охране данных .</t>
  </si>
  <si>
    <t>file://conllu/ru/teddy-4467.conllu#s144_0</t>
  </si>
  <si>
    <t>145</t>
  </si>
  <si>
    <t>считать</t>
  </si>
  <si>
    <t>Я считаю вопиющим тот факт , что правительство в тайне от нас сделало то , что сделало .</t>
  </si>
  <si>
    <t>file://conllu/ru/teddy-4467.conllu#s145_0</t>
  </si>
  <si>
    <t>146</t>
  </si>
  <si>
    <t>Не думаю , что мы можем говорить о демократии , если мы должны защищать себя и пользователей от правительства , которое совершает ни с кем не оговорённые поступки .</t>
  </si>
  <si>
    <t>file://conllu/ru/teddy-4467.conllu#s146_0</t>
  </si>
  <si>
    <t>147</t>
  </si>
  <si>
    <t>Я не говорю , что мы должны точно знать , от какой именно террористической атаки они защищают нас в этот раз .</t>
  </si>
  <si>
    <t>file://conllu/ru/teddy-4467.conllu#s147_0</t>
  </si>
  <si>
    <t>148</t>
  </si>
  <si>
    <t>Но мы должны знать масштаб того , что они предпринимают , какой именно надзор они осуществляют , как и почему .</t>
  </si>
  <si>
    <t>file://conllu/ru/teddy-4467.conllu#s148_0</t>
  </si>
  <si>
    <t>149</t>
  </si>
  <si>
    <t>сказать (сказать думать)</t>
  </si>
  <si>
    <t>Не думаю , что нам было об этом сказано .</t>
  </si>
  <si>
    <t>file://conllu/ru/teddy-4467.conllu#s149_0</t>
  </si>
  <si>
    <t>150</t>
  </si>
  <si>
    <t>Я считаю , что правительство показало себя с очень плохой стороны , совершив все эти действия в тайне от нас .</t>
  </si>
  <si>
    <t>file://conllu/ru/teddy-4467.conllu#s150_0</t>
  </si>
  <si>
    <t>151</t>
  </si>
  <si>
    <t>ЧР : Они точно не спросили у Google , как поступить .</t>
  </si>
  <si>
    <t>file://conllu/ru/teddy-4467.conllu#s151_0</t>
  </si>
  <si>
    <t>152</t>
  </si>
  <si>
    <t>ЛП : Они должны были спросить не у Google , а у людей ; нам нужно публичное обсуждение , иначе демократия не может существовать .</t>
  </si>
  <si>
    <t>file://conllu/ru/teddy-4467.conllu#s152_0</t>
  </si>
  <si>
    <t>153</t>
  </si>
  <si>
    <t>невозможный</t>
  </si>
  <si>
    <t>Иначе это просто невозможно .</t>
  </si>
  <si>
    <t>file://conllu/ru/teddy-4467.conllu#s153_0</t>
  </si>
  <si>
    <t>154</t>
  </si>
  <si>
    <t>жаль</t>
  </si>
  <si>
    <t>Поэтому мне жаль , что Google вынужден защищать вас и наших пользователей от секретных действий правительства , о которых никто не имеет никакого понятия .</t>
  </si>
  <si>
    <t>file://conllu/ru/teddy-4467.conllu#s154_0</t>
  </si>
  <si>
    <t>155</t>
  </si>
  <si>
    <t>абсурдный</t>
  </si>
  <si>
    <t>Это просто абсурдно .</t>
  </si>
  <si>
    <t>file://conllu/ru/teddy-4467.conllu#s155_0</t>
  </si>
  <si>
    <t>156</t>
  </si>
  <si>
    <t>ЧР : Да .</t>
  </si>
  <si>
    <t>file://conllu/ru/teddy-4467.conllu#s156_0</t>
  </si>
  <si>
    <t>157</t>
  </si>
  <si>
    <t>Но есть ещё и охрана персональных данных .</t>
  </si>
  <si>
    <t>file://conllu/ru/teddy-4467.conllu#s157_0</t>
  </si>
  <si>
    <t>158</t>
  </si>
  <si>
    <t>file://conllu/ru/teddy-4467.conllu#s158_0</t>
  </si>
  <si>
    <t>159</t>
  </si>
  <si>
    <t>охрана</t>
  </si>
  <si>
    <t>Охрана персональных данных .</t>
  </si>
  <si>
    <t>file://conllu/ru/teddy-4467.conllu#s159_0</t>
  </si>
  <si>
    <t>160</t>
  </si>
  <si>
    <t>меняться</t>
  </si>
  <si>
    <t>Думаю , мир меняется .</t>
  </si>
  <si>
    <t>file://conllu/ru/teddy-4467.conllu#s160_0</t>
  </si>
  <si>
    <t>161</t>
  </si>
  <si>
    <t>телефон</t>
  </si>
  <si>
    <t>У тебя с собой сотовый телефон , и можно определить , где ты .</t>
  </si>
  <si>
    <t>file://conllu/ru/teddy-4467.conllu#s161_0</t>
  </si>
  <si>
    <t>162</t>
  </si>
  <si>
    <t>известный</t>
  </si>
  <si>
    <t>О тебе известно ещё больше информации , и это важно , поэтому понятно , почему люди задают сложные вопросы .</t>
  </si>
  <si>
    <t>file://conllu/ru/teddy-4467.conllu#s162_0</t>
  </si>
  <si>
    <t>163</t>
  </si>
  <si>
    <t>Мы много над этим работаем , пытаясь понять какие у нас проблемы .</t>
  </si>
  <si>
    <t>file://conllu/ru/teddy-4467.conllu#s163_0</t>
  </si>
  <si>
    <t>164</t>
  </si>
  <si>
    <t>Думаю , самое главное , что мы можем сделать , — дать людям выбор , показать им , какая информация собирается : история поиска , местонахождение .</t>
  </si>
  <si>
    <t>file://conllu/ru/teddy-4467.conllu#s164_0</t>
  </si>
  <si>
    <t>165</t>
  </si>
  <si>
    <t>нравиться</t>
  </si>
  <si>
    <t>Нам нравится режим инкогнито в браузере Chrome .</t>
  </si>
  <si>
    <t>file://conllu/ru/teddy-4467.conllu#s165_0</t>
  </si>
  <si>
    <t>166</t>
  </si>
  <si>
    <t>дать</t>
  </si>
  <si>
    <t>Похожие шаги в других направлениях дадут людям больше выбора и осведомят о том , что происходит .</t>
  </si>
  <si>
    <t>file://conllu/ru/teddy-4467.conllu#s166_0</t>
  </si>
  <si>
    <t>167</t>
  </si>
  <si>
    <t>Думаю , это сделать довольно просто .</t>
  </si>
  <si>
    <t>file://conllu/ru/teddy-4467.conllu#s167_0</t>
  </si>
  <si>
    <t>168</t>
  </si>
  <si>
    <t>бояться</t>
  </si>
  <si>
    <t>Но я боюсь , что мы можем потерять суть , отбрасывая детали .</t>
  </si>
  <si>
    <t>file://conllu/ru/teddy-4467.conllu#s168_0</t>
  </si>
  <si>
    <t>169</t>
  </si>
  <si>
    <t>терять</t>
  </si>
  <si>
    <t>Кстати , я потерял голос именно на твоём шоу , и он ко мне так и не вернулся .</t>
  </si>
  <si>
    <t>file://conllu/ru/teddy-4467.conllu#s169_0</t>
  </si>
  <si>
    <t>170</t>
  </si>
  <si>
    <t>Я надеюсь , что снова разговаривая с тобой , я смогу заполучить его назад .</t>
  </si>
  <si>
    <t>file://conllu/ru/teddy-4467.conllu#s170_0</t>
  </si>
  <si>
    <t>171</t>
  </si>
  <si>
    <t>file://conllu/ru/teddy-4467.conllu#s171_0</t>
  </si>
  <si>
    <t>172</t>
  </si>
  <si>
    <t>Я бы сделал всё возможное , чтобы это произошло .</t>
  </si>
  <si>
    <t>file://conllu/ru/teddy-4467.conllu#s172_0</t>
  </si>
  <si>
    <t>173</t>
  </si>
  <si>
    <t>ЛП : Ну хорошо , доставай свою куклу вуду , или что ты там обычно делаешь .</t>
  </si>
  <si>
    <t>file://conllu/ru/teddy-4467.conllu#s173_0</t>
  </si>
  <si>
    <t>174</t>
  </si>
  <si>
    <t>думать (думать знать)</t>
  </si>
  <si>
    <t>Знаешь , что я думаю ?</t>
  </si>
  <si>
    <t>file://conllu/ru/teddy-4467.conllu#s174_0</t>
  </si>
  <si>
    <t>175</t>
  </si>
  <si>
    <t>заявить</t>
  </si>
  <si>
    <t>Я открыто заявил о своей проблеме , нашёл много информации .</t>
  </si>
  <si>
    <t>file://conllu/ru/teddy-4467.conllu#s175_0</t>
  </si>
  <si>
    <t>176</t>
  </si>
  <si>
    <t>провести</t>
  </si>
  <si>
    <t>Мы провели обследование людей с похожей проблемой .</t>
  </si>
  <si>
    <t>file://conllu/ru/teddy-4467.conllu#s176_0</t>
  </si>
  <si>
    <t>177</t>
  </si>
  <si>
    <t>И когда я посмотрел на результаты , я подумал : как бы было замечательно , если бы медицинская документация анонимно была доступна врачам исследователям .</t>
  </si>
  <si>
    <t>file://conllu/ru/teddy-4467.conllu#s177_0</t>
  </si>
  <si>
    <t>178</t>
  </si>
  <si>
    <t>Когда врач исследователь просматривает твою медицинскую документацию , ты можешь видеть , что это за доктор и для чего ему это , и , возможно , тебе станет более понятно твоё медицинское заключение .</t>
  </si>
  <si>
    <t>file://conllu/ru/teddy-4467.conllu#s178_0</t>
  </si>
  <si>
    <t>179</t>
  </si>
  <si>
    <t>Думаю , это дало бы нам возможность спасать 100 000 жизней каждый год .</t>
  </si>
  <si>
    <t>file://conllu/ru/teddy-4467.conllu#s179_0</t>
  </si>
  <si>
    <t>180</t>
  </si>
  <si>
    <t>ЧР : Конечно .</t>
  </si>
  <si>
    <t>file://conllu/ru/teddy-4467.conllu#s180_0</t>
  </si>
  <si>
    <t>181</t>
  </si>
  <si>
    <t>ЛП</t>
  </si>
  <si>
    <t>Позволь мне продолжить — ЛП :</t>
  </si>
  <si>
    <t>file://conllu/ru/teddy-4467.conllu#s181_0</t>
  </si>
  <si>
    <t>182</t>
  </si>
  <si>
    <t>Я только боюсь , что мы поступаем с охраной личных данных в Интернете так же , как с медицинской документацией — отбрасываем как плохое , так и хорошее .</t>
  </si>
  <si>
    <t>file://conllu/ru/teddy-4467.conllu#s182_0</t>
  </si>
  <si>
    <t>183</t>
  </si>
  <si>
    <t>упускать</t>
  </si>
  <si>
    <t>Заботясь о деталях , мы упускаем огромное благо , которое мы могли бы получить от людей , делящихся информацией с нужными людьми в нужный момент .</t>
  </si>
  <si>
    <t>file://conllu/ru/teddy-4467.conllu#s183_0</t>
  </si>
  <si>
    <t>184</t>
  </si>
  <si>
    <t>file://conllu/ru/teddy-4467.conllu#s184_0</t>
  </si>
  <si>
    <t>185</t>
  </si>
  <si>
    <t>Очень важно , чтобы люди были уверены : их информацией не будут злоупотреблять .</t>
  </si>
  <si>
    <t>file://conllu/ru/teddy-4467.conllu#s185_0</t>
  </si>
  <si>
    <t>186</t>
  </si>
  <si>
    <t>ЛП : У меня было то же опасение , когда я узнал о проблеме с голосом .</t>
  </si>
  <si>
    <t>file://conllu/ru/teddy-4467.conllu#s186_0</t>
  </si>
  <si>
    <t>187</t>
  </si>
  <si>
    <t>Я боялся поделиться информацией .</t>
  </si>
  <si>
    <t>file://conllu/ru/teddy-4467.conllu#s187_0</t>
  </si>
  <si>
    <t>188</t>
  </si>
  <si>
    <t>подбадривать</t>
  </si>
  <si>
    <t>Сергей подбадривал меня , я ему очень за это благодарен .</t>
  </si>
  <si>
    <t>file://conllu/ru/teddy-4467.conllu#s188_0</t>
  </si>
  <si>
    <t>189</t>
  </si>
  <si>
    <t>file://conllu/ru/teddy-4467.conllu#s189_0</t>
  </si>
  <si>
    <t>190</t>
  </si>
  <si>
    <t>ошеломлять</t>
  </si>
  <si>
    <t>И результаты были ошеломляющими .</t>
  </si>
  <si>
    <t>file://conllu/ru/teddy-4467.conllu#s190_0</t>
  </si>
  <si>
    <t>191</t>
  </si>
  <si>
    <t>ЛП : Да , люди очень поддержали меня .</t>
  </si>
  <si>
    <t>file://conllu/ru/teddy-4467.conllu#s191_0</t>
  </si>
  <si>
    <t>192</t>
  </si>
  <si>
    <t>связать</t>
  </si>
  <si>
    <t>С нами связались тысячи людей с похожей проблемой , которая на сегодняшний день практически не изучена .</t>
  </si>
  <si>
    <t>file://conllu/ru/teddy-4467.conllu#s192_0</t>
  </si>
  <si>
    <t>193</t>
  </si>
  <si>
    <t>быть (быть замечательный)</t>
  </si>
  <si>
    <t>Это было замечательно .</t>
  </si>
  <si>
    <t>file://conllu/ru/teddy-4467.conllu#s193_0</t>
  </si>
  <si>
    <t>194</t>
  </si>
  <si>
    <t>ЧР : Давай поговорим о будущем .</t>
  </si>
  <si>
    <t>file://conllu/ru/teddy-4467.conllu#s194_0</t>
  </si>
  <si>
    <t>195</t>
  </si>
  <si>
    <t>рассказать</t>
  </si>
  <si>
    <t>Расскажи , чем вы занимаетесь в рамках транспортной системы ?</t>
  </si>
  <si>
    <t>file://conllu/ru/teddy-4467.conllu#s195_0</t>
  </si>
  <si>
    <t>196</t>
  </si>
  <si>
    <t>ЛП : Думаю , этот вопрос мучил меня , ещё когда я учился в колледже в Мичигане .</t>
  </si>
  <si>
    <t>file://conllu/ru/teddy-4467.conllu#s196_0</t>
  </si>
  <si>
    <t>197</t>
  </si>
  <si>
    <t>Я должен был добираться на автобусе и долго его ждать .</t>
  </si>
  <si>
    <t>file://conllu/ru/teddy-4467.conllu#s197_0</t>
  </si>
  <si>
    <t>198</t>
  </si>
  <si>
    <t>быть (быть холодно)</t>
  </si>
  <si>
    <t>Было очень холодно и снежно .</t>
  </si>
  <si>
    <t>file://conllu/ru/teddy-4467.conllu#s198_0</t>
  </si>
  <si>
    <t>199</t>
  </si>
  <si>
    <t>Я провёл исследование , во сколько вся эта система обходится , и именно тогда очень сильно увлёкся системами транспортировки .</t>
  </si>
  <si>
    <t>file://conllu/ru/teddy-4467.conllu#s199_0</t>
  </si>
  <si>
    <t>200</t>
  </si>
  <si>
    <t>file://conllu/ru/teddy-4467.conllu#s200_0</t>
  </si>
  <si>
    <t>201</t>
  </si>
  <si>
    <t>И так родилась идея беспилотного автомобиля .</t>
  </si>
  <si>
    <t>file://conllu/ru/teddy-4467.conllu#s201_0</t>
  </si>
  <si>
    <t>202</t>
  </si>
  <si>
    <t>file://conllu/ru/teddy-4467.conllu#s202_0</t>
  </si>
  <si>
    <t>203</t>
  </si>
  <si>
    <t>узнать</t>
  </si>
  <si>
    <t>Около 18 лет назад я узнал о людях , работающих на таких машинах , и меня это очаровало .</t>
  </si>
  <si>
    <t>file://conllu/ru/teddy-4467.conllu#s203_0</t>
  </si>
  <si>
    <t>204</t>
  </si>
  <si>
    <t>нужный</t>
  </si>
  <si>
    <t>Нужно много времени , прежде чем подобный проект воплотится в жизнь , но я рад , что с его помощью у нас есть возможность улучшить нашу планету .</t>
  </si>
  <si>
    <t>file://conllu/ru/teddy-4467.conllu#s204_0</t>
  </si>
  <si>
    <t>205</t>
  </si>
  <si>
    <t>Каждый год увечья получают более 20 млн человек .</t>
  </si>
  <si>
    <t>file://conllu/ru/teddy-4467.conllu#s205_0</t>
  </si>
  <si>
    <t>206</t>
  </si>
  <si>
    <t>причина</t>
  </si>
  <si>
    <t>Это самая распространённая причина смерти среди людей моложе 34 лет в США .</t>
  </si>
  <si>
    <t>file://conllu/ru/teddy-4467.conllu#s206_0</t>
  </si>
  <si>
    <t>207</t>
  </si>
  <si>
    <t>ЧР : Ты говоришь о спасении жизней .</t>
  </si>
  <si>
    <t>file://conllu/ru/teddy-4467.conllu#s207_0</t>
  </si>
  <si>
    <t>208</t>
  </si>
  <si>
    <t>ЛП : Да , а также об экономии пространства и улучшении жизни .</t>
  </si>
  <si>
    <t>file://conllu/ru/teddy-4467.conllu#s208_0</t>
  </si>
  <si>
    <t>209</t>
  </si>
  <si>
    <t>заполнить</t>
  </si>
  <si>
    <t>Лос -Анджелес наполовину заполнен парковками и дорогами , наполовину !</t>
  </si>
  <si>
    <t>file://conllu/ru/teddy-4467.conllu#s209_0</t>
  </si>
  <si>
    <t>210</t>
  </si>
  <si>
    <t>И большинство городов далеко не лучше .</t>
  </si>
  <si>
    <t>file://conllu/ru/teddy-4467.conllu#s210_0</t>
  </si>
  <si>
    <t>211</t>
  </si>
  <si>
    <t>немыслимый</t>
  </si>
  <si>
    <t>Немыслимо , что мы используем пространство именно для этого .</t>
  </si>
  <si>
    <t>file://conllu/ru/teddy-4467.conllu#s211_0</t>
  </si>
  <si>
    <t>212</t>
  </si>
  <si>
    <t>file://conllu/ru/teddy-4467.conllu#s212_0</t>
  </si>
  <si>
    <t>213</t>
  </si>
  <si>
    <t>Как скоро мы сможем изменить ситуацию ?</t>
  </si>
  <si>
    <t>file://conllu/ru/teddy-4467.conllu#s213_0</t>
  </si>
  <si>
    <t>214</t>
  </si>
  <si>
    <t>ЛП : Думаю , очень очень скоро .</t>
  </si>
  <si>
    <t>file://conllu/ru/teddy-4467.conllu#s214_0</t>
  </si>
  <si>
    <t>215</t>
  </si>
  <si>
    <t>ехать</t>
  </si>
  <si>
    <t>Мы уже проехали более 160 000 км на полностью беспилотной машине .</t>
  </si>
  <si>
    <t>file://conllu/ru/teddy-4467.conllu#s215_0</t>
  </si>
  <si>
    <t>216</t>
  </si>
  <si>
    <t>Не могу дождаться момента , когда мы представим этот проект публике .</t>
  </si>
  <si>
    <t>file://conllu/ru/teddy-4467.conllu#s216_0</t>
  </si>
  <si>
    <t>217</t>
  </si>
  <si>
    <t>ЧР : Но ты говоришь не только о беспилотных автомобилях , но также о беспилотных велосипедах .</t>
  </si>
  <si>
    <t>file://conllu/ru/teddy-4467.conllu#s217_0</t>
  </si>
  <si>
    <t>218</t>
  </si>
  <si>
    <t>ЛП :</t>
  </si>
  <si>
    <t>file://conllu/ru/teddy-4467.conllu#s218_0</t>
  </si>
  <si>
    <t>219</t>
  </si>
  <si>
    <t>появиться</t>
  </si>
  <si>
    <t>У нас в Google появилась идея : у каждого должен быть доступ к велосипеду .</t>
  </si>
  <si>
    <t>file://conllu/ru/teddy-4467.conllu#s219_0</t>
  </si>
  <si>
    <t>220</t>
  </si>
  <si>
    <t>сработать</t>
  </si>
  <si>
    <t>И идея сработала во многих местах .</t>
  </si>
  <si>
    <t>file://conllu/ru/teddy-4467.conllu#s220_0</t>
  </si>
  <si>
    <t>221</t>
  </si>
  <si>
    <t>Потому?</t>
  </si>
  <si>
    <t>изнашиваться</t>
  </si>
  <si>
    <t>Ты видишь , велосипеды повсюду , они изнашиваются , потому что люди используют их 24 часа в сутки .</t>
  </si>
  <si>
    <t>file://conllu/ru/teddy-4467.conllu#s221_0</t>
  </si>
  <si>
    <t>222</t>
  </si>
  <si>
    <t>ЧР : Вы хотите также оторвать их от земли .</t>
  </si>
  <si>
    <t>file://conllu/ru/teddy-4467.conllu#s222_0</t>
  </si>
  <si>
    <t>223</t>
  </si>
  <si>
    <t>ЛП : Я подумал : как можно заставить людей чаще использовать велосипед ?</t>
  </si>
  <si>
    <t>file://conllu/ru/teddy-4467.conllu#s223_0</t>
  </si>
  <si>
    <t>224</t>
  </si>
  <si>
    <t>ЧР : У нас есть видео .</t>
  </si>
  <si>
    <t>file://conllu/ru/teddy-4467.conllu#s224_0</t>
  </si>
  <si>
    <t>225</t>
  </si>
  <si>
    <t>ЛП : Да , давай покажем видео .</t>
  </si>
  <si>
    <t>file://conllu/ru/teddy-4467.conllu#s225_0</t>
  </si>
  <si>
    <t>226</t>
  </si>
  <si>
    <t>Мне это безумно нравится .</t>
  </si>
  <si>
    <t>file://conllu/ru/teddy-4467.conllu#s226_0</t>
  </si>
  <si>
    <t>227</t>
  </si>
  <si>
    <t>( Музыка ) Вот как можно отделить велосипеды от автомобилей при минимальных расходах .</t>
  </si>
  <si>
    <t>file://conllu/ru/teddy-4467.conllu#s227_0</t>
  </si>
  <si>
    <t>228</t>
  </si>
  <si>
    <t>размышлять (размышлять казаться)</t>
  </si>
  <si>
    <t>Кажется невероятным , но я как раз размышлял о наших университетских городках .</t>
  </si>
  <si>
    <t>file://conllu/ru/teddy-4467.conllu#s228_0</t>
  </si>
  <si>
    <t>229</t>
  </si>
  <si>
    <t>Мы работаем с городскими управлениями , пытаясь увеличить количество велосипедов в городах .</t>
  </si>
  <si>
    <t>file://conllu/ru/teddy-4467.conllu#s229_0</t>
  </si>
  <si>
    <t>230</t>
  </si>
  <si>
    <t>Я подумал : как можно при наименьших затратах отделить велосипеды от потока машин ?</t>
  </si>
  <si>
    <t>file://conllu/ru/teddy-4467.conllu#s230_0</t>
  </si>
  <si>
    <t>231</t>
  </si>
  <si>
    <t>Я поискал и нашёл вот это .</t>
  </si>
  <si>
    <t>file://conllu/ru/teddy-4467.conllu#s231_0</t>
  </si>
  <si>
    <t>232</t>
  </si>
  <si>
    <t>Мы на самом деле над этим не работаем , именно над этой идеей , но она захватывает воображение .</t>
  </si>
  <si>
    <t>file://conllu/ru/teddy-4467.conllu#s232_0</t>
  </si>
  <si>
    <t>233</t>
  </si>
  <si>
    <t>ЧР : Давай закончим на следующем .</t>
  </si>
  <si>
    <t>file://conllu/ru/teddy-4467.conllu#s233_0</t>
  </si>
  <si>
    <t>234</t>
  </si>
  <si>
    <t>Дай мне представление о твоей жизненной философии .</t>
  </si>
  <si>
    <t>file://conllu/ru/teddy-4467.conllu#s234_0</t>
  </si>
  <si>
    <t>235</t>
  </si>
  <si>
    <t>У вас есть подразделение Google X , и вы не хотите заниматься обычными проектами с посредственными результатами .</t>
  </si>
  <si>
    <t>file://conllu/ru/teddy-4467.conllu#s235_0</t>
  </si>
  <si>
    <t>236</t>
  </si>
  <si>
    <t>ЛП : Да , думаю , что большинство идей , о которых мы поговорили , совсем другие , они масштабные .</t>
  </si>
  <si>
    <t>file://conllu/ru/teddy-4467.conllu#s236_0</t>
  </si>
  <si>
    <t>237</t>
  </si>
  <si>
    <t>упомянуть</t>
  </si>
  <si>
    <t>Я бы даже упомянул принцип дополнительности : мы разрабатываем что-то , что не было бы возможным , если бы мы это не разрабатывали .</t>
  </si>
  <si>
    <t>file://conllu/ru/teddy-4467.conllu#s237_0</t>
  </si>
  <si>
    <t>238</t>
  </si>
  <si>
    <t>заниматься</t>
  </si>
  <si>
    <t>Чем больше мы занимаемся такими проектами , тем важнее их результат .</t>
  </si>
  <si>
    <t>file://conllu/ru/teddy-4467.conllu#s238_0</t>
  </si>
  <si>
    <t>239</t>
  </si>
  <si>
    <t>Мы хотим делать то , что до сегодняшнего дня казалось невозможным .</t>
  </si>
  <si>
    <t>file://conllu/ru/teddy-4467.conllu#s239_0</t>
  </si>
  <si>
    <t>240</t>
  </si>
  <si>
    <t>изумительно</t>
  </si>
  <si>
    <t>Это изумительно , чем больше я узнаю о технологии , тем чаще я осознаю , что я о ней ничего не знаю .</t>
  </si>
  <si>
    <t>file://conllu/ru/teddy-4467.conllu#s240_0</t>
  </si>
  <si>
    <t>241</t>
  </si>
  <si>
    <t>горизонт</t>
  </si>
  <si>
    <t>Тот технологический горизонт , та вещь , которую можно сделать следующей , — чем больше ты узнаёшь о технологии , тем больше понимаешь , что ещё можно создавать .</t>
  </si>
  <si>
    <t>file://conllu/ru/teddy-4467.conllu#s241_0</t>
  </si>
  <si>
    <t>242</t>
  </si>
  <si>
    <t>осознаёть</t>
  </si>
  <si>
    <t>Ты осознаёшь , что использование воздушных шаров возможно только благодаря специальному материалу , из которых они сделаны .</t>
  </si>
  <si>
    <t>file://conllu/ru/teddy-4467.conllu#s242_0</t>
  </si>
  <si>
    <t>243</t>
  </si>
  <si>
    <t>file://conllu/ru/teddy-4467.conllu#s243_0</t>
  </si>
  <si>
    <t>244</t>
  </si>
  <si>
    <t>интересный</t>
  </si>
  <si>
    <t>В тебе мне интересен тот аспект , что — к нам приходит много людей , думающих о будущем , они приходят и уходят , и мы никогда не видим практическую реализацию идей .</t>
  </si>
  <si>
    <t>file://conllu/ru/teddy-4467.conllu#s244_0</t>
  </si>
  <si>
    <t>245</t>
  </si>
  <si>
    <t>Я думаю об одном человеке , которого ты точно знаешь и о котором читал — Тесла .</t>
  </si>
  <si>
    <t>file://conllu/ru/teddy-4467.conllu#s245_0</t>
  </si>
  <si>
    <t>246</t>
  </si>
  <si>
    <t>заимствовать</t>
  </si>
  <si>
    <t>Что бы ты у него позаимствовал ?</t>
  </si>
  <si>
    <t>file://conllu/ru/teddy-4467.conllu#s246_0</t>
  </si>
  <si>
    <t>247</t>
  </si>
  <si>
    <t>ЛП : Думаю , недостаточно просто изобрести что-либо .</t>
  </si>
  <si>
    <t>file://conllu/ru/teddy-4467.conllu#s247_0</t>
  </si>
  <si>
    <t>248</t>
  </si>
  <si>
    <t>Если ты что-либо изобретаешь — Тесла дал нам электричество в том виде , в котором мы сегодня его используем , но ему было трудно передать его людям .</t>
  </si>
  <si>
    <t>file://conllu/ru/teddy-4467.conllu#s248_0</t>
  </si>
  <si>
    <t>249</t>
  </si>
  <si>
    <t>Другие должны были это сделать .</t>
  </si>
  <si>
    <t>file://conllu/ru/teddy-4467.conllu#s249_0</t>
  </si>
  <si>
    <t>250</t>
  </si>
  <si>
    <t>понадобиться</t>
  </si>
  <si>
    <t>Понадобилось время .</t>
  </si>
  <si>
    <t>file://conllu/ru/teddy-4467.conllu#s250_0</t>
  </si>
  <si>
    <t>251</t>
  </si>
  <si>
    <t>Думаю , если нам удастся соединить эти две вещи — инновации , изобретения и способность какой-либо компании поставить продукт на коммерческую ногу — мы могли бы передать инновации людям , что повлияло бы положительно на мир и дало бы людям надежду .</t>
  </si>
  <si>
    <t>file://conllu/ru/teddy-4467.conllu#s251_0</t>
  </si>
  <si>
    <t>252</t>
  </si>
  <si>
    <t>изумлёть</t>
  </si>
  <si>
    <t>Я изумлён проектом Loon Project точно так же , как и другие люди , потому что он дал надежду на лучшее двум третьим нашей планеты , не имеющим доступа в Интернет .</t>
  </si>
  <si>
    <t>file://conllu/ru/teddy-4467.conllu#s252_0</t>
  </si>
  <si>
    <t>253</t>
  </si>
  <si>
    <t>file://conllu/ru/teddy-4467.conllu#s253_0</t>
  </si>
  <si>
    <t>254</t>
  </si>
  <si>
    <t>подводить</t>
  </si>
  <si>
    <t>Что подводит нас к вопросу о корпорациях .</t>
  </si>
  <si>
    <t>file://conllu/ru/teddy-4467.conllu#s254_0</t>
  </si>
  <si>
    <t>255</t>
  </si>
  <si>
    <t>Ты один из тех , кто убеждён , что корпорации могут привнести положительные перемены , если ими как следует управляют .</t>
  </si>
  <si>
    <t>file://conllu/ru/teddy-4467.conllu#s255_0</t>
  </si>
  <si>
    <t>256</t>
  </si>
  <si>
    <t>ЛП : Да , меня тревожит тот факт , что большинство людей считают крупные компании воплощением зла .</t>
  </si>
  <si>
    <t>file://conllu/ru/teddy-4467.conllu#s256_0</t>
  </si>
  <si>
    <t>257</t>
  </si>
  <si>
    <t>они</t>
  </si>
  <si>
    <t>У них плохая репутация .</t>
  </si>
  <si>
    <t>file://conllu/ru/teddy-4467.conllu#s257_0</t>
  </si>
  <si>
    <t>258</t>
  </si>
  <si>
    <t>Думаю , нужно это менять .</t>
  </si>
  <si>
    <t>file://conllu/ru/teddy-4467.conllu#s258_0</t>
  </si>
  <si>
    <t>259</t>
  </si>
  <si>
    <t>развиваться</t>
  </si>
  <si>
    <t>Компании развиваются точно так же , как они это делали 50 или 20 лет назад .</t>
  </si>
  <si>
    <t>file://conllu/ru/teddy-4467.conllu#s259_0</t>
  </si>
  <si>
    <t>260</t>
  </si>
  <si>
    <t>Но нам нужно не это .</t>
  </si>
  <si>
    <t>file://conllu/ru/teddy-4467.conllu#s260_0</t>
  </si>
  <si>
    <t>261</t>
  </si>
  <si>
    <t>Особенно в сфере технологий , нам нужны революционные , а не постепенные изменения .</t>
  </si>
  <si>
    <t>file://conllu/ru/teddy-4467.conllu#s261_0</t>
  </si>
  <si>
    <t>262</t>
  </si>
  <si>
    <t>file://conllu/ru/teddy-4467.conllu#s262_0</t>
  </si>
  <si>
    <t>263</t>
  </si>
  <si>
    <t>править</t>
  </si>
  <si>
    <t>Однажды ты сказал — поправь меня , если я не прав — что если ты решишь пожертвовать свои сбережения на что-либо , вместо того , чтобы отдавать их на какой-либо проект , ты бы отдал их Илону Маску , потому что он то точно знает , как можно изменить будущее и таким образом — ЛП : Да , если ты хочешь полететь на Марс — он этого хочет , чтобы найти новые ресурсы для человечества — тогда можно его поддержать .</t>
  </si>
  <si>
    <t>file://conllu/ru/teddy-4467.conllu#s263_0</t>
  </si>
  <si>
    <t>264</t>
  </si>
  <si>
    <t>основать</t>
  </si>
  <si>
    <t>Он основал благотворительную компанию .</t>
  </si>
  <si>
    <t>file://conllu/ru/teddy-4467.conllu#s264_0</t>
  </si>
  <si>
    <t>265</t>
  </si>
  <si>
    <t>нацелить</t>
  </si>
  <si>
    <t>Думаю , мы с ним нацелены на похожие вещи .</t>
  </si>
  <si>
    <t>file://conllu/ru/teddy-4467.conllu#s265_0</t>
  </si>
  <si>
    <t>266</t>
  </si>
  <si>
    <t>Да , в Google есть много сотрудников , которые прилично разбогатели .</t>
  </si>
  <si>
    <t>file://conllu/ru/teddy-4467.conllu#s266_0</t>
  </si>
  <si>
    <t>267</t>
  </si>
  <si>
    <t>зарабатывать</t>
  </si>
  <si>
    <t>Люди зарабатывают много денег , работая в сфере технологий .</t>
  </si>
  <si>
    <t>file://conllu/ru/teddy-4467.conllu#s267_0</t>
  </si>
  <si>
    <t>268</t>
  </si>
  <si>
    <t>человек</t>
  </si>
  <si>
    <t>Многие из присутствующих в зале тоже довольно состоятельные люди .</t>
  </si>
  <si>
    <t>file://conllu/ru/teddy-4467.conllu#s268_0</t>
  </si>
  <si>
    <t>269</t>
  </si>
  <si>
    <t>Мы работаем , чтобы изменить мир .</t>
  </si>
  <si>
    <t>file://conllu/ru/teddy-4467.conllu#s269_0</t>
  </si>
  <si>
    <t>270</t>
  </si>
  <si>
    <t>Мы хотим сделать его лучше .</t>
  </si>
  <si>
    <t>file://conllu/ru/teddy-4467.conllu#s270_0</t>
  </si>
  <si>
    <t>271</t>
  </si>
  <si>
    <t>достойть</t>
  </si>
  <si>
    <t>Почему компания , на которую вы работаете , не достойна не только вашего времени , но и ваших денег ?</t>
  </si>
  <si>
    <t>file://conllu/ru/teddy-4467.conllu#s271_0</t>
  </si>
  <si>
    <t>272</t>
  </si>
  <si>
    <t>Мы об этом даже не задумываемся .</t>
  </si>
  <si>
    <t>file://conllu/ru/teddy-4467.conllu#s272_0</t>
  </si>
  <si>
    <t>273</t>
  </si>
  <si>
    <t>Мы не думаем о наших компаниях , и это печально , ведь мы отдаём компаниям бóльшую часть наших сил .</t>
  </si>
  <si>
    <t>file://conllu/ru/teddy-4467.conllu#s273_0</t>
  </si>
  <si>
    <t>274</t>
  </si>
  <si>
    <t>проводить</t>
  </si>
  <si>
    <t>Мы проводим там бóльшую часть нашего времени , и там находится очень много денег , поэтому мне бы хотелось , чтобы мы помогали больше , чем мы помогаем .</t>
  </si>
  <si>
    <t>file://conllu/ru/teddy-4467.conllu#s274_0</t>
  </si>
  <si>
    <t>275</t>
  </si>
  <si>
    <t>ЧР : Когда я заканчиваю беседу , я обычно спрашиваю своих собеседников : какое душевное состояние , какое качество ума послужило тебе больше всего в жизни ?</t>
  </si>
  <si>
    <t>file://conllu/ru/teddy-4467.conllu#s275_0</t>
  </si>
  <si>
    <t>276</t>
  </si>
  <si>
    <t>назвать</t>
  </si>
  <si>
    <t>Руперт Мёрдок назвал любопытство , другие люди в медиабизнесе тоже упомянули любопытство .</t>
  </si>
  <si>
    <t>file://conllu/ru/teddy-4467.conllu#s276_0</t>
  </si>
  <si>
    <t>277</t>
  </si>
  <si>
    <t>Билл Гейтс и Уоррен Баффетт назвали сосредоточенность .</t>
  </si>
  <si>
    <t>file://conllu/ru/teddy-4467.conllu#s277_0</t>
  </si>
  <si>
    <t>278</t>
  </si>
  <si>
    <t>думать (думать позволить)</t>
  </si>
  <si>
    <t>Какое качество ума перед тем , как мы закончим , позволило тебе думать о будущем и в то же время менять настоящее ?</t>
  </si>
  <si>
    <t>file://conllu/ru/teddy-4467.conllu#s278_0</t>
  </si>
  <si>
    <t>279</t>
  </si>
  <si>
    <t>ЛП : Думаю , самое главное — я много думал о разных компаниях и о причинах их неудач .</t>
  </si>
  <si>
    <t>file://conllu/ru/teddy-4467.conllu#s279_0</t>
  </si>
  <si>
    <t>280</t>
  </si>
  <si>
    <t>быть (быть быстрый)</t>
  </si>
  <si>
    <t>Оборот наших компаний был более быстрым .</t>
  </si>
  <si>
    <t>file://conllu/ru/teddy-4467.conllu#s280_0</t>
  </si>
  <si>
    <t>281</t>
  </si>
  <si>
    <t>Я подумал : что же они делали не так ?</t>
  </si>
  <si>
    <t>file://conllu/ru/teddy-4467.conllu#s281_0</t>
  </si>
  <si>
    <t>282</t>
  </si>
  <si>
    <t>быть (быть ошибка)</t>
  </si>
  <si>
    <t>В чём была их главная ошибка ?</t>
  </si>
  <si>
    <t>file://conllu/ru/teddy-4467.conllu#s282_0</t>
  </si>
  <si>
    <t>283</t>
  </si>
  <si>
    <t>Обычно я понимаю , что они не думали о будущем .</t>
  </si>
  <si>
    <t>file://conllu/ru/teddy-4467.conllu#s283_0</t>
  </si>
  <si>
    <t>284</t>
  </si>
  <si>
    <t>пытаться (пытаться пытаться)</t>
  </si>
  <si>
    <t>Я всегда пытаюсь сосредоточиться на будущем , пытаюсь представить его и определить средства , которые помогут нам его создать .</t>
  </si>
  <si>
    <t>file://conllu/ru/teddy-4467.conllu#s284_0</t>
  </si>
  <si>
    <t>285</t>
  </si>
  <si>
    <t>Как мы можем заставить нашу компанию сосредоточится на будущем и стремиться к нему на высочайшем уровне ?</t>
  </si>
  <si>
    <t>file://conllu/ru/teddy-4467.conllu#s285_0</t>
  </si>
  <si>
    <t>286</t>
  </si>
  <si>
    <t>Для этого важно любопытство , способность увидеть то , что не видят другие .</t>
  </si>
  <si>
    <t>file://conllu/ru/teddy-4467.conllu#s286_0</t>
  </si>
  <si>
    <t>287</t>
  </si>
  <si>
    <t>Нужно работать над тем , над чем другие не работают потому что именно так можно найти дополнительные возможности .</t>
  </si>
  <si>
    <t>file://conllu/ru/teddy-4467.conllu#s287_0</t>
  </si>
  <si>
    <t>288</t>
  </si>
  <si>
    <t>Но для этого нужно очень этого хотеть и не бояться рисковать .</t>
  </si>
  <si>
    <t>file://conllu/ru/teddy-4467.conllu#s288_0</t>
  </si>
  <si>
    <t>289</t>
  </si>
  <si>
    <t>Android</t>
  </si>
  <si>
    <t>Возьми Android .</t>
  </si>
  <si>
    <t>file://conllu/ru/teddy-4467.conllu#s289_0</t>
  </si>
  <si>
    <t>290</t>
  </si>
  <si>
    <t>Когда появился Android , мне было некомфортно с ним работать .</t>
  </si>
  <si>
    <t>file://conllu/ru/teddy-4467.conllu#s290_0</t>
  </si>
  <si>
    <t>291</t>
  </si>
  <si>
    <t>приобрести</t>
  </si>
  <si>
    <t>Мы приобрели маленькую стартап-компанию , которая не особо вписывалась в наш бизнес .</t>
  </si>
  <si>
    <t>file://conllu/ru/teddy-4467.conllu#s291_0</t>
  </si>
  <si>
    <t>292</t>
  </si>
  <si>
    <t>тратить</t>
  </si>
  <si>
    <t>Мне было жалко тратить не неё время .</t>
  </si>
  <si>
    <t>file://conllu/ru/teddy-4467.conllu#s292_0</t>
  </si>
  <si>
    <t>293</t>
  </si>
  <si>
    <t>быть (быть глупый)</t>
  </si>
  <si>
    <t>Это было глупо с моей стороны , что будущее и показало , не так ли ?</t>
  </si>
  <si>
    <t>file://conllu/ru/teddy-4467.conllu#s293_0</t>
  </si>
  <si>
    <t>294</t>
  </si>
  <si>
    <t>стоить</t>
  </si>
  <si>
    <t>Над этим перспективным проектом стоило работать .</t>
  </si>
  <si>
    <t>file://conllu/ru/teddy-4467.conllu#s294_0</t>
  </si>
  <si>
    <t>295</t>
  </si>
  <si>
    <t>ЧР : Как здорово , что ты пришёл сюда .</t>
  </si>
  <si>
    <t>file://conllu/ru/teddy-4467.conllu#s295_0</t>
  </si>
  <si>
    <t>296</t>
  </si>
  <si>
    <t>быть (быть замечательно)</t>
  </si>
  <si>
    <t>Было замечательно беседовать с тобой и сидеть за этим столом .</t>
  </si>
  <si>
    <t>file://conllu/ru/teddy-4467.conllu#s296_0</t>
  </si>
  <si>
    <t>297</t>
  </si>
  <si>
    <t>спасибо</t>
  </si>
  <si>
    <t>Спасибо , Ларри .</t>
  </si>
  <si>
    <t>file://conllu/ru/teddy-4467.conllu#s297_0</t>
  </si>
  <si>
    <t>298</t>
  </si>
  <si>
    <t>ЛП : Спасибо тебе .</t>
  </si>
  <si>
    <t>file://conllu/ru/teddy-4467.conllu#s298_0</t>
  </si>
  <si>
    <t>299</t>
  </si>
  <si>
    <t>ср</t>
  </si>
  <si>
    <t>СР : Ларри Пэйдж .</t>
  </si>
  <si>
    <t>file://conllu/ru/teddy-4467.conllu#s299_0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</si>
  <si>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</si>
  <si>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</si>
  <si>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</si>
  <si>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</si>
  <si>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</si>
  <si>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</si>
  <si>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</si>
  <si>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</si>
  <si>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</si>
  <si>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</si>
  <si>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</si>
  <si>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Чарли Роуз: Ларри написал мне письмо и сказал, что мы должны постараться не превращать наше выступление в разговор двух зануд средних лет.</t>
  </si>
  <si>
    <t>other</t>
  </si>
  <si>
    <t>ne</t>
  </si>
  <si>
    <t>?OLD</t>
  </si>
  <si>
    <t>Роуз</t>
  </si>
  <si>
    <t>:</t>
  </si>
  <si>
    <t>SBJ_2</t>
  </si>
  <si>
    <t>написал</t>
  </si>
  <si>
    <t>мне</t>
  </si>
  <si>
    <t>OBJ_2</t>
  </si>
  <si>
    <t>pron</t>
  </si>
  <si>
    <t>письмо</t>
  </si>
  <si>
    <t>и</t>
  </si>
  <si>
    <t>сказал</t>
  </si>
  <si>
    <t>,</t>
  </si>
  <si>
    <t>что</t>
  </si>
  <si>
    <t>мы</t>
  </si>
  <si>
    <t>SBJ_4</t>
  </si>
  <si>
    <t>должны</t>
  </si>
  <si>
    <t>постараться</t>
  </si>
  <si>
    <t>не</t>
  </si>
  <si>
    <t>превращать</t>
  </si>
  <si>
    <t>наше</t>
  </si>
  <si>
    <t>other_7</t>
  </si>
  <si>
    <t>pron.ppos</t>
  </si>
  <si>
    <t>выступление</t>
  </si>
  <si>
    <t>OBJ_6</t>
  </si>
  <si>
    <t>в</t>
  </si>
  <si>
    <t>разговор</t>
  </si>
  <si>
    <t>двух</t>
  </si>
  <si>
    <t>зануд</t>
  </si>
  <si>
    <t>other_8</t>
  </si>
  <si>
    <t>indef-np.quant</t>
  </si>
  <si>
    <t>средних</t>
  </si>
  <si>
    <t>лет</t>
  </si>
  <si>
    <t>.</t>
  </si>
  <si>
    <t># text = Я сказал, что он мне льстит, — (Смех) — ведь я немного старше и из него точно получится более интересный собеседник.</t>
  </si>
  <si>
    <t>Я</t>
  </si>
  <si>
    <t>SBJ</t>
  </si>
  <si>
    <t>он</t>
  </si>
  <si>
    <t>льстит</t>
  </si>
  <si>
    <t>—</t>
  </si>
  <si>
    <t>(</t>
  </si>
  <si>
    <t>Смех</t>
  </si>
  <si>
    <t>other_4</t>
  </si>
  <si>
    <t>)</t>
  </si>
  <si>
    <t>ведь</t>
  </si>
  <si>
    <t>я</t>
  </si>
  <si>
    <t>SBJ_3</t>
  </si>
  <si>
    <t>немного</t>
  </si>
  <si>
    <t>старше</t>
  </si>
  <si>
    <t>из</t>
  </si>
  <si>
    <t>него</t>
  </si>
  <si>
    <t>точно</t>
  </si>
  <si>
    <t>получится</t>
  </si>
  <si>
    <t>более</t>
  </si>
  <si>
    <t>собеседник</t>
  </si>
  <si>
    <t># text = Ларри Пэйдж: Спасибо.</t>
  </si>
  <si>
    <t>Пэйдж</t>
  </si>
  <si>
    <t>Спасибо</t>
  </si>
  <si>
    <t># text = ЧР: Мы поговорим об Интернете, о твоей работе в Google, мы поговорим об аспектах поиска и об охране персональных данных, а также о твоей философской позиции, о том, как ты нашёл свой путь в перспективном путешествии, начатом некоторое время назад.</t>
  </si>
  <si>
    <t>ЧР</t>
  </si>
  <si>
    <t>Мы</t>
  </si>
  <si>
    <t>поговорим</t>
  </si>
  <si>
    <t>об</t>
  </si>
  <si>
    <t>Интернете</t>
  </si>
  <si>
    <t>other_3</t>
  </si>
  <si>
    <t>о</t>
  </si>
  <si>
    <t>твоей</t>
  </si>
  <si>
    <t>other_5</t>
  </si>
  <si>
    <t>работе</t>
  </si>
  <si>
    <t>def-np.poss</t>
  </si>
  <si>
    <t>Google</t>
  </si>
  <si>
    <t>аспектах</t>
  </si>
  <si>
    <t>поиска</t>
  </si>
  <si>
    <t>охране</t>
  </si>
  <si>
    <t>персональных</t>
  </si>
  <si>
    <t>данных</t>
  </si>
  <si>
    <t>а</t>
  </si>
  <si>
    <t>также</t>
  </si>
  <si>
    <t>философской</t>
  </si>
  <si>
    <t>позиции</t>
  </si>
  <si>
    <t>том</t>
  </si>
  <si>
    <t>pron.pds</t>
  </si>
  <si>
    <t>как</t>
  </si>
  <si>
    <t>ты</t>
  </si>
  <si>
    <t>SBJ_5</t>
  </si>
  <si>
    <t>нашёл</t>
  </si>
  <si>
    <t>свой</t>
  </si>
  <si>
    <t>путь</t>
  </si>
  <si>
    <t>OBJ_5</t>
  </si>
  <si>
    <t>перспективном</t>
  </si>
  <si>
    <t>путешествии</t>
  </si>
  <si>
    <t>начатом</t>
  </si>
  <si>
    <t>некоторое</t>
  </si>
  <si>
    <t>время</t>
  </si>
  <si>
    <t>indef-np</t>
  </si>
  <si>
    <t>назад</t>
  </si>
  <si>
    <t># text = В основном мы будем говорить о будущем.</t>
  </si>
  <si>
    <t>В</t>
  </si>
  <si>
    <t>основном</t>
  </si>
  <si>
    <t>будем</t>
  </si>
  <si>
    <t>будущем</t>
  </si>
  <si>
    <t># text = И вот мой первый вопрос: чем сейчас занимается Google, и каковы планы компании на будущее?</t>
  </si>
  <si>
    <t>И</t>
  </si>
  <si>
    <t>вот</t>
  </si>
  <si>
    <t>мой</t>
  </si>
  <si>
    <t>первый</t>
  </si>
  <si>
    <t>чем</t>
  </si>
  <si>
    <t>other_2</t>
  </si>
  <si>
    <t>pron.pint</t>
  </si>
  <si>
    <t>сейчас</t>
  </si>
  <si>
    <t>занимается</t>
  </si>
  <si>
    <t>каковы</t>
  </si>
  <si>
    <t>планы</t>
  </si>
  <si>
    <t>компании</t>
  </si>
  <si>
    <t>на</t>
  </si>
  <si>
    <t>будущее</t>
  </si>
  <si>
    <t>?</t>
  </si>
  <si>
    <t># text = ЛП: Мы много над этим думаем, и мы определили нашу главную цель достаточно давно: организовать мировую информацию и сделать её доступной и полезной во всём мире.</t>
  </si>
  <si>
    <t>много</t>
  </si>
  <si>
    <t>над</t>
  </si>
  <si>
    <t>этим</t>
  </si>
  <si>
    <t>думаем</t>
  </si>
  <si>
    <t>определили</t>
  </si>
  <si>
    <t>нашу</t>
  </si>
  <si>
    <t>главную</t>
  </si>
  <si>
    <t>цель</t>
  </si>
  <si>
    <t>OBJ_3</t>
  </si>
  <si>
    <t>достаточно</t>
  </si>
  <si>
    <t>давно</t>
  </si>
  <si>
    <t>организовать</t>
  </si>
  <si>
    <t>мировую</t>
  </si>
  <si>
    <t>информацию</t>
  </si>
  <si>
    <t>OBJ_4</t>
  </si>
  <si>
    <t>сделать</t>
  </si>
  <si>
    <t>её</t>
  </si>
  <si>
    <t>доступной</t>
  </si>
  <si>
    <t>полезной</t>
  </si>
  <si>
    <t>во</t>
  </si>
  <si>
    <t>всём</t>
  </si>
  <si>
    <t>мире</t>
  </si>
  <si>
    <t># text = Люди постоянно спрашивают, занимаемся ли мы этим до сих пор.</t>
  </si>
  <si>
    <t>Люди</t>
  </si>
  <si>
    <t>постоянно</t>
  </si>
  <si>
    <t>спрашивают</t>
  </si>
  <si>
    <t>занимаемся</t>
  </si>
  <si>
    <t>ли</t>
  </si>
  <si>
    <t>до</t>
  </si>
  <si>
    <t>сих</t>
  </si>
  <si>
    <t>пор</t>
  </si>
  <si>
    <t># text = Я и сам зачастую спрашиваю себя об этом, и не всегда мой ответ однозначен.</t>
  </si>
  <si>
    <t>сам</t>
  </si>
  <si>
    <t>зачастую</t>
  </si>
  <si>
    <t>спрашиваю</t>
  </si>
  <si>
    <t>себя</t>
  </si>
  <si>
    <t>OBJ</t>
  </si>
  <si>
    <t>этом</t>
  </si>
  <si>
    <t>всегда</t>
  </si>
  <si>
    <t>ответ</t>
  </si>
  <si>
    <t>однозначен</t>
  </si>
  <si>
    <t># text = Но когда я думаю о поиске, я понимаю: он очень важен для нас, чтобы понять, чего мы хотим, понять мировую информацию, а мы всё ещё на начальной стадии его разработки, с ума сойти.</t>
  </si>
  <si>
    <t>Но</t>
  </si>
  <si>
    <t>когда</t>
  </si>
  <si>
    <t>думаю</t>
  </si>
  <si>
    <t>поиске</t>
  </si>
  <si>
    <t>понимаю</t>
  </si>
  <si>
    <t>очень</t>
  </si>
  <si>
    <t>важен</t>
  </si>
  <si>
    <t>для</t>
  </si>
  <si>
    <t>нас</t>
  </si>
  <si>
    <t>чтобы</t>
  </si>
  <si>
    <t>чего</t>
  </si>
  <si>
    <t>хотим</t>
  </si>
  <si>
    <t>всё</t>
  </si>
  <si>
    <t>ещё</t>
  </si>
  <si>
    <t>начальной</t>
  </si>
  <si>
    <t>стадии</t>
  </si>
  <si>
    <t>его</t>
  </si>
  <si>
    <t>разработки</t>
  </si>
  <si>
    <t>с</t>
  </si>
  <si>
    <t>ума</t>
  </si>
  <si>
    <t>сойти</t>
  </si>
  <si>
    <t># text = Мы работаем над поиском уже 15 лет, но работа ещё не закончена.</t>
  </si>
  <si>
    <t>работаем</t>
  </si>
  <si>
    <t>поиском</t>
  </si>
  <si>
    <t>уже</t>
  </si>
  <si>
    <t>но</t>
  </si>
  <si>
    <t>закончена</t>
  </si>
  <si>
    <t># text = ЧР: Когда вы завершите её, как будет выглядеть поиск?</t>
  </si>
  <si>
    <t>Когда</t>
  </si>
  <si>
    <t>вы</t>
  </si>
  <si>
    <t>завершите</t>
  </si>
  <si>
    <t>будет</t>
  </si>
  <si>
    <t>выглядеть</t>
  </si>
  <si>
    <t>поиск</t>
  </si>
  <si>
    <t># text = ЛП: Думаю, если рассмотреть наш проект — знаешь, почему работа ещё не закончена?</t>
  </si>
  <si>
    <t>Думаю</t>
  </si>
  <si>
    <t>если</t>
  </si>
  <si>
    <t>рассмотреть</t>
  </si>
  <si>
    <t>наш</t>
  </si>
  <si>
    <t>проект</t>
  </si>
  <si>
    <t>знаешь</t>
  </si>
  <si>
    <t>почему</t>
  </si>
  <si>
    <t># text = Вычисления как таковые создают много путаницы.</t>
  </si>
  <si>
    <t>Вычисления</t>
  </si>
  <si>
    <t>таковые</t>
  </si>
  <si>
    <t>создают</t>
  </si>
  <si>
    <t>путаницы</t>
  </si>
  <si>
    <t># text = Компьютер не знает, где ты находишься, не знает, что ты делаешь, не знает, что ты уже знаешь.</t>
  </si>
  <si>
    <t>Компьютер</t>
  </si>
  <si>
    <t>знает</t>
  </si>
  <si>
    <t>где</t>
  </si>
  <si>
    <t>находишься</t>
  </si>
  <si>
    <t>делаешь</t>
  </si>
  <si>
    <t># text = Поэтому в последнее время мы в основном и пытались заставить компьютер работать, заставить его понять, где ты и кто ты.</t>
  </si>
  <si>
    <t>Поэтому</t>
  </si>
  <si>
    <t>последнее</t>
  </si>
  <si>
    <t>пытались</t>
  </si>
  <si>
    <t>заставить</t>
  </si>
  <si>
    <t>SBJ_6</t>
  </si>
  <si>
    <t>кто</t>
  </si>
  <si>
    <t>other_6</t>
  </si>
  <si>
    <t># text = Персонализированный сервис Google Now знает, где ты, и что тебе может понадобится.</t>
  </si>
  <si>
    <t>Персонализированный</t>
  </si>
  <si>
    <t>сервис</t>
  </si>
  <si>
    <t>Now</t>
  </si>
  <si>
    <t>тебе</t>
  </si>
  <si>
    <t>может</t>
  </si>
  <si>
    <t>понадобится</t>
  </si>
  <si>
    <t># text = Но мы пока не создали вычисления, которые по-настоящему работают и понимают тебя и информацию вокруг.</t>
  </si>
  <si>
    <t>пока</t>
  </si>
  <si>
    <t>создали</t>
  </si>
  <si>
    <t>вычисления</t>
  </si>
  <si>
    <t>которые</t>
  </si>
  <si>
    <t>по-настоящему</t>
  </si>
  <si>
    <t>работают</t>
  </si>
  <si>
    <t>понимают</t>
  </si>
  <si>
    <t>тебя</t>
  </si>
  <si>
    <t>вокруг</t>
  </si>
  <si>
    <t># text = Они до сих пор малоэффективны.</t>
  </si>
  <si>
    <t>Они</t>
  </si>
  <si>
    <t>малоэффективны</t>
  </si>
  <si>
    <t># text = ЧР: Как ты рассматриваешь компанию Deep Mind в контексте Google? Deep Mind — это компания, приобретённая нами совсем недавно.</t>
  </si>
  <si>
    <t>Как</t>
  </si>
  <si>
    <t>рассматриваешь</t>
  </si>
  <si>
    <t>компанию</t>
  </si>
  <si>
    <t>Deep</t>
  </si>
  <si>
    <t>Mind</t>
  </si>
  <si>
    <t>контексте</t>
  </si>
  <si>
    <t>это</t>
  </si>
  <si>
    <t>компания</t>
  </si>
  <si>
    <t>приобретённая</t>
  </si>
  <si>
    <t>нами</t>
  </si>
  <si>
    <t>совсем</t>
  </si>
  <si>
    <t>недавно</t>
  </si>
  <si>
    <t># text = Она находится в Великобритании.</t>
  </si>
  <si>
    <t>Она</t>
  </si>
  <si>
    <t>находится</t>
  </si>
  <si>
    <t>Великобритании</t>
  </si>
  <si>
    <t># text = Для начала я объясню, зачем нам это понадобилось.</t>
  </si>
  <si>
    <t>Для</t>
  </si>
  <si>
    <t>начала</t>
  </si>
  <si>
    <t>объясню</t>
  </si>
  <si>
    <t>зачем</t>
  </si>
  <si>
    <t>нам</t>
  </si>
  <si>
    <t>понадобилось</t>
  </si>
  <si>
    <t># text = Мы изучали поиск, пытались понять его во всех возможных деталях, пытались сделать компьютеры менее неуклюжими и заставить их понимать пользователя.</t>
  </si>
  <si>
    <t>изучали</t>
  </si>
  <si>
    <t>всех</t>
  </si>
  <si>
    <t>возможных</t>
  </si>
  <si>
    <t>деталях</t>
  </si>
  <si>
    <t>компьютеры</t>
  </si>
  <si>
    <t>менее</t>
  </si>
  <si>
    <t>неуклюжими</t>
  </si>
  <si>
    <t>их</t>
  </si>
  <si>
    <t>пользователя</t>
  </si>
  <si>
    <t># text = Например, работа с человеческим голосом.</t>
  </si>
  <si>
    <t>Например</t>
  </si>
  <si>
    <t>человеческим</t>
  </si>
  <si>
    <t>голосом</t>
  </si>
  <si>
    <t># text = На какой стадии сегодня технологии распознавания речи?</t>
  </si>
  <si>
    <t>На</t>
  </si>
  <si>
    <t>какой</t>
  </si>
  <si>
    <t>сегодня</t>
  </si>
  <si>
    <t>технологии</t>
  </si>
  <si>
    <t>распознавания</t>
  </si>
  <si>
    <t>речи</t>
  </si>
  <si>
    <t># text = Они не так уж хороши.</t>
  </si>
  <si>
    <t>так</t>
  </si>
  <si>
    <t>уж</t>
  </si>
  <si>
    <t>хороши</t>
  </si>
  <si>
    <t># text = Компьютер плохо вас понимает.</t>
  </si>
  <si>
    <t>плохо</t>
  </si>
  <si>
    <t>вас</t>
  </si>
  <si>
    <t>понимает</t>
  </si>
  <si>
    <t># text = Поэтому мы начали исследовать машинное обучение, чтобы улучшить ситуацию.</t>
  </si>
  <si>
    <t>начали</t>
  </si>
  <si>
    <t>исследовать</t>
  </si>
  <si>
    <t>машинное</t>
  </si>
  <si>
    <t>обучение</t>
  </si>
  <si>
    <t>улучшить</t>
  </si>
  <si>
    <t>ситуацию</t>
  </si>
  <si>
    <t># text = Это помогло.</t>
  </si>
  <si>
    <t>Это</t>
  </si>
  <si>
    <t>помогло</t>
  </si>
  <si>
    <t># text = Затем мы обратились к таким платформам, как YouTube.</t>
  </si>
  <si>
    <t>Затем</t>
  </si>
  <si>
    <t>обратились</t>
  </si>
  <si>
    <t>к</t>
  </si>
  <si>
    <t>таким</t>
  </si>
  <si>
    <t>платформам</t>
  </si>
  <si>
    <t>YouTube</t>
  </si>
  <si>
    <t># text = Понимаем ли мы YouTube?</t>
  </si>
  <si>
    <t>Понимаем</t>
  </si>
  <si>
    <t># text = Мы пропустили YouTube через машинное обучение и обнаружили котов.</t>
  </si>
  <si>
    <t>пропустили</t>
  </si>
  <si>
    <t>через</t>
  </si>
  <si>
    <t>обнаружили</t>
  </si>
  <si>
    <t>котов</t>
  </si>
  <si>
    <t># text = Всё произошло само собой.</t>
  </si>
  <si>
    <t>Всё</t>
  </si>
  <si>
    <t>произошло</t>
  </si>
  <si>
    <t>само</t>
  </si>
  <si>
    <t>собой</t>
  </si>
  <si>
    <t># text = Это важная идея.</t>
  </si>
  <si>
    <t>важная</t>
  </si>
  <si>
    <t># text = Мы поняли, что здесь должно быть что-то интересное.</t>
  </si>
  <si>
    <t>поняли</t>
  </si>
  <si>
    <t>здесь</t>
  </si>
  <si>
    <t>должно</t>
  </si>
  <si>
    <t>что-то</t>
  </si>
  <si>
    <t>интересное</t>
  </si>
  <si>
    <t># text = Если мы сможем обучить компьютер распознавать котов, мы сможем достичь важных вещей.</t>
  </si>
  <si>
    <t>Если</t>
  </si>
  <si>
    <t>сможем</t>
  </si>
  <si>
    <t>обучить</t>
  </si>
  <si>
    <t>распознавать</t>
  </si>
  <si>
    <t>достичь</t>
  </si>
  <si>
    <t>важных</t>
  </si>
  <si>
    <t>вещей</t>
  </si>
  <si>
    <t># text = Я думаю, компания Deep Mind удивительна именно тем, что она фактически может обучать чему-либо бесконтрольным способом.</t>
  </si>
  <si>
    <t>удивительна</t>
  </si>
  <si>
    <t>именно</t>
  </si>
  <si>
    <t>тем</t>
  </si>
  <si>
    <t>она</t>
  </si>
  <si>
    <t>фактически</t>
  </si>
  <si>
    <t>обучать</t>
  </si>
  <si>
    <t>чему-либо</t>
  </si>
  <si>
    <t>бесконтрольным</t>
  </si>
  <si>
    <t>способом</t>
  </si>
  <si>
    <t># text = Они начали с видеоигр — может, будет лучше, если я покажу вам видео.</t>
  </si>
  <si>
    <t>видеоигр</t>
  </si>
  <si>
    <t>лучше</t>
  </si>
  <si>
    <t>покажу</t>
  </si>
  <si>
    <t>вам</t>
  </si>
  <si>
    <t># text = Компьютер играет в видеоигру и обучается игре автоматически.</t>
  </si>
  <si>
    <t>играет</t>
  </si>
  <si>
    <t>видеоигру</t>
  </si>
  <si>
    <t>обучается</t>
  </si>
  <si>
    <t>игре</t>
  </si>
  <si>
    <t>автоматически</t>
  </si>
  <si>
    <t># text = ЧР: Посмотрите на видеоигры и на то, как компьютеры начинают делать невероятные вещи.</t>
  </si>
  <si>
    <t>Посмотрите</t>
  </si>
  <si>
    <t>видеоигры</t>
  </si>
  <si>
    <t>то</t>
  </si>
  <si>
    <t>начинают</t>
  </si>
  <si>
    <t>невероятные</t>
  </si>
  <si>
    <t>вещи</t>
  </si>
  <si>
    <t># text = ЛП: Здесь замечательно то, что — естественно, здесь изображены старые игры — но система видит то, что видите вы, пиксели, она контролирует ситуацию и счёт.</t>
  </si>
  <si>
    <t>Здесь</t>
  </si>
  <si>
    <t>замечательно</t>
  </si>
  <si>
    <t>естественно</t>
  </si>
  <si>
    <t>изображены</t>
  </si>
  <si>
    <t>старые</t>
  </si>
  <si>
    <t>игры</t>
  </si>
  <si>
    <t>система</t>
  </si>
  <si>
    <t>видит</t>
  </si>
  <si>
    <t>видите</t>
  </si>
  <si>
    <t>SBJ_7</t>
  </si>
  <si>
    <t>пиксели</t>
  </si>
  <si>
    <t>контролирует</t>
  </si>
  <si>
    <t>счёт</t>
  </si>
  <si>
    <t># text = Одна и та же программа научилась играть во все эти игры.</t>
  </si>
  <si>
    <t>Одна</t>
  </si>
  <si>
    <t>та</t>
  </si>
  <si>
    <t>же</t>
  </si>
  <si>
    <t>программа</t>
  </si>
  <si>
    <t>научилась</t>
  </si>
  <si>
    <t>все</t>
  </si>
  <si>
    <t>эти</t>
  </si>
  <si>
    <t>def-np.dem</t>
  </si>
  <si>
    <t># text = Она научилась играть со сверхчеловеческой эффективностью.</t>
  </si>
  <si>
    <t>со</t>
  </si>
  <si>
    <t>сверхчеловеческой</t>
  </si>
  <si>
    <t>эффективностью</t>
  </si>
  <si>
    <t># text = Раньше мы не могли достигнуть таких результатов с компьютерами.</t>
  </si>
  <si>
    <t>Раньше</t>
  </si>
  <si>
    <t>могли</t>
  </si>
  <si>
    <t>достигнуть</t>
  </si>
  <si>
    <t>таких</t>
  </si>
  <si>
    <t>результатов</t>
  </si>
  <si>
    <t>компьютерами</t>
  </si>
  <si>
    <t># text = Я немного опишу вот эту игру.</t>
  </si>
  <si>
    <t>опишу</t>
  </si>
  <si>
    <t>эту</t>
  </si>
  <si>
    <t>игру</t>
  </si>
  <si>
    <t># text = Это бокс.</t>
  </si>
  <si>
    <t># text = Программа понимает, как она может припереть противника к стене.</t>
  </si>
  <si>
    <t>Программа</t>
  </si>
  <si>
    <t>припереть</t>
  </si>
  <si>
    <t>противника</t>
  </si>
  <si>
    <t>стене</t>
  </si>
  <si>
    <t># text = Компьютер слева, и он очень быстро набирает очки.</t>
  </si>
  <si>
    <t>слева</t>
  </si>
  <si>
    <t>быстро</t>
  </si>
  <si>
    <t>набирает</t>
  </si>
  <si>
    <t>очки</t>
  </si>
  <si>
    <t># text = Только представьте, что бы было, если бы такого рода интеллект можно было использовать в планировании вашего графика работы или информационных потребностей.</t>
  </si>
  <si>
    <t>Только</t>
  </si>
  <si>
    <t>представьте</t>
  </si>
  <si>
    <t>бы</t>
  </si>
  <si>
    <t>было</t>
  </si>
  <si>
    <t>такого</t>
  </si>
  <si>
    <t>рода</t>
  </si>
  <si>
    <t>интеллект</t>
  </si>
  <si>
    <t>планировании</t>
  </si>
  <si>
    <t>вашего</t>
  </si>
  <si>
    <t>графика</t>
  </si>
  <si>
    <t>работы</t>
  </si>
  <si>
    <t>или</t>
  </si>
  <si>
    <t>информационных</t>
  </si>
  <si>
    <t>потребностей</t>
  </si>
  <si>
    <t># text = Мы только начинаем работу, и я нахожу это очень захватывающим.</t>
  </si>
  <si>
    <t>только</t>
  </si>
  <si>
    <t>начинаем</t>
  </si>
  <si>
    <t>работу</t>
  </si>
  <si>
    <t>нахожу</t>
  </si>
  <si>
    <t>захватывающим</t>
  </si>
  <si>
    <t># text = ЧР:</t>
  </si>
  <si>
    <t># text = Оценивая то, что уже было сделано в рамках Deep Mind и игры в бокс, а также в рамках наших программ по развитию искусственного интеллекта, где мы находимся?</t>
  </si>
  <si>
    <t>Оценивая</t>
  </si>
  <si>
    <t>сделано</t>
  </si>
  <si>
    <t>рамках</t>
  </si>
  <si>
    <t>наших</t>
  </si>
  <si>
    <t>программ</t>
  </si>
  <si>
    <t>по</t>
  </si>
  <si>
    <t>развитию</t>
  </si>
  <si>
    <t>искусственного</t>
  </si>
  <si>
    <t>интеллекта</t>
  </si>
  <si>
    <t>находимся</t>
  </si>
  <si>
    <t># text = Что уже сделано?</t>
  </si>
  <si>
    <t>Что</t>
  </si>
  <si>
    <t># text = Я буду отвечать за себя.</t>
  </si>
  <si>
    <t>буду</t>
  </si>
  <si>
    <t>за</t>
  </si>
  <si>
    <t># text = Это одна из самых замечательных вещей, которые я когда-либо наблюдал.</t>
  </si>
  <si>
    <t>одна</t>
  </si>
  <si>
    <t>самых</t>
  </si>
  <si>
    <t>замечательных</t>
  </si>
  <si>
    <t>когда-либо</t>
  </si>
  <si>
    <t>наблюдал</t>
  </si>
  <si>
    <t># text = Парня, который основал компанию, зовут Демис.</t>
  </si>
  <si>
    <t>Парня</t>
  </si>
  <si>
    <t>который</t>
  </si>
  <si>
    <t>основал</t>
  </si>
  <si>
    <t>зовут</t>
  </si>
  <si>
    <t>Демис</t>
  </si>
  <si>
    <t># text = Он изучал неврологию и информатику.</t>
  </si>
  <si>
    <t>Он</t>
  </si>
  <si>
    <t>изучал</t>
  </si>
  <si>
    <t>неврологию</t>
  </si>
  <si>
    <t>информатику</t>
  </si>
  <si>
    <t># text = Затем он захотел защитить докторскую в сфере изучения мозга.</t>
  </si>
  <si>
    <t>захотел</t>
  </si>
  <si>
    <t>защитить</t>
  </si>
  <si>
    <t>докторскую</t>
  </si>
  <si>
    <t>сфере</t>
  </si>
  <si>
    <t>изучения</t>
  </si>
  <si>
    <t>мозга</t>
  </si>
  <si>
    <t># text = Именно поэтому, думаю, в работе мы наблюдаем захватывающее переплетение информатики и неврологии, которое даёт нам возможность понять, что нужно для того, чтобы делать по-настоящему интересные вещи и создавать умные продукты.</t>
  </si>
  <si>
    <t>Именно</t>
  </si>
  <si>
    <t>поэтому</t>
  </si>
  <si>
    <t>наблюдаем</t>
  </si>
  <si>
    <t>захватывающее</t>
  </si>
  <si>
    <t>переплетение</t>
  </si>
  <si>
    <t>информатики</t>
  </si>
  <si>
    <t>неврологии</t>
  </si>
  <si>
    <t>которое</t>
  </si>
  <si>
    <t>даёт</t>
  </si>
  <si>
    <t>возможность</t>
  </si>
  <si>
    <t>нужно</t>
  </si>
  <si>
    <t>того</t>
  </si>
  <si>
    <t>интересные</t>
  </si>
  <si>
    <t>OBJ_8</t>
  </si>
  <si>
    <t>умные</t>
  </si>
  <si>
    <t>продукты</t>
  </si>
  <si>
    <t>OBJ_9</t>
  </si>
  <si>
    <t># text = ЧР: Но чего мы уже достигли?</t>
  </si>
  <si>
    <t>достигли</t>
  </si>
  <si>
    <t># text = И как быстро мы продвигаемся вперёд?</t>
  </si>
  <si>
    <t>продвигаемся</t>
  </si>
  <si>
    <t>вперёд</t>
  </si>
  <si>
    <t># text = ЛП: Пока мы дошли до уровня распознавания котов на YouTube и похожих задач, улучшили распознавание речи.</t>
  </si>
  <si>
    <t>Пока</t>
  </si>
  <si>
    <t>дошли</t>
  </si>
  <si>
    <t>уровня</t>
  </si>
  <si>
    <t>похожих</t>
  </si>
  <si>
    <t>задач</t>
  </si>
  <si>
    <t>улучшили</t>
  </si>
  <si>
    <t>распознавание</t>
  </si>
  <si>
    <t># text = Мы широко использовали машинное обучение для постепенного улучшения результатов.</t>
  </si>
  <si>
    <t>широко</t>
  </si>
  <si>
    <t>использовали</t>
  </si>
  <si>
    <t>постепенного</t>
  </si>
  <si>
    <t>улучшения</t>
  </si>
  <si>
    <t># text = Для меня именно этот результат замечателен, ведь это только одна программа, способная выполнять множество задач.</t>
  </si>
  <si>
    <t>меня</t>
  </si>
  <si>
    <t>этот</t>
  </si>
  <si>
    <t>результат</t>
  </si>
  <si>
    <t>замечателен</t>
  </si>
  <si>
    <t>способная</t>
  </si>
  <si>
    <t>выполнять</t>
  </si>
  <si>
    <t>множество</t>
  </si>
  <si>
    <t># text = Не знаю, сможем ли мы показать это, но у нас есть изображение кота.</t>
  </si>
  <si>
    <t>Не</t>
  </si>
  <si>
    <t>знаю</t>
  </si>
  <si>
    <t>показать</t>
  </si>
  <si>
    <t>у</t>
  </si>
  <si>
    <t>есть</t>
  </si>
  <si>
    <t>изображение</t>
  </si>
  <si>
    <t>кота</t>
  </si>
  <si>
    <t># text = Было бы замечательно это показать.</t>
  </si>
  <si>
    <t>Было</t>
  </si>
  <si>
    <t># text = Вот как машины видят и представляют себе котов.</t>
  </si>
  <si>
    <t>Вот</t>
  </si>
  <si>
    <t>машины</t>
  </si>
  <si>
    <t>видят</t>
  </si>
  <si>
    <t>представляют</t>
  </si>
  <si>
    <t>себе</t>
  </si>
  <si>
    <t># text = Покажите нам изображение.</t>
  </si>
  <si>
    <t>Покажите</t>
  </si>
  <si>
    <t># text = ЛП: Да.</t>
  </si>
  <si>
    <t>Да</t>
  </si>
  <si>
    <t># text = ЧР: Вот оно.</t>
  </si>
  <si>
    <t>оно</t>
  </si>
  <si>
    <t># text = Видите кота?</t>
  </si>
  <si>
    <t>Видите</t>
  </si>
  <si>
    <t># text = Вот как машина видит и изображает кота.</t>
  </si>
  <si>
    <t>машина</t>
  </si>
  <si>
    <t>изображает</t>
  </si>
  <si>
    <t># text = ЛП: Совершенно верно.</t>
  </si>
  <si>
    <t>Совершенно</t>
  </si>
  <si>
    <t>верно</t>
  </si>
  <si>
    <t># text = И этому они научились, просто просматривая видео на YouTube.</t>
  </si>
  <si>
    <t>этому</t>
  </si>
  <si>
    <t>научились</t>
  </si>
  <si>
    <t>просто</t>
  </si>
  <si>
    <t>просматривая</t>
  </si>
  <si>
    <t># text = Мы их не натаскивали, не задавали им понятие кота.</t>
  </si>
  <si>
    <t>натаскивали</t>
  </si>
  <si>
    <t>задавали</t>
  </si>
  <si>
    <t>им</t>
  </si>
  <si>
    <t>понятие</t>
  </si>
  <si>
    <t># text = Концепция кота — это нечто важное, что понимает человек, а теперь и машины смогли в какой-то мере это сделать.</t>
  </si>
  <si>
    <t>Концепция</t>
  </si>
  <si>
    <t>нечто</t>
  </si>
  <si>
    <t>важное</t>
  </si>
  <si>
    <t>теперь</t>
  </si>
  <si>
    <t>смогли</t>
  </si>
  <si>
    <t>какой-то</t>
  </si>
  <si>
    <t>мере</t>
  </si>
  <si>
    <t># text = Хотел бы закончить начатую идею о поиске.</t>
  </si>
  <si>
    <t>Хотел</t>
  </si>
  <si>
    <t>закончить</t>
  </si>
  <si>
    <t>начатую</t>
  </si>
  <si>
    <t>идею</t>
  </si>
  <si>
    <t># text = Мы изначально хотели, чтобы поиск понимал контекст пользователей и уже имеющуюся у них информацию.</t>
  </si>
  <si>
    <t>изначально</t>
  </si>
  <si>
    <t>хотели</t>
  </si>
  <si>
    <t>понимал</t>
  </si>
  <si>
    <t>контекст</t>
  </si>
  <si>
    <t>пользователей</t>
  </si>
  <si>
    <t>имеющуюся</t>
  </si>
  <si>
    <t>них</t>
  </si>
  <si>
    <t># text = Я подготовил видео, которое покажет, что мы обнаружили.</t>
  </si>
  <si>
    <t>подготовил</t>
  </si>
  <si>
    <t>покажет</t>
  </si>
  <si>
    <t># text = (Видео) [Сой, Кения] Зак Матере: Недавно я посадил картофель.</t>
  </si>
  <si>
    <t>Видео</t>
  </si>
  <si>
    <t>[</t>
  </si>
  <si>
    <t>Сой</t>
  </si>
  <si>
    <t>Кения</t>
  </si>
  <si>
    <t>]</t>
  </si>
  <si>
    <t>Зак</t>
  </si>
  <si>
    <t>Матере</t>
  </si>
  <si>
    <t>Недавно</t>
  </si>
  <si>
    <t>посадил</t>
  </si>
  <si>
    <t>картофель</t>
  </si>
  <si>
    <t># text = Внезапно растения одно за другим начали погибать.</t>
  </si>
  <si>
    <t>Внезапно</t>
  </si>
  <si>
    <t>растения</t>
  </si>
  <si>
    <t>одно</t>
  </si>
  <si>
    <t>другим</t>
  </si>
  <si>
    <t>погибать</t>
  </si>
  <si>
    <t># text = Я просмотрел кое-какие книги, но не нашёл ничего полезного.</t>
  </si>
  <si>
    <t>просмотрел</t>
  </si>
  <si>
    <t>кое-какие</t>
  </si>
  <si>
    <t>книги</t>
  </si>
  <si>
    <t>ничего</t>
  </si>
  <si>
    <t>pron.pind</t>
  </si>
  <si>
    <t>полезного</t>
  </si>
  <si>
    <t># text = Поэтому я поехал и провёл поиск.</t>
  </si>
  <si>
    <t>поехал</t>
  </si>
  <si>
    <t>провёл</t>
  </si>
  <si>
    <t># text = [Зак Матере, фермер] Заболевания картофеля.</t>
  </si>
  <si>
    <t>фермер</t>
  </si>
  <si>
    <t>Заболевания</t>
  </si>
  <si>
    <t>картофеля</t>
  </si>
  <si>
    <t># text = На одном из сайтов я прочитал, что муравьи могут быть причиной.</t>
  </si>
  <si>
    <t>одном</t>
  </si>
  <si>
    <t>сайтов</t>
  </si>
  <si>
    <t>прочитал</t>
  </si>
  <si>
    <t>муравьи</t>
  </si>
  <si>
    <t>могут</t>
  </si>
  <si>
    <t>причиной</t>
  </si>
  <si>
    <t># text = Там было сказано посыпать растения золой.</t>
  </si>
  <si>
    <t>Там</t>
  </si>
  <si>
    <t>сказано</t>
  </si>
  <si>
    <t>посыпать</t>
  </si>
  <si>
    <t>золой</t>
  </si>
  <si>
    <t># text = Через несколько дней муравьи исчезли.</t>
  </si>
  <si>
    <t>Через</t>
  </si>
  <si>
    <t>несколько</t>
  </si>
  <si>
    <t>дней</t>
  </si>
  <si>
    <t>исчезли</t>
  </si>
  <si>
    <t># text = Интернет очень обрадовал меня.</t>
  </si>
  <si>
    <t>Интернет</t>
  </si>
  <si>
    <t>обрадовал</t>
  </si>
  <si>
    <t># text = У меня есть друг, который очень хочет расширить бизнес.</t>
  </si>
  <si>
    <t>У</t>
  </si>
  <si>
    <t>друг</t>
  </si>
  <si>
    <t>хочет</t>
  </si>
  <si>
    <t>расширить</t>
  </si>
  <si>
    <t>бизнес</t>
  </si>
  <si>
    <t># text = Мы вместе пошли в интернет-кафе и просмотрели несколько сайтов.</t>
  </si>
  <si>
    <t>вместе</t>
  </si>
  <si>
    <t>пошли</t>
  </si>
  <si>
    <t>интернет-</t>
  </si>
  <si>
    <t>кафе</t>
  </si>
  <si>
    <t>просмотрели</t>
  </si>
  <si>
    <t># text = Когда я в следующий раз увидел его, он собирался строить ветряную мельницу возле местной школы.</t>
  </si>
  <si>
    <t>следующий</t>
  </si>
  <si>
    <t>раз</t>
  </si>
  <si>
    <t>увидел</t>
  </si>
  <si>
    <t>собирался</t>
  </si>
  <si>
    <t>строить</t>
  </si>
  <si>
    <t>ветряную</t>
  </si>
  <si>
    <t>мельницу</t>
  </si>
  <si>
    <t>возле</t>
  </si>
  <si>
    <t>местной</t>
  </si>
  <si>
    <t>школы</t>
  </si>
  <si>
    <t># text = Я был горд: нечто, чего у нас прежде не было, обрело жизнь.</t>
  </si>
  <si>
    <t>был</t>
  </si>
  <si>
    <t>горд</t>
  </si>
  <si>
    <t>прежде</t>
  </si>
  <si>
    <t>обрело</t>
  </si>
  <si>
    <t>жизнь</t>
  </si>
  <si>
    <t># text = Я осознал, что не у всех есть доступ к ресурсам, которыми могу пользоваться я.</t>
  </si>
  <si>
    <t>осознал</t>
  </si>
  <si>
    <t>доступ</t>
  </si>
  <si>
    <t>ресурсам</t>
  </si>
  <si>
    <t>которыми</t>
  </si>
  <si>
    <t>могу</t>
  </si>
  <si>
    <t>пользоваться</t>
  </si>
  <si>
    <t># text = Я подумал, неплохо было бы иметь Интернет, которым могла бы пользоваться и моя бабушка.</t>
  </si>
  <si>
    <t>подумал</t>
  </si>
  <si>
    <t>неплохо</t>
  </si>
  <si>
    <t>иметь</t>
  </si>
  <si>
    <t>которым</t>
  </si>
  <si>
    <t>могла</t>
  </si>
  <si>
    <t>моя</t>
  </si>
  <si>
    <t>бабушка</t>
  </si>
  <si>
    <t># text = И мне пришла в голову идея доски объявлений.</t>
  </si>
  <si>
    <t>пришла</t>
  </si>
  <si>
    <t>голову</t>
  </si>
  <si>
    <t>доски</t>
  </si>
  <si>
    <t>объявлений</t>
  </si>
  <si>
    <t># text = Обычная доска объявлений.</t>
  </si>
  <si>
    <t>Обычная</t>
  </si>
  <si>
    <t># text = Я получаю информацию на телефоне и могу поделиться ею на доске.</t>
  </si>
  <si>
    <t>получаю</t>
  </si>
  <si>
    <t>телефоне</t>
  </si>
  <si>
    <t>поделиться</t>
  </si>
  <si>
    <t>ею</t>
  </si>
  <si>
    <t>доске</t>
  </si>
  <si>
    <t># text = Это как компьютер.</t>
  </si>
  <si>
    <t># text = Я пользуюсь Интернетом, чтобы помогать людям.</t>
  </si>
  <si>
    <t>пользуюсь</t>
  </si>
  <si>
    <t>Интернетом</t>
  </si>
  <si>
    <t>помогать</t>
  </si>
  <si>
    <t>людям</t>
  </si>
  <si>
    <t># text = Я ищу возможности для лучшей жизни для меня и моих соседей.</t>
  </si>
  <si>
    <t>ищу</t>
  </si>
  <si>
    <t>возможности</t>
  </si>
  <si>
    <t>лучшей</t>
  </si>
  <si>
    <t>жизни</t>
  </si>
  <si>
    <t>моих</t>
  </si>
  <si>
    <t>соседей</t>
  </si>
  <si>
    <t># text = У многих есть доступ к информации, но они с ней ничего не делают.</t>
  </si>
  <si>
    <t>многих</t>
  </si>
  <si>
    <t>информации</t>
  </si>
  <si>
    <t>ней</t>
  </si>
  <si>
    <t>делают</t>
  </si>
  <si>
    <t># text = Думаю, её результатом должны быть знания.</t>
  </si>
  <si>
    <t>результатом</t>
  </si>
  <si>
    <t>знания</t>
  </si>
  <si>
    <t># text = Когда у людей есть знания, они могут найти решения проблем без помощи других.</t>
  </si>
  <si>
    <t>людей</t>
  </si>
  <si>
    <t>найти</t>
  </si>
  <si>
    <t>решения</t>
  </si>
  <si>
    <t>проблем</t>
  </si>
  <si>
    <t>без</t>
  </si>
  <si>
    <t>помощи</t>
  </si>
  <si>
    <t>других</t>
  </si>
  <si>
    <t># text = Информация могущественна, но именно то, как мы её используем, определит, кто мы есть на самом деле.</t>
  </si>
  <si>
    <t>Информация</t>
  </si>
  <si>
    <t>могущественна</t>
  </si>
  <si>
    <t>используем</t>
  </si>
  <si>
    <t>определит</t>
  </si>
  <si>
    <t>самом</t>
  </si>
  <si>
    <t>деле</t>
  </si>
  <si>
    <t># text = (Аплодисменты) ЛП:</t>
  </si>
  <si>
    <t>Аплодисменты</t>
  </si>
  <si>
    <t># text = Удивительно здесь то, что мы прочитали об этом мужчине в новостях, решили найти его и снять видеоролик с его участием.</t>
  </si>
  <si>
    <t>Удивительно</t>
  </si>
  <si>
    <t>прочитали</t>
  </si>
  <si>
    <t>мужчине</t>
  </si>
  <si>
    <t>новостях</t>
  </si>
  <si>
    <t>решили</t>
  </si>
  <si>
    <t>снять</t>
  </si>
  <si>
    <t>видеоролик</t>
  </si>
  <si>
    <t>участием</t>
  </si>
  <si>
    <t># text = ЧР: Когда я разговариваю о тебе с людьми, с теми, кто тебя хорошо знает, они говорят мне: «Ларри хочет изменить мир и думает, что технология может указать, как этого добиться».</t>
  </si>
  <si>
    <t>разговариваю</t>
  </si>
  <si>
    <t>людьми</t>
  </si>
  <si>
    <t>теми</t>
  </si>
  <si>
    <t>хорошо</t>
  </si>
  <si>
    <t>говорят</t>
  </si>
  <si>
    <t>«Ларри</t>
  </si>
  <si>
    <t>изменить</t>
  </si>
  <si>
    <t>мир</t>
  </si>
  <si>
    <t>думает</t>
  </si>
  <si>
    <t>указать</t>
  </si>
  <si>
    <t>этого</t>
  </si>
  <si>
    <t>добиться»</t>
  </si>
  <si>
    <t># text = Это означает, что нужен доступ в Интернет, владение языками, нужно, чтобы люди могли делать то, что может положительно повлиять на их сообщество, и мы увидели один из таких примеров.</t>
  </si>
  <si>
    <t>означает</t>
  </si>
  <si>
    <t>нужен</t>
  </si>
  <si>
    <t>владение</t>
  </si>
  <si>
    <t>языками</t>
  </si>
  <si>
    <t>люди</t>
  </si>
  <si>
    <t>положительно</t>
  </si>
  <si>
    <t>повлиять</t>
  </si>
  <si>
    <t>сообщество</t>
  </si>
  <si>
    <t>SBJ_8</t>
  </si>
  <si>
    <t>увидели</t>
  </si>
  <si>
    <t>примеров</t>
  </si>
  <si>
    <t>other_9</t>
  </si>
  <si>
    <t># text = ЛП: Ты прав.</t>
  </si>
  <si>
    <t>Ты</t>
  </si>
  <si>
    <t>прав</t>
  </si>
  <si>
    <t># text = Что касается меня, в последнее время я уделял много времени расширению доступа в Интернет.</t>
  </si>
  <si>
    <t>касается</t>
  </si>
  <si>
    <t>уделял</t>
  </si>
  <si>
    <t>времени</t>
  </si>
  <si>
    <t>расширению</t>
  </si>
  <si>
    <t>доступа</t>
  </si>
  <si>
    <t># text = Именно это мне бы хотелось видеть в будущем.</t>
  </si>
  <si>
    <t>хотелось</t>
  </si>
  <si>
    <t># text = Недавно мы обнародовали проект Loon Project, в котором для этого используются воздушные шары.</t>
  </si>
  <si>
    <t>обнародовали</t>
  </si>
  <si>
    <t>Loon</t>
  </si>
  <si>
    <t>Project</t>
  </si>
  <si>
    <t>котором</t>
  </si>
  <si>
    <t>используются</t>
  </si>
  <si>
    <t>воздушные</t>
  </si>
  <si>
    <t>шары</t>
  </si>
  <si>
    <t># text = Звучит безумно, не так ли?</t>
  </si>
  <si>
    <t>Звучит</t>
  </si>
  <si>
    <t>безумно</t>
  </si>
  <si>
    <t># text = Посмотрите видео.</t>
  </si>
  <si>
    <t># text = Сейчас у двоих из трёх людей в мире нет хорошего доступа в Интернет.</t>
  </si>
  <si>
    <t>Сейчас</t>
  </si>
  <si>
    <t>двоих</t>
  </si>
  <si>
    <t>трёх</t>
  </si>
  <si>
    <t>хорошего</t>
  </si>
  <si>
    <t># text = Мы думаем, что этот проект очень поможет людям и будет эффективен экономически.</t>
  </si>
  <si>
    <t>поможет</t>
  </si>
  <si>
    <t>эффективен</t>
  </si>
  <si>
    <t>экономически</t>
  </si>
  <si>
    <t># text = ЧР: Это воздушный шар.</t>
  </si>
  <si>
    <t>воздушный</t>
  </si>
  <si>
    <t>шар</t>
  </si>
  <si>
    <t># text = ЛП: Да, он даёт доступ в Интернет.</t>
  </si>
  <si>
    <t># text = ЧР: И как он это делает?</t>
  </si>
  <si>
    <t>делает</t>
  </si>
  <si>
    <t># text = В процессе работы над шаром вы должны были решить ряд задач, чтобы всё действительно получилось, — шар не должен был быть привязанным.</t>
  </si>
  <si>
    <t>процессе</t>
  </si>
  <si>
    <t>шаром</t>
  </si>
  <si>
    <t>были</t>
  </si>
  <si>
    <t>ряд</t>
  </si>
  <si>
    <t>действительно</t>
  </si>
  <si>
    <t>получилось</t>
  </si>
  <si>
    <t>привязанным</t>
  </si>
  <si>
    <t># text = ЛП: Да, и это хороший пример инновации.</t>
  </si>
  <si>
    <t>пример</t>
  </si>
  <si>
    <t>инновации</t>
  </si>
  <si>
    <t># text = Мы обдумывали этот проект на протяжении более пяти лет, прежде чем мы начали над ним работу.</t>
  </si>
  <si>
    <t>обдумывали</t>
  </si>
  <si>
    <t>протяжении</t>
  </si>
  <si>
    <t>пяти</t>
  </si>
  <si>
    <t>ним</t>
  </si>
  <si>
    <t># text = Мы всё не могли понять, как получить дешёвый доступ в Интернет высоко в небе?</t>
  </si>
  <si>
    <t>получить</t>
  </si>
  <si>
    <t>дешёвый</t>
  </si>
  <si>
    <t>высоко</t>
  </si>
  <si>
    <t>небе</t>
  </si>
  <si>
    <t># text = Обычно это возможно при помощи спутников, но их запуск занимает много времени.</t>
  </si>
  <si>
    <t>Обычно</t>
  </si>
  <si>
    <t>возможно</t>
  </si>
  <si>
    <t>при</t>
  </si>
  <si>
    <t>спутников</t>
  </si>
  <si>
    <t>запуск</t>
  </si>
  <si>
    <t>занимает</t>
  </si>
  <si>
    <t># text = Но только посмотрите, как легко и быстро запустить в небо воздушный шар.</t>
  </si>
  <si>
    <t>посмотрите</t>
  </si>
  <si>
    <t>легко</t>
  </si>
  <si>
    <t>запустить</t>
  </si>
  <si>
    <t>небо</t>
  </si>
  <si>
    <t># text = Кстати, говоря о силе Интернета: я поискал информацию на эту тему и нашёл вот что: 30-40 лет назад кто-то запустил воздушный шар, который пролетел вокруг Земли несколько раз.</t>
  </si>
  <si>
    <t>Кстати</t>
  </si>
  <si>
    <t>говоря</t>
  </si>
  <si>
    <t>силе</t>
  </si>
  <si>
    <t>Интернета</t>
  </si>
  <si>
    <t>поискал</t>
  </si>
  <si>
    <t>тему</t>
  </si>
  <si>
    <t>кто-то</t>
  </si>
  <si>
    <t>запустил</t>
  </si>
  <si>
    <t>пролетел</t>
  </si>
  <si>
    <t>Земли</t>
  </si>
  <si>
    <t># text = И я подумал: почему бы нам не сделать это сегодня?</t>
  </si>
  <si>
    <t># text = И вот как родился этот проект.</t>
  </si>
  <si>
    <t>родился</t>
  </si>
  <si>
    <t># text = ЧР: Помогает ли вам ветер?</t>
  </si>
  <si>
    <t>Помогает</t>
  </si>
  <si>
    <t>ветер</t>
  </si>
  <si>
    <t># text = ЛП: Да, но мы должны были симулировать некоторые погодные условия, что до нас никто не делал.</t>
  </si>
  <si>
    <t>симулировать</t>
  </si>
  <si>
    <t>некоторые</t>
  </si>
  <si>
    <t>погодные</t>
  </si>
  <si>
    <t>условия</t>
  </si>
  <si>
    <t>никто</t>
  </si>
  <si>
    <t>делал</t>
  </si>
  <si>
    <t># text = Можно контролировать высоту полёта шара, регулируя подачу воздуха или применяя другие способы.</t>
  </si>
  <si>
    <t>Можно</t>
  </si>
  <si>
    <t>контролировать</t>
  </si>
  <si>
    <t>высоту</t>
  </si>
  <si>
    <t>полёта</t>
  </si>
  <si>
    <t>шара</t>
  </si>
  <si>
    <t>регулируя</t>
  </si>
  <si>
    <t>подачу</t>
  </si>
  <si>
    <t>воздуха</t>
  </si>
  <si>
    <t>применяя</t>
  </si>
  <si>
    <t>другие</t>
  </si>
  <si>
    <t>способы</t>
  </si>
  <si>
    <t># text = Так можно приблизительно контролировать, куда он движется.</t>
  </si>
  <si>
    <t>Так</t>
  </si>
  <si>
    <t>приблизительно</t>
  </si>
  <si>
    <t>куда</t>
  </si>
  <si>
    <t>движется</t>
  </si>
  <si>
    <t># text = Думаю, нам под силу создать всемирный парк таких шаров, который смог бы покрыть Интернетом всю планету.</t>
  </si>
  <si>
    <t>под</t>
  </si>
  <si>
    <t>силу</t>
  </si>
  <si>
    <t>всемирный</t>
  </si>
  <si>
    <t>парк</t>
  </si>
  <si>
    <t>шаров</t>
  </si>
  <si>
    <t>смог</t>
  </si>
  <si>
    <t>покрыть</t>
  </si>
  <si>
    <t>всю</t>
  </si>
  <si>
    <t>планету</t>
  </si>
  <si>
    <t># text = Прежде чем мы поговорим о будущем и транспорте — ты в последнее время просто подсел на сферу транспорта, перевозок, беспилотных автомобилей и велосипедов — позволь мне вернуться к тому, о чём здесь недавно говорил Эдвард Сноуден.</t>
  </si>
  <si>
    <t>Прежде</t>
  </si>
  <si>
    <t>транспорте</t>
  </si>
  <si>
    <t>подсел</t>
  </si>
  <si>
    <t>сферу</t>
  </si>
  <si>
    <t>транспорта</t>
  </si>
  <si>
    <t>перевозок</t>
  </si>
  <si>
    <t>беспилотных</t>
  </si>
  <si>
    <t>автомобилей</t>
  </si>
  <si>
    <t>велосипедов</t>
  </si>
  <si>
    <t>позволь</t>
  </si>
  <si>
    <t>вернуться</t>
  </si>
  <si>
    <t>тому</t>
  </si>
  <si>
    <t>чём</t>
  </si>
  <si>
    <t>говорил</t>
  </si>
  <si>
    <t>Эдвард</t>
  </si>
  <si>
    <t>Сноуден</t>
  </si>
  <si>
    <t># text = Вопросы безопасности и охраны личных данных.</t>
  </si>
  <si>
    <t>Вопросы</t>
  </si>
  <si>
    <t>безопасности</t>
  </si>
  <si>
    <t>охраны</t>
  </si>
  <si>
    <t>личных</t>
  </si>
  <si>
    <t># text = Ты точно об этом задумывался.</t>
  </si>
  <si>
    <t>задумывался</t>
  </si>
  <si>
    <t># text = ЛП: Да, конечно.</t>
  </si>
  <si>
    <t>конечно</t>
  </si>
  <si>
    <t># text = Я вчера видел фотографию Сергея с Эдвардом Сноуденом.</t>
  </si>
  <si>
    <t>вчера</t>
  </si>
  <si>
    <t>видел</t>
  </si>
  <si>
    <t>фотографию</t>
  </si>
  <si>
    <t>Сергея</t>
  </si>
  <si>
    <t>Эдвардом</t>
  </si>
  <si>
    <t>Сноуденом</t>
  </si>
  <si>
    <t># text = Некоторые из вас тоже её видели.</t>
  </si>
  <si>
    <t>Некоторые</t>
  </si>
  <si>
    <t>тоже</t>
  </si>
  <si>
    <t>видели</t>
  </si>
  <si>
    <t># text = Лично для меня охрана личных данных и их безопасность очень важны.</t>
  </si>
  <si>
    <t>Лично</t>
  </si>
  <si>
    <t>безопасность</t>
  </si>
  <si>
    <t>важны</t>
  </si>
  <si>
    <t># text = Мы рассматриваем их как две разные вещи, но я думаю, у нас не может быть одного без другого.</t>
  </si>
  <si>
    <t>рассматриваем</t>
  </si>
  <si>
    <t>две</t>
  </si>
  <si>
    <t>разные</t>
  </si>
  <si>
    <t>одного</t>
  </si>
  <si>
    <t>другого</t>
  </si>
  <si>
    <t># text = Сначала о безопасности, поскольку мы говорим о Сноудене, а затем я скажу кое-что об охране данных.</t>
  </si>
  <si>
    <t>Сначала</t>
  </si>
  <si>
    <t>поскольку</t>
  </si>
  <si>
    <t>говорим</t>
  </si>
  <si>
    <t>Сноудене</t>
  </si>
  <si>
    <t>затем</t>
  </si>
  <si>
    <t>скажу</t>
  </si>
  <si>
    <t>кое-что</t>
  </si>
  <si>
    <t># text = Я считаю вопиющим тот факт, что правительство в тайне от нас сделало то, что сделало.</t>
  </si>
  <si>
    <t>считаю</t>
  </si>
  <si>
    <t>вопиющим</t>
  </si>
  <si>
    <t>тот</t>
  </si>
  <si>
    <t>факт</t>
  </si>
  <si>
    <t>правительство</t>
  </si>
  <si>
    <t>тайне</t>
  </si>
  <si>
    <t>от</t>
  </si>
  <si>
    <t>сделало</t>
  </si>
  <si>
    <t># text = Не думаю, что мы можем говорить о демократии, если мы должны защищать себя и пользователей от правительства, которое совершает ни с кем не оговорённые поступки.</t>
  </si>
  <si>
    <t>можем</t>
  </si>
  <si>
    <t>демократии</t>
  </si>
  <si>
    <t>защищать</t>
  </si>
  <si>
    <t>правительства</t>
  </si>
  <si>
    <t>совершает</t>
  </si>
  <si>
    <t>ни</t>
  </si>
  <si>
    <t>кем</t>
  </si>
  <si>
    <t>оговорённые</t>
  </si>
  <si>
    <t>поступки</t>
  </si>
  <si>
    <t>OBJ_7</t>
  </si>
  <si>
    <t># text = Я не говорю, что мы должны точно знать, от какой именно террористической атаки они защищают нас в этот раз.</t>
  </si>
  <si>
    <t>говорю</t>
  </si>
  <si>
    <t>террористической</t>
  </si>
  <si>
    <t>атаки</t>
  </si>
  <si>
    <t>защищают</t>
  </si>
  <si>
    <t># text = Но мы должны знать масштаб того, что они предпринимают, какой именно надзор они осуществляют, как и почему.</t>
  </si>
  <si>
    <t>масштаб</t>
  </si>
  <si>
    <t>предпринимают</t>
  </si>
  <si>
    <t>надзор</t>
  </si>
  <si>
    <t>осуществляют</t>
  </si>
  <si>
    <t># text = Не думаю, что нам было об этом сказано.</t>
  </si>
  <si>
    <t># text = Я считаю, что правительство показало себя с очень плохой стороны, совершив все эти действия в тайне от нас.</t>
  </si>
  <si>
    <t>показало</t>
  </si>
  <si>
    <t>плохой</t>
  </si>
  <si>
    <t>стороны</t>
  </si>
  <si>
    <t>совершив</t>
  </si>
  <si>
    <t>действия</t>
  </si>
  <si>
    <t># text = ЧР: Они точно не спросили у Google, как поступить.</t>
  </si>
  <si>
    <t>спросили</t>
  </si>
  <si>
    <t>поступить</t>
  </si>
  <si>
    <t># text = ЛП: Они должны были спросить не у Google, а у людей; нам нужно публичное обсуждение, иначе демократия не может существовать.</t>
  </si>
  <si>
    <t>спросить</t>
  </si>
  <si>
    <t>;</t>
  </si>
  <si>
    <t>публичное</t>
  </si>
  <si>
    <t>обсуждение</t>
  </si>
  <si>
    <t>иначе</t>
  </si>
  <si>
    <t>демократия</t>
  </si>
  <si>
    <t>существовать</t>
  </si>
  <si>
    <t># text = Иначе это просто невозможно.</t>
  </si>
  <si>
    <t>Иначе</t>
  </si>
  <si>
    <t>невозможно</t>
  </si>
  <si>
    <t># text = Поэтому мне жаль, что Google вынужден защищать вас и наших пользователей от секретных действий правительства, о которых никто не имеет никакого понятия.</t>
  </si>
  <si>
    <t>вынужден</t>
  </si>
  <si>
    <t>секретных</t>
  </si>
  <si>
    <t>действий</t>
  </si>
  <si>
    <t>которых</t>
  </si>
  <si>
    <t>имеет</t>
  </si>
  <si>
    <t>никакого</t>
  </si>
  <si>
    <t>понятия</t>
  </si>
  <si>
    <t># text = Это просто абсурдно.</t>
  </si>
  <si>
    <t>абсурдно</t>
  </si>
  <si>
    <t># text = ЧР: Да.</t>
  </si>
  <si>
    <t># text = Но есть ещё и охрана персональных данных.</t>
  </si>
  <si>
    <t># text = Охрана персональных данных.</t>
  </si>
  <si>
    <t>Охрана</t>
  </si>
  <si>
    <t># text = Думаю, мир меняется.</t>
  </si>
  <si>
    <t>меняется</t>
  </si>
  <si>
    <t># text = У тебя с собой сотовый телефон, и можно определить, где ты.</t>
  </si>
  <si>
    <t>сотовый</t>
  </si>
  <si>
    <t>определить</t>
  </si>
  <si>
    <t># text = О тебе известно ещё больше информации, и это важно, поэтому понятно, почему люди задают сложные вопросы.</t>
  </si>
  <si>
    <t>О</t>
  </si>
  <si>
    <t>известно</t>
  </si>
  <si>
    <t>больше</t>
  </si>
  <si>
    <t>важно</t>
  </si>
  <si>
    <t>понятно</t>
  </si>
  <si>
    <t>задают</t>
  </si>
  <si>
    <t>сложные</t>
  </si>
  <si>
    <t>вопросы</t>
  </si>
  <si>
    <t># text = Мы много над этим работаем, пытаясь понять какие у нас проблемы.</t>
  </si>
  <si>
    <t>пытаясь</t>
  </si>
  <si>
    <t>какие</t>
  </si>
  <si>
    <t>проблемы</t>
  </si>
  <si>
    <t># text = Думаю, самое главное, что мы можем сделать, — дать людям выбор, показать им, какая информация собирается: история поиска, местонахождение.</t>
  </si>
  <si>
    <t>самое</t>
  </si>
  <si>
    <t>главное</t>
  </si>
  <si>
    <t>выбор</t>
  </si>
  <si>
    <t>какая</t>
  </si>
  <si>
    <t>информация</t>
  </si>
  <si>
    <t>собирается</t>
  </si>
  <si>
    <t>история</t>
  </si>
  <si>
    <t>местонахождение</t>
  </si>
  <si>
    <t># text = Нам нравится режим инкогнито в браузере Chrome.</t>
  </si>
  <si>
    <t>Нам</t>
  </si>
  <si>
    <t>нравится</t>
  </si>
  <si>
    <t>режим</t>
  </si>
  <si>
    <t>инкогнито</t>
  </si>
  <si>
    <t>браузере</t>
  </si>
  <si>
    <t>Chrome</t>
  </si>
  <si>
    <t># text = Похожие шаги в других направлениях дадут людям больше выбора и осведомят о том, что происходит.</t>
  </si>
  <si>
    <t>Похожие</t>
  </si>
  <si>
    <t>шаги</t>
  </si>
  <si>
    <t>направлениях</t>
  </si>
  <si>
    <t>дадут</t>
  </si>
  <si>
    <t>выбора</t>
  </si>
  <si>
    <t>осведомят</t>
  </si>
  <si>
    <t>происходит</t>
  </si>
  <si>
    <t># text = Думаю, это сделать довольно просто.</t>
  </si>
  <si>
    <t>довольно</t>
  </si>
  <si>
    <t># text = Но я боюсь, что мы можем потерять суть, отбрасывая детали.</t>
  </si>
  <si>
    <t>боюсь</t>
  </si>
  <si>
    <t>потерять</t>
  </si>
  <si>
    <t>суть</t>
  </si>
  <si>
    <t>отбрасывая</t>
  </si>
  <si>
    <t>детали</t>
  </si>
  <si>
    <t># text = Кстати, я потерял голос именно на твоём шоу, и он ко мне так и не вернулся.</t>
  </si>
  <si>
    <t>потерял</t>
  </si>
  <si>
    <t>голос</t>
  </si>
  <si>
    <t>твоём</t>
  </si>
  <si>
    <t>шоу</t>
  </si>
  <si>
    <t>ко</t>
  </si>
  <si>
    <t>вернулся</t>
  </si>
  <si>
    <t># text = Я надеюсь, что снова разговаривая с тобой, я смогу заполучить его назад.</t>
  </si>
  <si>
    <t>надеюсь</t>
  </si>
  <si>
    <t>снова</t>
  </si>
  <si>
    <t>разговаривая</t>
  </si>
  <si>
    <t>тобой</t>
  </si>
  <si>
    <t>смогу</t>
  </si>
  <si>
    <t>заполучить</t>
  </si>
  <si>
    <t># text = Я бы сделал всё возможное, чтобы это произошло.</t>
  </si>
  <si>
    <t>сделал</t>
  </si>
  <si>
    <t>возможное</t>
  </si>
  <si>
    <t># text = ЛП: Ну хорошо, доставай свою куклу вуду, или что ты там обычно делаешь.</t>
  </si>
  <si>
    <t>Ну</t>
  </si>
  <si>
    <t>доставай</t>
  </si>
  <si>
    <t>свою</t>
  </si>
  <si>
    <t>куклу</t>
  </si>
  <si>
    <t>вуду</t>
  </si>
  <si>
    <t>там</t>
  </si>
  <si>
    <t>обычно</t>
  </si>
  <si>
    <t># text = Знаешь, что я думаю?</t>
  </si>
  <si>
    <t>Знаешь</t>
  </si>
  <si>
    <t># text = Я открыто заявил о своей проблеме, нашёл много информации.</t>
  </si>
  <si>
    <t>открыто</t>
  </si>
  <si>
    <t>заявил</t>
  </si>
  <si>
    <t>своей</t>
  </si>
  <si>
    <t>проблеме</t>
  </si>
  <si>
    <t># text = Мы провели обследование людей с похожей проблемой.</t>
  </si>
  <si>
    <t>провели</t>
  </si>
  <si>
    <t>обследование</t>
  </si>
  <si>
    <t>похожей</t>
  </si>
  <si>
    <t>проблемой</t>
  </si>
  <si>
    <t># text = И когда я посмотрел на результаты, я подумал: как бы было замечательно, если бы медицинская документация анонимно была доступна врачам-исследователям.</t>
  </si>
  <si>
    <t>посмотрел</t>
  </si>
  <si>
    <t>результаты</t>
  </si>
  <si>
    <t>медицинская</t>
  </si>
  <si>
    <t>документация</t>
  </si>
  <si>
    <t>анонимно</t>
  </si>
  <si>
    <t>была</t>
  </si>
  <si>
    <t>доступна</t>
  </si>
  <si>
    <t>врачам</t>
  </si>
  <si>
    <t>исследователям</t>
  </si>
  <si>
    <t># text = Когда врач-исследователь просматривает твою медицинскую документацию, ты можешь видеть, что это за доктор и для чего ему это, и, возможно, тебе станет более понятно твоё медицинское заключение.</t>
  </si>
  <si>
    <t>врач</t>
  </si>
  <si>
    <t>исследователь</t>
  </si>
  <si>
    <t>просматривает</t>
  </si>
  <si>
    <t>твою</t>
  </si>
  <si>
    <t>медицинскую</t>
  </si>
  <si>
    <t>документацию</t>
  </si>
  <si>
    <t>можешь</t>
  </si>
  <si>
    <t>доктор</t>
  </si>
  <si>
    <t>ему</t>
  </si>
  <si>
    <t>станет</t>
  </si>
  <si>
    <t>твоё</t>
  </si>
  <si>
    <t>медицинское</t>
  </si>
  <si>
    <t>заключение</t>
  </si>
  <si>
    <t># text = Думаю, это дало бы нам возможность спасать 100 000 жизней каждый год.</t>
  </si>
  <si>
    <t>дало</t>
  </si>
  <si>
    <t>спасать</t>
  </si>
  <si>
    <t>100 000</t>
  </si>
  <si>
    <t>жизней</t>
  </si>
  <si>
    <t>каждый</t>
  </si>
  <si>
    <t>год</t>
  </si>
  <si>
    <t># text = ЧР: Конечно.</t>
  </si>
  <si>
    <t>Конечно</t>
  </si>
  <si>
    <t># text = Позволь мне продолжить — ЛП:</t>
  </si>
  <si>
    <t>Позволь</t>
  </si>
  <si>
    <t>продолжить</t>
  </si>
  <si>
    <t># text = Я только боюсь, что мы поступаем с охраной личных данных в Интернете так же, как с медицинской документацией — отбрасываем как плохое, так и хорошее.</t>
  </si>
  <si>
    <t>поступаем</t>
  </si>
  <si>
    <t>охраной</t>
  </si>
  <si>
    <t>медицинской</t>
  </si>
  <si>
    <t>документацией</t>
  </si>
  <si>
    <t>отбрасываем</t>
  </si>
  <si>
    <t>плохое</t>
  </si>
  <si>
    <t>хорошее</t>
  </si>
  <si>
    <t># text = Заботясь о деталях, мы упускаем огромное благо, которое мы могли бы получить от людей, делящихся информацией с нужными людьми в нужный момент.</t>
  </si>
  <si>
    <t>Заботясь</t>
  </si>
  <si>
    <t>упускаем</t>
  </si>
  <si>
    <t>огромное</t>
  </si>
  <si>
    <t>благо</t>
  </si>
  <si>
    <t>делящихся</t>
  </si>
  <si>
    <t>информацией</t>
  </si>
  <si>
    <t>нужными</t>
  </si>
  <si>
    <t>момент</t>
  </si>
  <si>
    <t># text = Очень важно, чтобы люди были уверены: их информацией не будут злоупотреблять.</t>
  </si>
  <si>
    <t>Очень</t>
  </si>
  <si>
    <t>уверены</t>
  </si>
  <si>
    <t>будут</t>
  </si>
  <si>
    <t>злоупотреблять</t>
  </si>
  <si>
    <t># text = ЛП: У меня было то же опасение, когда я узнал о проблеме с голосом.</t>
  </si>
  <si>
    <t>опасение</t>
  </si>
  <si>
    <t>узнал</t>
  </si>
  <si>
    <t># text = Я боялся поделиться информацией.</t>
  </si>
  <si>
    <t>боялся</t>
  </si>
  <si>
    <t># text = Сергей подбадривал меня, я ему очень за это благодарен.</t>
  </si>
  <si>
    <t>Сергей</t>
  </si>
  <si>
    <t>подбадривал</t>
  </si>
  <si>
    <t>благодарен</t>
  </si>
  <si>
    <t># text = И результаты были ошеломляющими.</t>
  </si>
  <si>
    <t>ошеломляющими</t>
  </si>
  <si>
    <t># text = ЛП: Да, люди очень поддержали меня.</t>
  </si>
  <si>
    <t>поддержали</t>
  </si>
  <si>
    <t># text = С нами связались тысячи людей с похожей проблемой, которая на сегодняшний день практически не изучена.</t>
  </si>
  <si>
    <t>С</t>
  </si>
  <si>
    <t>связались</t>
  </si>
  <si>
    <t>тысячи</t>
  </si>
  <si>
    <t>которая</t>
  </si>
  <si>
    <t>сегодняшний</t>
  </si>
  <si>
    <t>день</t>
  </si>
  <si>
    <t>практически</t>
  </si>
  <si>
    <t>изучена</t>
  </si>
  <si>
    <t># text = Это было замечательно.</t>
  </si>
  <si>
    <t># text = ЧР: Давай поговорим о будущем.</t>
  </si>
  <si>
    <t>Давай</t>
  </si>
  <si>
    <t># text = Расскажи, чем вы занимаетесь в рамках транспортной системы?</t>
  </si>
  <si>
    <t>Расскажи</t>
  </si>
  <si>
    <t>занимаетесь</t>
  </si>
  <si>
    <t>транспортной</t>
  </si>
  <si>
    <t>системы</t>
  </si>
  <si>
    <t># text = ЛП: Думаю, этот вопрос мучил меня, ещё когда я учился в колледже в Мичигане.</t>
  </si>
  <si>
    <t>мучил</t>
  </si>
  <si>
    <t>учился</t>
  </si>
  <si>
    <t>колледже</t>
  </si>
  <si>
    <t>Мичигане</t>
  </si>
  <si>
    <t># text = Я должен был добираться на автобусе и долго его ждать.</t>
  </si>
  <si>
    <t>добираться</t>
  </si>
  <si>
    <t>автобусе</t>
  </si>
  <si>
    <t>долго</t>
  </si>
  <si>
    <t>ждать</t>
  </si>
  <si>
    <t># text = Было очень холодно и снежно.</t>
  </si>
  <si>
    <t>холодно</t>
  </si>
  <si>
    <t>снежно</t>
  </si>
  <si>
    <t># text = Я провёл исследование, во сколько вся эта система обходится, и именно тогда очень сильно увлёкся системами транспортировки.</t>
  </si>
  <si>
    <t>исследование</t>
  </si>
  <si>
    <t>сколько</t>
  </si>
  <si>
    <t>вся</t>
  </si>
  <si>
    <t>эта</t>
  </si>
  <si>
    <t>обходится</t>
  </si>
  <si>
    <t>тогда</t>
  </si>
  <si>
    <t>сильно</t>
  </si>
  <si>
    <t>увлёкся</t>
  </si>
  <si>
    <t>системами</t>
  </si>
  <si>
    <t>транспортировки</t>
  </si>
  <si>
    <t># text = И так родилась идея беспилотного автомобиля.</t>
  </si>
  <si>
    <t>родилась</t>
  </si>
  <si>
    <t>беспилотного</t>
  </si>
  <si>
    <t>автомобиля</t>
  </si>
  <si>
    <t># text = Около 18 лет назад я узнал о людях, работающих на таких машинах, и меня это очаровало.</t>
  </si>
  <si>
    <t>Около</t>
  </si>
  <si>
    <t>людях</t>
  </si>
  <si>
    <t>работающих</t>
  </si>
  <si>
    <t>машинах</t>
  </si>
  <si>
    <t>очаровало</t>
  </si>
  <si>
    <t># text = Нужно много времени, прежде чем подобный проект воплотится в жизнь, но я рад, что с его помощью у нас есть возможность улучшить нашу планету.</t>
  </si>
  <si>
    <t>Нужно</t>
  </si>
  <si>
    <t>подобный</t>
  </si>
  <si>
    <t>воплотится</t>
  </si>
  <si>
    <t>рад</t>
  </si>
  <si>
    <t>помощью</t>
  </si>
  <si>
    <t># text = Каждый год увечья получают более 20 млн человек.</t>
  </si>
  <si>
    <t>Каждый</t>
  </si>
  <si>
    <t>увечья</t>
  </si>
  <si>
    <t>получают</t>
  </si>
  <si>
    <t>млн</t>
  </si>
  <si>
    <t># text = Это самая распространённая причина смерти среди людей моложе 34 лет в США.</t>
  </si>
  <si>
    <t>самая</t>
  </si>
  <si>
    <t>распространённая</t>
  </si>
  <si>
    <t>смерти</t>
  </si>
  <si>
    <t>среди</t>
  </si>
  <si>
    <t>моложе</t>
  </si>
  <si>
    <t>США</t>
  </si>
  <si>
    <t># text = ЧР: Ты говоришь о спасении жизней.</t>
  </si>
  <si>
    <t>говоришь</t>
  </si>
  <si>
    <t>спасении</t>
  </si>
  <si>
    <t># text = ЛП: Да, а также об экономии пространства и улучшении жизни.</t>
  </si>
  <si>
    <t>экономии</t>
  </si>
  <si>
    <t>пространства</t>
  </si>
  <si>
    <t>улучшении</t>
  </si>
  <si>
    <t># text = Лос-Анджелес наполовину заполнен парковками и дорогами, наполовину!</t>
  </si>
  <si>
    <t>Лос</t>
  </si>
  <si>
    <t>-Анджелес</t>
  </si>
  <si>
    <t>наполовину</t>
  </si>
  <si>
    <t>заполнен</t>
  </si>
  <si>
    <t>парковками</t>
  </si>
  <si>
    <t>дорогами</t>
  </si>
  <si>
    <t>!</t>
  </si>
  <si>
    <t># text = И большинство городов далеко не лучше.</t>
  </si>
  <si>
    <t>большинство</t>
  </si>
  <si>
    <t>городов</t>
  </si>
  <si>
    <t>далеко</t>
  </si>
  <si>
    <t># text = Немыслимо, что мы используем пространство именно для этого.</t>
  </si>
  <si>
    <t>Немыслимо</t>
  </si>
  <si>
    <t>пространство</t>
  </si>
  <si>
    <t># text = Как скоро мы сможем изменить ситуацию?</t>
  </si>
  <si>
    <t>скоро</t>
  </si>
  <si>
    <t># text = ЛП: Думаю, очень-очень скоро.</t>
  </si>
  <si>
    <t># text = Мы уже проехали более 160 000 км на полностью беспилотной машине.</t>
  </si>
  <si>
    <t>проехали</t>
  </si>
  <si>
    <t>160 000</t>
  </si>
  <si>
    <t>км</t>
  </si>
  <si>
    <t>полностью</t>
  </si>
  <si>
    <t>беспилотной</t>
  </si>
  <si>
    <t>машине</t>
  </si>
  <si>
    <t># text = Не могу дождаться момента, когда мы представим этот проект публике.</t>
  </si>
  <si>
    <t>дождаться</t>
  </si>
  <si>
    <t>момента</t>
  </si>
  <si>
    <t>представим</t>
  </si>
  <si>
    <t>публике</t>
  </si>
  <si>
    <t># text = ЧР: Но ты говоришь не только о беспилотных автомобилях, но также о беспилотных велосипедах.</t>
  </si>
  <si>
    <t>автомобилях</t>
  </si>
  <si>
    <t>велосипедах</t>
  </si>
  <si>
    <t># text = ЛП:</t>
  </si>
  <si>
    <t># text = У нас в Google появилась идея: у каждого должен быть доступ к велосипеду.</t>
  </si>
  <si>
    <t>появилась</t>
  </si>
  <si>
    <t>каждого</t>
  </si>
  <si>
    <t>велосипеду</t>
  </si>
  <si>
    <t># text = И идея сработала во многих местах.</t>
  </si>
  <si>
    <t>сработала</t>
  </si>
  <si>
    <t>местах</t>
  </si>
  <si>
    <t># text = Ты видишь, велосипеды повсюду, они изнашиваются, потому что люди используют их 24 часа в сутки.</t>
  </si>
  <si>
    <t>видишь</t>
  </si>
  <si>
    <t>велосипеды</t>
  </si>
  <si>
    <t>повсюду</t>
  </si>
  <si>
    <t>изнашиваются</t>
  </si>
  <si>
    <t>потому</t>
  </si>
  <si>
    <t>используют</t>
  </si>
  <si>
    <t>часа</t>
  </si>
  <si>
    <t>сутки</t>
  </si>
  <si>
    <t># text = ЧР: Вы хотите также оторвать их от земли.</t>
  </si>
  <si>
    <t>Вы</t>
  </si>
  <si>
    <t>хотите</t>
  </si>
  <si>
    <t>оторвать</t>
  </si>
  <si>
    <t>земли</t>
  </si>
  <si>
    <t># text = ЛП: Я подумал: как можно заставить людей чаще использовать велосипед?</t>
  </si>
  <si>
    <t>чаще</t>
  </si>
  <si>
    <t>велосипед</t>
  </si>
  <si>
    <t># text = ЧР: У нас есть видео.</t>
  </si>
  <si>
    <t># text = ЛП: Да, давай покажем видео.</t>
  </si>
  <si>
    <t>давай</t>
  </si>
  <si>
    <t>покажем</t>
  </si>
  <si>
    <t># text = Мне это безумно нравится.</t>
  </si>
  <si>
    <t>Мне</t>
  </si>
  <si>
    <t># text = (Музыка) Вот как можно отделить велосипеды от автомобилей при минимальных расходах.</t>
  </si>
  <si>
    <t>Музыка</t>
  </si>
  <si>
    <t>отделить</t>
  </si>
  <si>
    <t>минимальных</t>
  </si>
  <si>
    <t>расходах</t>
  </si>
  <si>
    <t># text = Кажется невероятным, но я как раз размышлял о наших университетских городках.</t>
  </si>
  <si>
    <t>Кажется</t>
  </si>
  <si>
    <t>невероятным</t>
  </si>
  <si>
    <t>размышлял</t>
  </si>
  <si>
    <t>университетских</t>
  </si>
  <si>
    <t>городках</t>
  </si>
  <si>
    <t># text = Мы работаем с городскими управлениями, пытаясь увеличить количество велосипедов в городах.</t>
  </si>
  <si>
    <t>городскими</t>
  </si>
  <si>
    <t>управлениями</t>
  </si>
  <si>
    <t>увеличить</t>
  </si>
  <si>
    <t>количество</t>
  </si>
  <si>
    <t>городах</t>
  </si>
  <si>
    <t># text = Я подумал: как можно при наименьших затратах отделить велосипеды от потока машин?</t>
  </si>
  <si>
    <t>наименьших</t>
  </si>
  <si>
    <t>затратах</t>
  </si>
  <si>
    <t>потока</t>
  </si>
  <si>
    <t>машин</t>
  </si>
  <si>
    <t># text = Я поискал и нашёл вот это.</t>
  </si>
  <si>
    <t># text = Мы на самом деле над этим не работаем, именно над этой идеей, но она захватывает воображение.</t>
  </si>
  <si>
    <t>этой</t>
  </si>
  <si>
    <t>идеей</t>
  </si>
  <si>
    <t>захватывает</t>
  </si>
  <si>
    <t>воображение</t>
  </si>
  <si>
    <t># text = ЧР: Давай закончим на следующем.</t>
  </si>
  <si>
    <t>закончим</t>
  </si>
  <si>
    <t>следующем</t>
  </si>
  <si>
    <t># text = Дай мне представление о твоей жизненной философии.</t>
  </si>
  <si>
    <t>Дай</t>
  </si>
  <si>
    <t>представление</t>
  </si>
  <si>
    <t>жизненной</t>
  </si>
  <si>
    <t>философии</t>
  </si>
  <si>
    <t># text = У вас есть подразделение Google X, и вы не хотите заниматься обычными проектами с посредственными результатами.</t>
  </si>
  <si>
    <t>подразделение</t>
  </si>
  <si>
    <t>X</t>
  </si>
  <si>
    <t>обычными</t>
  </si>
  <si>
    <t>проектами</t>
  </si>
  <si>
    <t>посредственными</t>
  </si>
  <si>
    <t>результатами</t>
  </si>
  <si>
    <t># text = ЛП: Да, думаю, что большинство идей, о которых мы поговорили, совсем другие, они масштабные.</t>
  </si>
  <si>
    <t>идей</t>
  </si>
  <si>
    <t>поговорили</t>
  </si>
  <si>
    <t>масштабные</t>
  </si>
  <si>
    <t># text = Я бы даже упомянул принцип дополнительности: мы разрабатываем что-то, что не было бы возможным, если бы мы это не разрабатывали.</t>
  </si>
  <si>
    <t>даже</t>
  </si>
  <si>
    <t>упомянул</t>
  </si>
  <si>
    <t>принцип</t>
  </si>
  <si>
    <t>дополнительности</t>
  </si>
  <si>
    <t>разрабатываем</t>
  </si>
  <si>
    <t>возможным</t>
  </si>
  <si>
    <t>разрабатывали</t>
  </si>
  <si>
    <t># text = Чем больше мы занимаемся такими проектами, тем важнее их результат.</t>
  </si>
  <si>
    <t>Чем</t>
  </si>
  <si>
    <t>такими</t>
  </si>
  <si>
    <t>важнее</t>
  </si>
  <si>
    <t># text = Мы хотим делать то, что до сегодняшнего дня казалось невозможным.</t>
  </si>
  <si>
    <t>сегодняшнего</t>
  </si>
  <si>
    <t>дня</t>
  </si>
  <si>
    <t>казалось</t>
  </si>
  <si>
    <t>невозможным</t>
  </si>
  <si>
    <t># text = Это изумительно, чем больше я узнаю о технологии, тем чаще я осознаю, что я о ней ничего не знаю.</t>
  </si>
  <si>
    <t>узнаю</t>
  </si>
  <si>
    <t>осознаю</t>
  </si>
  <si>
    <t># text = Тот технологический горизонт, та вещь, которую можно сделать следующей, — чем больше ты узнаёшь о технологии, тем больше понимаешь, что ещё можно создавать.</t>
  </si>
  <si>
    <t>Тот</t>
  </si>
  <si>
    <t>технологический</t>
  </si>
  <si>
    <t>вещь</t>
  </si>
  <si>
    <t>которую</t>
  </si>
  <si>
    <t>следующей</t>
  </si>
  <si>
    <t>узнаёшь</t>
  </si>
  <si>
    <t>понимаешь</t>
  </si>
  <si>
    <t># text = Ты осознаёшь, что использование воздушных шаров возможно только благодаря специальному материалу, из которых они сделаны.</t>
  </si>
  <si>
    <t>осознаёшь</t>
  </si>
  <si>
    <t>использование</t>
  </si>
  <si>
    <t>воздушных</t>
  </si>
  <si>
    <t>благодаря</t>
  </si>
  <si>
    <t>специальному</t>
  </si>
  <si>
    <t>материалу</t>
  </si>
  <si>
    <t>сделаны</t>
  </si>
  <si>
    <t># text = В тебе мне интересен тот аспект, что — к нам приходит много людей, думающих о будущем, они приходят и уходят, и мы никогда не видим практическую реализацию идей.</t>
  </si>
  <si>
    <t>интересен</t>
  </si>
  <si>
    <t>аспект</t>
  </si>
  <si>
    <t>приходит</t>
  </si>
  <si>
    <t>думающих</t>
  </si>
  <si>
    <t>приходят</t>
  </si>
  <si>
    <t>уходят</t>
  </si>
  <si>
    <t>никогда</t>
  </si>
  <si>
    <t>видим</t>
  </si>
  <si>
    <t>практическую</t>
  </si>
  <si>
    <t>реализацию</t>
  </si>
  <si>
    <t># text = Я думаю об одном человеке, которого ты точно знаешь и о котором читал — Тесла.</t>
  </si>
  <si>
    <t>человеке</t>
  </si>
  <si>
    <t>которого</t>
  </si>
  <si>
    <t>читал</t>
  </si>
  <si>
    <t>Тесла</t>
  </si>
  <si>
    <t># text = Что бы ты у него позаимствовал?</t>
  </si>
  <si>
    <t>позаимствовал</t>
  </si>
  <si>
    <t># text = ЛП: Думаю, недостаточно просто изобрести что-либо.</t>
  </si>
  <si>
    <t>недостаточно</t>
  </si>
  <si>
    <t>изобрести</t>
  </si>
  <si>
    <t>что-либо</t>
  </si>
  <si>
    <t># text = Если ты что-либо изобретаешь — Тесла дал нам электричество в том виде, в котором мы сегодня его используем, но ему было трудно передать его людям.</t>
  </si>
  <si>
    <t>изобретаешь</t>
  </si>
  <si>
    <t>дал</t>
  </si>
  <si>
    <t>электричество</t>
  </si>
  <si>
    <t>виде</t>
  </si>
  <si>
    <t>трудно</t>
  </si>
  <si>
    <t>передать</t>
  </si>
  <si>
    <t># text = Другие должны были это сделать.</t>
  </si>
  <si>
    <t>Другие</t>
  </si>
  <si>
    <t># text = Понадобилось время.</t>
  </si>
  <si>
    <t>Понадобилось</t>
  </si>
  <si>
    <t># text = Думаю, если нам удастся соединить эти две вещи — инновации, изобретения и способность какой-либо компании поставить продукт на коммерческую ногу — мы могли бы передать инновации людям, что повлияло бы положительно на мир и дало бы людям надежду.</t>
  </si>
  <si>
    <t>удастся</t>
  </si>
  <si>
    <t>соединить</t>
  </si>
  <si>
    <t>изобретения</t>
  </si>
  <si>
    <t>способность</t>
  </si>
  <si>
    <t>какой-либо</t>
  </si>
  <si>
    <t>поставить</t>
  </si>
  <si>
    <t>продукт</t>
  </si>
  <si>
    <t>коммерческую</t>
  </si>
  <si>
    <t>ногу</t>
  </si>
  <si>
    <t>повлияло</t>
  </si>
  <si>
    <t>надежду</t>
  </si>
  <si>
    <t># text = Я изумлён проектом Loon Project точно так же, как и другие люди, потому что он дал надежду на лучшее двум третьим нашей планеты, не имеющим доступа в Интернет.</t>
  </si>
  <si>
    <t>изумлён</t>
  </si>
  <si>
    <t>проектом</t>
  </si>
  <si>
    <t>лучшее</t>
  </si>
  <si>
    <t>двум</t>
  </si>
  <si>
    <t>третьим</t>
  </si>
  <si>
    <t>нашей</t>
  </si>
  <si>
    <t>планеты</t>
  </si>
  <si>
    <t>имеющим</t>
  </si>
  <si>
    <t># text = Что подводит нас к вопросу о корпорациях.</t>
  </si>
  <si>
    <t>подводит</t>
  </si>
  <si>
    <t>вопросу</t>
  </si>
  <si>
    <t>корпорациях</t>
  </si>
  <si>
    <t># text = Ты один из тех, кто убеждён, что корпорации могут привнести положительные перемены, если ими как следует управляют.</t>
  </si>
  <si>
    <t>тех</t>
  </si>
  <si>
    <t>убеждён</t>
  </si>
  <si>
    <t>корпорации</t>
  </si>
  <si>
    <t>привнести</t>
  </si>
  <si>
    <t>положительные</t>
  </si>
  <si>
    <t>перемены</t>
  </si>
  <si>
    <t>ими</t>
  </si>
  <si>
    <t>следует</t>
  </si>
  <si>
    <t>управляют</t>
  </si>
  <si>
    <t># text = ЛП: Да, меня тревожит тот факт, что большинство людей считают крупные компании воплощением зла.</t>
  </si>
  <si>
    <t>тревожит</t>
  </si>
  <si>
    <t>считают</t>
  </si>
  <si>
    <t>крупные</t>
  </si>
  <si>
    <t>воплощением</t>
  </si>
  <si>
    <t>зла</t>
  </si>
  <si>
    <t># text = У них плохая репутация.</t>
  </si>
  <si>
    <t>плохая</t>
  </si>
  <si>
    <t>репутация</t>
  </si>
  <si>
    <t># text = Думаю, нужно это менять.</t>
  </si>
  <si>
    <t>менять</t>
  </si>
  <si>
    <t># text = Компании развиваются точно так же, как они это делали 50 или 20 лет назад.</t>
  </si>
  <si>
    <t>Компании</t>
  </si>
  <si>
    <t>развиваются</t>
  </si>
  <si>
    <t>делали</t>
  </si>
  <si>
    <t># text = Но нам нужно не это.</t>
  </si>
  <si>
    <t># text = Особенно в сфере технологий, нам нужны революционные, а не постепенные изменения.</t>
  </si>
  <si>
    <t>Особенно</t>
  </si>
  <si>
    <t>технологий</t>
  </si>
  <si>
    <t>нужны</t>
  </si>
  <si>
    <t>революционные</t>
  </si>
  <si>
    <t>постепенные</t>
  </si>
  <si>
    <t>изменения</t>
  </si>
  <si>
    <t># text = Однажды ты сказал — поправь меня, если я не прав — что если ты решишь пожертвовать свои сбережения на что-либо, вместо того, чтобы отдавать их на какой-либо проект, ты бы отдал их Илону Маску, потому что он-то точно знает, как можно изменить будущее и таким образом — ЛП: Да, если ты хочешь полететь на Марс — он этого хочет, чтобы найти новые ресурсы для человечества — тогда можно его поддержать.</t>
  </si>
  <si>
    <t>Однажды</t>
  </si>
  <si>
    <t>поправь</t>
  </si>
  <si>
    <t>решишь</t>
  </si>
  <si>
    <t>пожертвовать</t>
  </si>
  <si>
    <t>свои</t>
  </si>
  <si>
    <t>сбережения</t>
  </si>
  <si>
    <t>вместо</t>
  </si>
  <si>
    <t>отдавать</t>
  </si>
  <si>
    <t>отдал</t>
  </si>
  <si>
    <t>Илону</t>
  </si>
  <si>
    <t>Маску</t>
  </si>
  <si>
    <t>образом</t>
  </si>
  <si>
    <t>SBJ_9</t>
  </si>
  <si>
    <t>хочешь</t>
  </si>
  <si>
    <t>полететь</t>
  </si>
  <si>
    <t>Марс</t>
  </si>
  <si>
    <t>other_10</t>
  </si>
  <si>
    <t>новые</t>
  </si>
  <si>
    <t>ресурсы</t>
  </si>
  <si>
    <t>человечества</t>
  </si>
  <si>
    <t>OBJ_11</t>
  </si>
  <si>
    <t>поддержать</t>
  </si>
  <si>
    <t># text = Он основал благотворительную компанию.</t>
  </si>
  <si>
    <t>благотворительную</t>
  </si>
  <si>
    <t># text = Думаю, мы с ним нацелены на похожие вещи.</t>
  </si>
  <si>
    <t>нацелены</t>
  </si>
  <si>
    <t>похожие</t>
  </si>
  <si>
    <t># text = Да, в Google есть много сотрудников, которые прилично разбогатели.</t>
  </si>
  <si>
    <t>сотрудников</t>
  </si>
  <si>
    <t>прилично</t>
  </si>
  <si>
    <t>разбогатели</t>
  </si>
  <si>
    <t># text = Люди зарабатывают много денег, работая в сфере технологий.</t>
  </si>
  <si>
    <t>зарабатывают</t>
  </si>
  <si>
    <t>денег</t>
  </si>
  <si>
    <t>работая</t>
  </si>
  <si>
    <t># text = Многие из присутствующих в зале тоже довольно состоятельные люди.</t>
  </si>
  <si>
    <t>Многие</t>
  </si>
  <si>
    <t>присутствующих</t>
  </si>
  <si>
    <t>зале</t>
  </si>
  <si>
    <t>состоятельные</t>
  </si>
  <si>
    <t># text = Мы работаем, чтобы изменить мир.</t>
  </si>
  <si>
    <t># text = Мы хотим сделать его лучше.</t>
  </si>
  <si>
    <t># text = Почему компания, на которую вы работаете, не достойна не только вашего времени, но и ваших денег?</t>
  </si>
  <si>
    <t>Почему</t>
  </si>
  <si>
    <t>работаете</t>
  </si>
  <si>
    <t>достойна</t>
  </si>
  <si>
    <t>ваших</t>
  </si>
  <si>
    <t># text = Мы об этом даже не задумываемся.</t>
  </si>
  <si>
    <t>задумываемся</t>
  </si>
  <si>
    <t># text = Мы не думаем о наших компаниях, и это печально, ведь мы отдаём компаниям бóльшую часть наших сил.</t>
  </si>
  <si>
    <t>компаниях</t>
  </si>
  <si>
    <t>печально</t>
  </si>
  <si>
    <t>отдаём</t>
  </si>
  <si>
    <t>компаниям</t>
  </si>
  <si>
    <t>бóльшую</t>
  </si>
  <si>
    <t>часть</t>
  </si>
  <si>
    <t>сил</t>
  </si>
  <si>
    <t># text = Мы проводим там бóльшую часть нашего времени, и там находится очень много денег, поэтому мне бы хотелось, чтобы мы помогали больше, чем мы помогаем.</t>
  </si>
  <si>
    <t>проводим</t>
  </si>
  <si>
    <t>нашего</t>
  </si>
  <si>
    <t>помогали</t>
  </si>
  <si>
    <t>помогаем</t>
  </si>
  <si>
    <t># text = ЧР: Когда я заканчиваю беседу, я обычно спрашиваю своих собеседников: какое душевное состояние, какое качество ума послужило тебе больше всего в жизни?</t>
  </si>
  <si>
    <t>заканчиваю</t>
  </si>
  <si>
    <t>беседу</t>
  </si>
  <si>
    <t>своих</t>
  </si>
  <si>
    <t>собеседников</t>
  </si>
  <si>
    <t>какое</t>
  </si>
  <si>
    <t>душевное</t>
  </si>
  <si>
    <t>состояние</t>
  </si>
  <si>
    <t>качество</t>
  </si>
  <si>
    <t>послужило</t>
  </si>
  <si>
    <t>всего</t>
  </si>
  <si>
    <t># text = Руперт Мёрдок назвал любопытство, другие люди в медиабизнесе тоже упомянули любопытство.</t>
  </si>
  <si>
    <t>Руперт</t>
  </si>
  <si>
    <t>Мёрдок</t>
  </si>
  <si>
    <t>назвал</t>
  </si>
  <si>
    <t>любопытство</t>
  </si>
  <si>
    <t>медиабизнесе</t>
  </si>
  <si>
    <t>упомянули</t>
  </si>
  <si>
    <t># text = Билл Гейтс и Уоррен Баффетт назвали сосредоточенность.</t>
  </si>
  <si>
    <t>Билл</t>
  </si>
  <si>
    <t>Гейтс</t>
  </si>
  <si>
    <t>Уоррен</t>
  </si>
  <si>
    <t>Баффетт</t>
  </si>
  <si>
    <t>назвали</t>
  </si>
  <si>
    <t>сосредоточенность</t>
  </si>
  <si>
    <t># text = Какое качество ума перед тем, как мы закончим, позволило тебе думать о будущем и в то же время менять настоящее?</t>
  </si>
  <si>
    <t>Какое</t>
  </si>
  <si>
    <t>перед</t>
  </si>
  <si>
    <t>позволило</t>
  </si>
  <si>
    <t>настоящее</t>
  </si>
  <si>
    <t># text = ЛП: Думаю, самое главное — я много думал о разных компаниях и о причинах их неудач.</t>
  </si>
  <si>
    <t>думал</t>
  </si>
  <si>
    <t>разных</t>
  </si>
  <si>
    <t>причинах</t>
  </si>
  <si>
    <t>неудач</t>
  </si>
  <si>
    <t># text = Оборот наших компаний был более быстрым.</t>
  </si>
  <si>
    <t>Оборот</t>
  </si>
  <si>
    <t>компаний</t>
  </si>
  <si>
    <t>быстрым</t>
  </si>
  <si>
    <t># text = Я подумал: что же они делали не так?</t>
  </si>
  <si>
    <t># text = В чём была их главная ошибка?</t>
  </si>
  <si>
    <t>главная</t>
  </si>
  <si>
    <t>ошибка</t>
  </si>
  <si>
    <t># text = Обычно я понимаю, что они не думали о будущем.</t>
  </si>
  <si>
    <t>думали</t>
  </si>
  <si>
    <t># text = Я всегда пытаюсь сосредоточиться на будущем, пытаюсь представить его и определить средства, которые помогут нам его создать.</t>
  </si>
  <si>
    <t>пытаюсь</t>
  </si>
  <si>
    <t>сосредоточиться</t>
  </si>
  <si>
    <t>средства</t>
  </si>
  <si>
    <t>помогут</t>
  </si>
  <si>
    <t># text = Как мы можем заставить нашу компанию сосредоточится на будущем и стремиться к нему на высочайшем уровне?</t>
  </si>
  <si>
    <t>сосредоточится</t>
  </si>
  <si>
    <t>стремиться</t>
  </si>
  <si>
    <t>нему</t>
  </si>
  <si>
    <t>высочайшем</t>
  </si>
  <si>
    <t>уровне</t>
  </si>
  <si>
    <t># text = Для этого важно любопытство, способность увидеть то, что не видят другие.</t>
  </si>
  <si>
    <t>увидеть</t>
  </si>
  <si>
    <t># text = Нужно работать над тем, над чем другие не работают потому что именно так можно найти дополнительные возможности.</t>
  </si>
  <si>
    <t>дополнительные</t>
  </si>
  <si>
    <t># text = Но для этого нужно очень этого хотеть и не бояться рисковать.</t>
  </si>
  <si>
    <t>рисковать</t>
  </si>
  <si>
    <t># text = Возьми Android.</t>
  </si>
  <si>
    <t>Возьми</t>
  </si>
  <si>
    <t># text = Когда появился Android, мне было некомфортно с ним работать.</t>
  </si>
  <si>
    <t>появился</t>
  </si>
  <si>
    <t>некомфортно</t>
  </si>
  <si>
    <t># text = Мы приобрели маленькую стартап-компанию, которая не особо вписывалась в наш бизнес.</t>
  </si>
  <si>
    <t>приобрели</t>
  </si>
  <si>
    <t>маленькую</t>
  </si>
  <si>
    <t>стартап-компанию</t>
  </si>
  <si>
    <t>особо</t>
  </si>
  <si>
    <t>вписывалась</t>
  </si>
  <si>
    <t># text = Мне было жалко тратить не неё время.</t>
  </si>
  <si>
    <t>жалко</t>
  </si>
  <si>
    <t>неё</t>
  </si>
  <si>
    <t># text = Это было глупо с моей стороны, что будущее и показало, не так ли?</t>
  </si>
  <si>
    <t>глупо</t>
  </si>
  <si>
    <t>моей</t>
  </si>
  <si>
    <t># text = Над этим перспективным проектом стоило работать.</t>
  </si>
  <si>
    <t>Над</t>
  </si>
  <si>
    <t>перспективным</t>
  </si>
  <si>
    <t>стоило</t>
  </si>
  <si>
    <t># text = ЧР: Как здорово, что ты пришёл сюда.</t>
  </si>
  <si>
    <t>здорово</t>
  </si>
  <si>
    <t>пришёл</t>
  </si>
  <si>
    <t>сюда</t>
  </si>
  <si>
    <t># text = Было замечательно беседовать с тобой и сидеть за этим столом.</t>
  </si>
  <si>
    <t>беседовать</t>
  </si>
  <si>
    <t>сидеть</t>
  </si>
  <si>
    <t>столом</t>
  </si>
  <si>
    <t># text = Спасибо, Ларри.</t>
  </si>
  <si>
    <t># text = ЛП: Спасибо тебе.</t>
  </si>
  <si>
    <t># text = СР: Ларри Пэйдж.</t>
  </si>
  <si>
    <t>СР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</si>
</sst>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0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10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10</v>
      </c>
      <c r="C5" s="6" t="s">
        <v>11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27</v>
      </c>
      <c r="B6" s="6" t="s">
        <v>27</v>
      </c>
      <c r="C6" s="6" t="s">
        <v>11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31</v>
      </c>
      <c r="B7" s="6" t="s">
        <v>27</v>
      </c>
      <c r="C7" s="6" t="s">
        <v>11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35</v>
      </c>
      <c r="B8" s="6" t="s">
        <v>10</v>
      </c>
      <c r="C8" s="6" t="s">
        <v>11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19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27</v>
      </c>
      <c r="C10" s="6" t="s">
        <v>11</v>
      </c>
      <c r="D10" s="7" t="s">
        <v>40</v>
      </c>
      <c r="E10" s="8" t="s">
        <v>44</v>
      </c>
      <c r="F10" s="6" t="s">
        <v>45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46</v>
      </c>
      <c r="B11" s="6" t="s">
        <v>23</v>
      </c>
      <c r="C11" s="6" t="s">
        <v>11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50</v>
      </c>
      <c r="B12" s="6" t="s">
        <v>15</v>
      </c>
      <c r="C12" s="6" t="s">
        <v>11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54</v>
      </c>
      <c r="B13" s="6" t="s">
        <v>10</v>
      </c>
      <c r="C13" s="6" t="s">
        <v>11</v>
      </c>
      <c r="D13" s="7" t="s">
        <v>24</v>
      </c>
      <c r="E13" s="8" t="s">
        <v>55</v>
      </c>
      <c r="F13" s="6" t="s">
        <v>56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57</v>
      </c>
      <c r="B14" s="6" t="s">
        <v>10</v>
      </c>
      <c r="C14" s="6" t="s">
        <v>11</v>
      </c>
      <c r="D14" s="7" t="s">
        <v>36</v>
      </c>
      <c r="E14" s="8" t="s">
        <v>58</v>
      </c>
      <c r="F14" s="6" t="s">
        <v>59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60</v>
      </c>
      <c r="B15" s="6" t="s">
        <v>23</v>
      </c>
      <c r="C15" s="6" t="s">
        <v>11</v>
      </c>
      <c r="D15" s="7" t="s">
        <v>61</v>
      </c>
      <c r="E15" s="8" t="s">
        <v>62</v>
      </c>
      <c r="F15" s="6" t="s">
        <v>63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64</v>
      </c>
      <c r="B16" s="6" t="s">
        <v>19</v>
      </c>
      <c r="C16" s="6" t="s">
        <v>11</v>
      </c>
      <c r="D16" s="7" t="s">
        <v>65</v>
      </c>
      <c r="E16" s="8" t="s">
        <v>66</v>
      </c>
      <c r="F16" s="6" t="s">
        <v>67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68</v>
      </c>
      <c r="B17" s="6" t="s">
        <v>43</v>
      </c>
      <c r="C17" s="6" t="s">
        <v>11</v>
      </c>
      <c r="D17" s="7" t="s">
        <v>69</v>
      </c>
      <c r="E17" s="8" t="s">
        <v>70</v>
      </c>
      <c r="F17" s="6" t="s">
        <v>71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72</v>
      </c>
      <c r="B18" s="6" t="s">
        <v>27</v>
      </c>
      <c r="C18" s="6" t="s">
        <v>11</v>
      </c>
      <c r="D18" s="7" t="s">
        <v>65</v>
      </c>
      <c r="E18" s="8" t="s">
        <v>73</v>
      </c>
      <c r="F18" s="6" t="s">
        <v>74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75</v>
      </c>
      <c r="B19" s="6" t="s">
        <v>27</v>
      </c>
      <c r="C19" s="6" t="s">
        <v>76</v>
      </c>
      <c r="D19" s="7" t="s">
        <v>77</v>
      </c>
      <c r="E19" s="8" t="s">
        <v>78</v>
      </c>
      <c r="F19" s="6" t="s">
        <v>79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80</v>
      </c>
      <c r="B20" s="6" t="s">
        <v>27</v>
      </c>
      <c r="C20" s="6" t="s">
        <v>11</v>
      </c>
      <c r="D20" s="7" t="s">
        <v>81</v>
      </c>
      <c r="E20" s="8" t="s">
        <v>82</v>
      </c>
      <c r="F20" s="6" t="s">
        <v>83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84</v>
      </c>
      <c r="B21" s="6" t="s">
        <v>10</v>
      </c>
      <c r="C21" s="6" t="s">
        <v>11</v>
      </c>
      <c r="D21" s="7" t="s">
        <v>24</v>
      </c>
      <c r="E21" s="8" t="s">
        <v>85</v>
      </c>
      <c r="F21" s="6" t="s">
        <v>86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87</v>
      </c>
      <c r="B22" s="6" t="s">
        <v>15</v>
      </c>
      <c r="C22" s="6" t="s">
        <v>11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91</v>
      </c>
      <c r="B23" s="6" t="s">
        <v>23</v>
      </c>
      <c r="C23" s="6" t="s">
        <v>11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95</v>
      </c>
      <c r="B24" s="6" t="s">
        <v>15</v>
      </c>
      <c r="C24" s="6" t="s">
        <v>11</v>
      </c>
      <c r="D24" s="7" t="s">
        <v>96</v>
      </c>
      <c r="E24" s="8" t="s">
        <v>97</v>
      </c>
      <c r="F24" s="6" t="s">
        <v>98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99</v>
      </c>
      <c r="B25" s="6" t="s">
        <v>19</v>
      </c>
      <c r="C25" s="6" t="s">
        <v>11</v>
      </c>
      <c r="D25" s="7" t="s">
        <v>100</v>
      </c>
      <c r="E25" s="8" t="s">
        <v>101</v>
      </c>
      <c r="F25" s="6" t="s">
        <v>102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103</v>
      </c>
      <c r="B26" s="6" t="s">
        <v>27</v>
      </c>
      <c r="C26" s="6" t="s">
        <v>11</v>
      </c>
      <c r="D26" s="7" t="s">
        <v>104</v>
      </c>
      <c r="E26" s="8" t="s">
        <v>105</v>
      </c>
      <c r="F26" s="6" t="s">
        <v>106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107</v>
      </c>
      <c r="B27" s="6" t="s">
        <v>27</v>
      </c>
      <c r="C27" s="6" t="s">
        <v>11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23</v>
      </c>
      <c r="C28" s="6" t="s">
        <v>11</v>
      </c>
      <c r="D28" s="7" t="s">
        <v>112</v>
      </c>
      <c r="E28" s="8" t="s">
        <v>113</v>
      </c>
      <c r="F28" s="6" t="s">
        <v>114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115</v>
      </c>
      <c r="B29" s="6" t="s">
        <v>19</v>
      </c>
      <c r="C29" s="6" t="s">
        <v>11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119</v>
      </c>
      <c r="B30" s="6" t="s">
        <v>15</v>
      </c>
      <c r="C30" s="6" t="s">
        <v>11</v>
      </c>
      <c r="D30" s="7" t="s">
        <v>120</v>
      </c>
      <c r="E30" s="8" t="s">
        <v>121</v>
      </c>
      <c r="F30" s="6" t="s">
        <v>122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123</v>
      </c>
      <c r="B31" s="6" t="s">
        <v>19</v>
      </c>
      <c r="C31" s="6" t="s">
        <v>11</v>
      </c>
      <c r="D31" s="7" t="s">
        <v>124</v>
      </c>
      <c r="E31" s="8" t="s">
        <v>125</v>
      </c>
      <c r="F31" s="6" t="s">
        <v>126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127</v>
      </c>
      <c r="B32" s="6" t="s">
        <v>10</v>
      </c>
      <c r="C32" s="6" t="s">
        <v>11</v>
      </c>
      <c r="D32" s="7" t="s">
        <v>112</v>
      </c>
      <c r="E32" s="8" t="s">
        <v>128</v>
      </c>
      <c r="F32" s="6" t="s">
        <v>129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130</v>
      </c>
      <c r="B33" s="6" t="s">
        <v>15</v>
      </c>
      <c r="C33" s="6" t="s">
        <v>11</v>
      </c>
      <c r="D33" s="7" t="s">
        <v>131</v>
      </c>
      <c r="E33" s="8" t="s">
        <v>132</v>
      </c>
      <c r="F33" s="6" t="s">
        <v>133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134</v>
      </c>
      <c r="B34" s="6" t="s">
        <v>15</v>
      </c>
      <c r="C34" s="6" t="s">
        <v>11</v>
      </c>
      <c r="D34" s="7" t="s">
        <v>135</v>
      </c>
      <c r="E34" s="8" t="s">
        <v>136</v>
      </c>
      <c r="F34" s="6" t="s">
        <v>137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138</v>
      </c>
      <c r="B35" s="6" t="s">
        <v>19</v>
      </c>
      <c r="C35" s="6" t="s">
        <v>11</v>
      </c>
      <c r="D35" s="7" t="s">
        <v>139</v>
      </c>
      <c r="E35" s="8" t="s">
        <v>140</v>
      </c>
      <c r="F35" s="6" t="s">
        <v>141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142</v>
      </c>
      <c r="B36" s="6" t="s">
        <v>15</v>
      </c>
      <c r="C36" s="6" t="s">
        <v>11</v>
      </c>
      <c r="D36" s="7" t="s">
        <v>143</v>
      </c>
      <c r="E36" s="8" t="s">
        <v>144</v>
      </c>
      <c r="F36" s="6" t="s">
        <v>145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146</v>
      </c>
      <c r="B37" s="6" t="s">
        <v>46</v>
      </c>
      <c r="C37" s="6" t="s">
        <v>11</v>
      </c>
      <c r="D37" s="7" t="s">
        <v>147</v>
      </c>
      <c r="E37" s="8" t="s">
        <v>148</v>
      </c>
      <c r="F37" s="6" t="s">
        <v>149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150</v>
      </c>
      <c r="B38" s="6" t="s">
        <v>35</v>
      </c>
      <c r="C38" s="6" t="s">
        <v>11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154</v>
      </c>
      <c r="B39" s="6" t="s">
        <v>15</v>
      </c>
      <c r="C39" s="6" t="s">
        <v>11</v>
      </c>
      <c r="D39" s="7" t="s">
        <v>116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15</v>
      </c>
      <c r="C40" s="6" t="s">
        <v>11</v>
      </c>
      <c r="D40" s="7" t="s">
        <v>158</v>
      </c>
      <c r="E40" s="8" t="s">
        <v>159</v>
      </c>
      <c r="F40" s="6" t="s">
        <v>160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161</v>
      </c>
      <c r="B41" s="6" t="s">
        <v>10</v>
      </c>
      <c r="C41" s="6" t="s">
        <v>11</v>
      </c>
      <c r="D41" s="7" t="s">
        <v>24</v>
      </c>
      <c r="E41" s="8" t="s">
        <v>162</v>
      </c>
      <c r="F41" s="6" t="s">
        <v>163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164</v>
      </c>
      <c r="B42" s="6" t="s">
        <v>10</v>
      </c>
      <c r="C42" s="6" t="s">
        <v>11</v>
      </c>
      <c r="D42" s="7" t="s">
        <v>36</v>
      </c>
      <c r="E42" s="8" t="s">
        <v>165</v>
      </c>
      <c r="F42" s="6" t="s">
        <v>166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167</v>
      </c>
      <c r="B43" s="6" t="s">
        <v>31</v>
      </c>
      <c r="C43" s="6" t="s">
        <v>11</v>
      </c>
      <c r="D43" s="7" t="s">
        <v>168</v>
      </c>
      <c r="E43" s="8" t="s">
        <v>169</v>
      </c>
      <c r="F43" s="6" t="s">
        <v>170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171</v>
      </c>
      <c r="B44" s="6" t="s">
        <v>15</v>
      </c>
      <c r="C44" s="6" t="s">
        <v>11</v>
      </c>
      <c r="D44" s="7" t="s">
        <v>168</v>
      </c>
      <c r="E44" s="8" t="s">
        <v>172</v>
      </c>
      <c r="F44" s="6" t="s">
        <v>173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174</v>
      </c>
      <c r="B45" s="6" t="s">
        <v>23</v>
      </c>
      <c r="C45" s="6" t="s">
        <v>11</v>
      </c>
      <c r="D45" s="7" t="s">
        <v>147</v>
      </c>
      <c r="E45" s="8" t="s">
        <v>175</v>
      </c>
      <c r="F45" s="6" t="s">
        <v>176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177</v>
      </c>
      <c r="B46" s="6" t="s">
        <v>19</v>
      </c>
      <c r="C46" s="6" t="s">
        <v>11</v>
      </c>
      <c r="D46" s="7" t="s">
        <v>178</v>
      </c>
      <c r="E46" s="8" t="s">
        <v>179</v>
      </c>
      <c r="F46" s="6" t="s">
        <v>180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181</v>
      </c>
      <c r="B47" s="6" t="s">
        <v>15</v>
      </c>
      <c r="C47" s="6" t="s">
        <v>11</v>
      </c>
      <c r="D47" s="7" t="s">
        <v>182</v>
      </c>
      <c r="E47" s="8" t="s">
        <v>183</v>
      </c>
      <c r="F47" s="6" t="s">
        <v>184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185</v>
      </c>
      <c r="B48" s="6" t="s">
        <v>15</v>
      </c>
      <c r="C48" s="6" t="s">
        <v>11</v>
      </c>
      <c r="D48" s="7" t="s">
        <v>112</v>
      </c>
      <c r="E48" s="8" t="s">
        <v>186</v>
      </c>
      <c r="F48" s="6" t="s">
        <v>187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188</v>
      </c>
      <c r="B49" s="6" t="s">
        <v>10</v>
      </c>
      <c r="C49" s="6" t="s">
        <v>11</v>
      </c>
      <c r="D49" s="7" t="s">
        <v>189</v>
      </c>
      <c r="E49" s="8" t="s">
        <v>190</v>
      </c>
      <c r="F49" s="6" t="s">
        <v>191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192</v>
      </c>
      <c r="B50" s="6" t="s">
        <v>15</v>
      </c>
      <c r="C50" s="6" t="s">
        <v>11</v>
      </c>
      <c r="D50" s="7" t="s">
        <v>193</v>
      </c>
      <c r="E50" s="8" t="s">
        <v>194</v>
      </c>
      <c r="F50" s="6" t="s">
        <v>195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196</v>
      </c>
      <c r="B51" s="6" t="s">
        <v>19</v>
      </c>
      <c r="C51" s="6" t="s">
        <v>11</v>
      </c>
      <c r="D51" s="7" t="s">
        <v>197</v>
      </c>
      <c r="E51" s="8" t="s">
        <v>198</v>
      </c>
      <c r="F51" s="6" t="s">
        <v>199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200</v>
      </c>
      <c r="B52" s="6" t="s">
        <v>10</v>
      </c>
      <c r="C52" s="6" t="s">
        <v>11</v>
      </c>
      <c r="D52" s="7" t="s">
        <v>24</v>
      </c>
      <c r="E52" s="8" t="s">
        <v>201</v>
      </c>
      <c r="F52" s="6" t="s">
        <v>202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203</v>
      </c>
      <c r="B53" s="6" t="s">
        <v>10</v>
      </c>
      <c r="C53" s="6" t="s">
        <v>11</v>
      </c>
      <c r="D53" s="7" t="s">
        <v>204</v>
      </c>
      <c r="E53" s="8" t="s">
        <v>205</v>
      </c>
      <c r="F53" s="6" t="s">
        <v>206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207</v>
      </c>
      <c r="B54" s="6" t="s">
        <v>19</v>
      </c>
      <c r="C54" s="6" t="s">
        <v>11</v>
      </c>
      <c r="D54" s="7" t="s">
        <v>208</v>
      </c>
      <c r="E54" s="8" t="s">
        <v>209</v>
      </c>
      <c r="F54" s="6" t="s">
        <v>210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211</v>
      </c>
      <c r="B55" s="6" t="s">
        <v>19</v>
      </c>
      <c r="C55" s="6" t="s">
        <v>11</v>
      </c>
      <c r="D55" s="7" t="s">
        <v>212</v>
      </c>
      <c r="E55" s="8" t="s">
        <v>213</v>
      </c>
      <c r="F55" s="6" t="s">
        <v>214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215</v>
      </c>
      <c r="B56" s="6" t="s">
        <v>15</v>
      </c>
      <c r="C56" s="6" t="s">
        <v>11</v>
      </c>
      <c r="D56" s="7" t="s">
        <v>216</v>
      </c>
      <c r="E56" s="8" t="s">
        <v>217</v>
      </c>
      <c r="F56" s="6" t="s">
        <v>218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219</v>
      </c>
      <c r="B57" s="6" t="s">
        <v>35</v>
      </c>
      <c r="C57" s="6" t="s">
        <v>11</v>
      </c>
      <c r="D57" s="7" t="s">
        <v>220</v>
      </c>
      <c r="E57" s="8" t="s">
        <v>221</v>
      </c>
      <c r="F57" s="6" t="s">
        <v>222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223</v>
      </c>
      <c r="B58" s="6" t="s">
        <v>15</v>
      </c>
      <c r="C58" s="6" t="s">
        <v>11</v>
      </c>
      <c r="D58" s="7" t="s">
        <v>96</v>
      </c>
      <c r="E58" s="8" t="s">
        <v>224</v>
      </c>
      <c r="F58" s="6" t="s">
        <v>225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226</v>
      </c>
      <c r="B59" s="6" t="s">
        <v>19</v>
      </c>
      <c r="C59" s="6" t="s">
        <v>11</v>
      </c>
      <c r="D59" s="7" t="s">
        <v>227</v>
      </c>
      <c r="E59" s="8" t="s">
        <v>228</v>
      </c>
      <c r="F59" s="6" t="s">
        <v>229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230</v>
      </c>
      <c r="B60" s="6" t="s">
        <v>23</v>
      </c>
      <c r="C60" s="6" t="s">
        <v>11</v>
      </c>
      <c r="D60" s="7" t="s">
        <v>231</v>
      </c>
      <c r="E60" s="8" t="s">
        <v>232</v>
      </c>
      <c r="F60" s="6" t="s">
        <v>233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234</v>
      </c>
      <c r="B61" s="6" t="s">
        <v>10</v>
      </c>
      <c r="C61" s="6" t="s">
        <v>11</v>
      </c>
      <c r="D61" s="7" t="s">
        <v>24</v>
      </c>
      <c r="E61" s="8" t="s">
        <v>235</v>
      </c>
      <c r="F61" s="6" t="s">
        <v>236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237</v>
      </c>
      <c r="B62" s="6" t="s">
        <v>27</v>
      </c>
      <c r="C62" s="6" t="s">
        <v>11</v>
      </c>
      <c r="D62" s="7" t="s">
        <v>238</v>
      </c>
      <c r="E62" s="8" t="s">
        <v>239</v>
      </c>
      <c r="F62" s="6" t="s">
        <v>240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241</v>
      </c>
      <c r="B63" s="6" t="s">
        <v>10</v>
      </c>
      <c r="C63" s="6" t="s">
        <v>11</v>
      </c>
      <c r="D63" s="7" t="s">
        <v>36</v>
      </c>
      <c r="E63" s="8" t="s">
        <v>242</v>
      </c>
      <c r="F63" s="6" t="s">
        <v>243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244</v>
      </c>
      <c r="B64" s="6" t="s">
        <v>19</v>
      </c>
      <c r="C64" s="6" t="s">
        <v>11</v>
      </c>
      <c r="D64" s="7" t="s">
        <v>245</v>
      </c>
      <c r="E64" s="8" t="s">
        <v>246</v>
      </c>
      <c r="F64" s="6" t="s">
        <v>247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248</v>
      </c>
      <c r="B65" s="6" t="s">
        <v>31</v>
      </c>
      <c r="C65" s="6" t="s">
        <v>11</v>
      </c>
      <c r="D65" s="7" t="s">
        <v>249</v>
      </c>
      <c r="E65" s="8" t="s">
        <v>250</v>
      </c>
      <c r="F65" s="6" t="s">
        <v>251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252</v>
      </c>
      <c r="B66" s="6" t="s">
        <v>10</v>
      </c>
      <c r="C66" s="6" t="s">
        <v>11</v>
      </c>
      <c r="D66" s="7" t="s">
        <v>24</v>
      </c>
      <c r="E66" s="8" t="s">
        <v>201</v>
      </c>
      <c r="F66" s="6" t="s">
        <v>253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254</v>
      </c>
      <c r="B67" s="6" t="s">
        <v>15</v>
      </c>
      <c r="C67" s="6" t="s">
        <v>11</v>
      </c>
      <c r="D67" s="7" t="s">
        <v>65</v>
      </c>
      <c r="E67" s="8" t="s">
        <v>255</v>
      </c>
      <c r="F67" s="6" t="s">
        <v>256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257</v>
      </c>
      <c r="B68" s="6" t="s">
        <v>10</v>
      </c>
      <c r="C68" s="6" t="s">
        <v>11</v>
      </c>
      <c r="D68" s="7" t="s">
        <v>258</v>
      </c>
      <c r="E68" s="8" t="s">
        <v>259</v>
      </c>
      <c r="F68" s="6" t="s">
        <v>260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261</v>
      </c>
      <c r="B69" s="6" t="s">
        <v>31</v>
      </c>
      <c r="C69" s="6" t="s">
        <v>11</v>
      </c>
      <c r="D69" s="7" t="s">
        <v>262</v>
      </c>
      <c r="E69" s="8" t="s">
        <v>263</v>
      </c>
      <c r="F69" s="6" t="s">
        <v>264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265</v>
      </c>
      <c r="B70" s="6" t="s">
        <v>10</v>
      </c>
      <c r="C70" s="6" t="s">
        <v>11</v>
      </c>
      <c r="D70" s="7" t="s">
        <v>266</v>
      </c>
      <c r="E70" s="8" t="s">
        <v>267</v>
      </c>
      <c r="F70" s="6" t="s">
        <v>268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269</v>
      </c>
      <c r="B71" s="6" t="s">
        <v>10</v>
      </c>
      <c r="C71" s="6" t="s">
        <v>11</v>
      </c>
      <c r="D71" s="7" t="s">
        <v>36</v>
      </c>
      <c r="E71" s="8" t="s">
        <v>270</v>
      </c>
      <c r="F71" s="6" t="s">
        <v>271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272</v>
      </c>
      <c r="B72" s="6" t="s">
        <v>10</v>
      </c>
      <c r="C72" s="6" t="s">
        <v>11</v>
      </c>
      <c r="D72" s="7" t="s">
        <v>24</v>
      </c>
      <c r="E72" s="8" t="s">
        <v>273</v>
      </c>
      <c r="F72" s="6" t="s">
        <v>274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275</v>
      </c>
      <c r="B73" s="6" t="s">
        <v>10</v>
      </c>
      <c r="C73" s="6" t="s">
        <v>11</v>
      </c>
      <c r="D73" s="7" t="s">
        <v>276</v>
      </c>
      <c r="E73" s="8" t="s">
        <v>277</v>
      </c>
      <c r="F73" s="6" t="s">
        <v>278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279</v>
      </c>
      <c r="B74" s="6" t="s">
        <v>23</v>
      </c>
      <c r="C74" s="6" t="s">
        <v>11</v>
      </c>
      <c r="D74" s="7" t="s">
        <v>276</v>
      </c>
      <c r="E74" s="8" t="s">
        <v>280</v>
      </c>
      <c r="F74" s="6" t="s">
        <v>281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282</v>
      </c>
      <c r="B75" s="6" t="s">
        <v>10</v>
      </c>
      <c r="C75" s="6" t="s">
        <v>11</v>
      </c>
      <c r="D75" s="7" t="s">
        <v>36</v>
      </c>
      <c r="E75" s="8" t="s">
        <v>283</v>
      </c>
      <c r="F75" s="6" t="s">
        <v>284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285</v>
      </c>
      <c r="B76" s="6" t="s">
        <v>23</v>
      </c>
      <c r="C76" s="6" t="s">
        <v>11</v>
      </c>
      <c r="D76" s="7" t="s">
        <v>168</v>
      </c>
      <c r="E76" s="8" t="s">
        <v>286</v>
      </c>
      <c r="F76" s="6" t="s">
        <v>287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288</v>
      </c>
      <c r="B77" s="6" t="s">
        <v>23</v>
      </c>
      <c r="C77" s="6" t="s">
        <v>11</v>
      </c>
      <c r="D77" s="7" t="s">
        <v>289</v>
      </c>
      <c r="E77" s="8" t="s">
        <v>290</v>
      </c>
      <c r="F77" s="6" t="s">
        <v>291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292</v>
      </c>
      <c r="B78" s="6" t="s">
        <v>23</v>
      </c>
      <c r="C78" s="6" t="s">
        <v>11</v>
      </c>
      <c r="D78" s="7" t="s">
        <v>293</v>
      </c>
      <c r="E78" s="8" t="s">
        <v>294</v>
      </c>
      <c r="F78" s="6" t="s">
        <v>295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296</v>
      </c>
      <c r="B79" s="6" t="s">
        <v>10</v>
      </c>
      <c r="C79" s="6" t="s">
        <v>11</v>
      </c>
      <c r="D79" s="7" t="s">
        <v>297</v>
      </c>
      <c r="E79" s="8" t="s">
        <v>298</v>
      </c>
      <c r="F79" s="6" t="s">
        <v>299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300</v>
      </c>
      <c r="B80" s="6" t="s">
        <v>35</v>
      </c>
      <c r="C80" s="6" t="s">
        <v>11</v>
      </c>
      <c r="D80" s="7" t="s">
        <v>301</v>
      </c>
      <c r="E80" s="8" t="s">
        <v>302</v>
      </c>
      <c r="F80" s="6" t="s">
        <v>303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304</v>
      </c>
      <c r="B81" s="6" t="s">
        <v>15</v>
      </c>
      <c r="C81" s="6" t="s">
        <v>11</v>
      </c>
      <c r="D81" s="7" t="s">
        <v>305</v>
      </c>
      <c r="E81" s="8" t="s">
        <v>306</v>
      </c>
      <c r="F81" s="6" t="s">
        <v>307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308</v>
      </c>
      <c r="B82" s="6" t="s">
        <v>15</v>
      </c>
      <c r="C82" s="6" t="s">
        <v>11</v>
      </c>
      <c r="D82" s="7" t="s">
        <v>309</v>
      </c>
      <c r="E82" s="8" t="s">
        <v>310</v>
      </c>
      <c r="F82" s="6" t="s">
        <v>311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312</v>
      </c>
      <c r="B83" s="6" t="s">
        <v>31</v>
      </c>
      <c r="C83" s="6" t="s">
        <v>11</v>
      </c>
      <c r="D83" s="7" t="s">
        <v>116</v>
      </c>
      <c r="E83" s="8" t="s">
        <v>313</v>
      </c>
      <c r="F83" s="6" t="s">
        <v>314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315</v>
      </c>
      <c r="B84" s="6" t="s">
        <v>15</v>
      </c>
      <c r="C84" s="6" t="s">
        <v>11</v>
      </c>
      <c r="D84" s="7" t="s">
        <v>316</v>
      </c>
      <c r="E84" s="8" t="s">
        <v>317</v>
      </c>
      <c r="F84" s="6" t="s">
        <v>318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319</v>
      </c>
      <c r="B85" s="6" t="s">
        <v>19</v>
      </c>
      <c r="C85" s="6" t="s">
        <v>11</v>
      </c>
      <c r="D85" s="7" t="s">
        <v>320</v>
      </c>
      <c r="E85" s="8" t="s">
        <v>321</v>
      </c>
      <c r="F85" s="6" t="s">
        <v>322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323</v>
      </c>
      <c r="B86" s="6" t="s">
        <v>19</v>
      </c>
      <c r="C86" s="6" t="s">
        <v>11</v>
      </c>
      <c r="D86" s="7" t="s">
        <v>324</v>
      </c>
      <c r="E86" s="8" t="s">
        <v>325</v>
      </c>
      <c r="F86" s="6" t="s">
        <v>326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327</v>
      </c>
      <c r="B87" s="6" t="s">
        <v>31</v>
      </c>
      <c r="C87" s="6" t="s">
        <v>11</v>
      </c>
      <c r="D87" s="7" t="s">
        <v>328</v>
      </c>
      <c r="E87" s="8" t="s">
        <v>329</v>
      </c>
      <c r="F87" s="6" t="s">
        <v>330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331</v>
      </c>
      <c r="B88" s="6" t="s">
        <v>19</v>
      </c>
      <c r="C88" s="6" t="s">
        <v>11</v>
      </c>
      <c r="D88" s="7" t="s">
        <v>16</v>
      </c>
      <c r="E88" s="8" t="s">
        <v>332</v>
      </c>
      <c r="F88" s="6" t="s">
        <v>333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334</v>
      </c>
      <c r="B89" s="6" t="s">
        <v>27</v>
      </c>
      <c r="C89" s="6" t="s">
        <v>11</v>
      </c>
      <c r="D89" s="7" t="s">
        <v>335</v>
      </c>
      <c r="E89" s="8" t="s">
        <v>336</v>
      </c>
      <c r="F89" s="6" t="s">
        <v>337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338</v>
      </c>
      <c r="B90" s="6" t="s">
        <v>19</v>
      </c>
      <c r="C90" s="6" t="s">
        <v>11</v>
      </c>
      <c r="D90" s="7" t="s">
        <v>339</v>
      </c>
      <c r="E90" s="8" t="s">
        <v>340</v>
      </c>
      <c r="F90" s="6" t="s">
        <v>341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342</v>
      </c>
      <c r="B91" s="6" t="s">
        <v>19</v>
      </c>
      <c r="C91" s="6" t="s">
        <v>11</v>
      </c>
      <c r="D91" s="7" t="s">
        <v>258</v>
      </c>
      <c r="E91" s="8" t="s">
        <v>343</v>
      </c>
      <c r="F91" s="6" t="s">
        <v>344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345</v>
      </c>
      <c r="B92" s="6" t="s">
        <v>19</v>
      </c>
      <c r="C92" s="6" t="s">
        <v>346</v>
      </c>
      <c r="D92" s="7" t="s">
        <v>347</v>
      </c>
      <c r="E92" s="8" t="s">
        <v>348</v>
      </c>
      <c r="F92" s="6" t="s">
        <v>349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350</v>
      </c>
      <c r="B93" s="6" t="s">
        <v>46</v>
      </c>
      <c r="C93" s="6" t="s">
        <v>11</v>
      </c>
      <c r="D93" s="7" t="s">
        <v>351</v>
      </c>
      <c r="E93" s="8" t="s">
        <v>352</v>
      </c>
      <c r="F93" s="6" t="s">
        <v>353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354</v>
      </c>
      <c r="B94" s="6" t="s">
        <v>15</v>
      </c>
      <c r="C94" s="6" t="s">
        <v>11</v>
      </c>
      <c r="D94" s="7" t="s">
        <v>355</v>
      </c>
      <c r="E94" s="8" t="s">
        <v>356</v>
      </c>
      <c r="F94" s="6" t="s">
        <v>357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358</v>
      </c>
      <c r="B95" s="6" t="s">
        <v>15</v>
      </c>
      <c r="C95" s="6" t="s">
        <v>11</v>
      </c>
      <c r="D95" s="7" t="s">
        <v>359</v>
      </c>
      <c r="E95" s="8" t="s">
        <v>360</v>
      </c>
      <c r="F95" s="6" t="s">
        <v>361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362</v>
      </c>
      <c r="B96" s="6" t="s">
        <v>15</v>
      </c>
      <c r="C96" s="6" t="s">
        <v>11</v>
      </c>
      <c r="D96" s="7" t="s">
        <v>363</v>
      </c>
      <c r="E96" s="8" t="s">
        <v>364</v>
      </c>
      <c r="F96" s="6" t="s">
        <v>365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366</v>
      </c>
      <c r="B97" s="6" t="s">
        <v>19</v>
      </c>
      <c r="C97" s="6" t="s">
        <v>11</v>
      </c>
      <c r="D97" s="7" t="s">
        <v>367</v>
      </c>
      <c r="E97" s="8" t="s">
        <v>368</v>
      </c>
      <c r="F97" s="6" t="s">
        <v>369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370</v>
      </c>
      <c r="B98" s="6" t="s">
        <v>15</v>
      </c>
      <c r="C98" s="6" t="s">
        <v>11</v>
      </c>
      <c r="D98" s="7" t="s">
        <v>371</v>
      </c>
      <c r="E98" s="8" t="s">
        <v>372</v>
      </c>
      <c r="F98" s="6" t="s">
        <v>373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374</v>
      </c>
      <c r="B99" s="6" t="s">
        <v>15</v>
      </c>
      <c r="C99" s="6" t="s">
        <v>11</v>
      </c>
      <c r="D99" s="7" t="s">
        <v>375</v>
      </c>
      <c r="E99" s="8" t="s">
        <v>376</v>
      </c>
      <c r="F99" s="6" t="s">
        <v>377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378</v>
      </c>
      <c r="B100" s="6" t="s">
        <v>19</v>
      </c>
      <c r="C100" s="6" t="s">
        <v>11</v>
      </c>
      <c r="D100" s="7" t="s">
        <v>189</v>
      </c>
      <c r="E100" s="8" t="s">
        <v>379</v>
      </c>
      <c r="F100" s="6" t="s">
        <v>380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381</v>
      </c>
      <c r="B101" s="6" t="s">
        <v>15</v>
      </c>
      <c r="C101" s="6" t="s">
        <v>11</v>
      </c>
      <c r="D101" s="7" t="s">
        <v>382</v>
      </c>
      <c r="E101" s="8" t="s">
        <v>383</v>
      </c>
      <c r="F101" s="6" t="s">
        <v>384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385</v>
      </c>
      <c r="B102" s="6" t="s">
        <v>15</v>
      </c>
      <c r="C102" s="6" t="s">
        <v>11</v>
      </c>
      <c r="D102" s="7" t="s">
        <v>386</v>
      </c>
      <c r="E102" s="8" t="s">
        <v>387</v>
      </c>
      <c r="F102" s="6" t="s">
        <v>388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389</v>
      </c>
      <c r="B103" s="6" t="s">
        <v>19</v>
      </c>
      <c r="C103" s="6" t="s">
        <v>11</v>
      </c>
      <c r="D103" s="7" t="s">
        <v>258</v>
      </c>
      <c r="E103" s="8" t="s">
        <v>390</v>
      </c>
      <c r="F103" s="6" t="s">
        <v>391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392</v>
      </c>
      <c r="B104" s="6" t="s">
        <v>27</v>
      </c>
      <c r="C104" s="6" t="s">
        <v>11</v>
      </c>
      <c r="D104" s="7" t="s">
        <v>393</v>
      </c>
      <c r="E104" s="8" t="s">
        <v>394</v>
      </c>
      <c r="F104" s="6" t="s">
        <v>395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396</v>
      </c>
      <c r="B105" s="6" t="s">
        <v>39</v>
      </c>
      <c r="C105" s="6" t="s">
        <v>11</v>
      </c>
      <c r="D105" s="7" t="s">
        <v>147</v>
      </c>
      <c r="E105" s="8" t="s">
        <v>397</v>
      </c>
      <c r="F105" s="6" t="s">
        <v>398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399</v>
      </c>
      <c r="B106" s="6" t="s">
        <v>15</v>
      </c>
      <c r="C106" s="6" t="s">
        <v>11</v>
      </c>
      <c r="D106" s="7" t="s">
        <v>400</v>
      </c>
      <c r="E106" s="8" t="s">
        <v>401</v>
      </c>
      <c r="F106" s="6" t="s">
        <v>402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403</v>
      </c>
      <c r="B107" s="6" t="s">
        <v>15</v>
      </c>
      <c r="C107" s="6" t="s">
        <v>11</v>
      </c>
      <c r="D107" s="7" t="s">
        <v>404</v>
      </c>
      <c r="E107" s="8" t="s">
        <v>405</v>
      </c>
      <c r="F107" s="6" t="s">
        <v>406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407</v>
      </c>
      <c r="B108" s="6" t="s">
        <v>60</v>
      </c>
      <c r="C108" s="6" t="s">
        <v>11</v>
      </c>
      <c r="D108" s="7" t="s">
        <v>408</v>
      </c>
      <c r="E108" s="8" t="s">
        <v>409</v>
      </c>
      <c r="F108" s="6" t="s">
        <v>410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411</v>
      </c>
      <c r="B109" s="6" t="s">
        <v>10</v>
      </c>
      <c r="C109" s="6" t="s">
        <v>11</v>
      </c>
      <c r="D109" s="7" t="s">
        <v>24</v>
      </c>
      <c r="E109" s="8" t="s">
        <v>412</v>
      </c>
      <c r="F109" s="6" t="s">
        <v>413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414</v>
      </c>
      <c r="B110" s="6" t="s">
        <v>15</v>
      </c>
      <c r="C110" s="6" t="s">
        <v>415</v>
      </c>
      <c r="D110" s="7" t="s">
        <v>416</v>
      </c>
      <c r="E110" s="8" t="s">
        <v>417</v>
      </c>
      <c r="F110" s="6" t="s">
        <v>418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419</v>
      </c>
      <c r="B111" s="6" t="s">
        <v>10</v>
      </c>
      <c r="C111" s="6" t="s">
        <v>11</v>
      </c>
      <c r="D111" s="7" t="s">
        <v>36</v>
      </c>
      <c r="E111" s="8" t="s">
        <v>420</v>
      </c>
      <c r="F111" s="6" t="s">
        <v>421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422</v>
      </c>
      <c r="B112" s="6" t="s">
        <v>43</v>
      </c>
      <c r="C112" s="6" t="s">
        <v>11</v>
      </c>
      <c r="D112" s="7" t="s">
        <v>423</v>
      </c>
      <c r="E112" s="8" t="s">
        <v>424</v>
      </c>
      <c r="F112" s="6" t="s">
        <v>425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426</v>
      </c>
      <c r="B113" s="6" t="s">
        <v>27</v>
      </c>
      <c r="C113" s="6" t="s">
        <v>11</v>
      </c>
      <c r="D113" s="7" t="s">
        <v>427</v>
      </c>
      <c r="E113" s="8" t="s">
        <v>428</v>
      </c>
      <c r="F113" s="6" t="s">
        <v>429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430</v>
      </c>
      <c r="B114" s="6" t="s">
        <v>19</v>
      </c>
      <c r="C114" s="6" t="s">
        <v>11</v>
      </c>
      <c r="D114" s="7" t="s">
        <v>431</v>
      </c>
      <c r="E114" s="8" t="s">
        <v>432</v>
      </c>
      <c r="F114" s="6" t="s">
        <v>433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434</v>
      </c>
      <c r="B115" s="6" t="s">
        <v>10</v>
      </c>
      <c r="C115" s="6" t="s">
        <v>11</v>
      </c>
      <c r="D115" s="7" t="s">
        <v>435</v>
      </c>
      <c r="E115" s="8" t="s">
        <v>436</v>
      </c>
      <c r="F115" s="6" t="s">
        <v>437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438</v>
      </c>
      <c r="B116" s="6" t="s">
        <v>10</v>
      </c>
      <c r="C116" s="6" t="s">
        <v>11</v>
      </c>
      <c r="D116" s="7" t="s">
        <v>316</v>
      </c>
      <c r="E116" s="8" t="s">
        <v>439</v>
      </c>
      <c r="F116" s="6" t="s">
        <v>440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441</v>
      </c>
      <c r="B117" s="6" t="s">
        <v>43</v>
      </c>
      <c r="C117" s="6" t="s">
        <v>11</v>
      </c>
      <c r="D117" s="7" t="s">
        <v>442</v>
      </c>
      <c r="E117" s="8" t="s">
        <v>443</v>
      </c>
      <c r="F117" s="6" t="s">
        <v>444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445</v>
      </c>
      <c r="B118" s="6" t="s">
        <v>15</v>
      </c>
      <c r="C118" s="6" t="s">
        <v>11</v>
      </c>
      <c r="D118" s="7" t="s">
        <v>446</v>
      </c>
      <c r="E118" s="8" t="s">
        <v>447</v>
      </c>
      <c r="F118" s="6" t="s">
        <v>448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449</v>
      </c>
      <c r="B119" s="6" t="s">
        <v>10</v>
      </c>
      <c r="C119" s="6" t="s">
        <v>11</v>
      </c>
      <c r="D119" s="7" t="s">
        <v>24</v>
      </c>
      <c r="E119" s="8" t="s">
        <v>450</v>
      </c>
      <c r="F119" s="6" t="s">
        <v>451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452</v>
      </c>
      <c r="B120" s="6" t="s">
        <v>10</v>
      </c>
      <c r="C120" s="6" t="s">
        <v>11</v>
      </c>
      <c r="D120" s="7" t="s">
        <v>36</v>
      </c>
      <c r="E120" s="8" t="s">
        <v>453</v>
      </c>
      <c r="F120" s="6" t="s">
        <v>454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455</v>
      </c>
      <c r="B121" s="6" t="s">
        <v>10</v>
      </c>
      <c r="C121" s="6" t="s">
        <v>11</v>
      </c>
      <c r="D121" s="7" t="s">
        <v>24</v>
      </c>
      <c r="E121" s="8" t="s">
        <v>456</v>
      </c>
      <c r="F121" s="6" t="s">
        <v>457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458</v>
      </c>
      <c r="B122" s="6" t="s">
        <v>39</v>
      </c>
      <c r="C122" s="6" t="s">
        <v>11</v>
      </c>
      <c r="D122" s="7" t="s">
        <v>459</v>
      </c>
      <c r="E122" s="8" t="s">
        <v>460</v>
      </c>
      <c r="F122" s="6" t="s">
        <v>461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462</v>
      </c>
      <c r="B123" s="6" t="s">
        <v>10</v>
      </c>
      <c r="C123" s="6" t="s">
        <v>11</v>
      </c>
      <c r="D123" s="7" t="s">
        <v>36</v>
      </c>
      <c r="E123" s="8" t="s">
        <v>463</v>
      </c>
      <c r="F123" s="6" t="s">
        <v>464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465</v>
      </c>
      <c r="B124" s="6" t="s">
        <v>15</v>
      </c>
      <c r="C124" s="6" t="s">
        <v>11</v>
      </c>
      <c r="D124" s="7" t="s">
        <v>466</v>
      </c>
      <c r="E124" s="8" t="s">
        <v>467</v>
      </c>
      <c r="F124" s="6" t="s">
        <v>468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469</v>
      </c>
      <c r="B125" s="6" t="s">
        <v>23</v>
      </c>
      <c r="C125" s="6" t="s">
        <v>11</v>
      </c>
      <c r="D125" s="7" t="s">
        <v>147</v>
      </c>
      <c r="E125" s="8" t="s">
        <v>470</v>
      </c>
      <c r="F125" s="6" t="s">
        <v>471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472</v>
      </c>
      <c r="B126" s="6" t="s">
        <v>19</v>
      </c>
      <c r="C126" s="6" t="s">
        <v>11</v>
      </c>
      <c r="D126" s="7" t="s">
        <v>473</v>
      </c>
      <c r="E126" s="8" t="s">
        <v>474</v>
      </c>
      <c r="F126" s="6" t="s">
        <v>475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476</v>
      </c>
      <c r="B127" s="6" t="s">
        <v>19</v>
      </c>
      <c r="C127" s="6" t="s">
        <v>11</v>
      </c>
      <c r="D127" s="7" t="s">
        <v>316</v>
      </c>
      <c r="E127" s="8" t="s">
        <v>477</v>
      </c>
      <c r="F127" s="6" t="s">
        <v>478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479</v>
      </c>
      <c r="B128" s="6" t="s">
        <v>43</v>
      </c>
      <c r="C128" s="6" t="s">
        <v>11</v>
      </c>
      <c r="D128" s="7" t="s">
        <v>386</v>
      </c>
      <c r="E128" s="8" t="s">
        <v>480</v>
      </c>
      <c r="F128" s="6" t="s">
        <v>481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482</v>
      </c>
      <c r="B129" s="6" t="s">
        <v>19</v>
      </c>
      <c r="C129" s="6" t="s">
        <v>11</v>
      </c>
      <c r="D129" s="7" t="s">
        <v>363</v>
      </c>
      <c r="E129" s="8" t="s">
        <v>483</v>
      </c>
      <c r="F129" s="6" t="s">
        <v>484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485</v>
      </c>
      <c r="B130" s="6" t="s">
        <v>23</v>
      </c>
      <c r="C130" s="6" t="s">
        <v>11</v>
      </c>
      <c r="D130" s="7" t="s">
        <v>486</v>
      </c>
      <c r="E130" s="8" t="s">
        <v>487</v>
      </c>
      <c r="F130" s="6" t="s">
        <v>488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489</v>
      </c>
      <c r="B131" s="6" t="s">
        <v>10</v>
      </c>
      <c r="C131" s="6" t="s">
        <v>11</v>
      </c>
      <c r="D131" s="7" t="s">
        <v>24</v>
      </c>
      <c r="E131" s="8" t="s">
        <v>490</v>
      </c>
      <c r="F131" s="6" t="s">
        <v>491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492</v>
      </c>
      <c r="B132" s="6" t="s">
        <v>10</v>
      </c>
      <c r="C132" s="6" t="s">
        <v>11</v>
      </c>
      <c r="D132" s="7" t="s">
        <v>36</v>
      </c>
      <c r="E132" s="8" t="s">
        <v>493</v>
      </c>
      <c r="F132" s="6" t="s">
        <v>494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495</v>
      </c>
      <c r="B133" s="6" t="s">
        <v>10</v>
      </c>
      <c r="C133" s="6" t="s">
        <v>11</v>
      </c>
      <c r="D133" s="7" t="s">
        <v>496</v>
      </c>
      <c r="E133" s="8" t="s">
        <v>497</v>
      </c>
      <c r="F133" s="6" t="s">
        <v>498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499</v>
      </c>
      <c r="B134" s="6" t="s">
        <v>15</v>
      </c>
      <c r="C134" s="6" t="s">
        <v>11</v>
      </c>
      <c r="D134" s="7" t="s">
        <v>496</v>
      </c>
      <c r="E134" s="8" t="s">
        <v>500</v>
      </c>
      <c r="F134" s="6" t="s">
        <v>501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502</v>
      </c>
      <c r="B135" s="6" t="s">
        <v>10</v>
      </c>
      <c r="C135" s="6" t="s">
        <v>11</v>
      </c>
      <c r="D135" s="7" t="s">
        <v>446</v>
      </c>
      <c r="E135" s="8" t="s">
        <v>503</v>
      </c>
      <c r="F135" s="6" t="s">
        <v>504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505</v>
      </c>
      <c r="B136" s="6" t="s">
        <v>10</v>
      </c>
      <c r="C136" s="6" t="s">
        <v>11</v>
      </c>
      <c r="D136" s="7" t="s">
        <v>24</v>
      </c>
      <c r="E136" s="8" t="s">
        <v>201</v>
      </c>
      <c r="F136" s="6" t="s">
        <v>506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507</v>
      </c>
      <c r="B137" s="6" t="s">
        <v>64</v>
      </c>
      <c r="C137" s="6" t="s">
        <v>11</v>
      </c>
      <c r="D137" s="7" t="s">
        <v>508</v>
      </c>
      <c r="E137" s="8" t="s">
        <v>509</v>
      </c>
      <c r="F137" s="6" t="s">
        <v>510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511</v>
      </c>
      <c r="B138" s="6" t="s">
        <v>10</v>
      </c>
      <c r="C138" s="6" t="s">
        <v>11</v>
      </c>
      <c r="D138" s="7" t="s">
        <v>32</v>
      </c>
      <c r="E138" s="8" t="s">
        <v>512</v>
      </c>
      <c r="F138" s="6" t="s">
        <v>513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514</v>
      </c>
      <c r="B139" s="6" t="s">
        <v>27</v>
      </c>
      <c r="C139" s="6" t="s">
        <v>11</v>
      </c>
      <c r="D139" s="7" t="s">
        <v>515</v>
      </c>
      <c r="E139" s="8" t="s">
        <v>516</v>
      </c>
      <c r="F139" s="6" t="s">
        <v>517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518</v>
      </c>
      <c r="B140" s="6" t="s">
        <v>10</v>
      </c>
      <c r="C140" s="6" t="s">
        <v>11</v>
      </c>
      <c r="D140" s="7" t="s">
        <v>36</v>
      </c>
      <c r="E140" s="8" t="s">
        <v>519</v>
      </c>
      <c r="F140" s="6" t="s">
        <v>520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521</v>
      </c>
      <c r="B141" s="6" t="s">
        <v>19</v>
      </c>
      <c r="C141" s="6" t="s">
        <v>11</v>
      </c>
      <c r="D141" s="7" t="s">
        <v>276</v>
      </c>
      <c r="E141" s="8" t="s">
        <v>522</v>
      </c>
      <c r="F141" s="6" t="s">
        <v>523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524</v>
      </c>
      <c r="B142" s="6" t="s">
        <v>31</v>
      </c>
      <c r="C142" s="6" t="s">
        <v>11</v>
      </c>
      <c r="D142" s="7" t="s">
        <v>276</v>
      </c>
      <c r="E142" s="8" t="s">
        <v>525</v>
      </c>
      <c r="F142" s="6" t="s">
        <v>526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527</v>
      </c>
      <c r="B143" s="6" t="s">
        <v>50</v>
      </c>
      <c r="C143" s="6" t="s">
        <v>11</v>
      </c>
      <c r="D143" s="7" t="s">
        <v>528</v>
      </c>
      <c r="E143" s="8" t="s">
        <v>529</v>
      </c>
      <c r="F143" s="6" t="s">
        <v>530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531</v>
      </c>
      <c r="B144" s="6" t="s">
        <v>50</v>
      </c>
      <c r="C144" s="6" t="s">
        <v>11</v>
      </c>
      <c r="D144" s="7" t="s">
        <v>532</v>
      </c>
      <c r="E144" s="8" t="s">
        <v>533</v>
      </c>
      <c r="F144" s="6" t="s">
        <v>534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535</v>
      </c>
      <c r="B145" s="6" t="s">
        <v>35</v>
      </c>
      <c r="C145" s="6" t="s">
        <v>11</v>
      </c>
      <c r="D145" s="7" t="s">
        <v>28</v>
      </c>
      <c r="E145" s="8" t="s">
        <v>536</v>
      </c>
      <c r="F145" s="6" t="s">
        <v>537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538</v>
      </c>
      <c r="B146" s="6" t="s">
        <v>15</v>
      </c>
      <c r="C146" s="6" t="s">
        <v>11</v>
      </c>
      <c r="D146" s="7" t="s">
        <v>539</v>
      </c>
      <c r="E146" s="8" t="s">
        <v>540</v>
      </c>
      <c r="F146" s="6" t="s">
        <v>541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542</v>
      </c>
      <c r="B147" s="6" t="s">
        <v>15</v>
      </c>
      <c r="C147" s="6" t="s">
        <v>11</v>
      </c>
      <c r="D147" s="7" t="s">
        <v>446</v>
      </c>
      <c r="E147" s="8" t="s">
        <v>543</v>
      </c>
      <c r="F147" s="6" t="s">
        <v>544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545</v>
      </c>
      <c r="B148" s="6" t="s">
        <v>19</v>
      </c>
      <c r="C148" s="6" t="s">
        <v>11</v>
      </c>
      <c r="D148" s="7" t="s">
        <v>28</v>
      </c>
      <c r="E148" s="8" t="s">
        <v>546</v>
      </c>
      <c r="F148" s="6" t="s">
        <v>547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548</v>
      </c>
      <c r="B149" s="6" t="s">
        <v>19</v>
      </c>
      <c r="C149" s="6" t="s">
        <v>11</v>
      </c>
      <c r="D149" s="7" t="s">
        <v>393</v>
      </c>
      <c r="E149" s="8" t="s">
        <v>549</v>
      </c>
      <c r="F149" s="6" t="s">
        <v>550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551</v>
      </c>
      <c r="B150" s="6" t="s">
        <v>43</v>
      </c>
      <c r="C150" s="6" t="s">
        <v>11</v>
      </c>
      <c r="D150" s="7" t="s">
        <v>552</v>
      </c>
      <c r="E150" s="8" t="s">
        <v>553</v>
      </c>
      <c r="F150" s="6" t="s">
        <v>554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555</v>
      </c>
      <c r="B151" s="6" t="s">
        <v>15</v>
      </c>
      <c r="C151" s="6" t="s">
        <v>11</v>
      </c>
      <c r="D151" s="7" t="s">
        <v>539</v>
      </c>
      <c r="E151" s="8" t="s">
        <v>556</v>
      </c>
      <c r="F151" s="6" t="s">
        <v>557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558</v>
      </c>
      <c r="B152" s="6" t="s">
        <v>10</v>
      </c>
      <c r="C152" s="6" t="s">
        <v>11</v>
      </c>
      <c r="D152" s="7" t="s">
        <v>24</v>
      </c>
      <c r="E152" s="8" t="s">
        <v>559</v>
      </c>
      <c r="F152" s="6" t="s">
        <v>560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561</v>
      </c>
      <c r="B153" s="6" t="s">
        <v>10</v>
      </c>
      <c r="C153" s="6" t="s">
        <v>11</v>
      </c>
      <c r="D153" s="7" t="s">
        <v>36</v>
      </c>
      <c r="E153" s="8" t="s">
        <v>562</v>
      </c>
      <c r="F153" s="6" t="s">
        <v>563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564</v>
      </c>
      <c r="B154" s="6" t="s">
        <v>23</v>
      </c>
      <c r="C154" s="6" t="s">
        <v>11</v>
      </c>
      <c r="D154" s="7" t="s">
        <v>565</v>
      </c>
      <c r="E154" s="8" t="s">
        <v>566</v>
      </c>
      <c r="F154" s="6" t="s">
        <v>567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568</v>
      </c>
      <c r="B155" s="6" t="s">
        <v>19</v>
      </c>
      <c r="C155" s="6" t="s">
        <v>11</v>
      </c>
      <c r="D155" s="7" t="s">
        <v>569</v>
      </c>
      <c r="E155" s="8" t="s">
        <v>570</v>
      </c>
      <c r="F155" s="6" t="s">
        <v>571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572</v>
      </c>
      <c r="B156" s="6" t="s">
        <v>19</v>
      </c>
      <c r="C156" s="6" t="s">
        <v>11</v>
      </c>
      <c r="D156" s="7" t="s">
        <v>573</v>
      </c>
      <c r="E156" s="8" t="s">
        <v>574</v>
      </c>
      <c r="F156" s="6" t="s">
        <v>575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576</v>
      </c>
      <c r="B157" s="6" t="s">
        <v>10</v>
      </c>
      <c r="C157" s="6" t="s">
        <v>11</v>
      </c>
      <c r="D157" s="7" t="s">
        <v>24</v>
      </c>
      <c r="E157" s="8" t="s">
        <v>577</v>
      </c>
      <c r="F157" s="6" t="s">
        <v>578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579</v>
      </c>
      <c r="B158" s="6" t="s">
        <v>15</v>
      </c>
      <c r="C158" s="6" t="s">
        <v>11</v>
      </c>
      <c r="D158" s="7" t="s">
        <v>258</v>
      </c>
      <c r="E158" s="8" t="s">
        <v>580</v>
      </c>
      <c r="F158" s="6" t="s">
        <v>581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582</v>
      </c>
      <c r="B159" s="6" t="s">
        <v>10</v>
      </c>
      <c r="C159" s="6" t="s">
        <v>11</v>
      </c>
      <c r="D159" s="7" t="s">
        <v>36</v>
      </c>
      <c r="E159" s="8" t="s">
        <v>270</v>
      </c>
      <c r="F159" s="6" t="s">
        <v>583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584</v>
      </c>
      <c r="B160" s="6" t="s">
        <v>10</v>
      </c>
      <c r="C160" s="6" t="s">
        <v>11</v>
      </c>
      <c r="D160" s="7" t="s">
        <v>585</v>
      </c>
      <c r="E160" s="8" t="s">
        <v>586</v>
      </c>
      <c r="F160" s="6" t="s">
        <v>587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588</v>
      </c>
      <c r="B161" s="6" t="s">
        <v>23</v>
      </c>
      <c r="C161" s="6" t="s">
        <v>11</v>
      </c>
      <c r="D161" s="7" t="s">
        <v>589</v>
      </c>
      <c r="E161" s="8" t="s">
        <v>590</v>
      </c>
      <c r="F161" s="6" t="s">
        <v>591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592</v>
      </c>
      <c r="B162" s="6" t="s">
        <v>31</v>
      </c>
      <c r="C162" s="6" t="s">
        <v>11</v>
      </c>
      <c r="D162" s="7" t="s">
        <v>593</v>
      </c>
      <c r="E162" s="8" t="s">
        <v>594</v>
      </c>
      <c r="F162" s="6" t="s">
        <v>595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596</v>
      </c>
      <c r="B163" s="6" t="s">
        <v>19</v>
      </c>
      <c r="C163" s="6" t="s">
        <v>11</v>
      </c>
      <c r="D163" s="7" t="s">
        <v>597</v>
      </c>
      <c r="E163" s="8" t="s">
        <v>598</v>
      </c>
      <c r="F163" s="6" t="s">
        <v>599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600</v>
      </c>
      <c r="B164" s="6" t="s">
        <v>27</v>
      </c>
      <c r="C164" s="6" t="s">
        <v>11</v>
      </c>
      <c r="D164" s="7" t="s">
        <v>51</v>
      </c>
      <c r="E164" s="8" t="s">
        <v>601</v>
      </c>
      <c r="F164" s="6" t="s">
        <v>602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603</v>
      </c>
      <c r="B165" s="6" t="s">
        <v>39</v>
      </c>
      <c r="C165" s="6" t="s">
        <v>11</v>
      </c>
      <c r="D165" s="7" t="s">
        <v>147</v>
      </c>
      <c r="E165" s="8" t="s">
        <v>604</v>
      </c>
      <c r="F165" s="6" t="s">
        <v>605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606</v>
      </c>
      <c r="B166" s="6" t="s">
        <v>15</v>
      </c>
      <c r="C166" s="6" t="s">
        <v>11</v>
      </c>
      <c r="D166" s="7" t="s">
        <v>607</v>
      </c>
      <c r="E166" s="8" t="s">
        <v>608</v>
      </c>
      <c r="F166" s="6" t="s">
        <v>609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610</v>
      </c>
      <c r="B167" s="6" t="s">
        <v>31</v>
      </c>
      <c r="C167" s="6" t="s">
        <v>11</v>
      </c>
      <c r="D167" s="7" t="s">
        <v>611</v>
      </c>
      <c r="E167" s="8" t="s">
        <v>612</v>
      </c>
      <c r="F167" s="6" t="s">
        <v>613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614</v>
      </c>
      <c r="B168" s="6" t="s">
        <v>10</v>
      </c>
      <c r="C168" s="6" t="s">
        <v>11</v>
      </c>
      <c r="D168" s="7" t="s">
        <v>446</v>
      </c>
      <c r="E168" s="8" t="s">
        <v>615</v>
      </c>
      <c r="F168" s="6" t="s">
        <v>616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617</v>
      </c>
      <c r="B169" s="6" t="s">
        <v>19</v>
      </c>
      <c r="C169" s="6" t="s">
        <v>11</v>
      </c>
      <c r="D169" s="7" t="s">
        <v>618</v>
      </c>
      <c r="E169" s="8" t="s">
        <v>619</v>
      </c>
      <c r="F169" s="6" t="s">
        <v>620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621</v>
      </c>
      <c r="B170" s="6" t="s">
        <v>23</v>
      </c>
      <c r="C170" s="6" t="s">
        <v>11</v>
      </c>
      <c r="D170" s="7" t="s">
        <v>622</v>
      </c>
      <c r="E170" s="8" t="s">
        <v>623</v>
      </c>
      <c r="F170" s="6" t="s">
        <v>624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625</v>
      </c>
      <c r="B171" s="6" t="s">
        <v>50</v>
      </c>
      <c r="C171" s="6" t="s">
        <v>11</v>
      </c>
      <c r="D171" s="7" t="s">
        <v>147</v>
      </c>
      <c r="E171" s="8" t="s">
        <v>626</v>
      </c>
      <c r="F171" s="6" t="s">
        <v>627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628</v>
      </c>
      <c r="B172" s="6" t="s">
        <v>10</v>
      </c>
      <c r="C172" s="6" t="s">
        <v>11</v>
      </c>
      <c r="D172" s="7" t="s">
        <v>24</v>
      </c>
      <c r="E172" s="8" t="s">
        <v>201</v>
      </c>
      <c r="F172" s="6" t="s">
        <v>629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630</v>
      </c>
      <c r="B173" s="6" t="s">
        <v>19</v>
      </c>
      <c r="C173" s="6" t="s">
        <v>11</v>
      </c>
      <c r="D173" s="7" t="s">
        <v>208</v>
      </c>
      <c r="E173" s="8" t="s">
        <v>631</v>
      </c>
      <c r="F173" s="6" t="s">
        <v>632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633</v>
      </c>
      <c r="B174" s="6" t="s">
        <v>10</v>
      </c>
      <c r="C174" s="6" t="s">
        <v>11</v>
      </c>
      <c r="D174" s="7" t="s">
        <v>36</v>
      </c>
      <c r="E174" s="8" t="s">
        <v>634</v>
      </c>
      <c r="F174" s="6" t="s">
        <v>635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636</v>
      </c>
      <c r="B175" s="6" t="s">
        <v>27</v>
      </c>
      <c r="C175" s="6" t="s">
        <v>11</v>
      </c>
      <c r="D175" s="7" t="s">
        <v>637</v>
      </c>
      <c r="E175" s="8" t="s">
        <v>638</v>
      </c>
      <c r="F175" s="6" t="s">
        <v>639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640</v>
      </c>
      <c r="B176" s="6" t="s">
        <v>19</v>
      </c>
      <c r="C176" s="6" t="s">
        <v>11</v>
      </c>
      <c r="D176" s="7" t="s">
        <v>641</v>
      </c>
      <c r="E176" s="8" t="s">
        <v>642</v>
      </c>
      <c r="F176" s="6" t="s">
        <v>643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644</v>
      </c>
      <c r="B177" s="6" t="s">
        <v>15</v>
      </c>
      <c r="C177" s="6" t="s">
        <v>11</v>
      </c>
      <c r="D177" s="7" t="s">
        <v>645</v>
      </c>
      <c r="E177" s="8" t="s">
        <v>646</v>
      </c>
      <c r="F177" s="6" t="s">
        <v>647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648</v>
      </c>
      <c r="B178" s="6" t="s">
        <v>43</v>
      </c>
      <c r="C178" s="6" t="s">
        <v>11</v>
      </c>
      <c r="D178" s="7" t="s">
        <v>363</v>
      </c>
      <c r="E178" s="8" t="s">
        <v>649</v>
      </c>
      <c r="F178" s="6" t="s">
        <v>650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651</v>
      </c>
      <c r="B179" s="6" t="s">
        <v>50</v>
      </c>
      <c r="C179" s="6" t="s">
        <v>11</v>
      </c>
      <c r="D179" s="7" t="s">
        <v>147</v>
      </c>
      <c r="E179" s="8" t="s">
        <v>652</v>
      </c>
      <c r="F179" s="6" t="s">
        <v>653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654</v>
      </c>
      <c r="B180" s="6" t="s">
        <v>23</v>
      </c>
      <c r="C180" s="6" t="s">
        <v>11</v>
      </c>
      <c r="D180" s="7" t="s">
        <v>611</v>
      </c>
      <c r="E180" s="8" t="s">
        <v>655</v>
      </c>
      <c r="F180" s="6" t="s">
        <v>656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657</v>
      </c>
      <c r="B181" s="6" t="s">
        <v>10</v>
      </c>
      <c r="C181" s="6" t="s">
        <v>11</v>
      </c>
      <c r="D181" s="7" t="s">
        <v>24</v>
      </c>
      <c r="E181" s="8" t="s">
        <v>658</v>
      </c>
      <c r="F181" s="6" t="s">
        <v>659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660</v>
      </c>
      <c r="B182" s="6" t="s">
        <v>27</v>
      </c>
      <c r="C182" s="6" t="s">
        <v>11</v>
      </c>
      <c r="D182" s="7" t="s">
        <v>661</v>
      </c>
      <c r="E182" s="8" t="s">
        <v>662</v>
      </c>
      <c r="F182" s="6" t="s">
        <v>663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664</v>
      </c>
      <c r="B183" s="6" t="s">
        <v>19</v>
      </c>
      <c r="C183" s="6" t="s">
        <v>11</v>
      </c>
      <c r="D183" s="7" t="s">
        <v>618</v>
      </c>
      <c r="E183" s="8" t="s">
        <v>665</v>
      </c>
      <c r="F183" s="6" t="s">
        <v>666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667</v>
      </c>
      <c r="B184" s="6" t="s">
        <v>31</v>
      </c>
      <c r="C184" s="6" t="s">
        <v>11</v>
      </c>
      <c r="D184" s="7" t="s">
        <v>668</v>
      </c>
      <c r="E184" s="8" t="s">
        <v>669</v>
      </c>
      <c r="F184" s="6" t="s">
        <v>670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671</v>
      </c>
      <c r="B185" s="6" t="s">
        <v>10</v>
      </c>
      <c r="C185" s="6" t="s">
        <v>11</v>
      </c>
      <c r="D185" s="7" t="s">
        <v>24</v>
      </c>
      <c r="E185" s="8" t="s">
        <v>201</v>
      </c>
      <c r="F185" s="6" t="s">
        <v>672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673</v>
      </c>
      <c r="B186" s="6" t="s">
        <v>15</v>
      </c>
      <c r="C186" s="6" t="s">
        <v>11</v>
      </c>
      <c r="D186" s="7" t="s">
        <v>528</v>
      </c>
      <c r="E186" s="8" t="s">
        <v>674</v>
      </c>
      <c r="F186" s="6" t="s">
        <v>675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676</v>
      </c>
      <c r="B187" s="6" t="s">
        <v>10</v>
      </c>
      <c r="C187" s="6" t="s">
        <v>11</v>
      </c>
      <c r="D187" s="7" t="s">
        <v>36</v>
      </c>
      <c r="E187" s="8" t="s">
        <v>677</v>
      </c>
      <c r="F187" s="6" t="s">
        <v>678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679</v>
      </c>
      <c r="B188" s="6" t="s">
        <v>15</v>
      </c>
      <c r="C188" s="6" t="s">
        <v>11</v>
      </c>
      <c r="D188" s="7" t="s">
        <v>618</v>
      </c>
      <c r="E188" s="8" t="s">
        <v>680</v>
      </c>
      <c r="F188" s="6" t="s">
        <v>681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682</v>
      </c>
      <c r="B189" s="6" t="s">
        <v>15</v>
      </c>
      <c r="C189" s="6" t="s">
        <v>11</v>
      </c>
      <c r="D189" s="7" t="s">
        <v>683</v>
      </c>
      <c r="E189" s="8" t="s">
        <v>684</v>
      </c>
      <c r="F189" s="6" t="s">
        <v>685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686</v>
      </c>
      <c r="B190" s="6" t="s">
        <v>10</v>
      </c>
      <c r="C190" s="6" t="s">
        <v>11</v>
      </c>
      <c r="D190" s="7" t="s">
        <v>24</v>
      </c>
      <c r="E190" s="8" t="s">
        <v>201</v>
      </c>
      <c r="F190" s="6" t="s">
        <v>687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688</v>
      </c>
      <c r="B191" s="6" t="s">
        <v>23</v>
      </c>
      <c r="C191" s="6" t="s">
        <v>11</v>
      </c>
      <c r="D191" s="7" t="s">
        <v>689</v>
      </c>
      <c r="E191" s="8" t="s">
        <v>690</v>
      </c>
      <c r="F191" s="6" t="s">
        <v>691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692</v>
      </c>
      <c r="B192" s="6" t="s">
        <v>10</v>
      </c>
      <c r="C192" s="6" t="s">
        <v>11</v>
      </c>
      <c r="D192" s="7" t="s">
        <v>36</v>
      </c>
      <c r="E192" s="8" t="s">
        <v>693</v>
      </c>
      <c r="F192" s="6" t="s">
        <v>694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695</v>
      </c>
      <c r="B193" s="6" t="s">
        <v>19</v>
      </c>
      <c r="C193" s="6" t="s">
        <v>11</v>
      </c>
      <c r="D193" s="7" t="s">
        <v>696</v>
      </c>
      <c r="E193" s="8" t="s">
        <v>697</v>
      </c>
      <c r="F193" s="6" t="s">
        <v>698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699</v>
      </c>
      <c r="B194" s="6" t="s">
        <v>15</v>
      </c>
      <c r="C194" s="6" t="s">
        <v>11</v>
      </c>
      <c r="D194" s="7" t="s">
        <v>700</v>
      </c>
      <c r="E194" s="8" t="s">
        <v>701</v>
      </c>
      <c r="F194" s="6" t="s">
        <v>702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703</v>
      </c>
      <c r="B195" s="6" t="s">
        <v>10</v>
      </c>
      <c r="C195" s="6" t="s">
        <v>11</v>
      </c>
      <c r="D195" s="7" t="s">
        <v>24</v>
      </c>
      <c r="E195" s="8" t="s">
        <v>704</v>
      </c>
      <c r="F195" s="6" t="s">
        <v>705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706</v>
      </c>
      <c r="B196" s="6" t="s">
        <v>10</v>
      </c>
      <c r="C196" s="6" t="s">
        <v>11</v>
      </c>
      <c r="D196" s="7" t="s">
        <v>707</v>
      </c>
      <c r="E196" s="8" t="s">
        <v>708</v>
      </c>
      <c r="F196" s="6" t="s">
        <v>709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710</v>
      </c>
      <c r="B197" s="6" t="s">
        <v>10</v>
      </c>
      <c r="C197" s="6" t="s">
        <v>11</v>
      </c>
      <c r="D197" s="7" t="s">
        <v>36</v>
      </c>
      <c r="E197" s="8" t="s">
        <v>711</v>
      </c>
      <c r="F197" s="6" t="s">
        <v>712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713</v>
      </c>
      <c r="B198" s="6" t="s">
        <v>19</v>
      </c>
      <c r="C198" s="6" t="s">
        <v>11</v>
      </c>
      <c r="D198" s="7" t="s">
        <v>459</v>
      </c>
      <c r="E198" s="8" t="s">
        <v>714</v>
      </c>
      <c r="F198" s="6" t="s">
        <v>715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716</v>
      </c>
      <c r="B199" s="6" t="s">
        <v>10</v>
      </c>
      <c r="C199" s="6" t="s">
        <v>11</v>
      </c>
      <c r="D199" s="7" t="s">
        <v>717</v>
      </c>
      <c r="E199" s="8" t="s">
        <v>718</v>
      </c>
      <c r="F199" s="6" t="s">
        <v>719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720</v>
      </c>
      <c r="B200" s="6" t="s">
        <v>15</v>
      </c>
      <c r="C200" s="6" t="s">
        <v>11</v>
      </c>
      <c r="D200" s="7" t="s">
        <v>645</v>
      </c>
      <c r="E200" s="8" t="s">
        <v>721</v>
      </c>
      <c r="F200" s="6" t="s">
        <v>722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723</v>
      </c>
      <c r="B201" s="6" t="s">
        <v>10</v>
      </c>
      <c r="C201" s="6" t="s">
        <v>11</v>
      </c>
      <c r="D201" s="7" t="s">
        <v>24</v>
      </c>
      <c r="E201" s="8" t="s">
        <v>201</v>
      </c>
      <c r="F201" s="6" t="s">
        <v>724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725</v>
      </c>
      <c r="B202" s="6" t="s">
        <v>19</v>
      </c>
      <c r="C202" s="6" t="s">
        <v>11</v>
      </c>
      <c r="D202" s="7" t="s">
        <v>486</v>
      </c>
      <c r="E202" s="8" t="s">
        <v>726</v>
      </c>
      <c r="F202" s="6" t="s">
        <v>727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728</v>
      </c>
      <c r="B203" s="6" t="s">
        <v>10</v>
      </c>
      <c r="C203" s="6" t="s">
        <v>11</v>
      </c>
      <c r="D203" s="7" t="s">
        <v>36</v>
      </c>
      <c r="E203" s="8" t="s">
        <v>270</v>
      </c>
      <c r="F203" s="6" t="s">
        <v>729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730</v>
      </c>
      <c r="B204" s="6" t="s">
        <v>31</v>
      </c>
      <c r="C204" s="6" t="s">
        <v>11</v>
      </c>
      <c r="D204" s="7" t="s">
        <v>731</v>
      </c>
      <c r="E204" s="8" t="s">
        <v>732</v>
      </c>
      <c r="F204" s="6" t="s">
        <v>733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734</v>
      </c>
      <c r="B205" s="6" t="s">
        <v>10</v>
      </c>
      <c r="C205" s="6" t="s">
        <v>11</v>
      </c>
      <c r="D205" s="7" t="s">
        <v>735</v>
      </c>
      <c r="E205" s="8" t="s">
        <v>736</v>
      </c>
      <c r="F205" s="6" t="s">
        <v>737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738</v>
      </c>
      <c r="B206" s="6" t="s">
        <v>23</v>
      </c>
      <c r="C206" s="6" t="s">
        <v>11</v>
      </c>
      <c r="D206" s="7" t="s">
        <v>375</v>
      </c>
      <c r="E206" s="8" t="s">
        <v>739</v>
      </c>
      <c r="F206" s="6" t="s">
        <v>740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741</v>
      </c>
      <c r="B207" s="6" t="s">
        <v>23</v>
      </c>
      <c r="C207" s="6" t="s">
        <v>11</v>
      </c>
      <c r="D207" s="7" t="s">
        <v>742</v>
      </c>
      <c r="E207" s="8" t="s">
        <v>743</v>
      </c>
      <c r="F207" s="6" t="s">
        <v>744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745</v>
      </c>
      <c r="B208" s="6" t="s">
        <v>10</v>
      </c>
      <c r="C208" s="6" t="s">
        <v>11</v>
      </c>
      <c r="D208" s="7" t="s">
        <v>24</v>
      </c>
      <c r="E208" s="8" t="s">
        <v>746</v>
      </c>
      <c r="F208" s="6" t="s">
        <v>747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748</v>
      </c>
      <c r="B209" s="6" t="s">
        <v>10</v>
      </c>
      <c r="C209" s="6" t="s">
        <v>11</v>
      </c>
      <c r="D209" s="7" t="s">
        <v>36</v>
      </c>
      <c r="E209" s="8" t="s">
        <v>749</v>
      </c>
      <c r="F209" s="6" t="s">
        <v>750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751</v>
      </c>
      <c r="B210" s="6" t="s">
        <v>23</v>
      </c>
      <c r="C210" s="6" t="s">
        <v>11</v>
      </c>
      <c r="D210" s="7" t="s">
        <v>752</v>
      </c>
      <c r="E210" s="8" t="s">
        <v>753</v>
      </c>
      <c r="F210" s="6" t="s">
        <v>754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755</v>
      </c>
      <c r="B211" s="6" t="s">
        <v>31</v>
      </c>
      <c r="C211" s="6" t="s">
        <v>11</v>
      </c>
      <c r="D211" s="7" t="s">
        <v>108</v>
      </c>
      <c r="E211" s="8" t="s">
        <v>756</v>
      </c>
      <c r="F211" s="6" t="s">
        <v>757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758</v>
      </c>
      <c r="B212" s="6" t="s">
        <v>10</v>
      </c>
      <c r="C212" s="6" t="s">
        <v>11</v>
      </c>
      <c r="D212" s="7" t="s">
        <v>759</v>
      </c>
      <c r="E212" s="8" t="s">
        <v>760</v>
      </c>
      <c r="F212" s="6" t="s">
        <v>761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762</v>
      </c>
      <c r="B213" s="6" t="s">
        <v>10</v>
      </c>
      <c r="C213" s="6" t="s">
        <v>11</v>
      </c>
      <c r="D213" s="7" t="s">
        <v>24</v>
      </c>
      <c r="E213" s="8" t="s">
        <v>201</v>
      </c>
      <c r="F213" s="6" t="s">
        <v>763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764</v>
      </c>
      <c r="B214" s="6" t="s">
        <v>23</v>
      </c>
      <c r="C214" s="6" t="s">
        <v>11</v>
      </c>
      <c r="D214" s="7" t="s">
        <v>147</v>
      </c>
      <c r="E214" s="8" t="s">
        <v>765</v>
      </c>
      <c r="F214" s="6" t="s">
        <v>766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767</v>
      </c>
      <c r="B215" s="6" t="s">
        <v>10</v>
      </c>
      <c r="C215" s="6" t="s">
        <v>11</v>
      </c>
      <c r="D215" s="7" t="s">
        <v>36</v>
      </c>
      <c r="E215" s="8" t="s">
        <v>768</v>
      </c>
      <c r="F215" s="6" t="s">
        <v>769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770</v>
      </c>
      <c r="B216" s="6" t="s">
        <v>19</v>
      </c>
      <c r="C216" s="6" t="s">
        <v>11</v>
      </c>
      <c r="D216" s="7" t="s">
        <v>771</v>
      </c>
      <c r="E216" s="8" t="s">
        <v>772</v>
      </c>
      <c r="F216" s="6" t="s">
        <v>773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774</v>
      </c>
      <c r="B217" s="6" t="s">
        <v>15</v>
      </c>
      <c r="C217" s="6" t="s">
        <v>11</v>
      </c>
      <c r="D217" s="7" t="s">
        <v>147</v>
      </c>
      <c r="E217" s="8" t="s">
        <v>775</v>
      </c>
      <c r="F217" s="6" t="s">
        <v>776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777</v>
      </c>
      <c r="B218" s="6" t="s">
        <v>10</v>
      </c>
      <c r="C218" s="6" t="s">
        <v>11</v>
      </c>
      <c r="D218" s="7" t="s">
        <v>24</v>
      </c>
      <c r="E218" s="8" t="s">
        <v>778</v>
      </c>
      <c r="F218" s="6" t="s">
        <v>779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780</v>
      </c>
      <c r="B219" s="6" t="s">
        <v>10</v>
      </c>
      <c r="C219" s="6" t="s">
        <v>11</v>
      </c>
      <c r="D219" s="7" t="s">
        <v>36</v>
      </c>
      <c r="E219" s="8" t="s">
        <v>781</v>
      </c>
      <c r="F219" s="6" t="s">
        <v>782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783</v>
      </c>
      <c r="B220" s="6" t="s">
        <v>27</v>
      </c>
      <c r="C220" s="6" t="s">
        <v>11</v>
      </c>
      <c r="D220" s="7" t="s">
        <v>784</v>
      </c>
      <c r="E220" s="8" t="s">
        <v>785</v>
      </c>
      <c r="F220" s="6" t="s">
        <v>786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787</v>
      </c>
      <c r="B221" s="6" t="s">
        <v>19</v>
      </c>
      <c r="C221" s="6" t="s">
        <v>11</v>
      </c>
      <c r="D221" s="7" t="s">
        <v>788</v>
      </c>
      <c r="E221" s="8" t="s">
        <v>789</v>
      </c>
      <c r="F221" s="6" t="s">
        <v>790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791</v>
      </c>
      <c r="B222" s="6" t="s">
        <v>39</v>
      </c>
      <c r="C222" s="6" t="s">
        <v>792</v>
      </c>
      <c r="D222" s="7" t="s">
        <v>793</v>
      </c>
      <c r="E222" s="8" t="s">
        <v>794</v>
      </c>
      <c r="F222" s="6" t="s">
        <v>795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796</v>
      </c>
      <c r="B223" s="6" t="s">
        <v>10</v>
      </c>
      <c r="C223" s="6" t="s">
        <v>11</v>
      </c>
      <c r="D223" s="7" t="s">
        <v>24</v>
      </c>
      <c r="E223" s="8" t="s">
        <v>797</v>
      </c>
      <c r="F223" s="6" t="s">
        <v>798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799</v>
      </c>
      <c r="B224" s="6" t="s">
        <v>10</v>
      </c>
      <c r="C224" s="6" t="s">
        <v>11</v>
      </c>
      <c r="D224" s="7" t="s">
        <v>36</v>
      </c>
      <c r="E224" s="8" t="s">
        <v>800</v>
      </c>
      <c r="F224" s="6" t="s">
        <v>801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802</v>
      </c>
      <c r="B225" s="6" t="s">
        <v>10</v>
      </c>
      <c r="C225" s="6" t="s">
        <v>11</v>
      </c>
      <c r="D225" s="7" t="s">
        <v>24</v>
      </c>
      <c r="E225" s="8" t="s">
        <v>803</v>
      </c>
      <c r="F225" s="6" t="s">
        <v>804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805</v>
      </c>
      <c r="B226" s="6" t="s">
        <v>10</v>
      </c>
      <c r="C226" s="6" t="s">
        <v>11</v>
      </c>
      <c r="D226" s="7" t="s">
        <v>36</v>
      </c>
      <c r="E226" s="8" t="s">
        <v>806</v>
      </c>
      <c r="F226" s="6" t="s">
        <v>807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808</v>
      </c>
      <c r="B227" s="6" t="s">
        <v>23</v>
      </c>
      <c r="C227" s="6" t="s">
        <v>11</v>
      </c>
      <c r="D227" s="7" t="s">
        <v>607</v>
      </c>
      <c r="E227" s="8" t="s">
        <v>809</v>
      </c>
      <c r="F227" s="6" t="s">
        <v>810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811</v>
      </c>
      <c r="B228" s="6" t="s">
        <v>31</v>
      </c>
      <c r="C228" s="6" t="s">
        <v>11</v>
      </c>
      <c r="D228" s="7" t="s">
        <v>496</v>
      </c>
      <c r="E228" s="8" t="s">
        <v>812</v>
      </c>
      <c r="F228" s="6" t="s">
        <v>813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814</v>
      </c>
      <c r="B229" s="6" t="s">
        <v>39</v>
      </c>
      <c r="C229" s="6" t="s">
        <v>11</v>
      </c>
      <c r="D229" s="7" t="s">
        <v>815</v>
      </c>
      <c r="E229" s="8" t="s">
        <v>816</v>
      </c>
      <c r="F229" s="6" t="s">
        <v>817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818</v>
      </c>
      <c r="B230" s="6" t="s">
        <v>15</v>
      </c>
      <c r="C230" s="6" t="s">
        <v>11</v>
      </c>
      <c r="D230" s="7" t="s">
        <v>51</v>
      </c>
      <c r="E230" s="8" t="s">
        <v>819</v>
      </c>
      <c r="F230" s="6" t="s">
        <v>820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821</v>
      </c>
      <c r="B231" s="6" t="s">
        <v>15</v>
      </c>
      <c r="C231" s="6" t="s">
        <v>11</v>
      </c>
      <c r="D231" s="7" t="s">
        <v>363</v>
      </c>
      <c r="E231" s="8" t="s">
        <v>822</v>
      </c>
      <c r="F231" s="6" t="s">
        <v>823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824</v>
      </c>
      <c r="B232" s="6" t="s">
        <v>15</v>
      </c>
      <c r="C232" s="6" t="s">
        <v>11</v>
      </c>
      <c r="D232" s="7" t="s">
        <v>386</v>
      </c>
      <c r="E232" s="8" t="s">
        <v>825</v>
      </c>
      <c r="F232" s="6" t="s">
        <v>826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827</v>
      </c>
      <c r="B233" s="6" t="s">
        <v>39</v>
      </c>
      <c r="C233" s="6" t="s">
        <v>11</v>
      </c>
      <c r="D233" s="7" t="s">
        <v>51</v>
      </c>
      <c r="E233" s="8" t="s">
        <v>828</v>
      </c>
      <c r="F233" s="6" t="s">
        <v>829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830</v>
      </c>
      <c r="B234" s="6" t="s">
        <v>10</v>
      </c>
      <c r="C234" s="6" t="s">
        <v>11</v>
      </c>
      <c r="D234" s="7" t="s">
        <v>24</v>
      </c>
      <c r="E234" s="8" t="s">
        <v>831</v>
      </c>
      <c r="F234" s="6" t="s">
        <v>832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833</v>
      </c>
      <c r="B235" s="6" t="s">
        <v>10</v>
      </c>
      <c r="C235" s="6" t="s">
        <v>11</v>
      </c>
      <c r="D235" s="7" t="s">
        <v>611</v>
      </c>
      <c r="E235" s="8" t="s">
        <v>834</v>
      </c>
      <c r="F235" s="6" t="s">
        <v>835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836</v>
      </c>
      <c r="B236" s="6" t="s">
        <v>19</v>
      </c>
      <c r="C236" s="6" t="s">
        <v>11</v>
      </c>
      <c r="D236" s="7" t="s">
        <v>258</v>
      </c>
      <c r="E236" s="8" t="s">
        <v>837</v>
      </c>
      <c r="F236" s="6" t="s">
        <v>838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839</v>
      </c>
      <c r="B237" s="6" t="s">
        <v>10</v>
      </c>
      <c r="C237" s="6" t="s">
        <v>11</v>
      </c>
      <c r="D237" s="7" t="s">
        <v>36</v>
      </c>
      <c r="E237" s="8" t="s">
        <v>840</v>
      </c>
      <c r="F237" s="6" t="s">
        <v>841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842</v>
      </c>
      <c r="B238" s="6" t="s">
        <v>23</v>
      </c>
      <c r="C238" s="6" t="s">
        <v>11</v>
      </c>
      <c r="D238" s="7" t="s">
        <v>843</v>
      </c>
      <c r="E238" s="8" t="s">
        <v>844</v>
      </c>
      <c r="F238" s="6" t="s">
        <v>845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846</v>
      </c>
      <c r="B239" s="6" t="s">
        <v>23</v>
      </c>
      <c r="C239" s="6" t="s">
        <v>11</v>
      </c>
      <c r="D239" s="7" t="s">
        <v>847</v>
      </c>
      <c r="E239" s="8" t="s">
        <v>848</v>
      </c>
      <c r="F239" s="6" t="s">
        <v>849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850</v>
      </c>
      <c r="B240" s="6" t="s">
        <v>15</v>
      </c>
      <c r="C240" s="6" t="s">
        <v>11</v>
      </c>
      <c r="D240" s="7" t="s">
        <v>297</v>
      </c>
      <c r="E240" s="8" t="s">
        <v>851</v>
      </c>
      <c r="F240" s="6" t="s">
        <v>852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853</v>
      </c>
      <c r="B241" s="6" t="s">
        <v>15</v>
      </c>
      <c r="C241" s="6" t="s">
        <v>11</v>
      </c>
      <c r="D241" s="7" t="s">
        <v>854</v>
      </c>
      <c r="E241" s="8" t="s">
        <v>855</v>
      </c>
      <c r="F241" s="6" t="s">
        <v>856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857</v>
      </c>
      <c r="B242" s="6" t="s">
        <v>19</v>
      </c>
      <c r="C242" s="6" t="s">
        <v>11</v>
      </c>
      <c r="D242" s="7" t="s">
        <v>858</v>
      </c>
      <c r="E242" s="8" t="s">
        <v>859</v>
      </c>
      <c r="F242" s="6" t="s">
        <v>860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861</v>
      </c>
      <c r="B243" s="6" t="s">
        <v>15</v>
      </c>
      <c r="C243" s="6" t="s">
        <v>11</v>
      </c>
      <c r="D243" s="7" t="s">
        <v>862</v>
      </c>
      <c r="E243" s="8" t="s">
        <v>863</v>
      </c>
      <c r="F243" s="6" t="s">
        <v>864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865</v>
      </c>
      <c r="B244" s="6" t="s">
        <v>10</v>
      </c>
      <c r="C244" s="6" t="s">
        <v>11</v>
      </c>
      <c r="D244" s="7" t="s">
        <v>24</v>
      </c>
      <c r="E244" s="8" t="s">
        <v>201</v>
      </c>
      <c r="F244" s="6" t="s">
        <v>866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867</v>
      </c>
      <c r="B245" s="6" t="s">
        <v>23</v>
      </c>
      <c r="C245" s="6" t="s">
        <v>11</v>
      </c>
      <c r="D245" s="7" t="s">
        <v>868</v>
      </c>
      <c r="E245" s="8" t="s">
        <v>869</v>
      </c>
      <c r="F245" s="6" t="s">
        <v>870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871</v>
      </c>
      <c r="B246" s="6" t="s">
        <v>15</v>
      </c>
      <c r="C246" s="6" t="s">
        <v>11</v>
      </c>
      <c r="D246" s="7" t="s">
        <v>446</v>
      </c>
      <c r="E246" s="8" t="s">
        <v>872</v>
      </c>
      <c r="F246" s="6" t="s">
        <v>873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  <row r="247" spans="1:10" ht="60" customHeight="1">
      <c r="A247" s="6" t="s">
        <v>874</v>
      </c>
      <c r="B247" s="6" t="s">
        <v>31</v>
      </c>
      <c r="C247" s="6" t="s">
        <v>11</v>
      </c>
      <c r="D247" s="7" t="s">
        <v>875</v>
      </c>
      <c r="E247" s="8" t="s">
        <v>876</v>
      </c>
      <c r="F247" s="6" t="s">
        <v>877</v>
      </c>
      <c r="G247" s="9">
        <f>IF(A247=1,"_",IF(C247="_","???",C247))</f>
        <v/>
      </c>
      <c r="H247" s="10" t="s">
        <v>11</v>
      </c>
      <c r="I247" s="11" t="s">
        <v>11</v>
      </c>
      <c r="J247" s="12"/>
    </row>
    <row r="248" spans="1:10" ht="60" customHeight="1">
      <c r="A248" s="6" t="s">
        <v>878</v>
      </c>
      <c r="B248" s="6" t="s">
        <v>10</v>
      </c>
      <c r="C248" s="6" t="s">
        <v>11</v>
      </c>
      <c r="D248" s="7" t="s">
        <v>36</v>
      </c>
      <c r="E248" s="8" t="s">
        <v>879</v>
      </c>
      <c r="F248" s="6" t="s">
        <v>880</v>
      </c>
      <c r="G248" s="9">
        <f>IF(A248=1,"_",IF(C248="_","???",C248))</f>
        <v/>
      </c>
      <c r="H248" s="10" t="s">
        <v>11</v>
      </c>
      <c r="I248" s="11" t="s">
        <v>11</v>
      </c>
      <c r="J248" s="12"/>
    </row>
    <row r="249" spans="1:10" ht="60" customHeight="1">
      <c r="A249" s="6" t="s">
        <v>881</v>
      </c>
      <c r="B249" s="6" t="s">
        <v>35</v>
      </c>
      <c r="C249" s="6" t="s">
        <v>11</v>
      </c>
      <c r="D249" s="7" t="s">
        <v>611</v>
      </c>
      <c r="E249" s="8" t="s">
        <v>882</v>
      </c>
      <c r="F249" s="6" t="s">
        <v>883</v>
      </c>
      <c r="G249" s="9">
        <f>IF(A249=1,"_",IF(C249="_","???",C249))</f>
        <v/>
      </c>
      <c r="H249" s="10" t="s">
        <v>11</v>
      </c>
      <c r="I249" s="11" t="s">
        <v>11</v>
      </c>
      <c r="J249" s="12"/>
    </row>
    <row r="250" spans="1:10" ht="60" customHeight="1">
      <c r="A250" s="6" t="s">
        <v>884</v>
      </c>
      <c r="B250" s="6" t="s">
        <v>19</v>
      </c>
      <c r="C250" s="6" t="s">
        <v>11</v>
      </c>
      <c r="D250" s="7" t="s">
        <v>459</v>
      </c>
      <c r="E250" s="8" t="s">
        <v>885</v>
      </c>
      <c r="F250" s="6" t="s">
        <v>886</v>
      </c>
      <c r="G250" s="9">
        <f>IF(A250=1,"_",IF(C250="_","???",C250))</f>
        <v/>
      </c>
      <c r="H250" s="10" t="s">
        <v>11</v>
      </c>
      <c r="I250" s="11" t="s">
        <v>11</v>
      </c>
      <c r="J250" s="12"/>
    </row>
    <row r="251" spans="1:10" ht="60" customHeight="1">
      <c r="A251" s="6" t="s">
        <v>887</v>
      </c>
      <c r="B251" s="6" t="s">
        <v>10</v>
      </c>
      <c r="C251" s="6" t="s">
        <v>11</v>
      </c>
      <c r="D251" s="7" t="s">
        <v>888</v>
      </c>
      <c r="E251" s="8" t="s">
        <v>889</v>
      </c>
      <c r="F251" s="6" t="s">
        <v>890</v>
      </c>
      <c r="G251" s="9">
        <f>IF(A251=1,"_",IF(C251="_","???",C251))</f>
        <v/>
      </c>
      <c r="H251" s="10" t="s">
        <v>11</v>
      </c>
      <c r="I251" s="11" t="s">
        <v>11</v>
      </c>
      <c r="J251" s="12"/>
    </row>
    <row r="252" spans="1:10" ht="60" customHeight="1">
      <c r="A252" s="6" t="s">
        <v>891</v>
      </c>
      <c r="B252" s="6" t="s">
        <v>103</v>
      </c>
      <c r="C252" s="6" t="s">
        <v>11</v>
      </c>
      <c r="D252" s="7" t="s">
        <v>147</v>
      </c>
      <c r="E252" s="8" t="s">
        <v>892</v>
      </c>
      <c r="F252" s="6" t="s">
        <v>893</v>
      </c>
      <c r="G252" s="9">
        <f>IF(A252=1,"_",IF(C252="_","???",C252))</f>
        <v/>
      </c>
      <c r="H252" s="10" t="s">
        <v>11</v>
      </c>
      <c r="I252" s="11" t="s">
        <v>11</v>
      </c>
      <c r="J252" s="12"/>
    </row>
    <row r="253" spans="1:10" ht="60" customHeight="1">
      <c r="A253" s="6" t="s">
        <v>894</v>
      </c>
      <c r="B253" s="6" t="s">
        <v>15</v>
      </c>
      <c r="C253" s="6" t="s">
        <v>792</v>
      </c>
      <c r="D253" s="7" t="s">
        <v>895</v>
      </c>
      <c r="E253" s="8" t="s">
        <v>896</v>
      </c>
      <c r="F253" s="6" t="s">
        <v>897</v>
      </c>
      <c r="G253" s="9">
        <f>IF(A253=1,"_",IF(C253="_","???",C253))</f>
        <v/>
      </c>
      <c r="H253" s="10" t="s">
        <v>11</v>
      </c>
      <c r="I253" s="11" t="s">
        <v>11</v>
      </c>
      <c r="J253" s="12"/>
    </row>
    <row r="254" spans="1:10" ht="60" customHeight="1">
      <c r="A254" s="6" t="s">
        <v>898</v>
      </c>
      <c r="B254" s="6" t="s">
        <v>10</v>
      </c>
      <c r="C254" s="6" t="s">
        <v>11</v>
      </c>
      <c r="D254" s="7" t="s">
        <v>24</v>
      </c>
      <c r="E254" s="8" t="s">
        <v>201</v>
      </c>
      <c r="F254" s="6" t="s">
        <v>899</v>
      </c>
      <c r="G254" s="9">
        <f>IF(A254=1,"_",IF(C254="_","???",C254))</f>
        <v/>
      </c>
      <c r="H254" s="10" t="s">
        <v>11</v>
      </c>
      <c r="I254" s="11" t="s">
        <v>11</v>
      </c>
      <c r="J254" s="12"/>
    </row>
    <row r="255" spans="1:10" ht="60" customHeight="1">
      <c r="A255" s="6" t="s">
        <v>900</v>
      </c>
      <c r="B255" s="6" t="s">
        <v>15</v>
      </c>
      <c r="C255" s="6" t="s">
        <v>11</v>
      </c>
      <c r="D255" s="7" t="s">
        <v>901</v>
      </c>
      <c r="E255" s="8" t="s">
        <v>902</v>
      </c>
      <c r="F255" s="6" t="s">
        <v>903</v>
      </c>
      <c r="G255" s="9">
        <f>IF(A255=1,"_",IF(C255="_","???",C255))</f>
        <v/>
      </c>
      <c r="H255" s="10" t="s">
        <v>11</v>
      </c>
      <c r="I255" s="11" t="s">
        <v>11</v>
      </c>
      <c r="J255" s="12"/>
    </row>
    <row r="256" spans="1:10" ht="60" customHeight="1">
      <c r="A256" s="6" t="s">
        <v>904</v>
      </c>
      <c r="B256" s="6" t="s">
        <v>15</v>
      </c>
      <c r="C256" s="6" t="s">
        <v>11</v>
      </c>
      <c r="D256" s="7" t="s">
        <v>216</v>
      </c>
      <c r="E256" s="8" t="s">
        <v>905</v>
      </c>
      <c r="F256" s="6" t="s">
        <v>906</v>
      </c>
      <c r="G256" s="9">
        <f>IF(A256=1,"_",IF(C256="_","???",C256))</f>
        <v/>
      </c>
      <c r="H256" s="10" t="s">
        <v>11</v>
      </c>
      <c r="I256" s="11" t="s">
        <v>11</v>
      </c>
      <c r="J256" s="12"/>
    </row>
    <row r="257" spans="1:10" ht="60" customHeight="1">
      <c r="A257" s="6" t="s">
        <v>907</v>
      </c>
      <c r="B257" s="6" t="s">
        <v>10</v>
      </c>
      <c r="C257" s="6" t="s">
        <v>11</v>
      </c>
      <c r="D257" s="7" t="s">
        <v>36</v>
      </c>
      <c r="E257" s="8" t="s">
        <v>908</v>
      </c>
      <c r="F257" s="6" t="s">
        <v>909</v>
      </c>
      <c r="G257" s="9">
        <f>IF(A257=1,"_",IF(C257="_","???",C257))</f>
        <v/>
      </c>
      <c r="H257" s="10" t="s">
        <v>11</v>
      </c>
      <c r="I257" s="11" t="s">
        <v>11</v>
      </c>
      <c r="J257" s="12"/>
    </row>
    <row r="258" spans="1:10" ht="60" customHeight="1">
      <c r="A258" s="6" t="s">
        <v>910</v>
      </c>
      <c r="B258" s="6" t="s">
        <v>15</v>
      </c>
      <c r="C258" s="6" t="s">
        <v>11</v>
      </c>
      <c r="D258" s="7" t="s">
        <v>911</v>
      </c>
      <c r="E258" s="8" t="s">
        <v>912</v>
      </c>
      <c r="F258" s="6" t="s">
        <v>913</v>
      </c>
      <c r="G258" s="9">
        <f>IF(A258=1,"_",IF(C258="_","???",C258))</f>
        <v/>
      </c>
      <c r="H258" s="10" t="s">
        <v>11</v>
      </c>
      <c r="I258" s="11" t="s">
        <v>11</v>
      </c>
      <c r="J258" s="12"/>
    </row>
    <row r="259" spans="1:10" ht="60" customHeight="1">
      <c r="A259" s="6" t="s">
        <v>914</v>
      </c>
      <c r="B259" s="6" t="s">
        <v>19</v>
      </c>
      <c r="C259" s="6" t="s">
        <v>11</v>
      </c>
      <c r="D259" s="7" t="s">
        <v>735</v>
      </c>
      <c r="E259" s="8" t="s">
        <v>915</v>
      </c>
      <c r="F259" s="6" t="s">
        <v>916</v>
      </c>
      <c r="G259" s="9">
        <f>IF(A259=1,"_",IF(C259="_","???",C259))</f>
        <v/>
      </c>
      <c r="H259" s="10" t="s">
        <v>11</v>
      </c>
      <c r="I259" s="11" t="s">
        <v>11</v>
      </c>
      <c r="J259" s="12"/>
    </row>
    <row r="260" spans="1:10" ht="60" customHeight="1">
      <c r="A260" s="6" t="s">
        <v>917</v>
      </c>
      <c r="B260" s="6" t="s">
        <v>15</v>
      </c>
      <c r="C260" s="6" t="s">
        <v>11</v>
      </c>
      <c r="D260" s="7" t="s">
        <v>918</v>
      </c>
      <c r="E260" s="8" t="s">
        <v>919</v>
      </c>
      <c r="F260" s="6" t="s">
        <v>920</v>
      </c>
      <c r="G260" s="9">
        <f>IF(A260=1,"_",IF(C260="_","???",C260))</f>
        <v/>
      </c>
      <c r="H260" s="10" t="s">
        <v>11</v>
      </c>
      <c r="I260" s="11" t="s">
        <v>11</v>
      </c>
      <c r="J260" s="12"/>
    </row>
    <row r="261" spans="1:10" ht="60" customHeight="1">
      <c r="A261" s="6" t="s">
        <v>921</v>
      </c>
      <c r="B261" s="6" t="s">
        <v>19</v>
      </c>
      <c r="C261" s="6" t="s">
        <v>11</v>
      </c>
      <c r="D261" s="7" t="s">
        <v>735</v>
      </c>
      <c r="E261" s="8" t="s">
        <v>922</v>
      </c>
      <c r="F261" s="6" t="s">
        <v>923</v>
      </c>
      <c r="G261" s="9">
        <f>IF(A261=1,"_",IF(C261="_","???",C261))</f>
        <v/>
      </c>
      <c r="H261" s="10" t="s">
        <v>11</v>
      </c>
      <c r="I261" s="11" t="s">
        <v>11</v>
      </c>
      <c r="J261" s="12"/>
    </row>
    <row r="262" spans="1:10" ht="60" customHeight="1">
      <c r="A262" s="6" t="s">
        <v>924</v>
      </c>
      <c r="B262" s="6" t="s">
        <v>35</v>
      </c>
      <c r="C262" s="6" t="s">
        <v>11</v>
      </c>
      <c r="D262" s="7" t="s">
        <v>735</v>
      </c>
      <c r="E262" s="8" t="s">
        <v>925</v>
      </c>
      <c r="F262" s="6" t="s">
        <v>926</v>
      </c>
      <c r="G262" s="9">
        <f>IF(A262=1,"_",IF(C262="_","???",C262))</f>
        <v/>
      </c>
      <c r="H262" s="10" t="s">
        <v>11</v>
      </c>
      <c r="I262" s="11" t="s">
        <v>11</v>
      </c>
      <c r="J262" s="12"/>
    </row>
    <row r="263" spans="1:10" ht="60" customHeight="1">
      <c r="A263" s="6" t="s">
        <v>927</v>
      </c>
      <c r="B263" s="6" t="s">
        <v>10</v>
      </c>
      <c r="C263" s="6" t="s">
        <v>11</v>
      </c>
      <c r="D263" s="7" t="s">
        <v>24</v>
      </c>
      <c r="E263" s="8" t="s">
        <v>201</v>
      </c>
      <c r="F263" s="6" t="s">
        <v>928</v>
      </c>
      <c r="G263" s="9">
        <f>IF(A263=1,"_",IF(C263="_","???",C263))</f>
        <v/>
      </c>
      <c r="H263" s="10" t="s">
        <v>11</v>
      </c>
      <c r="I263" s="11" t="s">
        <v>11</v>
      </c>
      <c r="J263" s="12"/>
    </row>
    <row r="264" spans="1:10" ht="60" customHeight="1">
      <c r="A264" s="6" t="s">
        <v>929</v>
      </c>
      <c r="B264" s="6" t="s">
        <v>27</v>
      </c>
      <c r="C264" s="6" t="s">
        <v>11</v>
      </c>
      <c r="D264" s="7" t="s">
        <v>930</v>
      </c>
      <c r="E264" s="8" t="s">
        <v>931</v>
      </c>
      <c r="F264" s="6" t="s">
        <v>932</v>
      </c>
      <c r="G264" s="9">
        <f>IF(A264=1,"_",IF(C264="_","???",C264))</f>
        <v/>
      </c>
      <c r="H264" s="10" t="s">
        <v>11</v>
      </c>
      <c r="I264" s="11" t="s">
        <v>11</v>
      </c>
      <c r="J264" s="12"/>
    </row>
    <row r="265" spans="1:10" ht="60" customHeight="1">
      <c r="A265" s="6" t="s">
        <v>933</v>
      </c>
      <c r="B265" s="6" t="s">
        <v>15</v>
      </c>
      <c r="C265" s="6" t="s">
        <v>11</v>
      </c>
      <c r="D265" s="7" t="s">
        <v>934</v>
      </c>
      <c r="E265" s="8" t="s">
        <v>935</v>
      </c>
      <c r="F265" s="6" t="s">
        <v>936</v>
      </c>
      <c r="G265" s="9">
        <f>IF(A265=1,"_",IF(C265="_","???",C265))</f>
        <v/>
      </c>
      <c r="H265" s="10" t="s">
        <v>11</v>
      </c>
      <c r="I265" s="11" t="s">
        <v>11</v>
      </c>
      <c r="J265" s="12"/>
    </row>
    <row r="266" spans="1:10" ht="60" customHeight="1">
      <c r="A266" s="6" t="s">
        <v>937</v>
      </c>
      <c r="B266" s="6" t="s">
        <v>31</v>
      </c>
      <c r="C266" s="6" t="s">
        <v>11</v>
      </c>
      <c r="D266" s="7" t="s">
        <v>938</v>
      </c>
      <c r="E266" s="8" t="s">
        <v>939</v>
      </c>
      <c r="F266" s="6" t="s">
        <v>940</v>
      </c>
      <c r="G266" s="9">
        <f>IF(A266=1,"_",IF(C266="_","???",C266))</f>
        <v/>
      </c>
      <c r="H266" s="10" t="s">
        <v>11</v>
      </c>
      <c r="I266" s="11" t="s">
        <v>11</v>
      </c>
      <c r="J266" s="12"/>
    </row>
    <row r="267" spans="1:10" ht="60" customHeight="1">
      <c r="A267" s="6" t="s">
        <v>941</v>
      </c>
      <c r="B267" s="6" t="s">
        <v>27</v>
      </c>
      <c r="C267" s="6" t="s">
        <v>11</v>
      </c>
      <c r="D267" s="7" t="s">
        <v>258</v>
      </c>
      <c r="E267" s="8" t="s">
        <v>942</v>
      </c>
      <c r="F267" s="6" t="s">
        <v>943</v>
      </c>
      <c r="G267" s="9">
        <f>IF(A267=1,"_",IF(C267="_","???",C267))</f>
        <v/>
      </c>
      <c r="H267" s="10" t="s">
        <v>11</v>
      </c>
      <c r="I267" s="11" t="s">
        <v>11</v>
      </c>
      <c r="J267" s="12"/>
    </row>
    <row r="268" spans="1:10" ht="60" customHeight="1">
      <c r="A268" s="6" t="s">
        <v>944</v>
      </c>
      <c r="B268" s="6" t="s">
        <v>15</v>
      </c>
      <c r="C268" s="6" t="s">
        <v>11</v>
      </c>
      <c r="D268" s="7" t="s">
        <v>945</v>
      </c>
      <c r="E268" s="8" t="s">
        <v>946</v>
      </c>
      <c r="F268" s="6" t="s">
        <v>947</v>
      </c>
      <c r="G268" s="9">
        <f>IF(A268=1,"_",IF(C268="_","???",C268))</f>
        <v/>
      </c>
      <c r="H268" s="10" t="s">
        <v>11</v>
      </c>
      <c r="I268" s="11" t="s">
        <v>11</v>
      </c>
      <c r="J268" s="12"/>
    </row>
    <row r="269" spans="1:10" ht="60" customHeight="1">
      <c r="A269" s="6" t="s">
        <v>948</v>
      </c>
      <c r="B269" s="6" t="s">
        <v>43</v>
      </c>
      <c r="C269" s="6" t="s">
        <v>11</v>
      </c>
      <c r="D269" s="7" t="s">
        <v>949</v>
      </c>
      <c r="E269" s="8" t="s">
        <v>950</v>
      </c>
      <c r="F269" s="6" t="s">
        <v>951</v>
      </c>
      <c r="G269" s="9">
        <f>IF(A269=1,"_",IF(C269="_","???",C269))</f>
        <v/>
      </c>
      <c r="H269" s="10" t="s">
        <v>11</v>
      </c>
      <c r="I269" s="11" t="s">
        <v>11</v>
      </c>
      <c r="J269" s="12"/>
    </row>
    <row r="270" spans="1:10" ht="60" customHeight="1">
      <c r="A270" s="6" t="s">
        <v>952</v>
      </c>
      <c r="B270" s="6" t="s">
        <v>15</v>
      </c>
      <c r="C270" s="6" t="s">
        <v>11</v>
      </c>
      <c r="D270" s="7" t="s">
        <v>51</v>
      </c>
      <c r="E270" s="8" t="s">
        <v>953</v>
      </c>
      <c r="F270" s="6" t="s">
        <v>954</v>
      </c>
      <c r="G270" s="9">
        <f>IF(A270=1,"_",IF(C270="_","???",C270))</f>
        <v/>
      </c>
      <c r="H270" s="10" t="s">
        <v>11</v>
      </c>
      <c r="I270" s="11" t="s">
        <v>11</v>
      </c>
      <c r="J270" s="12"/>
    </row>
    <row r="271" spans="1:10" ht="60" customHeight="1">
      <c r="A271" s="6" t="s">
        <v>955</v>
      </c>
      <c r="B271" s="6" t="s">
        <v>15</v>
      </c>
      <c r="C271" s="6" t="s">
        <v>11</v>
      </c>
      <c r="D271" s="7" t="s">
        <v>297</v>
      </c>
      <c r="E271" s="8" t="s">
        <v>956</v>
      </c>
      <c r="F271" s="6" t="s">
        <v>957</v>
      </c>
      <c r="G271" s="9">
        <f>IF(A271=1,"_",IF(C271="_","???",C271))</f>
        <v/>
      </c>
      <c r="H271" s="10" t="s">
        <v>11</v>
      </c>
      <c r="I271" s="11" t="s">
        <v>11</v>
      </c>
      <c r="J271" s="12"/>
    </row>
    <row r="272" spans="1:10" ht="60" customHeight="1">
      <c r="A272" s="6" t="s">
        <v>958</v>
      </c>
      <c r="B272" s="6" t="s">
        <v>46</v>
      </c>
      <c r="C272" s="6" t="s">
        <v>11</v>
      </c>
      <c r="D272" s="7" t="s">
        <v>959</v>
      </c>
      <c r="E272" s="8" t="s">
        <v>960</v>
      </c>
      <c r="F272" s="6" t="s">
        <v>961</v>
      </c>
      <c r="G272" s="9">
        <f>IF(A272=1,"_",IF(C272="_","???",C272))</f>
        <v/>
      </c>
      <c r="H272" s="10" t="s">
        <v>11</v>
      </c>
      <c r="I272" s="11" t="s">
        <v>11</v>
      </c>
      <c r="J272" s="12"/>
    </row>
    <row r="273" spans="1:10" ht="60" customHeight="1">
      <c r="A273" s="6" t="s">
        <v>962</v>
      </c>
      <c r="B273" s="6" t="s">
        <v>31</v>
      </c>
      <c r="C273" s="6" t="s">
        <v>11</v>
      </c>
      <c r="D273" s="7" t="s">
        <v>515</v>
      </c>
      <c r="E273" s="8" t="s">
        <v>963</v>
      </c>
      <c r="F273" s="6" t="s">
        <v>964</v>
      </c>
      <c r="G273" s="9">
        <f>IF(A273=1,"_",IF(C273="_","???",C273))</f>
        <v/>
      </c>
      <c r="H273" s="10" t="s">
        <v>11</v>
      </c>
      <c r="I273" s="11" t="s">
        <v>11</v>
      </c>
      <c r="J273" s="12"/>
    </row>
    <row r="274" spans="1:10" ht="60" customHeight="1">
      <c r="A274" s="6" t="s">
        <v>965</v>
      </c>
      <c r="B274" s="6" t="s">
        <v>19</v>
      </c>
      <c r="C274" s="6" t="s">
        <v>11</v>
      </c>
      <c r="D274" s="7" t="s">
        <v>446</v>
      </c>
      <c r="E274" s="8" t="s">
        <v>966</v>
      </c>
      <c r="F274" s="6" t="s">
        <v>967</v>
      </c>
      <c r="G274" s="9">
        <f>IF(A274=1,"_",IF(C274="_","???",C274))</f>
        <v/>
      </c>
      <c r="H274" s="10" t="s">
        <v>11</v>
      </c>
      <c r="I274" s="11" t="s">
        <v>11</v>
      </c>
      <c r="J274" s="12"/>
    </row>
    <row r="275" spans="1:10" ht="60" customHeight="1">
      <c r="A275" s="6" t="s">
        <v>968</v>
      </c>
      <c r="B275" s="6" t="s">
        <v>15</v>
      </c>
      <c r="C275" s="6" t="s">
        <v>11</v>
      </c>
      <c r="D275" s="7" t="s">
        <v>969</v>
      </c>
      <c r="E275" s="8" t="s">
        <v>970</v>
      </c>
      <c r="F275" s="6" t="s">
        <v>971</v>
      </c>
      <c r="G275" s="9">
        <f>IF(A275=1,"_",IF(C275="_","???",C275))</f>
        <v/>
      </c>
      <c r="H275" s="10" t="s">
        <v>11</v>
      </c>
      <c r="I275" s="11" t="s">
        <v>11</v>
      </c>
      <c r="J275" s="12"/>
    </row>
    <row r="276" spans="1:10" ht="60" customHeight="1">
      <c r="A276" s="6" t="s">
        <v>972</v>
      </c>
      <c r="B276" s="6" t="s">
        <v>10</v>
      </c>
      <c r="C276" s="6" t="s">
        <v>11</v>
      </c>
      <c r="D276" s="7" t="s">
        <v>24</v>
      </c>
      <c r="E276" s="8" t="s">
        <v>973</v>
      </c>
      <c r="F276" s="6" t="s">
        <v>974</v>
      </c>
      <c r="G276" s="9">
        <f>IF(A276=1,"_",IF(C276="_","???",C276))</f>
        <v/>
      </c>
      <c r="H276" s="10" t="s">
        <v>11</v>
      </c>
      <c r="I276" s="11" t="s">
        <v>11</v>
      </c>
      <c r="J276" s="12"/>
    </row>
    <row r="277" spans="1:10" ht="60" customHeight="1">
      <c r="A277" s="6" t="s">
        <v>975</v>
      </c>
      <c r="B277" s="6" t="s">
        <v>19</v>
      </c>
      <c r="C277" s="6" t="s">
        <v>11</v>
      </c>
      <c r="D277" s="7" t="s">
        <v>976</v>
      </c>
      <c r="E277" s="8" t="s">
        <v>977</v>
      </c>
      <c r="F277" s="6" t="s">
        <v>978</v>
      </c>
      <c r="G277" s="9">
        <f>IF(A277=1,"_",IF(C277="_","???",C277))</f>
        <v/>
      </c>
      <c r="H277" s="10" t="s">
        <v>11</v>
      </c>
      <c r="I277" s="11" t="s">
        <v>11</v>
      </c>
      <c r="J277" s="12"/>
    </row>
    <row r="278" spans="1:10" ht="60" customHeight="1">
      <c r="A278" s="6" t="s">
        <v>979</v>
      </c>
      <c r="B278" s="6" t="s">
        <v>31</v>
      </c>
      <c r="C278" s="6" t="s">
        <v>11</v>
      </c>
      <c r="D278" s="7" t="s">
        <v>976</v>
      </c>
      <c r="E278" s="8" t="s">
        <v>980</v>
      </c>
      <c r="F278" s="6" t="s">
        <v>981</v>
      </c>
      <c r="G278" s="9">
        <f>IF(A278=1,"_",IF(C278="_","???",C278))</f>
        <v/>
      </c>
      <c r="H278" s="10" t="s">
        <v>11</v>
      </c>
      <c r="I278" s="11" t="s">
        <v>11</v>
      </c>
      <c r="J278" s="12"/>
    </row>
    <row r="279" spans="1:10" ht="60" customHeight="1">
      <c r="A279" s="6" t="s">
        <v>982</v>
      </c>
      <c r="B279" s="6" t="s">
        <v>57</v>
      </c>
      <c r="C279" s="6" t="s">
        <v>11</v>
      </c>
      <c r="D279" s="7" t="s">
        <v>983</v>
      </c>
      <c r="E279" s="8" t="s">
        <v>984</v>
      </c>
      <c r="F279" s="6" t="s">
        <v>985</v>
      </c>
      <c r="G279" s="9">
        <f>IF(A279=1,"_",IF(C279="_","???",C279))</f>
        <v/>
      </c>
      <c r="H279" s="10" t="s">
        <v>11</v>
      </c>
      <c r="I279" s="11" t="s">
        <v>11</v>
      </c>
      <c r="J279" s="12"/>
    </row>
    <row r="280" spans="1:10" ht="60" customHeight="1">
      <c r="A280" s="6" t="s">
        <v>986</v>
      </c>
      <c r="B280" s="6" t="s">
        <v>10</v>
      </c>
      <c r="C280" s="6" t="s">
        <v>11</v>
      </c>
      <c r="D280" s="7" t="s">
        <v>36</v>
      </c>
      <c r="E280" s="8" t="s">
        <v>987</v>
      </c>
      <c r="F280" s="6" t="s">
        <v>988</v>
      </c>
      <c r="G280" s="9">
        <f>IF(A280=1,"_",IF(C280="_","???",C280))</f>
        <v/>
      </c>
      <c r="H280" s="10" t="s">
        <v>11</v>
      </c>
      <c r="I280" s="11" t="s">
        <v>11</v>
      </c>
      <c r="J280" s="12"/>
    </row>
    <row r="281" spans="1:10" ht="60" customHeight="1">
      <c r="A281" s="6" t="s">
        <v>989</v>
      </c>
      <c r="B281" s="6" t="s">
        <v>23</v>
      </c>
      <c r="C281" s="6" t="s">
        <v>11</v>
      </c>
      <c r="D281" s="7" t="s">
        <v>990</v>
      </c>
      <c r="E281" s="8" t="s">
        <v>991</v>
      </c>
      <c r="F281" s="6" t="s">
        <v>992</v>
      </c>
      <c r="G281" s="9">
        <f>IF(A281=1,"_",IF(C281="_","???",C281))</f>
        <v/>
      </c>
      <c r="H281" s="10" t="s">
        <v>11</v>
      </c>
      <c r="I281" s="11" t="s">
        <v>11</v>
      </c>
      <c r="J281" s="12"/>
    </row>
    <row r="282" spans="1:10" ht="60" customHeight="1">
      <c r="A282" s="6" t="s">
        <v>993</v>
      </c>
      <c r="B282" s="6" t="s">
        <v>15</v>
      </c>
      <c r="C282" s="6" t="s">
        <v>11</v>
      </c>
      <c r="D282" s="7" t="s">
        <v>363</v>
      </c>
      <c r="E282" s="8" t="s">
        <v>994</v>
      </c>
      <c r="F282" s="6" t="s">
        <v>995</v>
      </c>
      <c r="G282" s="9">
        <f>IF(A282=1,"_",IF(C282="_","???",C282))</f>
        <v/>
      </c>
      <c r="H282" s="10" t="s">
        <v>11</v>
      </c>
      <c r="I282" s="11" t="s">
        <v>11</v>
      </c>
      <c r="J282" s="12"/>
    </row>
    <row r="283" spans="1:10" ht="60" customHeight="1">
      <c r="A283" s="6" t="s">
        <v>996</v>
      </c>
      <c r="B283" s="6" t="s">
        <v>19</v>
      </c>
      <c r="C283" s="6" t="s">
        <v>11</v>
      </c>
      <c r="D283" s="7" t="s">
        <v>997</v>
      </c>
      <c r="E283" s="8" t="s">
        <v>998</v>
      </c>
      <c r="F283" s="6" t="s">
        <v>999</v>
      </c>
      <c r="G283" s="9">
        <f>IF(A283=1,"_",IF(C283="_","???",C283))</f>
        <v/>
      </c>
      <c r="H283" s="10" t="s">
        <v>11</v>
      </c>
      <c r="I283" s="11" t="s">
        <v>11</v>
      </c>
      <c r="J283" s="12"/>
    </row>
    <row r="284" spans="1:10" ht="60" customHeight="1">
      <c r="A284" s="6" t="s">
        <v>1000</v>
      </c>
      <c r="B284" s="6" t="s">
        <v>39</v>
      </c>
      <c r="C284" s="6" t="s">
        <v>11</v>
      </c>
      <c r="D284" s="7" t="s">
        <v>47</v>
      </c>
      <c r="E284" s="8" t="s">
        <v>1001</v>
      </c>
      <c r="F284" s="6" t="s">
        <v>1002</v>
      </c>
      <c r="G284" s="9">
        <f>IF(A284=1,"_",IF(C284="_","???",C284))</f>
        <v/>
      </c>
      <c r="H284" s="10" t="s">
        <v>11</v>
      </c>
      <c r="I284" s="11" t="s">
        <v>11</v>
      </c>
      <c r="J284" s="12"/>
    </row>
    <row r="285" spans="1:10" ht="60" customHeight="1">
      <c r="A285" s="6" t="s">
        <v>1003</v>
      </c>
      <c r="B285" s="6" t="s">
        <v>39</v>
      </c>
      <c r="C285" s="6" t="s">
        <v>11</v>
      </c>
      <c r="D285" s="7" t="s">
        <v>1004</v>
      </c>
      <c r="E285" s="8" t="s">
        <v>1005</v>
      </c>
      <c r="F285" s="6" t="s">
        <v>1006</v>
      </c>
      <c r="G285" s="9">
        <f>IF(A285=1,"_",IF(C285="_","???",C285))</f>
        <v/>
      </c>
      <c r="H285" s="10" t="s">
        <v>11</v>
      </c>
      <c r="I285" s="11" t="s">
        <v>11</v>
      </c>
      <c r="J285" s="12"/>
    </row>
    <row r="286" spans="1:10" ht="60" customHeight="1">
      <c r="A286" s="6" t="s">
        <v>1007</v>
      </c>
      <c r="B286" s="6" t="s">
        <v>19</v>
      </c>
      <c r="C286" s="6" t="s">
        <v>11</v>
      </c>
      <c r="D286" s="7" t="s">
        <v>147</v>
      </c>
      <c r="E286" s="8" t="s">
        <v>1008</v>
      </c>
      <c r="F286" s="6" t="s">
        <v>1009</v>
      </c>
      <c r="G286" s="9">
        <f>IF(A286=1,"_",IF(C286="_","???",C286))</f>
        <v/>
      </c>
      <c r="H286" s="10" t="s">
        <v>11</v>
      </c>
      <c r="I286" s="11" t="s">
        <v>11</v>
      </c>
      <c r="J286" s="12"/>
    </row>
    <row r="287" spans="1:10" ht="60" customHeight="1">
      <c r="A287" s="6" t="s">
        <v>1010</v>
      </c>
      <c r="B287" s="6" t="s">
        <v>19</v>
      </c>
      <c r="C287" s="6" t="s">
        <v>11</v>
      </c>
      <c r="D287" s="7" t="s">
        <v>528</v>
      </c>
      <c r="E287" s="8" t="s">
        <v>1011</v>
      </c>
      <c r="F287" s="6" t="s">
        <v>1012</v>
      </c>
      <c r="G287" s="9">
        <f>IF(A287=1,"_",IF(C287="_","???",C287))</f>
        <v/>
      </c>
      <c r="H287" s="10" t="s">
        <v>11</v>
      </c>
      <c r="I287" s="11" t="s">
        <v>11</v>
      </c>
      <c r="J287" s="12"/>
    </row>
    <row r="288" spans="1:10" ht="60" customHeight="1">
      <c r="A288" s="6" t="s">
        <v>1013</v>
      </c>
      <c r="B288" s="6" t="s">
        <v>10</v>
      </c>
      <c r="C288" s="6" t="s">
        <v>11</v>
      </c>
      <c r="D288" s="7" t="s">
        <v>735</v>
      </c>
      <c r="E288" s="8" t="s">
        <v>1014</v>
      </c>
      <c r="F288" s="6" t="s">
        <v>1015</v>
      </c>
      <c r="G288" s="9">
        <f>IF(A288=1,"_",IF(C288="_","???",C288))</f>
        <v/>
      </c>
      <c r="H288" s="10" t="s">
        <v>11</v>
      </c>
      <c r="I288" s="11" t="s">
        <v>11</v>
      </c>
      <c r="J288" s="12"/>
    </row>
    <row r="289" spans="1:10" ht="60" customHeight="1">
      <c r="A289" s="6" t="s">
        <v>1016</v>
      </c>
      <c r="B289" s="6" t="s">
        <v>23</v>
      </c>
      <c r="C289" s="6" t="s">
        <v>11</v>
      </c>
      <c r="D289" s="7" t="s">
        <v>735</v>
      </c>
      <c r="E289" s="8" t="s">
        <v>1017</v>
      </c>
      <c r="F289" s="6" t="s">
        <v>1018</v>
      </c>
      <c r="G289" s="9">
        <f>IF(A289=1,"_",IF(C289="_","???",C289))</f>
        <v/>
      </c>
      <c r="H289" s="10" t="s">
        <v>11</v>
      </c>
      <c r="I289" s="11" t="s">
        <v>11</v>
      </c>
      <c r="J289" s="12"/>
    </row>
    <row r="290" spans="1:10" ht="60" customHeight="1">
      <c r="A290" s="6" t="s">
        <v>1019</v>
      </c>
      <c r="B290" s="6" t="s">
        <v>15</v>
      </c>
      <c r="C290" s="6" t="s">
        <v>11</v>
      </c>
      <c r="D290" s="7" t="s">
        <v>1020</v>
      </c>
      <c r="E290" s="8" t="s">
        <v>1021</v>
      </c>
      <c r="F290" s="6" t="s">
        <v>1022</v>
      </c>
      <c r="G290" s="9">
        <f>IF(A290=1,"_",IF(C290="_","???",C290))</f>
        <v/>
      </c>
      <c r="H290" s="10" t="s">
        <v>11</v>
      </c>
      <c r="I290" s="11" t="s">
        <v>11</v>
      </c>
      <c r="J290" s="12"/>
    </row>
    <row r="291" spans="1:10" ht="60" customHeight="1">
      <c r="A291" s="6" t="s">
        <v>1023</v>
      </c>
      <c r="B291" s="6" t="s">
        <v>15</v>
      </c>
      <c r="C291" s="6" t="s">
        <v>11</v>
      </c>
      <c r="D291" s="7" t="s">
        <v>784</v>
      </c>
      <c r="E291" s="8" t="s">
        <v>1024</v>
      </c>
      <c r="F291" s="6" t="s">
        <v>1025</v>
      </c>
      <c r="G291" s="9">
        <f>IF(A291=1,"_",IF(C291="_","???",C291))</f>
        <v/>
      </c>
      <c r="H291" s="10" t="s">
        <v>11</v>
      </c>
      <c r="I291" s="11" t="s">
        <v>11</v>
      </c>
      <c r="J291" s="12"/>
    </row>
    <row r="292" spans="1:10" ht="60" customHeight="1">
      <c r="A292" s="6" t="s">
        <v>1026</v>
      </c>
      <c r="B292" s="6" t="s">
        <v>15</v>
      </c>
      <c r="C292" s="6" t="s">
        <v>11</v>
      </c>
      <c r="D292" s="7" t="s">
        <v>1027</v>
      </c>
      <c r="E292" s="8" t="s">
        <v>1028</v>
      </c>
      <c r="F292" s="6" t="s">
        <v>1029</v>
      </c>
      <c r="G292" s="9">
        <f>IF(A292=1,"_",IF(C292="_","???",C292))</f>
        <v/>
      </c>
      <c r="H292" s="10" t="s">
        <v>11</v>
      </c>
      <c r="I292" s="11" t="s">
        <v>11</v>
      </c>
      <c r="J292" s="12"/>
    </row>
    <row r="293" spans="1:10" ht="60" customHeight="1">
      <c r="A293" s="6" t="s">
        <v>1030</v>
      </c>
      <c r="B293" s="6" t="s">
        <v>23</v>
      </c>
      <c r="C293" s="6" t="s">
        <v>11</v>
      </c>
      <c r="D293" s="7" t="s">
        <v>1031</v>
      </c>
      <c r="E293" s="8" t="s">
        <v>1032</v>
      </c>
      <c r="F293" s="6" t="s">
        <v>1033</v>
      </c>
      <c r="G293" s="9">
        <f>IF(A293=1,"_",IF(C293="_","???",C293))</f>
        <v/>
      </c>
      <c r="H293" s="10" t="s">
        <v>11</v>
      </c>
      <c r="I293" s="11" t="s">
        <v>11</v>
      </c>
      <c r="J293" s="12"/>
    </row>
    <row r="294" spans="1:10" ht="60" customHeight="1">
      <c r="A294" s="6" t="s">
        <v>1034</v>
      </c>
      <c r="B294" s="6" t="s">
        <v>15</v>
      </c>
      <c r="C294" s="6" t="s">
        <v>11</v>
      </c>
      <c r="D294" s="7" t="s">
        <v>1035</v>
      </c>
      <c r="E294" s="8" t="s">
        <v>1036</v>
      </c>
      <c r="F294" s="6" t="s">
        <v>1037</v>
      </c>
      <c r="G294" s="9">
        <f>IF(A294=1,"_",IF(C294="_","???",C294))</f>
        <v/>
      </c>
      <c r="H294" s="10" t="s">
        <v>11</v>
      </c>
      <c r="I294" s="11" t="s">
        <v>11</v>
      </c>
      <c r="J294" s="12"/>
    </row>
    <row r="295" spans="1:10" ht="60" customHeight="1">
      <c r="A295" s="6" t="s">
        <v>1038</v>
      </c>
      <c r="B295" s="6" t="s">
        <v>27</v>
      </c>
      <c r="C295" s="6" t="s">
        <v>11</v>
      </c>
      <c r="D295" s="7" t="s">
        <v>1039</v>
      </c>
      <c r="E295" s="8" t="s">
        <v>1040</v>
      </c>
      <c r="F295" s="6" t="s">
        <v>1041</v>
      </c>
      <c r="G295" s="9">
        <f>IF(A295=1,"_",IF(C295="_","???",C295))</f>
        <v/>
      </c>
      <c r="H295" s="10" t="s">
        <v>11</v>
      </c>
      <c r="I295" s="11" t="s">
        <v>11</v>
      </c>
      <c r="J295" s="12"/>
    </row>
    <row r="296" spans="1:10" ht="60" customHeight="1">
      <c r="A296" s="6" t="s">
        <v>1042</v>
      </c>
      <c r="B296" s="6" t="s">
        <v>10</v>
      </c>
      <c r="C296" s="6" t="s">
        <v>11</v>
      </c>
      <c r="D296" s="7" t="s">
        <v>24</v>
      </c>
      <c r="E296" s="8" t="s">
        <v>1043</v>
      </c>
      <c r="F296" s="6" t="s">
        <v>1044</v>
      </c>
      <c r="G296" s="9">
        <f>IF(A296=1,"_",IF(C296="_","???",C296))</f>
        <v/>
      </c>
      <c r="H296" s="10" t="s">
        <v>11</v>
      </c>
      <c r="I296" s="11" t="s">
        <v>11</v>
      </c>
      <c r="J296" s="12"/>
    </row>
    <row r="297" spans="1:10" ht="60" customHeight="1">
      <c r="A297" s="6" t="s">
        <v>1045</v>
      </c>
      <c r="B297" s="6" t="s">
        <v>10</v>
      </c>
      <c r="C297" s="6" t="s">
        <v>11</v>
      </c>
      <c r="D297" s="7" t="s">
        <v>1046</v>
      </c>
      <c r="E297" s="8" t="s">
        <v>1047</v>
      </c>
      <c r="F297" s="6" t="s">
        <v>1048</v>
      </c>
      <c r="G297" s="9">
        <f>IF(A297=1,"_",IF(C297="_","???",C297))</f>
        <v/>
      </c>
      <c r="H297" s="10" t="s">
        <v>11</v>
      </c>
      <c r="I297" s="11" t="s">
        <v>11</v>
      </c>
      <c r="J297" s="12"/>
    </row>
    <row r="298" spans="1:10" ht="60" customHeight="1">
      <c r="A298" s="6" t="s">
        <v>1049</v>
      </c>
      <c r="B298" s="6" t="s">
        <v>10</v>
      </c>
      <c r="C298" s="6" t="s">
        <v>11</v>
      </c>
      <c r="D298" s="7" t="s">
        <v>1050</v>
      </c>
      <c r="E298" s="8" t="s">
        <v>1051</v>
      </c>
      <c r="F298" s="6" t="s">
        <v>1052</v>
      </c>
      <c r="G298" s="9">
        <f>IF(A298=1,"_",IF(C298="_","???",C298))</f>
        <v/>
      </c>
      <c r="H298" s="10" t="s">
        <v>11</v>
      </c>
      <c r="I298" s="11" t="s">
        <v>11</v>
      </c>
      <c r="J298" s="12"/>
    </row>
    <row r="299" spans="1:10" ht="60" customHeight="1">
      <c r="A299" s="6" t="s">
        <v>1053</v>
      </c>
      <c r="B299" s="6" t="s">
        <v>10</v>
      </c>
      <c r="C299" s="6" t="s">
        <v>11</v>
      </c>
      <c r="D299" s="7" t="s">
        <v>36</v>
      </c>
      <c r="E299" s="8" t="s">
        <v>1054</v>
      </c>
      <c r="F299" s="6" t="s">
        <v>1055</v>
      </c>
      <c r="G299" s="9">
        <f>IF(A299=1,"_",IF(C299="_","???",C299))</f>
        <v/>
      </c>
      <c r="H299" s="10" t="s">
        <v>11</v>
      </c>
      <c r="I299" s="11" t="s">
        <v>11</v>
      </c>
      <c r="J299" s="12"/>
    </row>
    <row r="300" spans="1:10" ht="60" customHeight="1">
      <c r="A300" s="6" t="s">
        <v>1056</v>
      </c>
      <c r="B300" s="6" t="s">
        <v>10</v>
      </c>
      <c r="C300" s="6" t="s">
        <v>11</v>
      </c>
      <c r="D300" s="7" t="s">
        <v>1057</v>
      </c>
      <c r="E300" s="8" t="s">
        <v>1058</v>
      </c>
      <c r="F300" s="6" t="s">
        <v>1059</v>
      </c>
      <c r="G300" s="9">
        <f>IF(A300=1,"_",IF(C300="_","???",C300))</f>
        <v/>
      </c>
      <c r="H300" s="10" t="s">
        <v>11</v>
      </c>
      <c r="I300" s="11" t="s">
        <v>11</v>
      </c>
      <c r="J30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1060</v>
      </c>
      <c r="B1" s="13" t="s">
        <v>1061</v>
      </c>
      <c r="C1" s="13" t="s">
        <v>1062</v>
      </c>
      <c r="D1" s="13" t="s">
        <v>1063</v>
      </c>
      <c r="E1" s="14" t="s">
        <v>1064</v>
      </c>
      <c r="F1" s="15" t="s">
        <v>1065</v>
      </c>
      <c r="G1" s="16" t="s">
        <v>1066</v>
      </c>
      <c r="H1" s="17" t="s">
        <v>1067</v>
      </c>
      <c r="I1" s="18" t="s">
        <v>1068</v>
      </c>
      <c r="J1" s="18" t="s">
        <v>1069</v>
      </c>
      <c r="K1" s="18" t="s">
        <v>1070</v>
      </c>
      <c r="L1" s="19" t="s">
        <v>9</v>
      </c>
    </row>
    <row r="2" spans="1:12">
      <c r="A2" s="20" t="s">
        <v>1071</v>
      </c>
    </row>
    <row r="3" spans="1:12">
      <c r="A3" s="20" t="s">
        <v>12</v>
      </c>
      <c r="B3" s="21" t="s">
        <v>1072</v>
      </c>
      <c r="C3" s="21" t="s">
        <v>1073</v>
      </c>
      <c r="D3" s="21" t="s">
        <v>1074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1075</v>
      </c>
      <c r="B4" s="21" t="s">
        <v>1072</v>
      </c>
      <c r="C4" s="21" t="s">
        <v>1073</v>
      </c>
      <c r="D4" s="21" t="s">
        <v>1074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1076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20</v>
      </c>
      <c r="B6" s="21" t="s">
        <v>1077</v>
      </c>
      <c r="C6" s="21" t="s">
        <v>1073</v>
      </c>
      <c r="D6" s="21" t="s">
        <v>1074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1078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1079</v>
      </c>
      <c r="B8" s="21" t="s">
        <v>1080</v>
      </c>
      <c r="C8" s="21" t="s">
        <v>1081</v>
      </c>
      <c r="D8" s="21" t="s">
        <v>1074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1082</v>
      </c>
      <c r="B9" s="21" t="s">
        <v>1080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1083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1084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1085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1086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1087</v>
      </c>
      <c r="B14" s="21" t="s">
        <v>1088</v>
      </c>
      <c r="C14" s="21" t="s">
        <v>1081</v>
      </c>
      <c r="D14" s="21" t="s">
        <v>1074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1089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1090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1091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1092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1093</v>
      </c>
      <c r="B19" s="21" t="s">
        <v>1094</v>
      </c>
      <c r="C19" s="21" t="s">
        <v>1095</v>
      </c>
      <c r="D19" s="21" t="s">
        <v>1074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1096</v>
      </c>
      <c r="B20" s="21" t="s">
        <v>1097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1098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1099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1100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1101</v>
      </c>
      <c r="B24" s="21" t="s">
        <v>1102</v>
      </c>
      <c r="C24" s="21" t="s">
        <v>1103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1104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1105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1106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/>
    </row>
    <row r="29" spans="1:12">
      <c r="A29" s="20" t="s">
        <v>1107</v>
      </c>
    </row>
    <row r="30" spans="1:12">
      <c r="A30" s="20" t="s">
        <v>1108</v>
      </c>
      <c r="B30" s="21" t="s">
        <v>1109</v>
      </c>
      <c r="C30" s="21" t="s">
        <v>1081</v>
      </c>
      <c r="D30" s="21" t="s">
        <v>1074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1084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1085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1086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1110</v>
      </c>
      <c r="B34" s="21" t="s">
        <v>1077</v>
      </c>
      <c r="C34" s="21" t="s">
        <v>1081</v>
      </c>
      <c r="D34" s="21" t="s">
        <v>1074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1079</v>
      </c>
      <c r="B35" s="21" t="s">
        <v>1080</v>
      </c>
      <c r="C35" s="21" t="s">
        <v>1081</v>
      </c>
      <c r="D35" s="21" t="s">
        <v>1074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1111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1085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1112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1113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1114</v>
      </c>
      <c r="B40" s="21" t="s">
        <v>1115</v>
      </c>
      <c r="C40" s="21" t="s">
        <v>1073</v>
      </c>
      <c r="D40" s="21" t="s">
        <v>1074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1116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1112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1117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1118</v>
      </c>
      <c r="B44" s="21" t="s">
        <v>1119</v>
      </c>
      <c r="C44" s="21" t="s">
        <v>1081</v>
      </c>
      <c r="D44" s="21" t="s">
        <v>1074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1120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1121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1083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1122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1123</v>
      </c>
      <c r="B49" s="21" t="s">
        <v>1115</v>
      </c>
      <c r="C49" s="21" t="s">
        <v>1081</v>
      </c>
      <c r="D49" s="21" t="s">
        <v>1074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1124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1125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1126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868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1127</v>
      </c>
      <c r="B54" s="21" t="s">
        <v>1088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1106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1128</v>
      </c>
    </row>
    <row r="58" spans="1:12">
      <c r="A58" s="20" t="s">
        <v>20</v>
      </c>
      <c r="B58" s="21" t="s">
        <v>1072</v>
      </c>
      <c r="C58" s="21" t="s">
        <v>1073</v>
      </c>
      <c r="D58" s="21" t="s">
        <v>1074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1129</v>
      </c>
      <c r="B59" s="21" t="s">
        <v>1072</v>
      </c>
      <c r="C59" s="21" t="s">
        <v>1073</v>
      </c>
      <c r="D59" s="21" t="s">
        <v>1074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1076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1130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1106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/>
    </row>
    <row r="64" spans="1:12">
      <c r="A64" s="20" t="s">
        <v>1131</v>
      </c>
    </row>
    <row r="65" spans="1:12">
      <c r="A65" s="20" t="s">
        <v>1132</v>
      </c>
      <c r="B65" s="21" t="s">
        <v>1072</v>
      </c>
      <c r="C65" s="21" t="s">
        <v>1073</v>
      </c>
      <c r="D65" s="21" t="s">
        <v>1074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1076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1133</v>
      </c>
      <c r="B67" s="21" t="s">
        <v>1119</v>
      </c>
      <c r="C67" s="21" t="s">
        <v>1081</v>
      </c>
      <c r="D67" s="21" t="s">
        <v>1074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1134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1135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1136</v>
      </c>
      <c r="B70" s="21" t="s">
        <v>1137</v>
      </c>
      <c r="C70" s="21" t="s">
        <v>1073</v>
      </c>
      <c r="D70" s="21" t="s">
        <v>1074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1085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1138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1139</v>
      </c>
      <c r="B73" s="21" t="s">
        <v>1140</v>
      </c>
      <c r="C73" s="21" t="s">
        <v>1095</v>
      </c>
      <c r="D73" s="21" t="s">
        <v>1074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1141</v>
      </c>
      <c r="B74" s="21" t="s">
        <v>1115</v>
      </c>
      <c r="C74" s="21" t="s">
        <v>1142</v>
      </c>
      <c r="D74" s="21" t="s">
        <v>1074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1098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1143</v>
      </c>
      <c r="B76" s="21" t="s">
        <v>1140</v>
      </c>
      <c r="C76" s="21" t="s">
        <v>1073</v>
      </c>
      <c r="D76" s="21" t="s">
        <v>1074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1085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1087</v>
      </c>
      <c r="B78" s="21" t="s">
        <v>1077</v>
      </c>
      <c r="C78" s="21" t="s">
        <v>1081</v>
      </c>
      <c r="D78" s="21" t="s">
        <v>1074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1134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1135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1144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1145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1083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1135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1146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1147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1148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1085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1149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1150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1138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1139</v>
      </c>
      <c r="B92" s="21" t="s">
        <v>1115</v>
      </c>
      <c r="C92" s="21" t="s">
        <v>1095</v>
      </c>
      <c r="D92" s="21" t="s">
        <v>1074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1151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1152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1085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1138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1153</v>
      </c>
      <c r="B97" s="21" t="s">
        <v>1137</v>
      </c>
      <c r="C97" s="21" t="s">
        <v>1154</v>
      </c>
      <c r="D97" s="21" t="s">
        <v>1074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1085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1155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1156</v>
      </c>
      <c r="B100" s="21" t="s">
        <v>1157</v>
      </c>
      <c r="C100" s="21" t="s">
        <v>1081</v>
      </c>
      <c r="D100" s="21" t="s">
        <v>1074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1158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1159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1160</v>
      </c>
      <c r="B103" s="21" t="s">
        <v>1161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1098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1162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1163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1085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1164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1165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1166</v>
      </c>
      <c r="B110" s="21" t="s">
        <v>1140</v>
      </c>
      <c r="C110" s="21" t="s">
        <v>1167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1168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1106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/>
    </row>
    <row r="114" spans="1:12">
      <c r="A114" s="20" t="s">
        <v>1169</v>
      </c>
    </row>
    <row r="115" spans="1:12">
      <c r="A115" s="20" t="s">
        <v>1170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1171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1087</v>
      </c>
      <c r="B117" s="21" t="s">
        <v>1109</v>
      </c>
      <c r="C117" s="21" t="s">
        <v>1081</v>
      </c>
      <c r="D117" s="21" t="s">
        <v>1074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1172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1138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1173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1106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/>
    </row>
    <row r="124" spans="1:12">
      <c r="A124" s="20" t="s">
        <v>1174</v>
      </c>
    </row>
    <row r="125" spans="1:12">
      <c r="A125" s="20" t="s">
        <v>1175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1176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1177</v>
      </c>
      <c r="B127" s="21" t="s">
        <v>1072</v>
      </c>
      <c r="C127" s="21" t="s">
        <v>1095</v>
      </c>
      <c r="D127" s="21" t="s">
        <v>1074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1178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1076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1179</v>
      </c>
      <c r="B131" s="21" t="s">
        <v>1180</v>
      </c>
      <c r="C131" s="21" t="s">
        <v>1181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1182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1183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1143</v>
      </c>
      <c r="B134" s="21" t="s">
        <v>1180</v>
      </c>
      <c r="C134" s="21" t="s">
        <v>1073</v>
      </c>
      <c r="D134" s="21" t="s">
        <v>1074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1085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1083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1184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1185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1186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1187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1188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1189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1190</v>
      </c>
    </row>
    <row r="145" spans="1:12">
      <c r="A145" s="20" t="s">
        <v>661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1076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1133</v>
      </c>
      <c r="B147" s="21" t="s">
        <v>1077</v>
      </c>
      <c r="C147" s="21" t="s">
        <v>1081</v>
      </c>
      <c r="D147" s="21" t="s">
        <v>1074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1191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1192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1193</v>
      </c>
      <c r="B150" s="21" t="s">
        <v>1137</v>
      </c>
      <c r="C150" s="21" t="s">
        <v>1154</v>
      </c>
      <c r="D150" s="21" t="s">
        <v>1074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1194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1085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1083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1087</v>
      </c>
      <c r="B154" s="21" t="s">
        <v>1119</v>
      </c>
      <c r="C154" s="21" t="s">
        <v>1081</v>
      </c>
      <c r="D154" s="21" t="s">
        <v>1074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1195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1196</v>
      </c>
      <c r="B156" s="21" t="s">
        <v>1115</v>
      </c>
      <c r="C156" s="21" t="s">
        <v>1095</v>
      </c>
      <c r="D156" s="21" t="s">
        <v>1074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1197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1198</v>
      </c>
      <c r="B158" s="21" t="s">
        <v>1199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1200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1201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1076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1202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1203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1204</v>
      </c>
      <c r="B164" s="21" t="s">
        <v>1205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1083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1206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1207</v>
      </c>
      <c r="B167" s="21" t="s">
        <v>1161</v>
      </c>
      <c r="C167" s="21" t="s">
        <v>1081</v>
      </c>
      <c r="D167" s="21" t="s">
        <v>1074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1208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1083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1209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1210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1211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1212</v>
      </c>
      <c r="B173" s="21" t="s">
        <v>1094</v>
      </c>
      <c r="C173" s="21" t="s">
        <v>1103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1106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/>
    </row>
    <row r="176" spans="1:12">
      <c r="A176" s="20" t="s">
        <v>1213</v>
      </c>
    </row>
    <row r="177" spans="1:12">
      <c r="A177" s="20" t="s">
        <v>1214</v>
      </c>
      <c r="B177" s="21" t="s">
        <v>1109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1215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1216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1085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1217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1218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1087</v>
      </c>
      <c r="B183" s="21" t="s">
        <v>1077</v>
      </c>
      <c r="C183" s="21" t="s">
        <v>1081</v>
      </c>
      <c r="D183" s="21" t="s">
        <v>1074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1193</v>
      </c>
      <c r="B184" s="21" t="s">
        <v>1180</v>
      </c>
      <c r="C184" s="21" t="s">
        <v>1154</v>
      </c>
      <c r="D184" s="21" t="s">
        <v>1074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1219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1220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1221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1106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1222</v>
      </c>
    </row>
    <row r="191" spans="1:12">
      <c r="A191" s="20" t="s">
        <v>1108</v>
      </c>
      <c r="B191" s="21" t="s">
        <v>1109</v>
      </c>
      <c r="C191" s="21" t="s">
        <v>1081</v>
      </c>
      <c r="D191" s="21" t="s">
        <v>1074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1083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1223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1224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1225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1226</v>
      </c>
      <c r="B196" s="21" t="s">
        <v>1227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1135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1228</v>
      </c>
      <c r="B198" s="21" t="s">
        <v>1072</v>
      </c>
      <c r="C198" s="21" t="s">
        <v>1154</v>
      </c>
      <c r="D198" s="21" t="s">
        <v>1074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1085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1083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1091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1229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1177</v>
      </c>
      <c r="B203" s="21" t="s">
        <v>1137</v>
      </c>
      <c r="C203" s="21" t="s">
        <v>1095</v>
      </c>
      <c r="D203" s="21" t="s">
        <v>1074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1230</v>
      </c>
      <c r="B204" s="21" t="s">
        <v>1077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1231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1106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/>
    </row>
    <row r="208" spans="1:12">
      <c r="A208" s="20" t="s">
        <v>1232</v>
      </c>
    </row>
    <row r="209" spans="1:12">
      <c r="A209" s="20" t="s">
        <v>1233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1234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1118</v>
      </c>
      <c r="B211" s="21" t="s">
        <v>1077</v>
      </c>
      <c r="C211" s="21" t="s">
        <v>1081</v>
      </c>
      <c r="D211" s="21" t="s">
        <v>1074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1235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1138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1236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1085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1118</v>
      </c>
      <c r="B216" s="21" t="s">
        <v>1109</v>
      </c>
      <c r="C216" s="21" t="s">
        <v>1081</v>
      </c>
      <c r="D216" s="21" t="s">
        <v>1074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1237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1076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1110</v>
      </c>
      <c r="B219" s="21" t="s">
        <v>1077</v>
      </c>
      <c r="C219" s="21" t="s">
        <v>1081</v>
      </c>
      <c r="D219" s="21" t="s">
        <v>1074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1238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1239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1241</v>
      </c>
      <c r="B223" s="21" t="s">
        <v>1180</v>
      </c>
      <c r="C223" s="21" t="s">
        <v>1081</v>
      </c>
      <c r="D223" s="21" t="s">
        <v>1074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1085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1242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143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1085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1243</v>
      </c>
      <c r="B228" s="21" t="s">
        <v>1115</v>
      </c>
      <c r="C228" s="21" t="s">
        <v>1181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1087</v>
      </c>
      <c r="B229" s="21" t="s">
        <v>1088</v>
      </c>
      <c r="C229" s="21" t="s">
        <v>1081</v>
      </c>
      <c r="D229" s="21" t="s">
        <v>1074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1244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1085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143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1203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1204</v>
      </c>
      <c r="B234" s="21" t="s">
        <v>1205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1085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1149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1087</v>
      </c>
      <c r="B237" s="21" t="s">
        <v>1088</v>
      </c>
      <c r="C237" s="21" t="s">
        <v>1081</v>
      </c>
      <c r="D237" s="21" t="s">
        <v>1074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1245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1246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1187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1247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1248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1249</v>
      </c>
      <c r="B243" s="21" t="s">
        <v>1140</v>
      </c>
      <c r="C243" s="21" t="s">
        <v>1095</v>
      </c>
      <c r="D243" s="21" t="s">
        <v>1074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1085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1251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1252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1253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1106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1254</v>
      </c>
    </row>
    <row r="252" spans="1:12">
      <c r="A252" s="20" t="s">
        <v>1133</v>
      </c>
      <c r="B252" s="21" t="s">
        <v>1109</v>
      </c>
      <c r="C252" s="21" t="s">
        <v>1081</v>
      </c>
      <c r="D252" s="21" t="s">
        <v>1074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1255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1192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1256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1257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64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1105</v>
      </c>
      <c r="B258" s="21" t="s">
        <v>1072</v>
      </c>
      <c r="C258" s="21" t="s">
        <v>1103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1085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1258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100</v>
      </c>
      <c r="B261" s="21" t="s">
        <v>1077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1246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1091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1259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1106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/>
    </row>
    <row r="267" spans="1:12">
      <c r="A267" s="20" t="s">
        <v>1260</v>
      </c>
    </row>
    <row r="268" spans="1:12">
      <c r="A268" s="20" t="s">
        <v>1132</v>
      </c>
      <c r="B268" s="21" t="s">
        <v>1072</v>
      </c>
      <c r="C268" s="21" t="s">
        <v>1073</v>
      </c>
      <c r="D268" s="21" t="s">
        <v>1074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1076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1261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1262</v>
      </c>
      <c r="B271" s="21" t="s">
        <v>1119</v>
      </c>
      <c r="C271" s="21" t="s">
        <v>1081</v>
      </c>
      <c r="D271" s="21" t="s">
        <v>1074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1263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1207</v>
      </c>
      <c r="B273" s="21" t="s">
        <v>1199</v>
      </c>
      <c r="C273" s="21" t="s">
        <v>1081</v>
      </c>
      <c r="D273" s="21" t="s">
        <v>1074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1085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1155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1264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1265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1266</v>
      </c>
      <c r="B278" s="21" t="s">
        <v>1077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1189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/>
    </row>
    <row r="281" spans="1:12">
      <c r="A281" s="20" t="s">
        <v>1267</v>
      </c>
    </row>
    <row r="282" spans="1:12">
      <c r="A282" s="20" t="s">
        <v>661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1076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1268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1085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1269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1270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1271</v>
      </c>
      <c r="B288" s="21" t="s">
        <v>1115</v>
      </c>
      <c r="C288" s="21" t="s">
        <v>1095</v>
      </c>
      <c r="D288" s="21" t="s">
        <v>1074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1272</v>
      </c>
      <c r="B289" s="21" t="s">
        <v>1199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1112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1273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1085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1274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100</v>
      </c>
      <c r="B294" s="21" t="s">
        <v>1077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1246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1091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1259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1189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1275</v>
      </c>
    </row>
    <row r="301" spans="1:12">
      <c r="A301" s="20" t="s">
        <v>1276</v>
      </c>
      <c r="B301" s="21" t="s">
        <v>1109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1155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1277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1278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1191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1279</v>
      </c>
      <c r="B306" s="21" t="s">
        <v>1227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1106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1280</v>
      </c>
    </row>
    <row r="310" spans="1:12">
      <c r="A310" s="20" t="s">
        <v>1281</v>
      </c>
      <c r="B310" s="21" t="s">
        <v>1109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1091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1282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1085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1283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1156</v>
      </c>
      <c r="B315" s="21" t="s">
        <v>1077</v>
      </c>
      <c r="C315" s="21" t="s">
        <v>1081</v>
      </c>
      <c r="D315" s="21" t="s">
        <v>1074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1284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1085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1091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1282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1085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1086</v>
      </c>
      <c r="B321" s="21" t="s">
        <v>1199</v>
      </c>
      <c r="C321" s="21" t="s">
        <v>1181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1156</v>
      </c>
      <c r="B322" s="21" t="s">
        <v>1119</v>
      </c>
      <c r="C322" s="21" t="s">
        <v>1081</v>
      </c>
      <c r="D322" s="21" t="s">
        <v>1074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1285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1085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1091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1282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1085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1086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1156</v>
      </c>
      <c r="B329" s="21" t="s">
        <v>1088</v>
      </c>
      <c r="C329" s="21" t="s">
        <v>1081</v>
      </c>
      <c r="D329" s="21" t="s">
        <v>1074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1257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1273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1106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1286</v>
      </c>
    </row>
    <row r="335" spans="1:12">
      <c r="A335" s="20" t="s">
        <v>1287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1098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1288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1166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1087</v>
      </c>
      <c r="B339" s="21" t="s">
        <v>1109</v>
      </c>
      <c r="C339" s="21" t="s">
        <v>1081</v>
      </c>
      <c r="D339" s="21" t="s">
        <v>1074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1098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1171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1083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1289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1290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189</v>
      </c>
      <c r="B345" s="21" t="s">
        <v>1080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51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1085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1290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1249</v>
      </c>
      <c r="B349" s="21" t="s">
        <v>1161</v>
      </c>
      <c r="C349" s="21" t="s">
        <v>1081</v>
      </c>
      <c r="D349" s="21" t="s">
        <v>1074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143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1085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1283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1156</v>
      </c>
      <c r="B353" s="21" t="s">
        <v>1291</v>
      </c>
      <c r="C353" s="21" t="s">
        <v>1081</v>
      </c>
      <c r="D353" s="21" t="s">
        <v>1074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1083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1292</v>
      </c>
      <c r="B355" s="21" t="s">
        <v>1140</v>
      </c>
      <c r="C355" s="21" t="s">
        <v>1181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1156</v>
      </c>
      <c r="B356" s="21" t="s">
        <v>1293</v>
      </c>
      <c r="C356" s="21" t="s">
        <v>1081</v>
      </c>
      <c r="D356" s="21" t="s">
        <v>1074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1106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1294</v>
      </c>
    </row>
    <row r="360" spans="1:12">
      <c r="A360" s="20" t="s">
        <v>1295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1296</v>
      </c>
      <c r="B361" s="21" t="s">
        <v>1109</v>
      </c>
      <c r="C361" s="21" t="s">
        <v>1142</v>
      </c>
      <c r="D361" s="21" t="s">
        <v>1074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1143</v>
      </c>
      <c r="B362" s="21" t="s">
        <v>1180</v>
      </c>
      <c r="C362" s="21" t="s">
        <v>1073</v>
      </c>
      <c r="D362" s="21" t="s">
        <v>1074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1297</v>
      </c>
      <c r="B363" s="21" t="s">
        <v>1137</v>
      </c>
      <c r="C363" s="21" t="s">
        <v>1073</v>
      </c>
      <c r="D363" s="21" t="s">
        <v>1074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1282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1085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1283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1156</v>
      </c>
      <c r="B367" s="21" t="s">
        <v>1077</v>
      </c>
      <c r="C367" s="21" t="s">
        <v>1081</v>
      </c>
      <c r="D367" s="21" t="s">
        <v>1074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1085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1083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1086</v>
      </c>
      <c r="B370" s="21" t="s">
        <v>1077</v>
      </c>
      <c r="C370" s="21" t="s">
        <v>1181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1298</v>
      </c>
      <c r="B371" s="21" t="s">
        <v>1199</v>
      </c>
      <c r="C371" s="21" t="s">
        <v>1081</v>
      </c>
      <c r="D371" s="21" t="s">
        <v>1074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1299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1300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1106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/>
    </row>
    <row r="376" spans="1:12">
      <c r="A376" s="20" t="s">
        <v>1301</v>
      </c>
    </row>
    <row r="377" spans="1:12">
      <c r="A377" s="20" t="s">
        <v>1233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1087</v>
      </c>
      <c r="B378" s="21" t="s">
        <v>1109</v>
      </c>
      <c r="C378" s="21" t="s">
        <v>1081</v>
      </c>
      <c r="D378" s="21" t="s">
        <v>1074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1302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1091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1303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1304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1085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1305</v>
      </c>
      <c r="B384" s="21" t="s">
        <v>1119</v>
      </c>
      <c r="C384" s="21" t="s">
        <v>1181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1306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1307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1083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1308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1309</v>
      </c>
      <c r="B389" s="21" t="s">
        <v>1205</v>
      </c>
      <c r="C389" s="21" t="s">
        <v>1081</v>
      </c>
      <c r="D389" s="21" t="s">
        <v>1074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1083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1204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1310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1106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/>
    </row>
    <row r="395" spans="1:12">
      <c r="A395" s="20" t="s">
        <v>1311</v>
      </c>
    </row>
    <row r="396" spans="1:12">
      <c r="A396" s="20" t="s">
        <v>1312</v>
      </c>
      <c r="B396" s="21" t="s">
        <v>1109</v>
      </c>
      <c r="C396" s="21" t="s">
        <v>1081</v>
      </c>
      <c r="D396" s="21" t="s">
        <v>1074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1219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1220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1221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1313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1106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/>
    </row>
    <row r="403" spans="1:12">
      <c r="A403" s="20" t="s">
        <v>1314</v>
      </c>
    </row>
    <row r="404" spans="1:12">
      <c r="A404" s="20" t="s">
        <v>1132</v>
      </c>
      <c r="B404" s="21" t="s">
        <v>1072</v>
      </c>
      <c r="C404" s="21" t="s">
        <v>1073</v>
      </c>
      <c r="D404" s="21" t="s">
        <v>1074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1076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1315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1156</v>
      </c>
      <c r="B407" s="21" t="s">
        <v>1119</v>
      </c>
      <c r="C407" s="21" t="s">
        <v>1081</v>
      </c>
      <c r="D407" s="21" t="s">
        <v>1074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1316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1317</v>
      </c>
      <c r="B409" s="21" t="s">
        <v>1199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1318</v>
      </c>
      <c r="B410" s="21" t="s">
        <v>1115</v>
      </c>
      <c r="C410" s="21" t="s">
        <v>1073</v>
      </c>
      <c r="D410" s="21" t="s">
        <v>1074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1319</v>
      </c>
      <c r="B411" s="21" t="s">
        <v>1115</v>
      </c>
      <c r="C411" s="21" t="s">
        <v>1073</v>
      </c>
      <c r="D411" s="21" t="s">
        <v>1074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1098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1320</v>
      </c>
      <c r="B413" s="21" t="s">
        <v>1137</v>
      </c>
      <c r="C413" s="21" t="s">
        <v>1142</v>
      </c>
      <c r="D413" s="21" t="s">
        <v>1074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1143</v>
      </c>
      <c r="B414" s="21" t="s">
        <v>1115</v>
      </c>
      <c r="C414" s="21" t="s">
        <v>1073</v>
      </c>
      <c r="D414" s="21" t="s">
        <v>1074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1189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1318</v>
      </c>
      <c r="B416" s="21" t="s">
        <v>1140</v>
      </c>
      <c r="C416" s="21" t="s">
        <v>1073</v>
      </c>
      <c r="D416" s="21" t="s">
        <v>1074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1319</v>
      </c>
      <c r="B417" s="21" t="s">
        <v>1140</v>
      </c>
      <c r="C417" s="21" t="s">
        <v>1073</v>
      </c>
      <c r="D417" s="21" t="s">
        <v>1074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1112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1321</v>
      </c>
      <c r="B419" s="21" t="s">
        <v>1077</v>
      </c>
      <c r="C419" s="21" t="s">
        <v>1154</v>
      </c>
      <c r="D419" s="21" t="s">
        <v>1074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1322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1085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1323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1324</v>
      </c>
      <c r="B423" s="21" t="s">
        <v>1137</v>
      </c>
      <c r="C423" s="21" t="s">
        <v>1081</v>
      </c>
      <c r="D423" s="21" t="s">
        <v>1074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1325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1326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1106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/>
    </row>
    <row r="428" spans="1:12">
      <c r="A428" s="20" t="s">
        <v>1327</v>
      </c>
    </row>
    <row r="429" spans="1:12">
      <c r="A429" s="20" t="s">
        <v>1328</v>
      </c>
      <c r="B429" s="21" t="s">
        <v>1109</v>
      </c>
      <c r="C429" s="21" t="s">
        <v>1081</v>
      </c>
      <c r="D429" s="21" t="s">
        <v>1074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1329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1098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1330</v>
      </c>
      <c r="B432" s="21" t="s">
        <v>1072</v>
      </c>
      <c r="C432" s="21" t="s">
        <v>1073</v>
      </c>
      <c r="D432" s="21" t="s">
        <v>1074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1106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/>
    </row>
    <row r="435" spans="1:12">
      <c r="A435" s="20" t="s">
        <v>1331</v>
      </c>
    </row>
    <row r="436" spans="1:12">
      <c r="A436" s="20" t="s">
        <v>1332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1333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1118</v>
      </c>
      <c r="B438" s="21" t="s">
        <v>1109</v>
      </c>
      <c r="C438" s="21" t="s">
        <v>1081</v>
      </c>
      <c r="D438" s="21" t="s">
        <v>1074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1334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1085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1335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1336</v>
      </c>
      <c r="B442" s="21" t="s">
        <v>1080</v>
      </c>
      <c r="C442" s="21" t="s">
        <v>1081</v>
      </c>
      <c r="D442" s="21" t="s">
        <v>1074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1321</v>
      </c>
      <c r="B443" s="21" t="s">
        <v>1077</v>
      </c>
      <c r="C443" s="21" t="s">
        <v>1154</v>
      </c>
      <c r="D443" s="21" t="s">
        <v>1074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1337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1106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1338</v>
      </c>
    </row>
    <row r="448" spans="1:12">
      <c r="A448" s="20" t="s">
        <v>1133</v>
      </c>
      <c r="B448" s="21" t="s">
        <v>1109</v>
      </c>
      <c r="C448" s="21" t="s">
        <v>1081</v>
      </c>
      <c r="D448" s="21" t="s">
        <v>1074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1339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1266</v>
      </c>
      <c r="B450" s="21" t="s">
        <v>1227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1085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1289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143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1249</v>
      </c>
      <c r="B454" s="21" t="s">
        <v>1199</v>
      </c>
      <c r="C454" s="21" t="s">
        <v>1081</v>
      </c>
      <c r="D454" s="21" t="s">
        <v>1074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1210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1340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1341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1342</v>
      </c>
      <c r="B458" s="21" t="s">
        <v>1137</v>
      </c>
      <c r="C458" s="21" t="s">
        <v>1103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1085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1289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1206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1343</v>
      </c>
      <c r="B462" s="21" t="s">
        <v>1199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1344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1345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1083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1290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1346</v>
      </c>
      <c r="B467" s="21" t="s">
        <v>1205</v>
      </c>
      <c r="C467" s="21" t="s">
        <v>1081</v>
      </c>
      <c r="D467" s="21" t="s">
        <v>1074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112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1347</v>
      </c>
      <c r="B469" s="21" t="s">
        <v>1161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1106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/>
    </row>
    <row r="472" spans="1:12">
      <c r="A472" s="20" t="s">
        <v>1348</v>
      </c>
    </row>
    <row r="473" spans="1:12">
      <c r="A473" s="20" t="s">
        <v>1349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1085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100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1251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1350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1351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1106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/>
    </row>
    <row r="481" spans="1:12">
      <c r="A481" s="20" t="s">
        <v>1352</v>
      </c>
    </row>
    <row r="482" spans="1:12">
      <c r="A482" s="20" t="s">
        <v>1353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1354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1248</v>
      </c>
      <c r="B484" s="21" t="s">
        <v>1072</v>
      </c>
      <c r="C484" s="21" t="s">
        <v>1167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1355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1356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1357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1358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1189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1359</v>
      </c>
    </row>
    <row r="492" spans="1:12">
      <c r="A492" s="20" t="s">
        <v>1312</v>
      </c>
      <c r="B492" s="21" t="s">
        <v>1109</v>
      </c>
      <c r="C492" s="21" t="s">
        <v>1081</v>
      </c>
      <c r="D492" s="21" t="s">
        <v>1074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1091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1360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1361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1362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1106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1363</v>
      </c>
    </row>
    <row r="500" spans="1:12">
      <c r="A500" s="20" t="s">
        <v>1281</v>
      </c>
      <c r="B500" s="21" t="s">
        <v>1109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1364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1365</v>
      </c>
      <c r="B502" s="21" t="s">
        <v>1227</v>
      </c>
      <c r="C502" s="21" t="s">
        <v>1081</v>
      </c>
      <c r="D502" s="21" t="s">
        <v>1074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1366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1106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/>
    </row>
    <row r="506" spans="1:12">
      <c r="A506" s="20" t="s">
        <v>1367</v>
      </c>
    </row>
    <row r="507" spans="1:12">
      <c r="A507" s="20" t="s">
        <v>1287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1087</v>
      </c>
      <c r="B508" s="21" t="s">
        <v>1109</v>
      </c>
      <c r="C508" s="21" t="s">
        <v>1081</v>
      </c>
      <c r="D508" s="21" t="s">
        <v>1074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1368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1369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1370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1371</v>
      </c>
      <c r="B512" s="21" t="s">
        <v>1080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1085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1242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1372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1373</v>
      </c>
      <c r="B516" s="21" t="s">
        <v>1199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1106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1374</v>
      </c>
    </row>
    <row r="520" spans="1:12">
      <c r="A520" s="20" t="s">
        <v>1375</v>
      </c>
      <c r="B520" s="21" t="s">
        <v>1109</v>
      </c>
      <c r="C520" s="21" t="s">
        <v>1154</v>
      </c>
      <c r="D520" s="21" t="s">
        <v>1074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1376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1106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/>
    </row>
    <row r="524" spans="1:12">
      <c r="A524" s="20" t="s">
        <v>1377</v>
      </c>
    </row>
    <row r="525" spans="1:12">
      <c r="A525" s="20" t="s">
        <v>1378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1087</v>
      </c>
      <c r="B526" s="21" t="s">
        <v>1109</v>
      </c>
      <c r="C526" s="21" t="s">
        <v>1081</v>
      </c>
      <c r="D526" s="21" t="s">
        <v>1074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1379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1380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1381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1382</v>
      </c>
      <c r="B530" s="21" t="s">
        <v>1072</v>
      </c>
      <c r="C530" s="21" t="s">
        <v>1154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1085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1155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1383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1106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/>
    </row>
    <row r="536" spans="1:12">
      <c r="A536" s="20" t="s">
        <v>1384</v>
      </c>
    </row>
    <row r="537" spans="1:12">
      <c r="A537" s="20" t="s">
        <v>1385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1218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1087</v>
      </c>
      <c r="B539" s="21" t="s">
        <v>1109</v>
      </c>
      <c r="C539" s="21" t="s">
        <v>1081</v>
      </c>
      <c r="D539" s="21" t="s">
        <v>1074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1383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1189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/>
    </row>
    <row r="543" spans="1:12">
      <c r="A543" s="20" t="s">
        <v>1386</v>
      </c>
    </row>
    <row r="544" spans="1:12">
      <c r="A544" s="20" t="s">
        <v>1133</v>
      </c>
      <c r="B544" s="21" t="s">
        <v>1109</v>
      </c>
      <c r="C544" s="21" t="s">
        <v>1081</v>
      </c>
      <c r="D544" s="21" t="s">
        <v>1074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1387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1383</v>
      </c>
      <c r="B546" s="21" t="s">
        <v>1227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1388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1370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1371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1083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1389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1390</v>
      </c>
      <c r="B552" s="21" t="s">
        <v>1080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1106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/>
    </row>
    <row r="555" spans="1:12">
      <c r="A555" s="20" t="s">
        <v>1391</v>
      </c>
    </row>
    <row r="556" spans="1:12">
      <c r="A556" s="20" t="s">
        <v>1392</v>
      </c>
      <c r="B556" s="21" t="s">
        <v>1109</v>
      </c>
      <c r="C556" s="21" t="s">
        <v>1081</v>
      </c>
      <c r="D556" s="21" t="s">
        <v>1074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1393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1394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1395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1106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1396</v>
      </c>
    </row>
    <row r="563" spans="1:12">
      <c r="A563" s="20" t="s">
        <v>1375</v>
      </c>
      <c r="B563" s="21" t="s">
        <v>1109</v>
      </c>
      <c r="C563" s="21" t="s">
        <v>1154</v>
      </c>
      <c r="D563" s="21" t="s">
        <v>1074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1397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139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1106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/>
    </row>
    <row r="568" spans="1:12">
      <c r="A568" s="20" t="s">
        <v>1398</v>
      </c>
    </row>
    <row r="569" spans="1:12">
      <c r="A569" s="20" t="s">
        <v>1133</v>
      </c>
      <c r="B569" s="21" t="s">
        <v>1109</v>
      </c>
      <c r="C569" s="21" t="s">
        <v>1081</v>
      </c>
      <c r="D569" s="21" t="s">
        <v>1074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1399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1085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1086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1400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1401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258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1402</v>
      </c>
      <c r="B576" s="21" t="s">
        <v>1227</v>
      </c>
      <c r="C576" s="21" t="s">
        <v>1181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1403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1106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/>
    </row>
    <row r="580" spans="1:12">
      <c r="A580" s="20" t="s">
        <v>1404</v>
      </c>
    </row>
    <row r="581" spans="1:12">
      <c r="A581" s="20" t="s">
        <v>1405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1087</v>
      </c>
      <c r="B582" s="21" t="s">
        <v>1077</v>
      </c>
      <c r="C582" s="21" t="s">
        <v>1081</v>
      </c>
      <c r="D582" s="21" t="s">
        <v>1074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1406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1407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189</v>
      </c>
      <c r="B585" s="21" t="s">
        <v>1199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1408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1390</v>
      </c>
      <c r="B587" s="21" t="s">
        <v>1161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1085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1087</v>
      </c>
      <c r="B589" s="21" t="s">
        <v>1109</v>
      </c>
      <c r="C589" s="21" t="s">
        <v>1081</v>
      </c>
      <c r="D589" s="21" t="s">
        <v>1074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1406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1409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1410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1411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1106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/>
    </row>
    <row r="596" spans="1:12">
      <c r="A596" s="20" t="s">
        <v>1412</v>
      </c>
    </row>
    <row r="597" spans="1:12">
      <c r="A597" s="20" t="s">
        <v>1108</v>
      </c>
      <c r="B597" s="21" t="s">
        <v>1077</v>
      </c>
      <c r="C597" s="21" t="s">
        <v>1081</v>
      </c>
      <c r="D597" s="21" t="s">
        <v>1074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1235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1085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1322</v>
      </c>
      <c r="B600" s="21" t="s">
        <v>1109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1318</v>
      </c>
      <c r="B601" s="21" t="s">
        <v>1180</v>
      </c>
      <c r="C601" s="21" t="s">
        <v>1073</v>
      </c>
      <c r="D601" s="21" t="s">
        <v>1074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1319</v>
      </c>
      <c r="B602" s="21" t="s">
        <v>1180</v>
      </c>
      <c r="C602" s="21" t="s">
        <v>1073</v>
      </c>
      <c r="D602" s="21" t="s">
        <v>1074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1413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1414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1415</v>
      </c>
      <c r="B605" s="21" t="s">
        <v>1072</v>
      </c>
      <c r="C605" s="21" t="s">
        <v>1154</v>
      </c>
      <c r="D605" s="21" t="s">
        <v>1074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1085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1086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1416</v>
      </c>
      <c r="B608" s="21" t="s">
        <v>1119</v>
      </c>
      <c r="C608" s="21" t="s">
        <v>1081</v>
      </c>
      <c r="D608" s="21" t="s">
        <v>1074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1417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1299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1418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1419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1420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1421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1106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/>
    </row>
    <row r="617" spans="1:12">
      <c r="A617" s="20" t="s">
        <v>1422</v>
      </c>
    </row>
    <row r="618" spans="1:12">
      <c r="A618" s="20" t="s">
        <v>1312</v>
      </c>
      <c r="B618" s="21" t="s">
        <v>1109</v>
      </c>
      <c r="C618" s="21" t="s">
        <v>1081</v>
      </c>
      <c r="D618" s="21" t="s">
        <v>1074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1368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1251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1423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1112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1299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1085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1264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1424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1085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1269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1118</v>
      </c>
      <c r="B629" s="21" t="s">
        <v>1119</v>
      </c>
      <c r="C629" s="21" t="s">
        <v>1081</v>
      </c>
      <c r="D629" s="21" t="s">
        <v>1074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1425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1426</v>
      </c>
      <c r="B631" s="21" t="s">
        <v>1199</v>
      </c>
      <c r="C631" s="21" t="s">
        <v>1081</v>
      </c>
      <c r="D631" s="21" t="s">
        <v>1074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309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1106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/>
    </row>
    <row r="635" spans="1:12">
      <c r="A635" s="20" t="s">
        <v>1427</v>
      </c>
    </row>
    <row r="636" spans="1:12">
      <c r="A636" s="20" t="s">
        <v>1281</v>
      </c>
      <c r="B636" s="21" t="s">
        <v>1109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1428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1098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1429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1083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1430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1431</v>
      </c>
      <c r="B642" s="21" t="s">
        <v>1080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1432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1106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/>
    </row>
    <row r="646" spans="1:12">
      <c r="A646" s="20" t="s">
        <v>1433</v>
      </c>
    </row>
    <row r="647" spans="1:12">
      <c r="A647" s="20" t="s">
        <v>1132</v>
      </c>
      <c r="B647" s="21" t="s">
        <v>1072</v>
      </c>
      <c r="C647" s="21" t="s">
        <v>1073</v>
      </c>
      <c r="D647" s="21" t="s">
        <v>1074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1076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1434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1187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1435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1083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1187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1436</v>
      </c>
      <c r="B654" s="21" t="s">
        <v>1137</v>
      </c>
      <c r="C654" s="21" t="s">
        <v>1154</v>
      </c>
      <c r="D654" s="21" t="s">
        <v>1074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1085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1155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1343</v>
      </c>
      <c r="B657" s="21" t="s">
        <v>1157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1437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208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1438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1439</v>
      </c>
      <c r="B661" s="21" t="s">
        <v>1097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1106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/>
    </row>
    <row r="664" spans="1:12">
      <c r="A664" s="20" t="s">
        <v>1440</v>
      </c>
    </row>
    <row r="665" spans="1:12">
      <c r="A665" s="20" t="s">
        <v>661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1076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1441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1442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1436</v>
      </c>
      <c r="B669" s="21" t="s">
        <v>1077</v>
      </c>
      <c r="C669" s="21" t="s">
        <v>1154</v>
      </c>
      <c r="D669" s="21" t="s">
        <v>1074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1085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1086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1112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1443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1085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1400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1444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1445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1446</v>
      </c>
      <c r="B678" s="21" t="s">
        <v>1088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1112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1258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1447</v>
      </c>
      <c r="B681" s="21" t="s">
        <v>1157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1448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1436</v>
      </c>
      <c r="B683" s="21" t="s">
        <v>1161</v>
      </c>
      <c r="C683" s="21" t="s">
        <v>1154</v>
      </c>
      <c r="D683" s="21" t="s">
        <v>1074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1085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1086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1449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1262</v>
      </c>
      <c r="B687" s="21" t="s">
        <v>1450</v>
      </c>
      <c r="C687" s="21" t="s">
        <v>1081</v>
      </c>
      <c r="D687" s="21" t="s">
        <v>1074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1085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1451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1085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1416</v>
      </c>
      <c r="B691" s="21" t="s">
        <v>1119</v>
      </c>
      <c r="C691" s="21" t="s">
        <v>1081</v>
      </c>
      <c r="D691" s="21" t="s">
        <v>1074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1452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1373</v>
      </c>
      <c r="B693" s="21" t="s">
        <v>1199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1083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1453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1106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/>
    </row>
    <row r="698" spans="1:12">
      <c r="A698" s="20" t="s">
        <v>1454</v>
      </c>
    </row>
    <row r="699" spans="1:12">
      <c r="A699" s="20" t="s">
        <v>1455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1083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1456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1457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1458</v>
      </c>
      <c r="B703" s="21" t="s">
        <v>1109</v>
      </c>
      <c r="C703" s="21" t="s">
        <v>1103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1459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158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1210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1460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1461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1446</v>
      </c>
      <c r="B709" s="21" t="s">
        <v>1180</v>
      </c>
      <c r="C709" s="21" t="s">
        <v>1462</v>
      </c>
      <c r="D709" s="21" t="s">
        <v>1074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1106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/>
    </row>
    <row r="712" spans="1:12">
      <c r="A712" s="20" t="s">
        <v>1463</v>
      </c>
    </row>
    <row r="713" spans="1:12">
      <c r="A713" s="20" t="s">
        <v>1328</v>
      </c>
      <c r="B713" s="21" t="s">
        <v>1109</v>
      </c>
      <c r="C713" s="21" t="s">
        <v>1081</v>
      </c>
      <c r="D713" s="21" t="s">
        <v>1074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1459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158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1464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1465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1466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1106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/>
    </row>
    <row r="721" spans="1:12">
      <c r="A721" s="20" t="s">
        <v>1467</v>
      </c>
    </row>
    <row r="722" spans="1:12">
      <c r="A722" s="20" t="s">
        <v>1468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1087</v>
      </c>
      <c r="B723" s="21" t="s">
        <v>1109</v>
      </c>
      <c r="C723" s="21" t="s">
        <v>1081</v>
      </c>
      <c r="D723" s="21" t="s">
        <v>1074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1091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1469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1470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1471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1472</v>
      </c>
      <c r="B728" s="21" t="s">
        <v>1180</v>
      </c>
      <c r="C728" s="21" t="s">
        <v>1154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1251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1473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1106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/>
    </row>
    <row r="733" spans="1:12">
      <c r="A733" s="20" t="s">
        <v>1474</v>
      </c>
    </row>
    <row r="734" spans="1:12">
      <c r="A734" s="20" t="s">
        <v>1108</v>
      </c>
      <c r="B734" s="21" t="s">
        <v>1109</v>
      </c>
      <c r="C734" s="21" t="s">
        <v>1081</v>
      </c>
      <c r="D734" s="21" t="s">
        <v>1074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1120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1475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1176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1476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1477</v>
      </c>
      <c r="B739" s="21" t="s">
        <v>1227</v>
      </c>
      <c r="C739" s="21" t="s">
        <v>1462</v>
      </c>
      <c r="D739" s="21" t="s">
        <v>1074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1106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1478</v>
      </c>
    </row>
    <row r="743" spans="1:12">
      <c r="A743" s="20" t="s">
        <v>1375</v>
      </c>
      <c r="B743" s="21" t="s">
        <v>1109</v>
      </c>
      <c r="C743" s="21" t="s">
        <v>1154</v>
      </c>
      <c r="D743" s="21" t="s">
        <v>1074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182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1106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/>
    </row>
    <row r="747" spans="1:12">
      <c r="A747" s="20" t="s">
        <v>1479</v>
      </c>
    </row>
    <row r="748" spans="1:12">
      <c r="A748" s="20" t="s">
        <v>1480</v>
      </c>
      <c r="B748" s="21" t="s">
        <v>1109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1366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1085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1155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1416</v>
      </c>
      <c r="B752" s="21" t="s">
        <v>1077</v>
      </c>
      <c r="C752" s="21" t="s">
        <v>1081</v>
      </c>
      <c r="D752" s="21" t="s">
        <v>1074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1299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1481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1482</v>
      </c>
      <c r="B755" s="21" t="s">
        <v>1199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1380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1483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1106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/>
    </row>
    <row r="760" spans="1:12">
      <c r="A760" s="20" t="s">
        <v>1484</v>
      </c>
    </row>
    <row r="761" spans="1:12">
      <c r="A761" s="20" t="s">
        <v>1281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1485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1085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1083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1110</v>
      </c>
      <c r="B765" s="21" t="s">
        <v>1077</v>
      </c>
      <c r="C765" s="21" t="s">
        <v>1081</v>
      </c>
      <c r="D765" s="21" t="s">
        <v>1074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1238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1486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1487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1488</v>
      </c>
      <c r="B769" s="21" t="s">
        <v>1080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1106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/>
    </row>
    <row r="772" spans="1:12">
      <c r="A772" s="20" t="s">
        <v>1489</v>
      </c>
    </row>
    <row r="773" spans="1:12">
      <c r="A773" s="20" t="s">
        <v>1490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1491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1085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1086</v>
      </c>
      <c r="B776" s="21" t="s">
        <v>1077</v>
      </c>
      <c r="C776" s="21" t="s">
        <v>1181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1492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1493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1085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1269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1492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1494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1495</v>
      </c>
      <c r="B783" s="21" t="s">
        <v>1140</v>
      </c>
      <c r="C783" s="21" t="s">
        <v>1154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1496</v>
      </c>
      <c r="B784" s="21" t="s">
        <v>1205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496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1493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245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1098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1497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1498</v>
      </c>
      <c r="B790" s="21" t="s">
        <v>1293</v>
      </c>
      <c r="C790" s="21" t="s">
        <v>1095</v>
      </c>
      <c r="D790" s="21" t="s">
        <v>1074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1499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1500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1501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1502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1503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1106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/>
    </row>
    <row r="798" spans="1:12">
      <c r="A798" s="20" t="s">
        <v>1504</v>
      </c>
    </row>
    <row r="799" spans="1:12">
      <c r="A799" s="20" t="s">
        <v>1133</v>
      </c>
      <c r="B799" s="21" t="s">
        <v>1109</v>
      </c>
      <c r="C799" s="21" t="s">
        <v>1081</v>
      </c>
      <c r="D799" s="21" t="s">
        <v>1074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1505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1506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1507</v>
      </c>
      <c r="B802" s="21" t="s">
        <v>1227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1085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1083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1118</v>
      </c>
      <c r="B805" s="21" t="s">
        <v>1077</v>
      </c>
      <c r="C805" s="21" t="s">
        <v>1081</v>
      </c>
      <c r="D805" s="21" t="s">
        <v>1074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1508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1321</v>
      </c>
      <c r="B807" s="21" t="s">
        <v>1080</v>
      </c>
      <c r="C807" s="21" t="s">
        <v>1154</v>
      </c>
      <c r="D807" s="21" t="s">
        <v>1074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1238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1509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1106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/>
    </row>
    <row r="812" spans="1:12">
      <c r="A812" s="20" t="s">
        <v>1510</v>
      </c>
    </row>
    <row r="813" spans="1:12">
      <c r="A813" s="20" t="s">
        <v>1132</v>
      </c>
      <c r="B813" s="21" t="s">
        <v>1072</v>
      </c>
      <c r="C813" s="21" t="s">
        <v>1073</v>
      </c>
      <c r="D813" s="21" t="s">
        <v>1074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1076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/>
    </row>
    <row r="816" spans="1:12">
      <c r="A816" s="20" t="s">
        <v>1511</v>
      </c>
    </row>
    <row r="817" spans="1:12">
      <c r="A817" s="20" t="s">
        <v>1512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1436</v>
      </c>
      <c r="B818" s="21" t="s">
        <v>1227</v>
      </c>
      <c r="C818" s="21" t="s">
        <v>1154</v>
      </c>
      <c r="D818" s="21" t="s">
        <v>1074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1085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1086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1257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1493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1513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1098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1514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1318</v>
      </c>
      <c r="B826" s="21" t="s">
        <v>1115</v>
      </c>
      <c r="C826" s="21" t="s">
        <v>1073</v>
      </c>
      <c r="D826" s="21" t="s">
        <v>1074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1319</v>
      </c>
      <c r="B827" s="21" t="s">
        <v>1115</v>
      </c>
      <c r="C827" s="21" t="s">
        <v>1073</v>
      </c>
      <c r="D827" s="21" t="s">
        <v>1074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1083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1446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1098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182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1085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1149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1150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1098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1514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1515</v>
      </c>
      <c r="B837" s="21" t="s">
        <v>1293</v>
      </c>
      <c r="C837" s="21" t="s">
        <v>1095</v>
      </c>
      <c r="D837" s="21" t="s">
        <v>1074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1516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1517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1518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1519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1520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1085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1283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1087</v>
      </c>
      <c r="B845" s="21" t="s">
        <v>1291</v>
      </c>
      <c r="C845" s="21" t="s">
        <v>1081</v>
      </c>
      <c r="D845" s="21" t="s">
        <v>1074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1521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1189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/>
    </row>
    <row r="849" spans="1:12">
      <c r="A849" s="20" t="s">
        <v>1522</v>
      </c>
    </row>
    <row r="850" spans="1:12">
      <c r="A850" s="20" t="s">
        <v>1523</v>
      </c>
      <c r="B850" s="21" t="s">
        <v>1109</v>
      </c>
      <c r="C850" s="21" t="s">
        <v>1181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1257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1513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1189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/>
    </row>
    <row r="855" spans="1:12">
      <c r="A855" s="20" t="s">
        <v>1524</v>
      </c>
    </row>
    <row r="856" spans="1:12">
      <c r="A856" s="20" t="s">
        <v>1108</v>
      </c>
      <c r="B856" s="21" t="s">
        <v>1109</v>
      </c>
      <c r="C856" s="21" t="s">
        <v>1081</v>
      </c>
      <c r="D856" s="21" t="s">
        <v>1074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1525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212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1526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1226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1106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/>
    </row>
    <row r="863" spans="1:12">
      <c r="A863" s="20" t="s">
        <v>1527</v>
      </c>
    </row>
    <row r="864" spans="1:12">
      <c r="A864" s="20" t="s">
        <v>1375</v>
      </c>
      <c r="B864" s="21" t="s">
        <v>1109</v>
      </c>
      <c r="C864" s="21" t="s">
        <v>1154</v>
      </c>
      <c r="D864" s="21" t="s">
        <v>1074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1528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1122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1529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1530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1411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1085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1305</v>
      </c>
      <c r="B871" s="21" t="s">
        <v>1199</v>
      </c>
      <c r="C871" s="21" t="s">
        <v>1181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1118</v>
      </c>
      <c r="B872" s="21" t="s">
        <v>1119</v>
      </c>
      <c r="C872" s="21" t="s">
        <v>1081</v>
      </c>
      <c r="D872" s="21" t="s">
        <v>1074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1531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1532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1106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1533</v>
      </c>
    </row>
    <row r="878" spans="1:12">
      <c r="A878" s="20" t="s">
        <v>1534</v>
      </c>
      <c r="B878" s="21" t="s">
        <v>1109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1085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1535</v>
      </c>
      <c r="B880" s="21" t="s">
        <v>1119</v>
      </c>
      <c r="C880" s="21" t="s">
        <v>1181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1536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1317</v>
      </c>
      <c r="B882" s="21" t="s">
        <v>1199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1085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1537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1538</v>
      </c>
      <c r="B885" s="21" t="s">
        <v>1227</v>
      </c>
      <c r="C885" s="21" t="s">
        <v>1073</v>
      </c>
      <c r="D885" s="21" t="s">
        <v>1074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1106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/>
    </row>
    <row r="888" spans="1:12">
      <c r="A888" s="20" t="s">
        <v>1539</v>
      </c>
    </row>
    <row r="889" spans="1:12">
      <c r="A889" s="20" t="s">
        <v>1540</v>
      </c>
      <c r="B889" s="21" t="s">
        <v>1109</v>
      </c>
      <c r="C889" s="21" t="s">
        <v>1081</v>
      </c>
      <c r="D889" s="21" t="s">
        <v>1074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1541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1542</v>
      </c>
      <c r="B891" s="21" t="s">
        <v>1227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1083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1543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1106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/>
    </row>
    <row r="896" spans="1:12">
      <c r="A896" s="20" t="s">
        <v>1544</v>
      </c>
    </row>
    <row r="897" spans="1:12">
      <c r="A897" s="20" t="s">
        <v>1378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1110</v>
      </c>
      <c r="B898" s="21" t="s">
        <v>1109</v>
      </c>
      <c r="C898" s="21" t="s">
        <v>1081</v>
      </c>
      <c r="D898" s="21" t="s">
        <v>1074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1545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1546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1547</v>
      </c>
      <c r="B901" s="21" t="s">
        <v>1080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1098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1548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1549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1550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1106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/>
    </row>
    <row r="908" spans="1:12">
      <c r="A908" s="20" t="s">
        <v>1551</v>
      </c>
    </row>
    <row r="909" spans="1:12">
      <c r="A909" s="20" t="s">
        <v>1552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1553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1085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1235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1085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1098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1141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1087</v>
      </c>
      <c r="B916" s="21" t="s">
        <v>1109</v>
      </c>
      <c r="C916" s="21" t="s">
        <v>1081</v>
      </c>
      <c r="D916" s="21" t="s">
        <v>1074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1554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1555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1556</v>
      </c>
      <c r="B919" s="21" t="s">
        <v>1109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1557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1083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1558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1085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1559</v>
      </c>
      <c r="B924" s="21" t="s">
        <v>1119</v>
      </c>
      <c r="C924" s="21" t="s">
        <v>1181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1560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1336</v>
      </c>
      <c r="B926" s="21" t="s">
        <v>1199</v>
      </c>
      <c r="C926" s="21" t="s">
        <v>1081</v>
      </c>
      <c r="D926" s="21" t="s">
        <v>1074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1561</v>
      </c>
      <c r="B927" s="21" t="s">
        <v>1199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143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1085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1086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1562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1240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1563</v>
      </c>
      <c r="B933" s="21" t="s">
        <v>1293</v>
      </c>
      <c r="C933" s="21" t="s">
        <v>1154</v>
      </c>
      <c r="D933" s="21" t="s">
        <v>1074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1085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1242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208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1306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1564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1439</v>
      </c>
      <c r="B939" s="21" t="s">
        <v>1565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1083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61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1566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1567</v>
      </c>
      <c r="B943" s="21" t="s">
        <v>1568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1106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/>
    </row>
    <row r="946" spans="1:12">
      <c r="A946" s="20" t="s">
        <v>1569</v>
      </c>
    </row>
    <row r="947" spans="1:12">
      <c r="A947" s="20" t="s">
        <v>1132</v>
      </c>
      <c r="B947" s="21" t="s">
        <v>1072</v>
      </c>
      <c r="C947" s="21" t="s">
        <v>1073</v>
      </c>
      <c r="D947" s="21" t="s">
        <v>1074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1076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1233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1243</v>
      </c>
      <c r="B950" s="21" t="s">
        <v>1180</v>
      </c>
      <c r="C950" s="21" t="s">
        <v>1181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1087</v>
      </c>
      <c r="B951" s="21" t="s">
        <v>1077</v>
      </c>
      <c r="C951" s="21" t="s">
        <v>1081</v>
      </c>
      <c r="D951" s="21" t="s">
        <v>1074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1257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1570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1189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/>
    </row>
    <row r="956" spans="1:12">
      <c r="A956" s="20" t="s">
        <v>1571</v>
      </c>
    </row>
    <row r="957" spans="1:12">
      <c r="A957" s="20" t="s">
        <v>1175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1155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1486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1087</v>
      </c>
      <c r="B960" s="21" t="s">
        <v>1109</v>
      </c>
      <c r="C960" s="21" t="s">
        <v>1081</v>
      </c>
      <c r="D960" s="21" t="s">
        <v>1074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1572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1573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1189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/>
    </row>
    <row r="965" spans="1:12">
      <c r="A965" s="20" t="s">
        <v>1574</v>
      </c>
    </row>
    <row r="966" spans="1:12">
      <c r="A966" s="20" t="s">
        <v>661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1076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1575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1087</v>
      </c>
      <c r="B969" s="21" t="s">
        <v>1119</v>
      </c>
      <c r="C969" s="21" t="s">
        <v>1081</v>
      </c>
      <c r="D969" s="21" t="s">
        <v>1074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1576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1219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1577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1357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1390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1187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1383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1083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1578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1579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1085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1580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1581</v>
      </c>
      <c r="B982" s="21" t="s">
        <v>1080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1358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1106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/>
    </row>
    <row r="986" spans="1:12">
      <c r="A986" s="20" t="s">
        <v>1582</v>
      </c>
    </row>
    <row r="987" spans="1:12">
      <c r="A987" s="20" t="s">
        <v>1133</v>
      </c>
      <c r="B987" s="21" t="s">
        <v>1109</v>
      </c>
      <c r="C987" s="21" t="s">
        <v>1081</v>
      </c>
      <c r="D987" s="21" t="s">
        <v>1074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1583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1584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1370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1371</v>
      </c>
      <c r="B991" s="21" t="s">
        <v>1227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1240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1585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1586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1472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1106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/>
    </row>
    <row r="998" spans="1:12">
      <c r="A998" s="20" t="s">
        <v>1587</v>
      </c>
    </row>
    <row r="999" spans="1:12">
      <c r="A999" s="20" t="s">
        <v>1332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1588</v>
      </c>
      <c r="B1000" s="21" t="s">
        <v>1072</v>
      </c>
      <c r="C1000" s="21" t="s">
        <v>1081</v>
      </c>
      <c r="D1000" s="21" t="s">
        <v>1074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1414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1589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1590</v>
      </c>
      <c r="B1003" s="21" t="s">
        <v>1109</v>
      </c>
      <c r="C1003" s="21" t="s">
        <v>1462</v>
      </c>
      <c r="D1003" s="21" t="s">
        <v>1074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1591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1085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1117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1321</v>
      </c>
      <c r="B1007" s="21" t="s">
        <v>1077</v>
      </c>
      <c r="C1007" s="21" t="s">
        <v>1154</v>
      </c>
      <c r="D1007" s="21" t="s">
        <v>1074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1505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1528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1458</v>
      </c>
      <c r="B1010" s="21" t="s">
        <v>1072</v>
      </c>
      <c r="C1010" s="21" t="s">
        <v>1103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1085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1592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1593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1594</v>
      </c>
      <c r="B1014" s="21" t="s">
        <v>1205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1579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1106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/>
    </row>
    <row r="1018" spans="1:12">
      <c r="A1018" s="20" t="s">
        <v>1510</v>
      </c>
    </row>
    <row r="1019" spans="1:12">
      <c r="A1019" s="20" t="s">
        <v>1132</v>
      </c>
      <c r="B1019" s="21" t="s">
        <v>1072</v>
      </c>
      <c r="C1019" s="21" t="s">
        <v>1073</v>
      </c>
      <c r="D1019" s="21" t="s">
        <v>1074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1076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/>
    </row>
    <row r="1022" spans="1:12">
      <c r="A1022" s="20" t="s">
        <v>1595</v>
      </c>
    </row>
    <row r="1023" spans="1:12">
      <c r="A1023" s="20" t="s">
        <v>1596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1597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1085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1406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1218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1087</v>
      </c>
      <c r="B1028" s="21" t="s">
        <v>1077</v>
      </c>
      <c r="C1028" s="21" t="s">
        <v>1081</v>
      </c>
      <c r="D1028" s="21" t="s">
        <v>1074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1598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1321</v>
      </c>
      <c r="B1030" s="21" t="s">
        <v>1199</v>
      </c>
      <c r="C1030" s="21" t="s">
        <v>1154</v>
      </c>
      <c r="D1030" s="21" t="s">
        <v>1074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1085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1258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1599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1241</v>
      </c>
      <c r="B1034" s="21" t="s">
        <v>1180</v>
      </c>
      <c r="C1034" s="21" t="s">
        <v>1081</v>
      </c>
      <c r="D1034" s="21" t="s">
        <v>1074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1600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1601</v>
      </c>
      <c r="B1036" s="21" t="s">
        <v>1077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1602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1106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/>
    </row>
    <row r="1040" spans="1:12">
      <c r="A1040" s="20" t="s">
        <v>1603</v>
      </c>
    </row>
    <row r="1041" spans="1:12">
      <c r="A1041" s="20" t="s">
        <v>1604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1492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1442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1321</v>
      </c>
      <c r="B1044" s="21" t="s">
        <v>1080</v>
      </c>
      <c r="C1044" s="21" t="s">
        <v>1154</v>
      </c>
      <c r="D1044" s="21" t="s">
        <v>1074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1598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1106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/>
    </row>
    <row r="1048" spans="1:12">
      <c r="A1048" s="20" t="s">
        <v>1605</v>
      </c>
    </row>
    <row r="1049" spans="1:12">
      <c r="A1049" s="20" t="s">
        <v>1606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1155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1607</v>
      </c>
      <c r="B1051" s="21" t="s">
        <v>1109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1608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1083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1609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1610</v>
      </c>
      <c r="B1055" s="21" t="s">
        <v>1080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1390</v>
      </c>
      <c r="B1056" s="21" t="s">
        <v>1080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1106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/>
    </row>
    <row r="1059" spans="1:12">
      <c r="A1059" s="20" t="s">
        <v>1611</v>
      </c>
    </row>
    <row r="1060" spans="1:12">
      <c r="A1060" s="20" t="s">
        <v>1612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1336</v>
      </c>
      <c r="B1061" s="21" t="s">
        <v>1227</v>
      </c>
      <c r="C1061" s="21" t="s">
        <v>1081</v>
      </c>
      <c r="D1061" s="21" t="s">
        <v>1074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1601</v>
      </c>
      <c r="B1062" s="21" t="s">
        <v>1227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1106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/>
    </row>
    <row r="1065" spans="1:12">
      <c r="A1065" s="20" t="s">
        <v>1613</v>
      </c>
    </row>
    <row r="1066" spans="1:12">
      <c r="A1066" s="20" t="s">
        <v>661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1076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1614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1106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1615</v>
      </c>
    </row>
    <row r="1072" spans="1:12">
      <c r="A1072" s="20" t="s">
        <v>1132</v>
      </c>
      <c r="B1072" s="21" t="s">
        <v>1072</v>
      </c>
      <c r="C1072" s="21" t="s">
        <v>1073</v>
      </c>
      <c r="D1072" s="21" t="s">
        <v>1074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1076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1606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1616</v>
      </c>
      <c r="B1075" s="21" t="s">
        <v>1109</v>
      </c>
      <c r="C1075" s="21" t="s">
        <v>1081</v>
      </c>
      <c r="D1075" s="21" t="s">
        <v>1074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1106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/>
    </row>
    <row r="1078" spans="1:12">
      <c r="A1078" s="20" t="s">
        <v>1617</v>
      </c>
    </row>
    <row r="1079" spans="1:12">
      <c r="A1079" s="20" t="s">
        <v>1618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1602</v>
      </c>
      <c r="B1080" s="21" t="s">
        <v>1227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1189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/>
    </row>
    <row r="1083" spans="1:12">
      <c r="A1083" s="20" t="s">
        <v>1619</v>
      </c>
    </row>
    <row r="1084" spans="1:12">
      <c r="A1084" s="20" t="s">
        <v>1606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1155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1620</v>
      </c>
      <c r="B1086" s="21" t="s">
        <v>1109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1448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1083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1621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1602</v>
      </c>
      <c r="B1090" s="21" t="s">
        <v>1080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1106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/>
    </row>
    <row r="1093" spans="1:12">
      <c r="A1093" s="20" t="s">
        <v>1622</v>
      </c>
    </row>
    <row r="1094" spans="1:12">
      <c r="A1094" s="20" t="s">
        <v>661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1076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1623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1624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1106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/>
    </row>
    <row r="1100" spans="1:12">
      <c r="A1100" s="20" t="s">
        <v>1625</v>
      </c>
    </row>
    <row r="1101" spans="1:12">
      <c r="A1101" s="20" t="s">
        <v>1175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1626</v>
      </c>
      <c r="B1102" s="21" t="s">
        <v>1227</v>
      </c>
      <c r="C1102" s="21" t="s">
        <v>1154</v>
      </c>
      <c r="D1102" s="21" t="s">
        <v>1074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911</v>
      </c>
      <c r="B1103" s="21" t="s">
        <v>1109</v>
      </c>
      <c r="C1103" s="21" t="s">
        <v>1081</v>
      </c>
      <c r="D1103" s="21" t="s">
        <v>1074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1627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1085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1628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1629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309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1187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1383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1106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/>
    </row>
    <row r="1113" spans="1:12">
      <c r="A1113" s="20" t="s">
        <v>1630</v>
      </c>
    </row>
    <row r="1114" spans="1:12">
      <c r="A1114" s="20" t="s">
        <v>1133</v>
      </c>
      <c r="B1114" s="21" t="s">
        <v>1109</v>
      </c>
      <c r="C1114" s="21" t="s">
        <v>1081</v>
      </c>
      <c r="D1114" s="21" t="s">
        <v>1074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1346</v>
      </c>
      <c r="B1115" s="21" t="s">
        <v>1072</v>
      </c>
      <c r="C1115" s="21" t="s">
        <v>1081</v>
      </c>
      <c r="D1115" s="21" t="s">
        <v>1074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1091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1631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1085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1091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1632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1633</v>
      </c>
      <c r="B1121" s="21" t="s">
        <v>1080</v>
      </c>
      <c r="C1121" s="21" t="s">
        <v>1081</v>
      </c>
      <c r="D1121" s="21" t="s">
        <v>1074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1634</v>
      </c>
      <c r="B1122" s="21" t="s">
        <v>1080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1602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1106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/>
    </row>
    <row r="1126" spans="1:12">
      <c r="A1126" s="20" t="s">
        <v>1635</v>
      </c>
    </row>
    <row r="1127" spans="1:12">
      <c r="A1127" s="20" t="s">
        <v>1636</v>
      </c>
      <c r="B1127" s="21" t="s">
        <v>1109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1602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1112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1321</v>
      </c>
      <c r="B1130" s="21" t="s">
        <v>1072</v>
      </c>
      <c r="C1130" s="21" t="s">
        <v>1154</v>
      </c>
      <c r="D1130" s="21" t="s">
        <v>1074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1637</v>
      </c>
      <c r="B1131" s="21" t="s">
        <v>1072</v>
      </c>
      <c r="C1131" s="21" t="s">
        <v>1154</v>
      </c>
      <c r="D1131" s="21" t="s">
        <v>1074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1638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1085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1086</v>
      </c>
      <c r="B1134" s="21" t="s">
        <v>1080</v>
      </c>
      <c r="C1134" s="21" t="s">
        <v>1181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1366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949</v>
      </c>
      <c r="B1136" s="21" t="s">
        <v>1077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1085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1149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1639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1083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1607</v>
      </c>
      <c r="B1141" s="21" t="s">
        <v>1077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1640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1098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1641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1642</v>
      </c>
      <c r="B1145" s="21" t="s">
        <v>1180</v>
      </c>
      <c r="C1145" s="21" t="s">
        <v>1167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1321</v>
      </c>
      <c r="B1146" s="21" t="s">
        <v>1199</v>
      </c>
      <c r="C1146" s="21" t="s">
        <v>1154</v>
      </c>
      <c r="D1146" s="21" t="s">
        <v>1074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1206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1106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/>
    </row>
    <row r="1150" spans="1:12">
      <c r="A1150" s="20" t="s">
        <v>1643</v>
      </c>
    </row>
    <row r="1151" spans="1:12">
      <c r="A1151" s="20" t="s">
        <v>1644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1492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1645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1646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1647</v>
      </c>
      <c r="B1155" s="21" t="s">
        <v>1080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1138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1236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1106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/>
    </row>
    <row r="1160" spans="1:12">
      <c r="A1160" s="20" t="s">
        <v>1648</v>
      </c>
    </row>
    <row r="1161" spans="1:12">
      <c r="A1161" s="20" t="s">
        <v>1133</v>
      </c>
      <c r="B1161" s="21" t="s">
        <v>1109</v>
      </c>
      <c r="C1161" s="21" t="s">
        <v>1081</v>
      </c>
      <c r="D1161" s="21" t="s">
        <v>1074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1649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1650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1085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1242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1266</v>
      </c>
      <c r="B1166" s="21" t="s">
        <v>1077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1651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1652</v>
      </c>
      <c r="B1168" s="21" t="s">
        <v>1080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1653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1083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1257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1654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1599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1655</v>
      </c>
      <c r="B1174" s="21" t="s">
        <v>1115</v>
      </c>
      <c r="C1174" s="21" t="s">
        <v>1081</v>
      </c>
      <c r="D1174" s="21" t="s">
        <v>1074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1204</v>
      </c>
      <c r="B1175" s="21" t="s">
        <v>1205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1106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/>
    </row>
    <row r="1178" spans="1:12">
      <c r="A1178" s="20" t="s">
        <v>1656</v>
      </c>
    </row>
    <row r="1179" spans="1:12">
      <c r="A1179" s="20" t="s">
        <v>1108</v>
      </c>
      <c r="B1179" s="21" t="s">
        <v>1109</v>
      </c>
      <c r="C1179" s="21" t="s">
        <v>1081</v>
      </c>
      <c r="D1179" s="21" t="s">
        <v>1074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1657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309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1085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1559</v>
      </c>
      <c r="B1183" s="21" t="s">
        <v>1119</v>
      </c>
      <c r="C1183" s="21" t="s">
        <v>1181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1658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1085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1086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1087</v>
      </c>
      <c r="B1187" s="21" t="s">
        <v>1088</v>
      </c>
      <c r="C1187" s="21" t="s">
        <v>1081</v>
      </c>
      <c r="D1187" s="21" t="s">
        <v>1074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1389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1106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/>
    </row>
    <row r="1191" spans="1:12">
      <c r="A1191" s="20" t="s">
        <v>1659</v>
      </c>
    </row>
    <row r="1192" spans="1:12">
      <c r="A1192" s="20" t="s">
        <v>1113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1660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1116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1661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1662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1085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1663</v>
      </c>
      <c r="B1198" s="21" t="s">
        <v>1137</v>
      </c>
      <c r="C1198" s="21" t="s">
        <v>1073</v>
      </c>
      <c r="D1198" s="21" t="s">
        <v>1074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1664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1665</v>
      </c>
      <c r="B1200" s="21" t="s">
        <v>1072</v>
      </c>
      <c r="C1200" s="21" t="s">
        <v>1073</v>
      </c>
      <c r="D1200" s="21" t="s">
        <v>1074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1666</v>
      </c>
      <c r="B1201" s="21" t="s">
        <v>1180</v>
      </c>
      <c r="C1201" s="21" t="s">
        <v>1073</v>
      </c>
      <c r="D1201" s="21" t="s">
        <v>1074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1076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1667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1118</v>
      </c>
      <c r="B1204" s="21" t="s">
        <v>1119</v>
      </c>
      <c r="C1204" s="21" t="s">
        <v>1081</v>
      </c>
      <c r="D1204" s="21" t="s">
        <v>1074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1668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1669</v>
      </c>
      <c r="B1206" s="21" t="s">
        <v>1199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1106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/>
    </row>
    <row r="1209" spans="1:12">
      <c r="A1209" s="20" t="s">
        <v>1670</v>
      </c>
    </row>
    <row r="1210" spans="1:12">
      <c r="A1210" s="20" t="s">
        <v>1671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1672</v>
      </c>
      <c r="B1211" s="21" t="s">
        <v>1109</v>
      </c>
      <c r="C1211" s="21" t="s">
        <v>1103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1673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1526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1674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1368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1675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1106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/>
    </row>
    <row r="1219" spans="1:12">
      <c r="A1219" s="20" t="s">
        <v>1676</v>
      </c>
    </row>
    <row r="1220" spans="1:12">
      <c r="A1220" s="20" t="s">
        <v>1108</v>
      </c>
      <c r="B1220" s="21" t="s">
        <v>1109</v>
      </c>
      <c r="C1220" s="21" t="s">
        <v>1081</v>
      </c>
      <c r="D1220" s="21" t="s">
        <v>1074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1677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1678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1679</v>
      </c>
      <c r="B1223" s="21" t="s">
        <v>1227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1085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1258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1091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1158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1680</v>
      </c>
      <c r="B1228" s="21" t="s">
        <v>1180</v>
      </c>
      <c r="C1228" s="21" t="s">
        <v>1681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1682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1106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/>
    </row>
    <row r="1232" spans="1:12">
      <c r="A1232" s="20" t="s">
        <v>1683</v>
      </c>
    </row>
    <row r="1233" spans="1:12">
      <c r="A1233" s="20" t="s">
        <v>1287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1118</v>
      </c>
      <c r="B1234" s="21" t="s">
        <v>1109</v>
      </c>
      <c r="C1234" s="21" t="s">
        <v>1081</v>
      </c>
      <c r="D1234" s="21" t="s">
        <v>1074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1684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1083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1685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1266</v>
      </c>
      <c r="B1238" s="21" t="s">
        <v>1080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1106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/>
    </row>
    <row r="1241" spans="1:12">
      <c r="A1241" s="20" t="s">
        <v>1686</v>
      </c>
    </row>
    <row r="1242" spans="1:12">
      <c r="A1242" s="20" t="s">
        <v>1661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1665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1666</v>
      </c>
      <c r="B1244" s="21" t="s">
        <v>1072</v>
      </c>
      <c r="C1244" s="21" t="s">
        <v>1073</v>
      </c>
      <c r="D1244" s="21" t="s">
        <v>1074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1085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1687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1664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1688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1689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1106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/>
    </row>
    <row r="1252" spans="1:12">
      <c r="A1252" s="20" t="s">
        <v>1690</v>
      </c>
    </row>
    <row r="1253" spans="1:12">
      <c r="A1253" s="20" t="s">
        <v>1353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1691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1122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1692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1118</v>
      </c>
      <c r="B1257" s="21" t="s">
        <v>1109</v>
      </c>
      <c r="C1257" s="21" t="s">
        <v>1081</v>
      </c>
      <c r="D1257" s="21" t="s">
        <v>1074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1693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1085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1086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1694</v>
      </c>
      <c r="B1261" s="21" t="s">
        <v>1077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1695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258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1696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1106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/>
    </row>
    <row r="1267" spans="1:12">
      <c r="A1267" s="20" t="s">
        <v>1697</v>
      </c>
    </row>
    <row r="1268" spans="1:12">
      <c r="A1268" s="20" t="s">
        <v>1698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1493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1699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1700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1672</v>
      </c>
      <c r="B1272" s="21" t="s">
        <v>1077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1701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1106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/>
    </row>
    <row r="1276" spans="1:12">
      <c r="A1276" s="20" t="s">
        <v>1702</v>
      </c>
    </row>
    <row r="1277" spans="1:12">
      <c r="A1277" s="20" t="s">
        <v>1703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1704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1705</v>
      </c>
      <c r="B1279" s="21" t="s">
        <v>1072</v>
      </c>
      <c r="C1279" s="21" t="s">
        <v>1103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1694</v>
      </c>
      <c r="B1280" s="21" t="s">
        <v>1109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1706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1106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/>
    </row>
    <row r="1284" spans="1:12">
      <c r="A1284" s="20" t="s">
        <v>1707</v>
      </c>
    </row>
    <row r="1285" spans="1:12">
      <c r="A1285" s="20" t="s">
        <v>1708</v>
      </c>
      <c r="B1285" s="21" t="s">
        <v>1109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1238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1709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1588</v>
      </c>
      <c r="B1288" s="21" t="s">
        <v>1227</v>
      </c>
      <c r="C1288" s="21" t="s">
        <v>1081</v>
      </c>
      <c r="D1288" s="21" t="s">
        <v>1074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1106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/>
    </row>
    <row r="1291" spans="1:12">
      <c r="A1291" s="20" t="s">
        <v>1710</v>
      </c>
    </row>
    <row r="1292" spans="1:12">
      <c r="A1292" s="20" t="s">
        <v>1711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1588</v>
      </c>
      <c r="B1293" s="21" t="s">
        <v>1072</v>
      </c>
      <c r="C1293" s="21" t="s">
        <v>1081</v>
      </c>
      <c r="D1293" s="21" t="s">
        <v>1074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1600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1712</v>
      </c>
      <c r="B1295" s="21" t="s">
        <v>1109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1085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1535</v>
      </c>
      <c r="B1297" s="21" t="s">
        <v>1119</v>
      </c>
      <c r="C1297" s="21" t="s">
        <v>1181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1238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1713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1714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1715</v>
      </c>
      <c r="B1301" s="21" t="s">
        <v>1205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1106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/>
    </row>
    <row r="1304" spans="1:12">
      <c r="A1304" s="20" t="s">
        <v>1716</v>
      </c>
    </row>
    <row r="1305" spans="1:12">
      <c r="A1305" s="20" t="s">
        <v>1133</v>
      </c>
      <c r="B1305" s="21" t="s">
        <v>1109</v>
      </c>
      <c r="C1305" s="21" t="s">
        <v>1081</v>
      </c>
      <c r="D1305" s="21" t="s">
        <v>1074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1717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1718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1098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1719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1720</v>
      </c>
      <c r="B1310" s="21" t="s">
        <v>1205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1083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1721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1704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1692</v>
      </c>
      <c r="B1314" s="21" t="s">
        <v>1119</v>
      </c>
      <c r="C1314" s="21" t="s">
        <v>1103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1106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/>
    </row>
    <row r="1317" spans="1:12">
      <c r="A1317" s="20" t="s">
        <v>1722</v>
      </c>
    </row>
    <row r="1318" spans="1:12">
      <c r="A1318" s="20" t="s">
        <v>1261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1118</v>
      </c>
      <c r="B1319" s="21" t="s">
        <v>1077</v>
      </c>
      <c r="C1319" s="21" t="s">
        <v>1081</v>
      </c>
      <c r="D1319" s="21" t="s">
        <v>1074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1098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1723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1724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1725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1249</v>
      </c>
      <c r="B1324" s="21" t="s">
        <v>1080</v>
      </c>
      <c r="C1324" s="21" t="s">
        <v>1081</v>
      </c>
      <c r="D1324" s="21" t="s">
        <v>1074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1085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1110</v>
      </c>
      <c r="B1326" s="21" t="s">
        <v>1109</v>
      </c>
      <c r="C1326" s="21" t="s">
        <v>1081</v>
      </c>
      <c r="D1326" s="21" t="s">
        <v>1074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1726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1727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1728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1729</v>
      </c>
      <c r="B1330" s="21" t="s">
        <v>1080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1730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1731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1732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1106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/>
    </row>
    <row r="1336" spans="1:12">
      <c r="A1336" s="20" t="s">
        <v>1733</v>
      </c>
    </row>
    <row r="1337" spans="1:12">
      <c r="A1337" s="20" t="s">
        <v>1108</v>
      </c>
      <c r="B1337" s="21" t="s">
        <v>1109</v>
      </c>
      <c r="C1337" s="21" t="s">
        <v>1081</v>
      </c>
      <c r="D1337" s="21" t="s">
        <v>1074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1734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1735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1076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1637</v>
      </c>
      <c r="B1341" s="21" t="s">
        <v>1077</v>
      </c>
      <c r="C1341" s="21" t="s">
        <v>1154</v>
      </c>
      <c r="D1341" s="21" t="s">
        <v>1074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1085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1243</v>
      </c>
      <c r="B1343" s="21" t="s">
        <v>1088</v>
      </c>
      <c r="C1343" s="21" t="s">
        <v>1181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1599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1241</v>
      </c>
      <c r="B1345" s="21" t="s">
        <v>1115</v>
      </c>
      <c r="C1345" s="21" t="s">
        <v>1081</v>
      </c>
      <c r="D1345" s="21" t="s">
        <v>1074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1736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1091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1493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1085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1737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1738</v>
      </c>
      <c r="B1351" s="21" t="s">
        <v>1080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1106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/>
    </row>
    <row r="1354" spans="1:12">
      <c r="A1354" s="20" t="s">
        <v>1739</v>
      </c>
    </row>
    <row r="1355" spans="1:12">
      <c r="A1355" s="20" t="s">
        <v>1108</v>
      </c>
      <c r="B1355" s="21" t="s">
        <v>1109</v>
      </c>
      <c r="C1355" s="21" t="s">
        <v>1081</v>
      </c>
      <c r="D1355" s="21" t="s">
        <v>1074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1740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1085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1086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1091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1599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1340</v>
      </c>
      <c r="B1361" s="21" t="s">
        <v>1180</v>
      </c>
      <c r="C1361" s="21" t="s">
        <v>1081</v>
      </c>
      <c r="D1361" s="21" t="s">
        <v>1074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1600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1741</v>
      </c>
      <c r="B1363" s="21" t="s">
        <v>1077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1380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1742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1085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1743</v>
      </c>
      <c r="B1367" s="21" t="s">
        <v>1293</v>
      </c>
      <c r="C1367" s="21" t="s">
        <v>1181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1744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1745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1118</v>
      </c>
      <c r="B1370" s="21" t="s">
        <v>1157</v>
      </c>
      <c r="C1370" s="21" t="s">
        <v>1081</v>
      </c>
      <c r="D1370" s="21" t="s">
        <v>1074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1106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/>
    </row>
    <row r="1373" spans="1:12">
      <c r="A1373" s="20" t="s">
        <v>1746</v>
      </c>
    </row>
    <row r="1374" spans="1:12">
      <c r="A1374" s="20" t="s">
        <v>1108</v>
      </c>
      <c r="B1374" s="21" t="s">
        <v>1109</v>
      </c>
      <c r="C1374" s="21" t="s">
        <v>1081</v>
      </c>
      <c r="D1374" s="21" t="s">
        <v>1074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1747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1085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1748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1493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1492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1749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1708</v>
      </c>
      <c r="B1381" s="21" t="s">
        <v>1119</v>
      </c>
      <c r="C1381" s="21" t="s">
        <v>1073</v>
      </c>
      <c r="D1381" s="21" t="s">
        <v>1074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1085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1750</v>
      </c>
      <c r="B1383" s="21" t="s">
        <v>1161</v>
      </c>
      <c r="C1383" s="21" t="s">
        <v>1181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1751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1492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1745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1083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1752</v>
      </c>
      <c r="B1388" s="21" t="s">
        <v>1293</v>
      </c>
      <c r="C1388" s="21" t="s">
        <v>1095</v>
      </c>
      <c r="D1388" s="21" t="s">
        <v>1074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1753</v>
      </c>
      <c r="B1389" s="21" t="s">
        <v>1157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1106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/>
    </row>
    <row r="1392" spans="1:12">
      <c r="A1392" s="20" t="s">
        <v>1754</v>
      </c>
    </row>
    <row r="1393" spans="1:12">
      <c r="A1393" s="20" t="s">
        <v>1175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1079</v>
      </c>
      <c r="B1394" s="21" t="s">
        <v>1227</v>
      </c>
      <c r="C1394" s="21" t="s">
        <v>1081</v>
      </c>
      <c r="D1394" s="21" t="s">
        <v>1074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1755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1098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1756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139</v>
      </c>
      <c r="B1398" s="21" t="s">
        <v>1109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1757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1758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1106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/>
    </row>
    <row r="1403" spans="1:12">
      <c r="A1403" s="20" t="s">
        <v>1759</v>
      </c>
    </row>
    <row r="1404" spans="1:12">
      <c r="A1404" s="20" t="s">
        <v>1760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371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1758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1106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/>
    </row>
    <row r="1409" spans="1:12">
      <c r="A1409" s="20" t="s">
        <v>1761</v>
      </c>
    </row>
    <row r="1410" spans="1:12">
      <c r="A1410" s="20" t="s">
        <v>1108</v>
      </c>
      <c r="B1410" s="21" t="s">
        <v>1109</v>
      </c>
      <c r="C1410" s="21" t="s">
        <v>1081</v>
      </c>
      <c r="D1410" s="21" t="s">
        <v>1074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1762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1204</v>
      </c>
      <c r="B1412" s="21" t="s">
        <v>1227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1187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1763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1083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1744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1764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1765</v>
      </c>
      <c r="B1418" s="21" t="s">
        <v>1137</v>
      </c>
      <c r="C1418" s="21" t="s">
        <v>1081</v>
      </c>
      <c r="D1418" s="21" t="s">
        <v>1074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1187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1766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1106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/>
    </row>
    <row r="1423" spans="1:12">
      <c r="A1423" s="20" t="s">
        <v>1767</v>
      </c>
    </row>
    <row r="1424" spans="1:12">
      <c r="A1424" s="20" t="s">
        <v>1375</v>
      </c>
      <c r="B1424" s="21" t="s">
        <v>1109</v>
      </c>
      <c r="C1424" s="21" t="s">
        <v>1154</v>
      </c>
      <c r="D1424" s="21" t="s">
        <v>1074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1155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189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1106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/>
    </row>
    <row r="1429" spans="1:12">
      <c r="A1429" s="20" t="s">
        <v>1768</v>
      </c>
    </row>
    <row r="1430" spans="1:12">
      <c r="A1430" s="20" t="s">
        <v>1108</v>
      </c>
      <c r="B1430" s="21" t="s">
        <v>1109</v>
      </c>
      <c r="C1430" s="21" t="s">
        <v>1081</v>
      </c>
      <c r="D1430" s="21" t="s">
        <v>1074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1769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1770</v>
      </c>
      <c r="B1432" s="21" t="s">
        <v>1072</v>
      </c>
      <c r="C1432" s="21" t="s">
        <v>1073</v>
      </c>
      <c r="D1432" s="21" t="s">
        <v>1074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1085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1242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1771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1772</v>
      </c>
      <c r="B1436" s="21" t="s">
        <v>1080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1106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/>
    </row>
    <row r="1439" spans="1:12">
      <c r="A1439" s="20" t="s">
        <v>1773</v>
      </c>
    </row>
    <row r="1440" spans="1:12">
      <c r="A1440" s="20" t="s">
        <v>1108</v>
      </c>
      <c r="B1440" s="21" t="s">
        <v>1109</v>
      </c>
      <c r="C1440" s="21" t="s">
        <v>1081</v>
      </c>
      <c r="D1440" s="21" t="s">
        <v>1074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1774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1775</v>
      </c>
      <c r="B1442" s="21" t="s">
        <v>1227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1240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1776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1777</v>
      </c>
      <c r="B1445" s="21" t="s">
        <v>1180</v>
      </c>
      <c r="C1445" s="21" t="s">
        <v>1142</v>
      </c>
      <c r="D1445" s="21" t="s">
        <v>1074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1240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1588</v>
      </c>
      <c r="B1447" s="21" t="s">
        <v>1137</v>
      </c>
      <c r="C1447" s="21" t="s">
        <v>1081</v>
      </c>
      <c r="D1447" s="21" t="s">
        <v>1074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1083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1778</v>
      </c>
      <c r="B1449" s="21" t="s">
        <v>1140</v>
      </c>
      <c r="C1449" s="21" t="s">
        <v>1095</v>
      </c>
      <c r="D1449" s="21" t="s">
        <v>1074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1779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1106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/>
    </row>
    <row r="1453" spans="1:12">
      <c r="A1453" s="20" t="s">
        <v>1780</v>
      </c>
    </row>
    <row r="1454" spans="1:12">
      <c r="A1454" s="20" t="s">
        <v>1711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1781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1600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1741</v>
      </c>
      <c r="B1457" s="21" t="s">
        <v>1109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1380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1782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1085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1258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911</v>
      </c>
      <c r="B1462" s="21" t="s">
        <v>1077</v>
      </c>
      <c r="C1462" s="21" t="s">
        <v>1081</v>
      </c>
      <c r="D1462" s="21" t="s">
        <v>1074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1251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1783</v>
      </c>
      <c r="B1464" s="21" t="s">
        <v>1180</v>
      </c>
      <c r="C1464" s="21" t="s">
        <v>1081</v>
      </c>
      <c r="D1464" s="21" t="s">
        <v>1074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1680</v>
      </c>
      <c r="B1465" s="21" t="s">
        <v>1180</v>
      </c>
      <c r="C1465" s="21" t="s">
        <v>1681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1091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1784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1106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/>
    </row>
    <row r="1470" spans="1:12">
      <c r="A1470" s="20" t="s">
        <v>1785</v>
      </c>
    </row>
    <row r="1471" spans="1:12">
      <c r="A1471" s="20" t="s">
        <v>1268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1085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1207</v>
      </c>
      <c r="B1473" s="21" t="s">
        <v>1180</v>
      </c>
      <c r="C1473" s="21" t="s">
        <v>1095</v>
      </c>
      <c r="D1473" s="21" t="s">
        <v>1074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1786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1089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258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1787</v>
      </c>
      <c r="B1477" s="21" t="s">
        <v>1109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1106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/>
    </row>
    <row r="1480" spans="1:12">
      <c r="A1480" s="20" t="s">
        <v>1788</v>
      </c>
    </row>
    <row r="1481" spans="1:12">
      <c r="A1481" s="20" t="s">
        <v>1261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1599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1789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1600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1787</v>
      </c>
      <c r="B1485" s="21" t="s">
        <v>1077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1085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911</v>
      </c>
      <c r="B1487" s="21" t="s">
        <v>1109</v>
      </c>
      <c r="C1487" s="21" t="s">
        <v>1081</v>
      </c>
      <c r="D1487" s="21" t="s">
        <v>1074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1695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1790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1791</v>
      </c>
      <c r="B1490" s="21" t="s">
        <v>1080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1792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1793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1794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1795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1106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1796</v>
      </c>
    </row>
    <row r="1498" spans="1:12">
      <c r="A1498" s="20" t="s">
        <v>1797</v>
      </c>
      <c r="B1498" s="21" t="s">
        <v>1109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1798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1085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1258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1414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1436</v>
      </c>
      <c r="B1503" s="21" t="s">
        <v>1077</v>
      </c>
      <c r="C1503" s="21" t="s">
        <v>1154</v>
      </c>
      <c r="D1503" s="21" t="s">
        <v>1074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1085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1155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1087</v>
      </c>
      <c r="B1506" s="21" t="s">
        <v>1088</v>
      </c>
      <c r="C1506" s="21" t="s">
        <v>1081</v>
      </c>
      <c r="D1506" s="21" t="s">
        <v>1074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1207</v>
      </c>
      <c r="B1507" s="21" t="s">
        <v>1205</v>
      </c>
      <c r="C1507" s="21" t="s">
        <v>1081</v>
      </c>
      <c r="D1507" s="21" t="s">
        <v>1074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1799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1085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1800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1085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1292</v>
      </c>
      <c r="B1512" s="21" t="s">
        <v>1119</v>
      </c>
      <c r="C1512" s="21" t="s">
        <v>1181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1087</v>
      </c>
      <c r="B1513" s="21" t="s">
        <v>1119</v>
      </c>
      <c r="C1513" s="21" t="s">
        <v>1081</v>
      </c>
      <c r="D1513" s="21" t="s">
        <v>1074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1600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1187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1801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1802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1106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/>
    </row>
    <row r="1520" spans="1:12">
      <c r="A1520" s="20" t="s">
        <v>1803</v>
      </c>
    </row>
    <row r="1521" spans="1:12">
      <c r="A1521" s="20" t="s">
        <v>1113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1804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1116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661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1076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/>
    </row>
    <row r="1527" spans="1:12">
      <c r="A1527" s="20" t="s">
        <v>1805</v>
      </c>
    </row>
    <row r="1528" spans="1:12">
      <c r="A1528" s="20" t="s">
        <v>1806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1400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1436</v>
      </c>
      <c r="B1530" s="21" t="s">
        <v>1109</v>
      </c>
      <c r="C1530" s="21" t="s">
        <v>1154</v>
      </c>
      <c r="D1530" s="21" t="s">
        <v>1074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1085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1086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1087</v>
      </c>
      <c r="B1533" s="21" t="s">
        <v>1119</v>
      </c>
      <c r="C1533" s="21" t="s">
        <v>1081</v>
      </c>
      <c r="D1533" s="21" t="s">
        <v>1074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1807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1135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1228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1808</v>
      </c>
      <c r="B1537" s="21" t="s">
        <v>1137</v>
      </c>
      <c r="C1537" s="21" t="s">
        <v>1462</v>
      </c>
      <c r="D1537" s="21" t="s">
        <v>1074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1098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1809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1085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1810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1790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1249</v>
      </c>
      <c r="B1543" s="21" t="s">
        <v>1080</v>
      </c>
      <c r="C1543" s="21" t="s">
        <v>1081</v>
      </c>
      <c r="D1543" s="21" t="s">
        <v>1074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1083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1811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1812</v>
      </c>
      <c r="B1546" s="21" t="s">
        <v>1199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1251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1249</v>
      </c>
      <c r="B1548" s="21" t="s">
        <v>1140</v>
      </c>
      <c r="C1548" s="21" t="s">
        <v>1095</v>
      </c>
      <c r="D1548" s="21" t="s">
        <v>1074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1813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1106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/>
    </row>
    <row r="1552" spans="1:12">
      <c r="A1552" s="20" t="s">
        <v>1814</v>
      </c>
    </row>
    <row r="1553" spans="1:12">
      <c r="A1553" s="20" t="s">
        <v>1132</v>
      </c>
      <c r="B1553" s="21" t="s">
        <v>1072</v>
      </c>
      <c r="C1553" s="21" t="s">
        <v>1073</v>
      </c>
      <c r="D1553" s="21" t="s">
        <v>1074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1076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1261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1118</v>
      </c>
      <c r="B1556" s="21" t="s">
        <v>1119</v>
      </c>
      <c r="C1556" s="21" t="s">
        <v>1081</v>
      </c>
      <c r="D1556" s="21" t="s">
        <v>1074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1815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1138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1298</v>
      </c>
      <c r="B1559" s="21" t="s">
        <v>1137</v>
      </c>
      <c r="C1559" s="21" t="s">
        <v>1081</v>
      </c>
      <c r="D1559" s="21" t="s">
        <v>1074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1251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1816</v>
      </c>
      <c r="B1561" s="21" t="s">
        <v>1137</v>
      </c>
      <c r="C1561" s="21" t="s">
        <v>1462</v>
      </c>
      <c r="D1561" s="21" t="s">
        <v>1074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1085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1251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1817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1085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1292</v>
      </c>
      <c r="B1566" s="21" t="s">
        <v>1291</v>
      </c>
      <c r="C1566" s="21" t="s">
        <v>1181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1309</v>
      </c>
      <c r="B1567" s="21" t="s">
        <v>1097</v>
      </c>
      <c r="C1567" s="21" t="s">
        <v>1081</v>
      </c>
      <c r="D1567" s="21" t="s">
        <v>1074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1818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1282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1085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911</v>
      </c>
      <c r="B1571" s="21" t="s">
        <v>1077</v>
      </c>
      <c r="C1571" s="21" t="s">
        <v>1081</v>
      </c>
      <c r="D1571" s="21" t="s">
        <v>1074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1819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1079</v>
      </c>
      <c r="B1573" s="21" t="s">
        <v>1080</v>
      </c>
      <c r="C1573" s="21" t="s">
        <v>1081</v>
      </c>
      <c r="D1573" s="21" t="s">
        <v>1074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1076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1820</v>
      </c>
      <c r="B1575" s="21" t="s">
        <v>1119</v>
      </c>
      <c r="C1575" s="21" t="s">
        <v>1073</v>
      </c>
      <c r="D1575" s="21" t="s">
        <v>1074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1713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1821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1822</v>
      </c>
      <c r="B1578" s="21" t="s">
        <v>1205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1083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1823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1085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1086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104</v>
      </c>
      <c r="B1583" s="21" t="s">
        <v>1157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1299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1824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1085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1155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1825</v>
      </c>
      <c r="B1588" s="21" t="s">
        <v>1293</v>
      </c>
      <c r="C1588" s="21" t="s">
        <v>1154</v>
      </c>
      <c r="D1588" s="21" t="s">
        <v>1074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1826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1106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/>
    </row>
    <row r="1592" spans="1:12">
      <c r="A1592" s="20" t="s">
        <v>1827</v>
      </c>
    </row>
    <row r="1593" spans="1:12">
      <c r="A1593" s="20" t="s">
        <v>1375</v>
      </c>
      <c r="B1593" s="21" t="s">
        <v>1109</v>
      </c>
      <c r="C1593" s="21" t="s">
        <v>1154</v>
      </c>
      <c r="D1593" s="21" t="s">
        <v>1074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1828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1085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1086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1829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1741</v>
      </c>
      <c r="B1598" s="21" t="s">
        <v>1080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1098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1708</v>
      </c>
      <c r="B1600" s="21" t="s">
        <v>1137</v>
      </c>
      <c r="C1600" s="21" t="s">
        <v>1073</v>
      </c>
      <c r="D1600" s="21" t="s">
        <v>1074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1085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1830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1831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1085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1562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1085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1242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1832</v>
      </c>
      <c r="B1608" s="21" t="s">
        <v>1119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1469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208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1436</v>
      </c>
      <c r="B1611" s="21" t="s">
        <v>1205</v>
      </c>
      <c r="C1611" s="21" t="s">
        <v>1154</v>
      </c>
      <c r="D1611" s="21" t="s">
        <v>1074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1085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1086</v>
      </c>
      <c r="B1613" s="21" t="s">
        <v>1291</v>
      </c>
      <c r="C1613" s="21" t="s">
        <v>1181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1299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1833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1834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1187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1346</v>
      </c>
      <c r="B1618" s="21" t="s">
        <v>1102</v>
      </c>
      <c r="C1618" s="21" t="s">
        <v>1095</v>
      </c>
      <c r="D1618" s="21" t="s">
        <v>1074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1835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1085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1083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1087</v>
      </c>
      <c r="B1622" s="21" t="s">
        <v>1836</v>
      </c>
      <c r="C1622" s="21" t="s">
        <v>1081</v>
      </c>
      <c r="D1622" s="21" t="s">
        <v>1074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1837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216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1122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1471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1838</v>
      </c>
      <c r="B1627" s="21" t="s">
        <v>1839</v>
      </c>
      <c r="C1627" s="21" t="s">
        <v>1154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1106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/>
    </row>
    <row r="1630" spans="1:12">
      <c r="A1630" s="20" t="s">
        <v>1840</v>
      </c>
    </row>
    <row r="1631" spans="1:12">
      <c r="A1631" s="20" t="s">
        <v>661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1076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1841</v>
      </c>
      <c r="B1633" s="21" t="s">
        <v>1077</v>
      </c>
      <c r="C1633" s="21" t="s">
        <v>1081</v>
      </c>
      <c r="D1633" s="21" t="s">
        <v>1074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1842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1106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/>
    </row>
    <row r="1637" spans="1:12">
      <c r="A1637" s="20" t="s">
        <v>1843</v>
      </c>
    </row>
    <row r="1638" spans="1:12">
      <c r="A1638" s="20" t="s">
        <v>1523</v>
      </c>
      <c r="B1638" s="21" t="s">
        <v>1077</v>
      </c>
      <c r="C1638" s="21" t="s">
        <v>1181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1844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1588</v>
      </c>
      <c r="B1640" s="21" t="s">
        <v>1080</v>
      </c>
      <c r="C1640" s="21" t="s">
        <v>1081</v>
      </c>
      <c r="D1640" s="21" t="s">
        <v>1074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1085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1098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1288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1166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1118</v>
      </c>
      <c r="B1645" s="21" t="s">
        <v>1109</v>
      </c>
      <c r="C1645" s="21" t="s">
        <v>1081</v>
      </c>
      <c r="D1645" s="21" t="s">
        <v>1074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1845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1191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1846</v>
      </c>
      <c r="B1648" s="21" t="s">
        <v>1227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1847</v>
      </c>
      <c r="B1649" s="21" t="s">
        <v>1227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1848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1098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1708</v>
      </c>
      <c r="B1652" s="21" t="s">
        <v>1137</v>
      </c>
      <c r="C1652" s="21" t="s">
        <v>1073</v>
      </c>
      <c r="D1652" s="21" t="s">
        <v>1074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1106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/>
    </row>
    <row r="1655" spans="1:12">
      <c r="A1655" s="20" t="s">
        <v>1849</v>
      </c>
    </row>
    <row r="1656" spans="1:12">
      <c r="A1656" s="20" t="s">
        <v>1552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1321</v>
      </c>
      <c r="B1657" s="21" t="s">
        <v>1109</v>
      </c>
      <c r="C1657" s="21" t="s">
        <v>1154</v>
      </c>
      <c r="D1657" s="21" t="s">
        <v>1074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1079</v>
      </c>
      <c r="B1658" s="21" t="s">
        <v>1227</v>
      </c>
      <c r="C1658" s="21" t="s">
        <v>1081</v>
      </c>
      <c r="D1658" s="21" t="s">
        <v>1074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1492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1850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276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1098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1173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1106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/>
    </row>
    <row r="1666" spans="1:12">
      <c r="A1666" s="20" t="s">
        <v>1851</v>
      </c>
    </row>
    <row r="1667" spans="1:12">
      <c r="A1667" s="20" t="s">
        <v>1667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1087</v>
      </c>
      <c r="B1668" s="21" t="s">
        <v>1109</v>
      </c>
      <c r="C1668" s="21" t="s">
        <v>1081</v>
      </c>
      <c r="D1668" s="21" t="s">
        <v>1074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1852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1272</v>
      </c>
      <c r="B1670" s="21" t="s">
        <v>1227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1853</v>
      </c>
      <c r="B1671" s="21" t="s">
        <v>1180</v>
      </c>
      <c r="C1671" s="21" t="s">
        <v>1073</v>
      </c>
      <c r="D1671" s="21" t="s">
        <v>1074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1854</v>
      </c>
      <c r="B1672" s="21" t="s">
        <v>1180</v>
      </c>
      <c r="C1672" s="21" t="s">
        <v>1073</v>
      </c>
      <c r="D1672" s="21" t="s">
        <v>1074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1085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1098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1855</v>
      </c>
      <c r="B1675" s="21" t="s">
        <v>1137</v>
      </c>
      <c r="C1675" s="21" t="s">
        <v>1181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1240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1825</v>
      </c>
      <c r="B1677" s="21" t="s">
        <v>1137</v>
      </c>
      <c r="C1677" s="21" t="s">
        <v>1154</v>
      </c>
      <c r="D1677" s="21" t="s">
        <v>1074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1856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1857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1858</v>
      </c>
      <c r="B1680" s="21" t="s">
        <v>1119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1106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/>
    </row>
    <row r="1683" spans="1:12">
      <c r="A1683" s="20" t="s">
        <v>1859</v>
      </c>
    </row>
    <row r="1684" spans="1:12">
      <c r="A1684" s="20" t="s">
        <v>1860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1861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1085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1091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1360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1218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1189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/>
    </row>
    <row r="1692" spans="1:12">
      <c r="A1692" s="20" t="s">
        <v>1862</v>
      </c>
    </row>
    <row r="1693" spans="1:12">
      <c r="A1693" s="20" t="s">
        <v>1434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309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1106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/>
    </row>
    <row r="1697" spans="1:12">
      <c r="A1697" s="20" t="s">
        <v>1863</v>
      </c>
    </row>
    <row r="1698" spans="1:12">
      <c r="A1698" s="20" t="s">
        <v>1864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1599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1865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1122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1866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1789</v>
      </c>
      <c r="B1703" s="21" t="s">
        <v>1180</v>
      </c>
      <c r="C1703" s="21" t="s">
        <v>1103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1098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1212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442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1867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1848</v>
      </c>
      <c r="B1708" s="21" t="s">
        <v>1109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1098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1708</v>
      </c>
      <c r="B1710" s="21" t="s">
        <v>1180</v>
      </c>
      <c r="C1710" s="21" t="s">
        <v>1073</v>
      </c>
      <c r="D1710" s="21" t="s">
        <v>1074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1106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/>
    </row>
    <row r="1713" spans="1:12">
      <c r="A1713" s="20" t="s">
        <v>1868</v>
      </c>
    </row>
    <row r="1714" spans="1:12">
      <c r="A1714" s="20" t="s">
        <v>1133</v>
      </c>
      <c r="B1714" s="21" t="s">
        <v>1109</v>
      </c>
      <c r="C1714" s="21" t="s">
        <v>1081</v>
      </c>
      <c r="D1714" s="21" t="s">
        <v>1074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1194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1085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1086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1589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1272</v>
      </c>
      <c r="B1719" s="21" t="s">
        <v>1077</v>
      </c>
      <c r="C1719" s="21" t="s">
        <v>1462</v>
      </c>
      <c r="D1719" s="21" t="s">
        <v>1074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1238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1869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1772</v>
      </c>
      <c r="B1722" s="21" t="s">
        <v>1080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1083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1264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1870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1871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1106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/>
    </row>
    <row r="1729" spans="1:12">
      <c r="A1729" s="20" t="s">
        <v>1872</v>
      </c>
    </row>
    <row r="1730" spans="1:12">
      <c r="A1730" s="20" t="s">
        <v>1132</v>
      </c>
      <c r="B1730" s="21" t="s">
        <v>1072</v>
      </c>
      <c r="C1730" s="21" t="s">
        <v>1073</v>
      </c>
      <c r="D1730" s="21" t="s">
        <v>1074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1076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1375</v>
      </c>
      <c r="B1732" s="21" t="s">
        <v>1077</v>
      </c>
      <c r="C1732" s="21" t="s">
        <v>1154</v>
      </c>
      <c r="D1732" s="21" t="s">
        <v>1074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1873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1874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1106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/>
    </row>
    <row r="1737" spans="1:12">
      <c r="A1737" s="20" t="s">
        <v>1875</v>
      </c>
    </row>
    <row r="1738" spans="1:12">
      <c r="A1738" s="20" t="s">
        <v>661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1076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1614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1085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1110</v>
      </c>
      <c r="B1742" s="21" t="s">
        <v>1077</v>
      </c>
      <c r="C1742" s="21" t="s">
        <v>1081</v>
      </c>
      <c r="D1742" s="21" t="s">
        <v>1074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1560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1741</v>
      </c>
      <c r="B1744" s="21" t="s">
        <v>1080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1098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1708</v>
      </c>
      <c r="B1746" s="21" t="s">
        <v>1137</v>
      </c>
      <c r="C1746" s="21" t="s">
        <v>1073</v>
      </c>
      <c r="D1746" s="21" t="s">
        <v>1074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1106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/>
    </row>
    <row r="1749" spans="1:12">
      <c r="A1749" s="20" t="s">
        <v>1876</v>
      </c>
    </row>
    <row r="1750" spans="1:12">
      <c r="A1750" s="20" t="s">
        <v>1132</v>
      </c>
      <c r="B1750" s="21" t="s">
        <v>1072</v>
      </c>
      <c r="C1750" s="21" t="s">
        <v>1073</v>
      </c>
      <c r="D1750" s="21" t="s">
        <v>1074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1076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1175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1155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1110</v>
      </c>
      <c r="B1754" s="21" t="s">
        <v>1077</v>
      </c>
      <c r="C1754" s="21" t="s">
        <v>1081</v>
      </c>
      <c r="D1754" s="21" t="s">
        <v>1074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1321</v>
      </c>
      <c r="B1755" s="21" t="s">
        <v>1080</v>
      </c>
      <c r="C1755" s="21" t="s">
        <v>1154</v>
      </c>
      <c r="D1755" s="21" t="s">
        <v>1074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1877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1189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/>
    </row>
    <row r="1759" spans="1:12">
      <c r="A1759" s="20" t="s">
        <v>1878</v>
      </c>
    </row>
    <row r="1760" spans="1:12">
      <c r="A1760" s="20" t="s">
        <v>1170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1879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1500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1192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1880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1262</v>
      </c>
      <c r="B1765" s="21" t="s">
        <v>1109</v>
      </c>
      <c r="C1765" s="21" t="s">
        <v>1081</v>
      </c>
      <c r="D1765" s="21" t="s">
        <v>1074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1089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1881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408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1882</v>
      </c>
      <c r="B1769" s="21" t="s">
        <v>1080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1579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1085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1242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1245</v>
      </c>
      <c r="B1773" s="21" t="s">
        <v>1119</v>
      </c>
      <c r="C1773" s="21" t="s">
        <v>1081</v>
      </c>
      <c r="D1773" s="21" t="s">
        <v>1074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1883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1884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1085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1112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1874</v>
      </c>
      <c r="B1778" s="21" t="s">
        <v>1088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1091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393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1734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258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1885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1106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/>
    </row>
    <row r="1786" spans="1:12">
      <c r="A1786" s="20" t="s">
        <v>1886</v>
      </c>
    </row>
    <row r="1787" spans="1:12">
      <c r="A1787" s="20" t="s">
        <v>661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1076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1614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1085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1083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1321</v>
      </c>
      <c r="B1792" s="21" t="s">
        <v>1077</v>
      </c>
      <c r="C1792" s="21" t="s">
        <v>1154</v>
      </c>
      <c r="D1792" s="21" t="s">
        <v>1074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108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1887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1888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1106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/>
    </row>
    <row r="1798" spans="1:12">
      <c r="A1798" s="20" t="s">
        <v>1889</v>
      </c>
    </row>
    <row r="1799" spans="1:12">
      <c r="A1799" s="20" t="s">
        <v>1133</v>
      </c>
      <c r="B1799" s="21" t="s">
        <v>1109</v>
      </c>
      <c r="C1799" s="21" t="s">
        <v>1081</v>
      </c>
      <c r="D1799" s="21" t="s">
        <v>1074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1890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1589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1272</v>
      </c>
      <c r="B1802" s="21" t="s">
        <v>1227</v>
      </c>
      <c r="C1802" s="21" t="s">
        <v>1462</v>
      </c>
      <c r="D1802" s="21" t="s">
        <v>1074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1187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1891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1126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1892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1105</v>
      </c>
      <c r="B1807" s="21" t="s">
        <v>1137</v>
      </c>
      <c r="C1807" s="21" t="s">
        <v>1103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1085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1736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1179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1087</v>
      </c>
      <c r="B1811" s="21" t="s">
        <v>1077</v>
      </c>
      <c r="C1811" s="21" t="s">
        <v>1081</v>
      </c>
      <c r="D1811" s="21" t="s">
        <v>1074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1368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1192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1893</v>
      </c>
      <c r="B1814" s="21" t="s">
        <v>1180</v>
      </c>
      <c r="C1814" s="21" t="s">
        <v>1081</v>
      </c>
      <c r="D1814" s="21" t="s">
        <v>1074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1507</v>
      </c>
      <c r="B1815" s="21" t="s">
        <v>1080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1106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/>
    </row>
    <row r="1818" spans="1:12">
      <c r="A1818" s="20" t="s">
        <v>1894</v>
      </c>
    </row>
    <row r="1819" spans="1:12">
      <c r="A1819" s="20" t="s">
        <v>1133</v>
      </c>
      <c r="B1819" s="21" t="s">
        <v>1109</v>
      </c>
      <c r="C1819" s="21" t="s">
        <v>1081</v>
      </c>
      <c r="D1819" s="21" t="s">
        <v>1074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1245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1091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1469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143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1085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1155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1895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1896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1741</v>
      </c>
      <c r="B1828" s="21" t="s">
        <v>1199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1098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1708</v>
      </c>
      <c r="B1830" s="21" t="s">
        <v>1115</v>
      </c>
      <c r="C1830" s="21" t="s">
        <v>1073</v>
      </c>
      <c r="D1830" s="21" t="s">
        <v>1074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1897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1098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1898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1189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1899</v>
      </c>
    </row>
    <row r="1837" spans="1:12">
      <c r="A1837" s="20" t="s">
        <v>1900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1321</v>
      </c>
      <c r="B1838" s="21" t="s">
        <v>1109</v>
      </c>
      <c r="C1838" s="21" t="s">
        <v>1154</v>
      </c>
      <c r="D1838" s="21" t="s">
        <v>1074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1901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1902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1794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1903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1085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1258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1346</v>
      </c>
      <c r="B1845" s="21" t="s">
        <v>1137</v>
      </c>
      <c r="C1845" s="21" t="s">
        <v>1095</v>
      </c>
      <c r="D1845" s="21" t="s">
        <v>1074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1904</v>
      </c>
      <c r="B1846" s="21" t="s">
        <v>1077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1905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1191</v>
      </c>
      <c r="B1848" s="21" t="s">
        <v>1077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1846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1106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/>
    </row>
    <row r="1852" spans="1:12">
      <c r="A1852" s="20" t="s">
        <v>1906</v>
      </c>
    </row>
    <row r="1853" spans="1:12">
      <c r="A1853" s="20" t="s">
        <v>1233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1505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1907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1085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1155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1908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1083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1486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1909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1098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1910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1873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1874</v>
      </c>
      <c r="B1865" s="21" t="s">
        <v>1080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1106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/>
    </row>
    <row r="1868" spans="1:12">
      <c r="A1868" s="20" t="s">
        <v>1911</v>
      </c>
    </row>
    <row r="1869" spans="1:12">
      <c r="A1869" s="20" t="s">
        <v>1912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1085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1913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1138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1914</v>
      </c>
      <c r="B1873" s="21" t="s">
        <v>1180</v>
      </c>
      <c r="C1873" s="21" t="s">
        <v>1142</v>
      </c>
      <c r="D1873" s="21" t="s">
        <v>1074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1915</v>
      </c>
      <c r="B1874" s="21" t="s">
        <v>1137</v>
      </c>
      <c r="C1874" s="21" t="s">
        <v>1073</v>
      </c>
      <c r="D1874" s="21" t="s">
        <v>1074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1076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1118</v>
      </c>
      <c r="B1876" s="21" t="s">
        <v>1109</v>
      </c>
      <c r="C1876" s="21" t="s">
        <v>1081</v>
      </c>
      <c r="D1876" s="21" t="s">
        <v>1074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1916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1204</v>
      </c>
      <c r="B1878" s="21" t="s">
        <v>1227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1187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1476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1917</v>
      </c>
      <c r="B1881" s="21" t="s">
        <v>1180</v>
      </c>
      <c r="C1881" s="21" t="s">
        <v>1462</v>
      </c>
      <c r="D1881" s="21" t="s">
        <v>1074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1083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1158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1176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1086</v>
      </c>
      <c r="B1885" s="21" t="s">
        <v>1077</v>
      </c>
      <c r="C1885" s="21" t="s">
        <v>1181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1076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123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11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161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1105</v>
      </c>
      <c r="B1890" s="21" t="s">
        <v>1115</v>
      </c>
      <c r="C1890" s="21" t="s">
        <v>1103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1168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1918</v>
      </c>
      <c r="B1892" s="21" t="s">
        <v>1088</v>
      </c>
      <c r="C1892" s="21" t="s">
        <v>1181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1919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1873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1874</v>
      </c>
      <c r="B1895" s="21" t="s">
        <v>1205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1085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1535</v>
      </c>
      <c r="B1897" s="21" t="s">
        <v>1291</v>
      </c>
      <c r="C1897" s="21" t="s">
        <v>1181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1920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1310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1921</v>
      </c>
      <c r="B1900" s="21" t="s">
        <v>1293</v>
      </c>
      <c r="C1900" s="21" t="s">
        <v>1073</v>
      </c>
      <c r="D1900" s="21" t="s">
        <v>1074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1704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1724</v>
      </c>
      <c r="B1902" s="21" t="s">
        <v>1293</v>
      </c>
      <c r="C1902" s="21" t="s">
        <v>1103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1106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/>
    </row>
    <row r="1905" spans="1:12">
      <c r="A1905" s="20" t="s">
        <v>1922</v>
      </c>
    </row>
    <row r="1906" spans="1:12">
      <c r="A1906" s="20" t="s">
        <v>1175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1118</v>
      </c>
      <c r="B1907" s="21" t="s">
        <v>1109</v>
      </c>
      <c r="C1907" s="21" t="s">
        <v>1081</v>
      </c>
      <c r="D1907" s="21" t="s">
        <v>1074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1747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1076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1274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1492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1336</v>
      </c>
      <c r="B1912" s="21" t="s">
        <v>1080</v>
      </c>
      <c r="C1912" s="21" t="s">
        <v>1081</v>
      </c>
      <c r="D1912" s="21" t="s">
        <v>1074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1091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1206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1321</v>
      </c>
      <c r="B1915" s="21" t="s">
        <v>1080</v>
      </c>
      <c r="C1915" s="21" t="s">
        <v>1154</v>
      </c>
      <c r="D1915" s="21" t="s">
        <v>1074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1355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1189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/>
    </row>
    <row r="1919" spans="1:12">
      <c r="A1919" s="20" t="s">
        <v>1923</v>
      </c>
    </row>
    <row r="1920" spans="1:12">
      <c r="A1920" s="20" t="s">
        <v>1175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1176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1155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1924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1589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1272</v>
      </c>
      <c r="B1925" s="21" t="s">
        <v>1109</v>
      </c>
      <c r="C1925" s="21" t="s">
        <v>1462</v>
      </c>
      <c r="D1925" s="21" t="s">
        <v>1074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1106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/>
    </row>
    <row r="1928" spans="1:12">
      <c r="A1928" s="20" t="s">
        <v>1925</v>
      </c>
    </row>
    <row r="1929" spans="1:12">
      <c r="A1929" s="20" t="s">
        <v>1132</v>
      </c>
      <c r="B1929" s="21" t="s">
        <v>1072</v>
      </c>
      <c r="C1929" s="21" t="s">
        <v>1073</v>
      </c>
      <c r="D1929" s="21" t="s">
        <v>1074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1076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1926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1218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1426</v>
      </c>
      <c r="B1933" s="21" t="s">
        <v>1080</v>
      </c>
      <c r="C1933" s="21" t="s">
        <v>1081</v>
      </c>
      <c r="D1933" s="21" t="s">
        <v>1074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1927</v>
      </c>
      <c r="B1934" s="21" t="s">
        <v>1077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1189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1928</v>
      </c>
    </row>
    <row r="1938" spans="1:12">
      <c r="A1938" s="20" t="s">
        <v>661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1076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1614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1085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1258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1087</v>
      </c>
      <c r="B1943" s="21" t="s">
        <v>1077</v>
      </c>
      <c r="C1943" s="21" t="s">
        <v>1081</v>
      </c>
      <c r="D1943" s="21" t="s">
        <v>1074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1089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1881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1929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1930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1931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1932</v>
      </c>
      <c r="B1949" s="21" t="s">
        <v>1199</v>
      </c>
      <c r="C1949" s="21" t="s">
        <v>1167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1085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1086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1219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1241</v>
      </c>
      <c r="B1953" s="21" t="s">
        <v>1115</v>
      </c>
      <c r="C1953" s="21" t="s">
        <v>1081</v>
      </c>
      <c r="D1953" s="21" t="s">
        <v>1074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1933</v>
      </c>
      <c r="B1954" s="21" t="s">
        <v>1088</v>
      </c>
      <c r="C1954" s="21" t="s">
        <v>1681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1091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1934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1106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/>
    </row>
    <row r="1959" spans="1:12">
      <c r="A1959" s="20" t="s">
        <v>1935</v>
      </c>
    </row>
    <row r="1960" spans="1:12">
      <c r="A1960" s="20" t="s">
        <v>1936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1937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1938</v>
      </c>
      <c r="B1962" s="21" t="s">
        <v>1080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1939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1940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1085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1941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1942</v>
      </c>
      <c r="B1967" s="21" t="s">
        <v>1199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1943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1501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1944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1945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1946</v>
      </c>
      <c r="B1972" s="21" t="s">
        <v>1205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1106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/>
    </row>
    <row r="1975" spans="1:12">
      <c r="A1975" s="20" t="s">
        <v>1947</v>
      </c>
    </row>
    <row r="1976" spans="1:12">
      <c r="A1976" s="20" t="s">
        <v>1948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496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1949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1937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1085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1950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1110</v>
      </c>
      <c r="B1982" s="21" t="s">
        <v>1119</v>
      </c>
      <c r="C1982" s="21" t="s">
        <v>1081</v>
      </c>
      <c r="D1982" s="21" t="s">
        <v>1074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1951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1106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/>
    </row>
    <row r="1986" spans="1:12">
      <c r="A1986" s="20" t="s">
        <v>1952</v>
      </c>
    </row>
    <row r="1987" spans="1:12">
      <c r="A1987" s="20" t="s">
        <v>1268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1085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1336</v>
      </c>
      <c r="B1989" s="21" t="s">
        <v>1080</v>
      </c>
      <c r="C1989" s="21" t="s">
        <v>1081</v>
      </c>
      <c r="D1989" s="21" t="s">
        <v>1074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1953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1954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77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1955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1956</v>
      </c>
      <c r="B1994" s="21" t="s">
        <v>1080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1471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1957</v>
      </c>
      <c r="B1996" s="21" t="s">
        <v>1137</v>
      </c>
      <c r="C1996" s="21" t="s">
        <v>1154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1085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1535</v>
      </c>
      <c r="B1998" s="21" t="s">
        <v>1157</v>
      </c>
      <c r="C1998" s="21" t="s">
        <v>1181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1958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1492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1959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1770</v>
      </c>
      <c r="B2002" s="21" t="s">
        <v>1293</v>
      </c>
      <c r="C2002" s="21" t="s">
        <v>1073</v>
      </c>
      <c r="D2002" s="21" t="s">
        <v>1074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1960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1961</v>
      </c>
      <c r="B2004" s="21" t="s">
        <v>1097</v>
      </c>
      <c r="C2004" s="21" t="s">
        <v>1103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1106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/>
    </row>
    <row r="2007" spans="1:12">
      <c r="A2007" s="20" t="s">
        <v>1510</v>
      </c>
    </row>
    <row r="2008" spans="1:12">
      <c r="A2008" s="20" t="s">
        <v>1132</v>
      </c>
      <c r="B2008" s="21" t="s">
        <v>1072</v>
      </c>
      <c r="C2008" s="21" t="s">
        <v>1073</v>
      </c>
      <c r="D2008" s="21" t="s">
        <v>1074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1076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/>
    </row>
    <row r="2011" spans="1:12">
      <c r="A2011" s="20" t="s">
        <v>1962</v>
      </c>
    </row>
    <row r="2012" spans="1:12">
      <c r="A2012" s="20" t="s">
        <v>1963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1179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1087</v>
      </c>
      <c r="B2014" s="21" t="s">
        <v>1077</v>
      </c>
      <c r="C2014" s="21" t="s">
        <v>1081</v>
      </c>
      <c r="D2014" s="21" t="s">
        <v>1074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1134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1138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1173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1083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1964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1112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1156</v>
      </c>
      <c r="B2021" s="21" t="s">
        <v>1109</v>
      </c>
      <c r="C2021" s="21" t="s">
        <v>1081</v>
      </c>
      <c r="D2021" s="21" t="s">
        <v>1074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1098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1288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1166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1628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1965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1187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1966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1967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1085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1968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1085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1969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1970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1083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1971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1112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1972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1079</v>
      </c>
      <c r="B2039" s="21" t="s">
        <v>1080</v>
      </c>
      <c r="C2039" s="21" t="s">
        <v>1081</v>
      </c>
      <c r="D2039" s="21" t="s">
        <v>1074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1973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1380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1974</v>
      </c>
      <c r="B2042" s="21" t="s">
        <v>1180</v>
      </c>
      <c r="C2042" s="21" t="s">
        <v>1154</v>
      </c>
      <c r="D2042" s="21" t="s">
        <v>1074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1085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1138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1975</v>
      </c>
      <c r="B2045" s="21" t="s">
        <v>1115</v>
      </c>
      <c r="C2045" s="21" t="s">
        <v>1181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1400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1326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1976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1977</v>
      </c>
      <c r="B2049" s="21" t="s">
        <v>1088</v>
      </c>
      <c r="C2049" s="21" t="s">
        <v>1073</v>
      </c>
      <c r="D2049" s="21" t="s">
        <v>1074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1978</v>
      </c>
      <c r="B2050" s="21" t="s">
        <v>1140</v>
      </c>
      <c r="C2050" s="21" t="s">
        <v>1073</v>
      </c>
      <c r="D2050" s="21" t="s">
        <v>1074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1106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/>
    </row>
    <row r="2053" spans="1:12">
      <c r="A2053" s="20" t="s">
        <v>1979</v>
      </c>
    </row>
    <row r="2054" spans="1:12">
      <c r="A2054" s="20" t="s">
        <v>1980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1981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1083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1982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1983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1148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1106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/>
    </row>
    <row r="2062" spans="1:12">
      <c r="A2062" s="20" t="s">
        <v>1984</v>
      </c>
    </row>
    <row r="2063" spans="1:12">
      <c r="A2063" s="20" t="s">
        <v>1841</v>
      </c>
      <c r="B2063" s="21" t="s">
        <v>1109</v>
      </c>
      <c r="C2063" s="21" t="s">
        <v>1081</v>
      </c>
      <c r="D2063" s="21" t="s">
        <v>1074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1124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1135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1228</v>
      </c>
      <c r="B2066" s="21" t="s">
        <v>1072</v>
      </c>
      <c r="C2066" s="21" t="s">
        <v>1154</v>
      </c>
      <c r="D2066" s="21" t="s">
        <v>1074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1985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1106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/>
    </row>
    <row r="2070" spans="1:12">
      <c r="A2070" s="20" t="s">
        <v>1986</v>
      </c>
    </row>
    <row r="2071" spans="1:12">
      <c r="A2071" s="20" t="s">
        <v>661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1076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1614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1085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1987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1106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/>
    </row>
    <row r="2078" spans="1:12">
      <c r="A2078" s="20" t="s">
        <v>1988</v>
      </c>
    </row>
    <row r="2079" spans="1:12">
      <c r="A2079" s="20" t="s">
        <v>1108</v>
      </c>
      <c r="B2079" s="21" t="s">
        <v>1109</v>
      </c>
      <c r="C2079" s="21" t="s">
        <v>1081</v>
      </c>
      <c r="D2079" s="21" t="s">
        <v>1074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1989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1990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1991</v>
      </c>
      <c r="B2082" s="21" t="s">
        <v>1227</v>
      </c>
      <c r="C2082" s="21" t="s">
        <v>1142</v>
      </c>
      <c r="D2082" s="21" t="s">
        <v>1074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1992</v>
      </c>
      <c r="B2083" s="21" t="s">
        <v>1180</v>
      </c>
      <c r="C2083" s="21" t="s">
        <v>1073</v>
      </c>
      <c r="D2083" s="21" t="s">
        <v>1074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1251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1993</v>
      </c>
      <c r="B2085" s="21" t="s">
        <v>1180</v>
      </c>
      <c r="C2085" s="21" t="s">
        <v>1073</v>
      </c>
      <c r="D2085" s="21" t="s">
        <v>1074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1994</v>
      </c>
      <c r="B2086" s="21" t="s">
        <v>1137</v>
      </c>
      <c r="C2086" s="21" t="s">
        <v>1073</v>
      </c>
      <c r="D2086" s="21" t="s">
        <v>1074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1106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/>
    </row>
    <row r="2089" spans="1:12">
      <c r="A2089" s="20" t="s">
        <v>1995</v>
      </c>
    </row>
    <row r="2090" spans="1:12">
      <c r="A2090" s="20" t="s">
        <v>1996</v>
      </c>
      <c r="B2090" s="21" t="s">
        <v>1109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1122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1365</v>
      </c>
      <c r="B2092" s="21" t="s">
        <v>1072</v>
      </c>
      <c r="C2092" s="21" t="s">
        <v>1081</v>
      </c>
      <c r="D2092" s="21" t="s">
        <v>1074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1997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1207</v>
      </c>
      <c r="B2094" s="21" t="s">
        <v>1227</v>
      </c>
      <c r="C2094" s="21" t="s">
        <v>1081</v>
      </c>
      <c r="D2094" s="21" t="s">
        <v>1074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1998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1106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/>
    </row>
    <row r="2098" spans="1:12">
      <c r="A2098" s="20" t="s">
        <v>1999</v>
      </c>
    </row>
    <row r="2099" spans="1:12">
      <c r="A2099" s="20" t="s">
        <v>2000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1240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1588</v>
      </c>
      <c r="B2101" s="21" t="s">
        <v>1072</v>
      </c>
      <c r="C2101" s="21" t="s">
        <v>1081</v>
      </c>
      <c r="D2101" s="21" t="s">
        <v>1074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585</v>
      </c>
      <c r="B2102" s="21" t="s">
        <v>1109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1983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1148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1083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1346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2001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1238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2002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1106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2003</v>
      </c>
    </row>
    <row r="2113" spans="1:12">
      <c r="A2113" s="20" t="s">
        <v>1133</v>
      </c>
      <c r="B2113" s="21" t="s">
        <v>1109</v>
      </c>
      <c r="C2113" s="21" t="s">
        <v>1081</v>
      </c>
      <c r="D2113" s="21" t="s">
        <v>1074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2004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1346</v>
      </c>
      <c r="B2115" s="21" t="s">
        <v>1227</v>
      </c>
      <c r="C2115" s="21" t="s">
        <v>1081</v>
      </c>
      <c r="D2115" s="21" t="s">
        <v>1074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1155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2005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2006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1439</v>
      </c>
      <c r="B2119" s="21" t="s">
        <v>1072</v>
      </c>
      <c r="C2119" s="21" t="s">
        <v>1103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1085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1258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1118</v>
      </c>
      <c r="B2122" s="21" t="s">
        <v>1077</v>
      </c>
      <c r="C2122" s="21" t="s">
        <v>1081</v>
      </c>
      <c r="D2122" s="21" t="s">
        <v>1074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1235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1085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1599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1241</v>
      </c>
      <c r="B2126" s="21" t="s">
        <v>1180</v>
      </c>
      <c r="C2126" s="21" t="s">
        <v>1081</v>
      </c>
      <c r="D2126" s="21" t="s">
        <v>1074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1091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1299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258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2007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1793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2008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1106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/>
    </row>
    <row r="2135" spans="1:12">
      <c r="A2135" s="20" t="s">
        <v>2009</v>
      </c>
    </row>
    <row r="2136" spans="1:12">
      <c r="A2136" s="20" t="s">
        <v>2010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1138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1981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1085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2011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1087</v>
      </c>
      <c r="B2141" s="21" t="s">
        <v>1109</v>
      </c>
      <c r="C2141" s="21" t="s">
        <v>1081</v>
      </c>
      <c r="D2141" s="21" t="s">
        <v>1074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2012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1138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2013</v>
      </c>
      <c r="B2144" s="21" t="s">
        <v>1072</v>
      </c>
      <c r="C2144" s="21" t="s">
        <v>1073</v>
      </c>
      <c r="D2144" s="21" t="s">
        <v>1074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1085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1149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2014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1118</v>
      </c>
      <c r="B2148" s="21" t="s">
        <v>1119</v>
      </c>
      <c r="C2148" s="21" t="s">
        <v>1081</v>
      </c>
      <c r="D2148" s="21" t="s">
        <v>1074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2015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2016</v>
      </c>
      <c r="B2150" s="21" t="s">
        <v>1199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1135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1146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1148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1106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/>
    </row>
    <row r="2156" spans="1:12">
      <c r="A2156" s="20" t="s">
        <v>2017</v>
      </c>
    </row>
    <row r="2157" spans="1:12">
      <c r="A2157" s="20" t="s">
        <v>1108</v>
      </c>
      <c r="B2157" s="21" t="s">
        <v>1109</v>
      </c>
      <c r="C2157" s="21" t="s">
        <v>1081</v>
      </c>
      <c r="D2157" s="21" t="s">
        <v>1074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2018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2019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2020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2021</v>
      </c>
      <c r="B2161" s="21" t="s">
        <v>1227</v>
      </c>
      <c r="C2161" s="21" t="s">
        <v>1462</v>
      </c>
      <c r="D2161" s="21" t="s">
        <v>1074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1085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1086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2022</v>
      </c>
      <c r="B2164" s="21" t="s">
        <v>1119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1098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2023</v>
      </c>
      <c r="B2166" s="21" t="s">
        <v>1137</v>
      </c>
      <c r="C2166" s="21" t="s">
        <v>1142</v>
      </c>
      <c r="D2166" s="21" t="s">
        <v>1074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2024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1241</v>
      </c>
      <c r="B2168" s="21" t="s">
        <v>1115</v>
      </c>
      <c r="C2168" s="21" t="s">
        <v>1081</v>
      </c>
      <c r="D2168" s="21" t="s">
        <v>1074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2025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1436</v>
      </c>
      <c r="B2170" s="21" t="s">
        <v>1119</v>
      </c>
      <c r="C2170" s="21" t="s">
        <v>1154</v>
      </c>
      <c r="D2170" s="21" t="s">
        <v>1074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1085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1086</v>
      </c>
      <c r="B2172" s="21" t="s">
        <v>1157</v>
      </c>
      <c r="C2172" s="21" t="s">
        <v>1181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2025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1106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/>
    </row>
    <row r="2176" spans="1:12">
      <c r="A2176" s="20" t="s">
        <v>2026</v>
      </c>
    </row>
    <row r="2177" spans="1:12">
      <c r="A2177" s="20" t="s">
        <v>1596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1235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1085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1086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1087</v>
      </c>
      <c r="B2181" s="21" t="s">
        <v>1077</v>
      </c>
      <c r="C2181" s="21" t="s">
        <v>1081</v>
      </c>
      <c r="D2181" s="21" t="s">
        <v>1074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2027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28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1138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2028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1085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1269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1087</v>
      </c>
      <c r="B2188" s="21" t="s">
        <v>1088</v>
      </c>
      <c r="C2188" s="21" t="s">
        <v>1081</v>
      </c>
      <c r="D2188" s="21" t="s">
        <v>1074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1089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2029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1226</v>
      </c>
      <c r="B2191" s="21" t="s">
        <v>1161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1083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1653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2024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2030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1085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1559</v>
      </c>
      <c r="B2197" s="21" t="s">
        <v>1450</v>
      </c>
      <c r="C2197" s="21" t="s">
        <v>1181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2031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2032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1251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2033</v>
      </c>
      <c r="B2201" s="21" t="s">
        <v>1839</v>
      </c>
      <c r="C2201" s="21" t="s">
        <v>1181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1091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2034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2035</v>
      </c>
      <c r="B2204" s="21" t="s">
        <v>2036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1106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/>
    </row>
    <row r="2207" spans="1:12">
      <c r="A2207" s="20" t="s">
        <v>2037</v>
      </c>
    </row>
    <row r="2208" spans="1:12">
      <c r="A2208" s="20" t="s">
        <v>1108</v>
      </c>
      <c r="B2208" s="21" t="s">
        <v>1109</v>
      </c>
      <c r="C2208" s="21" t="s">
        <v>1081</v>
      </c>
      <c r="D2208" s="21" t="s">
        <v>1074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1091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2038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1085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1086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1087</v>
      </c>
      <c r="B2213" s="21" t="s">
        <v>1077</v>
      </c>
      <c r="C2213" s="21" t="s">
        <v>1081</v>
      </c>
      <c r="D2213" s="21" t="s">
        <v>1074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1089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1124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65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1085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2024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1354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1414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2039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2040</v>
      </c>
      <c r="B2222" s="21" t="s">
        <v>1115</v>
      </c>
      <c r="C2222" s="21" t="s">
        <v>1167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911</v>
      </c>
      <c r="B2223" s="21" t="s">
        <v>1088</v>
      </c>
      <c r="C2223" s="21" t="s">
        <v>1081</v>
      </c>
      <c r="D2223" s="21" t="s">
        <v>1074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2041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1241</v>
      </c>
      <c r="B2225" s="21" t="s">
        <v>1205</v>
      </c>
      <c r="C2225" s="21" t="s">
        <v>1081</v>
      </c>
      <c r="D2225" s="21" t="s">
        <v>1074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1098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1589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1724</v>
      </c>
      <c r="B2228" s="21" t="s">
        <v>1115</v>
      </c>
      <c r="C2228" s="21" t="s">
        <v>1462</v>
      </c>
      <c r="D2228" s="21" t="s">
        <v>1074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1106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2042</v>
      </c>
    </row>
    <row r="2232" spans="1:12">
      <c r="A2232" s="20" t="s">
        <v>1233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1087</v>
      </c>
      <c r="B2233" s="21" t="s">
        <v>1109</v>
      </c>
      <c r="C2233" s="21" t="s">
        <v>1081</v>
      </c>
      <c r="D2233" s="21" t="s">
        <v>1074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1089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65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2043</v>
      </c>
      <c r="B2236" s="21" t="s">
        <v>1080</v>
      </c>
      <c r="C2236" s="21" t="s">
        <v>1142</v>
      </c>
      <c r="D2236" s="21" t="s">
        <v>1074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1563</v>
      </c>
      <c r="B2237" s="21" t="s">
        <v>1137</v>
      </c>
      <c r="C2237" s="21" t="s">
        <v>1154</v>
      </c>
      <c r="D2237" s="21" t="s">
        <v>1074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1085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1086</v>
      </c>
      <c r="B2239" s="21" t="s">
        <v>1161</v>
      </c>
      <c r="C2239" s="21" t="s">
        <v>1181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911</v>
      </c>
      <c r="B2240" s="21" t="s">
        <v>1157</v>
      </c>
      <c r="C2240" s="21" t="s">
        <v>1081</v>
      </c>
      <c r="D2240" s="21" t="s">
        <v>1074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2044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1085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1354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1414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2045</v>
      </c>
      <c r="B2245" s="21" t="s">
        <v>1097</v>
      </c>
      <c r="C2245" s="21" t="s">
        <v>1167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911</v>
      </c>
      <c r="B2246" s="21" t="s">
        <v>1291</v>
      </c>
      <c r="C2246" s="21" t="s">
        <v>1081</v>
      </c>
      <c r="D2246" s="21" t="s">
        <v>1074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2046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1085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1155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1083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1274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1106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/>
    </row>
    <row r="2254" spans="1:12">
      <c r="A2254" s="20" t="s">
        <v>2047</v>
      </c>
    </row>
    <row r="2255" spans="1:12">
      <c r="A2255" s="20" t="s">
        <v>1596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1235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1085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1086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1336</v>
      </c>
      <c r="B2259" s="21" t="s">
        <v>1080</v>
      </c>
      <c r="C2259" s="21" t="s">
        <v>1081</v>
      </c>
      <c r="D2259" s="21" t="s">
        <v>1074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1493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1135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1228</v>
      </c>
      <c r="B2262" s="21" t="s">
        <v>1180</v>
      </c>
      <c r="C2262" s="21" t="s">
        <v>1154</v>
      </c>
      <c r="D2262" s="21" t="s">
        <v>1074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1699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1106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/>
    </row>
    <row r="2266" spans="1:12">
      <c r="A2266" s="20" t="s">
        <v>2048</v>
      </c>
    </row>
    <row r="2267" spans="1:12">
      <c r="A2267" s="20" t="s">
        <v>1108</v>
      </c>
      <c r="B2267" s="21" t="s">
        <v>1109</v>
      </c>
      <c r="C2267" s="21" t="s">
        <v>1081</v>
      </c>
      <c r="D2267" s="21" t="s">
        <v>1074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2018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1085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1086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2022</v>
      </c>
      <c r="B2271" s="21" t="s">
        <v>1077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2049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1226</v>
      </c>
      <c r="B2273" s="21" t="s">
        <v>1080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1251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1238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2050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2051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1085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 t="s">
        <v>2052</v>
      </c>
      <c r="E2279" s="22">
        <f>IF(D2279="?OLD","!!!","")</f>
        <v/>
      </c>
      <c r="F2279" s="23" t="str">
        <f>IF(OR(E2279="",E2279="!!!"),"",IF(NOT(ISNA(VLOOKUP(E2279,E$1:E2278,1,FALSE()))),"OLD",IF(AND(E2279&lt;&gt;"",E2279&lt;&gt;"!!!"),"NEW","")))</f>
        <v> </v>
      </c>
      <c r="G2279" s="24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5" t="str">
        <f>IF(J2279&lt;&gt;1,"",IF(I2279="SBJ","CB","?"))</f>
        <v> </v>
      </c>
      <c r="I2279" s="26" t="str">
        <f>IF(OR(E2279="",E2279="!!!",F2279="NEW"),"",INDEX(B2278:B$2,-1+SUMPRODUCT(MAX(ROW(E2278:E$2)*(E2279=E2278:E$2)))))</f>
        <v> </v>
      </c>
      <c r="J2279" s="26" t="str">
        <f>IF(OR(E2279="",E2279="!!!",F2279="NEW"),"",COUNTBLANK(OFFSET(A$1,,,SUMPRODUCT(MAX(ROW(E$2:E2279)*(E2279=E$2:E2279)))))-COUNTBLANK(OFFSET(A$1,,,SUMPRODUCT(MAX(ROW(E$1:E2278)*(E2=E$1:E2278))))))</f>
        <v> </v>
      </c>
      <c r="K2279" s="26" t="str">
        <f>IF(OR(E2279="",E2279="!!!",F2279="NEW"),"",INDEX(J$1:J2278,SUMPRODUCT(MAX(ROW(E$1:E2278)*(E2279=E$1:E2278)))))</f>
        <v> </v>
      </c>
      <c r="L2279" s="27"/>
    </row>
    <row r="2280" spans="1:12">
      <c r="A2280" s="20" t="s">
        <v>1460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1461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2053</v>
      </c>
      <c r="B2282" s="21" t="s">
        <v>1199</v>
      </c>
      <c r="C2282" s="21" t="s">
        <v>1462</v>
      </c>
      <c r="D2282" s="21" t="s">
        <v>1074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1098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2023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2024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1241</v>
      </c>
      <c r="B2286" s="21" t="s">
        <v>1115</v>
      </c>
      <c r="C2286" s="21" t="s">
        <v>1081</v>
      </c>
      <c r="D2286" s="21" t="s">
        <v>1074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1106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/>
    </row>
    <row r="2289" spans="1:12">
      <c r="A2289" s="20" t="s">
        <v>2054</v>
      </c>
    </row>
    <row r="2290" spans="1:12">
      <c r="A2290" s="20" t="s">
        <v>1132</v>
      </c>
      <c r="B2290" s="21" t="s">
        <v>1072</v>
      </c>
      <c r="C2290" s="21" t="s">
        <v>1073</v>
      </c>
      <c r="D2290" s="21" t="s">
        <v>1074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1076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1312</v>
      </c>
      <c r="B2292" s="21" t="s">
        <v>1077</v>
      </c>
      <c r="C2292" s="21" t="s">
        <v>1081</v>
      </c>
      <c r="D2292" s="21" t="s">
        <v>1074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1124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1091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2055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1599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1143</v>
      </c>
      <c r="B2297" s="21" t="s">
        <v>1180</v>
      </c>
      <c r="C2297" s="21" t="s">
        <v>1073</v>
      </c>
      <c r="D2297" s="21" t="s">
        <v>1074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1085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1155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2056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1106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/>
    </row>
    <row r="2303" spans="1:12">
      <c r="A2303" s="20" t="s">
        <v>2057</v>
      </c>
    </row>
    <row r="2304" spans="1:12">
      <c r="A2304" s="20" t="s">
        <v>661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1076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1312</v>
      </c>
      <c r="B2306" s="21" t="s">
        <v>1077</v>
      </c>
      <c r="C2306" s="21" t="s">
        <v>1081</v>
      </c>
      <c r="D2306" s="21" t="s">
        <v>1074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1089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1881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2058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1091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1599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1143</v>
      </c>
      <c r="B2312" s="21" t="s">
        <v>1137</v>
      </c>
      <c r="C2312" s="21" t="s">
        <v>1073</v>
      </c>
      <c r="D2312" s="21" t="s">
        <v>1074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1085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1149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1599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1789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2059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1336</v>
      </c>
      <c r="B2318" s="21" t="s">
        <v>1199</v>
      </c>
      <c r="C2318" s="21" t="s">
        <v>1081</v>
      </c>
      <c r="D2318" s="21" t="s">
        <v>1074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1562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2060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2061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1085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2062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2063</v>
      </c>
      <c r="B2324" s="21" t="s">
        <v>1157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1091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1299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2064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1106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/>
    </row>
    <row r="2330" spans="1:12">
      <c r="A2330" s="20" t="s">
        <v>2065</v>
      </c>
    </row>
    <row r="2331" spans="1:12">
      <c r="A2331" s="20" t="s">
        <v>2066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1321</v>
      </c>
      <c r="B2332" s="21" t="s">
        <v>1109</v>
      </c>
      <c r="C2332" s="21" t="s">
        <v>1154</v>
      </c>
      <c r="D2332" s="21" t="s">
        <v>1074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1628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2067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1106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/>
    </row>
    <row r="2337" spans="1:12">
      <c r="A2337" s="20" t="s">
        <v>2068</v>
      </c>
    </row>
    <row r="2338" spans="1:12">
      <c r="A2338" s="20" t="s">
        <v>1287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1079</v>
      </c>
      <c r="B2339" s="21" t="s">
        <v>1227</v>
      </c>
      <c r="C2339" s="21" t="s">
        <v>1081</v>
      </c>
      <c r="D2339" s="21" t="s">
        <v>1074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569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1085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1086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1143</v>
      </c>
      <c r="B2343" s="21" t="s">
        <v>1077</v>
      </c>
      <c r="C2343" s="21" t="s">
        <v>1073</v>
      </c>
      <c r="D2343" s="21" t="s">
        <v>1074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2069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2029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1365</v>
      </c>
      <c r="B2346" s="21" t="s">
        <v>1199</v>
      </c>
      <c r="C2346" s="21" t="s">
        <v>1081</v>
      </c>
      <c r="D2346" s="21" t="s">
        <v>1074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1083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1515</v>
      </c>
      <c r="B2348" s="21" t="s">
        <v>1140</v>
      </c>
      <c r="C2348" s="21" t="s">
        <v>1095</v>
      </c>
      <c r="D2348" s="21" t="s">
        <v>1074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1653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2024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2070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2071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2030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1085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1138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2072</v>
      </c>
      <c r="B2356" s="21" t="s">
        <v>1293</v>
      </c>
      <c r="C2356" s="21" t="s">
        <v>1181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1933</v>
      </c>
      <c r="B2357" s="21" t="s">
        <v>1291</v>
      </c>
      <c r="C2357" s="21" t="s">
        <v>1681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1091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2073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2074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2075</v>
      </c>
      <c r="B2361" s="21" t="s">
        <v>1293</v>
      </c>
      <c r="C2361" s="21" t="s">
        <v>1167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1106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/>
    </row>
    <row r="2364" spans="1:12">
      <c r="A2364" s="20" t="s">
        <v>2076</v>
      </c>
    </row>
    <row r="2365" spans="1:12">
      <c r="A2365" s="20" t="s">
        <v>1375</v>
      </c>
      <c r="B2365" s="21" t="s">
        <v>1109</v>
      </c>
      <c r="C2365" s="21" t="s">
        <v>1154</v>
      </c>
      <c r="D2365" s="21" t="s">
        <v>1074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1628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2077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1106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2078</v>
      </c>
    </row>
    <row r="2371" spans="1:12">
      <c r="A2371" s="20" t="s">
        <v>1132</v>
      </c>
      <c r="B2371" s="21" t="s">
        <v>1072</v>
      </c>
      <c r="C2371" s="21" t="s">
        <v>1073</v>
      </c>
      <c r="D2371" s="21" t="s">
        <v>1074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1076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1614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1106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/>
    </row>
    <row r="2376" spans="1:12">
      <c r="A2376" s="20" t="s">
        <v>2079</v>
      </c>
    </row>
    <row r="2377" spans="1:12">
      <c r="A2377" s="20" t="s">
        <v>1233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1600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1246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1083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585</v>
      </c>
      <c r="B2381" s="21" t="s">
        <v>1109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1147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1148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1106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/>
    </row>
    <row r="2386" spans="1:12">
      <c r="A2386" s="20" t="s">
        <v>1613</v>
      </c>
    </row>
    <row r="2387" spans="1:12">
      <c r="A2387" s="20" t="s">
        <v>661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1076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1614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1106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/>
    </row>
    <row r="2392" spans="1:12">
      <c r="A2392" s="20" t="s">
        <v>2080</v>
      </c>
    </row>
    <row r="2393" spans="1:12">
      <c r="A2393" s="20" t="s">
        <v>2081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1147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1148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1106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/>
    </row>
    <row r="2398" spans="1:12">
      <c r="A2398" s="20" t="s">
        <v>2082</v>
      </c>
    </row>
    <row r="2399" spans="1:12">
      <c r="A2399" s="20" t="s">
        <v>1268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1085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1822</v>
      </c>
      <c r="B2401" s="21" t="s">
        <v>1109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2083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1106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/>
    </row>
    <row r="2405" spans="1:12">
      <c r="A2405" s="20" t="s">
        <v>2084</v>
      </c>
    </row>
    <row r="2406" spans="1:12">
      <c r="A2406" s="20" t="s">
        <v>1711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1309</v>
      </c>
      <c r="B2407" s="21" t="s">
        <v>1072</v>
      </c>
      <c r="C2407" s="21" t="s">
        <v>1081</v>
      </c>
      <c r="D2407" s="21" t="s">
        <v>1074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1251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1395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2085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593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1085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1083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496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2086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1085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1283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1156</v>
      </c>
      <c r="B2418" s="21" t="s">
        <v>1088</v>
      </c>
      <c r="C2418" s="21" t="s">
        <v>1081</v>
      </c>
      <c r="D2418" s="21" t="s">
        <v>1074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1106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/>
    </row>
    <row r="2421" spans="1:12">
      <c r="A2421" s="20" t="s">
        <v>2087</v>
      </c>
    </row>
    <row r="2422" spans="1:12">
      <c r="A2422" s="20" t="s">
        <v>2088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1298</v>
      </c>
      <c r="B2423" s="21" t="s">
        <v>1072</v>
      </c>
      <c r="C2423" s="21" t="s">
        <v>1081</v>
      </c>
      <c r="D2423" s="21" t="s">
        <v>1074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2089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1246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2090</v>
      </c>
      <c r="B2426" s="21" t="s">
        <v>1109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1782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1085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1083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1321</v>
      </c>
      <c r="B2430" s="21" t="s">
        <v>1077</v>
      </c>
      <c r="C2430" s="21" t="s">
        <v>1154</v>
      </c>
      <c r="D2430" s="21" t="s">
        <v>1074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2091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1085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1553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2092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1085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1274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1832</v>
      </c>
      <c r="B2437" s="21" t="s">
        <v>1119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2093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2094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2095</v>
      </c>
      <c r="B2440" s="21" t="s">
        <v>1199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1106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/>
    </row>
    <row r="2443" spans="1:12">
      <c r="A2443" s="20" t="s">
        <v>2096</v>
      </c>
    </row>
    <row r="2444" spans="1:12">
      <c r="A2444" s="20" t="s">
        <v>1133</v>
      </c>
      <c r="B2444" s="21" t="s">
        <v>1109</v>
      </c>
      <c r="C2444" s="21" t="s">
        <v>1081</v>
      </c>
      <c r="D2444" s="21" t="s">
        <v>1074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1191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1192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1193</v>
      </c>
      <c r="B2447" s="21" t="s">
        <v>1180</v>
      </c>
      <c r="C2447" s="21" t="s">
        <v>1154</v>
      </c>
      <c r="D2447" s="21" t="s">
        <v>1074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1255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1085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2097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143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2098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1599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1241</v>
      </c>
      <c r="B2454" s="21" t="s">
        <v>1137</v>
      </c>
      <c r="C2454" s="21" t="s">
        <v>1081</v>
      </c>
      <c r="D2454" s="21" t="s">
        <v>1074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2099</v>
      </c>
      <c r="B2455" s="21" t="s">
        <v>1137</v>
      </c>
      <c r="C2455" s="21" t="s">
        <v>1167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1106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/>
    </row>
    <row r="2458" spans="1:12">
      <c r="A2458" s="20" t="s">
        <v>2100</v>
      </c>
    </row>
    <row r="2459" spans="1:12">
      <c r="A2459" s="20" t="s">
        <v>1268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1085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2101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2102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1085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1086</v>
      </c>
      <c r="B2464" s="21" t="s">
        <v>1080</v>
      </c>
      <c r="C2464" s="21" t="s">
        <v>1181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1087</v>
      </c>
      <c r="B2465" s="21" t="s">
        <v>1109</v>
      </c>
      <c r="C2465" s="21" t="s">
        <v>1081</v>
      </c>
      <c r="D2465" s="21" t="s">
        <v>1074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2027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1206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1085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1112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611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1772</v>
      </c>
      <c r="B2471" s="21" t="s">
        <v>1199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2103</v>
      </c>
      <c r="B2472" s="21" t="s">
        <v>1199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1085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1598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1633</v>
      </c>
      <c r="B2475" s="21" t="s">
        <v>1205</v>
      </c>
      <c r="C2475" s="21" t="s">
        <v>1081</v>
      </c>
      <c r="D2475" s="21" t="s">
        <v>1074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1085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2104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2105</v>
      </c>
      <c r="B2478" s="21" t="s">
        <v>1088</v>
      </c>
      <c r="C2478" s="21" t="s">
        <v>1167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2106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1076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2107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1145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1085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2108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1106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/>
    </row>
    <row r="2487" spans="1:12">
      <c r="A2487" s="20" t="s">
        <v>2109</v>
      </c>
    </row>
    <row r="2488" spans="1:12">
      <c r="A2488" s="20" t="s">
        <v>2110</v>
      </c>
      <c r="B2488" s="21" t="s">
        <v>1227</v>
      </c>
      <c r="C2488" s="21" t="s">
        <v>1081</v>
      </c>
      <c r="D2488" s="21" t="s">
        <v>1074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2111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2112</v>
      </c>
      <c r="B2490" s="21" t="s">
        <v>1109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2113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1098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2114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2115</v>
      </c>
      <c r="B2494" s="21" t="s">
        <v>1137</v>
      </c>
      <c r="C2494" s="21" t="s">
        <v>1073</v>
      </c>
      <c r="D2494" s="21" t="s">
        <v>1074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1106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/>
    </row>
    <row r="2497" spans="1:12">
      <c r="A2497" s="20" t="s">
        <v>2116</v>
      </c>
    </row>
    <row r="2498" spans="1:12">
      <c r="A2498" s="20" t="s">
        <v>2117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2118</v>
      </c>
      <c r="B2499" s="21" t="s">
        <v>1109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1098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1795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2119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2120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1772</v>
      </c>
      <c r="B2504" s="21" t="s">
        <v>1227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2090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2121</v>
      </c>
      <c r="B2506" s="21" t="s">
        <v>1072</v>
      </c>
      <c r="C2506" s="21" t="s">
        <v>1103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1083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2122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1138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1153</v>
      </c>
      <c r="B2510" s="21" t="s">
        <v>1180</v>
      </c>
      <c r="C2510" s="21" t="s">
        <v>1154</v>
      </c>
      <c r="D2510" s="21" t="s">
        <v>1074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1085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1086</v>
      </c>
      <c r="B2512" s="21" t="s">
        <v>1088</v>
      </c>
      <c r="C2512" s="21" t="s">
        <v>1181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2123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1106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/>
    </row>
    <row r="2516" spans="1:12">
      <c r="A2516" s="20" t="s">
        <v>2124</v>
      </c>
    </row>
    <row r="2517" spans="1:12">
      <c r="A2517" s="20" t="s">
        <v>1268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1085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1321</v>
      </c>
      <c r="B2519" s="21" t="s">
        <v>1080</v>
      </c>
      <c r="C2519" s="21" t="s">
        <v>1154</v>
      </c>
      <c r="D2519" s="21" t="s">
        <v>1074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1206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2125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1628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1106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/>
    </row>
    <row r="2525" spans="1:12">
      <c r="A2525" s="20" t="s">
        <v>2126</v>
      </c>
    </row>
    <row r="2526" spans="1:12">
      <c r="A2526" s="20" t="s">
        <v>1233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1118</v>
      </c>
      <c r="B2527" s="21" t="s">
        <v>1109</v>
      </c>
      <c r="C2527" s="21" t="s">
        <v>1081</v>
      </c>
      <c r="D2527" s="21" t="s">
        <v>1074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2127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1085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1086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1087</v>
      </c>
      <c r="B2531" s="21" t="s">
        <v>1077</v>
      </c>
      <c r="C2531" s="21" t="s">
        <v>1081</v>
      </c>
      <c r="D2531" s="21" t="s">
        <v>1074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2027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2128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2129</v>
      </c>
      <c r="B2534" s="21" t="s">
        <v>1199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1085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2130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2131</v>
      </c>
      <c r="B2537" s="21" t="s">
        <v>1205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1106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/>
    </row>
    <row r="2540" spans="1:12">
      <c r="A2540" s="20" t="s">
        <v>2132</v>
      </c>
    </row>
    <row r="2541" spans="1:12">
      <c r="A2541" s="20" t="s">
        <v>1912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1085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1118</v>
      </c>
      <c r="B2543" s="21" t="s">
        <v>1109</v>
      </c>
      <c r="C2543" s="21" t="s">
        <v>1081</v>
      </c>
      <c r="D2543" s="21" t="s">
        <v>1074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2133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2134</v>
      </c>
      <c r="B2545" s="21" t="s">
        <v>1227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1414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1187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2135</v>
      </c>
      <c r="B2548" s="21" t="s">
        <v>1137</v>
      </c>
      <c r="C2548" s="21" t="s">
        <v>1095</v>
      </c>
      <c r="D2548" s="21" t="s">
        <v>1074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2136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1085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1083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1110</v>
      </c>
      <c r="B2552" s="21" t="s">
        <v>1077</v>
      </c>
      <c r="C2552" s="21" t="s">
        <v>1081</v>
      </c>
      <c r="D2552" s="21" t="s">
        <v>1074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2137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1079</v>
      </c>
      <c r="B2554" s="21" t="s">
        <v>1180</v>
      </c>
      <c r="C2554" s="21" t="s">
        <v>1081</v>
      </c>
      <c r="D2554" s="21" t="s">
        <v>1074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1360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1083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1091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2138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1106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/>
    </row>
    <row r="2561" spans="1:12">
      <c r="A2561" s="20" t="s">
        <v>2139</v>
      </c>
    </row>
    <row r="2562" spans="1:12">
      <c r="A2562" s="20" t="s">
        <v>1108</v>
      </c>
      <c r="B2562" s="21" t="s">
        <v>1077</v>
      </c>
      <c r="C2562" s="21" t="s">
        <v>1081</v>
      </c>
      <c r="D2562" s="21" t="s">
        <v>1074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2140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1085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1086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2141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2142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1251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2143</v>
      </c>
      <c r="B2569" s="21" t="s">
        <v>1137</v>
      </c>
      <c r="C2569" s="21" t="s">
        <v>1081</v>
      </c>
      <c r="D2569" s="21" t="s">
        <v>1074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1085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1118</v>
      </c>
      <c r="B2571" s="21" t="s">
        <v>1109</v>
      </c>
      <c r="C2571" s="21" t="s">
        <v>1081</v>
      </c>
      <c r="D2571" s="21" t="s">
        <v>1074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2144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2145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1249</v>
      </c>
      <c r="B2574" s="21" t="s">
        <v>1080</v>
      </c>
      <c r="C2574" s="21" t="s">
        <v>1081</v>
      </c>
      <c r="D2574" s="21" t="s">
        <v>1074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1168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1106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/>
    </row>
    <row r="2578" spans="1:12">
      <c r="A2578" s="20" t="s">
        <v>1510</v>
      </c>
    </row>
    <row r="2579" spans="1:12">
      <c r="A2579" s="20" t="s">
        <v>1132</v>
      </c>
      <c r="B2579" s="21" t="s">
        <v>1072</v>
      </c>
      <c r="C2579" s="21" t="s">
        <v>1073</v>
      </c>
      <c r="D2579" s="21" t="s">
        <v>1074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1076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/>
    </row>
    <row r="2582" spans="1:12">
      <c r="A2582" s="20" t="s">
        <v>2146</v>
      </c>
    </row>
    <row r="2583" spans="1:12">
      <c r="A2583" s="20" t="s">
        <v>1108</v>
      </c>
      <c r="B2583" s="21" t="s">
        <v>1109</v>
      </c>
      <c r="C2583" s="21" t="s">
        <v>1081</v>
      </c>
      <c r="D2583" s="21" t="s">
        <v>1074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1492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2147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1245</v>
      </c>
      <c r="B2586" s="21" t="s">
        <v>1227</v>
      </c>
      <c r="C2586" s="21" t="s">
        <v>1081</v>
      </c>
      <c r="D2586" s="21" t="s">
        <v>1074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2148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1085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1242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1321</v>
      </c>
      <c r="B2590" s="21" t="s">
        <v>1077</v>
      </c>
      <c r="C2590" s="21" t="s">
        <v>1154</v>
      </c>
      <c r="D2590" s="21" t="s">
        <v>1074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1393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1106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/>
    </row>
    <row r="2594" spans="1:12">
      <c r="A2594" s="20" t="s">
        <v>2149</v>
      </c>
    </row>
    <row r="2595" spans="1:12">
      <c r="A2595" s="20" t="s">
        <v>661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1076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2150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1818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1085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2151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2152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2153</v>
      </c>
      <c r="B2602" s="21" t="s">
        <v>1080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 t="s">
        <v>2154</v>
      </c>
      <c r="B2603" s="21" t="s">
        <v>1080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1085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1501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1086</v>
      </c>
      <c r="B2606" s="21" t="s">
        <v>1199</v>
      </c>
      <c r="C2606" s="21" t="s">
        <v>1181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1156</v>
      </c>
      <c r="B2607" s="21" t="s">
        <v>1119</v>
      </c>
      <c r="C2607" s="21" t="s">
        <v>1081</v>
      </c>
      <c r="D2607" s="21" t="s">
        <v>1074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2155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2156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1285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1106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/>
    </row>
    <row r="2613" spans="1:12">
      <c r="A2613" s="20" t="s">
        <v>2157</v>
      </c>
    </row>
    <row r="2614" spans="1:12">
      <c r="A2614" s="20" t="s">
        <v>2158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1085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1086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1118</v>
      </c>
      <c r="B2617" s="21" t="s">
        <v>1077</v>
      </c>
      <c r="C2617" s="21" t="s">
        <v>1081</v>
      </c>
      <c r="D2617" s="21" t="s">
        <v>1074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1235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1189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/>
    </row>
    <row r="2621" spans="1:12">
      <c r="A2621" s="20" t="s">
        <v>2159</v>
      </c>
    </row>
    <row r="2622" spans="1:12">
      <c r="A2622" s="20" t="s">
        <v>1108</v>
      </c>
      <c r="B2622" s="21" t="s">
        <v>1109</v>
      </c>
      <c r="C2622" s="21" t="s">
        <v>1081</v>
      </c>
      <c r="D2622" s="21" t="s">
        <v>1074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2160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2161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1138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2162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2163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1085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1158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1191</v>
      </c>
      <c r="B2630" s="21" t="s">
        <v>1077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1782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1106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/>
    </row>
    <row r="2634" spans="1:12">
      <c r="A2634" s="20" t="s">
        <v>2164</v>
      </c>
    </row>
    <row r="2635" spans="1:12">
      <c r="A2635" s="20" t="s">
        <v>1133</v>
      </c>
      <c r="B2635" s="21" t="s">
        <v>1109</v>
      </c>
      <c r="C2635" s="21" t="s">
        <v>1081</v>
      </c>
      <c r="D2635" s="21" t="s">
        <v>1074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2165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2166</v>
      </c>
      <c r="B2637" s="21" t="s">
        <v>1227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1789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1251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2167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2168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1106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/>
    </row>
    <row r="2644" spans="1:12">
      <c r="A2644" s="20" t="s">
        <v>2169</v>
      </c>
    </row>
    <row r="2645" spans="1:12">
      <c r="A2645" s="20" t="s">
        <v>1175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1234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1118</v>
      </c>
      <c r="B2647" s="21" t="s">
        <v>1077</v>
      </c>
      <c r="C2647" s="21" t="s">
        <v>1081</v>
      </c>
      <c r="D2647" s="21" t="s">
        <v>1074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2170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1187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2171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1085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1118</v>
      </c>
      <c r="B2652" s="21" t="s">
        <v>1109</v>
      </c>
      <c r="C2652" s="21" t="s">
        <v>1081</v>
      </c>
      <c r="D2652" s="21" t="s">
        <v>1074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1747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1076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1155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1492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1493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1442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1085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1269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1492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2172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2173</v>
      </c>
      <c r="B2663" s="21" t="s">
        <v>1119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2174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2175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2176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2177</v>
      </c>
      <c r="B2667" s="21" t="s">
        <v>1199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11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2178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1106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/>
    </row>
    <row r="2672" spans="1:12">
      <c r="A2672" s="20" t="s">
        <v>2179</v>
      </c>
    </row>
    <row r="2673" spans="1:12">
      <c r="A2673" s="20" t="s">
        <v>1261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2180</v>
      </c>
      <c r="B2674" s="21" t="s">
        <v>1077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11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2181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2182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2183</v>
      </c>
      <c r="B2678" s="21" t="s">
        <v>1137</v>
      </c>
      <c r="C2678" s="21" t="s">
        <v>1095</v>
      </c>
      <c r="D2678" s="21" t="s">
        <v>1074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2184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2185</v>
      </c>
      <c r="B2680" s="21" t="s">
        <v>1080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1085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1156</v>
      </c>
      <c r="B2682" s="21" t="s">
        <v>1109</v>
      </c>
      <c r="C2682" s="21" t="s">
        <v>1081</v>
      </c>
      <c r="D2682" s="21" t="s">
        <v>1074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2186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276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1085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1086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1321</v>
      </c>
      <c r="B2687" s="21" t="s">
        <v>1119</v>
      </c>
      <c r="C2687" s="21" t="s">
        <v>1154</v>
      </c>
      <c r="D2687" s="21" t="s">
        <v>1074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1526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2187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1083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1240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1243</v>
      </c>
      <c r="B2692" s="21" t="s">
        <v>1137</v>
      </c>
      <c r="C2692" s="21" t="s">
        <v>1181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2188</v>
      </c>
      <c r="B2693" s="21" t="s">
        <v>1205</v>
      </c>
      <c r="C2693" s="21" t="s">
        <v>1081</v>
      </c>
      <c r="D2693" s="21" t="s">
        <v>1074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1321</v>
      </c>
      <c r="B2694" s="21" t="s">
        <v>1088</v>
      </c>
      <c r="C2694" s="21" t="s">
        <v>1154</v>
      </c>
      <c r="D2694" s="21" t="s">
        <v>1074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1085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1083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1085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1901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1085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1298</v>
      </c>
      <c r="B2700" s="21" t="s">
        <v>1161</v>
      </c>
      <c r="C2700" s="21" t="s">
        <v>1081</v>
      </c>
      <c r="D2700" s="21" t="s">
        <v>1074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2189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1126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2092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2190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2191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2192</v>
      </c>
      <c r="B2706" s="21" t="s">
        <v>1157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1106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/>
    </row>
    <row r="2709" spans="1:12">
      <c r="A2709" s="20" t="s">
        <v>2193</v>
      </c>
    </row>
    <row r="2710" spans="1:12">
      <c r="A2710" s="20" t="s">
        <v>1268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1085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1321</v>
      </c>
      <c r="B2712" s="21" t="s">
        <v>1109</v>
      </c>
      <c r="C2712" s="21" t="s">
        <v>1154</v>
      </c>
      <c r="D2712" s="21" t="s">
        <v>1074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2194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1492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1336</v>
      </c>
      <c r="B2715" s="21" t="s">
        <v>1227</v>
      </c>
      <c r="C2715" s="21" t="s">
        <v>1081</v>
      </c>
      <c r="D2715" s="21" t="s">
        <v>1074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1561</v>
      </c>
      <c r="B2716" s="21" t="s">
        <v>1227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2195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2196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2197</v>
      </c>
      <c r="B2719" s="21" t="s">
        <v>1137</v>
      </c>
      <c r="C2719" s="21" t="s">
        <v>1103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2198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2199</v>
      </c>
      <c r="B2721" s="21" t="s">
        <v>1115</v>
      </c>
      <c r="C2721" s="21" t="s">
        <v>1103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1106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/>
    </row>
    <row r="2724" spans="1:12">
      <c r="A2724" s="20" t="s">
        <v>2200</v>
      </c>
    </row>
    <row r="2725" spans="1:12">
      <c r="A2725" s="20" t="s">
        <v>1132</v>
      </c>
      <c r="B2725" s="21" t="s">
        <v>1072</v>
      </c>
      <c r="C2725" s="21" t="s">
        <v>1073</v>
      </c>
      <c r="D2725" s="21" t="s">
        <v>1074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1076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2201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1106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/>
    </row>
    <row r="2730" spans="1:12">
      <c r="A2730" s="20" t="s">
        <v>2202</v>
      </c>
    </row>
    <row r="2731" spans="1:12">
      <c r="A2731" s="20" t="s">
        <v>2203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1079</v>
      </c>
      <c r="B2732" s="21" t="s">
        <v>1080</v>
      </c>
      <c r="C2732" s="21" t="s">
        <v>1081</v>
      </c>
      <c r="D2732" s="21" t="s">
        <v>1074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2204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1112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661</v>
      </c>
      <c r="B2735" s="21" t="s">
        <v>1072</v>
      </c>
      <c r="C2735" s="21" t="s">
        <v>1073</v>
      </c>
      <c r="D2735" s="21" t="s">
        <v>1074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1076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/>
    </row>
    <row r="2738" spans="1:12">
      <c r="A2738" s="20" t="s">
        <v>2205</v>
      </c>
    </row>
    <row r="2739" spans="1:12">
      <c r="A2739" s="20" t="s">
        <v>1108</v>
      </c>
      <c r="B2739" s="21" t="s">
        <v>1109</v>
      </c>
      <c r="C2739" s="21" t="s">
        <v>1081</v>
      </c>
      <c r="D2739" s="21" t="s">
        <v>1074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1505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2127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1085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1086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1087</v>
      </c>
      <c r="B2744" s="21" t="s">
        <v>1077</v>
      </c>
      <c r="C2744" s="21" t="s">
        <v>1081</v>
      </c>
      <c r="D2744" s="21" t="s">
        <v>1074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2206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1251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2207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1983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1148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1098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1136</v>
      </c>
      <c r="B2751" s="21" t="s">
        <v>1180</v>
      </c>
      <c r="C2751" s="21" t="s">
        <v>1073</v>
      </c>
      <c r="D2751" s="21" t="s">
        <v>1074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1360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1457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1085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1155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1251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2208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2209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1112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2210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1155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2211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1085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1360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1083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2212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1106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/>
    </row>
    <row r="2769" spans="1:12">
      <c r="A2769" s="20" t="s">
        <v>2213</v>
      </c>
    </row>
    <row r="2770" spans="1:12">
      <c r="A2770" s="20" t="s">
        <v>2214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1138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1342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1085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1087</v>
      </c>
      <c r="B2774" s="21" t="s">
        <v>1109</v>
      </c>
      <c r="C2774" s="21" t="s">
        <v>1081</v>
      </c>
      <c r="D2774" s="21" t="s">
        <v>1074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2215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2216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2217</v>
      </c>
      <c r="B2777" s="21" t="s">
        <v>1227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1085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1559</v>
      </c>
      <c r="B2779" s="21" t="s">
        <v>1205</v>
      </c>
      <c r="C2779" s="21" t="s">
        <v>1181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1087</v>
      </c>
      <c r="B2780" s="21" t="s">
        <v>1119</v>
      </c>
      <c r="C2780" s="21" t="s">
        <v>1081</v>
      </c>
      <c r="D2780" s="21" t="s">
        <v>1074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1469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1492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1895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2024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1789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1085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2218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2219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1251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2220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1816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1098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735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2221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1106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/>
    </row>
    <row r="2797" spans="1:12">
      <c r="A2797" s="20" t="s">
        <v>1510</v>
      </c>
    </row>
    <row r="2798" spans="1:12">
      <c r="A2798" s="20" t="s">
        <v>1132</v>
      </c>
      <c r="B2798" s="21" t="s">
        <v>1072</v>
      </c>
      <c r="C2798" s="21" t="s">
        <v>1073</v>
      </c>
      <c r="D2798" s="21" t="s">
        <v>1074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1076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/>
    </row>
    <row r="2801" spans="1:12">
      <c r="A2801" s="20" t="s">
        <v>2222</v>
      </c>
    </row>
    <row r="2802" spans="1:12">
      <c r="A2802" s="20" t="s">
        <v>2223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2091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1085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1242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1832</v>
      </c>
      <c r="B2806" s="21" t="s">
        <v>1077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1881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2224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1076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1346</v>
      </c>
      <c r="B2810" s="21" t="s">
        <v>1115</v>
      </c>
      <c r="C2810" s="21" t="s">
        <v>1095</v>
      </c>
      <c r="D2810" s="21" t="s">
        <v>1074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2219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1091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2225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2226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1106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/>
    </row>
    <row r="2817" spans="1:12">
      <c r="A2817" s="20" t="s">
        <v>2227</v>
      </c>
    </row>
    <row r="2818" spans="1:12">
      <c r="A2818" s="20" t="s">
        <v>661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1076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1711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1588</v>
      </c>
      <c r="B2821" s="21" t="s">
        <v>1180</v>
      </c>
      <c r="C2821" s="21" t="s">
        <v>1081</v>
      </c>
      <c r="D2821" s="21" t="s">
        <v>1074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1493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1436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1457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2228</v>
      </c>
      <c r="B2825" s="21" t="s">
        <v>1072</v>
      </c>
      <c r="C2825" s="21" t="s">
        <v>1462</v>
      </c>
      <c r="D2825" s="21" t="s">
        <v>1074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1085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1234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1118</v>
      </c>
      <c r="B2828" s="21" t="s">
        <v>1119</v>
      </c>
      <c r="C2828" s="21" t="s">
        <v>1081</v>
      </c>
      <c r="D2828" s="21" t="s">
        <v>1074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2229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1138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2163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1251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1351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1106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/>
    </row>
    <row r="2836" spans="1:12">
      <c r="A2836" s="20" t="s">
        <v>2230</v>
      </c>
    </row>
    <row r="2837" spans="1:12">
      <c r="A2837" s="20" t="s">
        <v>1108</v>
      </c>
      <c r="B2837" s="21" t="s">
        <v>1109</v>
      </c>
      <c r="C2837" s="21" t="s">
        <v>1081</v>
      </c>
      <c r="D2837" s="21" t="s">
        <v>1074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2231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1764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2219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1106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/>
    </row>
    <row r="2843" spans="1:12">
      <c r="A2843" s="20" t="s">
        <v>2232</v>
      </c>
    </row>
    <row r="2844" spans="1:12">
      <c r="A2844" s="20" t="s">
        <v>2233</v>
      </c>
      <c r="B2844" s="21" t="s">
        <v>1109</v>
      </c>
      <c r="C2844" s="21" t="s">
        <v>1073</v>
      </c>
      <c r="D2844" s="21" t="s">
        <v>1074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2234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1588</v>
      </c>
      <c r="B2846" s="21" t="s">
        <v>1227</v>
      </c>
      <c r="C2846" s="21" t="s">
        <v>1081</v>
      </c>
      <c r="D2846" s="21" t="s">
        <v>1074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1085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1118</v>
      </c>
      <c r="B2848" s="21" t="s">
        <v>1077</v>
      </c>
      <c r="C2848" s="21" t="s">
        <v>1081</v>
      </c>
      <c r="D2848" s="21" t="s">
        <v>1074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2188</v>
      </c>
      <c r="B2849" s="21" t="s">
        <v>1080</v>
      </c>
      <c r="C2849" s="21" t="s">
        <v>1081</v>
      </c>
      <c r="D2849" s="21" t="s">
        <v>1074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1238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1526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1321</v>
      </c>
      <c r="B2852" s="21" t="s">
        <v>1180</v>
      </c>
      <c r="C2852" s="21" t="s">
        <v>1154</v>
      </c>
      <c r="D2852" s="21" t="s">
        <v>1074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2235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1106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/>
    </row>
    <row r="2856" spans="1:12">
      <c r="A2856" s="20" t="s">
        <v>1510</v>
      </c>
    </row>
    <row r="2857" spans="1:12">
      <c r="A2857" s="20" t="s">
        <v>1132</v>
      </c>
      <c r="B2857" s="21" t="s">
        <v>1072</v>
      </c>
      <c r="C2857" s="21" t="s">
        <v>1073</v>
      </c>
      <c r="D2857" s="21" t="s">
        <v>1074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 t="s">
        <v>1076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/>
    </row>
    <row r="2860" spans="1:12">
      <c r="A2860" s="20" t="s">
        <v>2236</v>
      </c>
    </row>
    <row r="2861" spans="1:12">
      <c r="A2861" s="20" t="s">
        <v>1175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2171</v>
      </c>
      <c r="B2862" s="21" t="s">
        <v>1109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1881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2237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1106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/>
    </row>
    <row r="2867" spans="1:12">
      <c r="A2867" s="20" t="s">
        <v>2238</v>
      </c>
    </row>
    <row r="2868" spans="1:12">
      <c r="A2868" s="20" t="s">
        <v>661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1076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1614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1085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1832</v>
      </c>
      <c r="B2872" s="21" t="s">
        <v>1077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1238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2239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1588</v>
      </c>
      <c r="B2875" s="21" t="s">
        <v>1080</v>
      </c>
      <c r="C2875" s="21" t="s">
        <v>1081</v>
      </c>
      <c r="D2875" s="21" t="s">
        <v>1074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1106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/>
    </row>
    <row r="2878" spans="1:12">
      <c r="A2878" s="20" t="s">
        <v>2240</v>
      </c>
    </row>
    <row r="2879" spans="1:12">
      <c r="A2879" s="20" t="s">
        <v>2241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1324</v>
      </c>
      <c r="B2880" s="21" t="s">
        <v>1072</v>
      </c>
      <c r="C2880" s="21" t="s">
        <v>1081</v>
      </c>
      <c r="D2880" s="21" t="s">
        <v>1074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2242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2243</v>
      </c>
      <c r="B2882" s="21" t="s">
        <v>1109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1789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1251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2167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2168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1085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2244</v>
      </c>
      <c r="B2888" s="21" t="s">
        <v>1088</v>
      </c>
      <c r="C2888" s="21" t="s">
        <v>1181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1187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2245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2246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2247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1091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2248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1106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/>
    </row>
    <row r="2897" spans="1:12">
      <c r="A2897" s="20" t="s">
        <v>2249</v>
      </c>
    </row>
    <row r="2898" spans="1:12">
      <c r="A2898" s="20" t="s">
        <v>1375</v>
      </c>
      <c r="B2898" s="21" t="s">
        <v>1109</v>
      </c>
      <c r="C2898" s="21" t="s">
        <v>1154</v>
      </c>
      <c r="D2898" s="21" t="s">
        <v>1074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1493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1442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1106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/>
    </row>
    <row r="2903" spans="1:12">
      <c r="A2903" s="20" t="s">
        <v>2250</v>
      </c>
    </row>
    <row r="2904" spans="1:12">
      <c r="A2904" s="20" t="s">
        <v>1132</v>
      </c>
      <c r="B2904" s="21" t="s">
        <v>1072</v>
      </c>
      <c r="C2904" s="21" t="s">
        <v>1073</v>
      </c>
      <c r="D2904" s="21" t="s">
        <v>1074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1076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2251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1134</v>
      </c>
      <c r="B2907" s="21" t="s">
        <v>1080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1138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1173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1106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2252</v>
      </c>
    </row>
    <row r="2913" spans="1:12">
      <c r="A2913" s="20" t="s">
        <v>2253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1085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1179</v>
      </c>
      <c r="B2915" s="21" t="s">
        <v>1180</v>
      </c>
      <c r="C2915" s="21" t="s">
        <v>1181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1262</v>
      </c>
      <c r="B2916" s="21" t="s">
        <v>1077</v>
      </c>
      <c r="C2916" s="21" t="s">
        <v>1081</v>
      </c>
      <c r="D2916" s="21" t="s">
        <v>1074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2254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1098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1514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2255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2256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1189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/>
    </row>
    <row r="2924" spans="1:12">
      <c r="A2924" s="20" t="s">
        <v>2257</v>
      </c>
    </row>
    <row r="2925" spans="1:12">
      <c r="A2925" s="20" t="s">
        <v>661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1076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1268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1085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1589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32</v>
      </c>
      <c r="B2930" s="21" t="s">
        <v>1077</v>
      </c>
      <c r="C2930" s="21" t="s">
        <v>1462</v>
      </c>
      <c r="D2930" s="21" t="s">
        <v>1074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2258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1588</v>
      </c>
      <c r="B2932" s="21" t="s">
        <v>1080</v>
      </c>
      <c r="C2932" s="21" t="s">
        <v>1081</v>
      </c>
      <c r="D2932" s="21" t="s">
        <v>1074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1085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1246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1234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1118</v>
      </c>
      <c r="B2936" s="21" t="s">
        <v>1119</v>
      </c>
      <c r="C2936" s="21" t="s">
        <v>1081</v>
      </c>
      <c r="D2936" s="21" t="s">
        <v>1074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2259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1098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2260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1098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2261</v>
      </c>
      <c r="B2941" s="21" t="s">
        <v>1115</v>
      </c>
      <c r="C2941" s="21" t="s">
        <v>1073</v>
      </c>
      <c r="D2941" s="21" t="s">
        <v>1074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1106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/>
    </row>
    <row r="2944" spans="1:12">
      <c r="A2944" s="20" t="s">
        <v>2262</v>
      </c>
    </row>
    <row r="2945" spans="1:12">
      <c r="A2945" s="20" t="s">
        <v>1108</v>
      </c>
      <c r="B2945" s="21" t="s">
        <v>1109</v>
      </c>
      <c r="C2945" s="21" t="s">
        <v>1081</v>
      </c>
      <c r="D2945" s="21" t="s">
        <v>1074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393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1734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2263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1187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 t="s">
        <v>2264</v>
      </c>
      <c r="E2950" s="22">
        <f>IF(D2950="?OLD","!!!","")</f>
        <v/>
      </c>
      <c r="F2950" s="23" t="str">
        <f>IF(OR(E2950="",E2950="!!!"),"",IF(NOT(ISNA(VLOOKUP(E2950,E$1:E2949,1,FALSE()))),"OLD",IF(AND(E2950&lt;&gt;"",E2950&lt;&gt;"!!!"),"NEW","")))</f>
        <v> </v>
      </c>
      <c r="G2950" s="24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5" t="str">
        <f>IF(J2950&lt;&gt;1,"",IF(I2950="SBJ","CB","?"))</f>
        <v> </v>
      </c>
      <c r="I2950" s="26" t="str">
        <f>IF(OR(E2950="",E2950="!!!",F2950="NEW"),"",INDEX(B2949:B$2,-1+SUMPRODUCT(MAX(ROW(E2949:E$2)*(E2950=E2949:E$2)))))</f>
        <v> </v>
      </c>
      <c r="J2950" s="26" t="str">
        <f>IF(OR(E2950="",E2950="!!!",F2950="NEW"),"",COUNTBLANK(OFFSET(A$1,,,SUMPRODUCT(MAX(ROW(E$2:E2950)*(E2950=E$2:E2950)))))-COUNTBLANK(OFFSET(A$1,,,SUMPRODUCT(MAX(ROW(E$1:E2949)*(E2=E$1:E2949))))))</f>
        <v> </v>
      </c>
      <c r="K2950" s="26" t="str">
        <f>IF(OR(E2950="",E2950="!!!",F2950="NEW"),"",INDEX(J$1:J2949,SUMPRODUCT(MAX(ROW(E$1:E2949)*(E2950=E$1:E2949)))))</f>
        <v> </v>
      </c>
      <c r="L2950" s="27"/>
    </row>
    <row r="2951" spans="1:12">
      <c r="A2951" s="20" t="s">
        <v>1083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2265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1249</v>
      </c>
      <c r="B2953" s="21" t="s">
        <v>1199</v>
      </c>
      <c r="C2953" s="21" t="s">
        <v>1081</v>
      </c>
      <c r="D2953" s="21" t="s">
        <v>1074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2266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1106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/>
    </row>
    <row r="2957" spans="1:12">
      <c r="A2957" s="20" t="s">
        <v>2267</v>
      </c>
    </row>
    <row r="2958" spans="1:12">
      <c r="A2958" s="20" t="s">
        <v>1604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1238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2268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1083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2269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1106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/>
    </row>
    <row r="2965" spans="1:12">
      <c r="A2965" s="20" t="s">
        <v>2270</v>
      </c>
    </row>
    <row r="2966" spans="1:12">
      <c r="A2966" s="20" t="s">
        <v>1108</v>
      </c>
      <c r="B2966" s="21" t="s">
        <v>1109</v>
      </c>
      <c r="C2966" s="21" t="s">
        <v>1081</v>
      </c>
      <c r="D2966" s="21" t="s">
        <v>1074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1685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2271</v>
      </c>
      <c r="B2968" s="21" t="s">
        <v>1227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1085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1210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2272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2273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2274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1447</v>
      </c>
      <c r="B2974" s="21" t="s">
        <v>1119</v>
      </c>
      <c r="C2974" s="21" t="s">
        <v>1462</v>
      </c>
      <c r="D2974" s="21" t="s">
        <v>1074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2275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1085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1083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1414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2276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1238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2277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2278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2279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2280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1106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/>
    </row>
    <row r="2987" spans="1:12">
      <c r="A2987" s="20" t="s">
        <v>1510</v>
      </c>
    </row>
    <row r="2988" spans="1:12">
      <c r="A2988" s="20" t="s">
        <v>1132</v>
      </c>
      <c r="B2988" s="21" t="s">
        <v>1072</v>
      </c>
      <c r="C2988" s="21" t="s">
        <v>1073</v>
      </c>
      <c r="D2988" s="21" t="s">
        <v>1074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1076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/>
    </row>
    <row r="2991" spans="1:12">
      <c r="A2991" s="20" t="s">
        <v>2281</v>
      </c>
    </row>
    <row r="2992" spans="1:12">
      <c r="A2992" s="20" t="s">
        <v>1175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1360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 t="s">
        <v>2282</v>
      </c>
      <c r="E2994" s="22">
        <f>IF(D2994="?OLD","!!!","")</f>
        <v/>
      </c>
      <c r="F2994" s="23" t="str">
        <f>IF(OR(E2994="",E2994="!!!"),"",IF(NOT(ISNA(VLOOKUP(E2994,E$1:E2993,1,FALSE()))),"OLD",IF(AND(E2994&lt;&gt;"",E2994&lt;&gt;"!!!"),"NEW","")))</f>
        <v> </v>
      </c>
      <c r="G2994" s="24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5" t="str">
        <f>IF(J2994&lt;&gt;1,"",IF(I2994="SBJ","CB","?"))</f>
        <v> </v>
      </c>
      <c r="I2994" s="26" t="str">
        <f>IF(OR(E2994="",E2994="!!!",F2994="NEW"),"",INDEX(B2993:B$2,-1+SUMPRODUCT(MAX(ROW(E2993:E$2)*(E2994=E2993:E$2)))))</f>
        <v> </v>
      </c>
      <c r="J2994" s="26" t="str">
        <f>IF(OR(E2994="",E2994="!!!",F2994="NEW"),"",COUNTBLANK(OFFSET(A$1,,,SUMPRODUCT(MAX(ROW(E$2:E2994)*(E2994=E$2:E2994)))))-COUNTBLANK(OFFSET(A$1,,,SUMPRODUCT(MAX(ROW(E$1:E2993)*(E2=E$1:E2993))))))</f>
        <v> </v>
      </c>
      <c r="K2994" s="26" t="str">
        <f>IF(OR(E2994="",E2994="!!!",F2994="NEW"),"",INDEX(J$1:J2993,SUMPRODUCT(MAX(ROW(E$1:E2993)*(E2994=E$1:E2993)))))</f>
        <v> </v>
      </c>
      <c r="L2994" s="27"/>
    </row>
    <row r="2995" spans="1:12">
      <c r="A2995" s="20" t="s">
        <v>139</v>
      </c>
      <c r="B2995" s="21" t="s">
        <v>1109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 t="s">
        <v>2283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2284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1106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/>
    </row>
    <row r="3000" spans="1:12">
      <c r="A3000" s="20" t="s">
        <v>1613</v>
      </c>
    </row>
    <row r="3001" spans="1:12">
      <c r="A3001" s="20" t="s">
        <v>661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1076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1614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1106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/>
    </row>
    <row r="3006" spans="1:12">
      <c r="A3006" s="20" t="s">
        <v>2285</v>
      </c>
    </row>
    <row r="3007" spans="1:12">
      <c r="A3007" s="20" t="s">
        <v>2286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75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1105</v>
      </c>
      <c r="B3009" s="21" t="s">
        <v>1072</v>
      </c>
      <c r="C3009" s="21" t="s">
        <v>1103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1168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 t="s">
        <v>1118</v>
      </c>
      <c r="B3011" s="21" t="s">
        <v>1109</v>
      </c>
      <c r="C3011" s="21" t="s">
        <v>1081</v>
      </c>
      <c r="D3011" s="21" t="s">
        <v>1074</v>
      </c>
      <c r="E3011" s="22">
        <f>IF(D3011="?OLD","!!!","")</f>
        <v/>
      </c>
      <c r="F3011" s="23" t="str">
        <f>IF(OR(E3011="",E3011="!!!"),"",IF(NOT(ISNA(VLOOKUP(E3011,E$1:E3010,1,FALSE()))),"OLD",IF(AND(E3011&lt;&gt;"",E3011&lt;&gt;"!!!"),"NEW","")))</f>
        <v> </v>
      </c>
      <c r="G3011" s="24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5" t="str">
        <f>IF(J3011&lt;&gt;1,"",IF(I3011="SBJ","CB","?"))</f>
        <v> </v>
      </c>
      <c r="I3011" s="26" t="str">
        <f>IF(OR(E3011="",E3011="!!!",F3011="NEW"),"",INDEX(B3010:B$2,-1+SUMPRODUCT(MAX(ROW(E3010:E$2)*(E3011=E3010:E$2)))))</f>
        <v> </v>
      </c>
      <c r="J3011" s="26" t="str">
        <f>IF(OR(E3011="",E3011="!!!",F3011="NEW"),"",COUNTBLANK(OFFSET(A$1,,,SUMPRODUCT(MAX(ROW(E$2:E3011)*(E3011=E$2:E3011)))))-COUNTBLANK(OFFSET(A$1,,,SUMPRODUCT(MAX(ROW(E$1:E3010)*(E2=E$1:E3010))))))</f>
        <v> </v>
      </c>
      <c r="K3011" s="26" t="str">
        <f>IF(OR(E3011="",E3011="!!!",F3011="NEW"),"",INDEX(J$1:J3010,SUMPRODUCT(MAX(ROW(E$1:E3010)*(E3011=E$1:E3010)))))</f>
        <v> </v>
      </c>
      <c r="L3011" s="27"/>
    </row>
    <row r="3012" spans="1:12">
      <c r="A3012" s="20" t="s">
        <v>2229</v>
      </c>
      <c r="E3012" s="22">
        <f>IF(D3012="?OLD","!!!","")</f>
        <v/>
      </c>
      <c r="F3012" s="23" t="str">
        <f>IF(OR(E3012="",E3012="!!!"),"",IF(NOT(ISNA(VLOOKUP(E3012,E$1:E3011,1,FALSE()))),"OLD",IF(AND(E3012&lt;&gt;"",E3012&lt;&gt;"!!!"),"NEW","")))</f>
        <v> </v>
      </c>
      <c r="G3012" s="24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5" t="str">
        <f>IF(J3012&lt;&gt;1,"",IF(I3012="SBJ","CB","?"))</f>
        <v> </v>
      </c>
      <c r="I3012" s="26" t="str">
        <f>IF(OR(E3012="",E3012="!!!",F3012="NEW"),"",INDEX(B3011:B$2,-1+SUMPRODUCT(MAX(ROW(E3011:E$2)*(E3012=E3011:E$2)))))</f>
        <v> </v>
      </c>
      <c r="J3012" s="26" t="str">
        <f>IF(OR(E3012="",E3012="!!!",F3012="NEW"),"",COUNTBLANK(OFFSET(A$1,,,SUMPRODUCT(MAX(ROW(E$2:E3012)*(E3012=E$2:E3012)))))-COUNTBLANK(OFFSET(A$1,,,SUMPRODUCT(MAX(ROW(E$1:E3011)*(E2=E$1:E3011))))))</f>
        <v> </v>
      </c>
      <c r="K3012" s="26" t="str">
        <f>IF(OR(E3012="",E3012="!!!",F3012="NEW"),"",INDEX(J$1:J3011,SUMPRODUCT(MAX(ROW(E$1:E3011)*(E3012=E$1:E3011)))))</f>
        <v> </v>
      </c>
      <c r="L3012" s="27"/>
    </row>
    <row r="3013" spans="1:12">
      <c r="A3013" s="20" t="s">
        <v>1138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2287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1085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2288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1187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1471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2289</v>
      </c>
      <c r="B3019" s="21" t="s">
        <v>1137</v>
      </c>
      <c r="C3019" s="21" t="s">
        <v>1154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1085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1083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1588</v>
      </c>
      <c r="B3022" s="21" t="s">
        <v>1180</v>
      </c>
      <c r="C3022" s="21" t="s">
        <v>1081</v>
      </c>
      <c r="D3022" s="21" t="s">
        <v>1074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1321</v>
      </c>
      <c r="B3023" s="21" t="s">
        <v>1077</v>
      </c>
      <c r="C3023" s="21" t="s">
        <v>1154</v>
      </c>
      <c r="D3023" s="21" t="s">
        <v>1074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2290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1106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/>
    </row>
    <row r="3027" spans="1:12">
      <c r="A3027" s="20" t="s">
        <v>2291</v>
      </c>
    </row>
    <row r="3028" spans="1:12">
      <c r="A3028" s="20" t="s">
        <v>2292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1191</v>
      </c>
      <c r="B3029" s="21" t="s">
        <v>1109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1846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1085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1736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1179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2293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1272</v>
      </c>
      <c r="B3035" s="21" t="s">
        <v>1077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2294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1098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 t="s">
        <v>1738</v>
      </c>
      <c r="E3038" s="22">
        <f>IF(D3038="?OLD","!!!","")</f>
        <v/>
      </c>
      <c r="F3038" s="23" t="str">
        <f>IF(OR(E3038="",E3038="!!!"),"",IF(NOT(ISNA(VLOOKUP(E3038,E$1:E3037,1,FALSE()))),"OLD",IF(AND(E3038&lt;&gt;"",E3038&lt;&gt;"!!!"),"NEW","")))</f>
        <v> </v>
      </c>
      <c r="G3038" s="24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5" t="str">
        <f>IF(J3038&lt;&gt;1,"",IF(I3038="SBJ","CB","?"))</f>
        <v> </v>
      </c>
      <c r="I3038" s="26" t="str">
        <f>IF(OR(E3038="",E3038="!!!",F3038="NEW"),"",INDEX(B3037:B$2,-1+SUMPRODUCT(MAX(ROW(E3037:E$2)*(E3038=E3037:E$2)))))</f>
        <v> </v>
      </c>
      <c r="J3038" s="26" t="str">
        <f>IF(OR(E3038="",E3038="!!!",F3038="NEW"),"",COUNTBLANK(OFFSET(A$1,,,SUMPRODUCT(MAX(ROW(E$2:E3038)*(E3038=E$2:E3038)))))-COUNTBLANK(OFFSET(A$1,,,SUMPRODUCT(MAX(ROW(E$1:E3037)*(E2=E$1:E3037))))))</f>
        <v> </v>
      </c>
      <c r="K3038" s="26" t="str">
        <f>IF(OR(E3038="",E3038="!!!",F3038="NEW"),"",INDEX(J$1:J3037,SUMPRODUCT(MAX(ROW(E$1:E3037)*(E3038=E$1:E3037)))))</f>
        <v> </v>
      </c>
      <c r="L3038" s="27"/>
    </row>
    <row r="3039" spans="1:12">
      <c r="A3039" s="20" t="s">
        <v>1085</v>
      </c>
      <c r="E3039" s="22">
        <f>IF(D3039="?OLD","!!!","")</f>
        <v/>
      </c>
      <c r="F3039" s="23" t="str">
        <f>IF(OR(E3039="",E3039="!!!"),"",IF(NOT(ISNA(VLOOKUP(E3039,E$1:E3038,1,FALSE()))),"OLD",IF(AND(E3039&lt;&gt;"",E3039&lt;&gt;"!!!"),"NEW","")))</f>
        <v> </v>
      </c>
      <c r="G3039" s="24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5" t="str">
        <f>IF(J3039&lt;&gt;1,"",IF(I3039="SBJ","CB","?"))</f>
        <v> </v>
      </c>
      <c r="I3039" s="26" t="str">
        <f>IF(OR(E3039="",E3039="!!!",F3039="NEW"),"",INDEX(B3038:B$2,-1+SUMPRODUCT(MAX(ROW(E3038:E$2)*(E3039=E3038:E$2)))))</f>
        <v> </v>
      </c>
      <c r="J3039" s="26" t="str">
        <f>IF(OR(E3039="",E3039="!!!",F3039="NEW"),"",COUNTBLANK(OFFSET(A$1,,,SUMPRODUCT(MAX(ROW(E$2:E3039)*(E3039=E$2:E3039)))))-COUNTBLANK(OFFSET(A$1,,,SUMPRODUCT(MAX(ROW(E$1:E3038)*(E2=E$1:E3038))))))</f>
        <v> </v>
      </c>
      <c r="K3039" s="26" t="str">
        <f>IF(OR(E3039="",E3039="!!!",F3039="NEW"),"",INDEX(J$1:J3038,SUMPRODUCT(MAX(ROW(E$1:E3038)*(E3039=E$1:E3038)))))</f>
        <v> </v>
      </c>
      <c r="L3039" s="27"/>
    </row>
    <row r="3040" spans="1:12">
      <c r="A3040" s="20" t="s">
        <v>1258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2">
      <c r="A3041" s="20" t="s">
        <v>1118</v>
      </c>
      <c r="B3041" s="21" t="s">
        <v>1077</v>
      </c>
      <c r="C3041" s="21" t="s">
        <v>1081</v>
      </c>
      <c r="D3041" s="21" t="s">
        <v>1074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2295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1085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1086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1251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1249</v>
      </c>
      <c r="B3046" s="21" t="s">
        <v>1115</v>
      </c>
      <c r="C3046" s="21" t="s">
        <v>1095</v>
      </c>
      <c r="D3046" s="21" t="s">
        <v>1074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2296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1599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1241</v>
      </c>
      <c r="B3049" s="21" t="s">
        <v>1137</v>
      </c>
      <c r="C3049" s="21" t="s">
        <v>1081</v>
      </c>
      <c r="D3049" s="21" t="s">
        <v>1074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1600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 t="s">
        <v>1561</v>
      </c>
      <c r="B3051" s="21" t="s">
        <v>1119</v>
      </c>
      <c r="E3051" s="22">
        <f>IF(D3051="?OLD","!!!","")</f>
        <v/>
      </c>
      <c r="F3051" s="23" t="str">
        <f>IF(OR(E3051="",E3051="!!!"),"",IF(NOT(ISNA(VLOOKUP(E3051,E$1:E3050,1,FALSE()))),"OLD",IF(AND(E3051&lt;&gt;"",E3051&lt;&gt;"!!!"),"NEW","")))</f>
        <v> </v>
      </c>
      <c r="G3051" s="24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5" t="str">
        <f>IF(J3051&lt;&gt;1,"",IF(I3051="SBJ","CB","?"))</f>
        <v> </v>
      </c>
      <c r="I3051" s="26" t="str">
        <f>IF(OR(E3051="",E3051="!!!",F3051="NEW"),"",INDEX(B3050:B$2,-1+SUMPRODUCT(MAX(ROW(E3050:E$2)*(E3051=E3050:E$2)))))</f>
        <v> </v>
      </c>
      <c r="J3051" s="26" t="str">
        <f>IF(OR(E3051="",E3051="!!!",F3051="NEW"),"",COUNTBLANK(OFFSET(A$1,,,SUMPRODUCT(MAX(ROW(E$2:E3051)*(E3051=E$2:E3051)))))-COUNTBLANK(OFFSET(A$1,,,SUMPRODUCT(MAX(ROW(E$1:E3050)*(E2=E$1:E3050))))))</f>
        <v> </v>
      </c>
      <c r="K3051" s="26" t="str">
        <f>IF(OR(E3051="",E3051="!!!",F3051="NEW"),"",INDEX(J$1:J3050,SUMPRODUCT(MAX(ROW(E$1:E3050)*(E3051=E$1:E3050)))))</f>
        <v> </v>
      </c>
      <c r="L3051" s="27"/>
    </row>
    <row r="3052" spans="1:12">
      <c r="A3052" s="20" t="s">
        <v>1372</v>
      </c>
      <c r="E3052" s="22">
        <f>IF(D3052="?OLD","!!!","")</f>
        <v/>
      </c>
      <c r="F3052" s="23" t="str">
        <f>IF(OR(E3052="",E3052="!!!"),"",IF(NOT(ISNA(VLOOKUP(E3052,E$1:E3051,1,FALSE()))),"OLD",IF(AND(E3052&lt;&gt;"",E3052&lt;&gt;"!!!"),"NEW","")))</f>
        <v> </v>
      </c>
      <c r="G3052" s="24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5" t="str">
        <f>IF(J3052&lt;&gt;1,"",IF(I3052="SBJ","CB","?"))</f>
        <v> </v>
      </c>
      <c r="I3052" s="26" t="str">
        <f>IF(OR(E3052="",E3052="!!!",F3052="NEW"),"",INDEX(B3051:B$2,-1+SUMPRODUCT(MAX(ROW(E3051:E$2)*(E3052=E3051:E$2)))))</f>
        <v> </v>
      </c>
      <c r="J3052" s="26" t="str">
        <f>IF(OR(E3052="",E3052="!!!",F3052="NEW"),"",COUNTBLANK(OFFSET(A$1,,,SUMPRODUCT(MAX(ROW(E$2:E3052)*(E3052=E$2:E3052)))))-COUNTBLANK(OFFSET(A$1,,,SUMPRODUCT(MAX(ROW(E$1:E3051)*(E2=E$1:E3051))))))</f>
        <v> </v>
      </c>
      <c r="K3052" s="26" t="str">
        <f>IF(OR(E3052="",E3052="!!!",F3052="NEW"),"",INDEX(J$1:J3051,SUMPRODUCT(MAX(ROW(E$1:E3051)*(E3052=E$1:E3051)))))</f>
        <v> </v>
      </c>
      <c r="L3052" s="27"/>
    </row>
    <row r="3053" spans="1:12">
      <c r="A3053" s="20" t="s">
        <v>1196</v>
      </c>
      <c r="B3053" s="21" t="s">
        <v>1293</v>
      </c>
      <c r="C3053" s="21" t="s">
        <v>1095</v>
      </c>
      <c r="D3053" s="21" t="s">
        <v>1074</v>
      </c>
      <c r="E3053" s="22">
        <f>IF(D3053="?OLD","!!!","")</f>
        <v/>
      </c>
      <c r="F3053" s="23" t="str">
        <f>IF(OR(E3053="",E3053="!!!"),"",IF(NOT(ISNA(VLOOKUP(E3053,E$1:E3052,1,FALSE()))),"OLD",IF(AND(E3053&lt;&gt;"",E3053&lt;&gt;"!!!"),"NEW","")))</f>
        <v> </v>
      </c>
      <c r="G3053" s="24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5" t="str">
        <f>IF(J3053&lt;&gt;1,"",IF(I3053="SBJ","CB","?"))</f>
        <v> </v>
      </c>
      <c r="I3053" s="26" t="str">
        <f>IF(OR(E3053="",E3053="!!!",F3053="NEW"),"",INDEX(B3052:B$2,-1+SUMPRODUCT(MAX(ROW(E3052:E$2)*(E3053=E3052:E$2)))))</f>
        <v> </v>
      </c>
      <c r="J3053" s="26" t="str">
        <f>IF(OR(E3053="",E3053="!!!",F3053="NEW"),"",COUNTBLANK(OFFSET(A$1,,,SUMPRODUCT(MAX(ROW(E$2:E3053)*(E3053=E$2:E3053)))))-COUNTBLANK(OFFSET(A$1,,,SUMPRODUCT(MAX(ROW(E$1:E3052)*(E2=E$1:E3052))))))</f>
        <v> </v>
      </c>
      <c r="K3053" s="26" t="str">
        <f>IF(OR(E3053="",E3053="!!!",F3053="NEW"),"",INDEX(J$1:J3052,SUMPRODUCT(MAX(ROW(E$1:E3052)*(E3053=E$1:E3052)))))</f>
        <v> </v>
      </c>
      <c r="L3053" s="27"/>
    </row>
    <row r="3054" spans="1:12">
      <c r="A3054" s="20" t="s">
        <v>1961</v>
      </c>
      <c r="B3054" s="21" t="s">
        <v>1161</v>
      </c>
      <c r="E3054" s="22">
        <f>IF(D3054="?OLD","!!!","")</f>
        <v/>
      </c>
      <c r="F3054" s="23" t="str">
        <f>IF(OR(E3054="",E3054="!!!"),"",IF(NOT(ISNA(VLOOKUP(E3054,E$1:E3053,1,FALSE()))),"OLD",IF(AND(E3054&lt;&gt;"",E3054&lt;&gt;"!!!"),"NEW","")))</f>
        <v> </v>
      </c>
      <c r="G3054" s="24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5" t="str">
        <f>IF(J3054&lt;&gt;1,"",IF(I3054="SBJ","CB","?"))</f>
        <v> </v>
      </c>
      <c r="I3054" s="26" t="str">
        <f>IF(OR(E3054="",E3054="!!!",F3054="NEW"),"",INDEX(B3053:B$2,-1+SUMPRODUCT(MAX(ROW(E3053:E$2)*(E3054=E3053:E$2)))))</f>
        <v> </v>
      </c>
      <c r="J3054" s="26" t="str">
        <f>IF(OR(E3054="",E3054="!!!",F3054="NEW"),"",COUNTBLANK(OFFSET(A$1,,,SUMPRODUCT(MAX(ROW(E$2:E3054)*(E3054=E$2:E3054)))))-COUNTBLANK(OFFSET(A$1,,,SUMPRODUCT(MAX(ROW(E$1:E3053)*(E2=E$1:E3053))))))</f>
        <v> </v>
      </c>
      <c r="K3054" s="26" t="str">
        <f>IF(OR(E3054="",E3054="!!!",F3054="NEW"),"",INDEX(J$1:J3053,SUMPRODUCT(MAX(ROW(E$1:E3053)*(E3054=E$1:E3053)))))</f>
        <v> </v>
      </c>
      <c r="L3054" s="27"/>
    </row>
    <row r="3055" spans="1:12">
      <c r="A3055" s="20" t="s">
        <v>1106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/>
    </row>
    <row r="3057" spans="1:12">
      <c r="A3057" s="20" t="s">
        <v>2297</v>
      </c>
    </row>
    <row r="3058" spans="1:12">
      <c r="A3058" s="20" t="s">
        <v>2298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2199</v>
      </c>
      <c r="B3059" s="21" t="s">
        <v>1072</v>
      </c>
      <c r="C3059" s="21" t="s">
        <v>1103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 t="s">
        <v>2299</v>
      </c>
      <c r="B3060" s="21" t="s">
        <v>1109</v>
      </c>
      <c r="E3060" s="22">
        <f>IF(D3060="?OLD","!!!","")</f>
        <v/>
      </c>
      <c r="F3060" s="23" t="str">
        <f>IF(OR(E3060="",E3060="!!!"),"",IF(NOT(ISNA(VLOOKUP(E3060,E$1:E3059,1,FALSE()))),"OLD",IF(AND(E3060&lt;&gt;"",E3060&lt;&gt;"!!!"),"NEW","")))</f>
        <v> </v>
      </c>
      <c r="G3060" s="24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5" t="str">
        <f>IF(J3060&lt;&gt;1,"",IF(I3060="SBJ","CB","?"))</f>
        <v> </v>
      </c>
      <c r="I3060" s="26" t="str">
        <f>IF(OR(E3060="",E3060="!!!",F3060="NEW"),"",INDEX(B3059:B$2,-1+SUMPRODUCT(MAX(ROW(E3059:E$2)*(E3060=E3059:E$2)))))</f>
        <v> </v>
      </c>
      <c r="J3060" s="26" t="str">
        <f>IF(OR(E3060="",E3060="!!!",F3060="NEW"),"",COUNTBLANK(OFFSET(A$1,,,SUMPRODUCT(MAX(ROW(E$2:E3060)*(E3060=E$2:E3060)))))-COUNTBLANK(OFFSET(A$1,,,SUMPRODUCT(MAX(ROW(E$1:E3059)*(E2=E$1:E3059))))))</f>
        <v> </v>
      </c>
      <c r="K3060" s="26" t="str">
        <f>IF(OR(E3060="",E3060="!!!",F3060="NEW"),"",INDEX(J$1:J3059,SUMPRODUCT(MAX(ROW(E$1:E3059)*(E3060=E$1:E3059)))))</f>
        <v> </v>
      </c>
      <c r="L3060" s="27"/>
    </row>
    <row r="3061" spans="1:12">
      <c r="A3061" s="20" t="s">
        <v>2300</v>
      </c>
      <c r="E3061" s="22">
        <f>IF(D3061="?OLD","!!!","")</f>
        <v/>
      </c>
      <c r="F3061" s="23" t="str">
        <f>IF(OR(E3061="",E3061="!!!"),"",IF(NOT(ISNA(VLOOKUP(E3061,E$1:E3060,1,FALSE()))),"OLD",IF(AND(E3061&lt;&gt;"",E3061&lt;&gt;"!!!"),"NEW","")))</f>
        <v> </v>
      </c>
      <c r="G3061" s="24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5" t="str">
        <f>IF(J3061&lt;&gt;1,"",IF(I3061="SBJ","CB","?"))</f>
        <v> </v>
      </c>
      <c r="I3061" s="26" t="str">
        <f>IF(OR(E3061="",E3061="!!!",F3061="NEW"),"",INDEX(B3060:B$2,-1+SUMPRODUCT(MAX(ROW(E3060:E$2)*(E3061=E3060:E$2)))))</f>
        <v> </v>
      </c>
      <c r="J3061" s="26" t="str">
        <f>IF(OR(E3061="",E3061="!!!",F3061="NEW"),"",COUNTBLANK(OFFSET(A$1,,,SUMPRODUCT(MAX(ROW(E$2:E3061)*(E3061=E$2:E3061)))))-COUNTBLANK(OFFSET(A$1,,,SUMPRODUCT(MAX(ROW(E$1:E3060)*(E2=E$1:E3060))))))</f>
        <v> </v>
      </c>
      <c r="K3061" s="26" t="str">
        <f>IF(OR(E3061="",E3061="!!!",F3061="NEW"),"",INDEX(J$1:J3060,SUMPRODUCT(MAX(ROW(E$1:E3060)*(E3061=E$1:E3060)))))</f>
        <v> </v>
      </c>
      <c r="L3061" s="27"/>
    </row>
    <row r="3062" spans="1:12">
      <c r="A3062" s="20" t="s">
        <v>1126</v>
      </c>
      <c r="E3062" s="22">
        <f>IF(D3062="?OLD","!!!","")</f>
        <v/>
      </c>
      <c r="F3062" s="23" t="str">
        <f>IF(OR(E3062="",E3062="!!!"),"",IF(NOT(ISNA(VLOOKUP(E3062,E$1:E3061,1,FALSE()))),"OLD",IF(AND(E3062&lt;&gt;"",E3062&lt;&gt;"!!!"),"NEW","")))</f>
        <v> </v>
      </c>
      <c r="G3062" s="24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5" t="str">
        <f>IF(J3062&lt;&gt;1,"",IF(I3062="SBJ","CB","?"))</f>
        <v> </v>
      </c>
      <c r="I3062" s="26" t="str">
        <f>IF(OR(E3062="",E3062="!!!",F3062="NEW"),"",INDEX(B3061:B$2,-1+SUMPRODUCT(MAX(ROW(E3061:E$2)*(E3062=E3061:E$2)))))</f>
        <v> </v>
      </c>
      <c r="J3062" s="26" t="str">
        <f>IF(OR(E3062="",E3062="!!!",F3062="NEW"),"",COUNTBLANK(OFFSET(A$1,,,SUMPRODUCT(MAX(ROW(E$2:E3062)*(E3062=E$2:E3062)))))-COUNTBLANK(OFFSET(A$1,,,SUMPRODUCT(MAX(ROW(E$1:E3061)*(E2=E$1:E3061))))))</f>
        <v> </v>
      </c>
      <c r="K3062" s="26" t="str">
        <f>IF(OR(E3062="",E3062="!!!",F3062="NEW"),"",INDEX(J$1:J3061,SUMPRODUCT(MAX(ROW(E$1:E3061)*(E3062=E$1:E3061)))))</f>
        <v> </v>
      </c>
      <c r="L3062" s="27"/>
    </row>
    <row r="3063" spans="1:12">
      <c r="A3063" s="20" t="s">
        <v>84</v>
      </c>
      <c r="E3063" s="22">
        <f>IF(D3063="?OLD","!!!","")</f>
        <v/>
      </c>
      <c r="F3063" s="23" t="str">
        <f>IF(OR(E3063="",E3063="!!!"),"",IF(NOT(ISNA(VLOOKUP(E3063,E$1:E3062,1,FALSE()))),"OLD",IF(AND(E3063&lt;&gt;"",E3063&lt;&gt;"!!!"),"NEW","")))</f>
        <v> </v>
      </c>
      <c r="G3063" s="24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5" t="str">
        <f>IF(J3063&lt;&gt;1,"",IF(I3063="SBJ","CB","?"))</f>
        <v> </v>
      </c>
      <c r="I3063" s="26" t="str">
        <f>IF(OR(E3063="",E3063="!!!",F3063="NEW"),"",INDEX(B3062:B$2,-1+SUMPRODUCT(MAX(ROW(E3062:E$2)*(E3063=E3062:E$2)))))</f>
        <v> </v>
      </c>
      <c r="J3063" s="26" t="str">
        <f>IF(OR(E3063="",E3063="!!!",F3063="NEW"),"",COUNTBLANK(OFFSET(A$1,,,SUMPRODUCT(MAX(ROW(E$2:E3063)*(E3063=E$2:E3063)))))-COUNTBLANK(OFFSET(A$1,,,SUMPRODUCT(MAX(ROW(E$1:E3062)*(E2=E$1:E3062))))))</f>
        <v> </v>
      </c>
      <c r="K3063" s="26" t="str">
        <f>IF(OR(E3063="",E3063="!!!",F3063="NEW"),"",INDEX(J$1:J3062,SUMPRODUCT(MAX(ROW(E$1:E3062)*(E3063=E$1:E3062)))))</f>
        <v> </v>
      </c>
      <c r="L3063" s="27"/>
    </row>
    <row r="3064" spans="1:12">
      <c r="A3064" s="20" t="s">
        <v>2301</v>
      </c>
      <c r="B3064" s="21" t="s">
        <v>1072</v>
      </c>
      <c r="C3064" s="21" t="s">
        <v>1103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949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1106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/>
    </row>
    <row r="3068" spans="1:12">
      <c r="A3068" s="20" t="s">
        <v>2302</v>
      </c>
    </row>
    <row r="3069" spans="1:12">
      <c r="A3069" s="20" t="s">
        <v>1375</v>
      </c>
      <c r="B3069" s="21" t="s">
        <v>1109</v>
      </c>
      <c r="C3069" s="21" t="s">
        <v>1154</v>
      </c>
      <c r="D3069" s="21" t="s">
        <v>1074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2303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2304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742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2305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2306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1789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2307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138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1105</v>
      </c>
      <c r="B3078" s="21" t="s">
        <v>1115</v>
      </c>
      <c r="C3078" s="21" t="s">
        <v>1103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1098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2308</v>
      </c>
      <c r="B3080" s="21" t="s">
        <v>1140</v>
      </c>
      <c r="C3080" s="21" t="s">
        <v>1073</v>
      </c>
      <c r="D3080" s="21" t="s">
        <v>1074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1106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/>
    </row>
    <row r="3083" spans="1:12">
      <c r="A3083" s="20" t="s">
        <v>2309</v>
      </c>
    </row>
    <row r="3084" spans="1:12">
      <c r="A3084" s="20" t="s">
        <v>1132</v>
      </c>
      <c r="B3084" s="21" t="s">
        <v>1072</v>
      </c>
      <c r="C3084" s="21" t="s">
        <v>1073</v>
      </c>
      <c r="D3084" s="21" t="s">
        <v>1074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 t="s">
        <v>1076</v>
      </c>
      <c r="E3085" s="22">
        <f>IF(D3085="?OLD","!!!","")</f>
        <v/>
      </c>
      <c r="F3085" s="23" t="str">
        <f>IF(OR(E3085="",E3085="!!!"),"",IF(NOT(ISNA(VLOOKUP(E3085,E$1:E3084,1,FALSE()))),"OLD",IF(AND(E3085&lt;&gt;"",E3085&lt;&gt;"!!!"),"NEW","")))</f>
        <v> </v>
      </c>
      <c r="G3085" s="24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5" t="str">
        <f>IF(J3085&lt;&gt;1,"",IF(I3085="SBJ","CB","?"))</f>
        <v> </v>
      </c>
      <c r="I3085" s="26" t="str">
        <f>IF(OR(E3085="",E3085="!!!",F3085="NEW"),"",INDEX(B3084:B$2,-1+SUMPRODUCT(MAX(ROW(E3084:E$2)*(E3085=E3084:E$2)))))</f>
        <v> </v>
      </c>
      <c r="J3085" s="26" t="str">
        <f>IF(OR(E3085="",E3085="!!!",F3085="NEW"),"",COUNTBLANK(OFFSET(A$1,,,SUMPRODUCT(MAX(ROW(E$2:E3085)*(E3085=E$2:E3085)))))-COUNTBLANK(OFFSET(A$1,,,SUMPRODUCT(MAX(ROW(E$1:E3084)*(E2=E$1:E3084))))))</f>
        <v> </v>
      </c>
      <c r="K3085" s="26" t="str">
        <f>IF(OR(E3085="",E3085="!!!",F3085="NEW"),"",INDEX(J$1:J3084,SUMPRODUCT(MAX(ROW(E$1:E3084)*(E3085=E$1:E3084)))))</f>
        <v> </v>
      </c>
      <c r="L3085" s="27"/>
    </row>
    <row r="3086" spans="1:12">
      <c r="A3086" s="20" t="s">
        <v>1841</v>
      </c>
      <c r="B3086" s="21" t="s">
        <v>1077</v>
      </c>
      <c r="C3086" s="21" t="s">
        <v>1081</v>
      </c>
      <c r="D3086" s="21" t="s">
        <v>1074</v>
      </c>
      <c r="E3086" s="22">
        <f>IF(D3086="?OLD","!!!","")</f>
        <v/>
      </c>
      <c r="F3086" s="23" t="str">
        <f>IF(OR(E3086="",E3086="!!!"),"",IF(NOT(ISNA(VLOOKUP(E3086,E$1:E3085,1,FALSE()))),"OLD",IF(AND(E3086&lt;&gt;"",E3086&lt;&gt;"!!!"),"NEW","")))</f>
        <v> </v>
      </c>
      <c r="G3086" s="24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5" t="str">
        <f>IF(J3086&lt;&gt;1,"",IF(I3086="SBJ","CB","?"))</f>
        <v> </v>
      </c>
      <c r="I3086" s="26" t="str">
        <f>IF(OR(E3086="",E3086="!!!",F3086="NEW"),"",INDEX(B3085:B$2,-1+SUMPRODUCT(MAX(ROW(E3085:E$2)*(E3086=E3085:E$2)))))</f>
        <v> </v>
      </c>
      <c r="J3086" s="26" t="str">
        <f>IF(OR(E3086="",E3086="!!!",F3086="NEW"),"",COUNTBLANK(OFFSET(A$1,,,SUMPRODUCT(MAX(ROW(E$2:E3086)*(E3086=E$2:E3086)))))-COUNTBLANK(OFFSET(A$1,,,SUMPRODUCT(MAX(ROW(E$1:E3085)*(E2=E$1:E3085))))))</f>
        <v> </v>
      </c>
      <c r="K3086" s="26" t="str">
        <f>IF(OR(E3086="",E3086="!!!",F3086="NEW"),"",INDEX(J$1:J3085,SUMPRODUCT(MAX(ROW(E$1:E3085)*(E3086=E$1:E3085)))))</f>
        <v> </v>
      </c>
      <c r="L3086" s="27"/>
    </row>
    <row r="3087" spans="1:12">
      <c r="A3087" s="20" t="s">
        <v>2310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 t="s">
        <v>1138</v>
      </c>
      <c r="E3088" s="22">
        <f>IF(D3088="?OLD","!!!","")</f>
        <v/>
      </c>
      <c r="F3088" s="23" t="str">
        <f>IF(OR(E3088="",E3088="!!!"),"",IF(NOT(ISNA(VLOOKUP(E3088,E$1:E3087,1,FALSE()))),"OLD",IF(AND(E3088&lt;&gt;"",E3088&lt;&gt;"!!!"),"NEW","")))</f>
        <v> </v>
      </c>
      <c r="G3088" s="24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5" t="str">
        <f>IF(J3088&lt;&gt;1,"",IF(I3088="SBJ","CB","?"))</f>
        <v> </v>
      </c>
      <c r="I3088" s="26" t="str">
        <f>IF(OR(E3088="",E3088="!!!",F3088="NEW"),"",INDEX(B3087:B$2,-1+SUMPRODUCT(MAX(ROW(E3087:E$2)*(E3088=E3087:E$2)))))</f>
        <v> </v>
      </c>
      <c r="J3088" s="26" t="str">
        <f>IF(OR(E3088="",E3088="!!!",F3088="NEW"),"",COUNTBLANK(OFFSET(A$1,,,SUMPRODUCT(MAX(ROW(E$2:E3088)*(E3088=E$2:E3088)))))-COUNTBLANK(OFFSET(A$1,,,SUMPRODUCT(MAX(ROW(E$1:E3087)*(E2=E$1:E3087))))))</f>
        <v> </v>
      </c>
      <c r="K3088" s="26" t="str">
        <f>IF(OR(E3088="",E3088="!!!",F3088="NEW"),"",INDEX(J$1:J3087,SUMPRODUCT(MAX(ROW(E$1:E3087)*(E3088=E$1:E3087)))))</f>
        <v> </v>
      </c>
      <c r="L3088" s="27"/>
    </row>
    <row r="3089" spans="1:12">
      <c r="A3089" s="20" t="s">
        <v>2311</v>
      </c>
      <c r="E3089" s="22">
        <f>IF(D3089="?OLD","!!!","")</f>
        <v/>
      </c>
      <c r="F3089" s="23" t="str">
        <f>IF(OR(E3089="",E3089="!!!"),"",IF(NOT(ISNA(VLOOKUP(E3089,E$1:E3088,1,FALSE()))),"OLD",IF(AND(E3089&lt;&gt;"",E3089&lt;&gt;"!!!"),"NEW","")))</f>
        <v> </v>
      </c>
      <c r="G3089" s="24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5" t="str">
        <f>IF(J3089&lt;&gt;1,"",IF(I3089="SBJ","CB","?"))</f>
        <v> </v>
      </c>
      <c r="I3089" s="26" t="str">
        <f>IF(OR(E3089="",E3089="!!!",F3089="NEW"),"",INDEX(B3088:B$2,-1+SUMPRODUCT(MAX(ROW(E3088:E$2)*(E3089=E3088:E$2)))))</f>
        <v> </v>
      </c>
      <c r="J3089" s="26" t="str">
        <f>IF(OR(E3089="",E3089="!!!",F3089="NEW"),"",COUNTBLANK(OFFSET(A$1,,,SUMPRODUCT(MAX(ROW(E$2:E3089)*(E3089=E$2:E3089)))))-COUNTBLANK(OFFSET(A$1,,,SUMPRODUCT(MAX(ROW(E$1:E3088)*(E2=E$1:E3088))))))</f>
        <v> </v>
      </c>
      <c r="K3089" s="26" t="str">
        <f>IF(OR(E3089="",E3089="!!!",F3089="NEW"),"",INDEX(J$1:J3088,SUMPRODUCT(MAX(ROW(E$1:E3088)*(E3089=E$1:E3088)))))</f>
        <v> </v>
      </c>
      <c r="L3089" s="27"/>
    </row>
    <row r="3090" spans="1:12">
      <c r="A3090" s="20" t="s">
        <v>2197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1106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/>
    </row>
    <row r="3093" spans="1:12">
      <c r="A3093" s="20" t="s">
        <v>2312</v>
      </c>
    </row>
    <row r="3094" spans="1:12">
      <c r="A3094" s="20" t="s">
        <v>661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1076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1614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1085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1149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1150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1135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2313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2314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1083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2315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1777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 t="s">
        <v>1106</v>
      </c>
      <c r="E3106" s="22">
        <f>IF(D3106="?OLD","!!!","")</f>
        <v/>
      </c>
      <c r="F3106" s="23" t="str">
        <f>IF(OR(E3106="",E3106="!!!"),"",IF(NOT(ISNA(VLOOKUP(E3106,E$1:E3105,1,FALSE()))),"OLD",IF(AND(E3106&lt;&gt;"",E3106&lt;&gt;"!!!"),"NEW","")))</f>
        <v> </v>
      </c>
      <c r="G3106" s="24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5" t="str">
        <f>IF(J3106&lt;&gt;1,"",IF(I3106="SBJ","CB","?"))</f>
        <v> </v>
      </c>
      <c r="I3106" s="26" t="str">
        <f>IF(OR(E3106="",E3106="!!!",F3106="NEW"),"",INDEX(B3105:B$2,-1+SUMPRODUCT(MAX(ROW(E3105:E$2)*(E3106=E3105:E$2)))))</f>
        <v> </v>
      </c>
      <c r="J3106" s="26" t="str">
        <f>IF(OR(E3106="",E3106="!!!",F3106="NEW"),"",COUNTBLANK(OFFSET(A$1,,,SUMPRODUCT(MAX(ROW(E$2:E3106)*(E3106=E$2:E3106)))))-COUNTBLANK(OFFSET(A$1,,,SUMPRODUCT(MAX(ROW(E$1:E3105)*(E2=E$1:E3105))))))</f>
        <v> </v>
      </c>
      <c r="K3106" s="26" t="str">
        <f>IF(OR(E3106="",E3106="!!!",F3106="NEW"),"",INDEX(J$1:J3105,SUMPRODUCT(MAX(ROW(E$1:E3105)*(E3106=E$1:E3105)))))</f>
        <v> </v>
      </c>
      <c r="L3106" s="27"/>
    </row>
    <row r="3107" spans="1:12">
      <c r="A3107" s="20"/>
    </row>
    <row r="3108" spans="1:12">
      <c r="A3108" s="20" t="s">
        <v>2316</v>
      </c>
    </row>
    <row r="3109" spans="1:12">
      <c r="A3109" s="20" t="s">
        <v>2317</v>
      </c>
      <c r="B3109" s="21" t="s">
        <v>1109</v>
      </c>
      <c r="C3109" s="21" t="s">
        <v>1073</v>
      </c>
      <c r="D3109" s="21" t="s">
        <v>1074</v>
      </c>
      <c r="E3109" s="22">
        <f>IF(D3109="?OLD","!!!","")</f>
        <v/>
      </c>
      <c r="F3109" s="23" t="str">
        <f>IF(OR(E3109="",E3109="!!!"),"",IF(NOT(ISNA(VLOOKUP(E3109,E$1:E3108,1,FALSE()))),"OLD",IF(AND(E3109&lt;&gt;"",E3109&lt;&gt;"!!!"),"NEW","")))</f>
        <v> </v>
      </c>
      <c r="G3109" s="24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5" t="str">
        <f>IF(J3109&lt;&gt;1,"",IF(I3109="SBJ","CB","?"))</f>
        <v> </v>
      </c>
      <c r="I3109" s="26" t="str">
        <f>IF(OR(E3109="",E3109="!!!",F3109="NEW"),"",INDEX(B3108:B$2,-1+SUMPRODUCT(MAX(ROW(E3108:E$2)*(E3109=E3108:E$2)))))</f>
        <v> </v>
      </c>
      <c r="J3109" s="26" t="str">
        <f>IF(OR(E3109="",E3109="!!!",F3109="NEW"),"",COUNTBLANK(OFFSET(A$1,,,SUMPRODUCT(MAX(ROW(E$2:E3109)*(E3109=E$2:E3109)))))-COUNTBLANK(OFFSET(A$1,,,SUMPRODUCT(MAX(ROW(E$1:E3108)*(E2=E$1:E3108))))))</f>
        <v> </v>
      </c>
      <c r="K3109" s="26" t="str">
        <f>IF(OR(E3109="",E3109="!!!",F3109="NEW"),"",INDEX(J$1:J3108,SUMPRODUCT(MAX(ROW(E$1:E3108)*(E3109=E$1:E3108)))))</f>
        <v> </v>
      </c>
      <c r="L3109" s="27"/>
    </row>
    <row r="3110" spans="1:12">
      <c r="A3110" s="20" t="s">
        <v>2318</v>
      </c>
      <c r="B3110" s="21" t="s">
        <v>1180</v>
      </c>
      <c r="C3110" s="21" t="s">
        <v>1073</v>
      </c>
      <c r="D3110" s="21" t="s">
        <v>1074</v>
      </c>
      <c r="E3110" s="22">
        <f>IF(D3110="?OLD","!!!","")</f>
        <v/>
      </c>
      <c r="F3110" s="23" t="str">
        <f>IF(OR(E3110="",E3110="!!!"),"",IF(NOT(ISNA(VLOOKUP(E3110,E$1:E3109,1,FALSE()))),"OLD",IF(AND(E3110&lt;&gt;"",E3110&lt;&gt;"!!!"),"NEW","")))</f>
        <v> </v>
      </c>
      <c r="G3110" s="24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5" t="str">
        <f>IF(J3110&lt;&gt;1,"",IF(I3110="SBJ","CB","?"))</f>
        <v> </v>
      </c>
      <c r="I3110" s="26" t="str">
        <f>IF(OR(E3110="",E3110="!!!",F3110="NEW"),"",INDEX(B3109:B$2,-1+SUMPRODUCT(MAX(ROW(E3109:E$2)*(E3110=E3109:E$2)))))</f>
        <v> </v>
      </c>
      <c r="J3110" s="26" t="str">
        <f>IF(OR(E3110="",E3110="!!!",F3110="NEW"),"",COUNTBLANK(OFFSET(A$1,,,SUMPRODUCT(MAX(ROW(E$2:E3110)*(E3110=E$2:E3110)))))-COUNTBLANK(OFFSET(A$1,,,SUMPRODUCT(MAX(ROW(E$1:E3109)*(E2=E$1:E3109))))))</f>
        <v> </v>
      </c>
      <c r="K3110" s="26" t="str">
        <f>IF(OR(E3110="",E3110="!!!",F3110="NEW"),"",INDEX(J$1:J3109,SUMPRODUCT(MAX(ROW(E$1:E3109)*(E3110=E$1:E3109)))))</f>
        <v> </v>
      </c>
      <c r="L3110" s="27"/>
    </row>
    <row r="3111" spans="1:12">
      <c r="A3111" s="20" t="s">
        <v>2319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2320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2321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1083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2322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1085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2319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2323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/>
    </row>
    <row r="3120" spans="1:12">
      <c r="A3120" s="20" t="s">
        <v>2324</v>
      </c>
    </row>
    <row r="3121" spans="1:12">
      <c r="A3121" s="20" t="s">
        <v>1175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2325</v>
      </c>
      <c r="B3122" s="21" t="s">
        <v>1109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2326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2327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1091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 t="s">
        <v>1424</v>
      </c>
      <c r="E3126" s="22">
        <f>IF(D3126="?OLD","!!!","")</f>
        <v/>
      </c>
      <c r="F3126" s="23" t="str">
        <f>IF(OR(E3126="",E3126="!!!"),"",IF(NOT(ISNA(VLOOKUP(E3126,E$1:E3125,1,FALSE()))),"OLD",IF(AND(E3126&lt;&gt;"",E3126&lt;&gt;"!!!"),"NEW","")))</f>
        <v> </v>
      </c>
      <c r="G3126" s="24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5" t="str">
        <f>IF(J3126&lt;&gt;1,"",IF(I3126="SBJ","CB","?"))</f>
        <v> </v>
      </c>
      <c r="I3126" s="26" t="str">
        <f>IF(OR(E3126="",E3126="!!!",F3126="NEW"),"",INDEX(B3125:B$2,-1+SUMPRODUCT(MAX(ROW(E3125:E$2)*(E3126=E3125:E$2)))))</f>
        <v> </v>
      </c>
      <c r="J3126" s="26" t="str">
        <f>IF(OR(E3126="",E3126="!!!",F3126="NEW"),"",COUNTBLANK(OFFSET(A$1,,,SUMPRODUCT(MAX(ROW(E$2:E3126)*(E3126=E$2:E3126)))))-COUNTBLANK(OFFSET(A$1,,,SUMPRODUCT(MAX(ROW(E$1:E3125)*(E2=E$1:E3125))))))</f>
        <v> </v>
      </c>
      <c r="K3126" s="26" t="str">
        <f>IF(OR(E3126="",E3126="!!!",F3126="NEW"),"",INDEX(J$1:J3125,SUMPRODUCT(MAX(ROW(E$1:E3125)*(E3126=E$1:E3125)))))</f>
        <v> </v>
      </c>
      <c r="L3126" s="27"/>
    </row>
    <row r="3127" spans="1:12">
      <c r="A3127" s="20" t="s">
        <v>1106</v>
      </c>
      <c r="E3127" s="22">
        <f>IF(D3127="?OLD","!!!","")</f>
        <v/>
      </c>
      <c r="F3127" s="23" t="str">
        <f>IF(OR(E3127="",E3127="!!!"),"",IF(NOT(ISNA(VLOOKUP(E3127,E$1:E3126,1,FALSE()))),"OLD",IF(AND(E3127&lt;&gt;"",E3127&lt;&gt;"!!!"),"NEW","")))</f>
        <v> </v>
      </c>
      <c r="G3127" s="24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5" t="str">
        <f>IF(J3127&lt;&gt;1,"",IF(I3127="SBJ","CB","?"))</f>
        <v> </v>
      </c>
      <c r="I3127" s="26" t="str">
        <f>IF(OR(E3127="",E3127="!!!",F3127="NEW"),"",INDEX(B3126:B$2,-1+SUMPRODUCT(MAX(ROW(E3126:E$2)*(E3127=E3126:E$2)))))</f>
        <v> </v>
      </c>
      <c r="J3127" s="26" t="str">
        <f>IF(OR(E3127="",E3127="!!!",F3127="NEW"),"",COUNTBLANK(OFFSET(A$1,,,SUMPRODUCT(MAX(ROW(E$2:E3127)*(E3127=E$2:E3127)))))-COUNTBLANK(OFFSET(A$1,,,SUMPRODUCT(MAX(ROW(E$1:E3126)*(E2=E$1:E3126))))))</f>
        <v> </v>
      </c>
      <c r="K3127" s="26" t="str">
        <f>IF(OR(E3127="",E3127="!!!",F3127="NEW"),"",INDEX(J$1:J3126,SUMPRODUCT(MAX(ROW(E$1:E3126)*(E3127=E$1:E3126)))))</f>
        <v> </v>
      </c>
      <c r="L3127" s="27"/>
    </row>
    <row r="3128" spans="1:12">
      <c r="A3128" s="20"/>
    </row>
    <row r="3129" spans="1:12">
      <c r="A3129" s="20" t="s">
        <v>2328</v>
      </c>
    </row>
    <row r="3130" spans="1:12">
      <c r="A3130" s="20" t="s">
        <v>2329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1085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1086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1087</v>
      </c>
      <c r="B3133" s="21" t="s">
        <v>1077</v>
      </c>
      <c r="C3133" s="21" t="s">
        <v>1081</v>
      </c>
      <c r="D3133" s="21" t="s">
        <v>1074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1799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2330</v>
      </c>
      <c r="B3135" s="21" t="s">
        <v>1080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1414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1240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1825</v>
      </c>
      <c r="B3138" s="21" t="s">
        <v>1180</v>
      </c>
      <c r="C3138" s="21" t="s">
        <v>1154</v>
      </c>
      <c r="D3138" s="21" t="s">
        <v>1074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1106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/>
    </row>
    <row r="3141" spans="1:12">
      <c r="A3141" s="20" t="s">
        <v>1510</v>
      </c>
    </row>
    <row r="3142" spans="1:12">
      <c r="A3142" s="20" t="s">
        <v>1132</v>
      </c>
      <c r="B3142" s="21" t="s">
        <v>1072</v>
      </c>
      <c r="C3142" s="21" t="s">
        <v>1073</v>
      </c>
      <c r="D3142" s="21" t="s">
        <v>1074</v>
      </c>
      <c r="E3142" s="22">
        <f>IF(D3142="?OLD","!!!","")</f>
        <v/>
      </c>
      <c r="F3142" s="23" t="str">
        <f>IF(OR(E3142="",E3142="!!!"),"",IF(NOT(ISNA(VLOOKUP(E3142,E$1:E3141,1,FALSE()))),"OLD",IF(AND(E3142&lt;&gt;"",E3142&lt;&gt;"!!!"),"NEW","")))</f>
        <v> </v>
      </c>
      <c r="G3142" s="24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5" t="str">
        <f>IF(J3142&lt;&gt;1,"",IF(I3142="SBJ","CB","?"))</f>
        <v> </v>
      </c>
      <c r="I3142" s="26" t="str">
        <f>IF(OR(E3142="",E3142="!!!",F3142="NEW"),"",INDEX(B3141:B$2,-1+SUMPRODUCT(MAX(ROW(E3141:E$2)*(E3142=E3141:E$2)))))</f>
        <v> </v>
      </c>
      <c r="J3142" s="26" t="str">
        <f>IF(OR(E3142="",E3142="!!!",F3142="NEW"),"",COUNTBLANK(OFFSET(A$1,,,SUMPRODUCT(MAX(ROW(E$2:E3142)*(E3142=E$2:E3142)))))-COUNTBLANK(OFFSET(A$1,,,SUMPRODUCT(MAX(ROW(E$1:E3141)*(E2=E$1:E3141))))))</f>
        <v> </v>
      </c>
      <c r="K3142" s="26" t="str">
        <f>IF(OR(E3142="",E3142="!!!",F3142="NEW"),"",INDEX(J$1:J3141,SUMPRODUCT(MAX(ROW(E$1:E3141)*(E3142=E$1:E3141)))))</f>
        <v> </v>
      </c>
      <c r="L3142" s="27"/>
    </row>
    <row r="3143" spans="1:12">
      <c r="A3143" s="20" t="s">
        <v>1076</v>
      </c>
      <c r="E3143" s="22">
        <f>IF(D3143="?OLD","!!!","")</f>
        <v/>
      </c>
      <c r="F3143" s="23" t="str">
        <f>IF(OR(E3143="",E3143="!!!"),"",IF(NOT(ISNA(VLOOKUP(E3143,E$1:E3142,1,FALSE()))),"OLD",IF(AND(E3143&lt;&gt;"",E3143&lt;&gt;"!!!"),"NEW","")))</f>
        <v> </v>
      </c>
      <c r="G3143" s="24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5" t="str">
        <f>IF(J3143&lt;&gt;1,"",IF(I3143="SBJ","CB","?"))</f>
        <v> </v>
      </c>
      <c r="I3143" s="26" t="str">
        <f>IF(OR(E3143="",E3143="!!!",F3143="NEW"),"",INDEX(B3142:B$2,-1+SUMPRODUCT(MAX(ROW(E3142:E$2)*(E3143=E3142:E$2)))))</f>
        <v> </v>
      </c>
      <c r="J3143" s="26" t="str">
        <f>IF(OR(E3143="",E3143="!!!",F3143="NEW"),"",COUNTBLANK(OFFSET(A$1,,,SUMPRODUCT(MAX(ROW(E$2:E3143)*(E3143=E$2:E3143)))))-COUNTBLANK(OFFSET(A$1,,,SUMPRODUCT(MAX(ROW(E$1:E3142)*(E2=E$1:E3142))))))</f>
        <v> </v>
      </c>
      <c r="K3143" s="26" t="str">
        <f>IF(OR(E3143="",E3143="!!!",F3143="NEW"),"",INDEX(J$1:J3142,SUMPRODUCT(MAX(ROW(E$1:E3142)*(E3143=E$1:E3142)))))</f>
        <v> </v>
      </c>
      <c r="L3143" s="27"/>
    </row>
    <row r="3144" spans="1:12">
      <c r="A3144" s="20"/>
    </row>
    <row r="3145" spans="1:12">
      <c r="A3145" s="20" t="s">
        <v>2331</v>
      </c>
    </row>
    <row r="3146" spans="1:12">
      <c r="A3146" s="20" t="s">
        <v>1315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 t="s">
        <v>2332</v>
      </c>
      <c r="E3147" s="22">
        <f>IF(D3147="?OLD","!!!","")</f>
        <v/>
      </c>
      <c r="F3147" s="23" t="str">
        <f>IF(OR(E3147="",E3147="!!!"),"",IF(NOT(ISNA(VLOOKUP(E3147,E$1:E3146,1,FALSE()))),"OLD",IF(AND(E3147&lt;&gt;"",E3147&lt;&gt;"!!!"),"NEW","")))</f>
        <v> </v>
      </c>
      <c r="G3147" s="24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5" t="str">
        <f>IF(J3147&lt;&gt;1,"",IF(I3147="SBJ","CB","?"))</f>
        <v> </v>
      </c>
      <c r="I3147" s="26" t="str">
        <f>IF(OR(E3147="",E3147="!!!",F3147="NEW"),"",INDEX(B3146:B$2,-1+SUMPRODUCT(MAX(ROW(E3146:E$2)*(E3147=E3146:E$2)))))</f>
        <v> </v>
      </c>
      <c r="J3147" s="26" t="str">
        <f>IF(OR(E3147="",E3147="!!!",F3147="NEW"),"",COUNTBLANK(OFFSET(A$1,,,SUMPRODUCT(MAX(ROW(E$2:E3147)*(E3147=E$2:E3147)))))-COUNTBLANK(OFFSET(A$1,,,SUMPRODUCT(MAX(ROW(E$1:E3146)*(E2=E$1:E3146))))))</f>
        <v> </v>
      </c>
      <c r="K3147" s="26" t="str">
        <f>IF(OR(E3147="",E3147="!!!",F3147="NEW"),"",INDEX(J$1:J3146,SUMPRODUCT(MAX(ROW(E$1:E3146)*(E3147=E$1:E3146)))))</f>
        <v> </v>
      </c>
      <c r="L3147" s="27"/>
    </row>
    <row r="3148" spans="1:12">
      <c r="A3148" s="20" t="s">
        <v>1087</v>
      </c>
      <c r="B3148" s="21" t="s">
        <v>1109</v>
      </c>
      <c r="C3148" s="21" t="s">
        <v>1081</v>
      </c>
      <c r="D3148" s="21" t="s">
        <v>1074</v>
      </c>
      <c r="E3148" s="22">
        <f>IF(D3148="?OLD","!!!","")</f>
        <v/>
      </c>
      <c r="F3148" s="23" t="str">
        <f>IF(OR(E3148="",E3148="!!!"),"",IF(NOT(ISNA(VLOOKUP(E3148,E$1:E3147,1,FALSE()))),"OLD",IF(AND(E3148&lt;&gt;"",E3148&lt;&gt;"!!!"),"NEW","")))</f>
        <v> </v>
      </c>
      <c r="G3148" s="24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5" t="str">
        <f>IF(J3148&lt;&gt;1,"",IF(I3148="SBJ","CB","?"))</f>
        <v> </v>
      </c>
      <c r="I3148" s="26" t="str">
        <f>IF(OR(E3148="",E3148="!!!",F3148="NEW"),"",INDEX(B3147:B$2,-1+SUMPRODUCT(MAX(ROW(E3147:E$2)*(E3148=E3147:E$2)))))</f>
        <v> </v>
      </c>
      <c r="J3148" s="26" t="str">
        <f>IF(OR(E3148="",E3148="!!!",F3148="NEW"),"",COUNTBLANK(OFFSET(A$1,,,SUMPRODUCT(MAX(ROW(E$2:E3148)*(E3148=E$2:E3148)))))-COUNTBLANK(OFFSET(A$1,,,SUMPRODUCT(MAX(ROW(E$1:E3147)*(E2=E$1:E3147))))))</f>
        <v> </v>
      </c>
      <c r="K3148" s="26" t="str">
        <f>IF(OR(E3148="",E3148="!!!",F3148="NEW"),"",INDEX(J$1:J3147,SUMPRODUCT(MAX(ROW(E$1:E3147)*(E3148=E$1:E3147)))))</f>
        <v> </v>
      </c>
      <c r="L3148" s="27"/>
    </row>
    <row r="3149" spans="1:12">
      <c r="A3149" s="20" t="s">
        <v>1406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1821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1373</v>
      </c>
      <c r="B3151" s="21" t="s">
        <v>1080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1189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/>
    </row>
    <row r="3154" spans="1:12">
      <c r="A3154" s="20" t="s">
        <v>2333</v>
      </c>
    </row>
    <row r="3155" spans="1:12">
      <c r="A3155" s="20" t="s">
        <v>661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1076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1268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1085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1238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11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1238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2332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1106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/>
    </row>
    <row r="3165" spans="1:12">
      <c r="A3165" s="20" t="s">
        <v>2334</v>
      </c>
    </row>
    <row r="3166" spans="1:12">
      <c r="A3166" s="20" t="s">
        <v>1133</v>
      </c>
      <c r="B3166" s="21" t="s">
        <v>1109</v>
      </c>
      <c r="C3166" s="21" t="s">
        <v>1081</v>
      </c>
      <c r="D3166" s="21" t="s">
        <v>1074</v>
      </c>
      <c r="E3166" s="22">
        <f>IF(D3166="?OLD","!!!","")</f>
        <v/>
      </c>
      <c r="F3166" s="23" t="str">
        <f>IF(OR(E3166="",E3166="!!!"),"",IF(NOT(ISNA(VLOOKUP(E3166,E$1:E3165,1,FALSE()))),"OLD",IF(AND(E3166&lt;&gt;"",E3166&lt;&gt;"!!!"),"NEW","")))</f>
        <v> </v>
      </c>
      <c r="G3166" s="24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5" t="str">
        <f>IF(J3166&lt;&gt;1,"",IF(I3166="SBJ","CB","?"))</f>
        <v> </v>
      </c>
      <c r="I3166" s="26" t="str">
        <f>IF(OR(E3166="",E3166="!!!",F3166="NEW"),"",INDEX(B3165:B$2,-1+SUMPRODUCT(MAX(ROW(E3165:E$2)*(E3166=E3165:E$2)))))</f>
        <v> </v>
      </c>
      <c r="J3166" s="26" t="str">
        <f>IF(OR(E3166="",E3166="!!!",F3166="NEW"),"",COUNTBLANK(OFFSET(A$1,,,SUMPRODUCT(MAX(ROW(E$2:E3166)*(E3166=E$2:E3166)))))-COUNTBLANK(OFFSET(A$1,,,SUMPRODUCT(MAX(ROW(E$1:E3165)*(E2=E$1:E3165))))))</f>
        <v> </v>
      </c>
      <c r="K3166" s="26" t="str">
        <f>IF(OR(E3166="",E3166="!!!",F3166="NEW"),"",INDEX(J$1:J3165,SUMPRODUCT(MAX(ROW(E$1:E3165)*(E3166=E$1:E3165)))))</f>
        <v> </v>
      </c>
      <c r="L3166" s="27"/>
    </row>
    <row r="3167" spans="1:12">
      <c r="A3167" s="20" t="s">
        <v>1257</v>
      </c>
      <c r="E3167" s="22">
        <f>IF(D3167="?OLD","!!!","")</f>
        <v/>
      </c>
      <c r="F3167" s="23" t="str">
        <f>IF(OR(E3167="",E3167="!!!"),"",IF(NOT(ISNA(VLOOKUP(E3167,E$1:E3166,1,FALSE()))),"OLD",IF(AND(E3167&lt;&gt;"",E3167&lt;&gt;"!!!"),"NEW","")))</f>
        <v> </v>
      </c>
      <c r="G3167" s="24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5" t="str">
        <f>IF(J3167&lt;&gt;1,"",IF(I3167="SBJ","CB","?"))</f>
        <v> </v>
      </c>
      <c r="I3167" s="26" t="str">
        <f>IF(OR(E3167="",E3167="!!!",F3167="NEW"),"",INDEX(B3166:B$2,-1+SUMPRODUCT(MAX(ROW(E3166:E$2)*(E3167=E3166:E$2)))))</f>
        <v> </v>
      </c>
      <c r="J3167" s="26" t="str">
        <f>IF(OR(E3167="",E3167="!!!",F3167="NEW"),"",COUNTBLANK(OFFSET(A$1,,,SUMPRODUCT(MAX(ROW(E$2:E3167)*(E3167=E$2:E3167)))))-COUNTBLANK(OFFSET(A$1,,,SUMPRODUCT(MAX(ROW(E$1:E3166)*(E2=E$1:E3166))))))</f>
        <v> </v>
      </c>
      <c r="K3167" s="26" t="str">
        <f>IF(OR(E3167="",E3167="!!!",F3167="NEW"),"",INDEX(J$1:J3166,SUMPRODUCT(MAX(ROW(E$1:E3166)*(E3167=E$1:E3166)))))</f>
        <v> </v>
      </c>
      <c r="L3167" s="27"/>
    </row>
    <row r="3168" spans="1:12">
      <c r="A3168" s="20" t="s">
        <v>2335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1126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2336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2337</v>
      </c>
      <c r="B3171" s="21" t="s">
        <v>1072</v>
      </c>
      <c r="C3171" s="21" t="s">
        <v>1103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1187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2338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2339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2340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 t="s">
        <v>1106</v>
      </c>
      <c r="E3176" s="22">
        <f>IF(D3176="?OLD","!!!","")</f>
        <v/>
      </c>
      <c r="F3176" s="23" t="str">
        <f>IF(OR(E3176="",E3176="!!!"),"",IF(NOT(ISNA(VLOOKUP(E3176,E$1:E3175,1,FALSE()))),"OLD",IF(AND(E3176&lt;&gt;"",E3176&lt;&gt;"!!!"),"NEW","")))</f>
        <v> </v>
      </c>
      <c r="G3176" s="24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5" t="str">
        <f>IF(J3176&lt;&gt;1,"",IF(I3176="SBJ","CB","?"))</f>
        <v> </v>
      </c>
      <c r="I3176" s="26" t="str">
        <f>IF(OR(E3176="",E3176="!!!",F3176="NEW"),"",INDEX(B3175:B$2,-1+SUMPRODUCT(MAX(ROW(E3175:E$2)*(E3176=E3175:E$2)))))</f>
        <v> </v>
      </c>
      <c r="J3176" s="26" t="str">
        <f>IF(OR(E3176="",E3176="!!!",F3176="NEW"),"",COUNTBLANK(OFFSET(A$1,,,SUMPRODUCT(MAX(ROW(E$2:E3176)*(E3176=E$2:E3176)))))-COUNTBLANK(OFFSET(A$1,,,SUMPRODUCT(MAX(ROW(E$1:E3175)*(E2=E$1:E3175))))))</f>
        <v> </v>
      </c>
      <c r="K3176" s="26" t="str">
        <f>IF(OR(E3176="",E3176="!!!",F3176="NEW"),"",INDEX(J$1:J3175,SUMPRODUCT(MAX(ROW(E$1:E3175)*(E3176=E$1:E3175)))))</f>
        <v> </v>
      </c>
      <c r="L3176" s="27"/>
    </row>
    <row r="3177" spans="1:12">
      <c r="A3177" s="20"/>
    </row>
    <row r="3178" spans="1:12">
      <c r="A3178" s="20" t="s">
        <v>2341</v>
      </c>
    </row>
    <row r="3179" spans="1:12">
      <c r="A3179" s="20" t="s">
        <v>1596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1744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2342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2343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1085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1234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 t="s">
        <v>1087</v>
      </c>
      <c r="B3185" s="21" t="s">
        <v>1119</v>
      </c>
      <c r="C3185" s="21" t="s">
        <v>1081</v>
      </c>
      <c r="D3185" s="21" t="s">
        <v>1074</v>
      </c>
      <c r="E3185" s="22">
        <f>IF(D3185="?OLD","!!!","")</f>
        <v/>
      </c>
      <c r="F3185" s="23" t="str">
        <f>IF(OR(E3185="",E3185="!!!"),"",IF(NOT(ISNA(VLOOKUP(E3185,E$1:E3184,1,FALSE()))),"OLD",IF(AND(E3185&lt;&gt;"",E3185&lt;&gt;"!!!"),"NEW","")))</f>
        <v> </v>
      </c>
      <c r="G3185" s="24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5" t="str">
        <f>IF(J3185&lt;&gt;1,"",IF(I3185="SBJ","CB","?"))</f>
        <v> </v>
      </c>
      <c r="I3185" s="26" t="str">
        <f>IF(OR(E3185="",E3185="!!!",F3185="NEW"),"",INDEX(B3184:B$2,-1+SUMPRODUCT(MAX(ROW(E3184:E$2)*(E3185=E3184:E$2)))))</f>
        <v> </v>
      </c>
      <c r="J3185" s="26" t="str">
        <f>IF(OR(E3185="",E3185="!!!",F3185="NEW"),"",COUNTBLANK(OFFSET(A$1,,,SUMPRODUCT(MAX(ROW(E$2:E3185)*(E3185=E$2:E3185)))))-COUNTBLANK(OFFSET(A$1,,,SUMPRODUCT(MAX(ROW(E$1:E3184)*(E2=E$1:E3184))))))</f>
        <v> </v>
      </c>
      <c r="K3185" s="26" t="str">
        <f>IF(OR(E3185="",E3185="!!!",F3185="NEW"),"",INDEX(J$1:J3184,SUMPRODUCT(MAX(ROW(E$1:E3184)*(E3185=E$1:E3184)))))</f>
        <v> </v>
      </c>
      <c r="L3185" s="27"/>
    </row>
    <row r="3186" spans="1:12">
      <c r="A3186" s="20" t="s">
        <v>2344</v>
      </c>
      <c r="E3186" s="22">
        <f>IF(D3186="?OLD","!!!","")</f>
        <v/>
      </c>
      <c r="F3186" s="23" t="str">
        <f>IF(OR(E3186="",E3186="!!!"),"",IF(NOT(ISNA(VLOOKUP(E3186,E$1:E3185,1,FALSE()))),"OLD",IF(AND(E3186&lt;&gt;"",E3186&lt;&gt;"!!!"),"NEW","")))</f>
        <v> </v>
      </c>
      <c r="G3186" s="24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5" t="str">
        <f>IF(J3186&lt;&gt;1,"",IF(I3186="SBJ","CB","?"))</f>
        <v> </v>
      </c>
      <c r="I3186" s="26" t="str">
        <f>IF(OR(E3186="",E3186="!!!",F3186="NEW"),"",INDEX(B3185:B$2,-1+SUMPRODUCT(MAX(ROW(E3185:E$2)*(E3186=E3185:E$2)))))</f>
        <v> </v>
      </c>
      <c r="J3186" s="26" t="str">
        <f>IF(OR(E3186="",E3186="!!!",F3186="NEW"),"",COUNTBLANK(OFFSET(A$1,,,SUMPRODUCT(MAX(ROW(E$2:E3186)*(E3186=E$2:E3186)))))-COUNTBLANK(OFFSET(A$1,,,SUMPRODUCT(MAX(ROW(E$1:E3185)*(E2=E$1:E3185))))))</f>
        <v> </v>
      </c>
      <c r="K3186" s="26" t="str">
        <f>IF(OR(E3186="",E3186="!!!",F3186="NEW"),"",INDEX(J$1:J3185,SUMPRODUCT(MAX(ROW(E$1:E3185)*(E3186=E$1:E3185)))))</f>
        <v> </v>
      </c>
      <c r="L3186" s="27"/>
    </row>
    <row r="3187" spans="1:12">
      <c r="A3187" s="20" t="s">
        <v>1589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1272</v>
      </c>
      <c r="B3188" s="21" t="s">
        <v>1199</v>
      </c>
      <c r="C3188" s="21" t="s">
        <v>1462</v>
      </c>
      <c r="D3188" s="21" t="s">
        <v>1074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2345</v>
      </c>
      <c r="B3189" s="21" t="s">
        <v>1199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 t="s">
        <v>1106</v>
      </c>
      <c r="E3190" s="22">
        <f>IF(D3190="?OLD","!!!","")</f>
        <v/>
      </c>
      <c r="F3190" s="23" t="str">
        <f>IF(OR(E3190="",E3190="!!!"),"",IF(NOT(ISNA(VLOOKUP(E3190,E$1:E3189,1,FALSE()))),"OLD",IF(AND(E3190&lt;&gt;"",E3190&lt;&gt;"!!!"),"NEW","")))</f>
        <v> </v>
      </c>
      <c r="G3190" s="24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5" t="str">
        <f>IF(J3190&lt;&gt;1,"",IF(I3190="SBJ","CB","?"))</f>
        <v> </v>
      </c>
      <c r="I3190" s="26" t="str">
        <f>IF(OR(E3190="",E3190="!!!",F3190="NEW"),"",INDEX(B3189:B$2,-1+SUMPRODUCT(MAX(ROW(E3189:E$2)*(E3190=E3189:E$2)))))</f>
        <v> </v>
      </c>
      <c r="J3190" s="26" t="str">
        <f>IF(OR(E3190="",E3190="!!!",F3190="NEW"),"",COUNTBLANK(OFFSET(A$1,,,SUMPRODUCT(MAX(ROW(E$2:E3190)*(E3190=E$2:E3190)))))-COUNTBLANK(OFFSET(A$1,,,SUMPRODUCT(MAX(ROW(E$1:E3189)*(E2=E$1:E3189))))))</f>
        <v> </v>
      </c>
      <c r="K3190" s="26" t="str">
        <f>IF(OR(E3190="",E3190="!!!",F3190="NEW"),"",INDEX(J$1:J3189,SUMPRODUCT(MAX(ROW(E$1:E3189)*(E3190=E$1:E3189)))))</f>
        <v> </v>
      </c>
      <c r="L3190" s="27"/>
    </row>
    <row r="3191" spans="1:12">
      <c r="A3191" s="20"/>
    </row>
    <row r="3192" spans="1:12">
      <c r="A3192" s="20" t="s">
        <v>2346</v>
      </c>
    </row>
    <row r="3193" spans="1:12">
      <c r="A3193" s="20" t="s">
        <v>1132</v>
      </c>
      <c r="B3193" s="21" t="s">
        <v>1072</v>
      </c>
      <c r="C3193" s="21" t="s">
        <v>1073</v>
      </c>
      <c r="D3193" s="21" t="s">
        <v>1074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1076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 t="s">
        <v>1233</v>
      </c>
      <c r="E3195" s="22">
        <f>IF(D3195="?OLD","!!!","")</f>
        <v/>
      </c>
      <c r="F3195" s="23" t="str">
        <f>IF(OR(E3195="",E3195="!!!"),"",IF(NOT(ISNA(VLOOKUP(E3195,E$1:E3194,1,FALSE()))),"OLD",IF(AND(E3195&lt;&gt;"",E3195&lt;&gt;"!!!"),"NEW","")))</f>
        <v> </v>
      </c>
      <c r="G3195" s="24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5" t="str">
        <f>IF(J3195&lt;&gt;1,"",IF(I3195="SBJ","CB","?"))</f>
        <v> </v>
      </c>
      <c r="I3195" s="26" t="str">
        <f>IF(OR(E3195="",E3195="!!!",F3195="NEW"),"",INDEX(B3194:B$2,-1+SUMPRODUCT(MAX(ROW(E3194:E$2)*(E3195=E3194:E$2)))))</f>
        <v> </v>
      </c>
      <c r="J3195" s="26" t="str">
        <f>IF(OR(E3195="",E3195="!!!",F3195="NEW"),"",COUNTBLANK(OFFSET(A$1,,,SUMPRODUCT(MAX(ROW(E$2:E3195)*(E3195=E$2:E3195)))))-COUNTBLANK(OFFSET(A$1,,,SUMPRODUCT(MAX(ROW(E$1:E3194)*(E2=E$1:E3194))))))</f>
        <v> </v>
      </c>
      <c r="K3195" s="26" t="str">
        <f>IF(OR(E3195="",E3195="!!!",F3195="NEW"),"",INDEX(J$1:J3194,SUMPRODUCT(MAX(ROW(E$1:E3194)*(E3195=E$1:E3194)))))</f>
        <v> </v>
      </c>
      <c r="L3195" s="27"/>
    </row>
    <row r="3196" spans="1:12">
      <c r="A3196" s="20" t="s">
        <v>1156</v>
      </c>
      <c r="B3196" s="21" t="s">
        <v>1077</v>
      </c>
      <c r="C3196" s="21" t="s">
        <v>1081</v>
      </c>
      <c r="D3196" s="21" t="s">
        <v>1074</v>
      </c>
      <c r="E3196" s="22">
        <f>IF(D3196="?OLD","!!!","")</f>
        <v/>
      </c>
      <c r="F3196" s="23" t="str">
        <f>IF(OR(E3196="",E3196="!!!"),"",IF(NOT(ISNA(VLOOKUP(E3196,E$1:E3195,1,FALSE()))),"OLD",IF(AND(E3196&lt;&gt;"",E3196&lt;&gt;"!!!"),"NEW","")))</f>
        <v> </v>
      </c>
      <c r="G3196" s="24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5" t="str">
        <f>IF(J3196&lt;&gt;1,"",IF(I3196="SBJ","CB","?"))</f>
        <v> </v>
      </c>
      <c r="I3196" s="26" t="str">
        <f>IF(OR(E3196="",E3196="!!!",F3196="NEW"),"",INDEX(B3195:B$2,-1+SUMPRODUCT(MAX(ROW(E3195:E$2)*(E3196=E3195:E$2)))))</f>
        <v> </v>
      </c>
      <c r="J3196" s="26" t="str">
        <f>IF(OR(E3196="",E3196="!!!",F3196="NEW"),"",COUNTBLANK(OFFSET(A$1,,,SUMPRODUCT(MAX(ROW(E$2:E3196)*(E3196=E$2:E3196)))))-COUNTBLANK(OFFSET(A$1,,,SUMPRODUCT(MAX(ROW(E$1:E3195)*(E2=E$1:E3195))))))</f>
        <v> </v>
      </c>
      <c r="K3196" s="26" t="str">
        <f>IF(OR(E3196="",E3196="!!!",F3196="NEW"),"",INDEX(J$1:J3195,SUMPRODUCT(MAX(ROW(E$1:E3195)*(E3196=E$1:E3195)))))</f>
        <v> </v>
      </c>
      <c r="L3196" s="27"/>
    </row>
    <row r="3197" spans="1:12">
      <c r="A3197" s="20" t="s">
        <v>2310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1091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1505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1138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 t="s">
        <v>1969</v>
      </c>
      <c r="E3201" s="22">
        <f>IF(D3201="?OLD","!!!","")</f>
        <v/>
      </c>
      <c r="F3201" s="23" t="str">
        <f>IF(OR(E3201="",E3201="!!!"),"",IF(NOT(ISNA(VLOOKUP(E3201,E$1:E3200,1,FALSE()))),"OLD",IF(AND(E3201&lt;&gt;"",E3201&lt;&gt;"!!!"),"NEW","")))</f>
        <v> </v>
      </c>
      <c r="G3201" s="24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5" t="str">
        <f>IF(J3201&lt;&gt;1,"",IF(I3201="SBJ","CB","?"))</f>
        <v> </v>
      </c>
      <c r="I3201" s="26" t="str">
        <f>IF(OR(E3201="",E3201="!!!",F3201="NEW"),"",INDEX(B3200:B$2,-1+SUMPRODUCT(MAX(ROW(E3200:E$2)*(E3201=E3200:E$2)))))</f>
        <v> </v>
      </c>
      <c r="J3201" s="26" t="str">
        <f>IF(OR(E3201="",E3201="!!!",F3201="NEW"),"",COUNTBLANK(OFFSET(A$1,,,SUMPRODUCT(MAX(ROW(E$2:E3201)*(E3201=E$2:E3201)))))-COUNTBLANK(OFFSET(A$1,,,SUMPRODUCT(MAX(ROW(E$1:E3200)*(E2=E$1:E3200))))))</f>
        <v> </v>
      </c>
      <c r="K3201" s="26" t="str">
        <f>IF(OR(E3201="",E3201="!!!",F3201="NEW"),"",INDEX(J$1:J3200,SUMPRODUCT(MAX(ROW(E$1:E3200)*(E3201=E$1:E3200)))))</f>
        <v> </v>
      </c>
      <c r="L3201" s="27"/>
    </row>
    <row r="3202" spans="1:12">
      <c r="A3202" s="20" t="s">
        <v>2347</v>
      </c>
      <c r="E3202" s="22">
        <f>IF(D3202="?OLD","!!!","")</f>
        <v/>
      </c>
      <c r="F3202" s="23" t="str">
        <f>IF(OR(E3202="",E3202="!!!"),"",IF(NOT(ISNA(VLOOKUP(E3202,E$1:E3201,1,FALSE()))),"OLD",IF(AND(E3202&lt;&gt;"",E3202&lt;&gt;"!!!"),"NEW","")))</f>
        <v> </v>
      </c>
      <c r="G3202" s="24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5" t="str">
        <f>IF(J3202&lt;&gt;1,"",IF(I3202="SBJ","CB","?"))</f>
        <v> </v>
      </c>
      <c r="I3202" s="26" t="str">
        <f>IF(OR(E3202="",E3202="!!!",F3202="NEW"),"",INDEX(B3201:B$2,-1+SUMPRODUCT(MAX(ROW(E3201:E$2)*(E3202=E3201:E$2)))))</f>
        <v> </v>
      </c>
      <c r="J3202" s="26" t="str">
        <f>IF(OR(E3202="",E3202="!!!",F3202="NEW"),"",COUNTBLANK(OFFSET(A$1,,,SUMPRODUCT(MAX(ROW(E$2:E3202)*(E3202=E$2:E3202)))))-COUNTBLANK(OFFSET(A$1,,,SUMPRODUCT(MAX(ROW(E$1:E3201)*(E2=E$1:E3201))))))</f>
        <v> </v>
      </c>
      <c r="K3202" s="26" t="str">
        <f>IF(OR(E3202="",E3202="!!!",F3202="NEW"),"",INDEX(J$1:J3201,SUMPRODUCT(MAX(ROW(E$1:E3201)*(E3202=E$1:E3201)))))</f>
        <v> </v>
      </c>
      <c r="L3202" s="27"/>
    </row>
    <row r="3203" spans="1:12">
      <c r="A3203" s="20" t="s">
        <v>1085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1258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1150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1138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1969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2348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 t="s">
        <v>1106</v>
      </c>
      <c r="E3209" s="22">
        <f>IF(D3209="?OLD","!!!","")</f>
        <v/>
      </c>
      <c r="F3209" s="23" t="str">
        <f>IF(OR(E3209="",E3209="!!!"),"",IF(NOT(ISNA(VLOOKUP(E3209,E$1:E3208,1,FALSE()))),"OLD",IF(AND(E3209&lt;&gt;"",E3209&lt;&gt;"!!!"),"NEW","")))</f>
        <v> </v>
      </c>
      <c r="G3209" s="24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5" t="str">
        <f>IF(J3209&lt;&gt;1,"",IF(I3209="SBJ","CB","?"))</f>
        <v> </v>
      </c>
      <c r="I3209" s="26" t="str">
        <f>IF(OR(E3209="",E3209="!!!",F3209="NEW"),"",INDEX(B3208:B$2,-1+SUMPRODUCT(MAX(ROW(E3208:E$2)*(E3209=E3208:E$2)))))</f>
        <v> </v>
      </c>
      <c r="J3209" s="26" t="str">
        <f>IF(OR(E3209="",E3209="!!!",F3209="NEW"),"",COUNTBLANK(OFFSET(A$1,,,SUMPRODUCT(MAX(ROW(E$2:E3209)*(E3209=E$2:E3209)))))-COUNTBLANK(OFFSET(A$1,,,SUMPRODUCT(MAX(ROW(E$1:E3208)*(E2=E$1:E3208))))))</f>
        <v> </v>
      </c>
      <c r="K3209" s="26" t="str">
        <f>IF(OR(E3209="",E3209="!!!",F3209="NEW"),"",INDEX(J$1:J3208,SUMPRODUCT(MAX(ROW(E$1:E3208)*(E3209=E$1:E3208)))))</f>
        <v> </v>
      </c>
      <c r="L3209" s="27"/>
    </row>
    <row r="3210" spans="1:12">
      <c r="A3210" s="20"/>
    </row>
    <row r="3211" spans="1:12">
      <c r="A3211" s="20" t="s">
        <v>2349</v>
      </c>
    </row>
    <row r="3212" spans="1:12">
      <c r="A3212" s="20" t="s">
        <v>661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1076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/>
    </row>
    <row r="3215" spans="1:12">
      <c r="A3215" s="20" t="s">
        <v>2350</v>
      </c>
    </row>
    <row r="3216" spans="1:12">
      <c r="A3216" s="20" t="s">
        <v>1711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 t="s">
        <v>1241</v>
      </c>
      <c r="B3217" s="21" t="s">
        <v>1072</v>
      </c>
      <c r="C3217" s="21" t="s">
        <v>1081</v>
      </c>
      <c r="D3217" s="21" t="s">
        <v>1074</v>
      </c>
      <c r="E3217" s="22">
        <f>IF(D3217="?OLD","!!!","")</f>
        <v/>
      </c>
      <c r="F3217" s="23" t="str">
        <f>IF(OR(E3217="",E3217="!!!"),"",IF(NOT(ISNA(VLOOKUP(E3217,E$1:E3216,1,FALSE()))),"OLD",IF(AND(E3217&lt;&gt;"",E3217&lt;&gt;"!!!"),"NEW","")))</f>
        <v> </v>
      </c>
      <c r="G3217" s="24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5" t="str">
        <f>IF(J3217&lt;&gt;1,"",IF(I3217="SBJ","CB","?"))</f>
        <v> </v>
      </c>
      <c r="I3217" s="26" t="str">
        <f>IF(OR(E3217="",E3217="!!!",F3217="NEW"),"",INDEX(B3216:B$2,-1+SUMPRODUCT(MAX(ROW(E3216:E$2)*(E3217=E3216:E$2)))))</f>
        <v> </v>
      </c>
      <c r="J3217" s="26" t="str">
        <f>IF(OR(E3217="",E3217="!!!",F3217="NEW"),"",COUNTBLANK(OFFSET(A$1,,,SUMPRODUCT(MAX(ROW(E$2:E3217)*(E3217=E$2:E3217)))))-COUNTBLANK(OFFSET(A$1,,,SUMPRODUCT(MAX(ROW(E$1:E3216)*(E2=E$1:E3216))))))</f>
        <v> </v>
      </c>
      <c r="K3217" s="26" t="str">
        <f>IF(OR(E3217="",E3217="!!!",F3217="NEW"),"",INDEX(J$1:J3216,SUMPRODUCT(MAX(ROW(E$1:E3216)*(E3217=E$1:E3216)))))</f>
        <v> </v>
      </c>
      <c r="L3217" s="27"/>
    </row>
    <row r="3218" spans="1:12">
      <c r="A3218" s="20" t="s">
        <v>1098</v>
      </c>
      <c r="E3218" s="22">
        <f>IF(D3218="?OLD","!!!","")</f>
        <v/>
      </c>
      <c r="F3218" s="23" t="str">
        <f>IF(OR(E3218="",E3218="!!!"),"",IF(NOT(ISNA(VLOOKUP(E3218,E$1:E3217,1,FALSE()))),"OLD",IF(AND(E3218&lt;&gt;"",E3218&lt;&gt;"!!!"),"NEW","")))</f>
        <v> </v>
      </c>
      <c r="G3218" s="24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5" t="str">
        <f>IF(J3218&lt;&gt;1,"",IF(I3218="SBJ","CB","?"))</f>
        <v> </v>
      </c>
      <c r="I3218" s="26" t="str">
        <f>IF(OR(E3218="",E3218="!!!",F3218="NEW"),"",INDEX(B3217:B$2,-1+SUMPRODUCT(MAX(ROW(E3217:E$2)*(E3218=E3217:E$2)))))</f>
        <v> </v>
      </c>
      <c r="J3218" s="26" t="str">
        <f>IF(OR(E3218="",E3218="!!!",F3218="NEW"),"",COUNTBLANK(OFFSET(A$1,,,SUMPRODUCT(MAX(ROW(E$2:E3218)*(E3218=E$2:E3218)))))-COUNTBLANK(OFFSET(A$1,,,SUMPRODUCT(MAX(ROW(E$1:E3217)*(E2=E$1:E3217))))))</f>
        <v> </v>
      </c>
      <c r="K3218" s="26" t="str">
        <f>IF(OR(E3218="",E3218="!!!",F3218="NEW"),"",INDEX(J$1:J3217,SUMPRODUCT(MAX(ROW(E$1:E3217)*(E3218=E$1:E3217)))))</f>
        <v> </v>
      </c>
      <c r="L3218" s="27"/>
    </row>
    <row r="3219" spans="1:12">
      <c r="A3219" s="20" t="s">
        <v>1143</v>
      </c>
      <c r="B3219" s="21" t="s">
        <v>1180</v>
      </c>
      <c r="C3219" s="21" t="s">
        <v>1073</v>
      </c>
      <c r="D3219" s="21" t="s">
        <v>1074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2351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139</v>
      </c>
      <c r="B3221" s="21" t="s">
        <v>1109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1076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1599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2352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393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258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1741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1380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2353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1106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/>
    </row>
    <row r="3232" spans="1:12">
      <c r="A3232" s="20" t="s">
        <v>2354</v>
      </c>
    </row>
    <row r="3233" spans="1:12">
      <c r="A3233" s="20" t="s">
        <v>1175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 t="s">
        <v>139</v>
      </c>
      <c r="B3234" s="21" t="s">
        <v>1109</v>
      </c>
      <c r="E3234" s="22">
        <f>IF(D3234="?OLD","!!!","")</f>
        <v/>
      </c>
      <c r="F3234" s="23" t="str">
        <f>IF(OR(E3234="",E3234="!!!"),"",IF(NOT(ISNA(VLOOKUP(E3234,E$1:E3233,1,FALSE()))),"OLD",IF(AND(E3234&lt;&gt;"",E3234&lt;&gt;"!!!"),"NEW","")))</f>
        <v> </v>
      </c>
      <c r="G3234" s="24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5" t="str">
        <f>IF(J3234&lt;&gt;1,"",IF(I3234="SBJ","CB","?"))</f>
        <v> </v>
      </c>
      <c r="I3234" s="26" t="str">
        <f>IF(OR(E3234="",E3234="!!!",F3234="NEW"),"",INDEX(B3233:B$2,-1+SUMPRODUCT(MAX(ROW(E3233:E$2)*(E3234=E3233:E$2)))))</f>
        <v> </v>
      </c>
      <c r="J3234" s="26" t="str">
        <f>IF(OR(E3234="",E3234="!!!",F3234="NEW"),"",COUNTBLANK(OFFSET(A$1,,,SUMPRODUCT(MAX(ROW(E$2:E3234)*(E3234=E$2:E3234)))))-COUNTBLANK(OFFSET(A$1,,,SUMPRODUCT(MAX(ROW(E$1:E3233)*(E2=E$1:E3233))))))</f>
        <v> </v>
      </c>
      <c r="K3234" s="26" t="str">
        <f>IF(OR(E3234="",E3234="!!!",F3234="NEW"),"",INDEX(J$1:J3233,SUMPRODUCT(MAX(ROW(E$1:E3233)*(E3234=E$1:E3233)))))</f>
        <v> </v>
      </c>
      <c r="L3234" s="27"/>
    </row>
    <row r="3235" spans="1:12">
      <c r="A3235" s="20" t="s">
        <v>2355</v>
      </c>
      <c r="E3235" s="22">
        <f>IF(D3235="?OLD","!!!","")</f>
        <v/>
      </c>
      <c r="F3235" s="23" t="str">
        <f>IF(OR(E3235="",E3235="!!!"),"",IF(NOT(ISNA(VLOOKUP(E3235,E$1:E3234,1,FALSE()))),"OLD",IF(AND(E3235&lt;&gt;"",E3235&lt;&gt;"!!!"),"NEW","")))</f>
        <v> </v>
      </c>
      <c r="G3235" s="24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5" t="str">
        <f>IF(J3235&lt;&gt;1,"",IF(I3235="SBJ","CB","?"))</f>
        <v> </v>
      </c>
      <c r="I3235" s="26" t="str">
        <f>IF(OR(E3235="",E3235="!!!",F3235="NEW"),"",INDEX(B3234:B$2,-1+SUMPRODUCT(MAX(ROW(E3234:E$2)*(E3235=E3234:E$2)))))</f>
        <v> </v>
      </c>
      <c r="J3235" s="26" t="str">
        <f>IF(OR(E3235="",E3235="!!!",F3235="NEW"),"",COUNTBLANK(OFFSET(A$1,,,SUMPRODUCT(MAX(ROW(E$2:E3235)*(E3235=E$2:E3235)))))-COUNTBLANK(OFFSET(A$1,,,SUMPRODUCT(MAX(ROW(E$1:E3234)*(E2=E$1:E3234))))))</f>
        <v> </v>
      </c>
      <c r="K3235" s="26" t="str">
        <f>IF(OR(E3235="",E3235="!!!",F3235="NEW"),"",INDEX(J$1:J3234,SUMPRODUCT(MAX(ROW(E$1:E3234)*(E3235=E$1:E3234)))))</f>
        <v> </v>
      </c>
      <c r="L3235" s="27"/>
    </row>
    <row r="3236" spans="1:12">
      <c r="A3236" s="20" t="s">
        <v>1210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1781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 t="s">
        <v>2356</v>
      </c>
      <c r="B3238" s="21" t="s">
        <v>1072</v>
      </c>
      <c r="C3238" s="21" t="s">
        <v>1103</v>
      </c>
      <c r="E3238" s="22">
        <f>IF(D3238="?OLD","!!!","")</f>
        <v/>
      </c>
      <c r="F3238" s="23" t="str">
        <f>IF(OR(E3238="",E3238="!!!"),"",IF(NOT(ISNA(VLOOKUP(E3238,E$1:E3237,1,FALSE()))),"OLD",IF(AND(E3238&lt;&gt;"",E3238&lt;&gt;"!!!"),"NEW","")))</f>
        <v> </v>
      </c>
      <c r="G3238" s="24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5" t="str">
        <f>IF(J3238&lt;&gt;1,"",IF(I3238="SBJ","CB","?"))</f>
        <v> </v>
      </c>
      <c r="I3238" s="26" t="str">
        <f>IF(OR(E3238="",E3238="!!!",F3238="NEW"),"",INDEX(B3237:B$2,-1+SUMPRODUCT(MAX(ROW(E3237:E$2)*(E3238=E3237:E$2)))))</f>
        <v> </v>
      </c>
      <c r="J3238" s="26" t="str">
        <f>IF(OR(E3238="",E3238="!!!",F3238="NEW"),"",COUNTBLANK(OFFSET(A$1,,,SUMPRODUCT(MAX(ROW(E$2:E3238)*(E3238=E$2:E3238)))))-COUNTBLANK(OFFSET(A$1,,,SUMPRODUCT(MAX(ROW(E$1:E3237)*(E2=E$1:E3237))))))</f>
        <v> </v>
      </c>
      <c r="K3238" s="26" t="str">
        <f>IF(OR(E3238="",E3238="!!!",F3238="NEW"),"",INDEX(J$1:J3237,SUMPRODUCT(MAX(ROW(E$1:E3237)*(E3238=E$1:E3237)))))</f>
        <v> </v>
      </c>
      <c r="L3238" s="27"/>
    </row>
    <row r="3239" spans="1:12">
      <c r="A3239" s="20" t="s">
        <v>1106</v>
      </c>
      <c r="E3239" s="22">
        <f>IF(D3239="?OLD","!!!","")</f>
        <v/>
      </c>
      <c r="F3239" s="23" t="str">
        <f>IF(OR(E3239="",E3239="!!!"),"",IF(NOT(ISNA(VLOOKUP(E3239,E$1:E3238,1,FALSE()))),"OLD",IF(AND(E3239&lt;&gt;"",E3239&lt;&gt;"!!!"),"NEW","")))</f>
        <v> </v>
      </c>
      <c r="G3239" s="24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5" t="str">
        <f>IF(J3239&lt;&gt;1,"",IF(I3239="SBJ","CB","?"))</f>
        <v> </v>
      </c>
      <c r="I3239" s="26" t="str">
        <f>IF(OR(E3239="",E3239="!!!",F3239="NEW"),"",INDEX(B3238:B$2,-1+SUMPRODUCT(MAX(ROW(E3238:E$2)*(E3239=E3238:E$2)))))</f>
        <v> </v>
      </c>
      <c r="J3239" s="26" t="str">
        <f>IF(OR(E3239="",E3239="!!!",F3239="NEW"),"",COUNTBLANK(OFFSET(A$1,,,SUMPRODUCT(MAX(ROW(E$2:E3239)*(E3239=E$2:E3239)))))-COUNTBLANK(OFFSET(A$1,,,SUMPRODUCT(MAX(ROW(E$1:E3238)*(E2=E$1:E3238))))))</f>
        <v> </v>
      </c>
      <c r="K3239" s="26" t="str">
        <f>IF(OR(E3239="",E3239="!!!",F3239="NEW"),"",INDEX(J$1:J3238,SUMPRODUCT(MAX(ROW(E$1:E3238)*(E3239=E$1:E3238)))))</f>
        <v> </v>
      </c>
      <c r="L3239" s="27"/>
    </row>
    <row r="3240" spans="1:12">
      <c r="A3240" s="20"/>
    </row>
    <row r="3241" spans="1:12">
      <c r="A3241" s="20" t="s">
        <v>2357</v>
      </c>
    </row>
    <row r="3242" spans="1:12">
      <c r="A3242" s="20" t="s">
        <v>1841</v>
      </c>
      <c r="B3242" s="21" t="s">
        <v>1077</v>
      </c>
      <c r="C3242" s="21" t="s">
        <v>1081</v>
      </c>
      <c r="D3242" s="21" t="s">
        <v>1074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 t="s">
        <v>2358</v>
      </c>
      <c r="E3243" s="22">
        <f>IF(D3243="?OLD","!!!","")</f>
        <v/>
      </c>
      <c r="F3243" s="23" t="str">
        <f>IF(OR(E3243="",E3243="!!!"),"",IF(NOT(ISNA(VLOOKUP(E3243,E$1:E3242,1,FALSE()))),"OLD",IF(AND(E3243&lt;&gt;"",E3243&lt;&gt;"!!!"),"NEW","")))</f>
        <v> </v>
      </c>
      <c r="G3243" s="24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5" t="str">
        <f>IF(J3243&lt;&gt;1,"",IF(I3243="SBJ","CB","?"))</f>
        <v> </v>
      </c>
      <c r="I3243" s="26" t="str">
        <f>IF(OR(E3243="",E3243="!!!",F3243="NEW"),"",INDEX(B3242:B$2,-1+SUMPRODUCT(MAX(ROW(E3242:E$2)*(E3243=E3242:E$2)))))</f>
        <v> </v>
      </c>
      <c r="J3243" s="26" t="str">
        <f>IF(OR(E3243="",E3243="!!!",F3243="NEW"),"",COUNTBLANK(OFFSET(A$1,,,SUMPRODUCT(MAX(ROW(E$2:E3243)*(E3243=E$2:E3243)))))-COUNTBLANK(OFFSET(A$1,,,SUMPRODUCT(MAX(ROW(E$1:E3242)*(E2=E$1:E3242))))))</f>
        <v> </v>
      </c>
      <c r="K3243" s="26" t="str">
        <f>IF(OR(E3243="",E3243="!!!",F3243="NEW"),"",INDEX(J$1:J3242,SUMPRODUCT(MAX(ROW(E$1:E3242)*(E3243=E$1:E3242)))))</f>
        <v> </v>
      </c>
      <c r="L3243" s="27"/>
    </row>
    <row r="3244" spans="1:12">
      <c r="A3244" s="20" t="s">
        <v>1085</v>
      </c>
      <c r="E3244" s="22">
        <f>IF(D3244="?OLD","!!!","")</f>
        <v/>
      </c>
      <c r="F3244" s="23" t="str">
        <f>IF(OR(E3244="",E3244="!!!"),"",IF(NOT(ISNA(VLOOKUP(E3244,E$1:E3243,1,FALSE()))),"OLD",IF(AND(E3244&lt;&gt;"",E3244&lt;&gt;"!!!"),"NEW","")))</f>
        <v> </v>
      </c>
      <c r="G3244" s="24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5" t="str">
        <f>IF(J3244&lt;&gt;1,"",IF(I3244="SBJ","CB","?"))</f>
        <v> </v>
      </c>
      <c r="I3244" s="26" t="str">
        <f>IF(OR(E3244="",E3244="!!!",F3244="NEW"),"",INDEX(B3243:B$2,-1+SUMPRODUCT(MAX(ROW(E3243:E$2)*(E3244=E3243:E$2)))))</f>
        <v> </v>
      </c>
      <c r="J3244" s="26" t="str">
        <f>IF(OR(E3244="",E3244="!!!",F3244="NEW"),"",COUNTBLANK(OFFSET(A$1,,,SUMPRODUCT(MAX(ROW(E$2:E3244)*(E3244=E$2:E3244)))))-COUNTBLANK(OFFSET(A$1,,,SUMPRODUCT(MAX(ROW(E$1:E3243)*(E2=E$1:E3243))))))</f>
        <v> </v>
      </c>
      <c r="K3244" s="26" t="str">
        <f>IF(OR(E3244="",E3244="!!!",F3244="NEW"),"",INDEX(J$1:J3243,SUMPRODUCT(MAX(ROW(E$1:E3243)*(E3244=E$1:E3243)))))</f>
        <v> </v>
      </c>
      <c r="L3244" s="27"/>
    </row>
    <row r="3245" spans="1:12">
      <c r="A3245" s="20" t="s">
        <v>2359</v>
      </c>
      <c r="B3245" s="21" t="s">
        <v>1109</v>
      </c>
      <c r="E3245" s="22">
        <f>IF(D3245="?OLD","!!!","")</f>
        <v/>
      </c>
      <c r="F3245" s="23" t="str">
        <f>IF(OR(E3245="",E3245="!!!"),"",IF(NOT(ISNA(VLOOKUP(E3245,E$1:E3244,1,FALSE()))),"OLD",IF(AND(E3245&lt;&gt;"",E3245&lt;&gt;"!!!"),"NEW","")))</f>
        <v> </v>
      </c>
      <c r="G3245" s="24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5" t="str">
        <f>IF(J3245&lt;&gt;1,"",IF(I3245="SBJ","CB","?"))</f>
        <v> </v>
      </c>
      <c r="I3245" s="26" t="str">
        <f>IF(OR(E3245="",E3245="!!!",F3245="NEW"),"",INDEX(B3244:B$2,-1+SUMPRODUCT(MAX(ROW(E3244:E$2)*(E3245=E3244:E$2)))))</f>
        <v> </v>
      </c>
      <c r="J3245" s="26" t="str">
        <f>IF(OR(E3245="",E3245="!!!",F3245="NEW"),"",COUNTBLANK(OFFSET(A$1,,,SUMPRODUCT(MAX(ROW(E$2:E3245)*(E3245=E$2:E3245)))))-COUNTBLANK(OFFSET(A$1,,,SUMPRODUCT(MAX(ROW(E$1:E3244)*(E2=E$1:E3244))))))</f>
        <v> </v>
      </c>
      <c r="K3245" s="26" t="str">
        <f>IF(OR(E3245="",E3245="!!!",F3245="NEW"),"",INDEX(J$1:J3244,SUMPRODUCT(MAX(ROW(E$1:E3244)*(E3245=E$1:E3244)))))</f>
        <v> </v>
      </c>
      <c r="L3245" s="27"/>
    </row>
    <row r="3246" spans="1:12">
      <c r="A3246" s="20" t="s">
        <v>2360</v>
      </c>
      <c r="E3246" s="22">
        <f>IF(D3246="?OLD","!!!","")</f>
        <v/>
      </c>
      <c r="F3246" s="23" t="str">
        <f>IF(OR(E3246="",E3246="!!!"),"",IF(NOT(ISNA(VLOOKUP(E3246,E$1:E3245,1,FALSE()))),"OLD",IF(AND(E3246&lt;&gt;"",E3246&lt;&gt;"!!!"),"NEW","")))</f>
        <v> </v>
      </c>
      <c r="G3246" s="24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5" t="str">
        <f>IF(J3246&lt;&gt;1,"",IF(I3246="SBJ","CB","?"))</f>
        <v> </v>
      </c>
      <c r="I3246" s="26" t="str">
        <f>IF(OR(E3246="",E3246="!!!",F3246="NEW"),"",INDEX(B3245:B$2,-1+SUMPRODUCT(MAX(ROW(E3245:E$2)*(E3246=E3245:E$2)))))</f>
        <v> </v>
      </c>
      <c r="J3246" s="26" t="str">
        <f>IF(OR(E3246="",E3246="!!!",F3246="NEW"),"",COUNTBLANK(OFFSET(A$1,,,SUMPRODUCT(MAX(ROW(E$2:E3246)*(E3246=E$2:E3246)))))-COUNTBLANK(OFFSET(A$1,,,SUMPRODUCT(MAX(ROW(E$1:E3245)*(E2=E$1:E3245))))))</f>
        <v> </v>
      </c>
      <c r="K3246" s="26" t="str">
        <f>IF(OR(E3246="",E3246="!!!",F3246="NEW"),"",INDEX(J$1:J3245,SUMPRODUCT(MAX(ROW(E$1:E3245)*(E3246=E$1:E3245)))))</f>
        <v> </v>
      </c>
      <c r="L3246" s="27"/>
    </row>
    <row r="3247" spans="1:12">
      <c r="A3247" s="20" t="s">
        <v>1085</v>
      </c>
      <c r="E3247" s="22">
        <f>IF(D3247="?OLD","!!!","")</f>
        <v/>
      </c>
      <c r="F3247" s="23" t="str">
        <f>IF(OR(E3247="",E3247="!!!"),"",IF(NOT(ISNA(VLOOKUP(E3247,E$1:E3246,1,FALSE()))),"OLD",IF(AND(E3247&lt;&gt;"",E3247&lt;&gt;"!!!"),"NEW","")))</f>
        <v> </v>
      </c>
      <c r="G3247" s="24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5" t="str">
        <f>IF(J3247&lt;&gt;1,"",IF(I3247="SBJ","CB","?"))</f>
        <v> </v>
      </c>
      <c r="I3247" s="26" t="str">
        <f>IF(OR(E3247="",E3247="!!!",F3247="NEW"),"",INDEX(B3246:B$2,-1+SUMPRODUCT(MAX(ROW(E3246:E$2)*(E3247=E3246:E$2)))))</f>
        <v> </v>
      </c>
      <c r="J3247" s="26" t="str">
        <f>IF(OR(E3247="",E3247="!!!",F3247="NEW"),"",COUNTBLANK(OFFSET(A$1,,,SUMPRODUCT(MAX(ROW(E$2:E3247)*(E3247=E$2:E3247)))))-COUNTBLANK(OFFSET(A$1,,,SUMPRODUCT(MAX(ROW(E$1:E3246)*(E2=E$1:E3246))))))</f>
        <v> </v>
      </c>
      <c r="K3247" s="26" t="str">
        <f>IF(OR(E3247="",E3247="!!!",F3247="NEW"),"",INDEX(J$1:J3246,SUMPRODUCT(MAX(ROW(E$1:E3246)*(E3247=E$1:E3246)))))</f>
        <v> </v>
      </c>
      <c r="L3247" s="27"/>
    </row>
    <row r="3248" spans="1:12">
      <c r="A3248" s="20" t="s">
        <v>911</v>
      </c>
      <c r="B3248" s="21" t="s">
        <v>1109</v>
      </c>
      <c r="C3248" s="21" t="s">
        <v>1081</v>
      </c>
      <c r="D3248" s="21" t="s">
        <v>1074</v>
      </c>
      <c r="E3248" s="22">
        <f>IF(D3248="?OLD","!!!","")</f>
        <v/>
      </c>
      <c r="F3248" s="23" t="str">
        <f>IF(OR(E3248="",E3248="!!!"),"",IF(NOT(ISNA(VLOOKUP(E3248,E$1:E3247,1,FALSE()))),"OLD",IF(AND(E3248&lt;&gt;"",E3248&lt;&gt;"!!!"),"NEW","")))</f>
        <v> </v>
      </c>
      <c r="G3248" s="24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5" t="str">
        <f>IF(J3248&lt;&gt;1,"",IF(I3248="SBJ","CB","?"))</f>
        <v> </v>
      </c>
      <c r="I3248" s="26" t="str">
        <f>IF(OR(E3248="",E3248="!!!",F3248="NEW"),"",INDEX(B3247:B$2,-1+SUMPRODUCT(MAX(ROW(E3247:E$2)*(E3248=E3247:E$2)))))</f>
        <v> </v>
      </c>
      <c r="J3248" s="26" t="str">
        <f>IF(OR(E3248="",E3248="!!!",F3248="NEW"),"",COUNTBLANK(OFFSET(A$1,,,SUMPRODUCT(MAX(ROW(E$2:E3248)*(E3248=E$2:E3248)))))-COUNTBLANK(OFFSET(A$1,,,SUMPRODUCT(MAX(ROW(E$1:E3247)*(E2=E$1:E3247))))))</f>
        <v> </v>
      </c>
      <c r="K3248" s="26" t="str">
        <f>IF(OR(E3248="",E3248="!!!",F3248="NEW"),"",INDEX(J$1:J3247,SUMPRODUCT(MAX(ROW(E$1:E3247)*(E3248=E$1:E3247)))))</f>
        <v> </v>
      </c>
      <c r="L3248" s="27"/>
    </row>
    <row r="3249" spans="1:12">
      <c r="A3249" s="20" t="s">
        <v>2361</v>
      </c>
      <c r="E3249" s="22">
        <f>IF(D3249="?OLD","!!!","")</f>
        <v/>
      </c>
      <c r="F3249" s="23" t="str">
        <f>IF(OR(E3249="",E3249="!!!"),"",IF(NOT(ISNA(VLOOKUP(E3249,E$1:E3248,1,FALSE()))),"OLD",IF(AND(E3249&lt;&gt;"",E3249&lt;&gt;"!!!"),"NEW","")))</f>
        <v> </v>
      </c>
      <c r="G3249" s="24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5" t="str">
        <f>IF(J3249&lt;&gt;1,"",IF(I3249="SBJ","CB","?"))</f>
        <v> </v>
      </c>
      <c r="I3249" s="26" t="str">
        <f>IF(OR(E3249="",E3249="!!!",F3249="NEW"),"",INDEX(B3248:B$2,-1+SUMPRODUCT(MAX(ROW(E3248:E$2)*(E3249=E3248:E$2)))))</f>
        <v> </v>
      </c>
      <c r="J3249" s="26" t="str">
        <f>IF(OR(E3249="",E3249="!!!",F3249="NEW"),"",COUNTBLANK(OFFSET(A$1,,,SUMPRODUCT(MAX(ROW(E$2:E3249)*(E3249=E$2:E3249)))))-COUNTBLANK(OFFSET(A$1,,,SUMPRODUCT(MAX(ROW(E$1:E3248)*(E2=E$1:E3248))))))</f>
        <v> </v>
      </c>
      <c r="K3249" s="26" t="str">
        <f>IF(OR(E3249="",E3249="!!!",F3249="NEW"),"",INDEX(J$1:J3248,SUMPRODUCT(MAX(ROW(E$1:E3248)*(E3249=E$1:E3248)))))</f>
        <v> </v>
      </c>
      <c r="L3249" s="27"/>
    </row>
    <row r="3250" spans="1:12">
      <c r="A3250" s="20" t="s">
        <v>1085</v>
      </c>
      <c r="E3250" s="22">
        <f>IF(D3250="?OLD","!!!","")</f>
        <v/>
      </c>
      <c r="F3250" s="23" t="str">
        <f>IF(OR(E3250="",E3250="!!!"),"",IF(NOT(ISNA(VLOOKUP(E3250,E$1:E3249,1,FALSE()))),"OLD",IF(AND(E3250&lt;&gt;"",E3250&lt;&gt;"!!!"),"NEW","")))</f>
        <v> </v>
      </c>
      <c r="G3250" s="24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5" t="str">
        <f>IF(J3250&lt;&gt;1,"",IF(I3250="SBJ","CB","?"))</f>
        <v> </v>
      </c>
      <c r="I3250" s="26" t="str">
        <f>IF(OR(E3250="",E3250="!!!",F3250="NEW"),"",INDEX(B3249:B$2,-1+SUMPRODUCT(MAX(ROW(E3249:E$2)*(E3250=E3249:E$2)))))</f>
        <v> </v>
      </c>
      <c r="J3250" s="26" t="str">
        <f>IF(OR(E3250="",E3250="!!!",F3250="NEW"),"",COUNTBLANK(OFFSET(A$1,,,SUMPRODUCT(MAX(ROW(E$2:E3250)*(E3250=E$2:E3250)))))-COUNTBLANK(OFFSET(A$1,,,SUMPRODUCT(MAX(ROW(E$1:E3249)*(E2=E$1:E3249))))))</f>
        <v> </v>
      </c>
      <c r="K3250" s="26" t="str">
        <f>IF(OR(E3250="",E3250="!!!",F3250="NEW"),"",INDEX(J$1:J3249,SUMPRODUCT(MAX(ROW(E$1:E3249)*(E3250=E$1:E3249)))))</f>
        <v> </v>
      </c>
      <c r="L3250" s="27"/>
    </row>
    <row r="3251" spans="1:12">
      <c r="A3251" s="20" t="s">
        <v>2362</v>
      </c>
      <c r="E3251" s="22">
        <f>IF(D3251="?OLD","!!!","")</f>
        <v/>
      </c>
      <c r="F3251" s="23" t="str">
        <f>IF(OR(E3251="",E3251="!!!"),"",IF(NOT(ISNA(VLOOKUP(E3251,E$1:E3250,1,FALSE()))),"OLD",IF(AND(E3251&lt;&gt;"",E3251&lt;&gt;"!!!"),"NEW","")))</f>
        <v> </v>
      </c>
      <c r="G3251" s="24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5" t="str">
        <f>IF(J3251&lt;&gt;1,"",IF(I3251="SBJ","CB","?"))</f>
        <v> </v>
      </c>
      <c r="I3251" s="26" t="str">
        <f>IF(OR(E3251="",E3251="!!!",F3251="NEW"),"",INDEX(B3250:B$2,-1+SUMPRODUCT(MAX(ROW(E3250:E$2)*(E3251=E3250:E$2)))))</f>
        <v> </v>
      </c>
      <c r="J3251" s="26" t="str">
        <f>IF(OR(E3251="",E3251="!!!",F3251="NEW"),"",COUNTBLANK(OFFSET(A$1,,,SUMPRODUCT(MAX(ROW(E$2:E3251)*(E3251=E$2:E3251)))))-COUNTBLANK(OFFSET(A$1,,,SUMPRODUCT(MAX(ROW(E$1:E3250)*(E2=E$1:E3250))))))</f>
        <v> </v>
      </c>
      <c r="K3251" s="26" t="str">
        <f>IF(OR(E3251="",E3251="!!!",F3251="NEW"),"",INDEX(J$1:J3250,SUMPRODUCT(MAX(ROW(E$1:E3250)*(E3251=E$1:E3250)))))</f>
        <v> </v>
      </c>
      <c r="L3251" s="27"/>
    </row>
    <row r="3252" spans="1:12">
      <c r="A3252" s="20" t="s">
        <v>1086</v>
      </c>
      <c r="E3252" s="22">
        <f>IF(D3252="?OLD","!!!","")</f>
        <v/>
      </c>
      <c r="F3252" s="23" t="str">
        <f>IF(OR(E3252="",E3252="!!!"),"",IF(NOT(ISNA(VLOOKUP(E3252,E$1:E3251,1,FALSE()))),"OLD",IF(AND(E3252&lt;&gt;"",E3252&lt;&gt;"!!!"),"NEW","")))</f>
        <v> </v>
      </c>
      <c r="G3252" s="24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5" t="str">
        <f>IF(J3252&lt;&gt;1,"",IF(I3252="SBJ","CB","?"))</f>
        <v> </v>
      </c>
      <c r="I3252" s="26" t="str">
        <f>IF(OR(E3252="",E3252="!!!",F3252="NEW"),"",INDEX(B3251:B$2,-1+SUMPRODUCT(MAX(ROW(E3251:E$2)*(E3252=E3251:E$2)))))</f>
        <v> </v>
      </c>
      <c r="J3252" s="26" t="str">
        <f>IF(OR(E3252="",E3252="!!!",F3252="NEW"),"",COUNTBLANK(OFFSET(A$1,,,SUMPRODUCT(MAX(ROW(E$2:E3252)*(E3252=E$2:E3252)))))-COUNTBLANK(OFFSET(A$1,,,SUMPRODUCT(MAX(ROW(E$1:E3251)*(E2=E$1:E3251))))))</f>
        <v> </v>
      </c>
      <c r="K3252" s="26" t="str">
        <f>IF(OR(E3252="",E3252="!!!",F3252="NEW"),"",INDEX(J$1:J3251,SUMPRODUCT(MAX(ROW(E$1:E3251)*(E3252=E$1:E3251)))))</f>
        <v> </v>
      </c>
      <c r="L3252" s="27"/>
    </row>
    <row r="3253" spans="1:12">
      <c r="A3253" s="20" t="s">
        <v>1832</v>
      </c>
      <c r="B3253" s="21" t="s">
        <v>1077</v>
      </c>
      <c r="E3253" s="22">
        <f>IF(D3253="?OLD","!!!","")</f>
        <v/>
      </c>
      <c r="F3253" s="23" t="str">
        <f>IF(OR(E3253="",E3253="!!!"),"",IF(NOT(ISNA(VLOOKUP(E3253,E$1:E3252,1,FALSE()))),"OLD",IF(AND(E3253&lt;&gt;"",E3253&lt;&gt;"!!!"),"NEW","")))</f>
        <v> </v>
      </c>
      <c r="G3253" s="24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5" t="str">
        <f>IF(J3253&lt;&gt;1,"",IF(I3253="SBJ","CB","?"))</f>
        <v> </v>
      </c>
      <c r="I3253" s="26" t="str">
        <f>IF(OR(E3253="",E3253="!!!",F3253="NEW"),"",INDEX(B3252:B$2,-1+SUMPRODUCT(MAX(ROW(E3252:E$2)*(E3253=E3252:E$2)))))</f>
        <v> </v>
      </c>
      <c r="J3253" s="26" t="str">
        <f>IF(OR(E3253="",E3253="!!!",F3253="NEW"),"",COUNTBLANK(OFFSET(A$1,,,SUMPRODUCT(MAX(ROW(E$2:E3253)*(E3253=E$2:E3253)))))-COUNTBLANK(OFFSET(A$1,,,SUMPRODUCT(MAX(ROW(E$1:E3252)*(E2=E$1:E3252))))))</f>
        <v> </v>
      </c>
      <c r="K3253" s="26" t="str">
        <f>IF(OR(E3253="",E3253="!!!",F3253="NEW"),"",INDEX(J$1:J3252,SUMPRODUCT(MAX(ROW(E$1:E3252)*(E3253=E$1:E3252)))))</f>
        <v> </v>
      </c>
      <c r="L3253" s="27"/>
    </row>
    <row r="3254" spans="1:12">
      <c r="A3254" s="20" t="s">
        <v>2363</v>
      </c>
      <c r="E3254" s="22">
        <f>IF(D3254="?OLD","!!!","")</f>
        <v/>
      </c>
      <c r="F3254" s="23" t="str">
        <f>IF(OR(E3254="",E3254="!!!"),"",IF(NOT(ISNA(VLOOKUP(E3254,E$1:E3253,1,FALSE()))),"OLD",IF(AND(E3254&lt;&gt;"",E3254&lt;&gt;"!!!"),"NEW","")))</f>
        <v> </v>
      </c>
      <c r="G3254" s="24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5" t="str">
        <f>IF(J3254&lt;&gt;1,"",IF(I3254="SBJ","CB","?"))</f>
        <v> </v>
      </c>
      <c r="I3254" s="26" t="str">
        <f>IF(OR(E3254="",E3254="!!!",F3254="NEW"),"",INDEX(B3253:B$2,-1+SUMPRODUCT(MAX(ROW(E3253:E$2)*(E3254=E3253:E$2)))))</f>
        <v> </v>
      </c>
      <c r="J3254" s="26" t="str">
        <f>IF(OR(E3254="",E3254="!!!",F3254="NEW"),"",COUNTBLANK(OFFSET(A$1,,,SUMPRODUCT(MAX(ROW(E$2:E3254)*(E3254=E$2:E3254)))))-COUNTBLANK(OFFSET(A$1,,,SUMPRODUCT(MAX(ROW(E$1:E3253)*(E2=E$1:E3253))))))</f>
        <v> </v>
      </c>
      <c r="K3254" s="26" t="str">
        <f>IF(OR(E3254="",E3254="!!!",F3254="NEW"),"",INDEX(J$1:J3253,SUMPRODUCT(MAX(ROW(E$1:E3253)*(E3254=E$1:E3253)))))</f>
        <v> </v>
      </c>
      <c r="L3254" s="27"/>
    </row>
    <row r="3255" spans="1:12">
      <c r="A3255" s="20" t="s">
        <v>1346</v>
      </c>
      <c r="B3255" s="21" t="s">
        <v>1080</v>
      </c>
      <c r="C3255" s="21" t="s">
        <v>1081</v>
      </c>
      <c r="D3255" s="21" t="s">
        <v>1074</v>
      </c>
      <c r="E3255" s="22">
        <f>IF(D3255="?OLD","!!!","")</f>
        <v/>
      </c>
      <c r="F3255" s="23" t="str">
        <f>IF(OR(E3255="",E3255="!!!"),"",IF(NOT(ISNA(VLOOKUP(E3255,E$1:E3254,1,FALSE()))),"OLD",IF(AND(E3255&lt;&gt;"",E3255&lt;&gt;"!!!"),"NEW","")))</f>
        <v> </v>
      </c>
      <c r="G3255" s="24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5" t="str">
        <f>IF(J3255&lt;&gt;1,"",IF(I3255="SBJ","CB","?"))</f>
        <v> </v>
      </c>
      <c r="I3255" s="26" t="str">
        <f>IF(OR(E3255="",E3255="!!!",F3255="NEW"),"",INDEX(B3254:B$2,-1+SUMPRODUCT(MAX(ROW(E3254:E$2)*(E3255=E3254:E$2)))))</f>
        <v> </v>
      </c>
      <c r="J3255" s="26" t="str">
        <f>IF(OR(E3255="",E3255="!!!",F3255="NEW"),"",COUNTBLANK(OFFSET(A$1,,,SUMPRODUCT(MAX(ROW(E$2:E3255)*(E3255=E$2:E3255)))))-COUNTBLANK(OFFSET(A$1,,,SUMPRODUCT(MAX(ROW(E$1:E3254)*(E2=E$1:E3254))))))</f>
        <v> </v>
      </c>
      <c r="K3255" s="26" t="str">
        <f>IF(OR(E3255="",E3255="!!!",F3255="NEW"),"",INDEX(J$1:J3254,SUMPRODUCT(MAX(ROW(E$1:E3254)*(E3255=E$1:E3254)))))</f>
        <v> </v>
      </c>
      <c r="L3255" s="27"/>
    </row>
    <row r="3256" spans="1:12">
      <c r="A3256" s="20" t="s">
        <v>99</v>
      </c>
      <c r="E3256" s="22">
        <f>IF(D3256="?OLD","!!!","")</f>
        <v/>
      </c>
      <c r="F3256" s="23" t="str">
        <f>IF(OR(E3256="",E3256="!!!"),"",IF(NOT(ISNA(VLOOKUP(E3256,E$1:E3255,1,FALSE()))),"OLD",IF(AND(E3256&lt;&gt;"",E3256&lt;&gt;"!!!"),"NEW","")))</f>
        <v> </v>
      </c>
      <c r="G3256" s="24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5" t="str">
        <f>IF(J3256&lt;&gt;1,"",IF(I3256="SBJ","CB","?"))</f>
        <v> </v>
      </c>
      <c r="I3256" s="26" t="str">
        <f>IF(OR(E3256="",E3256="!!!",F3256="NEW"),"",INDEX(B3255:B$2,-1+SUMPRODUCT(MAX(ROW(E3255:E$2)*(E3256=E3255:E$2)))))</f>
        <v> </v>
      </c>
      <c r="J3256" s="26" t="str">
        <f>IF(OR(E3256="",E3256="!!!",F3256="NEW"),"",COUNTBLANK(OFFSET(A$1,,,SUMPRODUCT(MAX(ROW(E$2:E3256)*(E3256=E$2:E3256)))))-COUNTBLANK(OFFSET(A$1,,,SUMPRODUCT(MAX(ROW(E$1:E3255)*(E2=E$1:E3255))))))</f>
        <v> </v>
      </c>
      <c r="K3256" s="26" t="str">
        <f>IF(OR(E3256="",E3256="!!!",F3256="NEW"),"",INDEX(J$1:J3255,SUMPRODUCT(MAX(ROW(E$1:E3255)*(E3256=E$1:E3255)))))</f>
        <v> </v>
      </c>
      <c r="L3256" s="27"/>
    </row>
    <row r="3257" spans="1:12">
      <c r="A3257" s="20" t="s">
        <v>2364</v>
      </c>
      <c r="B3257" s="21" t="s">
        <v>1180</v>
      </c>
      <c r="C3257" s="21" t="s">
        <v>1103</v>
      </c>
      <c r="E3257" s="22">
        <f>IF(D3257="?OLD","!!!","")</f>
        <v/>
      </c>
      <c r="F3257" s="23" t="str">
        <f>IF(OR(E3257="",E3257="!!!"),"",IF(NOT(ISNA(VLOOKUP(E3257,E$1:E3256,1,FALSE()))),"OLD",IF(AND(E3257&lt;&gt;"",E3257&lt;&gt;"!!!"),"NEW","")))</f>
        <v> </v>
      </c>
      <c r="G3257" s="24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5" t="str">
        <f>IF(J3257&lt;&gt;1,"",IF(I3257="SBJ","CB","?"))</f>
        <v> </v>
      </c>
      <c r="I3257" s="26" t="str">
        <f>IF(OR(E3257="",E3257="!!!",F3257="NEW"),"",INDEX(B3256:B$2,-1+SUMPRODUCT(MAX(ROW(E3256:E$2)*(E3257=E3256:E$2)))))</f>
        <v> </v>
      </c>
      <c r="J3257" s="26" t="str">
        <f>IF(OR(E3257="",E3257="!!!",F3257="NEW"),"",COUNTBLANK(OFFSET(A$1,,,SUMPRODUCT(MAX(ROW(E$2:E3257)*(E3257=E$2:E3257)))))-COUNTBLANK(OFFSET(A$1,,,SUMPRODUCT(MAX(ROW(E$1:E3256)*(E2=E$1:E3256))))))</f>
        <v> </v>
      </c>
      <c r="K3257" s="26" t="str">
        <f>IF(OR(E3257="",E3257="!!!",F3257="NEW"),"",INDEX(J$1:J3256,SUMPRODUCT(MAX(ROW(E$1:E3256)*(E3257=E$1:E3256)))))</f>
        <v> </v>
      </c>
      <c r="L3257" s="27"/>
    </row>
    <row r="3258" spans="1:12">
      <c r="A3258" s="20" t="s">
        <v>1098</v>
      </c>
      <c r="E3258" s="22">
        <f>IF(D3258="?OLD","!!!","")</f>
        <v/>
      </c>
      <c r="F3258" s="23" t="str">
        <f>IF(OR(E3258="",E3258="!!!"),"",IF(NOT(ISNA(VLOOKUP(E3258,E$1:E3257,1,FALSE()))),"OLD",IF(AND(E3258&lt;&gt;"",E3258&lt;&gt;"!!!"),"NEW","")))</f>
        <v> </v>
      </c>
      <c r="G3258" s="24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5" t="str">
        <f>IF(J3258&lt;&gt;1,"",IF(I3258="SBJ","CB","?"))</f>
        <v> </v>
      </c>
      <c r="I3258" s="26" t="str">
        <f>IF(OR(E3258="",E3258="!!!",F3258="NEW"),"",INDEX(B3257:B$2,-1+SUMPRODUCT(MAX(ROW(E3257:E$2)*(E3258=E3257:E$2)))))</f>
        <v> </v>
      </c>
      <c r="J3258" s="26" t="str">
        <f>IF(OR(E3258="",E3258="!!!",F3258="NEW"),"",COUNTBLANK(OFFSET(A$1,,,SUMPRODUCT(MAX(ROW(E$2:E3258)*(E3258=E$2:E3258)))))-COUNTBLANK(OFFSET(A$1,,,SUMPRODUCT(MAX(ROW(E$1:E3257)*(E2=E$1:E3257))))))</f>
        <v> </v>
      </c>
      <c r="K3258" s="26" t="str">
        <f>IF(OR(E3258="",E3258="!!!",F3258="NEW"),"",INDEX(J$1:J3257,SUMPRODUCT(MAX(ROW(E$1:E3257)*(E3258=E$1:E3257)))))</f>
        <v> </v>
      </c>
      <c r="L3258" s="27"/>
    </row>
    <row r="3259" spans="1:12">
      <c r="A3259" s="20" t="s">
        <v>2365</v>
      </c>
      <c r="E3259" s="22">
        <f>IF(D3259="?OLD","!!!","")</f>
        <v/>
      </c>
      <c r="F3259" s="23" t="str">
        <f>IF(OR(E3259="",E3259="!!!"),"",IF(NOT(ISNA(VLOOKUP(E3259,E$1:E3258,1,FALSE()))),"OLD",IF(AND(E3259&lt;&gt;"",E3259&lt;&gt;"!!!"),"NEW","")))</f>
        <v> </v>
      </c>
      <c r="G3259" s="24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5" t="str">
        <f>IF(J3259&lt;&gt;1,"",IF(I3259="SBJ","CB","?"))</f>
        <v> </v>
      </c>
      <c r="I3259" s="26" t="str">
        <f>IF(OR(E3259="",E3259="!!!",F3259="NEW"),"",INDEX(B3258:B$2,-1+SUMPRODUCT(MAX(ROW(E3258:E$2)*(E3259=E3258:E$2)))))</f>
        <v> </v>
      </c>
      <c r="J3259" s="26" t="str">
        <f>IF(OR(E3259="",E3259="!!!",F3259="NEW"),"",COUNTBLANK(OFFSET(A$1,,,SUMPRODUCT(MAX(ROW(E$2:E3259)*(E3259=E$2:E3259)))))-COUNTBLANK(OFFSET(A$1,,,SUMPRODUCT(MAX(ROW(E$1:E3258)*(E2=E$1:E3258))))))</f>
        <v> </v>
      </c>
      <c r="K3259" s="26" t="str">
        <f>IF(OR(E3259="",E3259="!!!",F3259="NEW"),"",INDEX(J$1:J3258,SUMPRODUCT(MAX(ROW(E$1:E3258)*(E3259=E$1:E3258)))))</f>
        <v> </v>
      </c>
      <c r="L3259" s="27"/>
    </row>
    <row r="3260" spans="1:12">
      <c r="A3260" s="20" t="s">
        <v>1106</v>
      </c>
      <c r="E3260" s="22">
        <f>IF(D3260="?OLD","!!!","")</f>
        <v/>
      </c>
      <c r="F3260" s="23" t="str">
        <f>IF(OR(E3260="",E3260="!!!"),"",IF(NOT(ISNA(VLOOKUP(E3260,E$1:E3259,1,FALSE()))),"OLD",IF(AND(E3260&lt;&gt;"",E3260&lt;&gt;"!!!"),"NEW","")))</f>
        <v> </v>
      </c>
      <c r="G3260" s="24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5" t="str">
        <f>IF(J3260&lt;&gt;1,"",IF(I3260="SBJ","CB","?"))</f>
        <v> </v>
      </c>
      <c r="I3260" s="26" t="str">
        <f>IF(OR(E3260="",E3260="!!!",F3260="NEW"),"",INDEX(B3259:B$2,-1+SUMPRODUCT(MAX(ROW(E3259:E$2)*(E3260=E3259:E$2)))))</f>
        <v> </v>
      </c>
      <c r="J3260" s="26" t="str">
        <f>IF(OR(E3260="",E3260="!!!",F3260="NEW"),"",COUNTBLANK(OFFSET(A$1,,,SUMPRODUCT(MAX(ROW(E$2:E3260)*(E3260=E$2:E3260)))))-COUNTBLANK(OFFSET(A$1,,,SUMPRODUCT(MAX(ROW(E$1:E3259)*(E2=E$1:E3259))))))</f>
        <v> </v>
      </c>
      <c r="K3260" s="26" t="str">
        <f>IF(OR(E3260="",E3260="!!!",F3260="NEW"),"",INDEX(J$1:J3259,SUMPRODUCT(MAX(ROW(E$1:E3259)*(E3260=E$1:E3259)))))</f>
        <v> </v>
      </c>
      <c r="L3260" s="27"/>
    </row>
    <row r="3261" spans="1:12">
      <c r="A3261" s="20"/>
    </row>
    <row r="3262" spans="1:12">
      <c r="A3262" s="20" t="s">
        <v>2366</v>
      </c>
    </row>
    <row r="3263" spans="1:12">
      <c r="A3263" s="20" t="s">
        <v>1132</v>
      </c>
      <c r="B3263" s="21" t="s">
        <v>1072</v>
      </c>
      <c r="C3263" s="21" t="s">
        <v>1073</v>
      </c>
      <c r="D3263" s="21" t="s">
        <v>1074</v>
      </c>
      <c r="E3263" s="22">
        <f>IF(D3263="?OLD","!!!","")</f>
        <v/>
      </c>
      <c r="F3263" s="23" t="str">
        <f>IF(OR(E3263="",E3263="!!!"),"",IF(NOT(ISNA(VLOOKUP(E3263,E$1:E3262,1,FALSE()))),"OLD",IF(AND(E3263&lt;&gt;"",E3263&lt;&gt;"!!!"),"NEW","")))</f>
        <v> </v>
      </c>
      <c r="G3263" s="24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5" t="str">
        <f>IF(J3263&lt;&gt;1,"",IF(I3263="SBJ","CB","?"))</f>
        <v> </v>
      </c>
      <c r="I3263" s="26" t="str">
        <f>IF(OR(E3263="",E3263="!!!",F3263="NEW"),"",INDEX(B3262:B$2,-1+SUMPRODUCT(MAX(ROW(E3262:E$2)*(E3263=E3262:E$2)))))</f>
        <v> </v>
      </c>
      <c r="J3263" s="26" t="str">
        <f>IF(OR(E3263="",E3263="!!!",F3263="NEW"),"",COUNTBLANK(OFFSET(A$1,,,SUMPRODUCT(MAX(ROW(E$2:E3263)*(E3263=E$2:E3263)))))-COUNTBLANK(OFFSET(A$1,,,SUMPRODUCT(MAX(ROW(E$1:E3262)*(E2=E$1:E3262))))))</f>
        <v> </v>
      </c>
      <c r="K3263" s="26" t="str">
        <f>IF(OR(E3263="",E3263="!!!",F3263="NEW"),"",INDEX(J$1:J3262,SUMPRODUCT(MAX(ROW(E$1:E3262)*(E3263=E$1:E3262)))))</f>
        <v> </v>
      </c>
      <c r="L3263" s="27"/>
    </row>
    <row r="3264" spans="1:12">
      <c r="A3264" s="20" t="s">
        <v>1076</v>
      </c>
      <c r="E3264" s="22">
        <f>IF(D3264="?OLD","!!!","")</f>
        <v/>
      </c>
      <c r="F3264" s="23" t="str">
        <f>IF(OR(E3264="",E3264="!!!"),"",IF(NOT(ISNA(VLOOKUP(E3264,E$1:E3263,1,FALSE()))),"OLD",IF(AND(E3264&lt;&gt;"",E3264&lt;&gt;"!!!"),"NEW","")))</f>
        <v> </v>
      </c>
      <c r="G3264" s="24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5" t="str">
        <f>IF(J3264&lt;&gt;1,"",IF(I3264="SBJ","CB","?"))</f>
        <v> </v>
      </c>
      <c r="I3264" s="26" t="str">
        <f>IF(OR(E3264="",E3264="!!!",F3264="NEW"),"",INDEX(B3263:B$2,-1+SUMPRODUCT(MAX(ROW(E3263:E$2)*(E3264=E3263:E$2)))))</f>
        <v> </v>
      </c>
      <c r="J3264" s="26" t="str">
        <f>IF(OR(E3264="",E3264="!!!",F3264="NEW"),"",COUNTBLANK(OFFSET(A$1,,,SUMPRODUCT(MAX(ROW(E$2:E3264)*(E3264=E$2:E3264)))))-COUNTBLANK(OFFSET(A$1,,,SUMPRODUCT(MAX(ROW(E$1:E3263)*(E2=E$1:E3263))))))</f>
        <v> </v>
      </c>
      <c r="K3264" s="26" t="str">
        <f>IF(OR(E3264="",E3264="!!!",F3264="NEW"),"",INDEX(J$1:J3263,SUMPRODUCT(MAX(ROW(E$1:E3263)*(E3264=E$1:E3263)))))</f>
        <v> </v>
      </c>
      <c r="L3264" s="27"/>
    </row>
    <row r="3265" spans="1:12">
      <c r="A3265" s="20" t="s">
        <v>2367</v>
      </c>
      <c r="B3265" s="21" t="s">
        <v>1077</v>
      </c>
      <c r="C3265" s="21" t="s">
        <v>1081</v>
      </c>
      <c r="D3265" s="21" t="s">
        <v>1074</v>
      </c>
      <c r="E3265" s="22">
        <f>IF(D3265="?OLD","!!!","")</f>
        <v/>
      </c>
      <c r="F3265" s="23" t="str">
        <f>IF(OR(E3265="",E3265="!!!"),"",IF(NOT(ISNA(VLOOKUP(E3265,E$1:E3264,1,FALSE()))),"OLD",IF(AND(E3265&lt;&gt;"",E3265&lt;&gt;"!!!"),"NEW","")))</f>
        <v> </v>
      </c>
      <c r="G3265" s="24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5" t="str">
        <f>IF(J3265&lt;&gt;1,"",IF(I3265="SBJ","CB","?"))</f>
        <v> </v>
      </c>
      <c r="I3265" s="26" t="str">
        <f>IF(OR(E3265="",E3265="!!!",F3265="NEW"),"",INDEX(B3264:B$2,-1+SUMPRODUCT(MAX(ROW(E3264:E$2)*(E3265=E3264:E$2)))))</f>
        <v> </v>
      </c>
      <c r="J3265" s="26" t="str">
        <f>IF(OR(E3265="",E3265="!!!",F3265="NEW"),"",COUNTBLANK(OFFSET(A$1,,,SUMPRODUCT(MAX(ROW(E$2:E3265)*(E3265=E$2:E3265)))))-COUNTBLANK(OFFSET(A$1,,,SUMPRODUCT(MAX(ROW(E$1:E3264)*(E2=E$1:E3264))))))</f>
        <v> </v>
      </c>
      <c r="K3265" s="26" t="str">
        <f>IF(OR(E3265="",E3265="!!!",F3265="NEW"),"",INDEX(J$1:J3264,SUMPRODUCT(MAX(ROW(E$1:E3264)*(E3265=E$1:E3264)))))</f>
        <v> </v>
      </c>
      <c r="L3265" s="27"/>
    </row>
    <row r="3266" spans="1:12">
      <c r="A3266" s="20" t="s">
        <v>2368</v>
      </c>
      <c r="E3266" s="22">
        <f>IF(D3266="?OLD","!!!","")</f>
        <v/>
      </c>
      <c r="F3266" s="23" t="str">
        <f>IF(OR(E3266="",E3266="!!!"),"",IF(NOT(ISNA(VLOOKUP(E3266,E$1:E3265,1,FALSE()))),"OLD",IF(AND(E3266&lt;&gt;"",E3266&lt;&gt;"!!!"),"NEW","")))</f>
        <v> </v>
      </c>
      <c r="G3266" s="24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5" t="str">
        <f>IF(J3266&lt;&gt;1,"",IF(I3266="SBJ","CB","?"))</f>
        <v> </v>
      </c>
      <c r="I3266" s="26" t="str">
        <f>IF(OR(E3266="",E3266="!!!",F3266="NEW"),"",INDEX(B3265:B$2,-1+SUMPRODUCT(MAX(ROW(E3265:E$2)*(E3266=E3265:E$2)))))</f>
        <v> </v>
      </c>
      <c r="J3266" s="26" t="str">
        <f>IF(OR(E3266="",E3266="!!!",F3266="NEW"),"",COUNTBLANK(OFFSET(A$1,,,SUMPRODUCT(MAX(ROW(E$2:E3266)*(E3266=E$2:E3266)))))-COUNTBLANK(OFFSET(A$1,,,SUMPRODUCT(MAX(ROW(E$1:E3265)*(E2=E$1:E3265))))))</f>
        <v> </v>
      </c>
      <c r="K3266" s="26" t="str">
        <f>IF(OR(E3266="",E3266="!!!",F3266="NEW"),"",INDEX(J$1:J3265,SUMPRODUCT(MAX(ROW(E$1:E3265)*(E3266=E$1:E3265)))))</f>
        <v> </v>
      </c>
      <c r="L3266" s="27"/>
    </row>
    <row r="3267" spans="1:12">
      <c r="A3267" s="20" t="s">
        <v>1150</v>
      </c>
      <c r="E3267" s="22">
        <f>IF(D3267="?OLD","!!!","")</f>
        <v/>
      </c>
      <c r="F3267" s="23" t="str">
        <f>IF(OR(E3267="",E3267="!!!"),"",IF(NOT(ISNA(VLOOKUP(E3267,E$1:E3266,1,FALSE()))),"OLD",IF(AND(E3267&lt;&gt;"",E3267&lt;&gt;"!!!"),"NEW","")))</f>
        <v> </v>
      </c>
      <c r="G3267" s="24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5" t="str">
        <f>IF(J3267&lt;&gt;1,"",IF(I3267="SBJ","CB","?"))</f>
        <v> </v>
      </c>
      <c r="I3267" s="26" t="str">
        <f>IF(OR(E3267="",E3267="!!!",F3267="NEW"),"",INDEX(B3266:B$2,-1+SUMPRODUCT(MAX(ROW(E3266:E$2)*(E3267=E3266:E$2)))))</f>
        <v> </v>
      </c>
      <c r="J3267" s="26" t="str">
        <f>IF(OR(E3267="",E3267="!!!",F3267="NEW"),"",COUNTBLANK(OFFSET(A$1,,,SUMPRODUCT(MAX(ROW(E$2:E3267)*(E3267=E$2:E3267)))))-COUNTBLANK(OFFSET(A$1,,,SUMPRODUCT(MAX(ROW(E$1:E3266)*(E2=E$1:E3266))))))</f>
        <v> </v>
      </c>
      <c r="K3267" s="26" t="str">
        <f>IF(OR(E3267="",E3267="!!!",F3267="NEW"),"",INDEX(J$1:J3266,SUMPRODUCT(MAX(ROW(E$1:E3266)*(E3267=E$1:E3266)))))</f>
        <v> </v>
      </c>
      <c r="L3267" s="27"/>
    </row>
    <row r="3268" spans="1:12">
      <c r="A3268" s="20" t="s">
        <v>2369</v>
      </c>
      <c r="E3268" s="22">
        <f>IF(D3268="?OLD","!!!","")</f>
        <v/>
      </c>
      <c r="F3268" s="23" t="str">
        <f>IF(OR(E3268="",E3268="!!!"),"",IF(NOT(ISNA(VLOOKUP(E3268,E$1:E3267,1,FALSE()))),"OLD",IF(AND(E3268&lt;&gt;"",E3268&lt;&gt;"!!!"),"NEW","")))</f>
        <v> </v>
      </c>
      <c r="G3268" s="24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5" t="str">
        <f>IF(J3268&lt;&gt;1,"",IF(I3268="SBJ","CB","?"))</f>
        <v> </v>
      </c>
      <c r="I3268" s="26" t="str">
        <f>IF(OR(E3268="",E3268="!!!",F3268="NEW"),"",INDEX(B3267:B$2,-1+SUMPRODUCT(MAX(ROW(E3267:E$2)*(E3268=E3267:E$2)))))</f>
        <v> </v>
      </c>
      <c r="J3268" s="26" t="str">
        <f>IF(OR(E3268="",E3268="!!!",F3268="NEW"),"",COUNTBLANK(OFFSET(A$1,,,SUMPRODUCT(MAX(ROW(E$2:E3268)*(E3268=E$2:E3268)))))-COUNTBLANK(OFFSET(A$1,,,SUMPRODUCT(MAX(ROW(E$1:E3267)*(E2=E$1:E3267))))))</f>
        <v> </v>
      </c>
      <c r="K3268" s="26" t="str">
        <f>IF(OR(E3268="",E3268="!!!",F3268="NEW"),"",INDEX(J$1:J3267,SUMPRODUCT(MAX(ROW(E$1:E3267)*(E3268=E$1:E3267)))))</f>
        <v> </v>
      </c>
      <c r="L3268" s="27"/>
    </row>
    <row r="3269" spans="1:12">
      <c r="A3269" s="20" t="s">
        <v>1346</v>
      </c>
      <c r="B3269" s="21" t="s">
        <v>1199</v>
      </c>
      <c r="C3269" s="21" t="s">
        <v>1081</v>
      </c>
      <c r="D3269" s="21" t="s">
        <v>1074</v>
      </c>
      <c r="E3269" s="22">
        <f>IF(D3269="?OLD","!!!","")</f>
        <v/>
      </c>
      <c r="F3269" s="23" t="str">
        <f>IF(OR(E3269="",E3269="!!!"),"",IF(NOT(ISNA(VLOOKUP(E3269,E$1:E3268,1,FALSE()))),"OLD",IF(AND(E3269&lt;&gt;"",E3269&lt;&gt;"!!!"),"NEW","")))</f>
        <v> </v>
      </c>
      <c r="G3269" s="24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5" t="str">
        <f>IF(J3269&lt;&gt;1,"",IF(I3269="SBJ","CB","?"))</f>
        <v> </v>
      </c>
      <c r="I3269" s="26" t="str">
        <f>IF(OR(E3269="",E3269="!!!",F3269="NEW"),"",INDEX(B3268:B$2,-1+SUMPRODUCT(MAX(ROW(E3268:E$2)*(E3269=E3268:E$2)))))</f>
        <v> </v>
      </c>
      <c r="J3269" s="26" t="str">
        <f>IF(OR(E3269="",E3269="!!!",F3269="NEW"),"",COUNTBLANK(OFFSET(A$1,,,SUMPRODUCT(MAX(ROW(E$2:E3269)*(E3269=E$2:E3269)))))-COUNTBLANK(OFFSET(A$1,,,SUMPRODUCT(MAX(ROW(E$1:E3268)*(E2=E$1:E3268))))))</f>
        <v> </v>
      </c>
      <c r="K3269" s="26" t="str">
        <f>IF(OR(E3269="",E3269="!!!",F3269="NEW"),"",INDEX(J$1:J3268,SUMPRODUCT(MAX(ROW(E$1:E3268)*(E3269=E$1:E3268)))))</f>
        <v> </v>
      </c>
      <c r="L3269" s="27"/>
    </row>
    <row r="3270" spans="1:12">
      <c r="A3270" s="20" t="s">
        <v>2024</v>
      </c>
      <c r="E3270" s="22">
        <f>IF(D3270="?OLD","!!!","")</f>
        <v/>
      </c>
      <c r="F3270" s="23" t="str">
        <f>IF(OR(E3270="",E3270="!!!"),"",IF(NOT(ISNA(VLOOKUP(E3270,E$1:E3269,1,FALSE()))),"OLD",IF(AND(E3270&lt;&gt;"",E3270&lt;&gt;"!!!"),"NEW","")))</f>
        <v> </v>
      </c>
      <c r="G3270" s="24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5" t="str">
        <f>IF(J3270&lt;&gt;1,"",IF(I3270="SBJ","CB","?"))</f>
        <v> </v>
      </c>
      <c r="I3270" s="26" t="str">
        <f>IF(OR(E3270="",E3270="!!!",F3270="NEW"),"",INDEX(B3269:B$2,-1+SUMPRODUCT(MAX(ROW(E3269:E$2)*(E3270=E3269:E$2)))))</f>
        <v> </v>
      </c>
      <c r="J3270" s="26" t="str">
        <f>IF(OR(E3270="",E3270="!!!",F3270="NEW"),"",COUNTBLANK(OFFSET(A$1,,,SUMPRODUCT(MAX(ROW(E$2:E3270)*(E3270=E$2:E3270)))))-COUNTBLANK(OFFSET(A$1,,,SUMPRODUCT(MAX(ROW(E$1:E3269)*(E2=E$1:E3269))))))</f>
        <v> </v>
      </c>
      <c r="K3270" s="26" t="str">
        <f>IF(OR(E3270="",E3270="!!!",F3270="NEW"),"",INDEX(J$1:J3269,SUMPRODUCT(MAX(ROW(E$1:E3269)*(E3270=E$1:E3269)))))</f>
        <v> </v>
      </c>
      <c r="L3270" s="27"/>
    </row>
    <row r="3271" spans="1:12">
      <c r="A3271" s="20" t="s">
        <v>2370</v>
      </c>
      <c r="E3271" s="22">
        <f>IF(D3271="?OLD","!!!","")</f>
        <v/>
      </c>
      <c r="F3271" s="23" t="str">
        <f>IF(OR(E3271="",E3271="!!!"),"",IF(NOT(ISNA(VLOOKUP(E3271,E$1:E3270,1,FALSE()))),"OLD",IF(AND(E3271&lt;&gt;"",E3271&lt;&gt;"!!!"),"NEW","")))</f>
        <v> </v>
      </c>
      <c r="G3271" s="24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5" t="str">
        <f>IF(J3271&lt;&gt;1,"",IF(I3271="SBJ","CB","?"))</f>
        <v> </v>
      </c>
      <c r="I3271" s="26" t="str">
        <f>IF(OR(E3271="",E3271="!!!",F3271="NEW"),"",INDEX(B3270:B$2,-1+SUMPRODUCT(MAX(ROW(E3270:E$2)*(E3271=E3270:E$2)))))</f>
        <v> </v>
      </c>
      <c r="J3271" s="26" t="str">
        <f>IF(OR(E3271="",E3271="!!!",F3271="NEW"),"",COUNTBLANK(OFFSET(A$1,,,SUMPRODUCT(MAX(ROW(E$2:E3271)*(E3271=E$2:E3271)))))-COUNTBLANK(OFFSET(A$1,,,SUMPRODUCT(MAX(ROW(E$1:E3270)*(E2=E$1:E3270))))))</f>
        <v> </v>
      </c>
      <c r="K3271" s="26" t="str">
        <f>IF(OR(E3271="",E3271="!!!",F3271="NEW"),"",INDEX(J$1:J3270,SUMPRODUCT(MAX(ROW(E$1:E3270)*(E3271=E$1:E3270)))))</f>
        <v> </v>
      </c>
      <c r="L3271" s="27"/>
    </row>
    <row r="3272" spans="1:12">
      <c r="A3272" s="20" t="s">
        <v>1106</v>
      </c>
      <c r="E3272" s="22">
        <f>IF(D3272="?OLD","!!!","")</f>
        <v/>
      </c>
      <c r="F3272" s="23" t="str">
        <f>IF(OR(E3272="",E3272="!!!"),"",IF(NOT(ISNA(VLOOKUP(E3272,E$1:E3271,1,FALSE()))),"OLD",IF(AND(E3272&lt;&gt;"",E3272&lt;&gt;"!!!"),"NEW","")))</f>
        <v> </v>
      </c>
      <c r="G3272" s="24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5" t="str">
        <f>IF(J3272&lt;&gt;1,"",IF(I3272="SBJ","CB","?"))</f>
        <v> </v>
      </c>
      <c r="I3272" s="26" t="str">
        <f>IF(OR(E3272="",E3272="!!!",F3272="NEW"),"",INDEX(B3271:B$2,-1+SUMPRODUCT(MAX(ROW(E3271:E$2)*(E3272=E3271:E$2)))))</f>
        <v> </v>
      </c>
      <c r="J3272" s="26" t="str">
        <f>IF(OR(E3272="",E3272="!!!",F3272="NEW"),"",COUNTBLANK(OFFSET(A$1,,,SUMPRODUCT(MAX(ROW(E$2:E3272)*(E3272=E$2:E3272)))))-COUNTBLANK(OFFSET(A$1,,,SUMPRODUCT(MAX(ROW(E$1:E3271)*(E2=E$1:E3271))))))</f>
        <v> </v>
      </c>
      <c r="K3272" s="26" t="str">
        <f>IF(OR(E3272="",E3272="!!!",F3272="NEW"),"",INDEX(J$1:J3271,SUMPRODUCT(MAX(ROW(E$1:E3271)*(E3272=E$1:E3271)))))</f>
        <v> </v>
      </c>
      <c r="L3272" s="27"/>
    </row>
    <row r="3273" spans="1:12">
      <c r="A3273" s="20"/>
    </row>
    <row r="3274" spans="1:12">
      <c r="A3274" s="20" t="s">
        <v>2371</v>
      </c>
    </row>
    <row r="3275" spans="1:12">
      <c r="A3275" s="20" t="s">
        <v>661</v>
      </c>
      <c r="E3275" s="22">
        <f>IF(D3275="?OLD","!!!","")</f>
        <v/>
      </c>
      <c r="F3275" s="23" t="str">
        <f>IF(OR(E3275="",E3275="!!!"),"",IF(NOT(ISNA(VLOOKUP(E3275,E$1:E3274,1,FALSE()))),"OLD",IF(AND(E3275&lt;&gt;"",E3275&lt;&gt;"!!!"),"NEW","")))</f>
        <v> </v>
      </c>
      <c r="G3275" s="24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5" t="str">
        <f>IF(J3275&lt;&gt;1,"",IF(I3275="SBJ","CB","?"))</f>
        <v> </v>
      </c>
      <c r="I3275" s="26" t="str">
        <f>IF(OR(E3275="",E3275="!!!",F3275="NEW"),"",INDEX(B3274:B$2,-1+SUMPRODUCT(MAX(ROW(E3274:E$2)*(E3275=E3274:E$2)))))</f>
        <v> </v>
      </c>
      <c r="J3275" s="26" t="str">
        <f>IF(OR(E3275="",E3275="!!!",F3275="NEW"),"",COUNTBLANK(OFFSET(A$1,,,SUMPRODUCT(MAX(ROW(E$2:E3275)*(E3275=E$2:E3275)))))-COUNTBLANK(OFFSET(A$1,,,SUMPRODUCT(MAX(ROW(E$1:E3274)*(E2=E$1:E3274))))))</f>
        <v> </v>
      </c>
      <c r="K3275" s="26" t="str">
        <f>IF(OR(E3275="",E3275="!!!",F3275="NEW"),"",INDEX(J$1:J3274,SUMPRODUCT(MAX(ROW(E$1:E3274)*(E3275=E$1:E3274)))))</f>
        <v> </v>
      </c>
      <c r="L3275" s="27"/>
    </row>
    <row r="3276" spans="1:12">
      <c r="A3276" s="20" t="s">
        <v>1076</v>
      </c>
      <c r="E3276" s="22">
        <f>IF(D3276="?OLD","!!!","")</f>
        <v/>
      </c>
      <c r="F3276" s="23" t="str">
        <f>IF(OR(E3276="",E3276="!!!"),"",IF(NOT(ISNA(VLOOKUP(E3276,E$1:E3275,1,FALSE()))),"OLD",IF(AND(E3276&lt;&gt;"",E3276&lt;&gt;"!!!"),"NEW","")))</f>
        <v> </v>
      </c>
      <c r="G3276" s="24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5" t="str">
        <f>IF(J3276&lt;&gt;1,"",IF(I3276="SBJ","CB","?"))</f>
        <v> </v>
      </c>
      <c r="I3276" s="26" t="str">
        <f>IF(OR(E3276="",E3276="!!!",F3276="NEW"),"",INDEX(B3275:B$2,-1+SUMPRODUCT(MAX(ROW(E3275:E$2)*(E3276=E3275:E$2)))))</f>
        <v> </v>
      </c>
      <c r="J3276" s="26" t="str">
        <f>IF(OR(E3276="",E3276="!!!",F3276="NEW"),"",COUNTBLANK(OFFSET(A$1,,,SUMPRODUCT(MAX(ROW(E$2:E3276)*(E3276=E$2:E3276)))))-COUNTBLANK(OFFSET(A$1,,,SUMPRODUCT(MAX(ROW(E$1:E3275)*(E2=E$1:E3275))))))</f>
        <v> </v>
      </c>
      <c r="K3276" s="26" t="str">
        <f>IF(OR(E3276="",E3276="!!!",F3276="NEW"),"",INDEX(J$1:J3275,SUMPRODUCT(MAX(ROW(E$1:E3275)*(E3276=E$1:E3275)))))</f>
        <v> </v>
      </c>
      <c r="L3276" s="27"/>
    </row>
    <row r="3277" spans="1:12">
      <c r="A3277" s="20" t="s">
        <v>1108</v>
      </c>
      <c r="B3277" s="21" t="s">
        <v>1077</v>
      </c>
      <c r="C3277" s="21" t="s">
        <v>1081</v>
      </c>
      <c r="D3277" s="21" t="s">
        <v>1074</v>
      </c>
      <c r="E3277" s="22">
        <f>IF(D3277="?OLD","!!!","")</f>
        <v/>
      </c>
      <c r="F3277" s="23" t="str">
        <f>IF(OR(E3277="",E3277="!!!"),"",IF(NOT(ISNA(VLOOKUP(E3277,E$1:E3276,1,FALSE()))),"OLD",IF(AND(E3277&lt;&gt;"",E3277&lt;&gt;"!!!"),"NEW","")))</f>
        <v> </v>
      </c>
      <c r="G3277" s="24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5" t="str">
        <f>IF(J3277&lt;&gt;1,"",IF(I3277="SBJ","CB","?"))</f>
        <v> </v>
      </c>
      <c r="I3277" s="26" t="str">
        <f>IF(OR(E3277="",E3277="!!!",F3277="NEW"),"",INDEX(B3276:B$2,-1+SUMPRODUCT(MAX(ROW(E3276:E$2)*(E3277=E3276:E$2)))))</f>
        <v> </v>
      </c>
      <c r="J3277" s="26" t="str">
        <f>IF(OR(E3277="",E3277="!!!",F3277="NEW"),"",COUNTBLANK(OFFSET(A$1,,,SUMPRODUCT(MAX(ROW(E$2:E3277)*(E3277=E$2:E3277)))))-COUNTBLANK(OFFSET(A$1,,,SUMPRODUCT(MAX(ROW(E$1:E3276)*(E2=E$1:E3276))))))</f>
        <v> </v>
      </c>
      <c r="K3277" s="26" t="str">
        <f>IF(OR(E3277="",E3277="!!!",F3277="NEW"),"",INDEX(J$1:J3276,SUMPRODUCT(MAX(ROW(E$1:E3276)*(E3277=E$1:E3276)))))</f>
        <v> </v>
      </c>
      <c r="L3277" s="27"/>
    </row>
    <row r="3278" spans="1:12">
      <c r="A3278" s="20" t="s">
        <v>1747</v>
      </c>
      <c r="E3278" s="22">
        <f>IF(D3278="?OLD","!!!","")</f>
        <v/>
      </c>
      <c r="F3278" s="23" t="str">
        <f>IF(OR(E3278="",E3278="!!!"),"",IF(NOT(ISNA(VLOOKUP(E3278,E$1:E3277,1,FALSE()))),"OLD",IF(AND(E3278&lt;&gt;"",E3278&lt;&gt;"!!!"),"NEW","")))</f>
        <v> </v>
      </c>
      <c r="G3278" s="24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5" t="str">
        <f>IF(J3278&lt;&gt;1,"",IF(I3278="SBJ","CB","?"))</f>
        <v> </v>
      </c>
      <c r="I3278" s="26" t="str">
        <f>IF(OR(E3278="",E3278="!!!",F3278="NEW"),"",INDEX(B3277:B$2,-1+SUMPRODUCT(MAX(ROW(E3277:E$2)*(E3278=E3277:E$2)))))</f>
        <v> </v>
      </c>
      <c r="J3278" s="26" t="str">
        <f>IF(OR(E3278="",E3278="!!!",F3278="NEW"),"",COUNTBLANK(OFFSET(A$1,,,SUMPRODUCT(MAX(ROW(E$2:E3278)*(E3278=E$2:E3278)))))-COUNTBLANK(OFFSET(A$1,,,SUMPRODUCT(MAX(ROW(E$1:E3277)*(E2=E$1:E3277))))))</f>
        <v> </v>
      </c>
      <c r="K3278" s="26" t="str">
        <f>IF(OR(E3278="",E3278="!!!",F3278="NEW"),"",INDEX(J$1:J3277,SUMPRODUCT(MAX(ROW(E$1:E3277)*(E3278=E$1:E3277)))))</f>
        <v> </v>
      </c>
      <c r="L3278" s="27"/>
    </row>
    <row r="3279" spans="1:12">
      <c r="A3279" s="20" t="s">
        <v>1076</v>
      </c>
      <c r="E3279" s="22">
        <f>IF(D3279="?OLD","!!!","")</f>
        <v/>
      </c>
      <c r="F3279" s="23" t="str">
        <f>IF(OR(E3279="",E3279="!!!"),"",IF(NOT(ISNA(VLOOKUP(E3279,E$1:E3278,1,FALSE()))),"OLD",IF(AND(E3279&lt;&gt;"",E3279&lt;&gt;"!!!"),"NEW","")))</f>
        <v> </v>
      </c>
      <c r="G3279" s="24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5" t="str">
        <f>IF(J3279&lt;&gt;1,"",IF(I3279="SBJ","CB","?"))</f>
        <v> </v>
      </c>
      <c r="I3279" s="26" t="str">
        <f>IF(OR(E3279="",E3279="!!!",F3279="NEW"),"",INDEX(B3278:B$2,-1+SUMPRODUCT(MAX(ROW(E3278:E$2)*(E3279=E3278:E$2)))))</f>
        <v> </v>
      </c>
      <c r="J3279" s="26" t="str">
        <f>IF(OR(E3279="",E3279="!!!",F3279="NEW"),"",COUNTBLANK(OFFSET(A$1,,,SUMPRODUCT(MAX(ROW(E$2:E3279)*(E3279=E$2:E3279)))))-COUNTBLANK(OFFSET(A$1,,,SUMPRODUCT(MAX(ROW(E$1:E3278)*(E2=E$1:E3278))))))</f>
        <v> </v>
      </c>
      <c r="K3279" s="26" t="str">
        <f>IF(OR(E3279="",E3279="!!!",F3279="NEW"),"",INDEX(J$1:J3278,SUMPRODUCT(MAX(ROW(E$1:E3278)*(E3279=E$1:E3278)))))</f>
        <v> </v>
      </c>
      <c r="L3279" s="27"/>
    </row>
    <row r="3280" spans="1:12">
      <c r="A3280" s="20" t="s">
        <v>1155</v>
      </c>
      <c r="E3280" s="22">
        <f>IF(D3280="?OLD","!!!","")</f>
        <v/>
      </c>
      <c r="F3280" s="23" t="str">
        <f>IF(OR(E3280="",E3280="!!!"),"",IF(NOT(ISNA(VLOOKUP(E3280,E$1:E3279,1,FALSE()))),"OLD",IF(AND(E3280&lt;&gt;"",E3280&lt;&gt;"!!!"),"NEW","")))</f>
        <v> </v>
      </c>
      <c r="G3280" s="24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5" t="str">
        <f>IF(J3280&lt;&gt;1,"",IF(I3280="SBJ","CB","?"))</f>
        <v> </v>
      </c>
      <c r="I3280" s="26" t="str">
        <f>IF(OR(E3280="",E3280="!!!",F3280="NEW"),"",INDEX(B3279:B$2,-1+SUMPRODUCT(MAX(ROW(E3279:E$2)*(E3280=E3279:E$2)))))</f>
        <v> </v>
      </c>
      <c r="J3280" s="26" t="str">
        <f>IF(OR(E3280="",E3280="!!!",F3280="NEW"),"",COUNTBLANK(OFFSET(A$1,,,SUMPRODUCT(MAX(ROW(E$2:E3280)*(E3280=E$2:E3280)))))-COUNTBLANK(OFFSET(A$1,,,SUMPRODUCT(MAX(ROW(E$1:E3279)*(E2=E$1:E3279))))))</f>
        <v> </v>
      </c>
      <c r="K3280" s="26" t="str">
        <f>IF(OR(E3280="",E3280="!!!",F3280="NEW"),"",INDEX(J$1:J3279,SUMPRODUCT(MAX(ROW(E$1:E3279)*(E3280=E$1:E3279)))))</f>
        <v> </v>
      </c>
      <c r="L3280" s="27"/>
    </row>
    <row r="3281" spans="1:12">
      <c r="A3281" s="20" t="s">
        <v>496</v>
      </c>
      <c r="E3281" s="22">
        <f>IF(D3281="?OLD","!!!","")</f>
        <v/>
      </c>
      <c r="F3281" s="23" t="str">
        <f>IF(OR(E3281="",E3281="!!!"),"",IF(NOT(ISNA(VLOOKUP(E3281,E$1:E3280,1,FALSE()))),"OLD",IF(AND(E3281&lt;&gt;"",E3281&lt;&gt;"!!!"),"NEW","")))</f>
        <v> </v>
      </c>
      <c r="G3281" s="24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5" t="str">
        <f>IF(J3281&lt;&gt;1,"",IF(I3281="SBJ","CB","?"))</f>
        <v> </v>
      </c>
      <c r="I3281" s="26" t="str">
        <f>IF(OR(E3281="",E3281="!!!",F3281="NEW"),"",INDEX(B3280:B$2,-1+SUMPRODUCT(MAX(ROW(E3280:E$2)*(E3281=E3280:E$2)))))</f>
        <v> </v>
      </c>
      <c r="J3281" s="26" t="str">
        <f>IF(OR(E3281="",E3281="!!!",F3281="NEW"),"",COUNTBLANK(OFFSET(A$1,,,SUMPRODUCT(MAX(ROW(E$2:E3281)*(E3281=E$2:E3281)))))-COUNTBLANK(OFFSET(A$1,,,SUMPRODUCT(MAX(ROW(E$1:E3280)*(E2=E$1:E3280))))))</f>
        <v> </v>
      </c>
      <c r="K3281" s="26" t="str">
        <f>IF(OR(E3281="",E3281="!!!",F3281="NEW"),"",INDEX(J$1:J3280,SUMPRODUCT(MAX(ROW(E$1:E3280)*(E3281=E$1:E3280)))))</f>
        <v> </v>
      </c>
      <c r="L3281" s="27"/>
    </row>
    <row r="3282" spans="1:12">
      <c r="A3282" s="20" t="s">
        <v>1290</v>
      </c>
      <c r="E3282" s="22">
        <f>IF(D3282="?OLD","!!!","")</f>
        <v/>
      </c>
      <c r="F3282" s="23" t="str">
        <f>IF(OR(E3282="",E3282="!!!"),"",IF(NOT(ISNA(VLOOKUP(E3282,E$1:E3281,1,FALSE()))),"OLD",IF(AND(E3282&lt;&gt;"",E3282&lt;&gt;"!!!"),"NEW","")))</f>
        <v> </v>
      </c>
      <c r="G3282" s="24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5" t="str">
        <f>IF(J3282&lt;&gt;1,"",IF(I3282="SBJ","CB","?"))</f>
        <v> </v>
      </c>
      <c r="I3282" s="26" t="str">
        <f>IF(OR(E3282="",E3282="!!!",F3282="NEW"),"",INDEX(B3281:B$2,-1+SUMPRODUCT(MAX(ROW(E3281:E$2)*(E3282=E3281:E$2)))))</f>
        <v> </v>
      </c>
      <c r="J3282" s="26" t="str">
        <f>IF(OR(E3282="",E3282="!!!",F3282="NEW"),"",COUNTBLANK(OFFSET(A$1,,,SUMPRODUCT(MAX(ROW(E$2:E3282)*(E3282=E$2:E3282)))))-COUNTBLANK(OFFSET(A$1,,,SUMPRODUCT(MAX(ROW(E$1:E3281)*(E2=E$1:E3281))))))</f>
        <v> </v>
      </c>
      <c r="K3282" s="26" t="str">
        <f>IF(OR(E3282="",E3282="!!!",F3282="NEW"),"",INDEX(J$1:J3281,SUMPRODUCT(MAX(ROW(E$1:E3281)*(E3282=E$1:E3281)))))</f>
        <v> </v>
      </c>
      <c r="L3282" s="27"/>
    </row>
    <row r="3283" spans="1:12">
      <c r="A3283" s="20" t="s">
        <v>1789</v>
      </c>
      <c r="B3283" s="21" t="s">
        <v>1205</v>
      </c>
      <c r="E3283" s="22">
        <f>IF(D3283="?OLD","!!!","")</f>
        <v/>
      </c>
      <c r="F3283" s="23" t="str">
        <f>IF(OR(E3283="",E3283="!!!"),"",IF(NOT(ISNA(VLOOKUP(E3283,E$1:E3282,1,FALSE()))),"OLD",IF(AND(E3283&lt;&gt;"",E3283&lt;&gt;"!!!"),"NEW","")))</f>
        <v> </v>
      </c>
      <c r="G3283" s="24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5" t="str">
        <f>IF(J3283&lt;&gt;1,"",IF(I3283="SBJ","CB","?"))</f>
        <v> </v>
      </c>
      <c r="I3283" s="26" t="str">
        <f>IF(OR(E3283="",E3283="!!!",F3283="NEW"),"",INDEX(B3282:B$2,-1+SUMPRODUCT(MAX(ROW(E3282:E$2)*(E3283=E3282:E$2)))))</f>
        <v> </v>
      </c>
      <c r="J3283" s="26" t="str">
        <f>IF(OR(E3283="",E3283="!!!",F3283="NEW"),"",COUNTBLANK(OFFSET(A$1,,,SUMPRODUCT(MAX(ROW(E$2:E3283)*(E3283=E$2:E3283)))))-COUNTBLANK(OFFSET(A$1,,,SUMPRODUCT(MAX(ROW(E$1:E3282)*(E2=E$1:E3282))))))</f>
        <v> </v>
      </c>
      <c r="K3283" s="26" t="str">
        <f>IF(OR(E3283="",E3283="!!!",F3283="NEW"),"",INDEX(J$1:J3282,SUMPRODUCT(MAX(ROW(E$1:E3282)*(E3283=E$1:E3282)))))</f>
        <v> </v>
      </c>
      <c r="L3283" s="27"/>
    </row>
    <row r="3284" spans="1:12">
      <c r="A3284" s="20" t="s">
        <v>2372</v>
      </c>
      <c r="E3284" s="22">
        <f>IF(D3284="?OLD","!!!","")</f>
        <v/>
      </c>
      <c r="F3284" s="23" t="str">
        <f>IF(OR(E3284="",E3284="!!!"),"",IF(NOT(ISNA(VLOOKUP(E3284,E$1:E3283,1,FALSE()))),"OLD",IF(AND(E3284&lt;&gt;"",E3284&lt;&gt;"!!!"),"NEW","")))</f>
        <v> </v>
      </c>
      <c r="G3284" s="24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5" t="str">
        <f>IF(J3284&lt;&gt;1,"",IF(I3284="SBJ","CB","?"))</f>
        <v> </v>
      </c>
      <c r="I3284" s="26" t="str">
        <f>IF(OR(E3284="",E3284="!!!",F3284="NEW"),"",INDEX(B3283:B$2,-1+SUMPRODUCT(MAX(ROW(E3283:E$2)*(E3284=E3283:E$2)))))</f>
        <v> </v>
      </c>
      <c r="J3284" s="26" t="str">
        <f>IF(OR(E3284="",E3284="!!!",F3284="NEW"),"",COUNTBLANK(OFFSET(A$1,,,SUMPRODUCT(MAX(ROW(E$2:E3284)*(E3284=E$2:E3284)))))-COUNTBLANK(OFFSET(A$1,,,SUMPRODUCT(MAX(ROW(E$1:E3283)*(E2=E$1:E3283))))))</f>
        <v> </v>
      </c>
      <c r="K3284" s="26" t="str">
        <f>IF(OR(E3284="",E3284="!!!",F3284="NEW"),"",INDEX(J$1:J3283,SUMPRODUCT(MAX(ROW(E$1:E3283)*(E3284=E$1:E3283)))))</f>
        <v> </v>
      </c>
      <c r="L3284" s="27"/>
    </row>
    <row r="3285" spans="1:12">
      <c r="A3285" s="20" t="s">
        <v>245</v>
      </c>
      <c r="E3285" s="22">
        <f>IF(D3285="?OLD","!!!","")</f>
        <v/>
      </c>
      <c r="F3285" s="23" t="str">
        <f>IF(OR(E3285="",E3285="!!!"),"",IF(NOT(ISNA(VLOOKUP(E3285,E$1:E3284,1,FALSE()))),"OLD",IF(AND(E3285&lt;&gt;"",E3285&lt;&gt;"!!!"),"NEW","")))</f>
        <v> </v>
      </c>
      <c r="G3285" s="24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5" t="str">
        <f>IF(J3285&lt;&gt;1,"",IF(I3285="SBJ","CB","?"))</f>
        <v> </v>
      </c>
      <c r="I3285" s="26" t="str">
        <f>IF(OR(E3285="",E3285="!!!",F3285="NEW"),"",INDEX(B3284:B$2,-1+SUMPRODUCT(MAX(ROW(E3284:E$2)*(E3285=E3284:E$2)))))</f>
        <v> </v>
      </c>
      <c r="J3285" s="26" t="str">
        <f>IF(OR(E3285="",E3285="!!!",F3285="NEW"),"",COUNTBLANK(OFFSET(A$1,,,SUMPRODUCT(MAX(ROW(E$2:E3285)*(E3285=E$2:E3285)))))-COUNTBLANK(OFFSET(A$1,,,SUMPRODUCT(MAX(ROW(E$1:E3284)*(E2=E$1:E3284))))))</f>
        <v> </v>
      </c>
      <c r="K3285" s="26" t="str">
        <f>IF(OR(E3285="",E3285="!!!",F3285="NEW"),"",INDEX(J$1:J3284,SUMPRODUCT(MAX(ROW(E$1:E3284)*(E3285=E$1:E3284)))))</f>
        <v> </v>
      </c>
      <c r="L3285" s="27"/>
    </row>
    <row r="3286" spans="1:12">
      <c r="A3286" s="20" t="s">
        <v>2373</v>
      </c>
      <c r="B3286" s="21" t="s">
        <v>1161</v>
      </c>
      <c r="E3286" s="22">
        <f>IF(D3286="?OLD","!!!","")</f>
        <v/>
      </c>
      <c r="F3286" s="23" t="str">
        <f>IF(OR(E3286="",E3286="!!!"),"",IF(NOT(ISNA(VLOOKUP(E3286,E$1:E3285,1,FALSE()))),"OLD",IF(AND(E3286&lt;&gt;"",E3286&lt;&gt;"!!!"),"NEW","")))</f>
        <v> </v>
      </c>
      <c r="G3286" s="24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5" t="str">
        <f>IF(J3286&lt;&gt;1,"",IF(I3286="SBJ","CB","?"))</f>
        <v> </v>
      </c>
      <c r="I3286" s="26" t="str">
        <f>IF(OR(E3286="",E3286="!!!",F3286="NEW"),"",INDEX(B3285:B$2,-1+SUMPRODUCT(MAX(ROW(E3285:E$2)*(E3286=E3285:E$2)))))</f>
        <v> </v>
      </c>
      <c r="J3286" s="26" t="str">
        <f>IF(OR(E3286="",E3286="!!!",F3286="NEW"),"",COUNTBLANK(OFFSET(A$1,,,SUMPRODUCT(MAX(ROW(E$2:E3286)*(E3286=E$2:E3286)))))-COUNTBLANK(OFFSET(A$1,,,SUMPRODUCT(MAX(ROW(E$1:E3285)*(E2=E$1:E3285))))))</f>
        <v> </v>
      </c>
      <c r="K3286" s="26" t="str">
        <f>IF(OR(E3286="",E3286="!!!",F3286="NEW"),"",INDEX(J$1:J3285,SUMPRODUCT(MAX(ROW(E$1:E3285)*(E3286=E$1:E3285)))))</f>
        <v> </v>
      </c>
      <c r="L3286" s="27"/>
    </row>
    <row r="3287" spans="1:12">
      <c r="A3287" s="20" t="s">
        <v>1189</v>
      </c>
      <c r="E3287" s="22">
        <f>IF(D3287="?OLD","!!!","")</f>
        <v/>
      </c>
      <c r="F3287" s="23" t="str">
        <f>IF(OR(E3287="",E3287="!!!"),"",IF(NOT(ISNA(VLOOKUP(E3287,E$1:E3286,1,FALSE()))),"OLD",IF(AND(E3287&lt;&gt;"",E3287&lt;&gt;"!!!"),"NEW","")))</f>
        <v> </v>
      </c>
      <c r="G3287" s="24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5" t="str">
        <f>IF(J3287&lt;&gt;1,"",IF(I3287="SBJ","CB","?"))</f>
        <v> </v>
      </c>
      <c r="I3287" s="26" t="str">
        <f>IF(OR(E3287="",E3287="!!!",F3287="NEW"),"",INDEX(B3286:B$2,-1+SUMPRODUCT(MAX(ROW(E3286:E$2)*(E3287=E3286:E$2)))))</f>
        <v> </v>
      </c>
      <c r="J3287" s="26" t="str">
        <f>IF(OR(E3287="",E3287="!!!",F3287="NEW"),"",COUNTBLANK(OFFSET(A$1,,,SUMPRODUCT(MAX(ROW(E$2:E3287)*(E3287=E$2:E3287)))))-COUNTBLANK(OFFSET(A$1,,,SUMPRODUCT(MAX(ROW(E$1:E3286)*(E2=E$1:E3286))))))</f>
        <v> </v>
      </c>
      <c r="K3287" s="26" t="str">
        <f>IF(OR(E3287="",E3287="!!!",F3287="NEW"),"",INDEX(J$1:J3286,SUMPRODUCT(MAX(ROW(E$1:E3286)*(E3287=E$1:E3286)))))</f>
        <v> </v>
      </c>
      <c r="L3287" s="27"/>
    </row>
    <row r="3288" spans="1:12">
      <c r="A3288" s="20"/>
    </row>
    <row r="3289" spans="1:12">
      <c r="A3289" s="20" t="s">
        <v>2374</v>
      </c>
    </row>
    <row r="3290" spans="1:12">
      <c r="A3290" s="20" t="s">
        <v>1132</v>
      </c>
      <c r="B3290" s="21" t="s">
        <v>1072</v>
      </c>
      <c r="C3290" s="21" t="s">
        <v>1073</v>
      </c>
      <c r="D3290" s="21" t="s">
        <v>1074</v>
      </c>
      <c r="E3290" s="22">
        <f>IF(D3290="?OLD","!!!","")</f>
        <v/>
      </c>
      <c r="F3290" s="23" t="str">
        <f>IF(OR(E3290="",E3290="!!!"),"",IF(NOT(ISNA(VLOOKUP(E3290,E$1:E3289,1,FALSE()))),"OLD",IF(AND(E3290&lt;&gt;"",E3290&lt;&gt;"!!!"),"NEW","")))</f>
        <v> </v>
      </c>
      <c r="G3290" s="24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5" t="str">
        <f>IF(J3290&lt;&gt;1,"",IF(I3290="SBJ","CB","?"))</f>
        <v> </v>
      </c>
      <c r="I3290" s="26" t="str">
        <f>IF(OR(E3290="",E3290="!!!",F3290="NEW"),"",INDEX(B3289:B$2,-1+SUMPRODUCT(MAX(ROW(E3289:E$2)*(E3290=E3289:E$2)))))</f>
        <v> </v>
      </c>
      <c r="J3290" s="26" t="str">
        <f>IF(OR(E3290="",E3290="!!!",F3290="NEW"),"",COUNTBLANK(OFFSET(A$1,,,SUMPRODUCT(MAX(ROW(E$2:E3290)*(E3290=E$2:E3290)))))-COUNTBLANK(OFFSET(A$1,,,SUMPRODUCT(MAX(ROW(E$1:E3289)*(E2=E$1:E3289))))))</f>
        <v> </v>
      </c>
      <c r="K3290" s="26" t="str">
        <f>IF(OR(E3290="",E3290="!!!",F3290="NEW"),"",INDEX(J$1:J3289,SUMPRODUCT(MAX(ROW(E$1:E3289)*(E3290=E$1:E3289)))))</f>
        <v> </v>
      </c>
      <c r="L3290" s="27"/>
    </row>
    <row r="3291" spans="1:12">
      <c r="A3291" s="20" t="s">
        <v>1076</v>
      </c>
      <c r="E3291" s="22">
        <f>IF(D3291="?OLD","!!!","")</f>
        <v/>
      </c>
      <c r="F3291" s="23" t="str">
        <f>IF(OR(E3291="",E3291="!!!"),"",IF(NOT(ISNA(VLOOKUP(E3291,E$1:E3290,1,FALSE()))),"OLD",IF(AND(E3291&lt;&gt;"",E3291&lt;&gt;"!!!"),"NEW","")))</f>
        <v> </v>
      </c>
      <c r="G3291" s="24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5" t="str">
        <f>IF(J3291&lt;&gt;1,"",IF(I3291="SBJ","CB","?"))</f>
        <v> </v>
      </c>
      <c r="I3291" s="26" t="str">
        <f>IF(OR(E3291="",E3291="!!!",F3291="NEW"),"",INDEX(B3290:B$2,-1+SUMPRODUCT(MAX(ROW(E3290:E$2)*(E3291=E3290:E$2)))))</f>
        <v> </v>
      </c>
      <c r="J3291" s="26" t="str">
        <f>IF(OR(E3291="",E3291="!!!",F3291="NEW"),"",COUNTBLANK(OFFSET(A$1,,,SUMPRODUCT(MAX(ROW(E$2:E3291)*(E3291=E$2:E3291)))))-COUNTBLANK(OFFSET(A$1,,,SUMPRODUCT(MAX(ROW(E$1:E3290)*(E2=E$1:E3290))))))</f>
        <v> </v>
      </c>
      <c r="K3291" s="26" t="str">
        <f>IF(OR(E3291="",E3291="!!!",F3291="NEW"),"",INDEX(J$1:J3290,SUMPRODUCT(MAX(ROW(E$1:E3290)*(E3291=E$1:E3290)))))</f>
        <v> </v>
      </c>
      <c r="L3291" s="27"/>
    </row>
    <row r="3292" spans="1:12">
      <c r="A3292" s="20" t="s">
        <v>1711</v>
      </c>
      <c r="E3292" s="22">
        <f>IF(D3292="?OLD","!!!","")</f>
        <v/>
      </c>
      <c r="F3292" s="23" t="str">
        <f>IF(OR(E3292="",E3292="!!!"),"",IF(NOT(ISNA(VLOOKUP(E3292,E$1:E3291,1,FALSE()))),"OLD",IF(AND(E3292&lt;&gt;"",E3292&lt;&gt;"!!!"),"NEW","")))</f>
        <v> </v>
      </c>
      <c r="G3292" s="24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5" t="str">
        <f>IF(J3292&lt;&gt;1,"",IF(I3292="SBJ","CB","?"))</f>
        <v> </v>
      </c>
      <c r="I3292" s="26" t="str">
        <f>IF(OR(E3292="",E3292="!!!",F3292="NEW"),"",INDEX(B3291:B$2,-1+SUMPRODUCT(MAX(ROW(E3291:E$2)*(E3292=E3291:E$2)))))</f>
        <v> </v>
      </c>
      <c r="J3292" s="26" t="str">
        <f>IF(OR(E3292="",E3292="!!!",F3292="NEW"),"",COUNTBLANK(OFFSET(A$1,,,SUMPRODUCT(MAX(ROW(E$2:E3292)*(E3292=E$2:E3292)))))-COUNTBLANK(OFFSET(A$1,,,SUMPRODUCT(MAX(ROW(E$1:E3291)*(E2=E$1:E3291))))))</f>
        <v> </v>
      </c>
      <c r="K3292" s="26" t="str">
        <f>IF(OR(E3292="",E3292="!!!",F3292="NEW"),"",INDEX(J$1:J3291,SUMPRODUCT(MAX(ROW(E$1:E3291)*(E3292=E$1:E3291)))))</f>
        <v> </v>
      </c>
      <c r="L3292" s="27"/>
    </row>
    <row r="3293" spans="1:12">
      <c r="A3293" s="20" t="s">
        <v>1241</v>
      </c>
      <c r="B3293" s="21" t="s">
        <v>1180</v>
      </c>
      <c r="C3293" s="21" t="s">
        <v>1081</v>
      </c>
      <c r="D3293" s="21" t="s">
        <v>1074</v>
      </c>
      <c r="E3293" s="22">
        <f>IF(D3293="?OLD","!!!","")</f>
        <v/>
      </c>
      <c r="F3293" s="23" t="str">
        <f>IF(OR(E3293="",E3293="!!!"),"",IF(NOT(ISNA(VLOOKUP(E3293,E$1:E3292,1,FALSE()))),"OLD",IF(AND(E3293&lt;&gt;"",E3293&lt;&gt;"!!!"),"NEW","")))</f>
        <v> </v>
      </c>
      <c r="G3293" s="24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5" t="str">
        <f>IF(J3293&lt;&gt;1,"",IF(I3293="SBJ","CB","?"))</f>
        <v> </v>
      </c>
      <c r="I3293" s="26" t="str">
        <f>IF(OR(E3293="",E3293="!!!",F3293="NEW"),"",INDEX(B3292:B$2,-1+SUMPRODUCT(MAX(ROW(E3292:E$2)*(E3293=E3292:E$2)))))</f>
        <v> </v>
      </c>
      <c r="J3293" s="26" t="str">
        <f>IF(OR(E3293="",E3293="!!!",F3293="NEW"),"",COUNTBLANK(OFFSET(A$1,,,SUMPRODUCT(MAX(ROW(E$2:E3293)*(E3293=E$2:E3293)))))-COUNTBLANK(OFFSET(A$1,,,SUMPRODUCT(MAX(ROW(E$1:E3292)*(E2=E$1:E3292))))))</f>
        <v> </v>
      </c>
      <c r="K3293" s="26" t="str">
        <f>IF(OR(E3293="",E3293="!!!",F3293="NEW"),"",INDEX(J$1:J3292,SUMPRODUCT(MAX(ROW(E$1:E3292)*(E3293=E$1:E3292)))))</f>
        <v> </v>
      </c>
      <c r="L3293" s="27"/>
    </row>
    <row r="3294" spans="1:12">
      <c r="A3294" s="20" t="s">
        <v>1600</v>
      </c>
      <c r="E3294" s="22">
        <f>IF(D3294="?OLD","!!!","")</f>
        <v/>
      </c>
      <c r="F3294" s="23" t="str">
        <f>IF(OR(E3294="",E3294="!!!"),"",IF(NOT(ISNA(VLOOKUP(E3294,E$1:E3293,1,FALSE()))),"OLD",IF(AND(E3294&lt;&gt;"",E3294&lt;&gt;"!!!"),"NEW","")))</f>
        <v> </v>
      </c>
      <c r="G3294" s="24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5" t="str">
        <f>IF(J3294&lt;&gt;1,"",IF(I3294="SBJ","CB","?"))</f>
        <v> </v>
      </c>
      <c r="I3294" s="26" t="str">
        <f>IF(OR(E3294="",E3294="!!!",F3294="NEW"),"",INDEX(B3293:B$2,-1+SUMPRODUCT(MAX(ROW(E3293:E$2)*(E3294=E3293:E$2)))))</f>
        <v> </v>
      </c>
      <c r="J3294" s="26" t="str">
        <f>IF(OR(E3294="",E3294="!!!",F3294="NEW"),"",COUNTBLANK(OFFSET(A$1,,,SUMPRODUCT(MAX(ROW(E$2:E3294)*(E3294=E$2:E3294)))))-COUNTBLANK(OFFSET(A$1,,,SUMPRODUCT(MAX(ROW(E$1:E3293)*(E2=E$1:E3293))))))</f>
        <v> </v>
      </c>
      <c r="K3294" s="26" t="str">
        <f>IF(OR(E3294="",E3294="!!!",F3294="NEW"),"",INDEX(J$1:J3293,SUMPRODUCT(MAX(ROW(E$1:E3293)*(E3294=E$1:E3293)))))</f>
        <v> </v>
      </c>
      <c r="L3294" s="27"/>
    </row>
    <row r="3295" spans="1:12">
      <c r="A3295" s="20" t="s">
        <v>309</v>
      </c>
      <c r="B3295" s="21" t="s">
        <v>1077</v>
      </c>
      <c r="E3295" s="22">
        <f>IF(D3295="?OLD","!!!","")</f>
        <v/>
      </c>
      <c r="F3295" s="23" t="str">
        <f>IF(OR(E3295="",E3295="!!!"),"",IF(NOT(ISNA(VLOOKUP(E3295,E$1:E3294,1,FALSE()))),"OLD",IF(AND(E3295&lt;&gt;"",E3295&lt;&gt;"!!!"),"NEW","")))</f>
        <v> </v>
      </c>
      <c r="G3295" s="24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5" t="str">
        <f>IF(J3295&lt;&gt;1,"",IF(I3295="SBJ","CB","?"))</f>
        <v> </v>
      </c>
      <c r="I3295" s="26" t="str">
        <f>IF(OR(E3295="",E3295="!!!",F3295="NEW"),"",INDEX(B3294:B$2,-1+SUMPRODUCT(MAX(ROW(E3294:E$2)*(E3295=E3294:E$2)))))</f>
        <v> </v>
      </c>
      <c r="J3295" s="26" t="str">
        <f>IF(OR(E3295="",E3295="!!!",F3295="NEW"),"",COUNTBLANK(OFFSET(A$1,,,SUMPRODUCT(MAX(ROW(E$2:E3295)*(E3295=E$2:E3295)))))-COUNTBLANK(OFFSET(A$1,,,SUMPRODUCT(MAX(ROW(E$1:E3294)*(E2=E$1:E3294))))))</f>
        <v> </v>
      </c>
      <c r="K3295" s="26" t="str">
        <f>IF(OR(E3295="",E3295="!!!",F3295="NEW"),"",INDEX(J$1:J3294,SUMPRODUCT(MAX(ROW(E$1:E3294)*(E3295=E$1:E3294)))))</f>
        <v> </v>
      </c>
      <c r="L3295" s="27"/>
    </row>
    <row r="3296" spans="1:12">
      <c r="A3296" s="20" t="s">
        <v>1106</v>
      </c>
      <c r="E3296" s="22">
        <f>IF(D3296="?OLD","!!!","")</f>
        <v/>
      </c>
      <c r="F3296" s="23" t="str">
        <f>IF(OR(E3296="",E3296="!!!"),"",IF(NOT(ISNA(VLOOKUP(E3296,E$1:E3295,1,FALSE()))),"OLD",IF(AND(E3296&lt;&gt;"",E3296&lt;&gt;"!!!"),"NEW","")))</f>
        <v> </v>
      </c>
      <c r="G3296" s="24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5" t="str">
        <f>IF(J3296&lt;&gt;1,"",IF(I3296="SBJ","CB","?"))</f>
        <v> </v>
      </c>
      <c r="I3296" s="26" t="str">
        <f>IF(OR(E3296="",E3296="!!!",F3296="NEW"),"",INDEX(B3295:B$2,-1+SUMPRODUCT(MAX(ROW(E3295:E$2)*(E3296=E3295:E$2)))))</f>
        <v> </v>
      </c>
      <c r="J3296" s="26" t="str">
        <f>IF(OR(E3296="",E3296="!!!",F3296="NEW"),"",COUNTBLANK(OFFSET(A$1,,,SUMPRODUCT(MAX(ROW(E$2:E3296)*(E3296=E$2:E3296)))))-COUNTBLANK(OFFSET(A$1,,,SUMPRODUCT(MAX(ROW(E$1:E3295)*(E2=E$1:E3295))))))</f>
        <v> </v>
      </c>
      <c r="K3296" s="26" t="str">
        <f>IF(OR(E3296="",E3296="!!!",F3296="NEW"),"",INDEX(J$1:J3295,SUMPRODUCT(MAX(ROW(E$1:E3295)*(E3296=E$1:E3295)))))</f>
        <v> </v>
      </c>
      <c r="L3296" s="27"/>
    </row>
    <row r="3297" spans="1:12">
      <c r="A3297" s="20"/>
    </row>
    <row r="3298" spans="1:12">
      <c r="A3298" s="20" t="s">
        <v>2375</v>
      </c>
    </row>
    <row r="3299" spans="1:12">
      <c r="A3299" s="20" t="s">
        <v>661</v>
      </c>
      <c r="E3299" s="22">
        <f>IF(D3299="?OLD","!!!","")</f>
        <v/>
      </c>
      <c r="F3299" s="23" t="str">
        <f>IF(OR(E3299="",E3299="!!!"),"",IF(NOT(ISNA(VLOOKUP(E3299,E$1:E3298,1,FALSE()))),"OLD",IF(AND(E3299&lt;&gt;"",E3299&lt;&gt;"!!!"),"NEW","")))</f>
        <v> </v>
      </c>
      <c r="G3299" s="24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5" t="str">
        <f>IF(J3299&lt;&gt;1,"",IF(I3299="SBJ","CB","?"))</f>
        <v> </v>
      </c>
      <c r="I3299" s="26" t="str">
        <f>IF(OR(E3299="",E3299="!!!",F3299="NEW"),"",INDEX(B3298:B$2,-1+SUMPRODUCT(MAX(ROW(E3298:E$2)*(E3299=E3298:E$2)))))</f>
        <v> </v>
      </c>
      <c r="J3299" s="26" t="str">
        <f>IF(OR(E3299="",E3299="!!!",F3299="NEW"),"",COUNTBLANK(OFFSET(A$1,,,SUMPRODUCT(MAX(ROW(E$2:E3299)*(E3299=E$2:E3299)))))-COUNTBLANK(OFFSET(A$1,,,SUMPRODUCT(MAX(ROW(E$1:E3298)*(E2=E$1:E3298))))))</f>
        <v> </v>
      </c>
      <c r="K3299" s="26" t="str">
        <f>IF(OR(E3299="",E3299="!!!",F3299="NEW"),"",INDEX(J$1:J3298,SUMPRODUCT(MAX(ROW(E$1:E3298)*(E3299=E$1:E3298)))))</f>
        <v> </v>
      </c>
      <c r="L3299" s="27"/>
    </row>
    <row r="3300" spans="1:12">
      <c r="A3300" s="20" t="s">
        <v>1076</v>
      </c>
      <c r="E3300" s="22">
        <f>IF(D3300="?OLD","!!!","")</f>
        <v/>
      </c>
      <c r="F3300" s="23" t="str">
        <f>IF(OR(E3300="",E3300="!!!"),"",IF(NOT(ISNA(VLOOKUP(E3300,E$1:E3299,1,FALSE()))),"OLD",IF(AND(E3300&lt;&gt;"",E3300&lt;&gt;"!!!"),"NEW","")))</f>
        <v> </v>
      </c>
      <c r="G3300" s="24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5" t="str">
        <f>IF(J3300&lt;&gt;1,"",IF(I3300="SBJ","CB","?"))</f>
        <v> </v>
      </c>
      <c r="I3300" s="26" t="str">
        <f>IF(OR(E3300="",E3300="!!!",F3300="NEW"),"",INDEX(B3299:B$2,-1+SUMPRODUCT(MAX(ROW(E3299:E$2)*(E3300=E3299:E$2)))))</f>
        <v> </v>
      </c>
      <c r="J3300" s="26" t="str">
        <f>IF(OR(E3300="",E3300="!!!",F3300="NEW"),"",COUNTBLANK(OFFSET(A$1,,,SUMPRODUCT(MAX(ROW(E$2:E3300)*(E3300=E$2:E3300)))))-COUNTBLANK(OFFSET(A$1,,,SUMPRODUCT(MAX(ROW(E$1:E3299)*(E2=E$1:E3299))))))</f>
        <v> </v>
      </c>
      <c r="K3300" s="26" t="str">
        <f>IF(OR(E3300="",E3300="!!!",F3300="NEW"),"",INDEX(J$1:J3299,SUMPRODUCT(MAX(ROW(E$1:E3299)*(E3300=E$1:E3299)))))</f>
        <v> </v>
      </c>
      <c r="L3300" s="27"/>
    </row>
    <row r="3301" spans="1:12">
      <c r="A3301" s="20" t="s">
        <v>1614</v>
      </c>
      <c r="E3301" s="22">
        <f>IF(D3301="?OLD","!!!","")</f>
        <v/>
      </c>
      <c r="F3301" s="23" t="str">
        <f>IF(OR(E3301="",E3301="!!!"),"",IF(NOT(ISNA(VLOOKUP(E3301,E$1:E3300,1,FALSE()))),"OLD",IF(AND(E3301&lt;&gt;"",E3301&lt;&gt;"!!!"),"NEW","")))</f>
        <v> </v>
      </c>
      <c r="G3301" s="24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5" t="str">
        <f>IF(J3301&lt;&gt;1,"",IF(I3301="SBJ","CB","?"))</f>
        <v> </v>
      </c>
      <c r="I3301" s="26" t="str">
        <f>IF(OR(E3301="",E3301="!!!",F3301="NEW"),"",INDEX(B3300:B$2,-1+SUMPRODUCT(MAX(ROW(E3300:E$2)*(E3301=E3300:E$2)))))</f>
        <v> </v>
      </c>
      <c r="J3301" s="26" t="str">
        <f>IF(OR(E3301="",E3301="!!!",F3301="NEW"),"",COUNTBLANK(OFFSET(A$1,,,SUMPRODUCT(MAX(ROW(E$2:E3301)*(E3301=E$2:E3301)))))-COUNTBLANK(OFFSET(A$1,,,SUMPRODUCT(MAX(ROW(E$1:E3300)*(E2=E$1:E3300))))))</f>
        <v> </v>
      </c>
      <c r="K3301" s="26" t="str">
        <f>IF(OR(E3301="",E3301="!!!",F3301="NEW"),"",INDEX(J$1:J3300,SUMPRODUCT(MAX(ROW(E$1:E3300)*(E3301=E$1:E3300)))))</f>
        <v> </v>
      </c>
      <c r="L3301" s="27"/>
    </row>
    <row r="3302" spans="1:12">
      <c r="A3302" s="20" t="s">
        <v>1085</v>
      </c>
      <c r="E3302" s="22">
        <f>IF(D3302="?OLD","!!!","")</f>
        <v/>
      </c>
      <c r="F3302" s="23" t="str">
        <f>IF(OR(E3302="",E3302="!!!"),"",IF(NOT(ISNA(VLOOKUP(E3302,E$1:E3301,1,FALSE()))),"OLD",IF(AND(E3302&lt;&gt;"",E3302&lt;&gt;"!!!"),"NEW","")))</f>
        <v> </v>
      </c>
      <c r="G3302" s="24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5" t="str">
        <f>IF(J3302&lt;&gt;1,"",IF(I3302="SBJ","CB","?"))</f>
        <v> </v>
      </c>
      <c r="I3302" s="26" t="str">
        <f>IF(OR(E3302="",E3302="!!!",F3302="NEW"),"",INDEX(B3301:B$2,-1+SUMPRODUCT(MAX(ROW(E3301:E$2)*(E3302=E3301:E$2)))))</f>
        <v> </v>
      </c>
      <c r="J3302" s="26" t="str">
        <f>IF(OR(E3302="",E3302="!!!",F3302="NEW"),"",COUNTBLANK(OFFSET(A$1,,,SUMPRODUCT(MAX(ROW(E$2:E3302)*(E3302=E$2:E3302)))))-COUNTBLANK(OFFSET(A$1,,,SUMPRODUCT(MAX(ROW(E$1:E3301)*(E2=E$1:E3301))))))</f>
        <v> </v>
      </c>
      <c r="K3302" s="26" t="str">
        <f>IF(OR(E3302="",E3302="!!!",F3302="NEW"),"",INDEX(J$1:J3301,SUMPRODUCT(MAX(ROW(E$1:E3301)*(E3302=E$1:E3301)))))</f>
        <v> </v>
      </c>
      <c r="L3302" s="27"/>
    </row>
    <row r="3303" spans="1:12">
      <c r="A3303" s="20" t="s">
        <v>2376</v>
      </c>
      <c r="E3303" s="22">
        <f>IF(D3303="?OLD","!!!","")</f>
        <v/>
      </c>
      <c r="F3303" s="23" t="str">
        <f>IF(OR(E3303="",E3303="!!!"),"",IF(NOT(ISNA(VLOOKUP(E3303,E$1:E3302,1,FALSE()))),"OLD",IF(AND(E3303&lt;&gt;"",E3303&lt;&gt;"!!!"),"NEW","")))</f>
        <v> </v>
      </c>
      <c r="G3303" s="24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5" t="str">
        <f>IF(J3303&lt;&gt;1,"",IF(I3303="SBJ","CB","?"))</f>
        <v> </v>
      </c>
      <c r="I3303" s="26" t="str">
        <f>IF(OR(E3303="",E3303="!!!",F3303="NEW"),"",INDEX(B3302:B$2,-1+SUMPRODUCT(MAX(ROW(E3302:E$2)*(E3303=E3302:E$2)))))</f>
        <v> </v>
      </c>
      <c r="J3303" s="26" t="str">
        <f>IF(OR(E3303="",E3303="!!!",F3303="NEW"),"",COUNTBLANK(OFFSET(A$1,,,SUMPRODUCT(MAX(ROW(E$2:E3303)*(E3303=E$2:E3303)))))-COUNTBLANK(OFFSET(A$1,,,SUMPRODUCT(MAX(ROW(E$1:E3302)*(E2=E$1:E3302))))))</f>
        <v> </v>
      </c>
      <c r="K3303" s="26" t="str">
        <f>IF(OR(E3303="",E3303="!!!",F3303="NEW"),"",INDEX(J$1:J3302,SUMPRODUCT(MAX(ROW(E$1:E3302)*(E3303=E$1:E3302)))))</f>
        <v> </v>
      </c>
      <c r="L3303" s="27"/>
    </row>
    <row r="3304" spans="1:12">
      <c r="A3304" s="20" t="s">
        <v>2377</v>
      </c>
      <c r="E3304" s="22">
        <f>IF(D3304="?OLD","!!!","")</f>
        <v/>
      </c>
      <c r="F3304" s="23" t="str">
        <f>IF(OR(E3304="",E3304="!!!"),"",IF(NOT(ISNA(VLOOKUP(E3304,E$1:E3303,1,FALSE()))),"OLD",IF(AND(E3304&lt;&gt;"",E3304&lt;&gt;"!!!"),"NEW","")))</f>
        <v> </v>
      </c>
      <c r="G3304" s="24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5" t="str">
        <f>IF(J3304&lt;&gt;1,"",IF(I3304="SBJ","CB","?"))</f>
        <v> </v>
      </c>
      <c r="I3304" s="26" t="str">
        <f>IF(OR(E3304="",E3304="!!!",F3304="NEW"),"",INDEX(B3303:B$2,-1+SUMPRODUCT(MAX(ROW(E3303:E$2)*(E3304=E3303:E$2)))))</f>
        <v> </v>
      </c>
      <c r="J3304" s="26" t="str">
        <f>IF(OR(E3304="",E3304="!!!",F3304="NEW"),"",COUNTBLANK(OFFSET(A$1,,,SUMPRODUCT(MAX(ROW(E$2:E3304)*(E3304=E$2:E3304)))))-COUNTBLANK(OFFSET(A$1,,,SUMPRODUCT(MAX(ROW(E$1:E3303)*(E2=E$1:E3303))))))</f>
        <v> </v>
      </c>
      <c r="K3304" s="26" t="str">
        <f>IF(OR(E3304="",E3304="!!!",F3304="NEW"),"",INDEX(J$1:J3303,SUMPRODUCT(MAX(ROW(E$1:E3303)*(E3304=E$1:E3303)))))</f>
        <v> </v>
      </c>
      <c r="L3304" s="27"/>
    </row>
    <row r="3305" spans="1:12">
      <c r="A3305" s="20" t="s">
        <v>309</v>
      </c>
      <c r="B3305" s="21" t="s">
        <v>1199</v>
      </c>
      <c r="E3305" s="22">
        <f>IF(D3305="?OLD","!!!","")</f>
        <v/>
      </c>
      <c r="F3305" s="23" t="str">
        <f>IF(OR(E3305="",E3305="!!!"),"",IF(NOT(ISNA(VLOOKUP(E3305,E$1:E3304,1,FALSE()))),"OLD",IF(AND(E3305&lt;&gt;"",E3305&lt;&gt;"!!!"),"NEW","")))</f>
        <v> </v>
      </c>
      <c r="G3305" s="24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5" t="str">
        <f>IF(J3305&lt;&gt;1,"",IF(I3305="SBJ","CB","?"))</f>
        <v> </v>
      </c>
      <c r="I3305" s="26" t="str">
        <f>IF(OR(E3305="",E3305="!!!",F3305="NEW"),"",INDEX(B3304:B$2,-1+SUMPRODUCT(MAX(ROW(E3304:E$2)*(E3305=E3304:E$2)))))</f>
        <v> </v>
      </c>
      <c r="J3305" s="26" t="str">
        <f>IF(OR(E3305="",E3305="!!!",F3305="NEW"),"",COUNTBLANK(OFFSET(A$1,,,SUMPRODUCT(MAX(ROW(E$2:E3305)*(E3305=E$2:E3305)))))-COUNTBLANK(OFFSET(A$1,,,SUMPRODUCT(MAX(ROW(E$1:E3304)*(E2=E$1:E3304))))))</f>
        <v> </v>
      </c>
      <c r="K3305" s="26" t="str">
        <f>IF(OR(E3305="",E3305="!!!",F3305="NEW"),"",INDEX(J$1:J3304,SUMPRODUCT(MAX(ROW(E$1:E3304)*(E3305=E$1:E3304)))))</f>
        <v> </v>
      </c>
      <c r="L3305" s="27"/>
    </row>
    <row r="3306" spans="1:12">
      <c r="A3306" s="20" t="s">
        <v>1106</v>
      </c>
      <c r="E3306" s="22">
        <f>IF(D3306="?OLD","!!!","")</f>
        <v/>
      </c>
      <c r="F3306" s="23" t="str">
        <f>IF(OR(E3306="",E3306="!!!"),"",IF(NOT(ISNA(VLOOKUP(E3306,E$1:E3305,1,FALSE()))),"OLD",IF(AND(E3306&lt;&gt;"",E3306&lt;&gt;"!!!"),"NEW","")))</f>
        <v> </v>
      </c>
      <c r="G3306" s="24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5" t="str">
        <f>IF(J3306&lt;&gt;1,"",IF(I3306="SBJ","CB","?"))</f>
        <v> </v>
      </c>
      <c r="I3306" s="26" t="str">
        <f>IF(OR(E3306="",E3306="!!!",F3306="NEW"),"",INDEX(B3305:B$2,-1+SUMPRODUCT(MAX(ROW(E3305:E$2)*(E3306=E3305:E$2)))))</f>
        <v> </v>
      </c>
      <c r="J3306" s="26" t="str">
        <f>IF(OR(E3306="",E3306="!!!",F3306="NEW"),"",COUNTBLANK(OFFSET(A$1,,,SUMPRODUCT(MAX(ROW(E$2:E3306)*(E3306=E$2:E3306)))))-COUNTBLANK(OFFSET(A$1,,,SUMPRODUCT(MAX(ROW(E$1:E3305)*(E2=E$1:E3305))))))</f>
        <v> </v>
      </c>
      <c r="K3306" s="26" t="str">
        <f>IF(OR(E3306="",E3306="!!!",F3306="NEW"),"",INDEX(J$1:J3305,SUMPRODUCT(MAX(ROW(E$1:E3305)*(E3306=E$1:E3305)))))</f>
        <v> </v>
      </c>
      <c r="L3306" s="27"/>
    </row>
    <row r="3307" spans="1:12">
      <c r="A3307" s="20"/>
    </row>
    <row r="3308" spans="1:12">
      <c r="A3308" s="20" t="s">
        <v>2378</v>
      </c>
    </row>
    <row r="3309" spans="1:12">
      <c r="A3309" s="20" t="s">
        <v>2379</v>
      </c>
      <c r="B3309" s="21" t="s">
        <v>1227</v>
      </c>
      <c r="C3309" s="21" t="s">
        <v>1081</v>
      </c>
      <c r="D3309" s="21" t="s">
        <v>1074</v>
      </c>
      <c r="E3309" s="22">
        <f>IF(D3309="?OLD","!!!","")</f>
        <v/>
      </c>
      <c r="F3309" s="23" t="str">
        <f>IF(OR(E3309="",E3309="!!!"),"",IF(NOT(ISNA(VLOOKUP(E3309,E$1:E3308,1,FALSE()))),"OLD",IF(AND(E3309&lt;&gt;"",E3309&lt;&gt;"!!!"),"NEW","")))</f>
        <v> </v>
      </c>
      <c r="G3309" s="24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5" t="str">
        <f>IF(J3309&lt;&gt;1,"",IF(I3309="SBJ","CB","?"))</f>
        <v> </v>
      </c>
      <c r="I3309" s="26" t="str">
        <f>IF(OR(E3309="",E3309="!!!",F3309="NEW"),"",INDEX(B3308:B$2,-1+SUMPRODUCT(MAX(ROW(E3308:E$2)*(E3309=E3308:E$2)))))</f>
        <v> </v>
      </c>
      <c r="J3309" s="26" t="str">
        <f>IF(OR(E3309="",E3309="!!!",F3309="NEW"),"",COUNTBLANK(OFFSET(A$1,,,SUMPRODUCT(MAX(ROW(E$2:E3309)*(E3309=E$2:E3309)))))-COUNTBLANK(OFFSET(A$1,,,SUMPRODUCT(MAX(ROW(E$1:E3308)*(E2=E$1:E3308))))))</f>
        <v> </v>
      </c>
      <c r="K3309" s="26" t="str">
        <f>IF(OR(E3309="",E3309="!!!",F3309="NEW"),"",INDEX(J$1:J3308,SUMPRODUCT(MAX(ROW(E$1:E3308)*(E3309=E$1:E3308)))))</f>
        <v> </v>
      </c>
      <c r="L3309" s="27"/>
    </row>
    <row r="3310" spans="1:12">
      <c r="A3310" s="20" t="s">
        <v>1321</v>
      </c>
      <c r="B3310" s="21" t="s">
        <v>1109</v>
      </c>
      <c r="C3310" s="21" t="s">
        <v>1154</v>
      </c>
      <c r="D3310" s="21" t="s">
        <v>1074</v>
      </c>
      <c r="E3310" s="22">
        <f>IF(D3310="?OLD","!!!","")</f>
        <v/>
      </c>
      <c r="F3310" s="23" t="str">
        <f>IF(OR(E3310="",E3310="!!!"),"",IF(NOT(ISNA(VLOOKUP(E3310,E$1:E3309,1,FALSE()))),"OLD",IF(AND(E3310&lt;&gt;"",E3310&lt;&gt;"!!!"),"NEW","")))</f>
        <v> </v>
      </c>
      <c r="G3310" s="24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5" t="str">
        <f>IF(J3310&lt;&gt;1,"",IF(I3310="SBJ","CB","?"))</f>
        <v> </v>
      </c>
      <c r="I3310" s="26" t="str">
        <f>IF(OR(E3310="",E3310="!!!",F3310="NEW"),"",INDEX(B3309:B$2,-1+SUMPRODUCT(MAX(ROW(E3309:E$2)*(E3310=E3309:E$2)))))</f>
        <v> </v>
      </c>
      <c r="J3310" s="26" t="str">
        <f>IF(OR(E3310="",E3310="!!!",F3310="NEW"),"",COUNTBLANK(OFFSET(A$1,,,SUMPRODUCT(MAX(ROW(E$2:E3310)*(E3310=E$2:E3310)))))-COUNTBLANK(OFFSET(A$1,,,SUMPRODUCT(MAX(ROW(E$1:E3309)*(E2=E$1:E3309))))))</f>
        <v> </v>
      </c>
      <c r="K3310" s="26" t="str">
        <f>IF(OR(E3310="",E3310="!!!",F3310="NEW"),"",INDEX(J$1:J3309,SUMPRODUCT(MAX(ROW(E$1:E3309)*(E3310=E$1:E3309)))))</f>
        <v> </v>
      </c>
      <c r="L3310" s="27"/>
    </row>
    <row r="3311" spans="1:12">
      <c r="A3311" s="20" t="s">
        <v>1861</v>
      </c>
      <c r="E3311" s="22">
        <f>IF(D3311="?OLD","!!!","")</f>
        <v/>
      </c>
      <c r="F3311" s="23" t="str">
        <f>IF(OR(E3311="",E3311="!!!"),"",IF(NOT(ISNA(VLOOKUP(E3311,E$1:E3310,1,FALSE()))),"OLD",IF(AND(E3311&lt;&gt;"",E3311&lt;&gt;"!!!"),"NEW","")))</f>
        <v> </v>
      </c>
      <c r="G3311" s="24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5" t="str">
        <f>IF(J3311&lt;&gt;1,"",IF(I3311="SBJ","CB","?"))</f>
        <v> </v>
      </c>
      <c r="I3311" s="26" t="str">
        <f>IF(OR(E3311="",E3311="!!!",F3311="NEW"),"",INDEX(B3310:B$2,-1+SUMPRODUCT(MAX(ROW(E3310:E$2)*(E3311=E3310:E$2)))))</f>
        <v> </v>
      </c>
      <c r="J3311" s="26" t="str">
        <f>IF(OR(E3311="",E3311="!!!",F3311="NEW"),"",COUNTBLANK(OFFSET(A$1,,,SUMPRODUCT(MAX(ROW(E$2:E3311)*(E3311=E$2:E3311)))))-COUNTBLANK(OFFSET(A$1,,,SUMPRODUCT(MAX(ROW(E$1:E3310)*(E2=E$1:E3310))))))</f>
        <v> </v>
      </c>
      <c r="K3311" s="26" t="str">
        <f>IF(OR(E3311="",E3311="!!!",F3311="NEW"),"",INDEX(J$1:J3310,SUMPRODUCT(MAX(ROW(E$1:E3310)*(E3311=E$1:E3310)))))</f>
        <v> </v>
      </c>
      <c r="L3311" s="27"/>
    </row>
    <row r="3312" spans="1:12">
      <c r="A3312" s="20" t="s">
        <v>2111</v>
      </c>
      <c r="E3312" s="22">
        <f>IF(D3312="?OLD","!!!","")</f>
        <v/>
      </c>
      <c r="F3312" s="23" t="str">
        <f>IF(OR(E3312="",E3312="!!!"),"",IF(NOT(ISNA(VLOOKUP(E3312,E$1:E3311,1,FALSE()))),"OLD",IF(AND(E3312&lt;&gt;"",E3312&lt;&gt;"!!!"),"NEW","")))</f>
        <v> </v>
      </c>
      <c r="G3312" s="24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5" t="str">
        <f>IF(J3312&lt;&gt;1,"",IF(I3312="SBJ","CB","?"))</f>
        <v> </v>
      </c>
      <c r="I3312" s="26" t="str">
        <f>IF(OR(E3312="",E3312="!!!",F3312="NEW"),"",INDEX(B3311:B$2,-1+SUMPRODUCT(MAX(ROW(E3311:E$2)*(E3312=E3311:E$2)))))</f>
        <v> </v>
      </c>
      <c r="J3312" s="26" t="str">
        <f>IF(OR(E3312="",E3312="!!!",F3312="NEW"),"",COUNTBLANK(OFFSET(A$1,,,SUMPRODUCT(MAX(ROW(E$2:E3312)*(E3312=E$2:E3312)))))-COUNTBLANK(OFFSET(A$1,,,SUMPRODUCT(MAX(ROW(E$1:E3311)*(E2=E$1:E3311))))))</f>
        <v> </v>
      </c>
      <c r="K3312" s="26" t="str">
        <f>IF(OR(E3312="",E3312="!!!",F3312="NEW"),"",INDEX(J$1:J3311,SUMPRODUCT(MAX(ROW(E$1:E3311)*(E3312=E$1:E3311)))))</f>
        <v> </v>
      </c>
      <c r="L3312" s="27"/>
    </row>
    <row r="3313" spans="1:12">
      <c r="A3313" s="20" t="s">
        <v>1106</v>
      </c>
      <c r="E3313" s="22">
        <f>IF(D3313="?OLD","!!!","")</f>
        <v/>
      </c>
      <c r="F3313" s="23" t="str">
        <f>IF(OR(E3313="",E3313="!!!"),"",IF(NOT(ISNA(VLOOKUP(E3313,E$1:E3312,1,FALSE()))),"OLD",IF(AND(E3313&lt;&gt;"",E3313&lt;&gt;"!!!"),"NEW","")))</f>
        <v> </v>
      </c>
      <c r="G3313" s="24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5" t="str">
        <f>IF(J3313&lt;&gt;1,"",IF(I3313="SBJ","CB","?"))</f>
        <v> </v>
      </c>
      <c r="I3313" s="26" t="str">
        <f>IF(OR(E3313="",E3313="!!!",F3313="NEW"),"",INDEX(B3312:B$2,-1+SUMPRODUCT(MAX(ROW(E3312:E$2)*(E3313=E3312:E$2)))))</f>
        <v> </v>
      </c>
      <c r="J3313" s="26" t="str">
        <f>IF(OR(E3313="",E3313="!!!",F3313="NEW"),"",COUNTBLANK(OFFSET(A$1,,,SUMPRODUCT(MAX(ROW(E$2:E3313)*(E3313=E$2:E3313)))))-COUNTBLANK(OFFSET(A$1,,,SUMPRODUCT(MAX(ROW(E$1:E3312)*(E2=E$1:E3312))))))</f>
        <v> </v>
      </c>
      <c r="K3313" s="26" t="str">
        <f>IF(OR(E3313="",E3313="!!!",F3313="NEW"),"",INDEX(J$1:J3312,SUMPRODUCT(MAX(ROW(E$1:E3312)*(E3313=E$1:E3312)))))</f>
        <v> </v>
      </c>
      <c r="L3313" s="27"/>
    </row>
    <row r="3314" spans="1:12">
      <c r="A3314" s="20"/>
    </row>
    <row r="3315" spans="1:12">
      <c r="A3315" s="20" t="s">
        <v>2380</v>
      </c>
    </row>
    <row r="3316" spans="1:12">
      <c r="A3316" s="20" t="s">
        <v>1113</v>
      </c>
      <c r="E3316" s="22">
        <f>IF(D3316="?OLD","!!!","")</f>
        <v/>
      </c>
      <c r="F3316" s="23" t="str">
        <f>IF(OR(E3316="",E3316="!!!"),"",IF(NOT(ISNA(VLOOKUP(E3316,E$1:E3315,1,FALSE()))),"OLD",IF(AND(E3316&lt;&gt;"",E3316&lt;&gt;"!!!"),"NEW","")))</f>
        <v> </v>
      </c>
      <c r="G3316" s="24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5" t="str">
        <f>IF(J3316&lt;&gt;1,"",IF(I3316="SBJ","CB","?"))</f>
        <v> </v>
      </c>
      <c r="I3316" s="26" t="str">
        <f>IF(OR(E3316="",E3316="!!!",F3316="NEW"),"",INDEX(B3315:B$2,-1+SUMPRODUCT(MAX(ROW(E3315:E$2)*(E3316=E3315:E$2)))))</f>
        <v> </v>
      </c>
      <c r="J3316" s="26" t="str">
        <f>IF(OR(E3316="",E3316="!!!",F3316="NEW"),"",COUNTBLANK(OFFSET(A$1,,,SUMPRODUCT(MAX(ROW(E$2:E3316)*(E3316=E$2:E3316)))))-COUNTBLANK(OFFSET(A$1,,,SUMPRODUCT(MAX(ROW(E$1:E3315)*(E2=E$1:E3315))))))</f>
        <v> </v>
      </c>
      <c r="K3316" s="26" t="str">
        <f>IF(OR(E3316="",E3316="!!!",F3316="NEW"),"",INDEX(J$1:J3315,SUMPRODUCT(MAX(ROW(E$1:E3315)*(E3316=E$1:E3315)))))</f>
        <v> </v>
      </c>
      <c r="L3316" s="27"/>
    </row>
    <row r="3317" spans="1:12">
      <c r="A3317" s="20" t="s">
        <v>2381</v>
      </c>
      <c r="E3317" s="22">
        <f>IF(D3317="?OLD","!!!","")</f>
        <v/>
      </c>
      <c r="F3317" s="23" t="str">
        <f>IF(OR(E3317="",E3317="!!!"),"",IF(NOT(ISNA(VLOOKUP(E3317,E$1:E3316,1,FALSE()))),"OLD",IF(AND(E3317&lt;&gt;"",E3317&lt;&gt;"!!!"),"NEW","")))</f>
        <v> </v>
      </c>
      <c r="G3317" s="24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5" t="str">
        <f>IF(J3317&lt;&gt;1,"",IF(I3317="SBJ","CB","?"))</f>
        <v> </v>
      </c>
      <c r="I3317" s="26" t="str">
        <f>IF(OR(E3317="",E3317="!!!",F3317="NEW"),"",INDEX(B3316:B$2,-1+SUMPRODUCT(MAX(ROW(E3316:E$2)*(E3317=E3316:E$2)))))</f>
        <v> </v>
      </c>
      <c r="J3317" s="26" t="str">
        <f>IF(OR(E3317="",E3317="!!!",F3317="NEW"),"",COUNTBLANK(OFFSET(A$1,,,SUMPRODUCT(MAX(ROW(E$2:E3317)*(E3317=E$2:E3317)))))-COUNTBLANK(OFFSET(A$1,,,SUMPRODUCT(MAX(ROW(E$1:E3316)*(E2=E$1:E3316))))))</f>
        <v> </v>
      </c>
      <c r="K3317" s="26" t="str">
        <f>IF(OR(E3317="",E3317="!!!",F3317="NEW"),"",INDEX(J$1:J3316,SUMPRODUCT(MAX(ROW(E$1:E3316)*(E3317=E$1:E3316)))))</f>
        <v> </v>
      </c>
      <c r="L3317" s="27"/>
    </row>
    <row r="3318" spans="1:12">
      <c r="A3318" s="20" t="s">
        <v>1116</v>
      </c>
      <c r="E3318" s="22">
        <f>IF(D3318="?OLD","!!!","")</f>
        <v/>
      </c>
      <c r="F3318" s="23" t="str">
        <f>IF(OR(E3318="",E3318="!!!"),"",IF(NOT(ISNA(VLOOKUP(E3318,E$1:E3317,1,FALSE()))),"OLD",IF(AND(E3318&lt;&gt;"",E3318&lt;&gt;"!!!"),"NEW","")))</f>
        <v> </v>
      </c>
      <c r="G3318" s="24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5" t="str">
        <f>IF(J3318&lt;&gt;1,"",IF(I3318="SBJ","CB","?"))</f>
        <v> </v>
      </c>
      <c r="I3318" s="26" t="str">
        <f>IF(OR(E3318="",E3318="!!!",F3318="NEW"),"",INDEX(B3317:B$2,-1+SUMPRODUCT(MAX(ROW(E3317:E$2)*(E3318=E3317:E$2)))))</f>
        <v> </v>
      </c>
      <c r="J3318" s="26" t="str">
        <f>IF(OR(E3318="",E3318="!!!",F3318="NEW"),"",COUNTBLANK(OFFSET(A$1,,,SUMPRODUCT(MAX(ROW(E$2:E3318)*(E3318=E$2:E3318)))))-COUNTBLANK(OFFSET(A$1,,,SUMPRODUCT(MAX(ROW(E$1:E3317)*(E2=E$1:E3317))))))</f>
        <v> </v>
      </c>
      <c r="K3318" s="26" t="str">
        <f>IF(OR(E3318="",E3318="!!!",F3318="NEW"),"",INDEX(J$1:J3317,SUMPRODUCT(MAX(ROW(E$1:E3317)*(E3318=E$1:E3317)))))</f>
        <v> </v>
      </c>
      <c r="L3318" s="27"/>
    </row>
    <row r="3319" spans="1:12">
      <c r="A3319" s="20" t="s">
        <v>1606</v>
      </c>
      <c r="E3319" s="22">
        <f>IF(D3319="?OLD","!!!","")</f>
        <v/>
      </c>
      <c r="F3319" s="23" t="str">
        <f>IF(OR(E3319="",E3319="!!!"),"",IF(NOT(ISNA(VLOOKUP(E3319,E$1:E3318,1,FALSE()))),"OLD",IF(AND(E3319&lt;&gt;"",E3319&lt;&gt;"!!!"),"NEW","")))</f>
        <v> </v>
      </c>
      <c r="G3319" s="24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5" t="str">
        <f>IF(J3319&lt;&gt;1,"",IF(I3319="SBJ","CB","?"))</f>
        <v> </v>
      </c>
      <c r="I3319" s="26" t="str">
        <f>IF(OR(E3319="",E3319="!!!",F3319="NEW"),"",INDEX(B3318:B$2,-1+SUMPRODUCT(MAX(ROW(E3318:E$2)*(E3319=E3318:E$2)))))</f>
        <v> </v>
      </c>
      <c r="J3319" s="26" t="str">
        <f>IF(OR(E3319="",E3319="!!!",F3319="NEW"),"",COUNTBLANK(OFFSET(A$1,,,SUMPRODUCT(MAX(ROW(E$2:E3319)*(E3319=E$2:E3319)))))-COUNTBLANK(OFFSET(A$1,,,SUMPRODUCT(MAX(ROW(E$1:E3318)*(E2=E$1:E3318))))))</f>
        <v> </v>
      </c>
      <c r="K3319" s="26" t="str">
        <f>IF(OR(E3319="",E3319="!!!",F3319="NEW"),"",INDEX(J$1:J3318,SUMPRODUCT(MAX(ROW(E$1:E3318)*(E3319=E$1:E3318)))))</f>
        <v> </v>
      </c>
      <c r="L3319" s="27"/>
    </row>
    <row r="3320" spans="1:12">
      <c r="A3320" s="20" t="s">
        <v>1155</v>
      </c>
      <c r="E3320" s="22">
        <f>IF(D3320="?OLD","!!!","")</f>
        <v/>
      </c>
      <c r="F3320" s="23" t="str">
        <f>IF(OR(E3320="",E3320="!!!"),"",IF(NOT(ISNA(VLOOKUP(E3320,E$1:E3319,1,FALSE()))),"OLD",IF(AND(E3320&lt;&gt;"",E3320&lt;&gt;"!!!"),"NEW","")))</f>
        <v> </v>
      </c>
      <c r="G3320" s="24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5" t="str">
        <f>IF(J3320&lt;&gt;1,"",IF(I3320="SBJ","CB","?"))</f>
        <v> </v>
      </c>
      <c r="I3320" s="26" t="str">
        <f>IF(OR(E3320="",E3320="!!!",F3320="NEW"),"",INDEX(B3319:B$2,-1+SUMPRODUCT(MAX(ROW(E3319:E$2)*(E3320=E3319:E$2)))))</f>
        <v> </v>
      </c>
      <c r="J3320" s="26" t="str">
        <f>IF(OR(E3320="",E3320="!!!",F3320="NEW"),"",COUNTBLANK(OFFSET(A$1,,,SUMPRODUCT(MAX(ROW(E$2:E3320)*(E3320=E$2:E3320)))))-COUNTBLANK(OFFSET(A$1,,,SUMPRODUCT(MAX(ROW(E$1:E3319)*(E2=E$1:E3319))))))</f>
        <v> </v>
      </c>
      <c r="K3320" s="26" t="str">
        <f>IF(OR(E3320="",E3320="!!!",F3320="NEW"),"",INDEX(J$1:J3319,SUMPRODUCT(MAX(ROW(E$1:E3319)*(E3320=E$1:E3319)))))</f>
        <v> </v>
      </c>
      <c r="L3320" s="27"/>
    </row>
    <row r="3321" spans="1:12">
      <c r="A3321" s="20" t="s">
        <v>496</v>
      </c>
      <c r="E3321" s="22">
        <f>IF(D3321="?OLD","!!!","")</f>
        <v/>
      </c>
      <c r="F3321" s="23" t="str">
        <f>IF(OR(E3321="",E3321="!!!"),"",IF(NOT(ISNA(VLOOKUP(E3321,E$1:E3320,1,FALSE()))),"OLD",IF(AND(E3321&lt;&gt;"",E3321&lt;&gt;"!!!"),"NEW","")))</f>
        <v> </v>
      </c>
      <c r="G3321" s="24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5" t="str">
        <f>IF(J3321&lt;&gt;1,"",IF(I3321="SBJ","CB","?"))</f>
        <v> </v>
      </c>
      <c r="I3321" s="26" t="str">
        <f>IF(OR(E3321="",E3321="!!!",F3321="NEW"),"",INDEX(B3320:B$2,-1+SUMPRODUCT(MAX(ROW(E3320:E$2)*(E3321=E3320:E$2)))))</f>
        <v> </v>
      </c>
      <c r="J3321" s="26" t="str">
        <f>IF(OR(E3321="",E3321="!!!",F3321="NEW"),"",COUNTBLANK(OFFSET(A$1,,,SUMPRODUCT(MAX(ROW(E$2:E3321)*(E3321=E$2:E3321)))))-COUNTBLANK(OFFSET(A$1,,,SUMPRODUCT(MAX(ROW(E$1:E3320)*(E2=E$1:E3320))))))</f>
        <v> </v>
      </c>
      <c r="K3321" s="26" t="str">
        <f>IF(OR(E3321="",E3321="!!!",F3321="NEW"),"",INDEX(J$1:J3320,SUMPRODUCT(MAX(ROW(E$1:E3320)*(E3321=E$1:E3320)))))</f>
        <v> </v>
      </c>
      <c r="L3321" s="27"/>
    </row>
    <row r="3322" spans="1:12">
      <c r="A3322" s="20" t="s">
        <v>2382</v>
      </c>
      <c r="E3322" s="22">
        <f>IF(D3322="?OLD","!!!","")</f>
        <v/>
      </c>
      <c r="F3322" s="23" t="str">
        <f>IF(OR(E3322="",E3322="!!!"),"",IF(NOT(ISNA(VLOOKUP(E3322,E$1:E3321,1,FALSE()))),"OLD",IF(AND(E3322&lt;&gt;"",E3322&lt;&gt;"!!!"),"NEW","")))</f>
        <v> </v>
      </c>
      <c r="G3322" s="24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5" t="str">
        <f>IF(J3322&lt;&gt;1,"",IF(I3322="SBJ","CB","?"))</f>
        <v> </v>
      </c>
      <c r="I3322" s="26" t="str">
        <f>IF(OR(E3322="",E3322="!!!",F3322="NEW"),"",INDEX(B3321:B$2,-1+SUMPRODUCT(MAX(ROW(E3321:E$2)*(E3322=E3321:E$2)))))</f>
        <v> </v>
      </c>
      <c r="J3322" s="26" t="str">
        <f>IF(OR(E3322="",E3322="!!!",F3322="NEW"),"",COUNTBLANK(OFFSET(A$1,,,SUMPRODUCT(MAX(ROW(E$2:E3322)*(E3322=E$2:E3322)))))-COUNTBLANK(OFFSET(A$1,,,SUMPRODUCT(MAX(ROW(E$1:E3321)*(E2=E$1:E3321))))))</f>
        <v> </v>
      </c>
      <c r="K3322" s="26" t="str">
        <f>IF(OR(E3322="",E3322="!!!",F3322="NEW"),"",INDEX(J$1:J3321,SUMPRODUCT(MAX(ROW(E$1:E3321)*(E3322=E$1:E3321)))))</f>
        <v> </v>
      </c>
      <c r="L3322" s="27"/>
    </row>
    <row r="3323" spans="1:12">
      <c r="A3323" s="20" t="s">
        <v>2359</v>
      </c>
      <c r="B3323" s="21" t="s">
        <v>1080</v>
      </c>
      <c r="E3323" s="22">
        <f>IF(D3323="?OLD","!!!","")</f>
        <v/>
      </c>
      <c r="F3323" s="23" t="str">
        <f>IF(OR(E3323="",E3323="!!!"),"",IF(NOT(ISNA(VLOOKUP(E3323,E$1:E3322,1,FALSE()))),"OLD",IF(AND(E3323&lt;&gt;"",E3323&lt;&gt;"!!!"),"NEW","")))</f>
        <v> </v>
      </c>
      <c r="G3323" s="24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5" t="str">
        <f>IF(J3323&lt;&gt;1,"",IF(I3323="SBJ","CB","?"))</f>
        <v> </v>
      </c>
      <c r="I3323" s="26" t="str">
        <f>IF(OR(E3323="",E3323="!!!",F3323="NEW"),"",INDEX(B3322:B$2,-1+SUMPRODUCT(MAX(ROW(E3322:E$2)*(E3323=E3322:E$2)))))</f>
        <v> </v>
      </c>
      <c r="J3323" s="26" t="str">
        <f>IF(OR(E3323="",E3323="!!!",F3323="NEW"),"",COUNTBLANK(OFFSET(A$1,,,SUMPRODUCT(MAX(ROW(E$2:E3323)*(E3323=E$2:E3323)))))-COUNTBLANK(OFFSET(A$1,,,SUMPRODUCT(MAX(ROW(E$1:E3322)*(E2=E$1:E3322))))))</f>
        <v> </v>
      </c>
      <c r="K3323" s="26" t="str">
        <f>IF(OR(E3323="",E3323="!!!",F3323="NEW"),"",INDEX(J$1:J3322,SUMPRODUCT(MAX(ROW(E$1:E3322)*(E3323=E$1:E3322)))))</f>
        <v> </v>
      </c>
      <c r="L3323" s="27"/>
    </row>
    <row r="3324" spans="1:12">
      <c r="A3324" s="20" t="s">
        <v>2024</v>
      </c>
      <c r="E3324" s="22">
        <f>IF(D3324="?OLD","!!!","")</f>
        <v/>
      </c>
      <c r="F3324" s="23" t="str">
        <f>IF(OR(E3324="",E3324="!!!"),"",IF(NOT(ISNA(VLOOKUP(E3324,E$1:E3323,1,FALSE()))),"OLD",IF(AND(E3324&lt;&gt;"",E3324&lt;&gt;"!!!"),"NEW","")))</f>
        <v> </v>
      </c>
      <c r="G3324" s="24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5" t="str">
        <f>IF(J3324&lt;&gt;1,"",IF(I3324="SBJ","CB","?"))</f>
        <v> </v>
      </c>
      <c r="I3324" s="26" t="str">
        <f>IF(OR(E3324="",E3324="!!!",F3324="NEW"),"",INDEX(B3323:B$2,-1+SUMPRODUCT(MAX(ROW(E3323:E$2)*(E3324=E3323:E$2)))))</f>
        <v> </v>
      </c>
      <c r="J3324" s="26" t="str">
        <f>IF(OR(E3324="",E3324="!!!",F3324="NEW"),"",COUNTBLANK(OFFSET(A$1,,,SUMPRODUCT(MAX(ROW(E$2:E3324)*(E3324=E$2:E3324)))))-COUNTBLANK(OFFSET(A$1,,,SUMPRODUCT(MAX(ROW(E$1:E3323)*(E2=E$1:E3323))))))</f>
        <v> </v>
      </c>
      <c r="K3324" s="26" t="str">
        <f>IF(OR(E3324="",E3324="!!!",F3324="NEW"),"",INDEX(J$1:J3323,SUMPRODUCT(MAX(ROW(E$1:E3323)*(E3324=E$1:E3323)))))</f>
        <v> </v>
      </c>
      <c r="L3324" s="27"/>
    </row>
    <row r="3325" spans="1:12">
      <c r="A3325" s="20" t="s">
        <v>1970</v>
      </c>
      <c r="E3325" s="22">
        <f>IF(D3325="?OLD","!!!","")</f>
        <v/>
      </c>
      <c r="F3325" s="23" t="str">
        <f>IF(OR(E3325="",E3325="!!!"),"",IF(NOT(ISNA(VLOOKUP(E3325,E$1:E3324,1,FALSE()))),"OLD",IF(AND(E3325&lt;&gt;"",E3325&lt;&gt;"!!!"),"NEW","")))</f>
        <v> </v>
      </c>
      <c r="G3325" s="24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5" t="str">
        <f>IF(J3325&lt;&gt;1,"",IF(I3325="SBJ","CB","?"))</f>
        <v> </v>
      </c>
      <c r="I3325" s="26" t="str">
        <f>IF(OR(E3325="",E3325="!!!",F3325="NEW"),"",INDEX(B3324:B$2,-1+SUMPRODUCT(MAX(ROW(E3324:E$2)*(E3325=E3324:E$2)))))</f>
        <v> </v>
      </c>
      <c r="J3325" s="26" t="str">
        <f>IF(OR(E3325="",E3325="!!!",F3325="NEW"),"",COUNTBLANK(OFFSET(A$1,,,SUMPRODUCT(MAX(ROW(E$2:E3325)*(E3325=E$2:E3325)))))-COUNTBLANK(OFFSET(A$1,,,SUMPRODUCT(MAX(ROW(E$1:E3324)*(E2=E$1:E3324))))))</f>
        <v> </v>
      </c>
      <c r="K3325" s="26" t="str">
        <f>IF(OR(E3325="",E3325="!!!",F3325="NEW"),"",INDEX(J$1:J3324,SUMPRODUCT(MAX(ROW(E$1:E3324)*(E3325=E$1:E3324)))))</f>
        <v> </v>
      </c>
      <c r="L3325" s="27"/>
    </row>
    <row r="3326" spans="1:12">
      <c r="A3326" s="20" t="s">
        <v>1902</v>
      </c>
      <c r="E3326" s="22">
        <f>IF(D3326="?OLD","!!!","")</f>
        <v/>
      </c>
      <c r="F3326" s="23" t="str">
        <f>IF(OR(E3326="",E3326="!!!"),"",IF(NOT(ISNA(VLOOKUP(E3326,E$1:E3325,1,FALSE()))),"OLD",IF(AND(E3326&lt;&gt;"",E3326&lt;&gt;"!!!"),"NEW","")))</f>
        <v> </v>
      </c>
      <c r="G3326" s="24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5" t="str">
        <f>IF(J3326&lt;&gt;1,"",IF(I3326="SBJ","CB","?"))</f>
        <v> </v>
      </c>
      <c r="I3326" s="26" t="str">
        <f>IF(OR(E3326="",E3326="!!!",F3326="NEW"),"",INDEX(B3325:B$2,-1+SUMPRODUCT(MAX(ROW(E3325:E$2)*(E3326=E3325:E$2)))))</f>
        <v> </v>
      </c>
      <c r="J3326" s="26" t="str">
        <f>IF(OR(E3326="",E3326="!!!",F3326="NEW"),"",COUNTBLANK(OFFSET(A$1,,,SUMPRODUCT(MAX(ROW(E$2:E3326)*(E3326=E$2:E3326)))))-COUNTBLANK(OFFSET(A$1,,,SUMPRODUCT(MAX(ROW(E$1:E3325)*(E2=E$1:E3325))))))</f>
        <v> </v>
      </c>
      <c r="K3326" s="26" t="str">
        <f>IF(OR(E3326="",E3326="!!!",F3326="NEW"),"",INDEX(J$1:J3325,SUMPRODUCT(MAX(ROW(E$1:E3325)*(E3326=E$1:E3325)))))</f>
        <v> </v>
      </c>
      <c r="L3326" s="27"/>
    </row>
    <row r="3327" spans="1:12">
      <c r="A3327" s="20" t="s">
        <v>2383</v>
      </c>
      <c r="E3327" s="22">
        <f>IF(D3327="?OLD","!!!","")</f>
        <v/>
      </c>
      <c r="F3327" s="23" t="str">
        <f>IF(OR(E3327="",E3327="!!!"),"",IF(NOT(ISNA(VLOOKUP(E3327,E$1:E3326,1,FALSE()))),"OLD",IF(AND(E3327&lt;&gt;"",E3327&lt;&gt;"!!!"),"NEW","")))</f>
        <v> </v>
      </c>
      <c r="G3327" s="24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5" t="str">
        <f>IF(J3327&lt;&gt;1,"",IF(I3327="SBJ","CB","?"))</f>
        <v> </v>
      </c>
      <c r="I3327" s="26" t="str">
        <f>IF(OR(E3327="",E3327="!!!",F3327="NEW"),"",INDEX(B3326:B$2,-1+SUMPRODUCT(MAX(ROW(E3326:E$2)*(E3327=E3326:E$2)))))</f>
        <v> </v>
      </c>
      <c r="J3327" s="26" t="str">
        <f>IF(OR(E3327="",E3327="!!!",F3327="NEW"),"",COUNTBLANK(OFFSET(A$1,,,SUMPRODUCT(MAX(ROW(E$2:E3327)*(E3327=E$2:E3327)))))-COUNTBLANK(OFFSET(A$1,,,SUMPRODUCT(MAX(ROW(E$1:E3326)*(E2=E$1:E3326))))))</f>
        <v> </v>
      </c>
      <c r="K3327" s="26" t="str">
        <f>IF(OR(E3327="",E3327="!!!",F3327="NEW"),"",INDEX(J$1:J3326,SUMPRODUCT(MAX(ROW(E$1:E3326)*(E3327=E$1:E3326)))))</f>
        <v> </v>
      </c>
      <c r="L3327" s="27"/>
    </row>
    <row r="3328" spans="1:12">
      <c r="A3328" s="20" t="s">
        <v>2384</v>
      </c>
      <c r="E3328" s="22">
        <f>IF(D3328="?OLD","!!!","")</f>
        <v/>
      </c>
      <c r="F3328" s="23" t="str">
        <f>IF(OR(E3328="",E3328="!!!"),"",IF(NOT(ISNA(VLOOKUP(E3328,E$1:E3327,1,FALSE()))),"OLD",IF(AND(E3328&lt;&gt;"",E3328&lt;&gt;"!!!"),"NEW","")))</f>
        <v> </v>
      </c>
      <c r="G3328" s="24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5" t="str">
        <f>IF(J3328&lt;&gt;1,"",IF(I3328="SBJ","CB","?"))</f>
        <v> </v>
      </c>
      <c r="I3328" s="26" t="str">
        <f>IF(OR(E3328="",E3328="!!!",F3328="NEW"),"",INDEX(B3327:B$2,-1+SUMPRODUCT(MAX(ROW(E3327:E$2)*(E3328=E3327:E$2)))))</f>
        <v> </v>
      </c>
      <c r="J3328" s="26" t="str">
        <f>IF(OR(E3328="",E3328="!!!",F3328="NEW"),"",COUNTBLANK(OFFSET(A$1,,,SUMPRODUCT(MAX(ROW(E$2:E3328)*(E3328=E$2:E3328)))))-COUNTBLANK(OFFSET(A$1,,,SUMPRODUCT(MAX(ROW(E$1:E3327)*(E2=E$1:E3327))))))</f>
        <v> </v>
      </c>
      <c r="K3328" s="26" t="str">
        <f>IF(OR(E3328="",E3328="!!!",F3328="NEW"),"",INDEX(J$1:J3327,SUMPRODUCT(MAX(ROW(E$1:E3327)*(E3328=E$1:E3327)))))</f>
        <v> </v>
      </c>
      <c r="L3328" s="27"/>
    </row>
    <row r="3329" spans="1:12">
      <c r="A3329" s="20" t="s">
        <v>1106</v>
      </c>
      <c r="E3329" s="22">
        <f>IF(D3329="?OLD","!!!","")</f>
        <v/>
      </c>
      <c r="F3329" s="23" t="str">
        <f>IF(OR(E3329="",E3329="!!!"),"",IF(NOT(ISNA(VLOOKUP(E3329,E$1:E3328,1,FALSE()))),"OLD",IF(AND(E3329&lt;&gt;"",E3329&lt;&gt;"!!!"),"NEW","")))</f>
        <v> </v>
      </c>
      <c r="G3329" s="24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5" t="str">
        <f>IF(J3329&lt;&gt;1,"",IF(I3329="SBJ","CB","?"))</f>
        <v> </v>
      </c>
      <c r="I3329" s="26" t="str">
        <f>IF(OR(E3329="",E3329="!!!",F3329="NEW"),"",INDEX(B3328:B$2,-1+SUMPRODUCT(MAX(ROW(E3328:E$2)*(E3329=E3328:E$2)))))</f>
        <v> </v>
      </c>
      <c r="J3329" s="26" t="str">
        <f>IF(OR(E3329="",E3329="!!!",F3329="NEW"),"",COUNTBLANK(OFFSET(A$1,,,SUMPRODUCT(MAX(ROW(E$2:E3329)*(E3329=E$2:E3329)))))-COUNTBLANK(OFFSET(A$1,,,SUMPRODUCT(MAX(ROW(E$1:E3328)*(E2=E$1:E3328))))))</f>
        <v> </v>
      </c>
      <c r="K3329" s="26" t="str">
        <f>IF(OR(E3329="",E3329="!!!",F3329="NEW"),"",INDEX(J$1:J3328,SUMPRODUCT(MAX(ROW(E$1:E3328)*(E3329=E$1:E3328)))))</f>
        <v> </v>
      </c>
      <c r="L3329" s="27"/>
    </row>
    <row r="3330" spans="1:12">
      <c r="A3330" s="20"/>
    </row>
    <row r="3331" spans="1:12">
      <c r="A3331" s="20" t="s">
        <v>2385</v>
      </c>
    </row>
    <row r="3332" spans="1:12">
      <c r="A3332" s="20" t="s">
        <v>2386</v>
      </c>
      <c r="E3332" s="22">
        <f>IF(D3332="?OLD","!!!","")</f>
        <v/>
      </c>
      <c r="F3332" s="23" t="str">
        <f>IF(OR(E3332="",E3332="!!!"),"",IF(NOT(ISNA(VLOOKUP(E3332,E$1:E3331,1,FALSE()))),"OLD",IF(AND(E3332&lt;&gt;"",E3332&lt;&gt;"!!!"),"NEW","")))</f>
        <v> </v>
      </c>
      <c r="G3332" s="24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5" t="str">
        <f>IF(J3332&lt;&gt;1,"",IF(I3332="SBJ","CB","?"))</f>
        <v> </v>
      </c>
      <c r="I3332" s="26" t="str">
        <f>IF(OR(E3332="",E3332="!!!",F3332="NEW"),"",INDEX(B3331:B$2,-1+SUMPRODUCT(MAX(ROW(E3331:E$2)*(E3332=E3331:E$2)))))</f>
        <v> </v>
      </c>
      <c r="J3332" s="26" t="str">
        <f>IF(OR(E3332="",E3332="!!!",F3332="NEW"),"",COUNTBLANK(OFFSET(A$1,,,SUMPRODUCT(MAX(ROW(E$2:E3332)*(E3332=E$2:E3332)))))-COUNTBLANK(OFFSET(A$1,,,SUMPRODUCT(MAX(ROW(E$1:E3331)*(E2=E$1:E3331))))))</f>
        <v> </v>
      </c>
      <c r="K3332" s="26" t="str">
        <f>IF(OR(E3332="",E3332="!!!",F3332="NEW"),"",INDEX(J$1:J3331,SUMPRODUCT(MAX(ROW(E$1:E3331)*(E3332=E$1:E3331)))))</f>
        <v> </v>
      </c>
      <c r="L3332" s="27"/>
    </row>
    <row r="3333" spans="1:12">
      <c r="A3333" s="20" t="s">
        <v>2387</v>
      </c>
      <c r="E3333" s="22">
        <f>IF(D3333="?OLD","!!!","")</f>
        <v/>
      </c>
      <c r="F3333" s="23" t="str">
        <f>IF(OR(E3333="",E3333="!!!"),"",IF(NOT(ISNA(VLOOKUP(E3333,E$1:E3332,1,FALSE()))),"OLD",IF(AND(E3333&lt;&gt;"",E3333&lt;&gt;"!!!"),"NEW","")))</f>
        <v> </v>
      </c>
      <c r="G3333" s="24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5" t="str">
        <f>IF(J3333&lt;&gt;1,"",IF(I3333="SBJ","CB","?"))</f>
        <v> </v>
      </c>
      <c r="I3333" s="26" t="str">
        <f>IF(OR(E3333="",E3333="!!!",F3333="NEW"),"",INDEX(B3332:B$2,-1+SUMPRODUCT(MAX(ROW(E3332:E$2)*(E3333=E3332:E$2)))))</f>
        <v> </v>
      </c>
      <c r="J3333" s="26" t="str">
        <f>IF(OR(E3333="",E3333="!!!",F3333="NEW"),"",COUNTBLANK(OFFSET(A$1,,,SUMPRODUCT(MAX(ROW(E$2:E3333)*(E3333=E$2:E3333)))))-COUNTBLANK(OFFSET(A$1,,,SUMPRODUCT(MAX(ROW(E$1:E3332)*(E2=E$1:E3332))))))</f>
        <v> </v>
      </c>
      <c r="K3333" s="26" t="str">
        <f>IF(OR(E3333="",E3333="!!!",F3333="NEW"),"",INDEX(J$1:J3332,SUMPRODUCT(MAX(ROW(E$1:E3332)*(E3333=E$1:E3332)))))</f>
        <v> </v>
      </c>
      <c r="L3333" s="27"/>
    </row>
    <row r="3334" spans="1:12">
      <c r="A3334" s="20" t="s">
        <v>1085</v>
      </c>
      <c r="E3334" s="22">
        <f>IF(D3334="?OLD","!!!","")</f>
        <v/>
      </c>
      <c r="F3334" s="23" t="str">
        <f>IF(OR(E3334="",E3334="!!!"),"",IF(NOT(ISNA(VLOOKUP(E3334,E$1:E3333,1,FALSE()))),"OLD",IF(AND(E3334&lt;&gt;"",E3334&lt;&gt;"!!!"),"NEW","")))</f>
        <v> </v>
      </c>
      <c r="G3334" s="24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5" t="str">
        <f>IF(J3334&lt;&gt;1,"",IF(I3334="SBJ","CB","?"))</f>
        <v> </v>
      </c>
      <c r="I3334" s="26" t="str">
        <f>IF(OR(E3334="",E3334="!!!",F3334="NEW"),"",INDEX(B3333:B$2,-1+SUMPRODUCT(MAX(ROW(E3333:E$2)*(E3334=E3333:E$2)))))</f>
        <v> </v>
      </c>
      <c r="J3334" s="26" t="str">
        <f>IF(OR(E3334="",E3334="!!!",F3334="NEW"),"",COUNTBLANK(OFFSET(A$1,,,SUMPRODUCT(MAX(ROW(E$2:E3334)*(E3334=E$2:E3334)))))-COUNTBLANK(OFFSET(A$1,,,SUMPRODUCT(MAX(ROW(E$1:E3333)*(E2=E$1:E3333))))))</f>
        <v> </v>
      </c>
      <c r="K3334" s="26" t="str">
        <f>IF(OR(E3334="",E3334="!!!",F3334="NEW"),"",INDEX(J$1:J3333,SUMPRODUCT(MAX(ROW(E$1:E3333)*(E3334=E$1:E3333)))))</f>
        <v> </v>
      </c>
      <c r="L3334" s="27"/>
    </row>
    <row r="3335" spans="1:12">
      <c r="A3335" s="20" t="s">
        <v>1258</v>
      </c>
      <c r="E3335" s="22">
        <f>IF(D3335="?OLD","!!!","")</f>
        <v/>
      </c>
      <c r="F3335" s="23" t="str">
        <f>IF(OR(E3335="",E3335="!!!"),"",IF(NOT(ISNA(VLOOKUP(E3335,E$1:E3334,1,FALSE()))),"OLD",IF(AND(E3335&lt;&gt;"",E3335&lt;&gt;"!!!"),"NEW","")))</f>
        <v> </v>
      </c>
      <c r="G3335" s="24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5" t="str">
        <f>IF(J3335&lt;&gt;1,"",IF(I3335="SBJ","CB","?"))</f>
        <v> </v>
      </c>
      <c r="I3335" s="26" t="str">
        <f>IF(OR(E3335="",E3335="!!!",F3335="NEW"),"",INDEX(B3334:B$2,-1+SUMPRODUCT(MAX(ROW(E3334:E$2)*(E3335=E3334:E$2)))))</f>
        <v> </v>
      </c>
      <c r="J3335" s="26" t="str">
        <f>IF(OR(E3335="",E3335="!!!",F3335="NEW"),"",COUNTBLANK(OFFSET(A$1,,,SUMPRODUCT(MAX(ROW(E$2:E3335)*(E3335=E$2:E3335)))))-COUNTBLANK(OFFSET(A$1,,,SUMPRODUCT(MAX(ROW(E$1:E3334)*(E2=E$1:E3334))))))</f>
        <v> </v>
      </c>
      <c r="K3335" s="26" t="str">
        <f>IF(OR(E3335="",E3335="!!!",F3335="NEW"),"",INDEX(J$1:J3334,SUMPRODUCT(MAX(ROW(E$1:E3334)*(E3335=E$1:E3334)))))</f>
        <v> </v>
      </c>
      <c r="L3335" s="27"/>
    </row>
    <row r="3336" spans="1:12">
      <c r="A3336" s="20" t="s">
        <v>1118</v>
      </c>
      <c r="B3336" s="21" t="s">
        <v>1077</v>
      </c>
      <c r="C3336" s="21" t="s">
        <v>1081</v>
      </c>
      <c r="D3336" s="21" t="s">
        <v>1074</v>
      </c>
      <c r="E3336" s="22">
        <f>IF(D3336="?OLD","!!!","")</f>
        <v/>
      </c>
      <c r="F3336" s="23" t="str">
        <f>IF(OR(E3336="",E3336="!!!"),"",IF(NOT(ISNA(VLOOKUP(E3336,E$1:E3335,1,FALSE()))),"OLD",IF(AND(E3336&lt;&gt;"",E3336&lt;&gt;"!!!"),"NEW","")))</f>
        <v> </v>
      </c>
      <c r="G3336" s="24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5" t="str">
        <f>IF(J3336&lt;&gt;1,"",IF(I3336="SBJ","CB","?"))</f>
        <v> </v>
      </c>
      <c r="I3336" s="26" t="str">
        <f>IF(OR(E3336="",E3336="!!!",F3336="NEW"),"",INDEX(B3335:B$2,-1+SUMPRODUCT(MAX(ROW(E3335:E$2)*(E3336=E3335:E$2)))))</f>
        <v> </v>
      </c>
      <c r="J3336" s="26" t="str">
        <f>IF(OR(E3336="",E3336="!!!",F3336="NEW"),"",COUNTBLANK(OFFSET(A$1,,,SUMPRODUCT(MAX(ROW(E$2:E3336)*(E3336=E$2:E3336)))))-COUNTBLANK(OFFSET(A$1,,,SUMPRODUCT(MAX(ROW(E$1:E3335)*(E2=E$1:E3335))))))</f>
        <v> </v>
      </c>
      <c r="K3336" s="26" t="str">
        <f>IF(OR(E3336="",E3336="!!!",F3336="NEW"),"",INDEX(J$1:J3335,SUMPRODUCT(MAX(ROW(E$1:E3335)*(E3336=E$1:E3335)))))</f>
        <v> </v>
      </c>
      <c r="L3336" s="27"/>
    </row>
    <row r="3337" spans="1:12">
      <c r="A3337" s="20" t="s">
        <v>1155</v>
      </c>
      <c r="E3337" s="22">
        <f>IF(D3337="?OLD","!!!","")</f>
        <v/>
      </c>
      <c r="F3337" s="23" t="str">
        <f>IF(OR(E3337="",E3337="!!!"),"",IF(NOT(ISNA(VLOOKUP(E3337,E$1:E3336,1,FALSE()))),"OLD",IF(AND(E3337&lt;&gt;"",E3337&lt;&gt;"!!!"),"NEW","")))</f>
        <v> </v>
      </c>
      <c r="G3337" s="24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5" t="str">
        <f>IF(J3337&lt;&gt;1,"",IF(I3337="SBJ","CB","?"))</f>
        <v> </v>
      </c>
      <c r="I3337" s="26" t="str">
        <f>IF(OR(E3337="",E3337="!!!",F3337="NEW"),"",INDEX(B3336:B$2,-1+SUMPRODUCT(MAX(ROW(E3336:E$2)*(E3337=E3336:E$2)))))</f>
        <v> </v>
      </c>
      <c r="J3337" s="26" t="str">
        <f>IF(OR(E3337="",E3337="!!!",F3337="NEW"),"",COUNTBLANK(OFFSET(A$1,,,SUMPRODUCT(MAX(ROW(E$2:E3337)*(E3337=E$2:E3337)))))-COUNTBLANK(OFFSET(A$1,,,SUMPRODUCT(MAX(ROW(E$1:E3336)*(E2=E$1:E3336))))))</f>
        <v> </v>
      </c>
      <c r="K3337" s="26" t="str">
        <f>IF(OR(E3337="",E3337="!!!",F3337="NEW"),"",INDEX(J$1:J3336,SUMPRODUCT(MAX(ROW(E$1:E3336)*(E3337=E$1:E3336)))))</f>
        <v> </v>
      </c>
      <c r="L3337" s="27"/>
    </row>
    <row r="3338" spans="1:12">
      <c r="A3338" s="20" t="s">
        <v>1724</v>
      </c>
      <c r="E3338" s="22">
        <f>IF(D3338="?OLD","!!!","")</f>
        <v/>
      </c>
      <c r="F3338" s="23" t="str">
        <f>IF(OR(E3338="",E3338="!!!"),"",IF(NOT(ISNA(VLOOKUP(E3338,E$1:E3337,1,FALSE()))),"OLD",IF(AND(E3338&lt;&gt;"",E3338&lt;&gt;"!!!"),"NEW","")))</f>
        <v> </v>
      </c>
      <c r="G3338" s="24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5" t="str">
        <f>IF(J3338&lt;&gt;1,"",IF(I3338="SBJ","CB","?"))</f>
        <v> </v>
      </c>
      <c r="I3338" s="26" t="str">
        <f>IF(OR(E3338="",E3338="!!!",F3338="NEW"),"",INDEX(B3337:B$2,-1+SUMPRODUCT(MAX(ROW(E3337:E$2)*(E3338=E3337:E$2)))))</f>
        <v> </v>
      </c>
      <c r="J3338" s="26" t="str">
        <f>IF(OR(E3338="",E3338="!!!",F3338="NEW"),"",COUNTBLANK(OFFSET(A$1,,,SUMPRODUCT(MAX(ROW(E$2:E3338)*(E3338=E$2:E3338)))))-COUNTBLANK(OFFSET(A$1,,,SUMPRODUCT(MAX(ROW(E$1:E3337)*(E2=E$1:E3337))))))</f>
        <v> </v>
      </c>
      <c r="K3338" s="26" t="str">
        <f>IF(OR(E3338="",E3338="!!!",F3338="NEW"),"",INDEX(J$1:J3337,SUMPRODUCT(MAX(ROW(E$1:E3337)*(E3338=E$1:E3337)))))</f>
        <v> </v>
      </c>
      <c r="L3338" s="27"/>
    </row>
    <row r="3339" spans="1:12">
      <c r="A3339" s="20" t="s">
        <v>2388</v>
      </c>
      <c r="E3339" s="22">
        <f>IF(D3339="?OLD","!!!","")</f>
        <v/>
      </c>
      <c r="F3339" s="23" t="str">
        <f>IF(OR(E3339="",E3339="!!!"),"",IF(NOT(ISNA(VLOOKUP(E3339,E$1:E3338,1,FALSE()))),"OLD",IF(AND(E3339&lt;&gt;"",E3339&lt;&gt;"!!!"),"NEW","")))</f>
        <v> </v>
      </c>
      <c r="G3339" s="24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5" t="str">
        <f>IF(J3339&lt;&gt;1,"",IF(I3339="SBJ","CB","?"))</f>
        <v> </v>
      </c>
      <c r="I3339" s="26" t="str">
        <f>IF(OR(E3339="",E3339="!!!",F3339="NEW"),"",INDEX(B3338:B$2,-1+SUMPRODUCT(MAX(ROW(E3338:E$2)*(E3339=E3338:E$2)))))</f>
        <v> </v>
      </c>
      <c r="J3339" s="26" t="str">
        <f>IF(OR(E3339="",E3339="!!!",F3339="NEW"),"",COUNTBLANK(OFFSET(A$1,,,SUMPRODUCT(MAX(ROW(E$2:E3339)*(E3339=E$2:E3339)))))-COUNTBLANK(OFFSET(A$1,,,SUMPRODUCT(MAX(ROW(E$1:E3338)*(E2=E$1:E3338))))))</f>
        <v> </v>
      </c>
      <c r="K3339" s="26" t="str">
        <f>IF(OR(E3339="",E3339="!!!",F3339="NEW"),"",INDEX(J$1:J3338,SUMPRODUCT(MAX(ROW(E$1:E3338)*(E3339=E$1:E3338)))))</f>
        <v> </v>
      </c>
      <c r="L3339" s="27"/>
    </row>
    <row r="3340" spans="1:12">
      <c r="A3340" s="20" t="s">
        <v>1138</v>
      </c>
      <c r="E3340" s="22">
        <f>IF(D3340="?OLD","!!!","")</f>
        <v/>
      </c>
      <c r="F3340" s="23" t="str">
        <f>IF(OR(E3340="",E3340="!!!"),"",IF(NOT(ISNA(VLOOKUP(E3340,E$1:E3339,1,FALSE()))),"OLD",IF(AND(E3340&lt;&gt;"",E3340&lt;&gt;"!!!"),"NEW","")))</f>
        <v> </v>
      </c>
      <c r="G3340" s="24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5" t="str">
        <f>IF(J3340&lt;&gt;1,"",IF(I3340="SBJ","CB","?"))</f>
        <v> </v>
      </c>
      <c r="I3340" s="26" t="str">
        <f>IF(OR(E3340="",E3340="!!!",F3340="NEW"),"",INDEX(B3339:B$2,-1+SUMPRODUCT(MAX(ROW(E3339:E$2)*(E3340=E3339:E$2)))))</f>
        <v> </v>
      </c>
      <c r="J3340" s="26" t="str">
        <f>IF(OR(E3340="",E3340="!!!",F3340="NEW"),"",COUNTBLANK(OFFSET(A$1,,,SUMPRODUCT(MAX(ROW(E$2:E3340)*(E3340=E$2:E3340)))))-COUNTBLANK(OFFSET(A$1,,,SUMPRODUCT(MAX(ROW(E$1:E3339)*(E2=E$1:E3339))))))</f>
        <v> </v>
      </c>
      <c r="K3340" s="26" t="str">
        <f>IF(OR(E3340="",E3340="!!!",F3340="NEW"),"",INDEX(J$1:J3339,SUMPRODUCT(MAX(ROW(E$1:E3339)*(E3340=E$1:E3339)))))</f>
        <v> </v>
      </c>
      <c r="L3340" s="27"/>
    </row>
    <row r="3341" spans="1:12">
      <c r="A3341" s="20" t="s">
        <v>1515</v>
      </c>
      <c r="B3341" s="21" t="s">
        <v>1137</v>
      </c>
      <c r="C3341" s="21" t="s">
        <v>1095</v>
      </c>
      <c r="D3341" s="21" t="s">
        <v>1074</v>
      </c>
      <c r="E3341" s="22">
        <f>IF(D3341="?OLD","!!!","")</f>
        <v/>
      </c>
      <c r="F3341" s="23" t="str">
        <f>IF(OR(E3341="",E3341="!!!"),"",IF(NOT(ISNA(VLOOKUP(E3341,E$1:E3340,1,FALSE()))),"OLD",IF(AND(E3341&lt;&gt;"",E3341&lt;&gt;"!!!"),"NEW","")))</f>
        <v> </v>
      </c>
      <c r="G3341" s="24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5" t="str">
        <f>IF(J3341&lt;&gt;1,"",IF(I3341="SBJ","CB","?"))</f>
        <v> </v>
      </c>
      <c r="I3341" s="26" t="str">
        <f>IF(OR(E3341="",E3341="!!!",F3341="NEW"),"",INDEX(B3340:B$2,-1+SUMPRODUCT(MAX(ROW(E3340:E$2)*(E3341=E3340:E$2)))))</f>
        <v> </v>
      </c>
      <c r="J3341" s="26" t="str">
        <f>IF(OR(E3341="",E3341="!!!",F3341="NEW"),"",COUNTBLANK(OFFSET(A$1,,,SUMPRODUCT(MAX(ROW(E$2:E3341)*(E3341=E$2:E3341)))))-COUNTBLANK(OFFSET(A$1,,,SUMPRODUCT(MAX(ROW(E$1:E3340)*(E2=E$1:E3340))))))</f>
        <v> </v>
      </c>
      <c r="K3341" s="26" t="str">
        <f>IF(OR(E3341="",E3341="!!!",F3341="NEW"),"",INDEX(J$1:J3340,SUMPRODUCT(MAX(ROW(E$1:E3340)*(E3341=E$1:E3340)))))</f>
        <v> </v>
      </c>
      <c r="L3341" s="27"/>
    </row>
    <row r="3342" spans="1:12">
      <c r="A3342" s="20" t="s">
        <v>2389</v>
      </c>
      <c r="E3342" s="22">
        <f>IF(D3342="?OLD","!!!","")</f>
        <v/>
      </c>
      <c r="F3342" s="23" t="str">
        <f>IF(OR(E3342="",E3342="!!!"),"",IF(NOT(ISNA(VLOOKUP(E3342,E$1:E3341,1,FALSE()))),"OLD",IF(AND(E3342&lt;&gt;"",E3342&lt;&gt;"!!!"),"NEW","")))</f>
        <v> </v>
      </c>
      <c r="G3342" s="24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5" t="str">
        <f>IF(J3342&lt;&gt;1,"",IF(I3342="SBJ","CB","?"))</f>
        <v> </v>
      </c>
      <c r="I3342" s="26" t="str">
        <f>IF(OR(E3342="",E3342="!!!",F3342="NEW"),"",INDEX(B3341:B$2,-1+SUMPRODUCT(MAX(ROW(E3341:E$2)*(E3342=E3341:E$2)))))</f>
        <v> </v>
      </c>
      <c r="J3342" s="26" t="str">
        <f>IF(OR(E3342="",E3342="!!!",F3342="NEW"),"",COUNTBLANK(OFFSET(A$1,,,SUMPRODUCT(MAX(ROW(E$2:E3342)*(E3342=E$2:E3342)))))-COUNTBLANK(OFFSET(A$1,,,SUMPRODUCT(MAX(ROW(E$1:E3341)*(E2=E$1:E3341))))))</f>
        <v> </v>
      </c>
      <c r="K3342" s="26" t="str">
        <f>IF(OR(E3342="",E3342="!!!",F3342="NEW"),"",INDEX(J$1:J3341,SUMPRODUCT(MAX(ROW(E$1:E3341)*(E3342=E$1:E3341)))))</f>
        <v> </v>
      </c>
      <c r="L3342" s="27"/>
    </row>
    <row r="3343" spans="1:12">
      <c r="A3343" s="20" t="s">
        <v>2390</v>
      </c>
      <c r="E3343" s="22">
        <f>IF(D3343="?OLD","!!!","")</f>
        <v/>
      </c>
      <c r="F3343" s="23" t="str">
        <f>IF(OR(E3343="",E3343="!!!"),"",IF(NOT(ISNA(VLOOKUP(E3343,E$1:E3342,1,FALSE()))),"OLD",IF(AND(E3343&lt;&gt;"",E3343&lt;&gt;"!!!"),"NEW","")))</f>
        <v> </v>
      </c>
      <c r="G3343" s="24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5" t="str">
        <f>IF(J3343&lt;&gt;1,"",IF(I3343="SBJ","CB","?"))</f>
        <v> </v>
      </c>
      <c r="I3343" s="26" t="str">
        <f>IF(OR(E3343="",E3343="!!!",F3343="NEW"),"",INDEX(B3342:B$2,-1+SUMPRODUCT(MAX(ROW(E3342:E$2)*(E3343=E3342:E$2)))))</f>
        <v> </v>
      </c>
      <c r="J3343" s="26" t="str">
        <f>IF(OR(E3343="",E3343="!!!",F3343="NEW"),"",COUNTBLANK(OFFSET(A$1,,,SUMPRODUCT(MAX(ROW(E$2:E3343)*(E3343=E$2:E3343)))))-COUNTBLANK(OFFSET(A$1,,,SUMPRODUCT(MAX(ROW(E$1:E3342)*(E2=E$1:E3342))))))</f>
        <v> </v>
      </c>
      <c r="K3343" s="26" t="str">
        <f>IF(OR(E3343="",E3343="!!!",F3343="NEW"),"",INDEX(J$1:J3342,SUMPRODUCT(MAX(ROW(E$1:E3342)*(E3343=E$1:E3342)))))</f>
        <v> </v>
      </c>
      <c r="L3343" s="27"/>
    </row>
    <row r="3344" spans="1:12">
      <c r="A3344" s="20" t="s">
        <v>1106</v>
      </c>
      <c r="E3344" s="22">
        <f>IF(D3344="?OLD","!!!","")</f>
        <v/>
      </c>
      <c r="F3344" s="23" t="str">
        <f>IF(OR(E3344="",E3344="!!!"),"",IF(NOT(ISNA(VLOOKUP(E3344,E$1:E3343,1,FALSE()))),"OLD",IF(AND(E3344&lt;&gt;"",E3344&lt;&gt;"!!!"),"NEW","")))</f>
        <v> </v>
      </c>
      <c r="G3344" s="24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5" t="str">
        <f>IF(J3344&lt;&gt;1,"",IF(I3344="SBJ","CB","?"))</f>
        <v> </v>
      </c>
      <c r="I3344" s="26" t="str">
        <f>IF(OR(E3344="",E3344="!!!",F3344="NEW"),"",INDEX(B3343:B$2,-1+SUMPRODUCT(MAX(ROW(E3343:E$2)*(E3344=E3343:E$2)))))</f>
        <v> </v>
      </c>
      <c r="J3344" s="26" t="str">
        <f>IF(OR(E3344="",E3344="!!!",F3344="NEW"),"",COUNTBLANK(OFFSET(A$1,,,SUMPRODUCT(MAX(ROW(E$2:E3344)*(E3344=E$2:E3344)))))-COUNTBLANK(OFFSET(A$1,,,SUMPRODUCT(MAX(ROW(E$1:E3343)*(E2=E$1:E3343))))))</f>
        <v> </v>
      </c>
      <c r="K3344" s="26" t="str">
        <f>IF(OR(E3344="",E3344="!!!",F3344="NEW"),"",INDEX(J$1:J3343,SUMPRODUCT(MAX(ROW(E$1:E3343)*(E3344=E$1:E3343)))))</f>
        <v> </v>
      </c>
      <c r="L3344" s="27"/>
    </row>
    <row r="3345" spans="1:12">
      <c r="A3345" s="20"/>
    </row>
    <row r="3346" spans="1:12">
      <c r="A3346" s="20" t="s">
        <v>2391</v>
      </c>
    </row>
    <row r="3347" spans="1:12">
      <c r="A3347" s="20" t="s">
        <v>1133</v>
      </c>
      <c r="B3347" s="21" t="s">
        <v>1109</v>
      </c>
      <c r="C3347" s="21" t="s">
        <v>1081</v>
      </c>
      <c r="D3347" s="21" t="s">
        <v>1074</v>
      </c>
      <c r="E3347" s="22">
        <f>IF(D3347="?OLD","!!!","")</f>
        <v/>
      </c>
      <c r="F3347" s="23" t="str">
        <f>IF(OR(E3347="",E3347="!!!"),"",IF(NOT(ISNA(VLOOKUP(E3347,E$1:E3346,1,FALSE()))),"OLD",IF(AND(E3347&lt;&gt;"",E3347&lt;&gt;"!!!"),"NEW","")))</f>
        <v> </v>
      </c>
      <c r="G3347" s="24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5" t="str">
        <f>IF(J3347&lt;&gt;1,"",IF(I3347="SBJ","CB","?"))</f>
        <v> </v>
      </c>
      <c r="I3347" s="26" t="str">
        <f>IF(OR(E3347="",E3347="!!!",F3347="NEW"),"",INDEX(B3346:B$2,-1+SUMPRODUCT(MAX(ROW(E3346:E$2)*(E3347=E3346:E$2)))))</f>
        <v> </v>
      </c>
      <c r="J3347" s="26" t="str">
        <f>IF(OR(E3347="",E3347="!!!",F3347="NEW"),"",COUNTBLANK(OFFSET(A$1,,,SUMPRODUCT(MAX(ROW(E$2:E3347)*(E3347=E$2:E3347)))))-COUNTBLANK(OFFSET(A$1,,,SUMPRODUCT(MAX(ROW(E$1:E3346)*(E2=E$1:E3346))))))</f>
        <v> </v>
      </c>
      <c r="K3347" s="26" t="str">
        <f>IF(OR(E3347="",E3347="!!!",F3347="NEW"),"",INDEX(J$1:J3346,SUMPRODUCT(MAX(ROW(E$1:E3346)*(E3347=E$1:E3346)))))</f>
        <v> </v>
      </c>
      <c r="L3347" s="27"/>
    </row>
    <row r="3348" spans="1:12">
      <c r="A3348" s="20" t="s">
        <v>1255</v>
      </c>
      <c r="E3348" s="22">
        <f>IF(D3348="?OLD","!!!","")</f>
        <v/>
      </c>
      <c r="F3348" s="23" t="str">
        <f>IF(OR(E3348="",E3348="!!!"),"",IF(NOT(ISNA(VLOOKUP(E3348,E$1:E3347,1,FALSE()))),"OLD",IF(AND(E3348&lt;&gt;"",E3348&lt;&gt;"!!!"),"NEW","")))</f>
        <v> </v>
      </c>
      <c r="G3348" s="24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5" t="str">
        <f>IF(J3348&lt;&gt;1,"",IF(I3348="SBJ","CB","?"))</f>
        <v> </v>
      </c>
      <c r="I3348" s="26" t="str">
        <f>IF(OR(E3348="",E3348="!!!",F3348="NEW"),"",INDEX(B3347:B$2,-1+SUMPRODUCT(MAX(ROW(E3347:E$2)*(E3348=E3347:E$2)))))</f>
        <v> </v>
      </c>
      <c r="J3348" s="26" t="str">
        <f>IF(OR(E3348="",E3348="!!!",F3348="NEW"),"",COUNTBLANK(OFFSET(A$1,,,SUMPRODUCT(MAX(ROW(E$2:E3348)*(E3348=E$2:E3348)))))-COUNTBLANK(OFFSET(A$1,,,SUMPRODUCT(MAX(ROW(E$1:E3347)*(E2=E$1:E3347))))))</f>
        <v> </v>
      </c>
      <c r="K3348" s="26" t="str">
        <f>IF(OR(E3348="",E3348="!!!",F3348="NEW"),"",INDEX(J$1:J3347,SUMPRODUCT(MAX(ROW(E$1:E3347)*(E3348=E$1:E3347)))))</f>
        <v> </v>
      </c>
      <c r="L3348" s="27"/>
    </row>
    <row r="3349" spans="1:12">
      <c r="A3349" s="20" t="s">
        <v>1251</v>
      </c>
      <c r="E3349" s="22">
        <f>IF(D3349="?OLD","!!!","")</f>
        <v/>
      </c>
      <c r="F3349" s="23" t="str">
        <f>IF(OR(E3349="",E3349="!!!"),"",IF(NOT(ISNA(VLOOKUP(E3349,E$1:E3348,1,FALSE()))),"OLD",IF(AND(E3349&lt;&gt;"",E3349&lt;&gt;"!!!"),"NEW","")))</f>
        <v> </v>
      </c>
      <c r="G3349" s="24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5" t="str">
        <f>IF(J3349&lt;&gt;1,"",IF(I3349="SBJ","CB","?"))</f>
        <v> </v>
      </c>
      <c r="I3349" s="26" t="str">
        <f>IF(OR(E3349="",E3349="!!!",F3349="NEW"),"",INDEX(B3348:B$2,-1+SUMPRODUCT(MAX(ROW(E3348:E$2)*(E3349=E3348:E$2)))))</f>
        <v> </v>
      </c>
      <c r="J3349" s="26" t="str">
        <f>IF(OR(E3349="",E3349="!!!",F3349="NEW"),"",COUNTBLANK(OFFSET(A$1,,,SUMPRODUCT(MAX(ROW(E$2:E3349)*(E3349=E$2:E3349)))))-COUNTBLANK(OFFSET(A$1,,,SUMPRODUCT(MAX(ROW(E$1:E3348)*(E2=E$1:E3348))))))</f>
        <v> </v>
      </c>
      <c r="K3349" s="26" t="str">
        <f>IF(OR(E3349="",E3349="!!!",F3349="NEW"),"",INDEX(J$1:J3348,SUMPRODUCT(MAX(ROW(E$1:E3348)*(E3349=E$1:E3348)))))</f>
        <v> </v>
      </c>
      <c r="L3349" s="27"/>
    </row>
    <row r="3350" spans="1:12">
      <c r="A3350" s="20" t="s">
        <v>2392</v>
      </c>
      <c r="E3350" s="22">
        <f>IF(D3350="?OLD","!!!","")</f>
        <v/>
      </c>
      <c r="F3350" s="23" t="str">
        <f>IF(OR(E3350="",E3350="!!!"),"",IF(NOT(ISNA(VLOOKUP(E3350,E$1:E3349,1,FALSE()))),"OLD",IF(AND(E3350&lt;&gt;"",E3350&lt;&gt;"!!!"),"NEW","")))</f>
        <v> </v>
      </c>
      <c r="G3350" s="24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5" t="str">
        <f>IF(J3350&lt;&gt;1,"",IF(I3350="SBJ","CB","?"))</f>
        <v> </v>
      </c>
      <c r="I3350" s="26" t="str">
        <f>IF(OR(E3350="",E3350="!!!",F3350="NEW"),"",INDEX(B3349:B$2,-1+SUMPRODUCT(MAX(ROW(E3349:E$2)*(E3350=E3349:E$2)))))</f>
        <v> </v>
      </c>
      <c r="J3350" s="26" t="str">
        <f>IF(OR(E3350="",E3350="!!!",F3350="NEW"),"",COUNTBLANK(OFFSET(A$1,,,SUMPRODUCT(MAX(ROW(E$2:E3350)*(E3350=E$2:E3350)))))-COUNTBLANK(OFFSET(A$1,,,SUMPRODUCT(MAX(ROW(E$1:E3349)*(E2=E$1:E3349))))))</f>
        <v> </v>
      </c>
      <c r="K3350" s="26" t="str">
        <f>IF(OR(E3350="",E3350="!!!",F3350="NEW"),"",INDEX(J$1:J3349,SUMPRODUCT(MAX(ROW(E$1:E3349)*(E3350=E$1:E3349)))))</f>
        <v> </v>
      </c>
      <c r="L3350" s="27"/>
    </row>
    <row r="3351" spans="1:12">
      <c r="A3351" s="20" t="s">
        <v>2393</v>
      </c>
      <c r="E3351" s="22">
        <f>IF(D3351="?OLD","!!!","")</f>
        <v/>
      </c>
      <c r="F3351" s="23" t="str">
        <f>IF(OR(E3351="",E3351="!!!"),"",IF(NOT(ISNA(VLOOKUP(E3351,E$1:E3350,1,FALSE()))),"OLD",IF(AND(E3351&lt;&gt;"",E3351&lt;&gt;"!!!"),"NEW","")))</f>
        <v> </v>
      </c>
      <c r="G3351" s="24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5" t="str">
        <f>IF(J3351&lt;&gt;1,"",IF(I3351="SBJ","CB","?"))</f>
        <v> </v>
      </c>
      <c r="I3351" s="26" t="str">
        <f>IF(OR(E3351="",E3351="!!!",F3351="NEW"),"",INDEX(B3350:B$2,-1+SUMPRODUCT(MAX(ROW(E3350:E$2)*(E3351=E3350:E$2)))))</f>
        <v> </v>
      </c>
      <c r="J3351" s="26" t="str">
        <f>IF(OR(E3351="",E3351="!!!",F3351="NEW"),"",COUNTBLANK(OFFSET(A$1,,,SUMPRODUCT(MAX(ROW(E$2:E3351)*(E3351=E$2:E3351)))))-COUNTBLANK(OFFSET(A$1,,,SUMPRODUCT(MAX(ROW(E$1:E3350)*(E2=E$1:E3350))))))</f>
        <v> </v>
      </c>
      <c r="K3351" s="26" t="str">
        <f>IF(OR(E3351="",E3351="!!!",F3351="NEW"),"",INDEX(J$1:J3350,SUMPRODUCT(MAX(ROW(E$1:E3350)*(E3351=E$1:E3350)))))</f>
        <v> </v>
      </c>
      <c r="L3351" s="27"/>
    </row>
    <row r="3352" spans="1:12">
      <c r="A3352" s="20" t="s">
        <v>1085</v>
      </c>
      <c r="E3352" s="22">
        <f>IF(D3352="?OLD","!!!","")</f>
        <v/>
      </c>
      <c r="F3352" s="23" t="str">
        <f>IF(OR(E3352="",E3352="!!!"),"",IF(NOT(ISNA(VLOOKUP(E3352,E$1:E3351,1,FALSE()))),"OLD",IF(AND(E3352&lt;&gt;"",E3352&lt;&gt;"!!!"),"NEW","")))</f>
        <v> </v>
      </c>
      <c r="G3352" s="24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5" t="str">
        <f>IF(J3352&lt;&gt;1,"",IF(I3352="SBJ","CB","?"))</f>
        <v> </v>
      </c>
      <c r="I3352" s="26" t="str">
        <f>IF(OR(E3352="",E3352="!!!",F3352="NEW"),"",INDEX(B3351:B$2,-1+SUMPRODUCT(MAX(ROW(E3351:E$2)*(E3352=E3351:E$2)))))</f>
        <v> </v>
      </c>
      <c r="J3352" s="26" t="str">
        <f>IF(OR(E3352="",E3352="!!!",F3352="NEW"),"",COUNTBLANK(OFFSET(A$1,,,SUMPRODUCT(MAX(ROW(E$2:E3352)*(E3352=E$2:E3352)))))-COUNTBLANK(OFFSET(A$1,,,SUMPRODUCT(MAX(ROW(E$1:E3351)*(E2=E$1:E3351))))))</f>
        <v> </v>
      </c>
      <c r="K3352" s="26" t="str">
        <f>IF(OR(E3352="",E3352="!!!",F3352="NEW"),"",INDEX(J$1:J3351,SUMPRODUCT(MAX(ROW(E$1:E3351)*(E3352=E$1:E3351)))))</f>
        <v> </v>
      </c>
      <c r="L3352" s="27"/>
    </row>
    <row r="3353" spans="1:12">
      <c r="A3353" s="20" t="s">
        <v>2097</v>
      </c>
      <c r="E3353" s="22">
        <f>IF(D3353="?OLD","!!!","")</f>
        <v/>
      </c>
      <c r="F3353" s="23" t="str">
        <f>IF(OR(E3353="",E3353="!!!"),"",IF(NOT(ISNA(VLOOKUP(E3353,E$1:E3352,1,FALSE()))),"OLD",IF(AND(E3353&lt;&gt;"",E3353&lt;&gt;"!!!"),"NEW","")))</f>
        <v> </v>
      </c>
      <c r="G3353" s="24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5" t="str">
        <f>IF(J3353&lt;&gt;1,"",IF(I3353="SBJ","CB","?"))</f>
        <v> </v>
      </c>
      <c r="I3353" s="26" t="str">
        <f>IF(OR(E3353="",E3353="!!!",F3353="NEW"),"",INDEX(B3352:B$2,-1+SUMPRODUCT(MAX(ROW(E3352:E$2)*(E3353=E3352:E$2)))))</f>
        <v> </v>
      </c>
      <c r="J3353" s="26" t="str">
        <f>IF(OR(E3353="",E3353="!!!",F3353="NEW"),"",COUNTBLANK(OFFSET(A$1,,,SUMPRODUCT(MAX(ROW(E$2:E3353)*(E3353=E$2:E3353)))))-COUNTBLANK(OFFSET(A$1,,,SUMPRODUCT(MAX(ROW(E$1:E3352)*(E2=E$1:E3352))))))</f>
        <v> </v>
      </c>
      <c r="K3353" s="26" t="str">
        <f>IF(OR(E3353="",E3353="!!!",F3353="NEW"),"",INDEX(J$1:J3352,SUMPRODUCT(MAX(ROW(E$1:E3352)*(E3353=E$1:E3352)))))</f>
        <v> </v>
      </c>
      <c r="L3353" s="27"/>
    </row>
    <row r="3354" spans="1:12">
      <c r="A3354" s="20" t="s">
        <v>2394</v>
      </c>
      <c r="E3354" s="22">
        <f>IF(D3354="?OLD","!!!","")</f>
        <v/>
      </c>
      <c r="F3354" s="23" t="str">
        <f>IF(OR(E3354="",E3354="!!!"),"",IF(NOT(ISNA(VLOOKUP(E3354,E$1:E3353,1,FALSE()))),"OLD",IF(AND(E3354&lt;&gt;"",E3354&lt;&gt;"!!!"),"NEW","")))</f>
        <v> </v>
      </c>
      <c r="G3354" s="24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5" t="str">
        <f>IF(J3354&lt;&gt;1,"",IF(I3354="SBJ","CB","?"))</f>
        <v> </v>
      </c>
      <c r="I3354" s="26" t="str">
        <f>IF(OR(E3354="",E3354="!!!",F3354="NEW"),"",INDEX(B3353:B$2,-1+SUMPRODUCT(MAX(ROW(E3353:E$2)*(E3354=E3353:E$2)))))</f>
        <v> </v>
      </c>
      <c r="J3354" s="26" t="str">
        <f>IF(OR(E3354="",E3354="!!!",F3354="NEW"),"",COUNTBLANK(OFFSET(A$1,,,SUMPRODUCT(MAX(ROW(E$2:E3354)*(E3354=E$2:E3354)))))-COUNTBLANK(OFFSET(A$1,,,SUMPRODUCT(MAX(ROW(E$1:E3353)*(E2=E$1:E3353))))))</f>
        <v> </v>
      </c>
      <c r="K3354" s="26" t="str">
        <f>IF(OR(E3354="",E3354="!!!",F3354="NEW"),"",INDEX(J$1:J3353,SUMPRODUCT(MAX(ROW(E$1:E3353)*(E3354=E$1:E3353)))))</f>
        <v> </v>
      </c>
      <c r="L3354" s="27"/>
    </row>
    <row r="3355" spans="1:12">
      <c r="A3355" s="20" t="s">
        <v>2395</v>
      </c>
      <c r="B3355" s="21" t="s">
        <v>1199</v>
      </c>
      <c r="E3355" s="22">
        <f>IF(D3355="?OLD","!!!","")</f>
        <v/>
      </c>
      <c r="F3355" s="23" t="str">
        <f>IF(OR(E3355="",E3355="!!!"),"",IF(NOT(ISNA(VLOOKUP(E3355,E$1:E3354,1,FALSE()))),"OLD",IF(AND(E3355&lt;&gt;"",E3355&lt;&gt;"!!!"),"NEW","")))</f>
        <v> </v>
      </c>
      <c r="G3355" s="24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5" t="str">
        <f>IF(J3355&lt;&gt;1,"",IF(I3355="SBJ","CB","?"))</f>
        <v> </v>
      </c>
      <c r="I3355" s="26" t="str">
        <f>IF(OR(E3355="",E3355="!!!",F3355="NEW"),"",INDEX(B3354:B$2,-1+SUMPRODUCT(MAX(ROW(E3354:E$2)*(E3355=E3354:E$2)))))</f>
        <v> </v>
      </c>
      <c r="J3355" s="26" t="str">
        <f>IF(OR(E3355="",E3355="!!!",F3355="NEW"),"",COUNTBLANK(OFFSET(A$1,,,SUMPRODUCT(MAX(ROW(E$2:E3355)*(E3355=E$2:E3355)))))-COUNTBLANK(OFFSET(A$1,,,SUMPRODUCT(MAX(ROW(E$1:E3354)*(E2=E$1:E3354))))))</f>
        <v> </v>
      </c>
      <c r="K3355" s="26" t="str">
        <f>IF(OR(E3355="",E3355="!!!",F3355="NEW"),"",INDEX(J$1:J3354,SUMPRODUCT(MAX(ROW(E$1:E3354)*(E3355=E$1:E3354)))))</f>
        <v> </v>
      </c>
      <c r="L3355" s="27"/>
    </row>
    <row r="3356" spans="1:12">
      <c r="A3356" s="20" t="s">
        <v>1971</v>
      </c>
      <c r="E3356" s="22">
        <f>IF(D3356="?OLD","!!!","")</f>
        <v/>
      </c>
      <c r="F3356" s="23" t="str">
        <f>IF(OR(E3356="",E3356="!!!"),"",IF(NOT(ISNA(VLOOKUP(E3356,E$1:E3355,1,FALSE()))),"OLD",IF(AND(E3356&lt;&gt;"",E3356&lt;&gt;"!!!"),"NEW","")))</f>
        <v> </v>
      </c>
      <c r="G3356" s="24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5" t="str">
        <f>IF(J3356&lt;&gt;1,"",IF(I3356="SBJ","CB","?"))</f>
        <v> </v>
      </c>
      <c r="I3356" s="26" t="str">
        <f>IF(OR(E3356="",E3356="!!!",F3356="NEW"),"",INDEX(B3355:B$2,-1+SUMPRODUCT(MAX(ROW(E3355:E$2)*(E3356=E3355:E$2)))))</f>
        <v> </v>
      </c>
      <c r="J3356" s="26" t="str">
        <f>IF(OR(E3356="",E3356="!!!",F3356="NEW"),"",COUNTBLANK(OFFSET(A$1,,,SUMPRODUCT(MAX(ROW(E$2:E3356)*(E3356=E$2:E3356)))))-COUNTBLANK(OFFSET(A$1,,,SUMPRODUCT(MAX(ROW(E$1:E3355)*(E2=E$1:E3355))))))</f>
        <v> </v>
      </c>
      <c r="K3356" s="26" t="str">
        <f>IF(OR(E3356="",E3356="!!!",F3356="NEW"),"",INDEX(J$1:J3355,SUMPRODUCT(MAX(ROW(E$1:E3355)*(E3356=E$1:E3355)))))</f>
        <v> </v>
      </c>
      <c r="L3356" s="27"/>
    </row>
    <row r="3357" spans="1:12">
      <c r="A3357" s="20" t="s">
        <v>1098</v>
      </c>
      <c r="E3357" s="22">
        <f>IF(D3357="?OLD","!!!","")</f>
        <v/>
      </c>
      <c r="F3357" s="23" t="str">
        <f>IF(OR(E3357="",E3357="!!!"),"",IF(NOT(ISNA(VLOOKUP(E3357,E$1:E3356,1,FALSE()))),"OLD",IF(AND(E3357&lt;&gt;"",E3357&lt;&gt;"!!!"),"NEW","")))</f>
        <v> </v>
      </c>
      <c r="G3357" s="24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5" t="str">
        <f>IF(J3357&lt;&gt;1,"",IF(I3357="SBJ","CB","?"))</f>
        <v> </v>
      </c>
      <c r="I3357" s="26" t="str">
        <f>IF(OR(E3357="",E3357="!!!",F3357="NEW"),"",INDEX(B3356:B$2,-1+SUMPRODUCT(MAX(ROW(E3356:E$2)*(E3357=E3356:E$2)))))</f>
        <v> </v>
      </c>
      <c r="J3357" s="26" t="str">
        <f>IF(OR(E3357="",E3357="!!!",F3357="NEW"),"",COUNTBLANK(OFFSET(A$1,,,SUMPRODUCT(MAX(ROW(E$2:E3357)*(E3357=E$2:E3357)))))-COUNTBLANK(OFFSET(A$1,,,SUMPRODUCT(MAX(ROW(E$1:E3356)*(E2=E$1:E3356))))))</f>
        <v> </v>
      </c>
      <c r="K3357" s="26" t="str">
        <f>IF(OR(E3357="",E3357="!!!",F3357="NEW"),"",INDEX(J$1:J3356,SUMPRODUCT(MAX(ROW(E$1:E3356)*(E3357=E$1:E3356)))))</f>
        <v> </v>
      </c>
      <c r="L3357" s="27"/>
    </row>
    <row r="3358" spans="1:12">
      <c r="A3358" s="20" t="s">
        <v>2396</v>
      </c>
      <c r="E3358" s="22">
        <f>IF(D3358="?OLD","!!!","")</f>
        <v/>
      </c>
      <c r="F3358" s="23" t="str">
        <f>IF(OR(E3358="",E3358="!!!"),"",IF(NOT(ISNA(VLOOKUP(E3358,E$1:E3357,1,FALSE()))),"OLD",IF(AND(E3358&lt;&gt;"",E3358&lt;&gt;"!!!"),"NEW","")))</f>
        <v> </v>
      </c>
      <c r="G3358" s="24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5" t="str">
        <f>IF(J3358&lt;&gt;1,"",IF(I3358="SBJ","CB","?"))</f>
        <v> </v>
      </c>
      <c r="I3358" s="26" t="str">
        <f>IF(OR(E3358="",E3358="!!!",F3358="NEW"),"",INDEX(B3357:B$2,-1+SUMPRODUCT(MAX(ROW(E3357:E$2)*(E3358=E3357:E$2)))))</f>
        <v> </v>
      </c>
      <c r="J3358" s="26" t="str">
        <f>IF(OR(E3358="",E3358="!!!",F3358="NEW"),"",COUNTBLANK(OFFSET(A$1,,,SUMPRODUCT(MAX(ROW(E$2:E3358)*(E3358=E$2:E3358)))))-COUNTBLANK(OFFSET(A$1,,,SUMPRODUCT(MAX(ROW(E$1:E3357)*(E2=E$1:E3357))))))</f>
        <v> </v>
      </c>
      <c r="K3358" s="26" t="str">
        <f>IF(OR(E3358="",E3358="!!!",F3358="NEW"),"",INDEX(J$1:J3357,SUMPRODUCT(MAX(ROW(E$1:E3357)*(E3358=E$1:E3357)))))</f>
        <v> </v>
      </c>
      <c r="L3358" s="27"/>
    </row>
    <row r="3359" spans="1:12">
      <c r="A3359" s="20" t="s">
        <v>1106</v>
      </c>
      <c r="E3359" s="22">
        <f>IF(D3359="?OLD","!!!","")</f>
        <v/>
      </c>
      <c r="F3359" s="23" t="str">
        <f>IF(OR(E3359="",E3359="!!!"),"",IF(NOT(ISNA(VLOOKUP(E3359,E$1:E3358,1,FALSE()))),"OLD",IF(AND(E3359&lt;&gt;"",E3359&lt;&gt;"!!!"),"NEW","")))</f>
        <v> </v>
      </c>
      <c r="G3359" s="24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5" t="str">
        <f>IF(J3359&lt;&gt;1,"",IF(I3359="SBJ","CB","?"))</f>
        <v> </v>
      </c>
      <c r="I3359" s="26" t="str">
        <f>IF(OR(E3359="",E3359="!!!",F3359="NEW"),"",INDEX(B3358:B$2,-1+SUMPRODUCT(MAX(ROW(E3358:E$2)*(E3359=E3358:E$2)))))</f>
        <v> </v>
      </c>
      <c r="J3359" s="26" t="str">
        <f>IF(OR(E3359="",E3359="!!!",F3359="NEW"),"",COUNTBLANK(OFFSET(A$1,,,SUMPRODUCT(MAX(ROW(E$2:E3359)*(E3359=E$2:E3359)))))-COUNTBLANK(OFFSET(A$1,,,SUMPRODUCT(MAX(ROW(E$1:E3358)*(E2=E$1:E3358))))))</f>
        <v> </v>
      </c>
      <c r="K3359" s="26" t="str">
        <f>IF(OR(E3359="",E3359="!!!",F3359="NEW"),"",INDEX(J$1:J3358,SUMPRODUCT(MAX(ROW(E$1:E3358)*(E3359=E$1:E3358)))))</f>
        <v> </v>
      </c>
      <c r="L3359" s="27"/>
    </row>
    <row r="3360" spans="1:12">
      <c r="A3360" s="20"/>
    </row>
    <row r="3361" spans="1:12">
      <c r="A3361" s="20" t="s">
        <v>2397</v>
      </c>
    </row>
    <row r="3362" spans="1:12">
      <c r="A3362" s="20" t="s">
        <v>1108</v>
      </c>
      <c r="B3362" s="21" t="s">
        <v>1109</v>
      </c>
      <c r="C3362" s="21" t="s">
        <v>1081</v>
      </c>
      <c r="D3362" s="21" t="s">
        <v>1074</v>
      </c>
      <c r="E3362" s="22">
        <f>IF(D3362="?OLD","!!!","")</f>
        <v/>
      </c>
      <c r="F3362" s="23" t="str">
        <f>IF(OR(E3362="",E3362="!!!"),"",IF(NOT(ISNA(VLOOKUP(E3362,E$1:E3361,1,FALSE()))),"OLD",IF(AND(E3362&lt;&gt;"",E3362&lt;&gt;"!!!"),"NEW","")))</f>
        <v> </v>
      </c>
      <c r="G3362" s="24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5" t="str">
        <f>IF(J3362&lt;&gt;1,"",IF(I3362="SBJ","CB","?"))</f>
        <v> </v>
      </c>
      <c r="I3362" s="26" t="str">
        <f>IF(OR(E3362="",E3362="!!!",F3362="NEW"),"",INDEX(B3361:B$2,-1+SUMPRODUCT(MAX(ROW(E3361:E$2)*(E3362=E3361:E$2)))))</f>
        <v> </v>
      </c>
      <c r="J3362" s="26" t="str">
        <f>IF(OR(E3362="",E3362="!!!",F3362="NEW"),"",COUNTBLANK(OFFSET(A$1,,,SUMPRODUCT(MAX(ROW(E$2:E3362)*(E3362=E$2:E3362)))))-COUNTBLANK(OFFSET(A$1,,,SUMPRODUCT(MAX(ROW(E$1:E3361)*(E2=E$1:E3361))))))</f>
        <v> </v>
      </c>
      <c r="K3362" s="26" t="str">
        <f>IF(OR(E3362="",E3362="!!!",F3362="NEW"),"",INDEX(J$1:J3361,SUMPRODUCT(MAX(ROW(E$1:E3361)*(E3362=E$1:E3361)))))</f>
        <v> </v>
      </c>
      <c r="L3362" s="27"/>
    </row>
    <row r="3363" spans="1:12">
      <c r="A3363" s="20" t="s">
        <v>1747</v>
      </c>
      <c r="E3363" s="22">
        <f>IF(D3363="?OLD","!!!","")</f>
        <v/>
      </c>
      <c r="F3363" s="23" t="str">
        <f>IF(OR(E3363="",E3363="!!!"),"",IF(NOT(ISNA(VLOOKUP(E3363,E$1:E3362,1,FALSE()))),"OLD",IF(AND(E3363&lt;&gt;"",E3363&lt;&gt;"!!!"),"NEW","")))</f>
        <v> </v>
      </c>
      <c r="G3363" s="24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5" t="str">
        <f>IF(J3363&lt;&gt;1,"",IF(I3363="SBJ","CB","?"))</f>
        <v> </v>
      </c>
      <c r="I3363" s="26" t="str">
        <f>IF(OR(E3363="",E3363="!!!",F3363="NEW"),"",INDEX(B3362:B$2,-1+SUMPRODUCT(MAX(ROW(E3362:E$2)*(E3363=E3362:E$2)))))</f>
        <v> </v>
      </c>
      <c r="J3363" s="26" t="str">
        <f>IF(OR(E3363="",E3363="!!!",F3363="NEW"),"",COUNTBLANK(OFFSET(A$1,,,SUMPRODUCT(MAX(ROW(E$2:E3363)*(E3363=E$2:E3363)))))-COUNTBLANK(OFFSET(A$1,,,SUMPRODUCT(MAX(ROW(E$1:E3362)*(E2=E$1:E3362))))))</f>
        <v> </v>
      </c>
      <c r="K3363" s="26" t="str">
        <f>IF(OR(E3363="",E3363="!!!",F3363="NEW"),"",INDEX(J$1:J3362,SUMPRODUCT(MAX(ROW(E$1:E3362)*(E3363=E$1:E3362)))))</f>
        <v> </v>
      </c>
      <c r="L3363" s="27"/>
    </row>
    <row r="3364" spans="1:12">
      <c r="A3364" s="20" t="s">
        <v>1076</v>
      </c>
      <c r="E3364" s="22">
        <f>IF(D3364="?OLD","!!!","")</f>
        <v/>
      </c>
      <c r="F3364" s="23" t="str">
        <f>IF(OR(E3364="",E3364="!!!"),"",IF(NOT(ISNA(VLOOKUP(E3364,E$1:E3363,1,FALSE()))),"OLD",IF(AND(E3364&lt;&gt;"",E3364&lt;&gt;"!!!"),"NEW","")))</f>
        <v> </v>
      </c>
      <c r="G3364" s="24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5" t="str">
        <f>IF(J3364&lt;&gt;1,"",IF(I3364="SBJ","CB","?"))</f>
        <v> </v>
      </c>
      <c r="I3364" s="26" t="str">
        <f>IF(OR(E3364="",E3364="!!!",F3364="NEW"),"",INDEX(B3363:B$2,-1+SUMPRODUCT(MAX(ROW(E3363:E$2)*(E3364=E3363:E$2)))))</f>
        <v> </v>
      </c>
      <c r="J3364" s="26" t="str">
        <f>IF(OR(E3364="",E3364="!!!",F3364="NEW"),"",COUNTBLANK(OFFSET(A$1,,,SUMPRODUCT(MAX(ROW(E$2:E3364)*(E3364=E$2:E3364)))))-COUNTBLANK(OFFSET(A$1,,,SUMPRODUCT(MAX(ROW(E$1:E3363)*(E2=E$1:E3363))))))</f>
        <v> </v>
      </c>
      <c r="K3364" s="26" t="str">
        <f>IF(OR(E3364="",E3364="!!!",F3364="NEW"),"",INDEX(J$1:J3363,SUMPRODUCT(MAX(ROW(E$1:E3363)*(E3364=E$1:E3363)))))</f>
        <v> </v>
      </c>
      <c r="L3364" s="27"/>
    </row>
    <row r="3365" spans="1:12">
      <c r="A3365" s="20" t="s">
        <v>1155</v>
      </c>
      <c r="E3365" s="22">
        <f>IF(D3365="?OLD","!!!","")</f>
        <v/>
      </c>
      <c r="F3365" s="23" t="str">
        <f>IF(OR(E3365="",E3365="!!!"),"",IF(NOT(ISNA(VLOOKUP(E3365,E$1:E3364,1,FALSE()))),"OLD",IF(AND(E3365&lt;&gt;"",E3365&lt;&gt;"!!!"),"NEW","")))</f>
        <v> </v>
      </c>
      <c r="G3365" s="24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5" t="str">
        <f>IF(J3365&lt;&gt;1,"",IF(I3365="SBJ","CB","?"))</f>
        <v> </v>
      </c>
      <c r="I3365" s="26" t="str">
        <f>IF(OR(E3365="",E3365="!!!",F3365="NEW"),"",INDEX(B3364:B$2,-1+SUMPRODUCT(MAX(ROW(E3364:E$2)*(E3365=E3364:E$2)))))</f>
        <v> </v>
      </c>
      <c r="J3365" s="26" t="str">
        <f>IF(OR(E3365="",E3365="!!!",F3365="NEW"),"",COUNTBLANK(OFFSET(A$1,,,SUMPRODUCT(MAX(ROW(E$2:E3365)*(E3365=E$2:E3365)))))-COUNTBLANK(OFFSET(A$1,,,SUMPRODUCT(MAX(ROW(E$1:E3364)*(E2=E$1:E3364))))))</f>
        <v> </v>
      </c>
      <c r="K3365" s="26" t="str">
        <f>IF(OR(E3365="",E3365="!!!",F3365="NEW"),"",INDEX(J$1:J3364,SUMPRODUCT(MAX(ROW(E$1:E3364)*(E3365=E$1:E3364)))))</f>
        <v> </v>
      </c>
      <c r="L3365" s="27"/>
    </row>
    <row r="3366" spans="1:12">
      <c r="A3366" s="20" t="s">
        <v>496</v>
      </c>
      <c r="E3366" s="22">
        <f>IF(D3366="?OLD","!!!","")</f>
        <v/>
      </c>
      <c r="F3366" s="23" t="str">
        <f>IF(OR(E3366="",E3366="!!!"),"",IF(NOT(ISNA(VLOOKUP(E3366,E$1:E3365,1,FALSE()))),"OLD",IF(AND(E3366&lt;&gt;"",E3366&lt;&gt;"!!!"),"NEW","")))</f>
        <v> </v>
      </c>
      <c r="G3366" s="24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5" t="str">
        <f>IF(J3366&lt;&gt;1,"",IF(I3366="SBJ","CB","?"))</f>
        <v> </v>
      </c>
      <c r="I3366" s="26" t="str">
        <f>IF(OR(E3366="",E3366="!!!",F3366="NEW"),"",INDEX(B3365:B$2,-1+SUMPRODUCT(MAX(ROW(E3365:E$2)*(E3366=E3365:E$2)))))</f>
        <v> </v>
      </c>
      <c r="J3366" s="26" t="str">
        <f>IF(OR(E3366="",E3366="!!!",F3366="NEW"),"",COUNTBLANK(OFFSET(A$1,,,SUMPRODUCT(MAX(ROW(E$2:E3366)*(E3366=E$2:E3366)))))-COUNTBLANK(OFFSET(A$1,,,SUMPRODUCT(MAX(ROW(E$1:E3365)*(E2=E$1:E3365))))))</f>
        <v> </v>
      </c>
      <c r="K3366" s="26" t="str">
        <f>IF(OR(E3366="",E3366="!!!",F3366="NEW"),"",INDEX(J$1:J3365,SUMPRODUCT(MAX(ROW(E$1:E3365)*(E3366=E$1:E3365)))))</f>
        <v> </v>
      </c>
      <c r="L3366" s="27"/>
    </row>
    <row r="3367" spans="1:12">
      <c r="A3367" s="20" t="s">
        <v>1902</v>
      </c>
      <c r="E3367" s="22">
        <f>IF(D3367="?OLD","!!!","")</f>
        <v/>
      </c>
      <c r="F3367" s="23" t="str">
        <f>IF(OR(E3367="",E3367="!!!"),"",IF(NOT(ISNA(VLOOKUP(E3367,E$1:E3366,1,FALSE()))),"OLD",IF(AND(E3367&lt;&gt;"",E3367&lt;&gt;"!!!"),"NEW","")))</f>
        <v> </v>
      </c>
      <c r="G3367" s="24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5" t="str">
        <f>IF(J3367&lt;&gt;1,"",IF(I3367="SBJ","CB","?"))</f>
        <v> </v>
      </c>
      <c r="I3367" s="26" t="str">
        <f>IF(OR(E3367="",E3367="!!!",F3367="NEW"),"",INDEX(B3366:B$2,-1+SUMPRODUCT(MAX(ROW(E3366:E$2)*(E3367=E3366:E$2)))))</f>
        <v> </v>
      </c>
      <c r="J3367" s="26" t="str">
        <f>IF(OR(E3367="",E3367="!!!",F3367="NEW"),"",COUNTBLANK(OFFSET(A$1,,,SUMPRODUCT(MAX(ROW(E$2:E3367)*(E3367=E$2:E3367)))))-COUNTBLANK(OFFSET(A$1,,,SUMPRODUCT(MAX(ROW(E$1:E3366)*(E2=E$1:E3366))))))</f>
        <v> </v>
      </c>
      <c r="K3367" s="26" t="str">
        <f>IF(OR(E3367="",E3367="!!!",F3367="NEW"),"",INDEX(J$1:J3366,SUMPRODUCT(MAX(ROW(E$1:E3366)*(E3367=E$1:E3366)))))</f>
        <v> </v>
      </c>
      <c r="L3367" s="27"/>
    </row>
    <row r="3368" spans="1:12">
      <c r="A3368" s="20" t="s">
        <v>2398</v>
      </c>
      <c r="E3368" s="22">
        <f>IF(D3368="?OLD","!!!","")</f>
        <v/>
      </c>
      <c r="F3368" s="23" t="str">
        <f>IF(OR(E3368="",E3368="!!!"),"",IF(NOT(ISNA(VLOOKUP(E3368,E$1:E3367,1,FALSE()))),"OLD",IF(AND(E3368&lt;&gt;"",E3368&lt;&gt;"!!!"),"NEW","")))</f>
        <v> </v>
      </c>
      <c r="G3368" s="24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5" t="str">
        <f>IF(J3368&lt;&gt;1,"",IF(I3368="SBJ","CB","?"))</f>
        <v> </v>
      </c>
      <c r="I3368" s="26" t="str">
        <f>IF(OR(E3368="",E3368="!!!",F3368="NEW"),"",INDEX(B3367:B$2,-1+SUMPRODUCT(MAX(ROW(E3367:E$2)*(E3368=E3367:E$2)))))</f>
        <v> </v>
      </c>
      <c r="J3368" s="26" t="str">
        <f>IF(OR(E3368="",E3368="!!!",F3368="NEW"),"",COUNTBLANK(OFFSET(A$1,,,SUMPRODUCT(MAX(ROW(E$2:E3368)*(E3368=E$2:E3368)))))-COUNTBLANK(OFFSET(A$1,,,SUMPRODUCT(MAX(ROW(E$1:E3367)*(E2=E$1:E3367))))))</f>
        <v> </v>
      </c>
      <c r="K3368" s="26" t="str">
        <f>IF(OR(E3368="",E3368="!!!",F3368="NEW"),"",INDEX(J$1:J3367,SUMPRODUCT(MAX(ROW(E$1:E3367)*(E3368=E$1:E3367)))))</f>
        <v> </v>
      </c>
      <c r="L3368" s="27"/>
    </row>
    <row r="3369" spans="1:12">
      <c r="A3369" s="20" t="s">
        <v>2399</v>
      </c>
      <c r="E3369" s="22">
        <f>IF(D3369="?OLD","!!!","")</f>
        <v/>
      </c>
      <c r="F3369" s="23" t="str">
        <f>IF(OR(E3369="",E3369="!!!"),"",IF(NOT(ISNA(VLOOKUP(E3369,E$1:E3368,1,FALSE()))),"OLD",IF(AND(E3369&lt;&gt;"",E3369&lt;&gt;"!!!"),"NEW","")))</f>
        <v> </v>
      </c>
      <c r="G3369" s="24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5" t="str">
        <f>IF(J3369&lt;&gt;1,"",IF(I3369="SBJ","CB","?"))</f>
        <v> </v>
      </c>
      <c r="I3369" s="26" t="str">
        <f>IF(OR(E3369="",E3369="!!!",F3369="NEW"),"",INDEX(B3368:B$2,-1+SUMPRODUCT(MAX(ROW(E3368:E$2)*(E3369=E3368:E$2)))))</f>
        <v> </v>
      </c>
      <c r="J3369" s="26" t="str">
        <f>IF(OR(E3369="",E3369="!!!",F3369="NEW"),"",COUNTBLANK(OFFSET(A$1,,,SUMPRODUCT(MAX(ROW(E$2:E3369)*(E3369=E$2:E3369)))))-COUNTBLANK(OFFSET(A$1,,,SUMPRODUCT(MAX(ROW(E$1:E3368)*(E2=E$1:E3368))))))</f>
        <v> </v>
      </c>
      <c r="K3369" s="26" t="str">
        <f>IF(OR(E3369="",E3369="!!!",F3369="NEW"),"",INDEX(J$1:J3368,SUMPRODUCT(MAX(ROW(E$1:E3368)*(E3369=E$1:E3368)))))</f>
        <v> </v>
      </c>
      <c r="L3369" s="27"/>
    </row>
    <row r="3370" spans="1:12">
      <c r="A3370" s="20" t="s">
        <v>2382</v>
      </c>
      <c r="E3370" s="22">
        <f>IF(D3370="?OLD","!!!","")</f>
        <v/>
      </c>
      <c r="F3370" s="23" t="str">
        <f>IF(OR(E3370="",E3370="!!!"),"",IF(NOT(ISNA(VLOOKUP(E3370,E$1:E3369,1,FALSE()))),"OLD",IF(AND(E3370&lt;&gt;"",E3370&lt;&gt;"!!!"),"NEW","")))</f>
        <v> </v>
      </c>
      <c r="G3370" s="24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5" t="str">
        <f>IF(J3370&lt;&gt;1,"",IF(I3370="SBJ","CB","?"))</f>
        <v> </v>
      </c>
      <c r="I3370" s="26" t="str">
        <f>IF(OR(E3370="",E3370="!!!",F3370="NEW"),"",INDEX(B3369:B$2,-1+SUMPRODUCT(MAX(ROW(E3369:E$2)*(E3370=E3369:E$2)))))</f>
        <v> </v>
      </c>
      <c r="J3370" s="26" t="str">
        <f>IF(OR(E3370="",E3370="!!!",F3370="NEW"),"",COUNTBLANK(OFFSET(A$1,,,SUMPRODUCT(MAX(ROW(E$2:E3370)*(E3370=E$2:E3370)))))-COUNTBLANK(OFFSET(A$1,,,SUMPRODUCT(MAX(ROW(E$1:E3369)*(E2=E$1:E3369))))))</f>
        <v> </v>
      </c>
      <c r="K3370" s="26" t="str">
        <f>IF(OR(E3370="",E3370="!!!",F3370="NEW"),"",INDEX(J$1:J3369,SUMPRODUCT(MAX(ROW(E$1:E3369)*(E3370=E$1:E3369)))))</f>
        <v> </v>
      </c>
      <c r="L3370" s="27"/>
    </row>
    <row r="3371" spans="1:12">
      <c r="A3371" s="20" t="s">
        <v>2359</v>
      </c>
      <c r="B3371" s="21" t="s">
        <v>1199</v>
      </c>
      <c r="E3371" s="22">
        <f>IF(D3371="?OLD","!!!","")</f>
        <v/>
      </c>
      <c r="F3371" s="23" t="str">
        <f>IF(OR(E3371="",E3371="!!!"),"",IF(NOT(ISNA(VLOOKUP(E3371,E$1:E3370,1,FALSE()))),"OLD",IF(AND(E3371&lt;&gt;"",E3371&lt;&gt;"!!!"),"NEW","")))</f>
        <v> </v>
      </c>
      <c r="G3371" s="24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5" t="str">
        <f>IF(J3371&lt;&gt;1,"",IF(I3371="SBJ","CB","?"))</f>
        <v> </v>
      </c>
      <c r="I3371" s="26" t="str">
        <f>IF(OR(E3371="",E3371="!!!",F3371="NEW"),"",INDEX(B3370:B$2,-1+SUMPRODUCT(MAX(ROW(E3370:E$2)*(E3371=E3370:E$2)))))</f>
        <v> </v>
      </c>
      <c r="J3371" s="26" t="str">
        <f>IF(OR(E3371="",E3371="!!!",F3371="NEW"),"",COUNTBLANK(OFFSET(A$1,,,SUMPRODUCT(MAX(ROW(E$2:E3371)*(E3371=E$2:E3371)))))-COUNTBLANK(OFFSET(A$1,,,SUMPRODUCT(MAX(ROW(E$1:E3370)*(E2=E$1:E3370))))))</f>
        <v> </v>
      </c>
      <c r="K3371" s="26" t="str">
        <f>IF(OR(E3371="",E3371="!!!",F3371="NEW"),"",INDEX(J$1:J3370,SUMPRODUCT(MAX(ROW(E$1:E3370)*(E3371=E$1:E3370)))))</f>
        <v> </v>
      </c>
      <c r="L3371" s="27"/>
    </row>
    <row r="3372" spans="1:12">
      <c r="A3372" s="20" t="s">
        <v>2024</v>
      </c>
      <c r="E3372" s="22">
        <f>IF(D3372="?OLD","!!!","")</f>
        <v/>
      </c>
      <c r="F3372" s="23" t="str">
        <f>IF(OR(E3372="",E3372="!!!"),"",IF(NOT(ISNA(VLOOKUP(E3372,E$1:E3371,1,FALSE()))),"OLD",IF(AND(E3372&lt;&gt;"",E3372&lt;&gt;"!!!"),"NEW","")))</f>
        <v> </v>
      </c>
      <c r="G3372" s="24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5" t="str">
        <f>IF(J3372&lt;&gt;1,"",IF(I3372="SBJ","CB","?"))</f>
        <v> </v>
      </c>
      <c r="I3372" s="26" t="str">
        <f>IF(OR(E3372="",E3372="!!!",F3372="NEW"),"",INDEX(B3371:B$2,-1+SUMPRODUCT(MAX(ROW(E3371:E$2)*(E3372=E3371:E$2)))))</f>
        <v> </v>
      </c>
      <c r="J3372" s="26" t="str">
        <f>IF(OR(E3372="",E3372="!!!",F3372="NEW"),"",COUNTBLANK(OFFSET(A$1,,,SUMPRODUCT(MAX(ROW(E$2:E3372)*(E3372=E$2:E3372)))))-COUNTBLANK(OFFSET(A$1,,,SUMPRODUCT(MAX(ROW(E$1:E3371)*(E2=E$1:E3371))))))</f>
        <v> </v>
      </c>
      <c r="K3372" s="26" t="str">
        <f>IF(OR(E3372="",E3372="!!!",F3372="NEW"),"",INDEX(J$1:J3371,SUMPRODUCT(MAX(ROW(E$1:E3371)*(E3372=E$1:E3371)))))</f>
        <v> </v>
      </c>
      <c r="L3372" s="27"/>
    </row>
    <row r="3373" spans="1:12">
      <c r="A3373" s="20" t="s">
        <v>2400</v>
      </c>
      <c r="E3373" s="22">
        <f>IF(D3373="?OLD","!!!","")</f>
        <v/>
      </c>
      <c r="F3373" s="23" t="str">
        <f>IF(OR(E3373="",E3373="!!!"),"",IF(NOT(ISNA(VLOOKUP(E3373,E$1:E3372,1,FALSE()))),"OLD",IF(AND(E3373&lt;&gt;"",E3373&lt;&gt;"!!!"),"NEW","")))</f>
        <v> </v>
      </c>
      <c r="G3373" s="24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5" t="str">
        <f>IF(J3373&lt;&gt;1,"",IF(I3373="SBJ","CB","?"))</f>
        <v> </v>
      </c>
      <c r="I3373" s="26" t="str">
        <f>IF(OR(E3373="",E3373="!!!",F3373="NEW"),"",INDEX(B3372:B$2,-1+SUMPRODUCT(MAX(ROW(E3372:E$2)*(E3373=E3372:E$2)))))</f>
        <v> </v>
      </c>
      <c r="J3373" s="26" t="str">
        <f>IF(OR(E3373="",E3373="!!!",F3373="NEW"),"",COUNTBLANK(OFFSET(A$1,,,SUMPRODUCT(MAX(ROW(E$2:E3373)*(E3373=E$2:E3373)))))-COUNTBLANK(OFFSET(A$1,,,SUMPRODUCT(MAX(ROW(E$1:E3372)*(E2=E$1:E3372))))))</f>
        <v> </v>
      </c>
      <c r="K3373" s="26" t="str">
        <f>IF(OR(E3373="",E3373="!!!",F3373="NEW"),"",INDEX(J$1:J3372,SUMPRODUCT(MAX(ROW(E$1:E3372)*(E3373=E$1:E3372)))))</f>
        <v> </v>
      </c>
      <c r="L3373" s="27"/>
    </row>
    <row r="3374" spans="1:12">
      <c r="A3374" s="20" t="s">
        <v>2401</v>
      </c>
      <c r="E3374" s="22">
        <f>IF(D3374="?OLD","!!!","")</f>
        <v/>
      </c>
      <c r="F3374" s="23" t="str">
        <f>IF(OR(E3374="",E3374="!!!"),"",IF(NOT(ISNA(VLOOKUP(E3374,E$1:E3373,1,FALSE()))),"OLD",IF(AND(E3374&lt;&gt;"",E3374&lt;&gt;"!!!"),"NEW","")))</f>
        <v> </v>
      </c>
      <c r="G3374" s="24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5" t="str">
        <f>IF(J3374&lt;&gt;1,"",IF(I3374="SBJ","CB","?"))</f>
        <v> </v>
      </c>
      <c r="I3374" s="26" t="str">
        <f>IF(OR(E3374="",E3374="!!!",F3374="NEW"),"",INDEX(B3373:B$2,-1+SUMPRODUCT(MAX(ROW(E3373:E$2)*(E3374=E3373:E$2)))))</f>
        <v> </v>
      </c>
      <c r="J3374" s="26" t="str">
        <f>IF(OR(E3374="",E3374="!!!",F3374="NEW"),"",COUNTBLANK(OFFSET(A$1,,,SUMPRODUCT(MAX(ROW(E$2:E3374)*(E3374=E$2:E3374)))))-COUNTBLANK(OFFSET(A$1,,,SUMPRODUCT(MAX(ROW(E$1:E3373)*(E2=E$1:E3373))))))</f>
        <v> </v>
      </c>
      <c r="K3374" s="26" t="str">
        <f>IF(OR(E3374="",E3374="!!!",F3374="NEW"),"",INDEX(J$1:J3373,SUMPRODUCT(MAX(ROW(E$1:E3373)*(E3374=E$1:E3373)))))</f>
        <v> </v>
      </c>
      <c r="L3374" s="27"/>
    </row>
    <row r="3375" spans="1:12">
      <c r="A3375" s="20" t="s">
        <v>1189</v>
      </c>
      <c r="E3375" s="22">
        <f>IF(D3375="?OLD","!!!","")</f>
        <v/>
      </c>
      <c r="F3375" s="23" t="str">
        <f>IF(OR(E3375="",E3375="!!!"),"",IF(NOT(ISNA(VLOOKUP(E3375,E$1:E3374,1,FALSE()))),"OLD",IF(AND(E3375&lt;&gt;"",E3375&lt;&gt;"!!!"),"NEW","")))</f>
        <v> </v>
      </c>
      <c r="G3375" s="24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5" t="str">
        <f>IF(J3375&lt;&gt;1,"",IF(I3375="SBJ","CB","?"))</f>
        <v> </v>
      </c>
      <c r="I3375" s="26" t="str">
        <f>IF(OR(E3375="",E3375="!!!",F3375="NEW"),"",INDEX(B3374:B$2,-1+SUMPRODUCT(MAX(ROW(E3374:E$2)*(E3375=E3374:E$2)))))</f>
        <v> </v>
      </c>
      <c r="J3375" s="26" t="str">
        <f>IF(OR(E3375="",E3375="!!!",F3375="NEW"),"",COUNTBLANK(OFFSET(A$1,,,SUMPRODUCT(MAX(ROW(E$2:E3375)*(E3375=E$2:E3375)))))-COUNTBLANK(OFFSET(A$1,,,SUMPRODUCT(MAX(ROW(E$1:E3374)*(E2=E$1:E3374))))))</f>
        <v> </v>
      </c>
      <c r="K3375" s="26" t="str">
        <f>IF(OR(E3375="",E3375="!!!",F3375="NEW"),"",INDEX(J$1:J3374,SUMPRODUCT(MAX(ROW(E$1:E3374)*(E3375=E$1:E3374)))))</f>
        <v> </v>
      </c>
      <c r="L3375" s="27"/>
    </row>
    <row r="3376" spans="1:12">
      <c r="A3376" s="20"/>
    </row>
    <row r="3377" spans="1:12">
      <c r="A3377" s="20" t="s">
        <v>2402</v>
      </c>
    </row>
    <row r="3378" spans="1:12">
      <c r="A3378" s="20" t="s">
        <v>1108</v>
      </c>
      <c r="B3378" s="21" t="s">
        <v>1109</v>
      </c>
      <c r="C3378" s="21" t="s">
        <v>1081</v>
      </c>
      <c r="D3378" s="21" t="s">
        <v>1074</v>
      </c>
      <c r="E3378" s="22">
        <f>IF(D3378="?OLD","!!!","")</f>
        <v/>
      </c>
      <c r="F3378" s="23" t="str">
        <f>IF(OR(E3378="",E3378="!!!"),"",IF(NOT(ISNA(VLOOKUP(E3378,E$1:E3377,1,FALSE()))),"OLD",IF(AND(E3378&lt;&gt;"",E3378&lt;&gt;"!!!"),"NEW","")))</f>
        <v> </v>
      </c>
      <c r="G3378" s="24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5" t="str">
        <f>IF(J3378&lt;&gt;1,"",IF(I3378="SBJ","CB","?"))</f>
        <v> </v>
      </c>
      <c r="I3378" s="26" t="str">
        <f>IF(OR(E3378="",E3378="!!!",F3378="NEW"),"",INDEX(B3377:B$2,-1+SUMPRODUCT(MAX(ROW(E3377:E$2)*(E3378=E3377:E$2)))))</f>
        <v> </v>
      </c>
      <c r="J3378" s="26" t="str">
        <f>IF(OR(E3378="",E3378="!!!",F3378="NEW"),"",COUNTBLANK(OFFSET(A$1,,,SUMPRODUCT(MAX(ROW(E$2:E3378)*(E3378=E$2:E3378)))))-COUNTBLANK(OFFSET(A$1,,,SUMPRODUCT(MAX(ROW(E$1:E3377)*(E2=E$1:E3377))))))</f>
        <v> </v>
      </c>
      <c r="K3378" s="26" t="str">
        <f>IF(OR(E3378="",E3378="!!!",F3378="NEW"),"",INDEX(J$1:J3377,SUMPRODUCT(MAX(ROW(E$1:E3377)*(E3378=E$1:E3377)))))</f>
        <v> </v>
      </c>
      <c r="L3378" s="27"/>
    </row>
    <row r="3379" spans="1:12">
      <c r="A3379" s="20" t="s">
        <v>1916</v>
      </c>
      <c r="E3379" s="22">
        <f>IF(D3379="?OLD","!!!","")</f>
        <v/>
      </c>
      <c r="F3379" s="23" t="str">
        <f>IF(OR(E3379="",E3379="!!!"),"",IF(NOT(ISNA(VLOOKUP(E3379,E$1:E3378,1,FALSE()))),"OLD",IF(AND(E3379&lt;&gt;"",E3379&lt;&gt;"!!!"),"NEW","")))</f>
        <v> </v>
      </c>
      <c r="G3379" s="24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5" t="str">
        <f>IF(J3379&lt;&gt;1,"",IF(I3379="SBJ","CB","?"))</f>
        <v> </v>
      </c>
      <c r="I3379" s="26" t="str">
        <f>IF(OR(E3379="",E3379="!!!",F3379="NEW"),"",INDEX(B3378:B$2,-1+SUMPRODUCT(MAX(ROW(E3378:E$2)*(E3379=E3378:E$2)))))</f>
        <v> </v>
      </c>
      <c r="J3379" s="26" t="str">
        <f>IF(OR(E3379="",E3379="!!!",F3379="NEW"),"",COUNTBLANK(OFFSET(A$1,,,SUMPRODUCT(MAX(ROW(E$2:E3379)*(E3379=E$2:E3379)))))-COUNTBLANK(OFFSET(A$1,,,SUMPRODUCT(MAX(ROW(E$1:E3378)*(E2=E$1:E3378))))))</f>
        <v> </v>
      </c>
      <c r="K3379" s="26" t="str">
        <f>IF(OR(E3379="",E3379="!!!",F3379="NEW"),"",INDEX(J$1:J3378,SUMPRODUCT(MAX(ROW(E$1:E3378)*(E3379=E$1:E3378)))))</f>
        <v> </v>
      </c>
      <c r="L3379" s="27"/>
    </row>
    <row r="3380" spans="1:12">
      <c r="A3380" s="20" t="s">
        <v>1083</v>
      </c>
      <c r="E3380" s="22">
        <f>IF(D3380="?OLD","!!!","")</f>
        <v/>
      </c>
      <c r="F3380" s="23" t="str">
        <f>IF(OR(E3380="",E3380="!!!"),"",IF(NOT(ISNA(VLOOKUP(E3380,E$1:E3379,1,FALSE()))),"OLD",IF(AND(E3380&lt;&gt;"",E3380&lt;&gt;"!!!"),"NEW","")))</f>
        <v> </v>
      </c>
      <c r="G3380" s="24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5" t="str">
        <f>IF(J3380&lt;&gt;1,"",IF(I3380="SBJ","CB","?"))</f>
        <v> </v>
      </c>
      <c r="I3380" s="26" t="str">
        <f>IF(OR(E3380="",E3380="!!!",F3380="NEW"),"",INDEX(B3379:B$2,-1+SUMPRODUCT(MAX(ROW(E3379:E$2)*(E3380=E3379:E$2)))))</f>
        <v> </v>
      </c>
      <c r="J3380" s="26" t="str">
        <f>IF(OR(E3380="",E3380="!!!",F3380="NEW"),"",COUNTBLANK(OFFSET(A$1,,,SUMPRODUCT(MAX(ROW(E$2:E3380)*(E3380=E$2:E3380)))))-COUNTBLANK(OFFSET(A$1,,,SUMPRODUCT(MAX(ROW(E$1:E3379)*(E2=E$1:E3379))))))</f>
        <v> </v>
      </c>
      <c r="K3380" s="26" t="str">
        <f>IF(OR(E3380="",E3380="!!!",F3380="NEW"),"",INDEX(J$1:J3379,SUMPRODUCT(MAX(ROW(E$1:E3379)*(E3380=E$1:E3379)))))</f>
        <v> </v>
      </c>
      <c r="L3380" s="27"/>
    </row>
    <row r="3381" spans="1:12">
      <c r="A3381" s="20" t="s">
        <v>1158</v>
      </c>
      <c r="E3381" s="22">
        <f>IF(D3381="?OLD","!!!","")</f>
        <v/>
      </c>
      <c r="F3381" s="23" t="str">
        <f>IF(OR(E3381="",E3381="!!!"),"",IF(NOT(ISNA(VLOOKUP(E3381,E$1:E3380,1,FALSE()))),"OLD",IF(AND(E3381&lt;&gt;"",E3381&lt;&gt;"!!!"),"NEW","")))</f>
        <v> </v>
      </c>
      <c r="G3381" s="24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5" t="str">
        <f>IF(J3381&lt;&gt;1,"",IF(I3381="SBJ","CB","?"))</f>
        <v> </v>
      </c>
      <c r="I3381" s="26" t="str">
        <f>IF(OR(E3381="",E3381="!!!",F3381="NEW"),"",INDEX(B3380:B$2,-1+SUMPRODUCT(MAX(ROW(E3380:E$2)*(E3381=E3380:E$2)))))</f>
        <v> </v>
      </c>
      <c r="J3381" s="26" t="str">
        <f>IF(OR(E3381="",E3381="!!!",F3381="NEW"),"",COUNTBLANK(OFFSET(A$1,,,SUMPRODUCT(MAX(ROW(E$2:E3381)*(E3381=E$2:E3381)))))-COUNTBLANK(OFFSET(A$1,,,SUMPRODUCT(MAX(ROW(E$1:E3380)*(E2=E$1:E3380))))))</f>
        <v> </v>
      </c>
      <c r="K3381" s="26" t="str">
        <f>IF(OR(E3381="",E3381="!!!",F3381="NEW"),"",INDEX(J$1:J3380,SUMPRODUCT(MAX(ROW(E$1:E3380)*(E3381=E$1:E3380)))))</f>
        <v> </v>
      </c>
      <c r="L3381" s="27"/>
    </row>
    <row r="3382" spans="1:12">
      <c r="A3382" s="20" t="s">
        <v>1176</v>
      </c>
      <c r="E3382" s="22">
        <f>IF(D3382="?OLD","!!!","")</f>
        <v/>
      </c>
      <c r="F3382" s="23" t="str">
        <f>IF(OR(E3382="",E3382="!!!"),"",IF(NOT(ISNA(VLOOKUP(E3382,E$1:E3381,1,FALSE()))),"OLD",IF(AND(E3382&lt;&gt;"",E3382&lt;&gt;"!!!"),"NEW","")))</f>
        <v> </v>
      </c>
      <c r="G3382" s="24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5" t="str">
        <f>IF(J3382&lt;&gt;1,"",IF(I3382="SBJ","CB","?"))</f>
        <v> </v>
      </c>
      <c r="I3382" s="26" t="str">
        <f>IF(OR(E3382="",E3382="!!!",F3382="NEW"),"",INDEX(B3381:B$2,-1+SUMPRODUCT(MAX(ROW(E3381:E$2)*(E3382=E3381:E$2)))))</f>
        <v> </v>
      </c>
      <c r="J3382" s="26" t="str">
        <f>IF(OR(E3382="",E3382="!!!",F3382="NEW"),"",COUNTBLANK(OFFSET(A$1,,,SUMPRODUCT(MAX(ROW(E$2:E3382)*(E3382=E$2:E3382)))))-COUNTBLANK(OFFSET(A$1,,,SUMPRODUCT(MAX(ROW(E$1:E3381)*(E2=E$1:E3381))))))</f>
        <v> </v>
      </c>
      <c r="K3382" s="26" t="str">
        <f>IF(OR(E3382="",E3382="!!!",F3382="NEW"),"",INDEX(J$1:J3381,SUMPRODUCT(MAX(ROW(E$1:E3381)*(E3382=E$1:E3381)))))</f>
        <v> </v>
      </c>
      <c r="L3382" s="27"/>
    </row>
    <row r="3383" spans="1:12">
      <c r="A3383" s="20" t="s">
        <v>1321</v>
      </c>
      <c r="B3383" s="21" t="s">
        <v>1077</v>
      </c>
      <c r="C3383" s="21" t="s">
        <v>1154</v>
      </c>
      <c r="D3383" s="21" t="s">
        <v>1074</v>
      </c>
      <c r="E3383" s="22">
        <f>IF(D3383="?OLD","!!!","")</f>
        <v/>
      </c>
      <c r="F3383" s="23" t="str">
        <f>IF(OR(E3383="",E3383="!!!"),"",IF(NOT(ISNA(VLOOKUP(E3383,E$1:E3382,1,FALSE()))),"OLD",IF(AND(E3383&lt;&gt;"",E3383&lt;&gt;"!!!"),"NEW","")))</f>
        <v> </v>
      </c>
      <c r="G3383" s="24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5" t="str">
        <f>IF(J3383&lt;&gt;1,"",IF(I3383="SBJ","CB","?"))</f>
        <v> </v>
      </c>
      <c r="I3383" s="26" t="str">
        <f>IF(OR(E3383="",E3383="!!!",F3383="NEW"),"",INDEX(B3382:B$2,-1+SUMPRODUCT(MAX(ROW(E3382:E$2)*(E3383=E3382:E$2)))))</f>
        <v> </v>
      </c>
      <c r="J3383" s="26" t="str">
        <f>IF(OR(E3383="",E3383="!!!",F3383="NEW"),"",COUNTBLANK(OFFSET(A$1,,,SUMPRODUCT(MAX(ROW(E$2:E3383)*(E3383=E$2:E3383)))))-COUNTBLANK(OFFSET(A$1,,,SUMPRODUCT(MAX(ROW(E$1:E3382)*(E2=E$1:E3382))))))</f>
        <v> </v>
      </c>
      <c r="K3383" s="26" t="str">
        <f>IF(OR(E3383="",E3383="!!!",F3383="NEW"),"",INDEX(J$1:J3382,SUMPRODUCT(MAX(ROW(E$1:E3382)*(E3383=E$1:E3382)))))</f>
        <v> </v>
      </c>
      <c r="L3383" s="27"/>
    </row>
    <row r="3384" spans="1:12">
      <c r="A3384" s="20" t="s">
        <v>1106</v>
      </c>
      <c r="E3384" s="22">
        <f>IF(D3384="?OLD","!!!","")</f>
        <v/>
      </c>
      <c r="F3384" s="23" t="str">
        <f>IF(OR(E3384="",E3384="!!!"),"",IF(NOT(ISNA(VLOOKUP(E3384,E$1:E3383,1,FALSE()))),"OLD",IF(AND(E3384&lt;&gt;"",E3384&lt;&gt;"!!!"),"NEW","")))</f>
        <v> </v>
      </c>
      <c r="G3384" s="24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5" t="str">
        <f>IF(J3384&lt;&gt;1,"",IF(I3384="SBJ","CB","?"))</f>
        <v> </v>
      </c>
      <c r="I3384" s="26" t="str">
        <f>IF(OR(E3384="",E3384="!!!",F3384="NEW"),"",INDEX(B3383:B$2,-1+SUMPRODUCT(MAX(ROW(E3383:E$2)*(E3384=E3383:E$2)))))</f>
        <v> </v>
      </c>
      <c r="J3384" s="26" t="str">
        <f>IF(OR(E3384="",E3384="!!!",F3384="NEW"),"",COUNTBLANK(OFFSET(A$1,,,SUMPRODUCT(MAX(ROW(E$2:E3384)*(E3384=E$2:E3384)))))-COUNTBLANK(OFFSET(A$1,,,SUMPRODUCT(MAX(ROW(E$1:E3383)*(E2=E$1:E3383))))))</f>
        <v> </v>
      </c>
      <c r="K3384" s="26" t="str">
        <f>IF(OR(E3384="",E3384="!!!",F3384="NEW"),"",INDEX(J$1:J3383,SUMPRODUCT(MAX(ROW(E$1:E3383)*(E3384=E$1:E3383)))))</f>
        <v> </v>
      </c>
      <c r="L3384" s="27"/>
    </row>
    <row r="3385" spans="1:12">
      <c r="A3385" s="20"/>
    </row>
    <row r="3386" spans="1:12">
      <c r="A3386" s="20" t="s">
        <v>2403</v>
      </c>
    </row>
    <row r="3387" spans="1:12">
      <c r="A3387" s="20" t="s">
        <v>1133</v>
      </c>
      <c r="B3387" s="21" t="s">
        <v>1109</v>
      </c>
      <c r="C3387" s="21" t="s">
        <v>1081</v>
      </c>
      <c r="D3387" s="21" t="s">
        <v>1074</v>
      </c>
      <c r="E3387" s="22">
        <f>IF(D3387="?OLD","!!!","")</f>
        <v/>
      </c>
      <c r="F3387" s="23" t="str">
        <f>IF(OR(E3387="",E3387="!!!"),"",IF(NOT(ISNA(VLOOKUP(E3387,E$1:E3386,1,FALSE()))),"OLD",IF(AND(E3387&lt;&gt;"",E3387&lt;&gt;"!!!"),"NEW","")))</f>
        <v> </v>
      </c>
      <c r="G3387" s="24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5" t="str">
        <f>IF(J3387&lt;&gt;1,"",IF(I3387="SBJ","CB","?"))</f>
        <v> </v>
      </c>
      <c r="I3387" s="26" t="str">
        <f>IF(OR(E3387="",E3387="!!!",F3387="NEW"),"",INDEX(B3386:B$2,-1+SUMPRODUCT(MAX(ROW(E3386:E$2)*(E3387=E3386:E$2)))))</f>
        <v> </v>
      </c>
      <c r="J3387" s="26" t="str">
        <f>IF(OR(E3387="",E3387="!!!",F3387="NEW"),"",COUNTBLANK(OFFSET(A$1,,,SUMPRODUCT(MAX(ROW(E$2:E3387)*(E3387=E$2:E3387)))))-COUNTBLANK(OFFSET(A$1,,,SUMPRODUCT(MAX(ROW(E$1:E3386)*(E2=E$1:E3386))))))</f>
        <v> </v>
      </c>
      <c r="K3387" s="26" t="str">
        <f>IF(OR(E3387="",E3387="!!!",F3387="NEW"),"",INDEX(J$1:J3386,SUMPRODUCT(MAX(ROW(E$1:E3386)*(E3387=E$1:E3386)))))</f>
        <v> </v>
      </c>
      <c r="L3387" s="27"/>
    </row>
    <row r="3388" spans="1:12">
      <c r="A3388" s="20" t="s">
        <v>1187</v>
      </c>
      <c r="E3388" s="22">
        <f>IF(D3388="?OLD","!!!","")</f>
        <v/>
      </c>
      <c r="F3388" s="23" t="str">
        <f>IF(OR(E3388="",E3388="!!!"),"",IF(NOT(ISNA(VLOOKUP(E3388,E$1:E3387,1,FALSE()))),"OLD",IF(AND(E3388&lt;&gt;"",E3388&lt;&gt;"!!!"),"NEW","")))</f>
        <v> </v>
      </c>
      <c r="G3388" s="24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5" t="str">
        <f>IF(J3388&lt;&gt;1,"",IF(I3388="SBJ","CB","?"))</f>
        <v> </v>
      </c>
      <c r="I3388" s="26" t="str">
        <f>IF(OR(E3388="",E3388="!!!",F3388="NEW"),"",INDEX(B3387:B$2,-1+SUMPRODUCT(MAX(ROW(E3387:E$2)*(E3388=E3387:E$2)))))</f>
        <v> </v>
      </c>
      <c r="J3388" s="26" t="str">
        <f>IF(OR(E3388="",E3388="!!!",F3388="NEW"),"",COUNTBLANK(OFFSET(A$1,,,SUMPRODUCT(MAX(ROW(E$2:E3388)*(E3388=E$2:E3388)))))-COUNTBLANK(OFFSET(A$1,,,SUMPRODUCT(MAX(ROW(E$1:E3387)*(E2=E$1:E3387))))))</f>
        <v> </v>
      </c>
      <c r="K3388" s="26" t="str">
        <f>IF(OR(E3388="",E3388="!!!",F3388="NEW"),"",INDEX(J$1:J3387,SUMPRODUCT(MAX(ROW(E$1:E3387)*(E3388=E$1:E3387)))))</f>
        <v> </v>
      </c>
      <c r="L3388" s="27"/>
    </row>
    <row r="3389" spans="1:12">
      <c r="A3389" s="20" t="s">
        <v>1801</v>
      </c>
      <c r="E3389" s="22">
        <f>IF(D3389="?OLD","!!!","")</f>
        <v/>
      </c>
      <c r="F3389" s="23" t="str">
        <f>IF(OR(E3389="",E3389="!!!"),"",IF(NOT(ISNA(VLOOKUP(E3389,E$1:E3388,1,FALSE()))),"OLD",IF(AND(E3389&lt;&gt;"",E3389&lt;&gt;"!!!"),"NEW","")))</f>
        <v> </v>
      </c>
      <c r="G3389" s="24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5" t="str">
        <f>IF(J3389&lt;&gt;1,"",IF(I3389="SBJ","CB","?"))</f>
        <v> </v>
      </c>
      <c r="I3389" s="26" t="str">
        <f>IF(OR(E3389="",E3389="!!!",F3389="NEW"),"",INDEX(B3388:B$2,-1+SUMPRODUCT(MAX(ROW(E3388:E$2)*(E3389=E3388:E$2)))))</f>
        <v> </v>
      </c>
      <c r="J3389" s="26" t="str">
        <f>IF(OR(E3389="",E3389="!!!",F3389="NEW"),"",COUNTBLANK(OFFSET(A$1,,,SUMPRODUCT(MAX(ROW(E$2:E3389)*(E3389=E$2:E3389)))))-COUNTBLANK(OFFSET(A$1,,,SUMPRODUCT(MAX(ROW(E$1:E3388)*(E2=E$1:E3388))))))</f>
        <v> </v>
      </c>
      <c r="K3389" s="26" t="str">
        <f>IF(OR(E3389="",E3389="!!!",F3389="NEW"),"",INDEX(J$1:J3388,SUMPRODUCT(MAX(ROW(E$1:E3388)*(E3389=E$1:E3388)))))</f>
        <v> </v>
      </c>
      <c r="L3389" s="27"/>
    </row>
    <row r="3390" spans="1:12">
      <c r="A3390" s="20" t="s">
        <v>1802</v>
      </c>
      <c r="E3390" s="22">
        <f>IF(D3390="?OLD","!!!","")</f>
        <v/>
      </c>
      <c r="F3390" s="23" t="str">
        <f>IF(OR(E3390="",E3390="!!!"),"",IF(NOT(ISNA(VLOOKUP(E3390,E$1:E3389,1,FALSE()))),"OLD",IF(AND(E3390&lt;&gt;"",E3390&lt;&gt;"!!!"),"NEW","")))</f>
        <v> </v>
      </c>
      <c r="G3390" s="24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5" t="str">
        <f>IF(J3390&lt;&gt;1,"",IF(I3390="SBJ","CB","?"))</f>
        <v> </v>
      </c>
      <c r="I3390" s="26" t="str">
        <f>IF(OR(E3390="",E3390="!!!",F3390="NEW"),"",INDEX(B3389:B$2,-1+SUMPRODUCT(MAX(ROW(E3389:E$2)*(E3390=E3389:E$2)))))</f>
        <v> </v>
      </c>
      <c r="J3390" s="26" t="str">
        <f>IF(OR(E3390="",E3390="!!!",F3390="NEW"),"",COUNTBLANK(OFFSET(A$1,,,SUMPRODUCT(MAX(ROW(E$2:E3390)*(E3390=E$2:E3390)))))-COUNTBLANK(OFFSET(A$1,,,SUMPRODUCT(MAX(ROW(E$1:E3389)*(E2=E$1:E3389))))))</f>
        <v> </v>
      </c>
      <c r="K3390" s="26" t="str">
        <f>IF(OR(E3390="",E3390="!!!",F3390="NEW"),"",INDEX(J$1:J3389,SUMPRODUCT(MAX(ROW(E$1:E3389)*(E3390=E$1:E3389)))))</f>
        <v> </v>
      </c>
      <c r="L3390" s="27"/>
    </row>
    <row r="3391" spans="1:12">
      <c r="A3391" s="20" t="s">
        <v>1192</v>
      </c>
      <c r="E3391" s="22">
        <f>IF(D3391="?OLD","!!!","")</f>
        <v/>
      </c>
      <c r="F3391" s="23" t="str">
        <f>IF(OR(E3391="",E3391="!!!"),"",IF(NOT(ISNA(VLOOKUP(E3391,E$1:E3390,1,FALSE()))),"OLD",IF(AND(E3391&lt;&gt;"",E3391&lt;&gt;"!!!"),"NEW","")))</f>
        <v> </v>
      </c>
      <c r="G3391" s="24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5" t="str">
        <f>IF(J3391&lt;&gt;1,"",IF(I3391="SBJ","CB","?"))</f>
        <v> </v>
      </c>
      <c r="I3391" s="26" t="str">
        <f>IF(OR(E3391="",E3391="!!!",F3391="NEW"),"",INDEX(B3390:B$2,-1+SUMPRODUCT(MAX(ROW(E3390:E$2)*(E3391=E3390:E$2)))))</f>
        <v> </v>
      </c>
      <c r="J3391" s="26" t="str">
        <f>IF(OR(E3391="",E3391="!!!",F3391="NEW"),"",COUNTBLANK(OFFSET(A$1,,,SUMPRODUCT(MAX(ROW(E$2:E3391)*(E3391=E$2:E3391)))))-COUNTBLANK(OFFSET(A$1,,,SUMPRODUCT(MAX(ROW(E$1:E3390)*(E2=E$1:E3390))))))</f>
        <v> </v>
      </c>
      <c r="K3391" s="26" t="str">
        <f>IF(OR(E3391="",E3391="!!!",F3391="NEW"),"",INDEX(J$1:J3390,SUMPRODUCT(MAX(ROW(E$1:E3390)*(E3391=E$1:E3390)))))</f>
        <v> </v>
      </c>
      <c r="L3391" s="27"/>
    </row>
    <row r="3392" spans="1:12">
      <c r="A3392" s="20" t="s">
        <v>1193</v>
      </c>
      <c r="B3392" s="21" t="s">
        <v>1072</v>
      </c>
      <c r="C3392" s="21" t="s">
        <v>1154</v>
      </c>
      <c r="D3392" s="21" t="s">
        <v>1074</v>
      </c>
      <c r="E3392" s="22">
        <f>IF(D3392="?OLD","!!!","")</f>
        <v/>
      </c>
      <c r="F3392" s="23" t="str">
        <f>IF(OR(E3392="",E3392="!!!"),"",IF(NOT(ISNA(VLOOKUP(E3392,E$1:E3391,1,FALSE()))),"OLD",IF(AND(E3392&lt;&gt;"",E3392&lt;&gt;"!!!"),"NEW","")))</f>
        <v> </v>
      </c>
      <c r="G3392" s="24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5" t="str">
        <f>IF(J3392&lt;&gt;1,"",IF(I3392="SBJ","CB","?"))</f>
        <v> </v>
      </c>
      <c r="I3392" s="26" t="str">
        <f>IF(OR(E3392="",E3392="!!!",F3392="NEW"),"",INDEX(B3391:B$2,-1+SUMPRODUCT(MAX(ROW(E3391:E$2)*(E3392=E3391:E$2)))))</f>
        <v> </v>
      </c>
      <c r="J3392" s="26" t="str">
        <f>IF(OR(E3392="",E3392="!!!",F3392="NEW"),"",COUNTBLANK(OFFSET(A$1,,,SUMPRODUCT(MAX(ROW(E$2:E3392)*(E3392=E$2:E3392)))))-COUNTBLANK(OFFSET(A$1,,,SUMPRODUCT(MAX(ROW(E$1:E3391)*(E2=E$1:E3391))))))</f>
        <v> </v>
      </c>
      <c r="K3392" s="26" t="str">
        <f>IF(OR(E3392="",E3392="!!!",F3392="NEW"),"",INDEX(J$1:J3391,SUMPRODUCT(MAX(ROW(E$1:E3391)*(E3392=E$1:E3391)))))</f>
        <v> </v>
      </c>
      <c r="L3392" s="27"/>
    </row>
    <row r="3393" spans="1:12">
      <c r="A3393" s="20" t="s">
        <v>1091</v>
      </c>
      <c r="E3393" s="22">
        <f>IF(D3393="?OLD","!!!","")</f>
        <v/>
      </c>
      <c r="F3393" s="23" t="str">
        <f>IF(OR(E3393="",E3393="!!!"),"",IF(NOT(ISNA(VLOOKUP(E3393,E$1:E3392,1,FALSE()))),"OLD",IF(AND(E3393&lt;&gt;"",E3393&lt;&gt;"!!!"),"NEW","")))</f>
        <v> </v>
      </c>
      <c r="G3393" s="24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5" t="str">
        <f>IF(J3393&lt;&gt;1,"",IF(I3393="SBJ","CB","?"))</f>
        <v> </v>
      </c>
      <c r="I3393" s="26" t="str">
        <f>IF(OR(E3393="",E3393="!!!",F3393="NEW"),"",INDEX(B3392:B$2,-1+SUMPRODUCT(MAX(ROW(E3392:E$2)*(E3393=E3392:E$2)))))</f>
        <v> </v>
      </c>
      <c r="J3393" s="26" t="str">
        <f>IF(OR(E3393="",E3393="!!!",F3393="NEW"),"",COUNTBLANK(OFFSET(A$1,,,SUMPRODUCT(MAX(ROW(E$2:E3393)*(E3393=E$2:E3393)))))-COUNTBLANK(OFFSET(A$1,,,SUMPRODUCT(MAX(ROW(E$1:E3392)*(E2=E$1:E3392))))))</f>
        <v> </v>
      </c>
      <c r="K3393" s="26" t="str">
        <f>IF(OR(E3393="",E3393="!!!",F3393="NEW"),"",INDEX(J$1:J3392,SUMPRODUCT(MAX(ROW(E$1:E3392)*(E3393=E$1:E3392)))))</f>
        <v> </v>
      </c>
      <c r="L3393" s="27"/>
    </row>
    <row r="3394" spans="1:12">
      <c r="A3394" s="20" t="s">
        <v>1255</v>
      </c>
      <c r="E3394" s="22">
        <f>IF(D3394="?OLD","!!!","")</f>
        <v/>
      </c>
      <c r="F3394" s="23" t="str">
        <f>IF(OR(E3394="",E3394="!!!"),"",IF(NOT(ISNA(VLOOKUP(E3394,E$1:E3393,1,FALSE()))),"OLD",IF(AND(E3394&lt;&gt;"",E3394&lt;&gt;"!!!"),"NEW","")))</f>
        <v> </v>
      </c>
      <c r="G3394" s="24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5" t="str">
        <f>IF(J3394&lt;&gt;1,"",IF(I3394="SBJ","CB","?"))</f>
        <v> </v>
      </c>
      <c r="I3394" s="26" t="str">
        <f>IF(OR(E3394="",E3394="!!!",F3394="NEW"),"",INDEX(B3393:B$2,-1+SUMPRODUCT(MAX(ROW(E3393:E$2)*(E3394=E3393:E$2)))))</f>
        <v> </v>
      </c>
      <c r="J3394" s="26" t="str">
        <f>IF(OR(E3394="",E3394="!!!",F3394="NEW"),"",COUNTBLANK(OFFSET(A$1,,,SUMPRODUCT(MAX(ROW(E$2:E3394)*(E3394=E$2:E3394)))))-COUNTBLANK(OFFSET(A$1,,,SUMPRODUCT(MAX(ROW(E$1:E3393)*(E2=E$1:E3393))))))</f>
        <v> </v>
      </c>
      <c r="K3394" s="26" t="str">
        <f>IF(OR(E3394="",E3394="!!!",F3394="NEW"),"",INDEX(J$1:J3393,SUMPRODUCT(MAX(ROW(E$1:E3393)*(E3394=E$1:E3393)))))</f>
        <v> </v>
      </c>
      <c r="L3394" s="27"/>
    </row>
    <row r="3395" spans="1:12">
      <c r="A3395" s="20" t="s">
        <v>1085</v>
      </c>
      <c r="E3395" s="22">
        <f>IF(D3395="?OLD","!!!","")</f>
        <v/>
      </c>
      <c r="F3395" s="23" t="str">
        <f>IF(OR(E3395="",E3395="!!!"),"",IF(NOT(ISNA(VLOOKUP(E3395,E$1:E3394,1,FALSE()))),"OLD",IF(AND(E3395&lt;&gt;"",E3395&lt;&gt;"!!!"),"NEW","")))</f>
        <v> </v>
      </c>
      <c r="G3395" s="24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5" t="str">
        <f>IF(J3395&lt;&gt;1,"",IF(I3395="SBJ","CB","?"))</f>
        <v> </v>
      </c>
      <c r="I3395" s="26" t="str">
        <f>IF(OR(E3395="",E3395="!!!",F3395="NEW"),"",INDEX(B3394:B$2,-1+SUMPRODUCT(MAX(ROW(E3394:E$2)*(E3395=E3394:E$2)))))</f>
        <v> </v>
      </c>
      <c r="J3395" s="26" t="str">
        <f>IF(OR(E3395="",E3395="!!!",F3395="NEW"),"",COUNTBLANK(OFFSET(A$1,,,SUMPRODUCT(MAX(ROW(E$2:E3395)*(E3395=E$2:E3395)))))-COUNTBLANK(OFFSET(A$1,,,SUMPRODUCT(MAX(ROW(E$1:E3394)*(E2=E$1:E3394))))))</f>
        <v> </v>
      </c>
      <c r="K3395" s="26" t="str">
        <f>IF(OR(E3395="",E3395="!!!",F3395="NEW"),"",INDEX(J$1:J3394,SUMPRODUCT(MAX(ROW(E$1:E3394)*(E3395=E$1:E3394)))))</f>
        <v> </v>
      </c>
      <c r="L3395" s="27"/>
    </row>
    <row r="3396" spans="1:12">
      <c r="A3396" s="20" t="s">
        <v>1414</v>
      </c>
      <c r="E3396" s="22">
        <f>IF(D3396="?OLD","!!!","")</f>
        <v/>
      </c>
      <c r="F3396" s="23" t="str">
        <f>IF(OR(E3396="",E3396="!!!"),"",IF(NOT(ISNA(VLOOKUP(E3396,E$1:E3395,1,FALSE()))),"OLD",IF(AND(E3396&lt;&gt;"",E3396&lt;&gt;"!!!"),"NEW","")))</f>
        <v> </v>
      </c>
      <c r="G3396" s="24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5" t="str">
        <f>IF(J3396&lt;&gt;1,"",IF(I3396="SBJ","CB","?"))</f>
        <v> </v>
      </c>
      <c r="I3396" s="26" t="str">
        <f>IF(OR(E3396="",E3396="!!!",F3396="NEW"),"",INDEX(B3395:B$2,-1+SUMPRODUCT(MAX(ROW(E3395:E$2)*(E3396=E3395:E$2)))))</f>
        <v> </v>
      </c>
      <c r="J3396" s="26" t="str">
        <f>IF(OR(E3396="",E3396="!!!",F3396="NEW"),"",COUNTBLANK(OFFSET(A$1,,,SUMPRODUCT(MAX(ROW(E$2:E3396)*(E3396=E$2:E3396)))))-COUNTBLANK(OFFSET(A$1,,,SUMPRODUCT(MAX(ROW(E$1:E3395)*(E2=E$1:E3395))))))</f>
        <v> </v>
      </c>
      <c r="K3396" s="26" t="str">
        <f>IF(OR(E3396="",E3396="!!!",F3396="NEW"),"",INDEX(J$1:J3395,SUMPRODUCT(MAX(ROW(E$1:E3395)*(E3396=E$1:E3395)))))</f>
        <v> </v>
      </c>
      <c r="L3396" s="27"/>
    </row>
    <row r="3397" spans="1:12">
      <c r="A3397" s="20" t="s">
        <v>1192</v>
      </c>
      <c r="E3397" s="22">
        <f>IF(D3397="?OLD","!!!","")</f>
        <v/>
      </c>
      <c r="F3397" s="23" t="str">
        <f>IF(OR(E3397="",E3397="!!!"),"",IF(NOT(ISNA(VLOOKUP(E3397,E$1:E3396,1,FALSE()))),"OLD",IF(AND(E3397&lt;&gt;"",E3397&lt;&gt;"!!!"),"NEW","")))</f>
        <v> </v>
      </c>
      <c r="G3397" s="24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5" t="str">
        <f>IF(J3397&lt;&gt;1,"",IF(I3397="SBJ","CB","?"))</f>
        <v> </v>
      </c>
      <c r="I3397" s="26" t="str">
        <f>IF(OR(E3397="",E3397="!!!",F3397="NEW"),"",INDEX(B3396:B$2,-1+SUMPRODUCT(MAX(ROW(E3396:E$2)*(E3397=E3396:E$2)))))</f>
        <v> </v>
      </c>
      <c r="J3397" s="26" t="str">
        <f>IF(OR(E3397="",E3397="!!!",F3397="NEW"),"",COUNTBLANK(OFFSET(A$1,,,SUMPRODUCT(MAX(ROW(E$2:E3397)*(E3397=E$2:E3397)))))-COUNTBLANK(OFFSET(A$1,,,SUMPRODUCT(MAX(ROW(E$1:E3396)*(E2=E$1:E3396))))))</f>
        <v> </v>
      </c>
      <c r="K3397" s="26" t="str">
        <f>IF(OR(E3397="",E3397="!!!",F3397="NEW"),"",INDEX(J$1:J3396,SUMPRODUCT(MAX(ROW(E$1:E3396)*(E3397=E$1:E3396)))))</f>
        <v> </v>
      </c>
      <c r="L3397" s="27"/>
    </row>
    <row r="3398" spans="1:12">
      <c r="A3398" s="20" t="s">
        <v>2404</v>
      </c>
      <c r="E3398" s="22">
        <f>IF(D3398="?OLD","!!!","")</f>
        <v/>
      </c>
      <c r="F3398" s="23" t="str">
        <f>IF(OR(E3398="",E3398="!!!"),"",IF(NOT(ISNA(VLOOKUP(E3398,E$1:E3397,1,FALSE()))),"OLD",IF(AND(E3398&lt;&gt;"",E3398&lt;&gt;"!!!"),"NEW","")))</f>
        <v> </v>
      </c>
      <c r="G3398" s="24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5" t="str">
        <f>IF(J3398&lt;&gt;1,"",IF(I3398="SBJ","CB","?"))</f>
        <v> </v>
      </c>
      <c r="I3398" s="26" t="str">
        <f>IF(OR(E3398="",E3398="!!!",F3398="NEW"),"",INDEX(B3397:B$2,-1+SUMPRODUCT(MAX(ROW(E3397:E$2)*(E3398=E3397:E$2)))))</f>
        <v> </v>
      </c>
      <c r="J3398" s="26" t="str">
        <f>IF(OR(E3398="",E3398="!!!",F3398="NEW"),"",COUNTBLANK(OFFSET(A$1,,,SUMPRODUCT(MAX(ROW(E$2:E3398)*(E3398=E$2:E3398)))))-COUNTBLANK(OFFSET(A$1,,,SUMPRODUCT(MAX(ROW(E$1:E3397)*(E2=E$1:E3397))))))</f>
        <v> </v>
      </c>
      <c r="K3398" s="26" t="str">
        <f>IF(OR(E3398="",E3398="!!!",F3398="NEW"),"",INDEX(J$1:J3397,SUMPRODUCT(MAX(ROW(E$1:E3397)*(E3398=E$1:E3397)))))</f>
        <v> </v>
      </c>
      <c r="L3398" s="27"/>
    </row>
    <row r="3399" spans="1:12">
      <c r="A3399" s="20" t="s">
        <v>2405</v>
      </c>
      <c r="B3399" s="21" t="s">
        <v>1072</v>
      </c>
      <c r="C3399" s="21" t="s">
        <v>1462</v>
      </c>
      <c r="D3399" s="21" t="s">
        <v>1074</v>
      </c>
      <c r="E3399" s="22">
        <f>IF(D3399="?OLD","!!!","")</f>
        <v/>
      </c>
      <c r="F3399" s="23" t="str">
        <f>IF(OR(E3399="",E3399="!!!"),"",IF(NOT(ISNA(VLOOKUP(E3399,E$1:E3398,1,FALSE()))),"OLD",IF(AND(E3399&lt;&gt;"",E3399&lt;&gt;"!!!"),"NEW","")))</f>
        <v> </v>
      </c>
      <c r="G3399" s="24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5" t="str">
        <f>IF(J3399&lt;&gt;1,"",IF(I3399="SBJ","CB","?"))</f>
        <v> </v>
      </c>
      <c r="I3399" s="26" t="str">
        <f>IF(OR(E3399="",E3399="!!!",F3399="NEW"),"",INDEX(B3398:B$2,-1+SUMPRODUCT(MAX(ROW(E3398:E$2)*(E3399=E3398:E$2)))))</f>
        <v> </v>
      </c>
      <c r="J3399" s="26" t="str">
        <f>IF(OR(E3399="",E3399="!!!",F3399="NEW"),"",COUNTBLANK(OFFSET(A$1,,,SUMPRODUCT(MAX(ROW(E$2:E3399)*(E3399=E$2:E3399)))))-COUNTBLANK(OFFSET(A$1,,,SUMPRODUCT(MAX(ROW(E$1:E3398)*(E2=E$1:E3398))))))</f>
        <v> </v>
      </c>
      <c r="K3399" s="26" t="str">
        <f>IF(OR(E3399="",E3399="!!!",F3399="NEW"),"",INDEX(J$1:J3398,SUMPRODUCT(MAX(ROW(E$1:E3398)*(E3399=E$1:E3398)))))</f>
        <v> </v>
      </c>
      <c r="L3399" s="27"/>
    </row>
    <row r="3400" spans="1:12">
      <c r="A3400" s="20" t="s">
        <v>1085</v>
      </c>
      <c r="E3400" s="22">
        <f>IF(D3400="?OLD","!!!","")</f>
        <v/>
      </c>
      <c r="F3400" s="23" t="str">
        <f>IF(OR(E3400="",E3400="!!!"),"",IF(NOT(ISNA(VLOOKUP(E3400,E$1:E3399,1,FALSE()))),"OLD",IF(AND(E3400&lt;&gt;"",E3400&lt;&gt;"!!!"),"NEW","")))</f>
        <v> </v>
      </c>
      <c r="G3400" s="24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5" t="str">
        <f>IF(J3400&lt;&gt;1,"",IF(I3400="SBJ","CB","?"))</f>
        <v> </v>
      </c>
      <c r="I3400" s="26" t="str">
        <f>IF(OR(E3400="",E3400="!!!",F3400="NEW"),"",INDEX(B3399:B$2,-1+SUMPRODUCT(MAX(ROW(E3399:E$2)*(E3400=E3399:E$2)))))</f>
        <v> </v>
      </c>
      <c r="J3400" s="26" t="str">
        <f>IF(OR(E3400="",E3400="!!!",F3400="NEW"),"",COUNTBLANK(OFFSET(A$1,,,SUMPRODUCT(MAX(ROW(E$2:E3400)*(E3400=E$2:E3400)))))-COUNTBLANK(OFFSET(A$1,,,SUMPRODUCT(MAX(ROW(E$1:E3399)*(E2=E$1:E3399))))))</f>
        <v> </v>
      </c>
      <c r="K3400" s="26" t="str">
        <f>IF(OR(E3400="",E3400="!!!",F3400="NEW"),"",INDEX(J$1:J3399,SUMPRODUCT(MAX(ROW(E$1:E3399)*(E3400=E$1:E3399)))))</f>
        <v> </v>
      </c>
      <c r="L3400" s="27"/>
    </row>
    <row r="3401" spans="1:12">
      <c r="A3401" s="20" t="s">
        <v>1258</v>
      </c>
      <c r="E3401" s="22">
        <f>IF(D3401="?OLD","!!!","")</f>
        <v/>
      </c>
      <c r="F3401" s="23" t="str">
        <f>IF(OR(E3401="",E3401="!!!"),"",IF(NOT(ISNA(VLOOKUP(E3401,E$1:E3400,1,FALSE()))),"OLD",IF(AND(E3401&lt;&gt;"",E3401&lt;&gt;"!!!"),"NEW","")))</f>
        <v> </v>
      </c>
      <c r="G3401" s="24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5" t="str">
        <f>IF(J3401&lt;&gt;1,"",IF(I3401="SBJ","CB","?"))</f>
        <v> </v>
      </c>
      <c r="I3401" s="26" t="str">
        <f>IF(OR(E3401="",E3401="!!!",F3401="NEW"),"",INDEX(B3400:B$2,-1+SUMPRODUCT(MAX(ROW(E3400:E$2)*(E3401=E3400:E$2)))))</f>
        <v> </v>
      </c>
      <c r="J3401" s="26" t="str">
        <f>IF(OR(E3401="",E3401="!!!",F3401="NEW"),"",COUNTBLANK(OFFSET(A$1,,,SUMPRODUCT(MAX(ROW(E$2:E3401)*(E3401=E$2:E3401)))))-COUNTBLANK(OFFSET(A$1,,,SUMPRODUCT(MAX(ROW(E$1:E3400)*(E2=E$1:E3400))))))</f>
        <v> </v>
      </c>
      <c r="K3401" s="26" t="str">
        <f>IF(OR(E3401="",E3401="!!!",F3401="NEW"),"",INDEX(J$1:J3400,SUMPRODUCT(MAX(ROW(E$1:E3400)*(E3401=E$1:E3400)))))</f>
        <v> </v>
      </c>
      <c r="L3401" s="27"/>
    </row>
    <row r="3402" spans="1:12">
      <c r="A3402" s="20" t="s">
        <v>1416</v>
      </c>
      <c r="B3402" s="21" t="s">
        <v>1077</v>
      </c>
      <c r="C3402" s="21" t="s">
        <v>1081</v>
      </c>
      <c r="D3402" s="21" t="s">
        <v>1074</v>
      </c>
      <c r="E3402" s="22">
        <f>IF(D3402="?OLD","!!!","")</f>
        <v/>
      </c>
      <c r="F3402" s="23" t="str">
        <f>IF(OR(E3402="",E3402="!!!"),"",IF(NOT(ISNA(VLOOKUP(E3402,E$1:E3401,1,FALSE()))),"OLD",IF(AND(E3402&lt;&gt;"",E3402&lt;&gt;"!!!"),"NEW","")))</f>
        <v> </v>
      </c>
      <c r="G3402" s="24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5" t="str">
        <f>IF(J3402&lt;&gt;1,"",IF(I3402="SBJ","CB","?"))</f>
        <v> </v>
      </c>
      <c r="I3402" s="26" t="str">
        <f>IF(OR(E3402="",E3402="!!!",F3402="NEW"),"",INDEX(B3401:B$2,-1+SUMPRODUCT(MAX(ROW(E3401:E$2)*(E3402=E3401:E$2)))))</f>
        <v> </v>
      </c>
      <c r="J3402" s="26" t="str">
        <f>IF(OR(E3402="",E3402="!!!",F3402="NEW"),"",COUNTBLANK(OFFSET(A$1,,,SUMPRODUCT(MAX(ROW(E$2:E3402)*(E3402=E$2:E3402)))))-COUNTBLANK(OFFSET(A$1,,,SUMPRODUCT(MAX(ROW(E$1:E3401)*(E2=E$1:E3401))))))</f>
        <v> </v>
      </c>
      <c r="K3402" s="26" t="str">
        <f>IF(OR(E3402="",E3402="!!!",F3402="NEW"),"",INDEX(J$1:J3401,SUMPRODUCT(MAX(ROW(E$1:E3401)*(E3402=E$1:E3401)))))</f>
        <v> </v>
      </c>
      <c r="L3402" s="27"/>
    </row>
    <row r="3403" spans="1:12">
      <c r="A3403" s="20" t="s">
        <v>2406</v>
      </c>
      <c r="E3403" s="22">
        <f>IF(D3403="?OLD","!!!","")</f>
        <v/>
      </c>
      <c r="F3403" s="23" t="str">
        <f>IF(OR(E3403="",E3403="!!!"),"",IF(NOT(ISNA(VLOOKUP(E3403,E$1:E3402,1,FALSE()))),"OLD",IF(AND(E3403&lt;&gt;"",E3403&lt;&gt;"!!!"),"NEW","")))</f>
        <v> </v>
      </c>
      <c r="G3403" s="24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5" t="str">
        <f>IF(J3403&lt;&gt;1,"",IF(I3403="SBJ","CB","?"))</f>
        <v> </v>
      </c>
      <c r="I3403" s="26" t="str">
        <f>IF(OR(E3403="",E3403="!!!",F3403="NEW"),"",INDEX(B3402:B$2,-1+SUMPRODUCT(MAX(ROW(E3402:E$2)*(E3403=E3402:E$2)))))</f>
        <v> </v>
      </c>
      <c r="J3403" s="26" t="str">
        <f>IF(OR(E3403="",E3403="!!!",F3403="NEW"),"",COUNTBLANK(OFFSET(A$1,,,SUMPRODUCT(MAX(ROW(E$2:E3403)*(E3403=E$2:E3403)))))-COUNTBLANK(OFFSET(A$1,,,SUMPRODUCT(MAX(ROW(E$1:E3402)*(E2=E$1:E3402))))))</f>
        <v> </v>
      </c>
      <c r="K3403" s="26" t="str">
        <f>IF(OR(E3403="",E3403="!!!",F3403="NEW"),"",INDEX(J$1:J3402,SUMPRODUCT(MAX(ROW(E$1:E3402)*(E3403=E$1:E3402)))))</f>
        <v> </v>
      </c>
      <c r="L3403" s="27"/>
    </row>
    <row r="3404" spans="1:12">
      <c r="A3404" s="20" t="s">
        <v>2407</v>
      </c>
      <c r="B3404" s="21" t="s">
        <v>1080</v>
      </c>
      <c r="E3404" s="22">
        <f>IF(D3404="?OLD","!!!","")</f>
        <v/>
      </c>
      <c r="F3404" s="23" t="str">
        <f>IF(OR(E3404="",E3404="!!!"),"",IF(NOT(ISNA(VLOOKUP(E3404,E$1:E3403,1,FALSE()))),"OLD",IF(AND(E3404&lt;&gt;"",E3404&lt;&gt;"!!!"),"NEW","")))</f>
        <v> </v>
      </c>
      <c r="G3404" s="24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5" t="str">
        <f>IF(J3404&lt;&gt;1,"",IF(I3404="SBJ","CB","?"))</f>
        <v> </v>
      </c>
      <c r="I3404" s="26" t="str">
        <f>IF(OR(E3404="",E3404="!!!",F3404="NEW"),"",INDEX(B3403:B$2,-1+SUMPRODUCT(MAX(ROW(E3403:E$2)*(E3404=E3403:E$2)))))</f>
        <v> </v>
      </c>
      <c r="J3404" s="26" t="str">
        <f>IF(OR(E3404="",E3404="!!!",F3404="NEW"),"",COUNTBLANK(OFFSET(A$1,,,SUMPRODUCT(MAX(ROW(E$2:E3404)*(E3404=E$2:E3404)))))-COUNTBLANK(OFFSET(A$1,,,SUMPRODUCT(MAX(ROW(E$1:E3403)*(E2=E$1:E3403))))))</f>
        <v> </v>
      </c>
      <c r="K3404" s="26" t="str">
        <f>IF(OR(E3404="",E3404="!!!",F3404="NEW"),"",INDEX(J$1:J3403,SUMPRODUCT(MAX(ROW(E$1:E3403)*(E3404=E$1:E3403)))))</f>
        <v> </v>
      </c>
      <c r="L3404" s="27"/>
    </row>
    <row r="3405" spans="1:12">
      <c r="A3405" s="20" t="s">
        <v>1106</v>
      </c>
      <c r="E3405" s="22">
        <f>IF(D3405="?OLD","!!!","")</f>
        <v/>
      </c>
      <c r="F3405" s="23" t="str">
        <f>IF(OR(E3405="",E3405="!!!"),"",IF(NOT(ISNA(VLOOKUP(E3405,E$1:E3404,1,FALSE()))),"OLD",IF(AND(E3405&lt;&gt;"",E3405&lt;&gt;"!!!"),"NEW","")))</f>
        <v> </v>
      </c>
      <c r="G3405" s="24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5" t="str">
        <f>IF(J3405&lt;&gt;1,"",IF(I3405="SBJ","CB","?"))</f>
        <v> </v>
      </c>
      <c r="I3405" s="26" t="str">
        <f>IF(OR(E3405="",E3405="!!!",F3405="NEW"),"",INDEX(B3404:B$2,-1+SUMPRODUCT(MAX(ROW(E3404:E$2)*(E3405=E3404:E$2)))))</f>
        <v> </v>
      </c>
      <c r="J3405" s="26" t="str">
        <f>IF(OR(E3405="",E3405="!!!",F3405="NEW"),"",COUNTBLANK(OFFSET(A$1,,,SUMPRODUCT(MAX(ROW(E$2:E3405)*(E3405=E$2:E3405)))))-COUNTBLANK(OFFSET(A$1,,,SUMPRODUCT(MAX(ROW(E$1:E3404)*(E2=E$1:E3404))))))</f>
        <v> </v>
      </c>
      <c r="K3405" s="26" t="str">
        <f>IF(OR(E3405="",E3405="!!!",F3405="NEW"),"",INDEX(J$1:J3404,SUMPRODUCT(MAX(ROW(E$1:E3404)*(E3405=E$1:E3404)))))</f>
        <v> </v>
      </c>
      <c r="L3405" s="27"/>
    </row>
    <row r="3406" spans="1:12">
      <c r="A3406" s="20"/>
    </row>
    <row r="3407" spans="1:12">
      <c r="A3407" s="20" t="s">
        <v>2408</v>
      </c>
    </row>
    <row r="3408" spans="1:12">
      <c r="A3408" s="20" t="s">
        <v>1132</v>
      </c>
      <c r="B3408" s="21" t="s">
        <v>1072</v>
      </c>
      <c r="C3408" s="21" t="s">
        <v>1073</v>
      </c>
      <c r="D3408" s="21" t="s">
        <v>1074</v>
      </c>
      <c r="E3408" s="22">
        <f>IF(D3408="?OLD","!!!","")</f>
        <v/>
      </c>
      <c r="F3408" s="23" t="str">
        <f>IF(OR(E3408="",E3408="!!!"),"",IF(NOT(ISNA(VLOOKUP(E3408,E$1:E3407,1,FALSE()))),"OLD",IF(AND(E3408&lt;&gt;"",E3408&lt;&gt;"!!!"),"NEW","")))</f>
        <v> </v>
      </c>
      <c r="G3408" s="24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5" t="str">
        <f>IF(J3408&lt;&gt;1,"",IF(I3408="SBJ","CB","?"))</f>
        <v> </v>
      </c>
      <c r="I3408" s="26" t="str">
        <f>IF(OR(E3408="",E3408="!!!",F3408="NEW"),"",INDEX(B3407:B$2,-1+SUMPRODUCT(MAX(ROW(E3407:E$2)*(E3408=E3407:E$2)))))</f>
        <v> </v>
      </c>
      <c r="J3408" s="26" t="str">
        <f>IF(OR(E3408="",E3408="!!!",F3408="NEW"),"",COUNTBLANK(OFFSET(A$1,,,SUMPRODUCT(MAX(ROW(E$2:E3408)*(E3408=E$2:E3408)))))-COUNTBLANK(OFFSET(A$1,,,SUMPRODUCT(MAX(ROW(E$1:E3407)*(E2=E$1:E3407))))))</f>
        <v> </v>
      </c>
      <c r="K3408" s="26" t="str">
        <f>IF(OR(E3408="",E3408="!!!",F3408="NEW"),"",INDEX(J$1:J3407,SUMPRODUCT(MAX(ROW(E$1:E3407)*(E3408=E$1:E3407)))))</f>
        <v> </v>
      </c>
      <c r="L3408" s="27"/>
    </row>
    <row r="3409" spans="1:12">
      <c r="A3409" s="20" t="s">
        <v>1076</v>
      </c>
      <c r="E3409" s="22">
        <f>IF(D3409="?OLD","!!!","")</f>
        <v/>
      </c>
      <c r="F3409" s="23" t="str">
        <f>IF(OR(E3409="",E3409="!!!"),"",IF(NOT(ISNA(VLOOKUP(E3409,E$1:E3408,1,FALSE()))),"OLD",IF(AND(E3409&lt;&gt;"",E3409&lt;&gt;"!!!"),"NEW","")))</f>
        <v> </v>
      </c>
      <c r="G3409" s="24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5" t="str">
        <f>IF(J3409&lt;&gt;1,"",IF(I3409="SBJ","CB","?"))</f>
        <v> </v>
      </c>
      <c r="I3409" s="26" t="str">
        <f>IF(OR(E3409="",E3409="!!!",F3409="NEW"),"",INDEX(B3408:B$2,-1+SUMPRODUCT(MAX(ROW(E3408:E$2)*(E3409=E3408:E$2)))))</f>
        <v> </v>
      </c>
      <c r="J3409" s="26" t="str">
        <f>IF(OR(E3409="",E3409="!!!",F3409="NEW"),"",COUNTBLANK(OFFSET(A$1,,,SUMPRODUCT(MAX(ROW(E$2:E3409)*(E3409=E$2:E3409)))))-COUNTBLANK(OFFSET(A$1,,,SUMPRODUCT(MAX(ROW(E$1:E3408)*(E2=E$1:E3408))))))</f>
        <v> </v>
      </c>
      <c r="K3409" s="26" t="str">
        <f>IF(OR(E3409="",E3409="!!!",F3409="NEW"),"",INDEX(J$1:J3408,SUMPRODUCT(MAX(ROW(E$1:E3408)*(E3409=E$1:E3408)))))</f>
        <v> </v>
      </c>
      <c r="L3409" s="27"/>
    </row>
    <row r="3410" spans="1:12">
      <c r="A3410" s="20" t="s">
        <v>2251</v>
      </c>
      <c r="E3410" s="22">
        <f>IF(D3410="?OLD","!!!","")</f>
        <v/>
      </c>
      <c r="F3410" s="23" t="str">
        <f>IF(OR(E3410="",E3410="!!!"),"",IF(NOT(ISNA(VLOOKUP(E3410,E$1:E3409,1,FALSE()))),"OLD",IF(AND(E3410&lt;&gt;"",E3410&lt;&gt;"!!!"),"NEW","")))</f>
        <v> </v>
      </c>
      <c r="G3410" s="24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5" t="str">
        <f>IF(J3410&lt;&gt;1,"",IF(I3410="SBJ","CB","?"))</f>
        <v> </v>
      </c>
      <c r="I3410" s="26" t="str">
        <f>IF(OR(E3410="",E3410="!!!",F3410="NEW"),"",INDEX(B3409:B$2,-1+SUMPRODUCT(MAX(ROW(E3409:E$2)*(E3410=E3409:E$2)))))</f>
        <v> </v>
      </c>
      <c r="J3410" s="26" t="str">
        <f>IF(OR(E3410="",E3410="!!!",F3410="NEW"),"",COUNTBLANK(OFFSET(A$1,,,SUMPRODUCT(MAX(ROW(E$2:E3410)*(E3410=E$2:E3410)))))-COUNTBLANK(OFFSET(A$1,,,SUMPRODUCT(MAX(ROW(E$1:E3409)*(E2=E$1:E3409))))))</f>
        <v> </v>
      </c>
      <c r="K3410" s="26" t="str">
        <f>IF(OR(E3410="",E3410="!!!",F3410="NEW"),"",INDEX(J$1:J3409,SUMPRODUCT(MAX(ROW(E$1:E3409)*(E3410=E$1:E3409)))))</f>
        <v> </v>
      </c>
      <c r="L3410" s="27"/>
    </row>
    <row r="3411" spans="1:12">
      <c r="A3411" s="20" t="s">
        <v>2409</v>
      </c>
      <c r="E3411" s="22">
        <f>IF(D3411="?OLD","!!!","")</f>
        <v/>
      </c>
      <c r="F3411" s="23" t="str">
        <f>IF(OR(E3411="",E3411="!!!"),"",IF(NOT(ISNA(VLOOKUP(E3411,E$1:E3410,1,FALSE()))),"OLD",IF(AND(E3411&lt;&gt;"",E3411&lt;&gt;"!!!"),"NEW","")))</f>
        <v> </v>
      </c>
      <c r="G3411" s="24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5" t="str">
        <f>IF(J3411&lt;&gt;1,"",IF(I3411="SBJ","CB","?"))</f>
        <v> </v>
      </c>
      <c r="I3411" s="26" t="str">
        <f>IF(OR(E3411="",E3411="!!!",F3411="NEW"),"",INDEX(B3410:B$2,-1+SUMPRODUCT(MAX(ROW(E3410:E$2)*(E3411=E3410:E$2)))))</f>
        <v> </v>
      </c>
      <c r="J3411" s="26" t="str">
        <f>IF(OR(E3411="",E3411="!!!",F3411="NEW"),"",COUNTBLANK(OFFSET(A$1,,,SUMPRODUCT(MAX(ROW(E$2:E3411)*(E3411=E$2:E3411)))))-COUNTBLANK(OFFSET(A$1,,,SUMPRODUCT(MAX(ROW(E$1:E3410)*(E2=E$1:E3410))))))</f>
        <v> </v>
      </c>
      <c r="K3411" s="26" t="str">
        <f>IF(OR(E3411="",E3411="!!!",F3411="NEW"),"",INDEX(J$1:J3410,SUMPRODUCT(MAX(ROW(E$1:E3410)*(E3411=E$1:E3410)))))</f>
        <v> </v>
      </c>
      <c r="L3411" s="27"/>
    </row>
    <row r="3412" spans="1:12">
      <c r="A3412" s="20" t="s">
        <v>1187</v>
      </c>
      <c r="E3412" s="22">
        <f>IF(D3412="?OLD","!!!","")</f>
        <v/>
      </c>
      <c r="F3412" s="23" t="str">
        <f>IF(OR(E3412="",E3412="!!!"),"",IF(NOT(ISNA(VLOOKUP(E3412,E$1:E3411,1,FALSE()))),"OLD",IF(AND(E3412&lt;&gt;"",E3412&lt;&gt;"!!!"),"NEW","")))</f>
        <v> </v>
      </c>
      <c r="G3412" s="24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5" t="str">
        <f>IF(J3412&lt;&gt;1,"",IF(I3412="SBJ","CB","?"))</f>
        <v> </v>
      </c>
      <c r="I3412" s="26" t="str">
        <f>IF(OR(E3412="",E3412="!!!",F3412="NEW"),"",INDEX(B3411:B$2,-1+SUMPRODUCT(MAX(ROW(E3411:E$2)*(E3412=E3411:E$2)))))</f>
        <v> </v>
      </c>
      <c r="J3412" s="26" t="str">
        <f>IF(OR(E3412="",E3412="!!!",F3412="NEW"),"",COUNTBLANK(OFFSET(A$1,,,SUMPRODUCT(MAX(ROW(E$2:E3412)*(E3412=E$2:E3412)))))-COUNTBLANK(OFFSET(A$1,,,SUMPRODUCT(MAX(ROW(E$1:E3411)*(E2=E$1:E3411))))))</f>
        <v> </v>
      </c>
      <c r="K3412" s="26" t="str">
        <f>IF(OR(E3412="",E3412="!!!",F3412="NEW"),"",INDEX(J$1:J3411,SUMPRODUCT(MAX(ROW(E$1:E3411)*(E3412=E$1:E3411)))))</f>
        <v> </v>
      </c>
      <c r="L3412" s="27"/>
    </row>
    <row r="3413" spans="1:12">
      <c r="A3413" s="20" t="s">
        <v>2410</v>
      </c>
      <c r="E3413" s="22">
        <f>IF(D3413="?OLD","!!!","")</f>
        <v/>
      </c>
      <c r="F3413" s="23" t="str">
        <f>IF(OR(E3413="",E3413="!!!"),"",IF(NOT(ISNA(VLOOKUP(E3413,E$1:E3412,1,FALSE()))),"OLD",IF(AND(E3413&lt;&gt;"",E3413&lt;&gt;"!!!"),"NEW","")))</f>
        <v> </v>
      </c>
      <c r="G3413" s="24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5" t="str">
        <f>IF(J3413&lt;&gt;1,"",IF(I3413="SBJ","CB","?"))</f>
        <v> </v>
      </c>
      <c r="I3413" s="26" t="str">
        <f>IF(OR(E3413="",E3413="!!!",F3413="NEW"),"",INDEX(B3412:B$2,-1+SUMPRODUCT(MAX(ROW(E3412:E$2)*(E3413=E3412:E$2)))))</f>
        <v> </v>
      </c>
      <c r="J3413" s="26" t="str">
        <f>IF(OR(E3413="",E3413="!!!",F3413="NEW"),"",COUNTBLANK(OFFSET(A$1,,,SUMPRODUCT(MAX(ROW(E$2:E3413)*(E3413=E$2:E3413)))))-COUNTBLANK(OFFSET(A$1,,,SUMPRODUCT(MAX(ROW(E$1:E3412)*(E2=E$1:E3412))))))</f>
        <v> </v>
      </c>
      <c r="K3413" s="26" t="str">
        <f>IF(OR(E3413="",E3413="!!!",F3413="NEW"),"",INDEX(J$1:J3412,SUMPRODUCT(MAX(ROW(E$1:E3412)*(E3413=E$1:E3412)))))</f>
        <v> </v>
      </c>
      <c r="L3413" s="27"/>
    </row>
    <row r="3414" spans="1:12">
      <c r="A3414" s="20" t="s">
        <v>1106</v>
      </c>
      <c r="E3414" s="22">
        <f>IF(D3414="?OLD","!!!","")</f>
        <v/>
      </c>
      <c r="F3414" s="23" t="str">
        <f>IF(OR(E3414="",E3414="!!!"),"",IF(NOT(ISNA(VLOOKUP(E3414,E$1:E3413,1,FALSE()))),"OLD",IF(AND(E3414&lt;&gt;"",E3414&lt;&gt;"!!!"),"NEW","")))</f>
        <v> </v>
      </c>
      <c r="G3414" s="24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5" t="str">
        <f>IF(J3414&lt;&gt;1,"",IF(I3414="SBJ","CB","?"))</f>
        <v> </v>
      </c>
      <c r="I3414" s="26" t="str">
        <f>IF(OR(E3414="",E3414="!!!",F3414="NEW"),"",INDEX(B3413:B$2,-1+SUMPRODUCT(MAX(ROW(E3413:E$2)*(E3414=E3413:E$2)))))</f>
        <v> </v>
      </c>
      <c r="J3414" s="26" t="str">
        <f>IF(OR(E3414="",E3414="!!!",F3414="NEW"),"",COUNTBLANK(OFFSET(A$1,,,SUMPRODUCT(MAX(ROW(E$2:E3414)*(E3414=E$2:E3414)))))-COUNTBLANK(OFFSET(A$1,,,SUMPRODUCT(MAX(ROW(E$1:E3413)*(E2=E$1:E3413))))))</f>
        <v> </v>
      </c>
      <c r="K3414" s="26" t="str">
        <f>IF(OR(E3414="",E3414="!!!",F3414="NEW"),"",INDEX(J$1:J3413,SUMPRODUCT(MAX(ROW(E$1:E3413)*(E3414=E$1:E3413)))))</f>
        <v> </v>
      </c>
      <c r="L3414" s="27"/>
    </row>
    <row r="3415" spans="1:12">
      <c r="A3415" s="20"/>
    </row>
    <row r="3416" spans="1:12">
      <c r="A3416" s="20" t="s">
        <v>2411</v>
      </c>
    </row>
    <row r="3417" spans="1:12">
      <c r="A3417" s="20" t="s">
        <v>2412</v>
      </c>
      <c r="E3417" s="22">
        <f>IF(D3417="?OLD","!!!","")</f>
        <v/>
      </c>
      <c r="F3417" s="23" t="str">
        <f>IF(OR(E3417="",E3417="!!!"),"",IF(NOT(ISNA(VLOOKUP(E3417,E$1:E3416,1,FALSE()))),"OLD",IF(AND(E3417&lt;&gt;"",E3417&lt;&gt;"!!!"),"NEW","")))</f>
        <v> </v>
      </c>
      <c r="G3417" s="24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5" t="str">
        <f>IF(J3417&lt;&gt;1,"",IF(I3417="SBJ","CB","?"))</f>
        <v> </v>
      </c>
      <c r="I3417" s="26" t="str">
        <f>IF(OR(E3417="",E3417="!!!",F3417="NEW"),"",INDEX(B3416:B$2,-1+SUMPRODUCT(MAX(ROW(E3416:E$2)*(E3417=E3416:E$2)))))</f>
        <v> </v>
      </c>
      <c r="J3417" s="26" t="str">
        <f>IF(OR(E3417="",E3417="!!!",F3417="NEW"),"",COUNTBLANK(OFFSET(A$1,,,SUMPRODUCT(MAX(ROW(E$2:E3417)*(E3417=E$2:E3417)))))-COUNTBLANK(OFFSET(A$1,,,SUMPRODUCT(MAX(ROW(E$1:E3416)*(E2=E$1:E3416))))))</f>
        <v> </v>
      </c>
      <c r="K3417" s="26" t="str">
        <f>IF(OR(E3417="",E3417="!!!",F3417="NEW"),"",INDEX(J$1:J3416,SUMPRODUCT(MAX(ROW(E$1:E3416)*(E3417=E$1:E3416)))))</f>
        <v> </v>
      </c>
      <c r="L3417" s="27"/>
    </row>
    <row r="3418" spans="1:12">
      <c r="A3418" s="20" t="s">
        <v>1079</v>
      </c>
      <c r="B3418" s="21" t="s">
        <v>1227</v>
      </c>
      <c r="C3418" s="21" t="s">
        <v>1081</v>
      </c>
      <c r="D3418" s="21" t="s">
        <v>1074</v>
      </c>
      <c r="E3418" s="22">
        <f>IF(D3418="?OLD","!!!","")</f>
        <v/>
      </c>
      <c r="F3418" s="23" t="str">
        <f>IF(OR(E3418="",E3418="!!!"),"",IF(NOT(ISNA(VLOOKUP(E3418,E$1:E3417,1,FALSE()))),"OLD",IF(AND(E3418&lt;&gt;"",E3418&lt;&gt;"!!!"),"NEW","")))</f>
        <v> </v>
      </c>
      <c r="G3418" s="24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5" t="str">
        <f>IF(J3418&lt;&gt;1,"",IF(I3418="SBJ","CB","?"))</f>
        <v> </v>
      </c>
      <c r="I3418" s="26" t="str">
        <f>IF(OR(E3418="",E3418="!!!",F3418="NEW"),"",INDEX(B3417:B$2,-1+SUMPRODUCT(MAX(ROW(E3417:E$2)*(E3418=E3417:E$2)))))</f>
        <v> </v>
      </c>
      <c r="J3418" s="26" t="str">
        <f>IF(OR(E3418="",E3418="!!!",F3418="NEW"),"",COUNTBLANK(OFFSET(A$1,,,SUMPRODUCT(MAX(ROW(E$2:E3418)*(E3418=E$2:E3418)))))-COUNTBLANK(OFFSET(A$1,,,SUMPRODUCT(MAX(ROW(E$1:E3417)*(E2=E$1:E3417))))))</f>
        <v> </v>
      </c>
      <c r="K3418" s="26" t="str">
        <f>IF(OR(E3418="",E3418="!!!",F3418="NEW"),"",INDEX(J$1:J3417,SUMPRODUCT(MAX(ROW(E$1:E3417)*(E3418=E$1:E3417)))))</f>
        <v> </v>
      </c>
      <c r="L3418" s="27"/>
    </row>
    <row r="3419" spans="1:12">
      <c r="A3419" s="20" t="s">
        <v>2413</v>
      </c>
      <c r="B3419" s="21" t="s">
        <v>1227</v>
      </c>
      <c r="E3419" s="22">
        <f>IF(D3419="?OLD","!!!","")</f>
        <v/>
      </c>
      <c r="F3419" s="23" t="str">
        <f>IF(OR(E3419="",E3419="!!!"),"",IF(NOT(ISNA(VLOOKUP(E3419,E$1:E3418,1,FALSE()))),"OLD",IF(AND(E3419&lt;&gt;"",E3419&lt;&gt;"!!!"),"NEW","")))</f>
        <v> </v>
      </c>
      <c r="G3419" s="24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5" t="str">
        <f>IF(J3419&lt;&gt;1,"",IF(I3419="SBJ","CB","?"))</f>
        <v> </v>
      </c>
      <c r="I3419" s="26" t="str">
        <f>IF(OR(E3419="",E3419="!!!",F3419="NEW"),"",INDEX(B3418:B$2,-1+SUMPRODUCT(MAX(ROW(E3418:E$2)*(E3419=E3418:E$2)))))</f>
        <v> </v>
      </c>
      <c r="J3419" s="26" t="str">
        <f>IF(OR(E3419="",E3419="!!!",F3419="NEW"),"",COUNTBLANK(OFFSET(A$1,,,SUMPRODUCT(MAX(ROW(E$2:E3419)*(E3419=E$2:E3419)))))-COUNTBLANK(OFFSET(A$1,,,SUMPRODUCT(MAX(ROW(E$1:E3418)*(E2=E$1:E3418))))))</f>
        <v> </v>
      </c>
      <c r="K3419" s="26" t="str">
        <f>IF(OR(E3419="",E3419="!!!",F3419="NEW"),"",INDEX(J$1:J3418,SUMPRODUCT(MAX(ROW(E$1:E3418)*(E3419=E$1:E3418)))))</f>
        <v> </v>
      </c>
      <c r="L3419" s="27"/>
    </row>
    <row r="3420" spans="1:12">
      <c r="A3420" s="20" t="s">
        <v>1138</v>
      </c>
      <c r="E3420" s="22">
        <f>IF(D3420="?OLD","!!!","")</f>
        <v/>
      </c>
      <c r="F3420" s="23" t="str">
        <f>IF(OR(E3420="",E3420="!!!"),"",IF(NOT(ISNA(VLOOKUP(E3420,E$1:E3419,1,FALSE()))),"OLD",IF(AND(E3420&lt;&gt;"",E3420&lt;&gt;"!!!"),"NEW","")))</f>
        <v> </v>
      </c>
      <c r="G3420" s="24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5" t="str">
        <f>IF(J3420&lt;&gt;1,"",IF(I3420="SBJ","CB","?"))</f>
        <v> </v>
      </c>
      <c r="I3420" s="26" t="str">
        <f>IF(OR(E3420="",E3420="!!!",F3420="NEW"),"",INDEX(B3419:B$2,-1+SUMPRODUCT(MAX(ROW(E3419:E$2)*(E3420=E3419:E$2)))))</f>
        <v> </v>
      </c>
      <c r="J3420" s="26" t="str">
        <f>IF(OR(E3420="",E3420="!!!",F3420="NEW"),"",COUNTBLANK(OFFSET(A$1,,,SUMPRODUCT(MAX(ROW(E$2:E3420)*(E3420=E$2:E3420)))))-COUNTBLANK(OFFSET(A$1,,,SUMPRODUCT(MAX(ROW(E$1:E3419)*(E2=E$1:E3419))))))</f>
        <v> </v>
      </c>
      <c r="K3420" s="26" t="str">
        <f>IF(OR(E3420="",E3420="!!!",F3420="NEW"),"",INDEX(J$1:J3419,SUMPRODUCT(MAX(ROW(E$1:E3419)*(E3420=E$1:E3419)))))</f>
        <v> </v>
      </c>
      <c r="L3420" s="27"/>
    </row>
    <row r="3421" spans="1:12">
      <c r="A3421" s="20" t="s">
        <v>1139</v>
      </c>
      <c r="B3421" s="21" t="s">
        <v>1137</v>
      </c>
      <c r="C3421" s="21" t="s">
        <v>1095</v>
      </c>
      <c r="D3421" s="21" t="s">
        <v>1074</v>
      </c>
      <c r="E3421" s="22">
        <f>IF(D3421="?OLD","!!!","")</f>
        <v/>
      </c>
      <c r="F3421" s="23" t="str">
        <f>IF(OR(E3421="",E3421="!!!"),"",IF(NOT(ISNA(VLOOKUP(E3421,E$1:E3420,1,FALSE()))),"OLD",IF(AND(E3421&lt;&gt;"",E3421&lt;&gt;"!!!"),"NEW","")))</f>
        <v> </v>
      </c>
      <c r="G3421" s="24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5" t="str">
        <f>IF(J3421&lt;&gt;1,"",IF(I3421="SBJ","CB","?"))</f>
        <v> </v>
      </c>
      <c r="I3421" s="26" t="str">
        <f>IF(OR(E3421="",E3421="!!!",F3421="NEW"),"",INDEX(B3420:B$2,-1+SUMPRODUCT(MAX(ROW(E3420:E$2)*(E3421=E3420:E$2)))))</f>
        <v> </v>
      </c>
      <c r="J3421" s="26" t="str">
        <f>IF(OR(E3421="",E3421="!!!",F3421="NEW"),"",COUNTBLANK(OFFSET(A$1,,,SUMPRODUCT(MAX(ROW(E$2:E3421)*(E3421=E$2:E3421)))))-COUNTBLANK(OFFSET(A$1,,,SUMPRODUCT(MAX(ROW(E$1:E3420)*(E2=E$1:E3420))))))</f>
        <v> </v>
      </c>
      <c r="K3421" s="26" t="str">
        <f>IF(OR(E3421="",E3421="!!!",F3421="NEW"),"",INDEX(J$1:J3420,SUMPRODUCT(MAX(ROW(E$1:E3420)*(E3421=E$1:E3420)))))</f>
        <v> </v>
      </c>
      <c r="L3421" s="27"/>
    </row>
    <row r="3422" spans="1:12">
      <c r="A3422" s="20" t="s">
        <v>2414</v>
      </c>
      <c r="E3422" s="22">
        <f>IF(D3422="?OLD","!!!","")</f>
        <v/>
      </c>
      <c r="F3422" s="23" t="str">
        <f>IF(OR(E3422="",E3422="!!!"),"",IF(NOT(ISNA(VLOOKUP(E3422,E$1:E3421,1,FALSE()))),"OLD",IF(AND(E3422&lt;&gt;"",E3422&lt;&gt;"!!!"),"NEW","")))</f>
        <v> </v>
      </c>
      <c r="G3422" s="24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5" t="str">
        <f>IF(J3422&lt;&gt;1,"",IF(I3422="SBJ","CB","?"))</f>
        <v> </v>
      </c>
      <c r="I3422" s="26" t="str">
        <f>IF(OR(E3422="",E3422="!!!",F3422="NEW"),"",INDEX(B3421:B$2,-1+SUMPRODUCT(MAX(ROW(E3421:E$2)*(E3422=E3421:E$2)))))</f>
        <v> </v>
      </c>
      <c r="J3422" s="26" t="str">
        <f>IF(OR(E3422="",E3422="!!!",F3422="NEW"),"",COUNTBLANK(OFFSET(A$1,,,SUMPRODUCT(MAX(ROW(E$2:E3422)*(E3422=E$2:E3422)))))-COUNTBLANK(OFFSET(A$1,,,SUMPRODUCT(MAX(ROW(E$1:E3421)*(E2=E$1:E3421))))))</f>
        <v> </v>
      </c>
      <c r="K3422" s="26" t="str">
        <f>IF(OR(E3422="",E3422="!!!",F3422="NEW"),"",INDEX(J$1:J3421,SUMPRODUCT(MAX(ROW(E$1:E3421)*(E3422=E$1:E3421)))))</f>
        <v> </v>
      </c>
      <c r="L3422" s="27"/>
    </row>
    <row r="3423" spans="1:12">
      <c r="A3423" s="20" t="s">
        <v>2415</v>
      </c>
      <c r="E3423" s="22">
        <f>IF(D3423="?OLD","!!!","")</f>
        <v/>
      </c>
      <c r="F3423" s="23" t="str">
        <f>IF(OR(E3423="",E3423="!!!"),"",IF(NOT(ISNA(VLOOKUP(E3423,E$1:E3422,1,FALSE()))),"OLD",IF(AND(E3423&lt;&gt;"",E3423&lt;&gt;"!!!"),"NEW","")))</f>
        <v> </v>
      </c>
      <c r="G3423" s="24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5" t="str">
        <f>IF(J3423&lt;&gt;1,"",IF(I3423="SBJ","CB","?"))</f>
        <v> </v>
      </c>
      <c r="I3423" s="26" t="str">
        <f>IF(OR(E3423="",E3423="!!!",F3423="NEW"),"",INDEX(B3422:B$2,-1+SUMPRODUCT(MAX(ROW(E3422:E$2)*(E3423=E3422:E$2)))))</f>
        <v> </v>
      </c>
      <c r="J3423" s="26" t="str">
        <f>IF(OR(E3423="",E3423="!!!",F3423="NEW"),"",COUNTBLANK(OFFSET(A$1,,,SUMPRODUCT(MAX(ROW(E$2:E3423)*(E3423=E$2:E3423)))))-COUNTBLANK(OFFSET(A$1,,,SUMPRODUCT(MAX(ROW(E$1:E3422)*(E2=E$1:E3422))))))</f>
        <v> </v>
      </c>
      <c r="K3423" s="26" t="str">
        <f>IF(OR(E3423="",E3423="!!!",F3423="NEW"),"",INDEX(J$1:J3422,SUMPRODUCT(MAX(ROW(E$1:E3422)*(E3423=E$1:E3422)))))</f>
        <v> </v>
      </c>
      <c r="L3423" s="27"/>
    </row>
    <row r="3424" spans="1:12">
      <c r="A3424" s="20" t="s">
        <v>1106</v>
      </c>
      <c r="E3424" s="22">
        <f>IF(D3424="?OLD","!!!","")</f>
        <v/>
      </c>
      <c r="F3424" s="23" t="str">
        <f>IF(OR(E3424="",E3424="!!!"),"",IF(NOT(ISNA(VLOOKUP(E3424,E$1:E3423,1,FALSE()))),"OLD",IF(AND(E3424&lt;&gt;"",E3424&lt;&gt;"!!!"),"NEW","")))</f>
        <v> </v>
      </c>
      <c r="G3424" s="24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5" t="str">
        <f>IF(J3424&lt;&gt;1,"",IF(I3424="SBJ","CB","?"))</f>
        <v> </v>
      </c>
      <c r="I3424" s="26" t="str">
        <f>IF(OR(E3424="",E3424="!!!",F3424="NEW"),"",INDEX(B3423:B$2,-1+SUMPRODUCT(MAX(ROW(E3423:E$2)*(E3424=E3423:E$2)))))</f>
        <v> </v>
      </c>
      <c r="J3424" s="26" t="str">
        <f>IF(OR(E3424="",E3424="!!!",F3424="NEW"),"",COUNTBLANK(OFFSET(A$1,,,SUMPRODUCT(MAX(ROW(E$2:E3424)*(E3424=E$2:E3424)))))-COUNTBLANK(OFFSET(A$1,,,SUMPRODUCT(MAX(ROW(E$1:E3423)*(E2=E$1:E3423))))))</f>
        <v> </v>
      </c>
      <c r="K3424" s="26" t="str">
        <f>IF(OR(E3424="",E3424="!!!",F3424="NEW"),"",INDEX(J$1:J3423,SUMPRODUCT(MAX(ROW(E$1:E3423)*(E3424=E$1:E3423)))))</f>
        <v> </v>
      </c>
      <c r="L3424" s="27"/>
    </row>
    <row r="3425" spans="1:12">
      <c r="A3425" s="20"/>
    </row>
    <row r="3426" spans="1:12">
      <c r="A3426" s="20" t="s">
        <v>2416</v>
      </c>
    </row>
    <row r="3427" spans="1:12">
      <c r="A3427" s="20" t="s">
        <v>1711</v>
      </c>
      <c r="E3427" s="22">
        <f>IF(D3427="?OLD","!!!","")</f>
        <v/>
      </c>
      <c r="F3427" s="23" t="str">
        <f>IF(OR(E3427="",E3427="!!!"),"",IF(NOT(ISNA(VLOOKUP(E3427,E$1:E3426,1,FALSE()))),"OLD",IF(AND(E3427&lt;&gt;"",E3427&lt;&gt;"!!!"),"NEW","")))</f>
        <v> </v>
      </c>
      <c r="G3427" s="24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5" t="str">
        <f>IF(J3427&lt;&gt;1,"",IF(I3427="SBJ","CB","?"))</f>
        <v> </v>
      </c>
      <c r="I3427" s="26" t="str">
        <f>IF(OR(E3427="",E3427="!!!",F3427="NEW"),"",INDEX(B3426:B$2,-1+SUMPRODUCT(MAX(ROW(E3426:E$2)*(E3427=E3426:E$2)))))</f>
        <v> </v>
      </c>
      <c r="J3427" s="26" t="str">
        <f>IF(OR(E3427="",E3427="!!!",F3427="NEW"),"",COUNTBLANK(OFFSET(A$1,,,SUMPRODUCT(MAX(ROW(E$2:E3427)*(E3427=E$2:E3427)))))-COUNTBLANK(OFFSET(A$1,,,SUMPRODUCT(MAX(ROW(E$1:E3426)*(E2=E$1:E3426))))))</f>
        <v> </v>
      </c>
      <c r="K3427" s="26" t="str">
        <f>IF(OR(E3427="",E3427="!!!",F3427="NEW"),"",INDEX(J$1:J3426,SUMPRODUCT(MAX(ROW(E$1:E3426)*(E3427=E$1:E3426)))))</f>
        <v> </v>
      </c>
      <c r="L3427" s="27"/>
    </row>
    <row r="3428" spans="1:12">
      <c r="A3428" s="20" t="s">
        <v>1365</v>
      </c>
      <c r="B3428" s="21" t="s">
        <v>1072</v>
      </c>
      <c r="C3428" s="21" t="s">
        <v>1081</v>
      </c>
      <c r="D3428" s="21" t="s">
        <v>1074</v>
      </c>
      <c r="E3428" s="22">
        <f>IF(D3428="?OLD","!!!","")</f>
        <v/>
      </c>
      <c r="F3428" s="23" t="str">
        <f>IF(OR(E3428="",E3428="!!!"),"",IF(NOT(ISNA(VLOOKUP(E3428,E$1:E3427,1,FALSE()))),"OLD",IF(AND(E3428&lt;&gt;"",E3428&lt;&gt;"!!!"),"NEW","")))</f>
        <v> </v>
      </c>
      <c r="G3428" s="24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5" t="str">
        <f>IF(J3428&lt;&gt;1,"",IF(I3428="SBJ","CB","?"))</f>
        <v> </v>
      </c>
      <c r="I3428" s="26" t="str">
        <f>IF(OR(E3428="",E3428="!!!",F3428="NEW"),"",INDEX(B3427:B$2,-1+SUMPRODUCT(MAX(ROW(E3427:E$2)*(E3428=E3427:E$2)))))</f>
        <v> </v>
      </c>
      <c r="J3428" s="26" t="str">
        <f>IF(OR(E3428="",E3428="!!!",F3428="NEW"),"",COUNTBLANK(OFFSET(A$1,,,SUMPRODUCT(MAX(ROW(E$2:E3428)*(E3428=E$2:E3428)))))-COUNTBLANK(OFFSET(A$1,,,SUMPRODUCT(MAX(ROW(E$1:E3427)*(E2=E$1:E3427))))))</f>
        <v> </v>
      </c>
      <c r="K3428" s="26" t="str">
        <f>IF(OR(E3428="",E3428="!!!",F3428="NEW"),"",INDEX(J$1:J3427,SUMPRODUCT(MAX(ROW(E$1:E3427)*(E3428=E$1:E3427)))))</f>
        <v> </v>
      </c>
      <c r="L3428" s="27"/>
    </row>
    <row r="3429" spans="1:12">
      <c r="A3429" s="20" t="s">
        <v>1600</v>
      </c>
      <c r="E3429" s="22">
        <f>IF(D3429="?OLD","!!!","")</f>
        <v/>
      </c>
      <c r="F3429" s="23" t="str">
        <f>IF(OR(E3429="",E3429="!!!"),"",IF(NOT(ISNA(VLOOKUP(E3429,E$1:E3428,1,FALSE()))),"OLD",IF(AND(E3429&lt;&gt;"",E3429&lt;&gt;"!!!"),"NEW","")))</f>
        <v> </v>
      </c>
      <c r="G3429" s="24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5" t="str">
        <f>IF(J3429&lt;&gt;1,"",IF(I3429="SBJ","CB","?"))</f>
        <v> </v>
      </c>
      <c r="I3429" s="26" t="str">
        <f>IF(OR(E3429="",E3429="!!!",F3429="NEW"),"",INDEX(B3428:B$2,-1+SUMPRODUCT(MAX(ROW(E3428:E$2)*(E3429=E3428:E$2)))))</f>
        <v> </v>
      </c>
      <c r="J3429" s="26" t="str">
        <f>IF(OR(E3429="",E3429="!!!",F3429="NEW"),"",COUNTBLANK(OFFSET(A$1,,,SUMPRODUCT(MAX(ROW(E$2:E3429)*(E3429=E$2:E3429)))))-COUNTBLANK(OFFSET(A$1,,,SUMPRODUCT(MAX(ROW(E$1:E3428)*(E2=E$1:E3428))))))</f>
        <v> </v>
      </c>
      <c r="K3429" s="26" t="str">
        <f>IF(OR(E3429="",E3429="!!!",F3429="NEW"),"",INDEX(J$1:J3428,SUMPRODUCT(MAX(ROW(E$1:E3428)*(E3429=E$1:E3428)))))</f>
        <v> </v>
      </c>
      <c r="L3429" s="27"/>
    </row>
    <row r="3430" spans="1:12">
      <c r="A3430" s="20" t="s">
        <v>2417</v>
      </c>
      <c r="B3430" s="21" t="s">
        <v>1109</v>
      </c>
      <c r="C3430" s="21" t="s">
        <v>1142</v>
      </c>
      <c r="D3430" s="21" t="s">
        <v>1074</v>
      </c>
      <c r="E3430" s="22">
        <f>IF(D3430="?OLD","!!!","")</f>
        <v/>
      </c>
      <c r="F3430" s="23" t="str">
        <f>IF(OR(E3430="",E3430="!!!"),"",IF(NOT(ISNA(VLOOKUP(E3430,E$1:E3429,1,FALSE()))),"OLD",IF(AND(E3430&lt;&gt;"",E3430&lt;&gt;"!!!"),"NEW","")))</f>
        <v> </v>
      </c>
      <c r="G3430" s="24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5" t="str">
        <f>IF(J3430&lt;&gt;1,"",IF(I3430="SBJ","CB","?"))</f>
        <v> </v>
      </c>
      <c r="I3430" s="26" t="str">
        <f>IF(OR(E3430="",E3430="!!!",F3430="NEW"),"",INDEX(B3429:B$2,-1+SUMPRODUCT(MAX(ROW(E3429:E$2)*(E3430=E3429:E$2)))))</f>
        <v> </v>
      </c>
      <c r="J3430" s="26" t="str">
        <f>IF(OR(E3430="",E3430="!!!",F3430="NEW"),"",COUNTBLANK(OFFSET(A$1,,,SUMPRODUCT(MAX(ROW(E$2:E3430)*(E3430=E$2:E3430)))))-COUNTBLANK(OFFSET(A$1,,,SUMPRODUCT(MAX(ROW(E$1:E3429)*(E2=E$1:E3429))))))</f>
        <v> </v>
      </c>
      <c r="K3430" s="26" t="str">
        <f>IF(OR(E3430="",E3430="!!!",F3430="NEW"),"",INDEX(J$1:J3429,SUMPRODUCT(MAX(ROW(E$1:E3429)*(E3430=E$1:E3429)))))</f>
        <v> </v>
      </c>
      <c r="L3430" s="27"/>
    </row>
    <row r="3431" spans="1:12">
      <c r="A3431" s="20" t="s">
        <v>1143</v>
      </c>
      <c r="B3431" s="21" t="s">
        <v>1180</v>
      </c>
      <c r="C3431" s="21" t="s">
        <v>1073</v>
      </c>
      <c r="D3431" s="21" t="s">
        <v>1074</v>
      </c>
      <c r="E3431" s="22">
        <f>IF(D3431="?OLD","!!!","")</f>
        <v/>
      </c>
      <c r="F3431" s="23" t="str">
        <f>IF(OR(E3431="",E3431="!!!"),"",IF(NOT(ISNA(VLOOKUP(E3431,E$1:E3430,1,FALSE()))),"OLD",IF(AND(E3431&lt;&gt;"",E3431&lt;&gt;"!!!"),"NEW","")))</f>
        <v> </v>
      </c>
      <c r="G3431" s="24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5" t="str">
        <f>IF(J3431&lt;&gt;1,"",IF(I3431="SBJ","CB","?"))</f>
        <v> </v>
      </c>
      <c r="I3431" s="26" t="str">
        <f>IF(OR(E3431="",E3431="!!!",F3431="NEW"),"",INDEX(B3430:B$2,-1+SUMPRODUCT(MAX(ROW(E3430:E$2)*(E3431=E3430:E$2)))))</f>
        <v> </v>
      </c>
      <c r="J3431" s="26" t="str">
        <f>IF(OR(E3431="",E3431="!!!",F3431="NEW"),"",COUNTBLANK(OFFSET(A$1,,,SUMPRODUCT(MAX(ROW(E$2:E3431)*(E3431=E$2:E3431)))))-COUNTBLANK(OFFSET(A$1,,,SUMPRODUCT(MAX(ROW(E$1:E3430)*(E2=E$1:E3430))))))</f>
        <v> </v>
      </c>
      <c r="K3431" s="26" t="str">
        <f>IF(OR(E3431="",E3431="!!!",F3431="NEW"),"",INDEX(J$1:J3430,SUMPRODUCT(MAX(ROW(E$1:E3430)*(E3431=E$1:E3430)))))</f>
        <v> </v>
      </c>
      <c r="L3431" s="27"/>
    </row>
    <row r="3432" spans="1:12">
      <c r="A3432" s="20" t="s">
        <v>2418</v>
      </c>
      <c r="E3432" s="22">
        <f>IF(D3432="?OLD","!!!","")</f>
        <v/>
      </c>
      <c r="F3432" s="23" t="str">
        <f>IF(OR(E3432="",E3432="!!!"),"",IF(NOT(ISNA(VLOOKUP(E3432,E$1:E3431,1,FALSE()))),"OLD",IF(AND(E3432&lt;&gt;"",E3432&lt;&gt;"!!!"),"NEW","")))</f>
        <v> </v>
      </c>
      <c r="G3432" s="24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5" t="str">
        <f>IF(J3432&lt;&gt;1,"",IF(I3432="SBJ","CB","?"))</f>
        <v> </v>
      </c>
      <c r="I3432" s="26" t="str">
        <f>IF(OR(E3432="",E3432="!!!",F3432="NEW"),"",INDEX(B3431:B$2,-1+SUMPRODUCT(MAX(ROW(E3431:E$2)*(E3432=E3431:E$2)))))</f>
        <v> </v>
      </c>
      <c r="J3432" s="26" t="str">
        <f>IF(OR(E3432="",E3432="!!!",F3432="NEW"),"",COUNTBLANK(OFFSET(A$1,,,SUMPRODUCT(MAX(ROW(E$2:E3432)*(E3432=E$2:E3432)))))-COUNTBLANK(OFFSET(A$1,,,SUMPRODUCT(MAX(ROW(E$1:E3431)*(E2=E$1:E3431))))))</f>
        <v> </v>
      </c>
      <c r="K3432" s="26" t="str">
        <f>IF(OR(E3432="",E3432="!!!",F3432="NEW"),"",INDEX(J$1:J3431,SUMPRODUCT(MAX(ROW(E$1:E3431)*(E3432=E$1:E3431)))))</f>
        <v> </v>
      </c>
      <c r="L3432" s="27"/>
    </row>
    <row r="3433" spans="1:12">
      <c r="A3433" s="20" t="s">
        <v>1085</v>
      </c>
      <c r="E3433" s="22">
        <f>IF(D3433="?OLD","!!!","")</f>
        <v/>
      </c>
      <c r="F3433" s="23" t="str">
        <f>IF(OR(E3433="",E3433="!!!"),"",IF(NOT(ISNA(VLOOKUP(E3433,E$1:E3432,1,FALSE()))),"OLD",IF(AND(E3433&lt;&gt;"",E3433&lt;&gt;"!!!"),"NEW","")))</f>
        <v> </v>
      </c>
      <c r="G3433" s="24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5" t="str">
        <f>IF(J3433&lt;&gt;1,"",IF(I3433="SBJ","CB","?"))</f>
        <v> </v>
      </c>
      <c r="I3433" s="26" t="str">
        <f>IF(OR(E3433="",E3433="!!!",F3433="NEW"),"",INDEX(B3432:B$2,-1+SUMPRODUCT(MAX(ROW(E3432:E$2)*(E3433=E3432:E$2)))))</f>
        <v> </v>
      </c>
      <c r="J3433" s="26" t="str">
        <f>IF(OR(E3433="",E3433="!!!",F3433="NEW"),"",COUNTBLANK(OFFSET(A$1,,,SUMPRODUCT(MAX(ROW(E$2:E3433)*(E3433=E$2:E3433)))))-COUNTBLANK(OFFSET(A$1,,,SUMPRODUCT(MAX(ROW(E$1:E3432)*(E2=E$1:E3432))))))</f>
        <v> </v>
      </c>
      <c r="K3433" s="26" t="str">
        <f>IF(OR(E3433="",E3433="!!!",F3433="NEW"),"",INDEX(J$1:J3432,SUMPRODUCT(MAX(ROW(E$1:E3432)*(E3433=E$1:E3432)))))</f>
        <v> </v>
      </c>
      <c r="L3433" s="27"/>
    </row>
    <row r="3434" spans="1:12">
      <c r="A3434" s="20" t="s">
        <v>1083</v>
      </c>
      <c r="E3434" s="22">
        <f>IF(D3434="?OLD","!!!","")</f>
        <v/>
      </c>
      <c r="F3434" s="23" t="str">
        <f>IF(OR(E3434="",E3434="!!!"),"",IF(NOT(ISNA(VLOOKUP(E3434,E$1:E3433,1,FALSE()))),"OLD",IF(AND(E3434&lt;&gt;"",E3434&lt;&gt;"!!!"),"NEW","")))</f>
        <v> </v>
      </c>
      <c r="G3434" s="24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5" t="str">
        <f>IF(J3434&lt;&gt;1,"",IF(I3434="SBJ","CB","?"))</f>
        <v> </v>
      </c>
      <c r="I3434" s="26" t="str">
        <f>IF(OR(E3434="",E3434="!!!",F3434="NEW"),"",INDEX(B3433:B$2,-1+SUMPRODUCT(MAX(ROW(E3433:E$2)*(E3434=E3433:E$2)))))</f>
        <v> </v>
      </c>
      <c r="J3434" s="26" t="str">
        <f>IF(OR(E3434="",E3434="!!!",F3434="NEW"),"",COUNTBLANK(OFFSET(A$1,,,SUMPRODUCT(MAX(ROW(E$2:E3434)*(E3434=E$2:E3434)))))-COUNTBLANK(OFFSET(A$1,,,SUMPRODUCT(MAX(ROW(E$1:E3433)*(E2=E$1:E3433))))))</f>
        <v> </v>
      </c>
      <c r="K3434" s="26" t="str">
        <f>IF(OR(E3434="",E3434="!!!",F3434="NEW"),"",INDEX(J$1:J3433,SUMPRODUCT(MAX(ROW(E$1:E3433)*(E3434=E$1:E3433)))))</f>
        <v> </v>
      </c>
      <c r="L3434" s="27"/>
    </row>
    <row r="3435" spans="1:12">
      <c r="A3435" s="20" t="s">
        <v>1262</v>
      </c>
      <c r="B3435" s="21" t="s">
        <v>1077</v>
      </c>
      <c r="C3435" s="21" t="s">
        <v>1081</v>
      </c>
      <c r="D3435" s="21" t="s">
        <v>1074</v>
      </c>
      <c r="E3435" s="22">
        <f>IF(D3435="?OLD","!!!","")</f>
        <v/>
      </c>
      <c r="F3435" s="23" t="str">
        <f>IF(OR(E3435="",E3435="!!!"),"",IF(NOT(ISNA(VLOOKUP(E3435,E$1:E3434,1,FALSE()))),"OLD",IF(AND(E3435&lt;&gt;"",E3435&lt;&gt;"!!!"),"NEW","")))</f>
        <v> </v>
      </c>
      <c r="G3435" s="24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5" t="str">
        <f>IF(J3435&lt;&gt;1,"",IF(I3435="SBJ","CB","?"))</f>
        <v> </v>
      </c>
      <c r="I3435" s="26" t="str">
        <f>IF(OR(E3435="",E3435="!!!",F3435="NEW"),"",INDEX(B3434:B$2,-1+SUMPRODUCT(MAX(ROW(E3434:E$2)*(E3435=E3434:E$2)))))</f>
        <v> </v>
      </c>
      <c r="J3435" s="26" t="str">
        <f>IF(OR(E3435="",E3435="!!!",F3435="NEW"),"",COUNTBLANK(OFFSET(A$1,,,SUMPRODUCT(MAX(ROW(E$2:E3435)*(E3435=E$2:E3435)))))-COUNTBLANK(OFFSET(A$1,,,SUMPRODUCT(MAX(ROW(E$1:E3434)*(E2=E$1:E3434))))))</f>
        <v> </v>
      </c>
      <c r="K3435" s="26" t="str">
        <f>IF(OR(E3435="",E3435="!!!",F3435="NEW"),"",INDEX(J$1:J3434,SUMPRODUCT(MAX(ROW(E$1:E3434)*(E3435=E$1:E3434)))))</f>
        <v> </v>
      </c>
      <c r="L3435" s="27"/>
    </row>
    <row r="3436" spans="1:12">
      <c r="A3436" s="20" t="s">
        <v>1091</v>
      </c>
      <c r="E3436" s="22">
        <f>IF(D3436="?OLD","!!!","")</f>
        <v/>
      </c>
      <c r="F3436" s="23" t="str">
        <f>IF(OR(E3436="",E3436="!!!"),"",IF(NOT(ISNA(VLOOKUP(E3436,E$1:E3435,1,FALSE()))),"OLD",IF(AND(E3436&lt;&gt;"",E3436&lt;&gt;"!!!"),"NEW","")))</f>
        <v> </v>
      </c>
      <c r="G3436" s="24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5" t="str">
        <f>IF(J3436&lt;&gt;1,"",IF(I3436="SBJ","CB","?"))</f>
        <v> </v>
      </c>
      <c r="I3436" s="26" t="str">
        <f>IF(OR(E3436="",E3436="!!!",F3436="NEW"),"",INDEX(B3435:B$2,-1+SUMPRODUCT(MAX(ROW(E3435:E$2)*(E3436=E3435:E$2)))))</f>
        <v> </v>
      </c>
      <c r="J3436" s="26" t="str">
        <f>IF(OR(E3436="",E3436="!!!",F3436="NEW"),"",COUNTBLANK(OFFSET(A$1,,,SUMPRODUCT(MAX(ROW(E$2:E3436)*(E3436=E$2:E3436)))))-COUNTBLANK(OFFSET(A$1,,,SUMPRODUCT(MAX(ROW(E$1:E3435)*(E2=E$1:E3435))))))</f>
        <v> </v>
      </c>
      <c r="K3436" s="26" t="str">
        <f>IF(OR(E3436="",E3436="!!!",F3436="NEW"),"",INDEX(J$1:J3435,SUMPRODUCT(MAX(ROW(E$1:E3435)*(E3436=E$1:E3435)))))</f>
        <v> </v>
      </c>
      <c r="L3436" s="27"/>
    </row>
    <row r="3437" spans="1:12">
      <c r="A3437" s="20" t="s">
        <v>2368</v>
      </c>
      <c r="E3437" s="22">
        <f>IF(D3437="?OLD","!!!","")</f>
        <v/>
      </c>
      <c r="F3437" s="23" t="str">
        <f>IF(OR(E3437="",E3437="!!!"),"",IF(NOT(ISNA(VLOOKUP(E3437,E$1:E3436,1,FALSE()))),"OLD",IF(AND(E3437&lt;&gt;"",E3437&lt;&gt;"!!!"),"NEW","")))</f>
        <v> </v>
      </c>
      <c r="G3437" s="24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5" t="str">
        <f>IF(J3437&lt;&gt;1,"",IF(I3437="SBJ","CB","?"))</f>
        <v> </v>
      </c>
      <c r="I3437" s="26" t="str">
        <f>IF(OR(E3437="",E3437="!!!",F3437="NEW"),"",INDEX(B3436:B$2,-1+SUMPRODUCT(MAX(ROW(E3436:E$2)*(E3437=E3436:E$2)))))</f>
        <v> </v>
      </c>
      <c r="J3437" s="26" t="str">
        <f>IF(OR(E3437="",E3437="!!!",F3437="NEW"),"",COUNTBLANK(OFFSET(A$1,,,SUMPRODUCT(MAX(ROW(E$2:E3437)*(E3437=E$2:E3437)))))-COUNTBLANK(OFFSET(A$1,,,SUMPRODUCT(MAX(ROW(E$1:E3436)*(E2=E$1:E3436))))))</f>
        <v> </v>
      </c>
      <c r="K3437" s="26" t="str">
        <f>IF(OR(E3437="",E3437="!!!",F3437="NEW"),"",INDEX(J$1:J3436,SUMPRODUCT(MAX(ROW(E$1:E3436)*(E3437=E$1:E3436)))))</f>
        <v> </v>
      </c>
      <c r="L3437" s="27"/>
    </row>
    <row r="3438" spans="1:12">
      <c r="A3438" s="20" t="s">
        <v>847</v>
      </c>
      <c r="E3438" s="22">
        <f>IF(D3438="?OLD","!!!","")</f>
        <v/>
      </c>
      <c r="F3438" s="23" t="str">
        <f>IF(OR(E3438="",E3438="!!!"),"",IF(NOT(ISNA(VLOOKUP(E3438,E$1:E3437,1,FALSE()))),"OLD",IF(AND(E3438&lt;&gt;"",E3438&lt;&gt;"!!!"),"NEW","")))</f>
        <v> </v>
      </c>
      <c r="G3438" s="24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5" t="str">
        <f>IF(J3438&lt;&gt;1,"",IF(I3438="SBJ","CB","?"))</f>
        <v> </v>
      </c>
      <c r="I3438" s="26" t="str">
        <f>IF(OR(E3438="",E3438="!!!",F3438="NEW"),"",INDEX(B3437:B$2,-1+SUMPRODUCT(MAX(ROW(E3437:E$2)*(E3438=E3437:E$2)))))</f>
        <v> </v>
      </c>
      <c r="J3438" s="26" t="str">
        <f>IF(OR(E3438="",E3438="!!!",F3438="NEW"),"",COUNTBLANK(OFFSET(A$1,,,SUMPRODUCT(MAX(ROW(E$2:E3438)*(E3438=E$2:E3438)))))-COUNTBLANK(OFFSET(A$1,,,SUMPRODUCT(MAX(ROW(E$1:E3437)*(E2=E$1:E3437))))))</f>
        <v> </v>
      </c>
      <c r="K3438" s="26" t="str">
        <f>IF(OR(E3438="",E3438="!!!",F3438="NEW"),"",INDEX(J$1:J3437,SUMPRODUCT(MAX(ROW(E$1:E3437)*(E3438=E$1:E3437)))))</f>
        <v> </v>
      </c>
      <c r="L3438" s="27"/>
    </row>
    <row r="3439" spans="1:12">
      <c r="A3439" s="20" t="s">
        <v>2419</v>
      </c>
      <c r="E3439" s="22">
        <f>IF(D3439="?OLD","!!!","")</f>
        <v/>
      </c>
      <c r="F3439" s="23" t="str">
        <f>IF(OR(E3439="",E3439="!!!"),"",IF(NOT(ISNA(VLOOKUP(E3439,E$1:E3438,1,FALSE()))),"OLD",IF(AND(E3439&lt;&gt;"",E3439&lt;&gt;"!!!"),"NEW","")))</f>
        <v> </v>
      </c>
      <c r="G3439" s="24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5" t="str">
        <f>IF(J3439&lt;&gt;1,"",IF(I3439="SBJ","CB","?"))</f>
        <v> </v>
      </c>
      <c r="I3439" s="26" t="str">
        <f>IF(OR(E3439="",E3439="!!!",F3439="NEW"),"",INDEX(B3438:B$2,-1+SUMPRODUCT(MAX(ROW(E3438:E$2)*(E3439=E3438:E$2)))))</f>
        <v> </v>
      </c>
      <c r="J3439" s="26" t="str">
        <f>IF(OR(E3439="",E3439="!!!",F3439="NEW"),"",COUNTBLANK(OFFSET(A$1,,,SUMPRODUCT(MAX(ROW(E$2:E3439)*(E3439=E$2:E3439)))))-COUNTBLANK(OFFSET(A$1,,,SUMPRODUCT(MAX(ROW(E$1:E3438)*(E2=E$1:E3438))))))</f>
        <v> </v>
      </c>
      <c r="K3439" s="26" t="str">
        <f>IF(OR(E3439="",E3439="!!!",F3439="NEW"),"",INDEX(J$1:J3438,SUMPRODUCT(MAX(ROW(E$1:E3438)*(E3439=E$1:E3438)))))</f>
        <v> </v>
      </c>
      <c r="L3439" s="27"/>
    </row>
    <row r="3440" spans="1:12">
      <c r="A3440" s="20" t="s">
        <v>2420</v>
      </c>
      <c r="E3440" s="22">
        <f>IF(D3440="?OLD","!!!","")</f>
        <v/>
      </c>
      <c r="F3440" s="23" t="str">
        <f>IF(OR(E3440="",E3440="!!!"),"",IF(NOT(ISNA(VLOOKUP(E3440,E$1:E3439,1,FALSE()))),"OLD",IF(AND(E3440&lt;&gt;"",E3440&lt;&gt;"!!!"),"NEW","")))</f>
        <v> </v>
      </c>
      <c r="G3440" s="24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5" t="str">
        <f>IF(J3440&lt;&gt;1,"",IF(I3440="SBJ","CB","?"))</f>
        <v> </v>
      </c>
      <c r="I3440" s="26" t="str">
        <f>IF(OR(E3440="",E3440="!!!",F3440="NEW"),"",INDEX(B3439:B$2,-1+SUMPRODUCT(MAX(ROW(E3439:E$2)*(E3440=E3439:E$2)))))</f>
        <v> </v>
      </c>
      <c r="J3440" s="26" t="str">
        <f>IF(OR(E3440="",E3440="!!!",F3440="NEW"),"",COUNTBLANK(OFFSET(A$1,,,SUMPRODUCT(MAX(ROW(E$2:E3440)*(E3440=E$2:E3440)))))-COUNTBLANK(OFFSET(A$1,,,SUMPRODUCT(MAX(ROW(E$1:E3439)*(E2=E$1:E3439))))))</f>
        <v> </v>
      </c>
      <c r="K3440" s="26" t="str">
        <f>IF(OR(E3440="",E3440="!!!",F3440="NEW"),"",INDEX(J$1:J3439,SUMPRODUCT(MAX(ROW(E$1:E3439)*(E3440=E$1:E3439)))))</f>
        <v> </v>
      </c>
      <c r="L3440" s="27"/>
    </row>
    <row r="3441" spans="1:12">
      <c r="A3441" s="20" t="s">
        <v>1251</v>
      </c>
      <c r="E3441" s="22">
        <f>IF(D3441="?OLD","!!!","")</f>
        <v/>
      </c>
      <c r="F3441" s="23" t="str">
        <f>IF(OR(E3441="",E3441="!!!"),"",IF(NOT(ISNA(VLOOKUP(E3441,E$1:E3440,1,FALSE()))),"OLD",IF(AND(E3441&lt;&gt;"",E3441&lt;&gt;"!!!"),"NEW","")))</f>
        <v> </v>
      </c>
      <c r="G3441" s="24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5" t="str">
        <f>IF(J3441&lt;&gt;1,"",IF(I3441="SBJ","CB","?"))</f>
        <v> </v>
      </c>
      <c r="I3441" s="26" t="str">
        <f>IF(OR(E3441="",E3441="!!!",F3441="NEW"),"",INDEX(B3440:B$2,-1+SUMPRODUCT(MAX(ROW(E3440:E$2)*(E3441=E3440:E$2)))))</f>
        <v> </v>
      </c>
      <c r="J3441" s="26" t="str">
        <f>IF(OR(E3441="",E3441="!!!",F3441="NEW"),"",COUNTBLANK(OFFSET(A$1,,,SUMPRODUCT(MAX(ROW(E$2:E3441)*(E3441=E$2:E3441)))))-COUNTBLANK(OFFSET(A$1,,,SUMPRODUCT(MAX(ROW(E$1:E3440)*(E2=E$1:E3440))))))</f>
        <v> </v>
      </c>
      <c r="K3441" s="26" t="str">
        <f>IF(OR(E3441="",E3441="!!!",F3441="NEW"),"",INDEX(J$1:J3440,SUMPRODUCT(MAX(ROW(E$1:E3440)*(E3441=E$1:E3440)))))</f>
        <v> </v>
      </c>
      <c r="L3441" s="27"/>
    </row>
    <row r="3442" spans="1:12">
      <c r="A3442" s="20" t="s">
        <v>2421</v>
      </c>
      <c r="E3442" s="22">
        <f>IF(D3442="?OLD","!!!","")</f>
        <v/>
      </c>
      <c r="F3442" s="23" t="str">
        <f>IF(OR(E3442="",E3442="!!!"),"",IF(NOT(ISNA(VLOOKUP(E3442,E$1:E3441,1,FALSE()))),"OLD",IF(AND(E3442&lt;&gt;"",E3442&lt;&gt;"!!!"),"NEW","")))</f>
        <v> </v>
      </c>
      <c r="G3442" s="24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5" t="str">
        <f>IF(J3442&lt;&gt;1,"",IF(I3442="SBJ","CB","?"))</f>
        <v> </v>
      </c>
      <c r="I3442" s="26" t="str">
        <f>IF(OR(E3442="",E3442="!!!",F3442="NEW"),"",INDEX(B3441:B$2,-1+SUMPRODUCT(MAX(ROW(E3441:E$2)*(E3442=E3441:E$2)))))</f>
        <v> </v>
      </c>
      <c r="J3442" s="26" t="str">
        <f>IF(OR(E3442="",E3442="!!!",F3442="NEW"),"",COUNTBLANK(OFFSET(A$1,,,SUMPRODUCT(MAX(ROW(E$2:E3442)*(E3442=E$2:E3442)))))-COUNTBLANK(OFFSET(A$1,,,SUMPRODUCT(MAX(ROW(E$1:E3441)*(E2=E$1:E3441))))))</f>
        <v> </v>
      </c>
      <c r="K3442" s="26" t="str">
        <f>IF(OR(E3442="",E3442="!!!",F3442="NEW"),"",INDEX(J$1:J3441,SUMPRODUCT(MAX(ROW(E$1:E3441)*(E3442=E$1:E3441)))))</f>
        <v> </v>
      </c>
      <c r="L3442" s="27"/>
    </row>
    <row r="3443" spans="1:12">
      <c r="A3443" s="20" t="s">
        <v>2422</v>
      </c>
      <c r="E3443" s="22">
        <f>IF(D3443="?OLD","!!!","")</f>
        <v/>
      </c>
      <c r="F3443" s="23" t="str">
        <f>IF(OR(E3443="",E3443="!!!"),"",IF(NOT(ISNA(VLOOKUP(E3443,E$1:E3442,1,FALSE()))),"OLD",IF(AND(E3443&lt;&gt;"",E3443&lt;&gt;"!!!"),"NEW","")))</f>
        <v> </v>
      </c>
      <c r="G3443" s="24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5" t="str">
        <f>IF(J3443&lt;&gt;1,"",IF(I3443="SBJ","CB","?"))</f>
        <v> </v>
      </c>
      <c r="I3443" s="26" t="str">
        <f>IF(OR(E3443="",E3443="!!!",F3443="NEW"),"",INDEX(B3442:B$2,-1+SUMPRODUCT(MAX(ROW(E3442:E$2)*(E3443=E3442:E$2)))))</f>
        <v> </v>
      </c>
      <c r="J3443" s="26" t="str">
        <f>IF(OR(E3443="",E3443="!!!",F3443="NEW"),"",COUNTBLANK(OFFSET(A$1,,,SUMPRODUCT(MAX(ROW(E$2:E3443)*(E3443=E$2:E3443)))))-COUNTBLANK(OFFSET(A$1,,,SUMPRODUCT(MAX(ROW(E$1:E3442)*(E2=E$1:E3442))))))</f>
        <v> </v>
      </c>
      <c r="K3443" s="26" t="str">
        <f>IF(OR(E3443="",E3443="!!!",F3443="NEW"),"",INDEX(J$1:J3442,SUMPRODUCT(MAX(ROW(E$1:E3442)*(E3443=E$1:E3442)))))</f>
        <v> </v>
      </c>
      <c r="L3443" s="27"/>
    </row>
    <row r="3444" spans="1:12">
      <c r="A3444" s="20" t="s">
        <v>1106</v>
      </c>
      <c r="E3444" s="22">
        <f>IF(D3444="?OLD","!!!","")</f>
        <v/>
      </c>
      <c r="F3444" s="23" t="str">
        <f>IF(OR(E3444="",E3444="!!!"),"",IF(NOT(ISNA(VLOOKUP(E3444,E$1:E3443,1,FALSE()))),"OLD",IF(AND(E3444&lt;&gt;"",E3444&lt;&gt;"!!!"),"NEW","")))</f>
        <v> </v>
      </c>
      <c r="G3444" s="24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5" t="str">
        <f>IF(J3444&lt;&gt;1,"",IF(I3444="SBJ","CB","?"))</f>
        <v> </v>
      </c>
      <c r="I3444" s="26" t="str">
        <f>IF(OR(E3444="",E3444="!!!",F3444="NEW"),"",INDEX(B3443:B$2,-1+SUMPRODUCT(MAX(ROW(E3443:E$2)*(E3444=E3443:E$2)))))</f>
        <v> </v>
      </c>
      <c r="J3444" s="26" t="str">
        <f>IF(OR(E3444="",E3444="!!!",F3444="NEW"),"",COUNTBLANK(OFFSET(A$1,,,SUMPRODUCT(MAX(ROW(E$2:E3444)*(E3444=E$2:E3444)))))-COUNTBLANK(OFFSET(A$1,,,SUMPRODUCT(MAX(ROW(E$1:E3443)*(E2=E$1:E3443))))))</f>
        <v> </v>
      </c>
      <c r="K3444" s="26" t="str">
        <f>IF(OR(E3444="",E3444="!!!",F3444="NEW"),"",INDEX(J$1:J3443,SUMPRODUCT(MAX(ROW(E$1:E3443)*(E3444=E$1:E3443)))))</f>
        <v> </v>
      </c>
      <c r="L3444" s="27"/>
    </row>
    <row r="3445" spans="1:12">
      <c r="A3445" s="20"/>
    </row>
    <row r="3446" spans="1:12">
      <c r="A3446" s="20" t="s">
        <v>2423</v>
      </c>
    </row>
    <row r="3447" spans="1:12">
      <c r="A3447" s="20" t="s">
        <v>661</v>
      </c>
      <c r="E3447" s="22">
        <f>IF(D3447="?OLD","!!!","")</f>
        <v/>
      </c>
      <c r="F3447" s="23" t="str">
        <f>IF(OR(E3447="",E3447="!!!"),"",IF(NOT(ISNA(VLOOKUP(E3447,E$1:E3446,1,FALSE()))),"OLD",IF(AND(E3447&lt;&gt;"",E3447&lt;&gt;"!!!"),"NEW","")))</f>
        <v> </v>
      </c>
      <c r="G3447" s="24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5" t="str">
        <f>IF(J3447&lt;&gt;1,"",IF(I3447="SBJ","CB","?"))</f>
        <v> </v>
      </c>
      <c r="I3447" s="26" t="str">
        <f>IF(OR(E3447="",E3447="!!!",F3447="NEW"),"",INDEX(B3446:B$2,-1+SUMPRODUCT(MAX(ROW(E3446:E$2)*(E3447=E3446:E$2)))))</f>
        <v> </v>
      </c>
      <c r="J3447" s="26" t="str">
        <f>IF(OR(E3447="",E3447="!!!",F3447="NEW"),"",COUNTBLANK(OFFSET(A$1,,,SUMPRODUCT(MAX(ROW(E$2:E3447)*(E3447=E$2:E3447)))))-COUNTBLANK(OFFSET(A$1,,,SUMPRODUCT(MAX(ROW(E$1:E3446)*(E2=E$1:E3446))))))</f>
        <v> </v>
      </c>
      <c r="K3447" s="26" t="str">
        <f>IF(OR(E3447="",E3447="!!!",F3447="NEW"),"",INDEX(J$1:J3446,SUMPRODUCT(MAX(ROW(E$1:E3446)*(E3447=E$1:E3446)))))</f>
        <v> </v>
      </c>
      <c r="L3447" s="27"/>
    </row>
    <row r="3448" spans="1:12">
      <c r="A3448" s="20" t="s">
        <v>1076</v>
      </c>
      <c r="E3448" s="22">
        <f>IF(D3448="?OLD","!!!","")</f>
        <v/>
      </c>
      <c r="F3448" s="23" t="str">
        <f>IF(OR(E3448="",E3448="!!!"),"",IF(NOT(ISNA(VLOOKUP(E3448,E$1:E3447,1,FALSE()))),"OLD",IF(AND(E3448&lt;&gt;"",E3448&lt;&gt;"!!!"),"NEW","")))</f>
        <v> </v>
      </c>
      <c r="G3448" s="24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5" t="str">
        <f>IF(J3448&lt;&gt;1,"",IF(I3448="SBJ","CB","?"))</f>
        <v> </v>
      </c>
      <c r="I3448" s="26" t="str">
        <f>IF(OR(E3448="",E3448="!!!",F3448="NEW"),"",INDEX(B3447:B$2,-1+SUMPRODUCT(MAX(ROW(E3447:E$2)*(E3448=E3447:E$2)))))</f>
        <v> </v>
      </c>
      <c r="J3448" s="26" t="str">
        <f>IF(OR(E3448="",E3448="!!!",F3448="NEW"),"",COUNTBLANK(OFFSET(A$1,,,SUMPRODUCT(MAX(ROW(E$2:E3448)*(E3448=E$2:E3448)))))-COUNTBLANK(OFFSET(A$1,,,SUMPRODUCT(MAX(ROW(E$1:E3447)*(E2=E$1:E3447))))))</f>
        <v> </v>
      </c>
      <c r="K3448" s="26" t="str">
        <f>IF(OR(E3448="",E3448="!!!",F3448="NEW"),"",INDEX(J$1:J3447,SUMPRODUCT(MAX(ROW(E$1:E3447)*(E3448=E$1:E3447)))))</f>
        <v> </v>
      </c>
      <c r="L3448" s="27"/>
    </row>
    <row r="3449" spans="1:12">
      <c r="A3449" s="20" t="s">
        <v>1614</v>
      </c>
      <c r="E3449" s="22">
        <f>IF(D3449="?OLD","!!!","")</f>
        <v/>
      </c>
      <c r="F3449" s="23" t="str">
        <f>IF(OR(E3449="",E3449="!!!"),"",IF(NOT(ISNA(VLOOKUP(E3449,E$1:E3448,1,FALSE()))),"OLD",IF(AND(E3449&lt;&gt;"",E3449&lt;&gt;"!!!"),"NEW","")))</f>
        <v> </v>
      </c>
      <c r="G3449" s="24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5" t="str">
        <f>IF(J3449&lt;&gt;1,"",IF(I3449="SBJ","CB","?"))</f>
        <v> </v>
      </c>
      <c r="I3449" s="26" t="str">
        <f>IF(OR(E3449="",E3449="!!!",F3449="NEW"),"",INDEX(B3448:B$2,-1+SUMPRODUCT(MAX(ROW(E3448:E$2)*(E3449=E3448:E$2)))))</f>
        <v> </v>
      </c>
      <c r="J3449" s="26" t="str">
        <f>IF(OR(E3449="",E3449="!!!",F3449="NEW"),"",COUNTBLANK(OFFSET(A$1,,,SUMPRODUCT(MAX(ROW(E$2:E3449)*(E3449=E$2:E3449)))))-COUNTBLANK(OFFSET(A$1,,,SUMPRODUCT(MAX(ROW(E$1:E3448)*(E2=E$1:E3448))))))</f>
        <v> </v>
      </c>
      <c r="K3449" s="26" t="str">
        <f>IF(OR(E3449="",E3449="!!!",F3449="NEW"),"",INDEX(J$1:J3448,SUMPRODUCT(MAX(ROW(E$1:E3448)*(E3449=E$1:E3448)))))</f>
        <v> </v>
      </c>
      <c r="L3449" s="27"/>
    </row>
    <row r="3450" spans="1:12">
      <c r="A3450" s="20" t="s">
        <v>1085</v>
      </c>
      <c r="E3450" s="22">
        <f>IF(D3450="?OLD","!!!","")</f>
        <v/>
      </c>
      <c r="F3450" s="23" t="str">
        <f>IF(OR(E3450="",E3450="!!!"),"",IF(NOT(ISNA(VLOOKUP(E3450,E$1:E3449,1,FALSE()))),"OLD",IF(AND(E3450&lt;&gt;"",E3450&lt;&gt;"!!!"),"NEW","")))</f>
        <v> </v>
      </c>
      <c r="G3450" s="24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5" t="str">
        <f>IF(J3450&lt;&gt;1,"",IF(I3450="SBJ","CB","?"))</f>
        <v> </v>
      </c>
      <c r="I3450" s="26" t="str">
        <f>IF(OR(E3450="",E3450="!!!",F3450="NEW"),"",INDEX(B3449:B$2,-1+SUMPRODUCT(MAX(ROW(E3449:E$2)*(E3450=E3449:E$2)))))</f>
        <v> </v>
      </c>
      <c r="J3450" s="26" t="str">
        <f>IF(OR(E3450="",E3450="!!!",F3450="NEW"),"",COUNTBLANK(OFFSET(A$1,,,SUMPRODUCT(MAX(ROW(E$2:E3450)*(E3450=E$2:E3450)))))-COUNTBLANK(OFFSET(A$1,,,SUMPRODUCT(MAX(ROW(E$1:E3449)*(E2=E$1:E3449))))))</f>
        <v> </v>
      </c>
      <c r="K3450" s="26" t="str">
        <f>IF(OR(E3450="",E3450="!!!",F3450="NEW"),"",INDEX(J$1:J3449,SUMPRODUCT(MAX(ROW(E$1:E3449)*(E3450=E$1:E3449)))))</f>
        <v> </v>
      </c>
      <c r="L3450" s="27"/>
    </row>
    <row r="3451" spans="1:12">
      <c r="A3451" s="20" t="s">
        <v>1235</v>
      </c>
      <c r="E3451" s="22">
        <f>IF(D3451="?OLD","!!!","")</f>
        <v/>
      </c>
      <c r="F3451" s="23" t="str">
        <f>IF(OR(E3451="",E3451="!!!"),"",IF(NOT(ISNA(VLOOKUP(E3451,E$1:E3450,1,FALSE()))),"OLD",IF(AND(E3451&lt;&gt;"",E3451&lt;&gt;"!!!"),"NEW","")))</f>
        <v> </v>
      </c>
      <c r="G3451" s="24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5" t="str">
        <f>IF(J3451&lt;&gt;1,"",IF(I3451="SBJ","CB","?"))</f>
        <v> </v>
      </c>
      <c r="I3451" s="26" t="str">
        <f>IF(OR(E3451="",E3451="!!!",F3451="NEW"),"",INDEX(B3450:B$2,-1+SUMPRODUCT(MAX(ROW(E3450:E$2)*(E3451=E3450:E$2)))))</f>
        <v> </v>
      </c>
      <c r="J3451" s="26" t="str">
        <f>IF(OR(E3451="",E3451="!!!",F3451="NEW"),"",COUNTBLANK(OFFSET(A$1,,,SUMPRODUCT(MAX(ROW(E$2:E3451)*(E3451=E$2:E3451)))))-COUNTBLANK(OFFSET(A$1,,,SUMPRODUCT(MAX(ROW(E$1:E3450)*(E2=E$1:E3450))))))</f>
        <v> </v>
      </c>
      <c r="K3451" s="26" t="str">
        <f>IF(OR(E3451="",E3451="!!!",F3451="NEW"),"",INDEX(J$1:J3450,SUMPRODUCT(MAX(ROW(E$1:E3450)*(E3451=E$1:E3450)))))</f>
        <v> </v>
      </c>
      <c r="L3451" s="27"/>
    </row>
    <row r="3452" spans="1:12">
      <c r="A3452" s="20" t="s">
        <v>1085</v>
      </c>
      <c r="E3452" s="22">
        <f>IF(D3452="?OLD","!!!","")</f>
        <v/>
      </c>
      <c r="F3452" s="23" t="str">
        <f>IF(OR(E3452="",E3452="!!!"),"",IF(NOT(ISNA(VLOOKUP(E3452,E$1:E3451,1,FALSE()))),"OLD",IF(AND(E3452&lt;&gt;"",E3452&lt;&gt;"!!!"),"NEW","")))</f>
        <v> </v>
      </c>
      <c r="G3452" s="24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5" t="str">
        <f>IF(J3452&lt;&gt;1,"",IF(I3452="SBJ","CB","?"))</f>
        <v> </v>
      </c>
      <c r="I3452" s="26" t="str">
        <f>IF(OR(E3452="",E3452="!!!",F3452="NEW"),"",INDEX(B3451:B$2,-1+SUMPRODUCT(MAX(ROW(E3451:E$2)*(E3452=E3451:E$2)))))</f>
        <v> </v>
      </c>
      <c r="J3452" s="26" t="str">
        <f>IF(OR(E3452="",E3452="!!!",F3452="NEW"),"",COUNTBLANK(OFFSET(A$1,,,SUMPRODUCT(MAX(ROW(E$2:E3452)*(E3452=E$2:E3452)))))-COUNTBLANK(OFFSET(A$1,,,SUMPRODUCT(MAX(ROW(E$1:E3451)*(E2=E$1:E3451))))))</f>
        <v> </v>
      </c>
      <c r="K3452" s="26" t="str">
        <f>IF(OR(E3452="",E3452="!!!",F3452="NEW"),"",INDEX(J$1:J3451,SUMPRODUCT(MAX(ROW(E$1:E3451)*(E3452=E$1:E3451)))))</f>
        <v> </v>
      </c>
      <c r="L3452" s="27"/>
    </row>
    <row r="3453" spans="1:12">
      <c r="A3453" s="20" t="s">
        <v>1086</v>
      </c>
      <c r="E3453" s="22">
        <f>IF(D3453="?OLD","!!!","")</f>
        <v/>
      </c>
      <c r="F3453" s="23" t="str">
        <f>IF(OR(E3453="",E3453="!!!"),"",IF(NOT(ISNA(VLOOKUP(E3453,E$1:E3452,1,FALSE()))),"OLD",IF(AND(E3453&lt;&gt;"",E3453&lt;&gt;"!!!"),"NEW","")))</f>
        <v> </v>
      </c>
      <c r="G3453" s="24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5" t="str">
        <f>IF(J3453&lt;&gt;1,"",IF(I3453="SBJ","CB","?"))</f>
        <v> </v>
      </c>
      <c r="I3453" s="26" t="str">
        <f>IF(OR(E3453="",E3453="!!!",F3453="NEW"),"",INDEX(B3452:B$2,-1+SUMPRODUCT(MAX(ROW(E3452:E$2)*(E3453=E3452:E$2)))))</f>
        <v> </v>
      </c>
      <c r="J3453" s="26" t="str">
        <f>IF(OR(E3453="",E3453="!!!",F3453="NEW"),"",COUNTBLANK(OFFSET(A$1,,,SUMPRODUCT(MAX(ROW(E$2:E3453)*(E3453=E$2:E3453)))))-COUNTBLANK(OFFSET(A$1,,,SUMPRODUCT(MAX(ROW(E$1:E3452)*(E2=E$1:E3452))))))</f>
        <v> </v>
      </c>
      <c r="K3453" s="26" t="str">
        <f>IF(OR(E3453="",E3453="!!!",F3453="NEW"),"",INDEX(J$1:J3452,SUMPRODUCT(MAX(ROW(E$1:E3452)*(E3453=E$1:E3452)))))</f>
        <v> </v>
      </c>
      <c r="L3453" s="27"/>
    </row>
    <row r="3454" spans="1:12">
      <c r="A3454" s="20" t="s">
        <v>2325</v>
      </c>
      <c r="B3454" s="21" t="s">
        <v>1119</v>
      </c>
      <c r="E3454" s="22">
        <f>IF(D3454="?OLD","!!!","")</f>
        <v/>
      </c>
      <c r="F3454" s="23" t="str">
        <f>IF(OR(E3454="",E3454="!!!"),"",IF(NOT(ISNA(VLOOKUP(E3454,E$1:E3453,1,FALSE()))),"OLD",IF(AND(E3454&lt;&gt;"",E3454&lt;&gt;"!!!"),"NEW","")))</f>
        <v> </v>
      </c>
      <c r="G3454" s="24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5" t="str">
        <f>IF(J3454&lt;&gt;1,"",IF(I3454="SBJ","CB","?"))</f>
        <v> </v>
      </c>
      <c r="I3454" s="26" t="str">
        <f>IF(OR(E3454="",E3454="!!!",F3454="NEW"),"",INDEX(B3453:B$2,-1+SUMPRODUCT(MAX(ROW(E3453:E$2)*(E3454=E3453:E$2)))))</f>
        <v> </v>
      </c>
      <c r="J3454" s="26" t="str">
        <f>IF(OR(E3454="",E3454="!!!",F3454="NEW"),"",COUNTBLANK(OFFSET(A$1,,,SUMPRODUCT(MAX(ROW(E$2:E3454)*(E3454=E$2:E3454)))))-COUNTBLANK(OFFSET(A$1,,,SUMPRODUCT(MAX(ROW(E$1:E3453)*(E2=E$1:E3453))))))</f>
        <v> </v>
      </c>
      <c r="K3454" s="26" t="str">
        <f>IF(OR(E3454="",E3454="!!!",F3454="NEW"),"",INDEX(J$1:J3453,SUMPRODUCT(MAX(ROW(E$1:E3453)*(E3454=E$1:E3453)))))</f>
        <v> </v>
      </c>
      <c r="L3454" s="27"/>
    </row>
    <row r="3455" spans="1:12">
      <c r="A3455" s="20" t="s">
        <v>2424</v>
      </c>
      <c r="E3455" s="22">
        <f>IF(D3455="?OLD","!!!","")</f>
        <v/>
      </c>
      <c r="F3455" s="23" t="str">
        <f>IF(OR(E3455="",E3455="!!!"),"",IF(NOT(ISNA(VLOOKUP(E3455,E$1:E3454,1,FALSE()))),"OLD",IF(AND(E3455&lt;&gt;"",E3455&lt;&gt;"!!!"),"NEW","")))</f>
        <v> </v>
      </c>
      <c r="G3455" s="24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5" t="str">
        <f>IF(J3455&lt;&gt;1,"",IF(I3455="SBJ","CB","?"))</f>
        <v> </v>
      </c>
      <c r="I3455" s="26" t="str">
        <f>IF(OR(E3455="",E3455="!!!",F3455="NEW"),"",INDEX(B3454:B$2,-1+SUMPRODUCT(MAX(ROW(E3454:E$2)*(E3455=E3454:E$2)))))</f>
        <v> </v>
      </c>
      <c r="J3455" s="26" t="str">
        <f>IF(OR(E3455="",E3455="!!!",F3455="NEW"),"",COUNTBLANK(OFFSET(A$1,,,SUMPRODUCT(MAX(ROW(E$2:E3455)*(E3455=E$2:E3455)))))-COUNTBLANK(OFFSET(A$1,,,SUMPRODUCT(MAX(ROW(E$1:E3454)*(E2=E$1:E3454))))))</f>
        <v> </v>
      </c>
      <c r="K3455" s="26" t="str">
        <f>IF(OR(E3455="",E3455="!!!",F3455="NEW"),"",INDEX(J$1:J3454,SUMPRODUCT(MAX(ROW(E$1:E3454)*(E3455=E$1:E3454)))))</f>
        <v> </v>
      </c>
      <c r="L3455" s="27"/>
    </row>
    <row r="3456" spans="1:12">
      <c r="A3456" s="20" t="s">
        <v>1085</v>
      </c>
      <c r="E3456" s="22">
        <f>IF(D3456="?OLD","!!!","")</f>
        <v/>
      </c>
      <c r="F3456" s="23" t="str">
        <f>IF(OR(E3456="",E3456="!!!"),"",IF(NOT(ISNA(VLOOKUP(E3456,E$1:E3455,1,FALSE()))),"OLD",IF(AND(E3456&lt;&gt;"",E3456&lt;&gt;"!!!"),"NEW","")))</f>
        <v> </v>
      </c>
      <c r="G3456" s="24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5" t="str">
        <f>IF(J3456&lt;&gt;1,"",IF(I3456="SBJ","CB","?"))</f>
        <v> </v>
      </c>
      <c r="I3456" s="26" t="str">
        <f>IF(OR(E3456="",E3456="!!!",F3456="NEW"),"",INDEX(B3455:B$2,-1+SUMPRODUCT(MAX(ROW(E3455:E$2)*(E3456=E3455:E$2)))))</f>
        <v> </v>
      </c>
      <c r="J3456" s="26" t="str">
        <f>IF(OR(E3456="",E3456="!!!",F3456="NEW"),"",COUNTBLANK(OFFSET(A$1,,,SUMPRODUCT(MAX(ROW(E$2:E3456)*(E3456=E$2:E3456)))))-COUNTBLANK(OFFSET(A$1,,,SUMPRODUCT(MAX(ROW(E$1:E3455)*(E2=E$1:E3455))))))</f>
        <v> </v>
      </c>
      <c r="K3456" s="26" t="str">
        <f>IF(OR(E3456="",E3456="!!!",F3456="NEW"),"",INDEX(J$1:J3455,SUMPRODUCT(MAX(ROW(E$1:E3455)*(E3456=E$1:E3455)))))</f>
        <v> </v>
      </c>
      <c r="L3456" s="27"/>
    </row>
    <row r="3457" spans="1:12">
      <c r="A3457" s="20" t="s">
        <v>1138</v>
      </c>
      <c r="E3457" s="22">
        <f>IF(D3457="?OLD","!!!","")</f>
        <v/>
      </c>
      <c r="F3457" s="23" t="str">
        <f>IF(OR(E3457="",E3457="!!!"),"",IF(NOT(ISNA(VLOOKUP(E3457,E$1:E3456,1,FALSE()))),"OLD",IF(AND(E3457&lt;&gt;"",E3457&lt;&gt;"!!!"),"NEW","")))</f>
        <v> </v>
      </c>
      <c r="G3457" s="24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5" t="str">
        <f>IF(J3457&lt;&gt;1,"",IF(I3457="SBJ","CB","?"))</f>
        <v> </v>
      </c>
      <c r="I3457" s="26" t="str">
        <f>IF(OR(E3457="",E3457="!!!",F3457="NEW"),"",INDEX(B3456:B$2,-1+SUMPRODUCT(MAX(ROW(E3456:E$2)*(E3457=E3456:E$2)))))</f>
        <v> </v>
      </c>
      <c r="J3457" s="26" t="str">
        <f>IF(OR(E3457="",E3457="!!!",F3457="NEW"),"",COUNTBLANK(OFFSET(A$1,,,SUMPRODUCT(MAX(ROW(E$2:E3457)*(E3457=E$2:E3457)))))-COUNTBLANK(OFFSET(A$1,,,SUMPRODUCT(MAX(ROW(E$1:E3456)*(E2=E$1:E3456))))))</f>
        <v> </v>
      </c>
      <c r="K3457" s="26" t="str">
        <f>IF(OR(E3457="",E3457="!!!",F3457="NEW"),"",INDEX(J$1:J3456,SUMPRODUCT(MAX(ROW(E$1:E3456)*(E3457=E$1:E3456)))))</f>
        <v> </v>
      </c>
      <c r="L3457" s="27"/>
    </row>
    <row r="3458" spans="1:12">
      <c r="A3458" s="20" t="s">
        <v>2072</v>
      </c>
      <c r="B3458" s="21" t="s">
        <v>1293</v>
      </c>
      <c r="C3458" s="21" t="s">
        <v>1181</v>
      </c>
      <c r="E3458" s="22">
        <f>IF(D3458="?OLD","!!!","")</f>
        <v/>
      </c>
      <c r="F3458" s="23" t="str">
        <f>IF(OR(E3458="",E3458="!!!"),"",IF(NOT(ISNA(VLOOKUP(E3458,E$1:E3457,1,FALSE()))),"OLD",IF(AND(E3458&lt;&gt;"",E3458&lt;&gt;"!!!"),"NEW","")))</f>
        <v> </v>
      </c>
      <c r="G3458" s="24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5" t="str">
        <f>IF(J3458&lt;&gt;1,"",IF(I3458="SBJ","CB","?"))</f>
        <v> </v>
      </c>
      <c r="I3458" s="26" t="str">
        <f>IF(OR(E3458="",E3458="!!!",F3458="NEW"),"",INDEX(B3457:B$2,-1+SUMPRODUCT(MAX(ROW(E3457:E$2)*(E3458=E3457:E$2)))))</f>
        <v> </v>
      </c>
      <c r="J3458" s="26" t="str">
        <f>IF(OR(E3458="",E3458="!!!",F3458="NEW"),"",COUNTBLANK(OFFSET(A$1,,,SUMPRODUCT(MAX(ROW(E$2:E3458)*(E3458=E$2:E3458)))))-COUNTBLANK(OFFSET(A$1,,,SUMPRODUCT(MAX(ROW(E$1:E3457)*(E2=E$1:E3457))))))</f>
        <v> </v>
      </c>
      <c r="K3458" s="26" t="str">
        <f>IF(OR(E3458="",E3458="!!!",F3458="NEW"),"",INDEX(J$1:J3457,SUMPRODUCT(MAX(ROW(E$1:E3457)*(E3458=E$1:E3457)))))</f>
        <v> </v>
      </c>
      <c r="L3458" s="27"/>
    </row>
    <row r="3459" spans="1:12">
      <c r="A3459" s="20" t="s">
        <v>1087</v>
      </c>
      <c r="B3459" s="21" t="s">
        <v>1291</v>
      </c>
      <c r="C3459" s="21" t="s">
        <v>1081</v>
      </c>
      <c r="D3459" s="21" t="s">
        <v>1074</v>
      </c>
      <c r="E3459" s="22">
        <f>IF(D3459="?OLD","!!!","")</f>
        <v/>
      </c>
      <c r="F3459" s="23" t="str">
        <f>IF(OR(E3459="",E3459="!!!"),"",IF(NOT(ISNA(VLOOKUP(E3459,E$1:E3458,1,FALSE()))),"OLD",IF(AND(E3459&lt;&gt;"",E3459&lt;&gt;"!!!"),"NEW","")))</f>
        <v> </v>
      </c>
      <c r="G3459" s="24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5" t="str">
        <f>IF(J3459&lt;&gt;1,"",IF(I3459="SBJ","CB","?"))</f>
        <v> </v>
      </c>
      <c r="I3459" s="26" t="str">
        <f>IF(OR(E3459="",E3459="!!!",F3459="NEW"),"",INDEX(B3458:B$2,-1+SUMPRODUCT(MAX(ROW(E3458:E$2)*(E3459=E3458:E$2)))))</f>
        <v> </v>
      </c>
      <c r="J3459" s="26" t="str">
        <f>IF(OR(E3459="",E3459="!!!",F3459="NEW"),"",COUNTBLANK(OFFSET(A$1,,,SUMPRODUCT(MAX(ROW(E$2:E3459)*(E3459=E$2:E3459)))))-COUNTBLANK(OFFSET(A$1,,,SUMPRODUCT(MAX(ROW(E$1:E3458)*(E2=E$1:E3458))))))</f>
        <v> </v>
      </c>
      <c r="K3459" s="26" t="str">
        <f>IF(OR(E3459="",E3459="!!!",F3459="NEW"),"",INDEX(J$1:J3458,SUMPRODUCT(MAX(ROW(E$1:E3458)*(E3459=E$1:E3458)))))</f>
        <v> </v>
      </c>
      <c r="L3459" s="27"/>
    </row>
    <row r="3460" spans="1:12">
      <c r="A3460" s="20" t="s">
        <v>2425</v>
      </c>
      <c r="E3460" s="22">
        <f>IF(D3460="?OLD","!!!","")</f>
        <v/>
      </c>
      <c r="F3460" s="23" t="str">
        <f>IF(OR(E3460="",E3460="!!!"),"",IF(NOT(ISNA(VLOOKUP(E3460,E$1:E3459,1,FALSE()))),"OLD",IF(AND(E3460&lt;&gt;"",E3460&lt;&gt;"!!!"),"NEW","")))</f>
        <v> </v>
      </c>
      <c r="G3460" s="24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5" t="str">
        <f>IF(J3460&lt;&gt;1,"",IF(I3460="SBJ","CB","?"))</f>
        <v> </v>
      </c>
      <c r="I3460" s="26" t="str">
        <f>IF(OR(E3460="",E3460="!!!",F3460="NEW"),"",INDEX(B3459:B$2,-1+SUMPRODUCT(MAX(ROW(E3459:E$2)*(E3460=E3459:E$2)))))</f>
        <v> </v>
      </c>
      <c r="J3460" s="26" t="str">
        <f>IF(OR(E3460="",E3460="!!!",F3460="NEW"),"",COUNTBLANK(OFFSET(A$1,,,SUMPRODUCT(MAX(ROW(E$2:E3460)*(E3460=E$2:E3460)))))-COUNTBLANK(OFFSET(A$1,,,SUMPRODUCT(MAX(ROW(E$1:E3459)*(E2=E$1:E3459))))))</f>
        <v> </v>
      </c>
      <c r="K3460" s="26" t="str">
        <f>IF(OR(E3460="",E3460="!!!",F3460="NEW"),"",INDEX(J$1:J3459,SUMPRODUCT(MAX(ROW(E$1:E3459)*(E3460=E$1:E3459)))))</f>
        <v> </v>
      </c>
      <c r="L3460" s="27"/>
    </row>
    <row r="3461" spans="1:12">
      <c r="A3461" s="20" t="s">
        <v>1085</v>
      </c>
      <c r="E3461" s="22">
        <f>IF(D3461="?OLD","!!!","")</f>
        <v/>
      </c>
      <c r="F3461" s="23" t="str">
        <f>IF(OR(E3461="",E3461="!!!"),"",IF(NOT(ISNA(VLOOKUP(E3461,E$1:E3460,1,FALSE()))),"OLD",IF(AND(E3461&lt;&gt;"",E3461&lt;&gt;"!!!"),"NEW","")))</f>
        <v> </v>
      </c>
      <c r="G3461" s="24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5" t="str">
        <f>IF(J3461&lt;&gt;1,"",IF(I3461="SBJ","CB","?"))</f>
        <v> </v>
      </c>
      <c r="I3461" s="26" t="str">
        <f>IF(OR(E3461="",E3461="!!!",F3461="NEW"),"",INDEX(B3460:B$2,-1+SUMPRODUCT(MAX(ROW(E3460:E$2)*(E3461=E3460:E$2)))))</f>
        <v> </v>
      </c>
      <c r="J3461" s="26" t="str">
        <f>IF(OR(E3461="",E3461="!!!",F3461="NEW"),"",COUNTBLANK(OFFSET(A$1,,,SUMPRODUCT(MAX(ROW(E$2:E3461)*(E3461=E$2:E3461)))))-COUNTBLANK(OFFSET(A$1,,,SUMPRODUCT(MAX(ROW(E$1:E3460)*(E2=E$1:E3460))))))</f>
        <v> </v>
      </c>
      <c r="K3461" s="26" t="str">
        <f>IF(OR(E3461="",E3461="!!!",F3461="NEW"),"",INDEX(J$1:J3460,SUMPRODUCT(MAX(ROW(E$1:E3460)*(E3461=E$1:E3460)))))</f>
        <v> </v>
      </c>
      <c r="L3461" s="27"/>
    </row>
    <row r="3462" spans="1:12">
      <c r="A3462" s="20" t="s">
        <v>1325</v>
      </c>
      <c r="E3462" s="22">
        <f>IF(D3462="?OLD","!!!","")</f>
        <v/>
      </c>
      <c r="F3462" s="23" t="str">
        <f>IF(OR(E3462="",E3462="!!!"),"",IF(NOT(ISNA(VLOOKUP(E3462,E$1:E3461,1,FALSE()))),"OLD",IF(AND(E3462&lt;&gt;"",E3462&lt;&gt;"!!!"),"NEW","")))</f>
        <v> </v>
      </c>
      <c r="G3462" s="24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5" t="str">
        <f>IF(J3462&lt;&gt;1,"",IF(I3462="SBJ","CB","?"))</f>
        <v> </v>
      </c>
      <c r="I3462" s="26" t="str">
        <f>IF(OR(E3462="",E3462="!!!",F3462="NEW"),"",INDEX(B3461:B$2,-1+SUMPRODUCT(MAX(ROW(E3461:E$2)*(E3462=E3461:E$2)))))</f>
        <v> </v>
      </c>
      <c r="J3462" s="26" t="str">
        <f>IF(OR(E3462="",E3462="!!!",F3462="NEW"),"",COUNTBLANK(OFFSET(A$1,,,SUMPRODUCT(MAX(ROW(E$2:E3462)*(E3462=E$2:E3462)))))-COUNTBLANK(OFFSET(A$1,,,SUMPRODUCT(MAX(ROW(E$1:E3461)*(E2=E$1:E3461))))))</f>
        <v> </v>
      </c>
      <c r="K3462" s="26" t="str">
        <f>IF(OR(E3462="",E3462="!!!",F3462="NEW"),"",INDEX(J$1:J3461,SUMPRODUCT(MAX(ROW(E$1:E3461)*(E3462=E$1:E3461)))))</f>
        <v> </v>
      </c>
      <c r="L3462" s="27"/>
    </row>
    <row r="3463" spans="1:12">
      <c r="A3463" s="20" t="s">
        <v>1945</v>
      </c>
      <c r="E3463" s="22">
        <f>IF(D3463="?OLD","!!!","")</f>
        <v/>
      </c>
      <c r="F3463" s="23" t="str">
        <f>IF(OR(E3463="",E3463="!!!"),"",IF(NOT(ISNA(VLOOKUP(E3463,E$1:E3462,1,FALSE()))),"OLD",IF(AND(E3463&lt;&gt;"",E3463&lt;&gt;"!!!"),"NEW","")))</f>
        <v> </v>
      </c>
      <c r="G3463" s="24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5" t="str">
        <f>IF(J3463&lt;&gt;1,"",IF(I3463="SBJ","CB","?"))</f>
        <v> </v>
      </c>
      <c r="I3463" s="26" t="str">
        <f>IF(OR(E3463="",E3463="!!!",F3463="NEW"),"",INDEX(B3462:B$2,-1+SUMPRODUCT(MAX(ROW(E3462:E$2)*(E3463=E3462:E$2)))))</f>
        <v> </v>
      </c>
      <c r="J3463" s="26" t="str">
        <f>IF(OR(E3463="",E3463="!!!",F3463="NEW"),"",COUNTBLANK(OFFSET(A$1,,,SUMPRODUCT(MAX(ROW(E$2:E3463)*(E3463=E$2:E3463)))))-COUNTBLANK(OFFSET(A$1,,,SUMPRODUCT(MAX(ROW(E$1:E3462)*(E2=E$1:E3462))))))</f>
        <v> </v>
      </c>
      <c r="K3463" s="26" t="str">
        <f>IF(OR(E3463="",E3463="!!!",F3463="NEW"),"",INDEX(J$1:J3462,SUMPRODUCT(MAX(ROW(E$1:E3462)*(E3463=E$1:E3462)))))</f>
        <v> </v>
      </c>
      <c r="L3463" s="27"/>
    </row>
    <row r="3464" spans="1:12">
      <c r="A3464" s="20" t="s">
        <v>1085</v>
      </c>
      <c r="E3464" s="22">
        <f>IF(D3464="?OLD","!!!","")</f>
        <v/>
      </c>
      <c r="F3464" s="23" t="str">
        <f>IF(OR(E3464="",E3464="!!!"),"",IF(NOT(ISNA(VLOOKUP(E3464,E$1:E3463,1,FALSE()))),"OLD",IF(AND(E3464&lt;&gt;"",E3464&lt;&gt;"!!!"),"NEW","")))</f>
        <v> </v>
      </c>
      <c r="G3464" s="24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5" t="str">
        <f>IF(J3464&lt;&gt;1,"",IF(I3464="SBJ","CB","?"))</f>
        <v> </v>
      </c>
      <c r="I3464" s="26" t="str">
        <f>IF(OR(E3464="",E3464="!!!",F3464="NEW"),"",INDEX(B3463:B$2,-1+SUMPRODUCT(MAX(ROW(E3463:E$2)*(E3464=E3463:E$2)))))</f>
        <v> </v>
      </c>
      <c r="J3464" s="26" t="str">
        <f>IF(OR(E3464="",E3464="!!!",F3464="NEW"),"",COUNTBLANK(OFFSET(A$1,,,SUMPRODUCT(MAX(ROW(E$2:E3464)*(E3464=E$2:E3464)))))-COUNTBLANK(OFFSET(A$1,,,SUMPRODUCT(MAX(ROW(E$1:E3463)*(E2=E$1:E3463))))))</f>
        <v> </v>
      </c>
      <c r="K3464" s="26" t="str">
        <f>IF(OR(E3464="",E3464="!!!",F3464="NEW"),"",INDEX(J$1:J3463,SUMPRODUCT(MAX(ROW(E$1:E3463)*(E3464=E$1:E3463)))))</f>
        <v> </v>
      </c>
      <c r="L3464" s="27"/>
    </row>
    <row r="3465" spans="1:12">
      <c r="A3465" s="20" t="s">
        <v>911</v>
      </c>
      <c r="B3465" s="21" t="s">
        <v>1088</v>
      </c>
      <c r="C3465" s="21" t="s">
        <v>1081</v>
      </c>
      <c r="D3465" s="21" t="s">
        <v>1074</v>
      </c>
      <c r="E3465" s="22">
        <f>IF(D3465="?OLD","!!!","")</f>
        <v/>
      </c>
      <c r="F3465" s="23" t="str">
        <f>IF(OR(E3465="",E3465="!!!"),"",IF(NOT(ISNA(VLOOKUP(E3465,E$1:E3464,1,FALSE()))),"OLD",IF(AND(E3465&lt;&gt;"",E3465&lt;&gt;"!!!"),"NEW","")))</f>
        <v> </v>
      </c>
      <c r="G3465" s="24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5" t="str">
        <f>IF(J3465&lt;&gt;1,"",IF(I3465="SBJ","CB","?"))</f>
        <v> </v>
      </c>
      <c r="I3465" s="26" t="str">
        <f>IF(OR(E3465="",E3465="!!!",F3465="NEW"),"",INDEX(B3464:B$2,-1+SUMPRODUCT(MAX(ROW(E3464:E$2)*(E3465=E3464:E$2)))))</f>
        <v> </v>
      </c>
      <c r="J3465" s="26" t="str">
        <f>IF(OR(E3465="",E3465="!!!",F3465="NEW"),"",COUNTBLANK(OFFSET(A$1,,,SUMPRODUCT(MAX(ROW(E$2:E3465)*(E3465=E$2:E3465)))))-COUNTBLANK(OFFSET(A$1,,,SUMPRODUCT(MAX(ROW(E$1:E3464)*(E2=E$1:E3464))))))</f>
        <v> </v>
      </c>
      <c r="K3465" s="26" t="str">
        <f>IF(OR(E3465="",E3465="!!!",F3465="NEW"),"",INDEX(J$1:J3464,SUMPRODUCT(MAX(ROW(E$1:E3464)*(E3465=E$1:E3464)))))</f>
        <v> </v>
      </c>
      <c r="L3465" s="27"/>
    </row>
    <row r="3466" spans="1:12">
      <c r="A3466" s="20" t="s">
        <v>2426</v>
      </c>
      <c r="E3466" s="22">
        <f>IF(D3466="?OLD","!!!","")</f>
        <v/>
      </c>
      <c r="F3466" s="23" t="str">
        <f>IF(OR(E3466="",E3466="!!!"),"",IF(NOT(ISNA(VLOOKUP(E3466,E$1:E3465,1,FALSE()))),"OLD",IF(AND(E3466&lt;&gt;"",E3466&lt;&gt;"!!!"),"NEW","")))</f>
        <v> </v>
      </c>
      <c r="G3466" s="24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5" t="str">
        <f>IF(J3466&lt;&gt;1,"",IF(I3466="SBJ","CB","?"))</f>
        <v> </v>
      </c>
      <c r="I3466" s="26" t="str">
        <f>IF(OR(E3466="",E3466="!!!",F3466="NEW"),"",INDEX(B3465:B$2,-1+SUMPRODUCT(MAX(ROW(E3465:E$2)*(E3466=E3465:E$2)))))</f>
        <v> </v>
      </c>
      <c r="J3466" s="26" t="str">
        <f>IF(OR(E3466="",E3466="!!!",F3466="NEW"),"",COUNTBLANK(OFFSET(A$1,,,SUMPRODUCT(MAX(ROW(E$2:E3466)*(E3466=E$2:E3466)))))-COUNTBLANK(OFFSET(A$1,,,SUMPRODUCT(MAX(ROW(E$1:E3465)*(E2=E$1:E3465))))))</f>
        <v> </v>
      </c>
      <c r="K3466" s="26" t="str">
        <f>IF(OR(E3466="",E3466="!!!",F3466="NEW"),"",INDEX(J$1:J3465,SUMPRODUCT(MAX(ROW(E$1:E3465)*(E3466=E$1:E3465)))))</f>
        <v> </v>
      </c>
      <c r="L3466" s="27"/>
    </row>
    <row r="3467" spans="1:12">
      <c r="A3467" s="20" t="s">
        <v>1106</v>
      </c>
      <c r="E3467" s="22">
        <f>IF(D3467="?OLD","!!!","")</f>
        <v/>
      </c>
      <c r="F3467" s="23" t="str">
        <f>IF(OR(E3467="",E3467="!!!"),"",IF(NOT(ISNA(VLOOKUP(E3467,E$1:E3466,1,FALSE()))),"OLD",IF(AND(E3467&lt;&gt;"",E3467&lt;&gt;"!!!"),"NEW","")))</f>
        <v> </v>
      </c>
      <c r="G3467" s="24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5" t="str">
        <f>IF(J3467&lt;&gt;1,"",IF(I3467="SBJ","CB","?"))</f>
        <v> </v>
      </c>
      <c r="I3467" s="26" t="str">
        <f>IF(OR(E3467="",E3467="!!!",F3467="NEW"),"",INDEX(B3466:B$2,-1+SUMPRODUCT(MAX(ROW(E3466:E$2)*(E3467=E3466:E$2)))))</f>
        <v> </v>
      </c>
      <c r="J3467" s="26" t="str">
        <f>IF(OR(E3467="",E3467="!!!",F3467="NEW"),"",COUNTBLANK(OFFSET(A$1,,,SUMPRODUCT(MAX(ROW(E$2:E3467)*(E3467=E$2:E3467)))))-COUNTBLANK(OFFSET(A$1,,,SUMPRODUCT(MAX(ROW(E$1:E3466)*(E2=E$1:E3466))))))</f>
        <v> </v>
      </c>
      <c r="K3467" s="26" t="str">
        <f>IF(OR(E3467="",E3467="!!!",F3467="NEW"),"",INDEX(J$1:J3466,SUMPRODUCT(MAX(ROW(E$1:E3466)*(E3467=E$1:E3466)))))</f>
        <v> </v>
      </c>
      <c r="L3467" s="27"/>
    </row>
    <row r="3468" spans="1:12">
      <c r="A3468" s="20"/>
    </row>
    <row r="3469" spans="1:12">
      <c r="A3469" s="20" t="s">
        <v>2427</v>
      </c>
    </row>
    <row r="3470" spans="1:12">
      <c r="A3470" s="20" t="s">
        <v>1108</v>
      </c>
      <c r="B3470" s="21" t="s">
        <v>1109</v>
      </c>
      <c r="C3470" s="21" t="s">
        <v>1081</v>
      </c>
      <c r="D3470" s="21" t="s">
        <v>1074</v>
      </c>
      <c r="E3470" s="22">
        <f>IF(D3470="?OLD","!!!","")</f>
        <v/>
      </c>
      <c r="F3470" s="23" t="str">
        <f>IF(OR(E3470="",E3470="!!!"),"",IF(NOT(ISNA(VLOOKUP(E3470,E$1:E3469,1,FALSE()))),"OLD",IF(AND(E3470&lt;&gt;"",E3470&lt;&gt;"!!!"),"NEW","")))</f>
        <v> </v>
      </c>
      <c r="G3470" s="24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5" t="str">
        <f>IF(J3470&lt;&gt;1,"",IF(I3470="SBJ","CB","?"))</f>
        <v> </v>
      </c>
      <c r="I3470" s="26" t="str">
        <f>IF(OR(E3470="",E3470="!!!",F3470="NEW"),"",INDEX(B3469:B$2,-1+SUMPRODUCT(MAX(ROW(E3469:E$2)*(E3470=E3469:E$2)))))</f>
        <v> </v>
      </c>
      <c r="J3470" s="26" t="str">
        <f>IF(OR(E3470="",E3470="!!!",F3470="NEW"),"",COUNTBLANK(OFFSET(A$1,,,SUMPRODUCT(MAX(ROW(E$2:E3470)*(E3470=E$2:E3470)))))-COUNTBLANK(OFFSET(A$1,,,SUMPRODUCT(MAX(ROW(E$1:E3469)*(E2=E$1:E3469))))))</f>
        <v> </v>
      </c>
      <c r="K3470" s="26" t="str">
        <f>IF(OR(E3470="",E3470="!!!",F3470="NEW"),"",INDEX(J$1:J3469,SUMPRODUCT(MAX(ROW(E$1:E3469)*(E3470=E$1:E3469)))))</f>
        <v> </v>
      </c>
      <c r="L3470" s="27"/>
    </row>
    <row r="3471" spans="1:12">
      <c r="A3471" s="20" t="s">
        <v>1492</v>
      </c>
      <c r="E3471" s="22">
        <f>IF(D3471="?OLD","!!!","")</f>
        <v/>
      </c>
      <c r="F3471" s="23" t="str">
        <f>IF(OR(E3471="",E3471="!!!"),"",IF(NOT(ISNA(VLOOKUP(E3471,E$1:E3470,1,FALSE()))),"OLD",IF(AND(E3471&lt;&gt;"",E3471&lt;&gt;"!!!"),"NEW","")))</f>
        <v> </v>
      </c>
      <c r="G3471" s="24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5" t="str">
        <f>IF(J3471&lt;&gt;1,"",IF(I3471="SBJ","CB","?"))</f>
        <v> </v>
      </c>
      <c r="I3471" s="26" t="str">
        <f>IF(OR(E3471="",E3471="!!!",F3471="NEW"),"",INDEX(B3470:B$2,-1+SUMPRODUCT(MAX(ROW(E3470:E$2)*(E3471=E3470:E$2)))))</f>
        <v> </v>
      </c>
      <c r="J3471" s="26" t="str">
        <f>IF(OR(E3471="",E3471="!!!",F3471="NEW"),"",COUNTBLANK(OFFSET(A$1,,,SUMPRODUCT(MAX(ROW(E$2:E3471)*(E3471=E$2:E3471)))))-COUNTBLANK(OFFSET(A$1,,,SUMPRODUCT(MAX(ROW(E$1:E3470)*(E2=E$1:E3470))))))</f>
        <v> </v>
      </c>
      <c r="K3471" s="26" t="str">
        <f>IF(OR(E3471="",E3471="!!!",F3471="NEW"),"",INDEX(J$1:J3470,SUMPRODUCT(MAX(ROW(E$1:E3470)*(E3471=E$1:E3470)))))</f>
        <v> </v>
      </c>
      <c r="L3471" s="27"/>
    </row>
    <row r="3472" spans="1:12">
      <c r="A3472" s="20" t="s">
        <v>2428</v>
      </c>
      <c r="E3472" s="22">
        <f>IF(D3472="?OLD","!!!","")</f>
        <v/>
      </c>
      <c r="F3472" s="23" t="str">
        <f>IF(OR(E3472="",E3472="!!!"),"",IF(NOT(ISNA(VLOOKUP(E3472,E$1:E3471,1,FALSE()))),"OLD",IF(AND(E3472&lt;&gt;"",E3472&lt;&gt;"!!!"),"NEW","")))</f>
        <v> </v>
      </c>
      <c r="G3472" s="24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5" t="str">
        <f>IF(J3472&lt;&gt;1,"",IF(I3472="SBJ","CB","?"))</f>
        <v> </v>
      </c>
      <c r="I3472" s="26" t="str">
        <f>IF(OR(E3472="",E3472="!!!",F3472="NEW"),"",INDEX(B3471:B$2,-1+SUMPRODUCT(MAX(ROW(E3471:E$2)*(E3472=E3471:E$2)))))</f>
        <v> </v>
      </c>
      <c r="J3472" s="26" t="str">
        <f>IF(OR(E3472="",E3472="!!!",F3472="NEW"),"",COUNTBLANK(OFFSET(A$1,,,SUMPRODUCT(MAX(ROW(E$2:E3472)*(E3472=E$2:E3472)))))-COUNTBLANK(OFFSET(A$1,,,SUMPRODUCT(MAX(ROW(E$1:E3471)*(E2=E$1:E3471))))))</f>
        <v> </v>
      </c>
      <c r="K3472" s="26" t="str">
        <f>IF(OR(E3472="",E3472="!!!",F3472="NEW"),"",INDEX(J$1:J3471,SUMPRODUCT(MAX(ROW(E$1:E3471)*(E3472=E$1:E3471)))))</f>
        <v> </v>
      </c>
      <c r="L3472" s="27"/>
    </row>
    <row r="3473" spans="1:12">
      <c r="A3473" s="20" t="s">
        <v>2429</v>
      </c>
      <c r="E3473" s="22">
        <f>IF(D3473="?OLD","!!!","")</f>
        <v/>
      </c>
      <c r="F3473" s="23" t="str">
        <f>IF(OR(E3473="",E3473="!!!"),"",IF(NOT(ISNA(VLOOKUP(E3473,E$1:E3472,1,FALSE()))),"OLD",IF(AND(E3473&lt;&gt;"",E3473&lt;&gt;"!!!"),"NEW","")))</f>
        <v> </v>
      </c>
      <c r="G3473" s="24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5" t="str">
        <f>IF(J3473&lt;&gt;1,"",IF(I3473="SBJ","CB","?"))</f>
        <v> </v>
      </c>
      <c r="I3473" s="26" t="str">
        <f>IF(OR(E3473="",E3473="!!!",F3473="NEW"),"",INDEX(B3472:B$2,-1+SUMPRODUCT(MAX(ROW(E3472:E$2)*(E3473=E3472:E$2)))))</f>
        <v> </v>
      </c>
      <c r="J3473" s="26" t="str">
        <f>IF(OR(E3473="",E3473="!!!",F3473="NEW"),"",COUNTBLANK(OFFSET(A$1,,,SUMPRODUCT(MAX(ROW(E$2:E3473)*(E3473=E$2:E3473)))))-COUNTBLANK(OFFSET(A$1,,,SUMPRODUCT(MAX(ROW(E$1:E3472)*(E2=E$1:E3472))))))</f>
        <v> </v>
      </c>
      <c r="K3473" s="26" t="str">
        <f>IF(OR(E3473="",E3473="!!!",F3473="NEW"),"",INDEX(J$1:J3472,SUMPRODUCT(MAX(ROW(E$1:E3472)*(E3473=E$1:E3472)))))</f>
        <v> </v>
      </c>
      <c r="L3473" s="27"/>
    </row>
    <row r="3474" spans="1:12">
      <c r="A3474" s="20" t="s">
        <v>2430</v>
      </c>
      <c r="B3474" s="21" t="s">
        <v>1227</v>
      </c>
      <c r="E3474" s="22">
        <f>IF(D3474="?OLD","!!!","")</f>
        <v/>
      </c>
      <c r="F3474" s="23" t="str">
        <f>IF(OR(E3474="",E3474="!!!"),"",IF(NOT(ISNA(VLOOKUP(E3474,E$1:E3473,1,FALSE()))),"OLD",IF(AND(E3474&lt;&gt;"",E3474&lt;&gt;"!!!"),"NEW","")))</f>
        <v> </v>
      </c>
      <c r="G3474" s="24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5" t="str">
        <f>IF(J3474&lt;&gt;1,"",IF(I3474="SBJ","CB","?"))</f>
        <v> </v>
      </c>
      <c r="I3474" s="26" t="str">
        <f>IF(OR(E3474="",E3474="!!!",F3474="NEW"),"",INDEX(B3473:B$2,-1+SUMPRODUCT(MAX(ROW(E3473:E$2)*(E3474=E3473:E$2)))))</f>
        <v> </v>
      </c>
      <c r="J3474" s="26" t="str">
        <f>IF(OR(E3474="",E3474="!!!",F3474="NEW"),"",COUNTBLANK(OFFSET(A$1,,,SUMPRODUCT(MAX(ROW(E$2:E3474)*(E3474=E$2:E3474)))))-COUNTBLANK(OFFSET(A$1,,,SUMPRODUCT(MAX(ROW(E$1:E3473)*(E2=E$1:E3473))))))</f>
        <v> </v>
      </c>
      <c r="K3474" s="26" t="str">
        <f>IF(OR(E3474="",E3474="!!!",F3474="NEW"),"",INDEX(J$1:J3473,SUMPRODUCT(MAX(ROW(E$1:E3473)*(E3474=E$1:E3473)))))</f>
        <v> </v>
      </c>
      <c r="L3474" s="27"/>
    </row>
    <row r="3475" spans="1:12">
      <c r="A3475" s="20" t="s">
        <v>2431</v>
      </c>
      <c r="E3475" s="22">
        <f>IF(D3475="?OLD","!!!","")</f>
        <v/>
      </c>
      <c r="F3475" s="23" t="str">
        <f>IF(OR(E3475="",E3475="!!!"),"",IF(NOT(ISNA(VLOOKUP(E3475,E$1:E3474,1,FALSE()))),"OLD",IF(AND(E3475&lt;&gt;"",E3475&lt;&gt;"!!!"),"NEW","")))</f>
        <v> </v>
      </c>
      <c r="G3475" s="24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5" t="str">
        <f>IF(J3475&lt;&gt;1,"",IF(I3475="SBJ","CB","?"))</f>
        <v> </v>
      </c>
      <c r="I3475" s="26" t="str">
        <f>IF(OR(E3475="",E3475="!!!",F3475="NEW"),"",INDEX(B3474:B$2,-1+SUMPRODUCT(MAX(ROW(E3474:E$2)*(E3475=E3474:E$2)))))</f>
        <v> </v>
      </c>
      <c r="J3475" s="26" t="str">
        <f>IF(OR(E3475="",E3475="!!!",F3475="NEW"),"",COUNTBLANK(OFFSET(A$1,,,SUMPRODUCT(MAX(ROW(E$2:E3475)*(E3475=E$2:E3475)))))-COUNTBLANK(OFFSET(A$1,,,SUMPRODUCT(MAX(ROW(E$1:E3474)*(E2=E$1:E3474))))))</f>
        <v> </v>
      </c>
      <c r="K3475" s="26" t="str">
        <f>IF(OR(E3475="",E3475="!!!",F3475="NEW"),"",INDEX(J$1:J3474,SUMPRODUCT(MAX(ROW(E$1:E3474)*(E3475=E$1:E3474)))))</f>
        <v> </v>
      </c>
      <c r="L3475" s="27"/>
    </row>
    <row r="3476" spans="1:12">
      <c r="A3476" s="20" t="s">
        <v>1076</v>
      </c>
      <c r="E3476" s="22">
        <f>IF(D3476="?OLD","!!!","")</f>
        <v/>
      </c>
      <c r="F3476" s="23" t="str">
        <f>IF(OR(E3476="",E3476="!!!"),"",IF(NOT(ISNA(VLOOKUP(E3476,E$1:E3475,1,FALSE()))),"OLD",IF(AND(E3476&lt;&gt;"",E3476&lt;&gt;"!!!"),"NEW","")))</f>
        <v> </v>
      </c>
      <c r="G3476" s="24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5" t="str">
        <f>IF(J3476&lt;&gt;1,"",IF(I3476="SBJ","CB","?"))</f>
        <v> </v>
      </c>
      <c r="I3476" s="26" t="str">
        <f>IF(OR(E3476="",E3476="!!!",F3476="NEW"),"",INDEX(B3475:B$2,-1+SUMPRODUCT(MAX(ROW(E3475:E$2)*(E3476=E3475:E$2)))))</f>
        <v> </v>
      </c>
      <c r="J3476" s="26" t="str">
        <f>IF(OR(E3476="",E3476="!!!",F3476="NEW"),"",COUNTBLANK(OFFSET(A$1,,,SUMPRODUCT(MAX(ROW(E$2:E3476)*(E3476=E$2:E3476)))))-COUNTBLANK(OFFSET(A$1,,,SUMPRODUCT(MAX(ROW(E$1:E3475)*(E2=E$1:E3475))))))</f>
        <v> </v>
      </c>
      <c r="K3476" s="26" t="str">
        <f>IF(OR(E3476="",E3476="!!!",F3476="NEW"),"",INDEX(J$1:J3475,SUMPRODUCT(MAX(ROW(E$1:E3475)*(E3476=E$1:E3475)))))</f>
        <v> </v>
      </c>
      <c r="L3476" s="27"/>
    </row>
    <row r="3477" spans="1:12">
      <c r="A3477" s="20" t="s">
        <v>1087</v>
      </c>
      <c r="B3477" s="21" t="s">
        <v>1077</v>
      </c>
      <c r="C3477" s="21" t="s">
        <v>1081</v>
      </c>
      <c r="D3477" s="21" t="s">
        <v>1074</v>
      </c>
      <c r="E3477" s="22">
        <f>IF(D3477="?OLD","!!!","")</f>
        <v/>
      </c>
      <c r="F3477" s="23" t="str">
        <f>IF(OR(E3477="",E3477="!!!"),"",IF(NOT(ISNA(VLOOKUP(E3477,E$1:E3476,1,FALSE()))),"OLD",IF(AND(E3477&lt;&gt;"",E3477&lt;&gt;"!!!"),"NEW","")))</f>
        <v> </v>
      </c>
      <c r="G3477" s="24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5" t="str">
        <f>IF(J3477&lt;&gt;1,"",IF(I3477="SBJ","CB","?"))</f>
        <v> </v>
      </c>
      <c r="I3477" s="26" t="str">
        <f>IF(OR(E3477="",E3477="!!!",F3477="NEW"),"",INDEX(B3476:B$2,-1+SUMPRODUCT(MAX(ROW(E3476:E$2)*(E3477=E3476:E$2)))))</f>
        <v> </v>
      </c>
      <c r="J3477" s="26" t="str">
        <f>IF(OR(E3477="",E3477="!!!",F3477="NEW"),"",COUNTBLANK(OFFSET(A$1,,,SUMPRODUCT(MAX(ROW(E$2:E3477)*(E3477=E$2:E3477)))))-COUNTBLANK(OFFSET(A$1,,,SUMPRODUCT(MAX(ROW(E$1:E3476)*(E2=E$1:E3476))))))</f>
        <v> </v>
      </c>
      <c r="K3477" s="26" t="str">
        <f>IF(OR(E3477="",E3477="!!!",F3477="NEW"),"",INDEX(J$1:J3476,SUMPRODUCT(MAX(ROW(E$1:E3476)*(E3477=E$1:E3476)))))</f>
        <v> </v>
      </c>
      <c r="L3477" s="27"/>
    </row>
    <row r="3478" spans="1:12">
      <c r="A3478" s="20" t="s">
        <v>2432</v>
      </c>
      <c r="E3478" s="22">
        <f>IF(D3478="?OLD","!!!","")</f>
        <v/>
      </c>
      <c r="F3478" s="23" t="str">
        <f>IF(OR(E3478="",E3478="!!!"),"",IF(NOT(ISNA(VLOOKUP(E3478,E$1:E3477,1,FALSE()))),"OLD",IF(AND(E3478&lt;&gt;"",E3478&lt;&gt;"!!!"),"NEW","")))</f>
        <v> </v>
      </c>
      <c r="G3478" s="24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5" t="str">
        <f>IF(J3478&lt;&gt;1,"",IF(I3478="SBJ","CB","?"))</f>
        <v> </v>
      </c>
      <c r="I3478" s="26" t="str">
        <f>IF(OR(E3478="",E3478="!!!",F3478="NEW"),"",INDEX(B3477:B$2,-1+SUMPRODUCT(MAX(ROW(E3477:E$2)*(E3478=E3477:E$2)))))</f>
        <v> </v>
      </c>
      <c r="J3478" s="26" t="str">
        <f>IF(OR(E3478="",E3478="!!!",F3478="NEW"),"",COUNTBLANK(OFFSET(A$1,,,SUMPRODUCT(MAX(ROW(E$2:E3478)*(E3478=E$2:E3478)))))-COUNTBLANK(OFFSET(A$1,,,SUMPRODUCT(MAX(ROW(E$1:E3477)*(E2=E$1:E3477))))))</f>
        <v> </v>
      </c>
      <c r="K3478" s="26" t="str">
        <f>IF(OR(E3478="",E3478="!!!",F3478="NEW"),"",INDEX(J$1:J3477,SUMPRODUCT(MAX(ROW(E$1:E3477)*(E3478=E$1:E3477)))))</f>
        <v> </v>
      </c>
      <c r="L3478" s="27"/>
    </row>
    <row r="3479" spans="1:12">
      <c r="A3479" s="20" t="s">
        <v>1402</v>
      </c>
      <c r="B3479" s="21" t="s">
        <v>1080</v>
      </c>
      <c r="C3479" s="21" t="s">
        <v>1181</v>
      </c>
      <c r="E3479" s="22">
        <f>IF(D3479="?OLD","!!!","")</f>
        <v/>
      </c>
      <c r="F3479" s="23" t="str">
        <f>IF(OR(E3479="",E3479="!!!"),"",IF(NOT(ISNA(VLOOKUP(E3479,E$1:E3478,1,FALSE()))),"OLD",IF(AND(E3479&lt;&gt;"",E3479&lt;&gt;"!!!"),"NEW","")))</f>
        <v> </v>
      </c>
      <c r="G3479" s="24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5" t="str">
        <f>IF(J3479&lt;&gt;1,"",IF(I3479="SBJ","CB","?"))</f>
        <v> </v>
      </c>
      <c r="I3479" s="26" t="str">
        <f>IF(OR(E3479="",E3479="!!!",F3479="NEW"),"",INDEX(B3478:B$2,-1+SUMPRODUCT(MAX(ROW(E3478:E$2)*(E3479=E3478:E$2)))))</f>
        <v> </v>
      </c>
      <c r="J3479" s="26" t="str">
        <f>IF(OR(E3479="",E3479="!!!",F3479="NEW"),"",COUNTBLANK(OFFSET(A$1,,,SUMPRODUCT(MAX(ROW(E$2:E3479)*(E3479=E$2:E3479)))))-COUNTBLANK(OFFSET(A$1,,,SUMPRODUCT(MAX(ROW(E$1:E3478)*(E2=E$1:E3478))))))</f>
        <v> </v>
      </c>
      <c r="K3479" s="26" t="str">
        <f>IF(OR(E3479="",E3479="!!!",F3479="NEW"),"",INDEX(J$1:J3478,SUMPRODUCT(MAX(ROW(E$1:E3478)*(E3479=E$1:E3478)))))</f>
        <v> </v>
      </c>
      <c r="L3479" s="27"/>
    </row>
    <row r="3480" spans="1:12">
      <c r="A3480" s="20" t="s">
        <v>1085</v>
      </c>
      <c r="E3480" s="22">
        <f>IF(D3480="?OLD","!!!","")</f>
        <v/>
      </c>
      <c r="F3480" s="23" t="str">
        <f>IF(OR(E3480="",E3480="!!!"),"",IF(NOT(ISNA(VLOOKUP(E3480,E$1:E3479,1,FALSE()))),"OLD",IF(AND(E3480&lt;&gt;"",E3480&lt;&gt;"!!!"),"NEW","")))</f>
        <v> </v>
      </c>
      <c r="G3480" s="24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5" t="str">
        <f>IF(J3480&lt;&gt;1,"",IF(I3480="SBJ","CB","?"))</f>
        <v> </v>
      </c>
      <c r="I3480" s="26" t="str">
        <f>IF(OR(E3480="",E3480="!!!",F3480="NEW"),"",INDEX(B3479:B$2,-1+SUMPRODUCT(MAX(ROW(E3479:E$2)*(E3480=E3479:E$2)))))</f>
        <v> </v>
      </c>
      <c r="J3480" s="26" t="str">
        <f>IF(OR(E3480="",E3480="!!!",F3480="NEW"),"",COUNTBLANK(OFFSET(A$1,,,SUMPRODUCT(MAX(ROW(E$2:E3480)*(E3480=E$2:E3480)))))-COUNTBLANK(OFFSET(A$1,,,SUMPRODUCT(MAX(ROW(E$1:E3479)*(E2=E$1:E3479))))))</f>
        <v> </v>
      </c>
      <c r="K3480" s="26" t="str">
        <f>IF(OR(E3480="",E3480="!!!",F3480="NEW"),"",INDEX(J$1:J3479,SUMPRODUCT(MAX(ROW(E$1:E3479)*(E3480=E$1:E3479)))))</f>
        <v> </v>
      </c>
      <c r="L3480" s="27"/>
    </row>
    <row r="3481" spans="1:12">
      <c r="A3481" s="20" t="s">
        <v>1086</v>
      </c>
      <c r="B3481" s="21" t="s">
        <v>1088</v>
      </c>
      <c r="C3481" s="21" t="s">
        <v>1181</v>
      </c>
      <c r="E3481" s="22">
        <f>IF(D3481="?OLD","!!!","")</f>
        <v/>
      </c>
      <c r="F3481" s="23" t="str">
        <f>IF(OR(E3481="",E3481="!!!"),"",IF(NOT(ISNA(VLOOKUP(E3481,E$1:E3480,1,FALSE()))),"OLD",IF(AND(E3481&lt;&gt;"",E3481&lt;&gt;"!!!"),"NEW","")))</f>
        <v> </v>
      </c>
      <c r="G3481" s="24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5" t="str">
        <f>IF(J3481&lt;&gt;1,"",IF(I3481="SBJ","CB","?"))</f>
        <v> </v>
      </c>
      <c r="I3481" s="26" t="str">
        <f>IF(OR(E3481="",E3481="!!!",F3481="NEW"),"",INDEX(B3480:B$2,-1+SUMPRODUCT(MAX(ROW(E3480:E$2)*(E3481=E3480:E$2)))))</f>
        <v> </v>
      </c>
      <c r="J3481" s="26" t="str">
        <f>IF(OR(E3481="",E3481="!!!",F3481="NEW"),"",COUNTBLANK(OFFSET(A$1,,,SUMPRODUCT(MAX(ROW(E$2:E3481)*(E3481=E$2:E3481)))))-COUNTBLANK(OFFSET(A$1,,,SUMPRODUCT(MAX(ROW(E$1:E3480)*(E2=E$1:E3480))))))</f>
        <v> </v>
      </c>
      <c r="K3481" s="26" t="str">
        <f>IF(OR(E3481="",E3481="!!!",F3481="NEW"),"",INDEX(J$1:J3480,SUMPRODUCT(MAX(ROW(E$1:E3480)*(E3481=E$1:E3480)))))</f>
        <v> </v>
      </c>
      <c r="L3481" s="27"/>
    </row>
    <row r="3482" spans="1:12">
      <c r="A3482" s="20" t="s">
        <v>1091</v>
      </c>
      <c r="E3482" s="22">
        <f>IF(D3482="?OLD","!!!","")</f>
        <v/>
      </c>
      <c r="F3482" s="23" t="str">
        <f>IF(OR(E3482="",E3482="!!!"),"",IF(NOT(ISNA(VLOOKUP(E3482,E$1:E3481,1,FALSE()))),"OLD",IF(AND(E3482&lt;&gt;"",E3482&lt;&gt;"!!!"),"NEW","")))</f>
        <v> </v>
      </c>
      <c r="G3482" s="24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5" t="str">
        <f>IF(J3482&lt;&gt;1,"",IF(I3482="SBJ","CB","?"))</f>
        <v> </v>
      </c>
      <c r="I3482" s="26" t="str">
        <f>IF(OR(E3482="",E3482="!!!",F3482="NEW"),"",INDEX(B3481:B$2,-1+SUMPRODUCT(MAX(ROW(E3481:E$2)*(E3482=E3481:E$2)))))</f>
        <v> </v>
      </c>
      <c r="J3482" s="26" t="str">
        <f>IF(OR(E3482="",E3482="!!!",F3482="NEW"),"",COUNTBLANK(OFFSET(A$1,,,SUMPRODUCT(MAX(ROW(E$2:E3482)*(E3482=E$2:E3482)))))-COUNTBLANK(OFFSET(A$1,,,SUMPRODUCT(MAX(ROW(E$1:E3481)*(E2=E$1:E3481))))))</f>
        <v> </v>
      </c>
      <c r="K3482" s="26" t="str">
        <f>IF(OR(E3482="",E3482="!!!",F3482="NEW"),"",INDEX(J$1:J3481,SUMPRODUCT(MAX(ROW(E$1:E3481)*(E3482=E$1:E3481)))))</f>
        <v> </v>
      </c>
      <c r="L3482" s="27"/>
    </row>
    <row r="3483" spans="1:12">
      <c r="A3483" s="20" t="s">
        <v>1493</v>
      </c>
      <c r="E3483" s="22">
        <f>IF(D3483="?OLD","!!!","")</f>
        <v/>
      </c>
      <c r="F3483" s="23" t="str">
        <f>IF(OR(E3483="",E3483="!!!"),"",IF(NOT(ISNA(VLOOKUP(E3483,E$1:E3482,1,FALSE()))),"OLD",IF(AND(E3483&lt;&gt;"",E3483&lt;&gt;"!!!"),"NEW","")))</f>
        <v> </v>
      </c>
      <c r="G3483" s="24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5" t="str">
        <f>IF(J3483&lt;&gt;1,"",IF(I3483="SBJ","CB","?"))</f>
        <v> </v>
      </c>
      <c r="I3483" s="26" t="str">
        <f>IF(OR(E3483="",E3483="!!!",F3483="NEW"),"",INDEX(B3482:B$2,-1+SUMPRODUCT(MAX(ROW(E3482:E$2)*(E3483=E3482:E$2)))))</f>
        <v> </v>
      </c>
      <c r="J3483" s="26" t="str">
        <f>IF(OR(E3483="",E3483="!!!",F3483="NEW"),"",COUNTBLANK(OFFSET(A$1,,,SUMPRODUCT(MAX(ROW(E$2:E3483)*(E3483=E$2:E3483)))))-COUNTBLANK(OFFSET(A$1,,,SUMPRODUCT(MAX(ROW(E$1:E3482)*(E2=E$1:E3482))))))</f>
        <v> </v>
      </c>
      <c r="K3483" s="26" t="str">
        <f>IF(OR(E3483="",E3483="!!!",F3483="NEW"),"",INDEX(J$1:J3482,SUMPRODUCT(MAX(ROW(E$1:E3482)*(E3483=E$1:E3482)))))</f>
        <v> </v>
      </c>
      <c r="L3483" s="27"/>
    </row>
    <row r="3484" spans="1:12">
      <c r="A3484" s="20" t="s">
        <v>1492</v>
      </c>
      <c r="E3484" s="22">
        <f>IF(D3484="?OLD","!!!","")</f>
        <v/>
      </c>
      <c r="F3484" s="23" t="str">
        <f>IF(OR(E3484="",E3484="!!!"),"",IF(NOT(ISNA(VLOOKUP(E3484,E$1:E3483,1,FALSE()))),"OLD",IF(AND(E3484&lt;&gt;"",E3484&lt;&gt;"!!!"),"NEW","")))</f>
        <v> </v>
      </c>
      <c r="G3484" s="24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5" t="str">
        <f>IF(J3484&lt;&gt;1,"",IF(I3484="SBJ","CB","?"))</f>
        <v> </v>
      </c>
      <c r="I3484" s="26" t="str">
        <f>IF(OR(E3484="",E3484="!!!",F3484="NEW"),"",INDEX(B3483:B$2,-1+SUMPRODUCT(MAX(ROW(E3483:E$2)*(E3484=E3483:E$2)))))</f>
        <v> </v>
      </c>
      <c r="J3484" s="26" t="str">
        <f>IF(OR(E3484="",E3484="!!!",F3484="NEW"),"",COUNTBLANK(OFFSET(A$1,,,SUMPRODUCT(MAX(ROW(E$2:E3484)*(E3484=E$2:E3484)))))-COUNTBLANK(OFFSET(A$1,,,SUMPRODUCT(MAX(ROW(E$1:E3483)*(E2=E$1:E3483))))))</f>
        <v> </v>
      </c>
      <c r="K3484" s="26" t="str">
        <f>IF(OR(E3484="",E3484="!!!",F3484="NEW"),"",INDEX(J$1:J3483,SUMPRODUCT(MAX(ROW(E$1:E3483)*(E3484=E$1:E3483)))))</f>
        <v> </v>
      </c>
      <c r="L3484" s="27"/>
    </row>
    <row r="3485" spans="1:12">
      <c r="A3485" s="20" t="s">
        <v>2433</v>
      </c>
      <c r="E3485" s="22">
        <f>IF(D3485="?OLD","!!!","")</f>
        <v/>
      </c>
      <c r="F3485" s="23" t="str">
        <f>IF(OR(E3485="",E3485="!!!"),"",IF(NOT(ISNA(VLOOKUP(E3485,E$1:E3484,1,FALSE()))),"OLD",IF(AND(E3485&lt;&gt;"",E3485&lt;&gt;"!!!"),"NEW","")))</f>
        <v> </v>
      </c>
      <c r="G3485" s="24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5" t="str">
        <f>IF(J3485&lt;&gt;1,"",IF(I3485="SBJ","CB","?"))</f>
        <v> </v>
      </c>
      <c r="I3485" s="26" t="str">
        <f>IF(OR(E3485="",E3485="!!!",F3485="NEW"),"",INDEX(B3484:B$2,-1+SUMPRODUCT(MAX(ROW(E3484:E$2)*(E3485=E3484:E$2)))))</f>
        <v> </v>
      </c>
      <c r="J3485" s="26" t="str">
        <f>IF(OR(E3485="",E3485="!!!",F3485="NEW"),"",COUNTBLANK(OFFSET(A$1,,,SUMPRODUCT(MAX(ROW(E$2:E3485)*(E3485=E$2:E3485)))))-COUNTBLANK(OFFSET(A$1,,,SUMPRODUCT(MAX(ROW(E$1:E3484)*(E2=E$1:E3484))))))</f>
        <v> </v>
      </c>
      <c r="K3485" s="26" t="str">
        <f>IF(OR(E3485="",E3485="!!!",F3485="NEW"),"",INDEX(J$1:J3484,SUMPRODUCT(MAX(ROW(E$1:E3484)*(E3485=E$1:E3484)))))</f>
        <v> </v>
      </c>
      <c r="L3485" s="27"/>
    </row>
    <row r="3486" spans="1:12">
      <c r="A3486" s="20" t="s">
        <v>1085</v>
      </c>
      <c r="E3486" s="22">
        <f>IF(D3486="?OLD","!!!","")</f>
        <v/>
      </c>
      <c r="F3486" s="23" t="str">
        <f>IF(OR(E3486="",E3486="!!!"),"",IF(NOT(ISNA(VLOOKUP(E3486,E$1:E3485,1,FALSE()))),"OLD",IF(AND(E3486&lt;&gt;"",E3486&lt;&gt;"!!!"),"NEW","")))</f>
        <v> </v>
      </c>
      <c r="G3486" s="24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5" t="str">
        <f>IF(J3486&lt;&gt;1,"",IF(I3486="SBJ","CB","?"))</f>
        <v> </v>
      </c>
      <c r="I3486" s="26" t="str">
        <f>IF(OR(E3486="",E3486="!!!",F3486="NEW"),"",INDEX(B3485:B$2,-1+SUMPRODUCT(MAX(ROW(E3485:E$2)*(E3486=E3485:E$2)))))</f>
        <v> </v>
      </c>
      <c r="J3486" s="26" t="str">
        <f>IF(OR(E3486="",E3486="!!!",F3486="NEW"),"",COUNTBLANK(OFFSET(A$1,,,SUMPRODUCT(MAX(ROW(E$2:E3486)*(E3486=E$2:E3486)))))-COUNTBLANK(OFFSET(A$1,,,SUMPRODUCT(MAX(ROW(E$1:E3485)*(E2=E$1:E3485))))))</f>
        <v> </v>
      </c>
      <c r="K3486" s="26" t="str">
        <f>IF(OR(E3486="",E3486="!!!",F3486="NEW"),"",INDEX(J$1:J3485,SUMPRODUCT(MAX(ROW(E$1:E3485)*(E3486=E$1:E3485)))))</f>
        <v> </v>
      </c>
      <c r="L3486" s="27"/>
    </row>
    <row r="3487" spans="1:12">
      <c r="A3487" s="20" t="s">
        <v>1269</v>
      </c>
      <c r="E3487" s="22">
        <f>IF(D3487="?OLD","!!!","")</f>
        <v/>
      </c>
      <c r="F3487" s="23" t="str">
        <f>IF(OR(E3487="",E3487="!!!"),"",IF(NOT(ISNA(VLOOKUP(E3487,E$1:E3486,1,FALSE()))),"OLD",IF(AND(E3487&lt;&gt;"",E3487&lt;&gt;"!!!"),"NEW","")))</f>
        <v> </v>
      </c>
      <c r="G3487" s="24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5" t="str">
        <f>IF(J3487&lt;&gt;1,"",IF(I3487="SBJ","CB","?"))</f>
        <v> </v>
      </c>
      <c r="I3487" s="26" t="str">
        <f>IF(OR(E3487="",E3487="!!!",F3487="NEW"),"",INDEX(B3486:B$2,-1+SUMPRODUCT(MAX(ROW(E3486:E$2)*(E3487=E3486:E$2)))))</f>
        <v> </v>
      </c>
      <c r="J3487" s="26" t="str">
        <f>IF(OR(E3487="",E3487="!!!",F3487="NEW"),"",COUNTBLANK(OFFSET(A$1,,,SUMPRODUCT(MAX(ROW(E$2:E3487)*(E3487=E$2:E3487)))))-COUNTBLANK(OFFSET(A$1,,,SUMPRODUCT(MAX(ROW(E$1:E3486)*(E2=E$1:E3486))))))</f>
        <v> </v>
      </c>
      <c r="K3487" s="26" t="str">
        <f>IF(OR(E3487="",E3487="!!!",F3487="NEW"),"",INDEX(J$1:J3486,SUMPRODUCT(MAX(ROW(E$1:E3486)*(E3487=E$1:E3486)))))</f>
        <v> </v>
      </c>
      <c r="L3487" s="27"/>
    </row>
    <row r="3488" spans="1:12">
      <c r="A3488" s="20" t="s">
        <v>1492</v>
      </c>
      <c r="E3488" s="22">
        <f>IF(D3488="?OLD","!!!","")</f>
        <v/>
      </c>
      <c r="F3488" s="23" t="str">
        <f>IF(OR(E3488="",E3488="!!!"),"",IF(NOT(ISNA(VLOOKUP(E3488,E$1:E3487,1,FALSE()))),"OLD",IF(AND(E3488&lt;&gt;"",E3488&lt;&gt;"!!!"),"NEW","")))</f>
        <v> </v>
      </c>
      <c r="G3488" s="24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5" t="str">
        <f>IF(J3488&lt;&gt;1,"",IF(I3488="SBJ","CB","?"))</f>
        <v> </v>
      </c>
      <c r="I3488" s="26" t="str">
        <f>IF(OR(E3488="",E3488="!!!",F3488="NEW"),"",INDEX(B3487:B$2,-1+SUMPRODUCT(MAX(ROW(E3487:E$2)*(E3488=E3487:E$2)))))</f>
        <v> </v>
      </c>
      <c r="J3488" s="26" t="str">
        <f>IF(OR(E3488="",E3488="!!!",F3488="NEW"),"",COUNTBLANK(OFFSET(A$1,,,SUMPRODUCT(MAX(ROW(E$2:E3488)*(E3488=E$2:E3488)))))-COUNTBLANK(OFFSET(A$1,,,SUMPRODUCT(MAX(ROW(E$1:E3487)*(E2=E$1:E3487))))))</f>
        <v> </v>
      </c>
      <c r="K3488" s="26" t="str">
        <f>IF(OR(E3488="",E3488="!!!",F3488="NEW"),"",INDEX(J$1:J3487,SUMPRODUCT(MAX(ROW(E$1:E3487)*(E3488=E$1:E3487)))))</f>
        <v> </v>
      </c>
      <c r="L3488" s="27"/>
    </row>
    <row r="3489" spans="1:12">
      <c r="A3489" s="20" t="s">
        <v>1087</v>
      </c>
      <c r="B3489" s="21" t="s">
        <v>1157</v>
      </c>
      <c r="C3489" s="21" t="s">
        <v>1081</v>
      </c>
      <c r="D3489" s="21" t="s">
        <v>1074</v>
      </c>
      <c r="E3489" s="22">
        <f>IF(D3489="?OLD","!!!","")</f>
        <v/>
      </c>
      <c r="F3489" s="23" t="str">
        <f>IF(OR(E3489="",E3489="!!!"),"",IF(NOT(ISNA(VLOOKUP(E3489,E$1:E3488,1,FALSE()))),"OLD",IF(AND(E3489&lt;&gt;"",E3489&lt;&gt;"!!!"),"NEW","")))</f>
        <v> </v>
      </c>
      <c r="G3489" s="24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5" t="str">
        <f>IF(J3489&lt;&gt;1,"",IF(I3489="SBJ","CB","?"))</f>
        <v> </v>
      </c>
      <c r="I3489" s="26" t="str">
        <f>IF(OR(E3489="",E3489="!!!",F3489="NEW"),"",INDEX(B3488:B$2,-1+SUMPRODUCT(MAX(ROW(E3488:E$2)*(E3489=E3488:E$2)))))</f>
        <v> </v>
      </c>
      <c r="J3489" s="26" t="str">
        <f>IF(OR(E3489="",E3489="!!!",F3489="NEW"),"",COUNTBLANK(OFFSET(A$1,,,SUMPRODUCT(MAX(ROW(E$2:E3489)*(E3489=E$2:E3489)))))-COUNTBLANK(OFFSET(A$1,,,SUMPRODUCT(MAX(ROW(E$1:E3488)*(E2=E$1:E3488))))))</f>
        <v> </v>
      </c>
      <c r="K3489" s="26" t="str">
        <f>IF(OR(E3489="",E3489="!!!",F3489="NEW"),"",INDEX(J$1:J3488,SUMPRODUCT(MAX(ROW(E$1:E3488)*(E3489=E$1:E3488)))))</f>
        <v> </v>
      </c>
      <c r="L3489" s="27"/>
    </row>
    <row r="3490" spans="1:12">
      <c r="A3490" s="20" t="s">
        <v>1321</v>
      </c>
      <c r="B3490" s="21" t="s">
        <v>1161</v>
      </c>
      <c r="C3490" s="21" t="s">
        <v>1154</v>
      </c>
      <c r="D3490" s="21" t="s">
        <v>1074</v>
      </c>
      <c r="E3490" s="22">
        <f>IF(D3490="?OLD","!!!","")</f>
        <v/>
      </c>
      <c r="F3490" s="23" t="str">
        <f>IF(OR(E3490="",E3490="!!!"),"",IF(NOT(ISNA(VLOOKUP(E3490,E$1:E3489,1,FALSE()))),"OLD",IF(AND(E3490&lt;&gt;"",E3490&lt;&gt;"!!!"),"NEW","")))</f>
        <v> </v>
      </c>
      <c r="G3490" s="24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5" t="str">
        <f>IF(J3490&lt;&gt;1,"",IF(I3490="SBJ","CB","?"))</f>
        <v> </v>
      </c>
      <c r="I3490" s="26" t="str">
        <f>IF(OR(E3490="",E3490="!!!",F3490="NEW"),"",INDEX(B3489:B$2,-1+SUMPRODUCT(MAX(ROW(E3489:E$2)*(E3490=E3489:E$2)))))</f>
        <v> </v>
      </c>
      <c r="J3490" s="26" t="str">
        <f>IF(OR(E3490="",E3490="!!!",F3490="NEW"),"",COUNTBLANK(OFFSET(A$1,,,SUMPRODUCT(MAX(ROW(E$2:E3490)*(E3490=E$2:E3490)))))-COUNTBLANK(OFFSET(A$1,,,SUMPRODUCT(MAX(ROW(E$1:E3489)*(E2=E$1:E3489))))))</f>
        <v> </v>
      </c>
      <c r="K3490" s="26" t="str">
        <f>IF(OR(E3490="",E3490="!!!",F3490="NEW"),"",INDEX(J$1:J3489,SUMPRODUCT(MAX(ROW(E$1:E3489)*(E3490=E$1:E3489)))))</f>
        <v> </v>
      </c>
      <c r="L3490" s="27"/>
    </row>
    <row r="3491" spans="1:12">
      <c r="A3491" s="20" t="s">
        <v>1091</v>
      </c>
      <c r="E3491" s="22">
        <f>IF(D3491="?OLD","!!!","")</f>
        <v/>
      </c>
      <c r="F3491" s="23" t="str">
        <f>IF(OR(E3491="",E3491="!!!"),"",IF(NOT(ISNA(VLOOKUP(E3491,E$1:E3490,1,FALSE()))),"OLD",IF(AND(E3491&lt;&gt;"",E3491&lt;&gt;"!!!"),"NEW","")))</f>
        <v> </v>
      </c>
      <c r="G3491" s="24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5" t="str">
        <f>IF(J3491&lt;&gt;1,"",IF(I3491="SBJ","CB","?"))</f>
        <v> </v>
      </c>
      <c r="I3491" s="26" t="str">
        <f>IF(OR(E3491="",E3491="!!!",F3491="NEW"),"",INDEX(B3490:B$2,-1+SUMPRODUCT(MAX(ROW(E3490:E$2)*(E3491=E3490:E$2)))))</f>
        <v> </v>
      </c>
      <c r="J3491" s="26" t="str">
        <f>IF(OR(E3491="",E3491="!!!",F3491="NEW"),"",COUNTBLANK(OFFSET(A$1,,,SUMPRODUCT(MAX(ROW(E$2:E3491)*(E3491=E$2:E3491)))))-COUNTBLANK(OFFSET(A$1,,,SUMPRODUCT(MAX(ROW(E$1:E3490)*(E2=E$1:E3490))))))</f>
        <v> </v>
      </c>
      <c r="K3491" s="26" t="str">
        <f>IF(OR(E3491="",E3491="!!!",F3491="NEW"),"",INDEX(J$1:J3490,SUMPRODUCT(MAX(ROW(E$1:E3490)*(E3491=E$1:E3490)))))</f>
        <v> </v>
      </c>
      <c r="L3491" s="27"/>
    </row>
    <row r="3492" spans="1:12">
      <c r="A3492" s="20" t="s">
        <v>2434</v>
      </c>
      <c r="E3492" s="22">
        <f>IF(D3492="?OLD","!!!","")</f>
        <v/>
      </c>
      <c r="F3492" s="23" t="str">
        <f>IF(OR(E3492="",E3492="!!!"),"",IF(NOT(ISNA(VLOOKUP(E3492,E$1:E3491,1,FALSE()))),"OLD",IF(AND(E3492&lt;&gt;"",E3492&lt;&gt;"!!!"),"NEW","")))</f>
        <v> </v>
      </c>
      <c r="G3492" s="24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5" t="str">
        <f>IF(J3492&lt;&gt;1,"",IF(I3492="SBJ","CB","?"))</f>
        <v> </v>
      </c>
      <c r="I3492" s="26" t="str">
        <f>IF(OR(E3492="",E3492="!!!",F3492="NEW"),"",INDEX(B3491:B$2,-1+SUMPRODUCT(MAX(ROW(E3491:E$2)*(E3492=E3491:E$2)))))</f>
        <v> </v>
      </c>
      <c r="J3492" s="26" t="str">
        <f>IF(OR(E3492="",E3492="!!!",F3492="NEW"),"",COUNTBLANK(OFFSET(A$1,,,SUMPRODUCT(MAX(ROW(E$2:E3492)*(E3492=E$2:E3492)))))-COUNTBLANK(OFFSET(A$1,,,SUMPRODUCT(MAX(ROW(E$1:E3491)*(E2=E$1:E3491))))))</f>
        <v> </v>
      </c>
      <c r="K3492" s="26" t="str">
        <f>IF(OR(E3492="",E3492="!!!",F3492="NEW"),"",INDEX(J$1:J3491,SUMPRODUCT(MAX(ROW(E$1:E3491)*(E3492=E$1:E3491)))))</f>
        <v> </v>
      </c>
      <c r="L3492" s="27"/>
    </row>
    <row r="3493" spans="1:12">
      <c r="A3493" s="20" t="s">
        <v>1106</v>
      </c>
      <c r="E3493" s="22">
        <f>IF(D3493="?OLD","!!!","")</f>
        <v/>
      </c>
      <c r="F3493" s="23" t="str">
        <f>IF(OR(E3493="",E3493="!!!"),"",IF(NOT(ISNA(VLOOKUP(E3493,E$1:E3492,1,FALSE()))),"OLD",IF(AND(E3493&lt;&gt;"",E3493&lt;&gt;"!!!"),"NEW","")))</f>
        <v> </v>
      </c>
      <c r="G3493" s="24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5" t="str">
        <f>IF(J3493&lt;&gt;1,"",IF(I3493="SBJ","CB","?"))</f>
        <v> </v>
      </c>
      <c r="I3493" s="26" t="str">
        <f>IF(OR(E3493="",E3493="!!!",F3493="NEW"),"",INDEX(B3492:B$2,-1+SUMPRODUCT(MAX(ROW(E3492:E$2)*(E3493=E3492:E$2)))))</f>
        <v> </v>
      </c>
      <c r="J3493" s="26" t="str">
        <f>IF(OR(E3493="",E3493="!!!",F3493="NEW"),"",COUNTBLANK(OFFSET(A$1,,,SUMPRODUCT(MAX(ROW(E$2:E3493)*(E3493=E$2:E3493)))))-COUNTBLANK(OFFSET(A$1,,,SUMPRODUCT(MAX(ROW(E$1:E3492)*(E2=E$1:E3492))))))</f>
        <v> </v>
      </c>
      <c r="K3493" s="26" t="str">
        <f>IF(OR(E3493="",E3493="!!!",F3493="NEW"),"",INDEX(J$1:J3492,SUMPRODUCT(MAX(ROW(E$1:E3492)*(E3493=E$1:E3492)))))</f>
        <v> </v>
      </c>
      <c r="L3493" s="27"/>
    </row>
    <row r="3494" spans="1:12">
      <c r="A3494" s="20"/>
    </row>
    <row r="3495" spans="1:12">
      <c r="A3495" s="20" t="s">
        <v>2435</v>
      </c>
    </row>
    <row r="3496" spans="1:12">
      <c r="A3496" s="20" t="s">
        <v>2436</v>
      </c>
      <c r="E3496" s="22">
        <f>IF(D3496="?OLD","!!!","")</f>
        <v/>
      </c>
      <c r="F3496" s="23" t="str">
        <f>IF(OR(E3496="",E3496="!!!"),"",IF(NOT(ISNA(VLOOKUP(E3496,E$1:E3495,1,FALSE()))),"OLD",IF(AND(E3496&lt;&gt;"",E3496&lt;&gt;"!!!"),"NEW","")))</f>
        <v> </v>
      </c>
      <c r="G3496" s="24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5" t="str">
        <f>IF(J3496&lt;&gt;1,"",IF(I3496="SBJ","CB","?"))</f>
        <v> </v>
      </c>
      <c r="I3496" s="26" t="str">
        <f>IF(OR(E3496="",E3496="!!!",F3496="NEW"),"",INDEX(B3495:B$2,-1+SUMPRODUCT(MAX(ROW(E3495:E$2)*(E3496=E3495:E$2)))))</f>
        <v> </v>
      </c>
      <c r="J3496" s="26" t="str">
        <f>IF(OR(E3496="",E3496="!!!",F3496="NEW"),"",COUNTBLANK(OFFSET(A$1,,,SUMPRODUCT(MAX(ROW(E$2:E3496)*(E3496=E$2:E3496)))))-COUNTBLANK(OFFSET(A$1,,,SUMPRODUCT(MAX(ROW(E$1:E3495)*(E2=E$1:E3495))))))</f>
        <v> </v>
      </c>
      <c r="K3496" s="26" t="str">
        <f>IF(OR(E3496="",E3496="!!!",F3496="NEW"),"",INDEX(J$1:J3495,SUMPRODUCT(MAX(ROW(E$1:E3495)*(E3496=E$1:E3495)))))</f>
        <v> </v>
      </c>
      <c r="L3496" s="27"/>
    </row>
    <row r="3497" spans="1:12">
      <c r="A3497" s="20" t="s">
        <v>2090</v>
      </c>
      <c r="E3497" s="22">
        <f>IF(D3497="?OLD","!!!","")</f>
        <v/>
      </c>
      <c r="F3497" s="23" t="str">
        <f>IF(OR(E3497="",E3497="!!!"),"",IF(NOT(ISNA(VLOOKUP(E3497,E$1:E3496,1,FALSE()))),"OLD",IF(AND(E3497&lt;&gt;"",E3497&lt;&gt;"!!!"),"NEW","")))</f>
        <v> </v>
      </c>
      <c r="G3497" s="24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5" t="str">
        <f>IF(J3497&lt;&gt;1,"",IF(I3497="SBJ","CB","?"))</f>
        <v> </v>
      </c>
      <c r="I3497" s="26" t="str">
        <f>IF(OR(E3497="",E3497="!!!",F3497="NEW"),"",INDEX(B3496:B$2,-1+SUMPRODUCT(MAX(ROW(E3496:E$2)*(E3497=E3496:E$2)))))</f>
        <v> </v>
      </c>
      <c r="J3497" s="26" t="str">
        <f>IF(OR(E3497="",E3497="!!!",F3497="NEW"),"",COUNTBLANK(OFFSET(A$1,,,SUMPRODUCT(MAX(ROW(E$2:E3497)*(E3497=E$2:E3497)))))-COUNTBLANK(OFFSET(A$1,,,SUMPRODUCT(MAX(ROW(E$1:E3496)*(E2=E$1:E3496))))))</f>
        <v> </v>
      </c>
      <c r="K3497" s="26" t="str">
        <f>IF(OR(E3497="",E3497="!!!",F3497="NEW"),"",INDEX(J$1:J3496,SUMPRODUCT(MAX(ROW(E$1:E3496)*(E3497=E$1:E3496)))))</f>
        <v> </v>
      </c>
      <c r="L3497" s="27"/>
    </row>
    <row r="3498" spans="1:12">
      <c r="A3498" s="20" t="s">
        <v>1087</v>
      </c>
      <c r="B3498" s="21" t="s">
        <v>1109</v>
      </c>
      <c r="C3498" s="21" t="s">
        <v>1081</v>
      </c>
      <c r="D3498" s="21" t="s">
        <v>1074</v>
      </c>
      <c r="E3498" s="22">
        <f>IF(D3498="?OLD","!!!","")</f>
        <v/>
      </c>
      <c r="F3498" s="23" t="str">
        <f>IF(OR(E3498="",E3498="!!!"),"",IF(NOT(ISNA(VLOOKUP(E3498,E$1:E3497,1,FALSE()))),"OLD",IF(AND(E3498&lt;&gt;"",E3498&lt;&gt;"!!!"),"NEW","")))</f>
        <v> </v>
      </c>
      <c r="G3498" s="24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5" t="str">
        <f>IF(J3498&lt;&gt;1,"",IF(I3498="SBJ","CB","?"))</f>
        <v> </v>
      </c>
      <c r="I3498" s="26" t="str">
        <f>IF(OR(E3498="",E3498="!!!",F3498="NEW"),"",INDEX(B3497:B$2,-1+SUMPRODUCT(MAX(ROW(E3497:E$2)*(E3498=E3497:E$2)))))</f>
        <v> </v>
      </c>
      <c r="J3498" s="26" t="str">
        <f>IF(OR(E3498="",E3498="!!!",F3498="NEW"),"",COUNTBLANK(OFFSET(A$1,,,SUMPRODUCT(MAX(ROW(E$2:E3498)*(E3498=E$2:E3498)))))-COUNTBLANK(OFFSET(A$1,,,SUMPRODUCT(MAX(ROW(E$1:E3497)*(E2=E$1:E3497))))))</f>
        <v> </v>
      </c>
      <c r="K3498" s="26" t="str">
        <f>IF(OR(E3498="",E3498="!!!",F3498="NEW"),"",INDEX(J$1:J3497,SUMPRODUCT(MAX(ROW(E$1:E3497)*(E3498=E$1:E3497)))))</f>
        <v> </v>
      </c>
      <c r="L3498" s="27"/>
    </row>
    <row r="3499" spans="1:12">
      <c r="A3499" s="20" t="s">
        <v>1217</v>
      </c>
      <c r="E3499" s="22">
        <f>IF(D3499="?OLD","!!!","")</f>
        <v/>
      </c>
      <c r="F3499" s="23" t="str">
        <f>IF(OR(E3499="",E3499="!!!"),"",IF(NOT(ISNA(VLOOKUP(E3499,E$1:E3498,1,FALSE()))),"OLD",IF(AND(E3499&lt;&gt;"",E3499&lt;&gt;"!!!"),"NEW","")))</f>
        <v> </v>
      </c>
      <c r="G3499" s="24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5" t="str">
        <f>IF(J3499&lt;&gt;1,"",IF(I3499="SBJ","CB","?"))</f>
        <v> </v>
      </c>
      <c r="I3499" s="26" t="str">
        <f>IF(OR(E3499="",E3499="!!!",F3499="NEW"),"",INDEX(B3498:B$2,-1+SUMPRODUCT(MAX(ROW(E3498:E$2)*(E3499=E3498:E$2)))))</f>
        <v> </v>
      </c>
      <c r="J3499" s="26" t="str">
        <f>IF(OR(E3499="",E3499="!!!",F3499="NEW"),"",COUNTBLANK(OFFSET(A$1,,,SUMPRODUCT(MAX(ROW(E$2:E3499)*(E3499=E$2:E3499)))))-COUNTBLANK(OFFSET(A$1,,,SUMPRODUCT(MAX(ROW(E$1:E3498)*(E2=E$1:E3498))))))</f>
        <v> </v>
      </c>
      <c r="K3499" s="26" t="str">
        <f>IF(OR(E3499="",E3499="!!!",F3499="NEW"),"",INDEX(J$1:J3498,SUMPRODUCT(MAX(ROW(E$1:E3498)*(E3499=E$1:E3498)))))</f>
        <v> </v>
      </c>
      <c r="L3499" s="27"/>
    </row>
    <row r="3500" spans="1:12">
      <c r="A3500" s="20" t="s">
        <v>2437</v>
      </c>
      <c r="E3500" s="22">
        <f>IF(D3500="?OLD","!!!","")</f>
        <v/>
      </c>
      <c r="F3500" s="23" t="str">
        <f>IF(OR(E3500="",E3500="!!!"),"",IF(NOT(ISNA(VLOOKUP(E3500,E$1:E3499,1,FALSE()))),"OLD",IF(AND(E3500&lt;&gt;"",E3500&lt;&gt;"!!!"),"NEW","")))</f>
        <v> </v>
      </c>
      <c r="G3500" s="24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5" t="str">
        <f>IF(J3500&lt;&gt;1,"",IF(I3500="SBJ","CB","?"))</f>
        <v> </v>
      </c>
      <c r="I3500" s="26" t="str">
        <f>IF(OR(E3500="",E3500="!!!",F3500="NEW"),"",INDEX(B3499:B$2,-1+SUMPRODUCT(MAX(ROW(E3499:E$2)*(E3500=E3499:E$2)))))</f>
        <v> </v>
      </c>
      <c r="J3500" s="26" t="str">
        <f>IF(OR(E3500="",E3500="!!!",F3500="NEW"),"",COUNTBLANK(OFFSET(A$1,,,SUMPRODUCT(MAX(ROW(E$2:E3500)*(E3500=E$2:E3500)))))-COUNTBLANK(OFFSET(A$1,,,SUMPRODUCT(MAX(ROW(E$1:E3499)*(E2=E$1:E3499))))))</f>
        <v> </v>
      </c>
      <c r="K3500" s="26" t="str">
        <f>IF(OR(E3500="",E3500="!!!",F3500="NEW"),"",INDEX(J$1:J3499,SUMPRODUCT(MAX(ROW(E$1:E3499)*(E3500=E$1:E3499)))))</f>
        <v> </v>
      </c>
      <c r="L3500" s="27"/>
    </row>
    <row r="3501" spans="1:12">
      <c r="A3501" s="20" t="s">
        <v>2420</v>
      </c>
      <c r="B3501" s="21" t="s">
        <v>1072</v>
      </c>
      <c r="C3501" s="21" t="s">
        <v>1154</v>
      </c>
      <c r="E3501" s="22">
        <f>IF(D3501="?OLD","!!!","")</f>
        <v/>
      </c>
      <c r="F3501" s="23" t="str">
        <f>IF(OR(E3501="",E3501="!!!"),"",IF(NOT(ISNA(VLOOKUP(E3501,E$1:E3500,1,FALSE()))),"OLD",IF(AND(E3501&lt;&gt;"",E3501&lt;&gt;"!!!"),"NEW","")))</f>
        <v> </v>
      </c>
      <c r="G3501" s="24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5" t="str">
        <f>IF(J3501&lt;&gt;1,"",IF(I3501="SBJ","CB","?"))</f>
        <v> </v>
      </c>
      <c r="I3501" s="26" t="str">
        <f>IF(OR(E3501="",E3501="!!!",F3501="NEW"),"",INDEX(B3500:B$2,-1+SUMPRODUCT(MAX(ROW(E3500:E$2)*(E3501=E3500:E$2)))))</f>
        <v> </v>
      </c>
      <c r="J3501" s="26" t="str">
        <f>IF(OR(E3501="",E3501="!!!",F3501="NEW"),"",COUNTBLANK(OFFSET(A$1,,,SUMPRODUCT(MAX(ROW(E$2:E3501)*(E3501=E$2:E3501)))))-COUNTBLANK(OFFSET(A$1,,,SUMPRODUCT(MAX(ROW(E$1:E3500)*(E2=E$1:E3500))))))</f>
        <v> </v>
      </c>
      <c r="K3501" s="26" t="str">
        <f>IF(OR(E3501="",E3501="!!!",F3501="NEW"),"",INDEX(J$1:J3500,SUMPRODUCT(MAX(ROW(E$1:E3500)*(E3501=E$1:E3500)))))</f>
        <v> </v>
      </c>
      <c r="L3501" s="27"/>
    </row>
    <row r="3502" spans="1:12">
      <c r="A3502" s="20" t="s">
        <v>1085</v>
      </c>
      <c r="E3502" s="22">
        <f>IF(D3502="?OLD","!!!","")</f>
        <v/>
      </c>
      <c r="F3502" s="23" t="str">
        <f>IF(OR(E3502="",E3502="!!!"),"",IF(NOT(ISNA(VLOOKUP(E3502,E$1:E3501,1,FALSE()))),"OLD",IF(AND(E3502&lt;&gt;"",E3502&lt;&gt;"!!!"),"NEW","")))</f>
        <v> </v>
      </c>
      <c r="G3502" s="24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5" t="str">
        <f>IF(J3502&lt;&gt;1,"",IF(I3502="SBJ","CB","?"))</f>
        <v> </v>
      </c>
      <c r="I3502" s="26" t="str">
        <f>IF(OR(E3502="",E3502="!!!",F3502="NEW"),"",INDEX(B3501:B$2,-1+SUMPRODUCT(MAX(ROW(E3501:E$2)*(E3502=E3501:E$2)))))</f>
        <v> </v>
      </c>
      <c r="J3502" s="26" t="str">
        <f>IF(OR(E3502="",E3502="!!!",F3502="NEW"),"",COUNTBLANK(OFFSET(A$1,,,SUMPRODUCT(MAX(ROW(E$2:E3502)*(E3502=E$2:E3502)))))-COUNTBLANK(OFFSET(A$1,,,SUMPRODUCT(MAX(ROW(E$1:E3501)*(E2=E$1:E3501))))))</f>
        <v> </v>
      </c>
      <c r="K3502" s="26" t="str">
        <f>IF(OR(E3502="",E3502="!!!",F3502="NEW"),"",INDEX(J$1:J3501,SUMPRODUCT(MAX(ROW(E$1:E3501)*(E3502=E$1:E3501)))))</f>
        <v> </v>
      </c>
      <c r="L3502" s="27"/>
    </row>
    <row r="3503" spans="1:12">
      <c r="A3503" s="20" t="s">
        <v>1415</v>
      </c>
      <c r="E3503" s="22">
        <f>IF(D3503="?OLD","!!!","")</f>
        <v/>
      </c>
      <c r="F3503" s="23" t="str">
        <f>IF(OR(E3503="",E3503="!!!"),"",IF(NOT(ISNA(VLOOKUP(E3503,E$1:E3502,1,FALSE()))),"OLD",IF(AND(E3503&lt;&gt;"",E3503&lt;&gt;"!!!"),"NEW","")))</f>
        <v> </v>
      </c>
      <c r="G3503" s="24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5" t="str">
        <f>IF(J3503&lt;&gt;1,"",IF(I3503="SBJ","CB","?"))</f>
        <v> </v>
      </c>
      <c r="I3503" s="26" t="str">
        <f>IF(OR(E3503="",E3503="!!!",F3503="NEW"),"",INDEX(B3502:B$2,-1+SUMPRODUCT(MAX(ROW(E3502:E$2)*(E3503=E3502:E$2)))))</f>
        <v> </v>
      </c>
      <c r="J3503" s="26" t="str">
        <f>IF(OR(E3503="",E3503="!!!",F3503="NEW"),"",COUNTBLANK(OFFSET(A$1,,,SUMPRODUCT(MAX(ROW(E$2:E3503)*(E3503=E$2:E3503)))))-COUNTBLANK(OFFSET(A$1,,,SUMPRODUCT(MAX(ROW(E$1:E3502)*(E2=E$1:E3502))))))</f>
        <v> </v>
      </c>
      <c r="K3503" s="26" t="str">
        <f>IF(OR(E3503="",E3503="!!!",F3503="NEW"),"",INDEX(J$1:J3502,SUMPRODUCT(MAX(ROW(E$1:E3502)*(E3503=E$1:E3502)))))</f>
        <v> </v>
      </c>
      <c r="L3503" s="27"/>
    </row>
    <row r="3504" spans="1:12">
      <c r="A3504" s="20" t="s">
        <v>2438</v>
      </c>
      <c r="E3504" s="22">
        <f>IF(D3504="?OLD","!!!","")</f>
        <v/>
      </c>
      <c r="F3504" s="23" t="str">
        <f>IF(OR(E3504="",E3504="!!!"),"",IF(NOT(ISNA(VLOOKUP(E3504,E$1:E3503,1,FALSE()))),"OLD",IF(AND(E3504&lt;&gt;"",E3504&lt;&gt;"!!!"),"NEW","")))</f>
        <v> </v>
      </c>
      <c r="G3504" s="24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5" t="str">
        <f>IF(J3504&lt;&gt;1,"",IF(I3504="SBJ","CB","?"))</f>
        <v> </v>
      </c>
      <c r="I3504" s="26" t="str">
        <f>IF(OR(E3504="",E3504="!!!",F3504="NEW"),"",INDEX(B3503:B$2,-1+SUMPRODUCT(MAX(ROW(E3503:E$2)*(E3504=E3503:E$2)))))</f>
        <v> </v>
      </c>
      <c r="J3504" s="26" t="str">
        <f>IF(OR(E3504="",E3504="!!!",F3504="NEW"),"",COUNTBLANK(OFFSET(A$1,,,SUMPRODUCT(MAX(ROW(E$2:E3504)*(E3504=E$2:E3504)))))-COUNTBLANK(OFFSET(A$1,,,SUMPRODUCT(MAX(ROW(E$1:E3503)*(E2=E$1:E3503))))))</f>
        <v> </v>
      </c>
      <c r="K3504" s="26" t="str">
        <f>IF(OR(E3504="",E3504="!!!",F3504="NEW"),"",INDEX(J$1:J3503,SUMPRODUCT(MAX(ROW(E$1:E3503)*(E3504=E$1:E3503)))))</f>
        <v> </v>
      </c>
      <c r="L3504" s="27"/>
    </row>
    <row r="3505" spans="1:12">
      <c r="A3505" s="20" t="s">
        <v>1346</v>
      </c>
      <c r="B3505" s="21" t="s">
        <v>1137</v>
      </c>
      <c r="C3505" s="21" t="s">
        <v>1095</v>
      </c>
      <c r="D3505" s="21" t="s">
        <v>1074</v>
      </c>
      <c r="E3505" s="22">
        <f>IF(D3505="?OLD","!!!","")</f>
        <v/>
      </c>
      <c r="F3505" s="23" t="str">
        <f>IF(OR(E3505="",E3505="!!!"),"",IF(NOT(ISNA(VLOOKUP(E3505,E$1:E3504,1,FALSE()))),"OLD",IF(AND(E3505&lt;&gt;"",E3505&lt;&gt;"!!!"),"NEW","")))</f>
        <v> </v>
      </c>
      <c r="G3505" s="24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5" t="str">
        <f>IF(J3505&lt;&gt;1,"",IF(I3505="SBJ","CB","?"))</f>
        <v> </v>
      </c>
      <c r="I3505" s="26" t="str">
        <f>IF(OR(E3505="",E3505="!!!",F3505="NEW"),"",INDEX(B3504:B$2,-1+SUMPRODUCT(MAX(ROW(E3504:E$2)*(E3505=E3504:E$2)))))</f>
        <v> </v>
      </c>
      <c r="J3505" s="26" t="str">
        <f>IF(OR(E3505="",E3505="!!!",F3505="NEW"),"",COUNTBLANK(OFFSET(A$1,,,SUMPRODUCT(MAX(ROW(E$2:E3505)*(E3505=E$2:E3505)))))-COUNTBLANK(OFFSET(A$1,,,SUMPRODUCT(MAX(ROW(E$1:E3504)*(E2=E$1:E3504))))))</f>
        <v> </v>
      </c>
      <c r="K3505" s="26" t="str">
        <f>IF(OR(E3505="",E3505="!!!",F3505="NEW"),"",INDEX(J$1:J3504,SUMPRODUCT(MAX(ROW(E$1:E3504)*(E3505=E$1:E3504)))))</f>
        <v> </v>
      </c>
      <c r="L3505" s="27"/>
    </row>
    <row r="3506" spans="1:12">
      <c r="A3506" s="20" t="s">
        <v>1590</v>
      </c>
      <c r="B3506" s="21" t="s">
        <v>1077</v>
      </c>
      <c r="E3506" s="22">
        <f>IF(D3506="?OLD","!!!","")</f>
        <v/>
      </c>
      <c r="F3506" s="23" t="str">
        <f>IF(OR(E3506="",E3506="!!!"),"",IF(NOT(ISNA(VLOOKUP(E3506,E$1:E3505,1,FALSE()))),"OLD",IF(AND(E3506&lt;&gt;"",E3506&lt;&gt;"!!!"),"NEW","")))</f>
        <v> </v>
      </c>
      <c r="G3506" s="24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5" t="str">
        <f>IF(J3506&lt;&gt;1,"",IF(I3506="SBJ","CB","?"))</f>
        <v> </v>
      </c>
      <c r="I3506" s="26" t="str">
        <f>IF(OR(E3506="",E3506="!!!",F3506="NEW"),"",INDEX(B3505:B$2,-1+SUMPRODUCT(MAX(ROW(E3505:E$2)*(E3506=E3505:E$2)))))</f>
        <v> </v>
      </c>
      <c r="J3506" s="26" t="str">
        <f>IF(OR(E3506="",E3506="!!!",F3506="NEW"),"",COUNTBLANK(OFFSET(A$1,,,SUMPRODUCT(MAX(ROW(E$2:E3506)*(E3506=E$2:E3506)))))-COUNTBLANK(OFFSET(A$1,,,SUMPRODUCT(MAX(ROW(E$1:E3505)*(E2=E$1:E3505))))))</f>
        <v> </v>
      </c>
      <c r="K3506" s="26" t="str">
        <f>IF(OR(E3506="",E3506="!!!",F3506="NEW"),"",INDEX(J$1:J3505,SUMPRODUCT(MAX(ROW(E$1:E3505)*(E3506=E$1:E3505)))))</f>
        <v> </v>
      </c>
      <c r="L3506" s="27"/>
    </row>
    <row r="3507" spans="1:12">
      <c r="A3507" s="20" t="s">
        <v>1106</v>
      </c>
      <c r="E3507" s="22">
        <f>IF(D3507="?OLD","!!!","")</f>
        <v/>
      </c>
      <c r="F3507" s="23" t="str">
        <f>IF(OR(E3507="",E3507="!!!"),"",IF(NOT(ISNA(VLOOKUP(E3507,E$1:E3506,1,FALSE()))),"OLD",IF(AND(E3507&lt;&gt;"",E3507&lt;&gt;"!!!"),"NEW","")))</f>
        <v> </v>
      </c>
      <c r="G3507" s="24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5" t="str">
        <f>IF(J3507&lt;&gt;1,"",IF(I3507="SBJ","CB","?"))</f>
        <v> </v>
      </c>
      <c r="I3507" s="26" t="str">
        <f>IF(OR(E3507="",E3507="!!!",F3507="NEW"),"",INDEX(B3506:B$2,-1+SUMPRODUCT(MAX(ROW(E3506:E$2)*(E3507=E3506:E$2)))))</f>
        <v> </v>
      </c>
      <c r="J3507" s="26" t="str">
        <f>IF(OR(E3507="",E3507="!!!",F3507="NEW"),"",COUNTBLANK(OFFSET(A$1,,,SUMPRODUCT(MAX(ROW(E$2:E3507)*(E3507=E$2:E3507)))))-COUNTBLANK(OFFSET(A$1,,,SUMPRODUCT(MAX(ROW(E$1:E3506)*(E2=E$1:E3506))))))</f>
        <v> </v>
      </c>
      <c r="K3507" s="26" t="str">
        <f>IF(OR(E3507="",E3507="!!!",F3507="NEW"),"",INDEX(J$1:J3506,SUMPRODUCT(MAX(ROW(E$1:E3506)*(E3507=E$1:E3506)))))</f>
        <v> </v>
      </c>
      <c r="L3507" s="27"/>
    </row>
    <row r="3508" spans="1:12">
      <c r="A3508" s="20"/>
    </row>
    <row r="3509" spans="1:12">
      <c r="A3509" s="20" t="s">
        <v>2439</v>
      </c>
    </row>
    <row r="3510" spans="1:12">
      <c r="A3510" s="20" t="s">
        <v>1133</v>
      </c>
      <c r="B3510" s="21" t="s">
        <v>1109</v>
      </c>
      <c r="C3510" s="21" t="s">
        <v>1081</v>
      </c>
      <c r="D3510" s="21" t="s">
        <v>1074</v>
      </c>
      <c r="E3510" s="22">
        <f>IF(D3510="?OLD","!!!","")</f>
        <v/>
      </c>
      <c r="F3510" s="23" t="str">
        <f>IF(OR(E3510="",E3510="!!!"),"",IF(NOT(ISNA(VLOOKUP(E3510,E$1:E3509,1,FALSE()))),"OLD",IF(AND(E3510&lt;&gt;"",E3510&lt;&gt;"!!!"),"NEW","")))</f>
        <v> </v>
      </c>
      <c r="G3510" s="24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5" t="str">
        <f>IF(J3510&lt;&gt;1,"",IF(I3510="SBJ","CB","?"))</f>
        <v> </v>
      </c>
      <c r="I3510" s="26" t="str">
        <f>IF(OR(E3510="",E3510="!!!",F3510="NEW"),"",INDEX(B3509:B$2,-1+SUMPRODUCT(MAX(ROW(E3509:E$2)*(E3510=E3509:E$2)))))</f>
        <v> </v>
      </c>
      <c r="J3510" s="26" t="str">
        <f>IF(OR(E3510="",E3510="!!!",F3510="NEW"),"",COUNTBLANK(OFFSET(A$1,,,SUMPRODUCT(MAX(ROW(E$2:E3510)*(E3510=E$2:E3510)))))-COUNTBLANK(OFFSET(A$1,,,SUMPRODUCT(MAX(ROW(E$1:E3509)*(E2=E$1:E3509))))))</f>
        <v> </v>
      </c>
      <c r="K3510" s="26" t="str">
        <f>IF(OR(E3510="",E3510="!!!",F3510="NEW"),"",INDEX(J$1:J3509,SUMPRODUCT(MAX(ROW(E$1:E3509)*(E3510=E$1:E3509)))))</f>
        <v> </v>
      </c>
      <c r="L3510" s="27"/>
    </row>
    <row r="3511" spans="1:12">
      <c r="A3511" s="20" t="s">
        <v>1244</v>
      </c>
      <c r="E3511" s="22">
        <f>IF(D3511="?OLD","!!!","")</f>
        <v/>
      </c>
      <c r="F3511" s="23" t="str">
        <f>IF(OR(E3511="",E3511="!!!"),"",IF(NOT(ISNA(VLOOKUP(E3511,E$1:E3510,1,FALSE()))),"OLD",IF(AND(E3511&lt;&gt;"",E3511&lt;&gt;"!!!"),"NEW","")))</f>
        <v> </v>
      </c>
      <c r="G3511" s="24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5" t="str">
        <f>IF(J3511&lt;&gt;1,"",IF(I3511="SBJ","CB","?"))</f>
        <v> </v>
      </c>
      <c r="I3511" s="26" t="str">
        <f>IF(OR(E3511="",E3511="!!!",F3511="NEW"),"",INDEX(B3510:B$2,-1+SUMPRODUCT(MAX(ROW(E3510:E$2)*(E3511=E3510:E$2)))))</f>
        <v> </v>
      </c>
      <c r="J3511" s="26" t="str">
        <f>IF(OR(E3511="",E3511="!!!",F3511="NEW"),"",COUNTBLANK(OFFSET(A$1,,,SUMPRODUCT(MAX(ROW(E$2:E3511)*(E3511=E$2:E3511)))))-COUNTBLANK(OFFSET(A$1,,,SUMPRODUCT(MAX(ROW(E$1:E3510)*(E2=E$1:E3510))))))</f>
        <v> </v>
      </c>
      <c r="K3511" s="26" t="str">
        <f>IF(OR(E3511="",E3511="!!!",F3511="NEW"),"",INDEX(J$1:J3510,SUMPRODUCT(MAX(ROW(E$1:E3510)*(E3511=E$1:E3510)))))</f>
        <v> </v>
      </c>
      <c r="L3511" s="27"/>
    </row>
    <row r="3512" spans="1:12">
      <c r="A3512" s="20" t="s">
        <v>208</v>
      </c>
      <c r="E3512" s="22">
        <f>IF(D3512="?OLD","!!!","")</f>
        <v/>
      </c>
      <c r="F3512" s="23" t="str">
        <f>IF(OR(E3512="",E3512="!!!"),"",IF(NOT(ISNA(VLOOKUP(E3512,E$1:E3511,1,FALSE()))),"OLD",IF(AND(E3512&lt;&gt;"",E3512&lt;&gt;"!!!"),"NEW","")))</f>
        <v> </v>
      </c>
      <c r="G3512" s="24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5" t="str">
        <f>IF(J3512&lt;&gt;1,"",IF(I3512="SBJ","CB","?"))</f>
        <v> </v>
      </c>
      <c r="I3512" s="26" t="str">
        <f>IF(OR(E3512="",E3512="!!!",F3512="NEW"),"",INDEX(B3511:B$2,-1+SUMPRODUCT(MAX(ROW(E3511:E$2)*(E3512=E3511:E$2)))))</f>
        <v> </v>
      </c>
      <c r="J3512" s="26" t="str">
        <f>IF(OR(E3512="",E3512="!!!",F3512="NEW"),"",COUNTBLANK(OFFSET(A$1,,,SUMPRODUCT(MAX(ROW(E$2:E3512)*(E3512=E$2:E3512)))))-COUNTBLANK(OFFSET(A$1,,,SUMPRODUCT(MAX(ROW(E$1:E3511)*(E2=E$1:E3511))))))</f>
        <v> </v>
      </c>
      <c r="K3512" s="26" t="str">
        <f>IF(OR(E3512="",E3512="!!!",F3512="NEW"),"",INDEX(J$1:J3511,SUMPRODUCT(MAX(ROW(E$1:E3511)*(E3512=E$1:E3511)))))</f>
        <v> </v>
      </c>
      <c r="L3512" s="27"/>
    </row>
    <row r="3513" spans="1:12">
      <c r="A3513" s="20" t="s">
        <v>1436</v>
      </c>
      <c r="B3513" s="21" t="s">
        <v>1080</v>
      </c>
      <c r="C3513" s="21" t="s">
        <v>1154</v>
      </c>
      <c r="D3513" s="21" t="s">
        <v>1074</v>
      </c>
      <c r="E3513" s="22">
        <f>IF(D3513="?OLD","!!!","")</f>
        <v/>
      </c>
      <c r="F3513" s="23" t="str">
        <f>IF(OR(E3513="",E3513="!!!"),"",IF(NOT(ISNA(VLOOKUP(E3513,E$1:E3512,1,FALSE()))),"OLD",IF(AND(E3513&lt;&gt;"",E3513&lt;&gt;"!!!"),"NEW","")))</f>
        <v> </v>
      </c>
      <c r="G3513" s="24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5" t="str">
        <f>IF(J3513&lt;&gt;1,"",IF(I3513="SBJ","CB","?"))</f>
        <v> </v>
      </c>
      <c r="I3513" s="26" t="str">
        <f>IF(OR(E3513="",E3513="!!!",F3513="NEW"),"",INDEX(B3512:B$2,-1+SUMPRODUCT(MAX(ROW(E3512:E$2)*(E3513=E3512:E$2)))))</f>
        <v> </v>
      </c>
      <c r="J3513" s="26" t="str">
        <f>IF(OR(E3513="",E3513="!!!",F3513="NEW"),"",COUNTBLANK(OFFSET(A$1,,,SUMPRODUCT(MAX(ROW(E$2:E3513)*(E3513=E$2:E3513)))))-COUNTBLANK(OFFSET(A$1,,,SUMPRODUCT(MAX(ROW(E$1:E3512)*(E2=E$1:E3512))))))</f>
        <v> </v>
      </c>
      <c r="K3513" s="26" t="str">
        <f>IF(OR(E3513="",E3513="!!!",F3513="NEW"),"",INDEX(J$1:J3512,SUMPRODUCT(MAX(ROW(E$1:E3512)*(E3513=E$1:E3512)))))</f>
        <v> </v>
      </c>
      <c r="L3513" s="27"/>
    </row>
    <row r="3514" spans="1:12">
      <c r="A3514" s="20" t="s">
        <v>1085</v>
      </c>
      <c r="E3514" s="22">
        <f>IF(D3514="?OLD","!!!","")</f>
        <v/>
      </c>
      <c r="F3514" s="23" t="str">
        <f>IF(OR(E3514="",E3514="!!!"),"",IF(NOT(ISNA(VLOOKUP(E3514,E$1:E3513,1,FALSE()))),"OLD",IF(AND(E3514&lt;&gt;"",E3514&lt;&gt;"!!!"),"NEW","")))</f>
        <v> </v>
      </c>
      <c r="G3514" s="24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5" t="str">
        <f>IF(J3514&lt;&gt;1,"",IF(I3514="SBJ","CB","?"))</f>
        <v> </v>
      </c>
      <c r="I3514" s="26" t="str">
        <f>IF(OR(E3514="",E3514="!!!",F3514="NEW"),"",INDEX(B3513:B$2,-1+SUMPRODUCT(MAX(ROW(E3513:E$2)*(E3514=E3513:E$2)))))</f>
        <v> </v>
      </c>
      <c r="J3514" s="26" t="str">
        <f>IF(OR(E3514="",E3514="!!!",F3514="NEW"),"",COUNTBLANK(OFFSET(A$1,,,SUMPRODUCT(MAX(ROW(E$2:E3514)*(E3514=E$2:E3514)))))-COUNTBLANK(OFFSET(A$1,,,SUMPRODUCT(MAX(ROW(E$1:E3513)*(E2=E$1:E3513))))))</f>
        <v> </v>
      </c>
      <c r="K3514" s="26" t="str">
        <f>IF(OR(E3514="",E3514="!!!",F3514="NEW"),"",INDEX(J$1:J3513,SUMPRODUCT(MAX(ROW(E$1:E3513)*(E3514=E$1:E3513)))))</f>
        <v> </v>
      </c>
      <c r="L3514" s="27"/>
    </row>
    <row r="3515" spans="1:12">
      <c r="A3515" s="20" t="s">
        <v>1086</v>
      </c>
      <c r="E3515" s="22">
        <f>IF(D3515="?OLD","!!!","")</f>
        <v/>
      </c>
      <c r="F3515" s="23" t="str">
        <f>IF(OR(E3515="",E3515="!!!"),"",IF(NOT(ISNA(VLOOKUP(E3515,E$1:E3514,1,FALSE()))),"OLD",IF(AND(E3515&lt;&gt;"",E3515&lt;&gt;"!!!"),"NEW","")))</f>
        <v> </v>
      </c>
      <c r="G3515" s="24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5" t="str">
        <f>IF(J3515&lt;&gt;1,"",IF(I3515="SBJ","CB","?"))</f>
        <v> </v>
      </c>
      <c r="I3515" s="26" t="str">
        <f>IF(OR(E3515="",E3515="!!!",F3515="NEW"),"",INDEX(B3514:B$2,-1+SUMPRODUCT(MAX(ROW(E3514:E$2)*(E3515=E3514:E$2)))))</f>
        <v> </v>
      </c>
      <c r="J3515" s="26" t="str">
        <f>IF(OR(E3515="",E3515="!!!",F3515="NEW"),"",COUNTBLANK(OFFSET(A$1,,,SUMPRODUCT(MAX(ROW(E$2:E3515)*(E3515=E$2:E3515)))))-COUNTBLANK(OFFSET(A$1,,,SUMPRODUCT(MAX(ROW(E$1:E3514)*(E2=E$1:E3514))))))</f>
        <v> </v>
      </c>
      <c r="K3515" s="26" t="str">
        <f>IF(OR(E3515="",E3515="!!!",F3515="NEW"),"",INDEX(J$1:J3514,SUMPRODUCT(MAX(ROW(E$1:E3514)*(E3515=E$1:E3514)))))</f>
        <v> </v>
      </c>
      <c r="L3515" s="27"/>
    </row>
    <row r="3516" spans="1:12">
      <c r="A3516" s="20" t="s">
        <v>1219</v>
      </c>
      <c r="E3516" s="22">
        <f>IF(D3516="?OLD","!!!","")</f>
        <v/>
      </c>
      <c r="F3516" s="23" t="str">
        <f>IF(OR(E3516="",E3516="!!!"),"",IF(NOT(ISNA(VLOOKUP(E3516,E$1:E3515,1,FALSE()))),"OLD",IF(AND(E3516&lt;&gt;"",E3516&lt;&gt;"!!!"),"NEW","")))</f>
        <v> </v>
      </c>
      <c r="G3516" s="24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5" t="str">
        <f>IF(J3516&lt;&gt;1,"",IF(I3516="SBJ","CB","?"))</f>
        <v> </v>
      </c>
      <c r="I3516" s="26" t="str">
        <f>IF(OR(E3516="",E3516="!!!",F3516="NEW"),"",INDEX(B3515:B$2,-1+SUMPRODUCT(MAX(ROW(E3515:E$2)*(E3516=E3515:E$2)))))</f>
        <v> </v>
      </c>
      <c r="J3516" s="26" t="str">
        <f>IF(OR(E3516="",E3516="!!!",F3516="NEW"),"",COUNTBLANK(OFFSET(A$1,,,SUMPRODUCT(MAX(ROW(E$2:E3516)*(E3516=E$2:E3516)))))-COUNTBLANK(OFFSET(A$1,,,SUMPRODUCT(MAX(ROW(E$1:E3515)*(E2=E$1:E3515))))))</f>
        <v> </v>
      </c>
      <c r="K3516" s="26" t="str">
        <f>IF(OR(E3516="",E3516="!!!",F3516="NEW"),"",INDEX(J$1:J3515,SUMPRODUCT(MAX(ROW(E$1:E3515)*(E3516=E$1:E3515)))))</f>
        <v> </v>
      </c>
      <c r="L3516" s="27"/>
    </row>
    <row r="3517" spans="1:12">
      <c r="A3517" s="20" t="s">
        <v>2440</v>
      </c>
      <c r="E3517" s="22">
        <f>IF(D3517="?OLD","!!!","")</f>
        <v/>
      </c>
      <c r="F3517" s="23" t="str">
        <f>IF(OR(E3517="",E3517="!!!"),"",IF(NOT(ISNA(VLOOKUP(E3517,E$1:E3516,1,FALSE()))),"OLD",IF(AND(E3517&lt;&gt;"",E3517&lt;&gt;"!!!"),"NEW","")))</f>
        <v> </v>
      </c>
      <c r="G3517" s="24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5" t="str">
        <f>IF(J3517&lt;&gt;1,"",IF(I3517="SBJ","CB","?"))</f>
        <v> </v>
      </c>
      <c r="I3517" s="26" t="str">
        <f>IF(OR(E3517="",E3517="!!!",F3517="NEW"),"",INDEX(B3516:B$2,-1+SUMPRODUCT(MAX(ROW(E3516:E$2)*(E3517=E3516:E$2)))))</f>
        <v> </v>
      </c>
      <c r="J3517" s="26" t="str">
        <f>IF(OR(E3517="",E3517="!!!",F3517="NEW"),"",COUNTBLANK(OFFSET(A$1,,,SUMPRODUCT(MAX(ROW(E$2:E3517)*(E3517=E$2:E3517)))))-COUNTBLANK(OFFSET(A$1,,,SUMPRODUCT(MAX(ROW(E$1:E3516)*(E2=E$1:E3516))))))</f>
        <v> </v>
      </c>
      <c r="K3517" s="26" t="str">
        <f>IF(OR(E3517="",E3517="!!!",F3517="NEW"),"",INDEX(J$1:J3516,SUMPRODUCT(MAX(ROW(E$1:E3516)*(E3517=E$1:E3516)))))</f>
        <v> </v>
      </c>
      <c r="L3517" s="27"/>
    </row>
    <row r="3518" spans="1:12">
      <c r="A3518" s="20" t="s">
        <v>2441</v>
      </c>
      <c r="E3518" s="22">
        <f>IF(D3518="?OLD","!!!","")</f>
        <v/>
      </c>
      <c r="F3518" s="23" t="str">
        <f>IF(OR(E3518="",E3518="!!!"),"",IF(NOT(ISNA(VLOOKUP(E3518,E$1:E3517,1,FALSE()))),"OLD",IF(AND(E3518&lt;&gt;"",E3518&lt;&gt;"!!!"),"NEW","")))</f>
        <v> </v>
      </c>
      <c r="G3518" s="24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5" t="str">
        <f>IF(J3518&lt;&gt;1,"",IF(I3518="SBJ","CB","?"))</f>
        <v> </v>
      </c>
      <c r="I3518" s="26" t="str">
        <f>IF(OR(E3518="",E3518="!!!",F3518="NEW"),"",INDEX(B3517:B$2,-1+SUMPRODUCT(MAX(ROW(E3517:E$2)*(E3518=E3517:E$2)))))</f>
        <v> </v>
      </c>
      <c r="J3518" s="26" t="str">
        <f>IF(OR(E3518="",E3518="!!!",F3518="NEW"),"",COUNTBLANK(OFFSET(A$1,,,SUMPRODUCT(MAX(ROW(E$2:E3518)*(E3518=E$2:E3518)))))-COUNTBLANK(OFFSET(A$1,,,SUMPRODUCT(MAX(ROW(E$1:E3517)*(E2=E$1:E3517))))))</f>
        <v> </v>
      </c>
      <c r="K3518" s="26" t="str">
        <f>IF(OR(E3518="",E3518="!!!",F3518="NEW"),"",INDEX(J$1:J3517,SUMPRODUCT(MAX(ROW(E$1:E3517)*(E3518=E$1:E3517)))))</f>
        <v> </v>
      </c>
      <c r="L3518" s="27"/>
    </row>
    <row r="3519" spans="1:12">
      <c r="A3519" s="20" t="s">
        <v>2442</v>
      </c>
      <c r="E3519" s="22">
        <f>IF(D3519="?OLD","!!!","")</f>
        <v/>
      </c>
      <c r="F3519" s="23" t="str">
        <f>IF(OR(E3519="",E3519="!!!"),"",IF(NOT(ISNA(VLOOKUP(E3519,E$1:E3518,1,FALSE()))),"OLD",IF(AND(E3519&lt;&gt;"",E3519&lt;&gt;"!!!"),"NEW","")))</f>
        <v> </v>
      </c>
      <c r="G3519" s="24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5" t="str">
        <f>IF(J3519&lt;&gt;1,"",IF(I3519="SBJ","CB","?"))</f>
        <v> </v>
      </c>
      <c r="I3519" s="26" t="str">
        <f>IF(OR(E3519="",E3519="!!!",F3519="NEW"),"",INDEX(B3518:B$2,-1+SUMPRODUCT(MAX(ROW(E3518:E$2)*(E3519=E3518:E$2)))))</f>
        <v> </v>
      </c>
      <c r="J3519" s="26" t="str">
        <f>IF(OR(E3519="",E3519="!!!",F3519="NEW"),"",COUNTBLANK(OFFSET(A$1,,,SUMPRODUCT(MAX(ROW(E$2:E3519)*(E3519=E$2:E3519)))))-COUNTBLANK(OFFSET(A$1,,,SUMPRODUCT(MAX(ROW(E$1:E3518)*(E2=E$1:E3518))))))</f>
        <v> </v>
      </c>
      <c r="K3519" s="26" t="str">
        <f>IF(OR(E3519="",E3519="!!!",F3519="NEW"),"",INDEX(J$1:J3518,SUMPRODUCT(MAX(ROW(E$1:E3518)*(E3519=E$1:E3518)))))</f>
        <v> </v>
      </c>
      <c r="L3519" s="27"/>
    </row>
    <row r="3520" spans="1:12">
      <c r="A3520" s="20" t="s">
        <v>2443</v>
      </c>
      <c r="E3520" s="22">
        <f>IF(D3520="?OLD","!!!","")</f>
        <v/>
      </c>
      <c r="F3520" s="23" t="str">
        <f>IF(OR(E3520="",E3520="!!!"),"",IF(NOT(ISNA(VLOOKUP(E3520,E$1:E3519,1,FALSE()))),"OLD",IF(AND(E3520&lt;&gt;"",E3520&lt;&gt;"!!!"),"NEW","")))</f>
        <v> </v>
      </c>
      <c r="G3520" s="24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5" t="str">
        <f>IF(J3520&lt;&gt;1,"",IF(I3520="SBJ","CB","?"))</f>
        <v> </v>
      </c>
      <c r="I3520" s="26" t="str">
        <f>IF(OR(E3520="",E3520="!!!",F3520="NEW"),"",INDEX(B3519:B$2,-1+SUMPRODUCT(MAX(ROW(E3519:E$2)*(E3520=E3519:E$2)))))</f>
        <v> </v>
      </c>
      <c r="J3520" s="26" t="str">
        <f>IF(OR(E3520="",E3520="!!!",F3520="NEW"),"",COUNTBLANK(OFFSET(A$1,,,SUMPRODUCT(MAX(ROW(E$2:E3520)*(E3520=E$2:E3520)))))-COUNTBLANK(OFFSET(A$1,,,SUMPRODUCT(MAX(ROW(E$1:E3519)*(E2=E$1:E3519))))))</f>
        <v> </v>
      </c>
      <c r="K3520" s="26" t="str">
        <f>IF(OR(E3520="",E3520="!!!",F3520="NEW"),"",INDEX(J$1:J3519,SUMPRODUCT(MAX(ROW(E$1:E3519)*(E3520=E$1:E3519)))))</f>
        <v> </v>
      </c>
      <c r="L3520" s="27"/>
    </row>
    <row r="3521" spans="1:12">
      <c r="A3521" s="20" t="s">
        <v>1106</v>
      </c>
      <c r="E3521" s="22">
        <f>IF(D3521="?OLD","!!!","")</f>
        <v/>
      </c>
      <c r="F3521" s="23" t="str">
        <f>IF(OR(E3521="",E3521="!!!"),"",IF(NOT(ISNA(VLOOKUP(E3521,E$1:E3520,1,FALSE()))),"OLD",IF(AND(E3521&lt;&gt;"",E3521&lt;&gt;"!!!"),"NEW","")))</f>
        <v> </v>
      </c>
      <c r="G3521" s="24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5" t="str">
        <f>IF(J3521&lt;&gt;1,"",IF(I3521="SBJ","CB","?"))</f>
        <v> </v>
      </c>
      <c r="I3521" s="26" t="str">
        <f>IF(OR(E3521="",E3521="!!!",F3521="NEW"),"",INDEX(B3520:B$2,-1+SUMPRODUCT(MAX(ROW(E3520:E$2)*(E3521=E3520:E$2)))))</f>
        <v> </v>
      </c>
      <c r="J3521" s="26" t="str">
        <f>IF(OR(E3521="",E3521="!!!",F3521="NEW"),"",COUNTBLANK(OFFSET(A$1,,,SUMPRODUCT(MAX(ROW(E$2:E3521)*(E3521=E$2:E3521)))))-COUNTBLANK(OFFSET(A$1,,,SUMPRODUCT(MAX(ROW(E$1:E3520)*(E2=E$1:E3520))))))</f>
        <v> </v>
      </c>
      <c r="K3521" s="26" t="str">
        <f>IF(OR(E3521="",E3521="!!!",F3521="NEW"),"",INDEX(J$1:J3520,SUMPRODUCT(MAX(ROW(E$1:E3520)*(E3521=E$1:E3520)))))</f>
        <v> </v>
      </c>
      <c r="L3521" s="27"/>
    </row>
    <row r="3522" spans="1:12">
      <c r="A3522" s="20"/>
    </row>
    <row r="3523" spans="1:12">
      <c r="A3523" s="20" t="s">
        <v>2444</v>
      </c>
    </row>
    <row r="3524" spans="1:12">
      <c r="A3524" s="20" t="s">
        <v>1375</v>
      </c>
      <c r="B3524" s="21" t="s">
        <v>1109</v>
      </c>
      <c r="C3524" s="21" t="s">
        <v>1154</v>
      </c>
      <c r="D3524" s="21" t="s">
        <v>1074</v>
      </c>
      <c r="E3524" s="22">
        <f>IF(D3524="?OLD","!!!","")</f>
        <v/>
      </c>
      <c r="F3524" s="23" t="str">
        <f>IF(OR(E3524="",E3524="!!!"),"",IF(NOT(ISNA(VLOOKUP(E3524,E$1:E3523,1,FALSE()))),"OLD",IF(AND(E3524&lt;&gt;"",E3524&lt;&gt;"!!!"),"NEW","")))</f>
        <v> </v>
      </c>
      <c r="G3524" s="24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5" t="str">
        <f>IF(J3524&lt;&gt;1,"",IF(I3524="SBJ","CB","?"))</f>
        <v> </v>
      </c>
      <c r="I3524" s="26" t="str">
        <f>IF(OR(E3524="",E3524="!!!",F3524="NEW"),"",INDEX(B3523:B$2,-1+SUMPRODUCT(MAX(ROW(E3523:E$2)*(E3524=E3523:E$2)))))</f>
        <v> </v>
      </c>
      <c r="J3524" s="26" t="str">
        <f>IF(OR(E3524="",E3524="!!!",F3524="NEW"),"",COUNTBLANK(OFFSET(A$1,,,SUMPRODUCT(MAX(ROW(E$2:E3524)*(E3524=E$2:E3524)))))-COUNTBLANK(OFFSET(A$1,,,SUMPRODUCT(MAX(ROW(E$1:E3523)*(E2=E$1:E3523))))))</f>
        <v> </v>
      </c>
      <c r="K3524" s="26" t="str">
        <f>IF(OR(E3524="",E3524="!!!",F3524="NEW"),"",INDEX(J$1:J3523,SUMPRODUCT(MAX(ROW(E$1:E3523)*(E3524=E$1:E3523)))))</f>
        <v> </v>
      </c>
      <c r="L3524" s="27"/>
    </row>
    <row r="3525" spans="1:12">
      <c r="A3525" s="20" t="s">
        <v>854</v>
      </c>
      <c r="E3525" s="22">
        <f>IF(D3525="?OLD","!!!","")</f>
        <v/>
      </c>
      <c r="F3525" s="23" t="str">
        <f>IF(OR(E3525="",E3525="!!!"),"",IF(NOT(ISNA(VLOOKUP(E3525,E$1:E3524,1,FALSE()))),"OLD",IF(AND(E3525&lt;&gt;"",E3525&lt;&gt;"!!!"),"NEW","")))</f>
        <v> </v>
      </c>
      <c r="G3525" s="24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5" t="str">
        <f>IF(J3525&lt;&gt;1,"",IF(I3525="SBJ","CB","?"))</f>
        <v> </v>
      </c>
      <c r="I3525" s="26" t="str">
        <f>IF(OR(E3525="",E3525="!!!",F3525="NEW"),"",INDEX(B3524:B$2,-1+SUMPRODUCT(MAX(ROW(E3524:E$2)*(E3525=E3524:E$2)))))</f>
        <v> </v>
      </c>
      <c r="J3525" s="26" t="str">
        <f>IF(OR(E3525="",E3525="!!!",F3525="NEW"),"",COUNTBLANK(OFFSET(A$1,,,SUMPRODUCT(MAX(ROW(E$2:E3525)*(E3525=E$2:E3525)))))-COUNTBLANK(OFFSET(A$1,,,SUMPRODUCT(MAX(ROW(E$1:E3524)*(E2=E$1:E3524))))))</f>
        <v> </v>
      </c>
      <c r="K3525" s="26" t="str">
        <f>IF(OR(E3525="",E3525="!!!",F3525="NEW"),"",INDEX(J$1:J3524,SUMPRODUCT(MAX(ROW(E$1:E3524)*(E3525=E$1:E3524)))))</f>
        <v> </v>
      </c>
      <c r="L3525" s="27"/>
    </row>
    <row r="3526" spans="1:12">
      <c r="A3526" s="20" t="s">
        <v>1085</v>
      </c>
      <c r="E3526" s="22">
        <f>IF(D3526="?OLD","!!!","")</f>
        <v/>
      </c>
      <c r="F3526" s="23" t="str">
        <f>IF(OR(E3526="",E3526="!!!"),"",IF(NOT(ISNA(VLOOKUP(E3526,E$1:E3525,1,FALSE()))),"OLD",IF(AND(E3526&lt;&gt;"",E3526&lt;&gt;"!!!"),"NEW","")))</f>
        <v> </v>
      </c>
      <c r="G3526" s="24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5" t="str">
        <f>IF(J3526&lt;&gt;1,"",IF(I3526="SBJ","CB","?"))</f>
        <v> </v>
      </c>
      <c r="I3526" s="26" t="str">
        <f>IF(OR(E3526="",E3526="!!!",F3526="NEW"),"",INDEX(B3525:B$2,-1+SUMPRODUCT(MAX(ROW(E3525:E$2)*(E3526=E3525:E$2)))))</f>
        <v> </v>
      </c>
      <c r="J3526" s="26" t="str">
        <f>IF(OR(E3526="",E3526="!!!",F3526="NEW"),"",COUNTBLANK(OFFSET(A$1,,,SUMPRODUCT(MAX(ROW(E$2:E3526)*(E3526=E$2:E3526)))))-COUNTBLANK(OFFSET(A$1,,,SUMPRODUCT(MAX(ROW(E$1:E3525)*(E2=E$1:E3525))))))</f>
        <v> </v>
      </c>
      <c r="K3526" s="26" t="str">
        <f>IF(OR(E3526="",E3526="!!!",F3526="NEW"),"",INDEX(J$1:J3525,SUMPRODUCT(MAX(ROW(E$1:E3525)*(E3526=E$1:E3525)))))</f>
        <v> </v>
      </c>
      <c r="L3526" s="27"/>
    </row>
    <row r="3527" spans="1:12">
      <c r="A3527" s="20" t="s">
        <v>1179</v>
      </c>
      <c r="E3527" s="22">
        <f>IF(D3527="?OLD","!!!","")</f>
        <v/>
      </c>
      <c r="F3527" s="23" t="str">
        <f>IF(OR(E3527="",E3527="!!!"),"",IF(NOT(ISNA(VLOOKUP(E3527,E$1:E3526,1,FALSE()))),"OLD",IF(AND(E3527&lt;&gt;"",E3527&lt;&gt;"!!!"),"NEW","")))</f>
        <v> </v>
      </c>
      <c r="G3527" s="24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5" t="str">
        <f>IF(J3527&lt;&gt;1,"",IF(I3527="SBJ","CB","?"))</f>
        <v> </v>
      </c>
      <c r="I3527" s="26" t="str">
        <f>IF(OR(E3527="",E3527="!!!",F3527="NEW"),"",INDEX(B3526:B$2,-1+SUMPRODUCT(MAX(ROW(E3526:E$2)*(E3527=E3526:E$2)))))</f>
        <v> </v>
      </c>
      <c r="J3527" s="26" t="str">
        <f>IF(OR(E3527="",E3527="!!!",F3527="NEW"),"",COUNTBLANK(OFFSET(A$1,,,SUMPRODUCT(MAX(ROW(E$2:E3527)*(E3527=E$2:E3527)))))-COUNTBLANK(OFFSET(A$1,,,SUMPRODUCT(MAX(ROW(E$1:E3526)*(E2=E$1:E3526))))))</f>
        <v> </v>
      </c>
      <c r="K3527" s="26" t="str">
        <f>IF(OR(E3527="",E3527="!!!",F3527="NEW"),"",INDEX(J$1:J3526,SUMPRODUCT(MAX(ROW(E$1:E3526)*(E3527=E$1:E3526)))))</f>
        <v> </v>
      </c>
      <c r="L3527" s="27"/>
    </row>
    <row r="3528" spans="1:12">
      <c r="A3528" s="20" t="s">
        <v>2090</v>
      </c>
      <c r="E3528" s="22">
        <f>IF(D3528="?OLD","!!!","")</f>
        <v/>
      </c>
      <c r="F3528" s="23" t="str">
        <f>IF(OR(E3528="",E3528="!!!"),"",IF(NOT(ISNA(VLOOKUP(E3528,E$1:E3527,1,FALSE()))),"OLD",IF(AND(E3528&lt;&gt;"",E3528&lt;&gt;"!!!"),"NEW","")))</f>
        <v> </v>
      </c>
      <c r="G3528" s="24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5" t="str">
        <f>IF(J3528&lt;&gt;1,"",IF(I3528="SBJ","CB","?"))</f>
        <v> </v>
      </c>
      <c r="I3528" s="26" t="str">
        <f>IF(OR(E3528="",E3528="!!!",F3528="NEW"),"",INDEX(B3527:B$2,-1+SUMPRODUCT(MAX(ROW(E3527:E$2)*(E3528=E3527:E$2)))))</f>
        <v> </v>
      </c>
      <c r="J3528" s="26" t="str">
        <f>IF(OR(E3528="",E3528="!!!",F3528="NEW"),"",COUNTBLANK(OFFSET(A$1,,,SUMPRODUCT(MAX(ROW(E$2:E3528)*(E3528=E$2:E3528)))))-COUNTBLANK(OFFSET(A$1,,,SUMPRODUCT(MAX(ROW(E$1:E3527)*(E2=E$1:E3527))))))</f>
        <v> </v>
      </c>
      <c r="K3528" s="26" t="str">
        <f>IF(OR(E3528="",E3528="!!!",F3528="NEW"),"",INDEX(J$1:J3527,SUMPRODUCT(MAX(ROW(E$1:E3527)*(E3528=E$1:E3527)))))</f>
        <v> </v>
      </c>
      <c r="L3528" s="27"/>
    </row>
    <row r="3529" spans="1:12">
      <c r="A3529" s="20" t="s">
        <v>1118</v>
      </c>
      <c r="B3529" s="21" t="s">
        <v>1077</v>
      </c>
      <c r="C3529" s="21" t="s">
        <v>1081</v>
      </c>
      <c r="D3529" s="21" t="s">
        <v>1074</v>
      </c>
      <c r="E3529" s="22">
        <f>IF(D3529="?OLD","!!!","")</f>
        <v/>
      </c>
      <c r="F3529" s="23" t="str">
        <f>IF(OR(E3529="",E3529="!!!"),"",IF(NOT(ISNA(VLOOKUP(E3529,E$1:E3528,1,FALSE()))),"OLD",IF(AND(E3529&lt;&gt;"",E3529&lt;&gt;"!!!"),"NEW","")))</f>
        <v> </v>
      </c>
      <c r="G3529" s="24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5" t="str">
        <f>IF(J3529&lt;&gt;1,"",IF(I3529="SBJ","CB","?"))</f>
        <v> </v>
      </c>
      <c r="I3529" s="26" t="str">
        <f>IF(OR(E3529="",E3529="!!!",F3529="NEW"),"",INDEX(B3528:B$2,-1+SUMPRODUCT(MAX(ROW(E3528:E$2)*(E3529=E3528:E$2)))))</f>
        <v> </v>
      </c>
      <c r="J3529" s="26" t="str">
        <f>IF(OR(E3529="",E3529="!!!",F3529="NEW"),"",COUNTBLANK(OFFSET(A$1,,,SUMPRODUCT(MAX(ROW(E$2:E3529)*(E3529=E$2:E3529)))))-COUNTBLANK(OFFSET(A$1,,,SUMPRODUCT(MAX(ROW(E$1:E3528)*(E2=E$1:E3528))))))</f>
        <v> </v>
      </c>
      <c r="K3529" s="26" t="str">
        <f>IF(OR(E3529="",E3529="!!!",F3529="NEW"),"",INDEX(J$1:J3528,SUMPRODUCT(MAX(ROW(E$1:E3528)*(E3529=E$1:E3528)))))</f>
        <v> </v>
      </c>
      <c r="L3529" s="27"/>
    </row>
    <row r="3530" spans="1:12">
      <c r="A3530" s="20" t="s">
        <v>2445</v>
      </c>
      <c r="E3530" s="22">
        <f>IF(D3530="?OLD","!!!","")</f>
        <v/>
      </c>
      <c r="F3530" s="23" t="str">
        <f>IF(OR(E3530="",E3530="!!!"),"",IF(NOT(ISNA(VLOOKUP(E3530,E$1:E3529,1,FALSE()))),"OLD",IF(AND(E3530&lt;&gt;"",E3530&lt;&gt;"!!!"),"NEW","")))</f>
        <v> </v>
      </c>
      <c r="G3530" s="24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5" t="str">
        <f>IF(J3530&lt;&gt;1,"",IF(I3530="SBJ","CB","?"))</f>
        <v> </v>
      </c>
      <c r="I3530" s="26" t="str">
        <f>IF(OR(E3530="",E3530="!!!",F3530="NEW"),"",INDEX(B3529:B$2,-1+SUMPRODUCT(MAX(ROW(E3529:E$2)*(E3530=E3529:E$2)))))</f>
        <v> </v>
      </c>
      <c r="J3530" s="26" t="str">
        <f>IF(OR(E3530="",E3530="!!!",F3530="NEW"),"",COUNTBLANK(OFFSET(A$1,,,SUMPRODUCT(MAX(ROW(E$2:E3530)*(E3530=E$2:E3530)))))-COUNTBLANK(OFFSET(A$1,,,SUMPRODUCT(MAX(ROW(E$1:E3529)*(E2=E$1:E3529))))))</f>
        <v> </v>
      </c>
      <c r="K3530" s="26" t="str">
        <f>IF(OR(E3530="",E3530="!!!",F3530="NEW"),"",INDEX(J$1:J3529,SUMPRODUCT(MAX(ROW(E$1:E3529)*(E3530=E$1:E3529)))))</f>
        <v> </v>
      </c>
      <c r="L3530" s="27"/>
    </row>
    <row r="3531" spans="1:12">
      <c r="A3531" s="20" t="s">
        <v>1138</v>
      </c>
      <c r="E3531" s="22">
        <f>IF(D3531="?OLD","!!!","")</f>
        <v/>
      </c>
      <c r="F3531" s="23" t="str">
        <f>IF(OR(E3531="",E3531="!!!"),"",IF(NOT(ISNA(VLOOKUP(E3531,E$1:E3530,1,FALSE()))),"OLD",IF(AND(E3531&lt;&gt;"",E3531&lt;&gt;"!!!"),"NEW","")))</f>
        <v> </v>
      </c>
      <c r="G3531" s="24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5" t="str">
        <f>IF(J3531&lt;&gt;1,"",IF(I3531="SBJ","CB","?"))</f>
        <v> </v>
      </c>
      <c r="I3531" s="26" t="str">
        <f>IF(OR(E3531="",E3531="!!!",F3531="NEW"),"",INDEX(B3530:B$2,-1+SUMPRODUCT(MAX(ROW(E3530:E$2)*(E3531=E3530:E$2)))))</f>
        <v> </v>
      </c>
      <c r="J3531" s="26" t="str">
        <f>IF(OR(E3531="",E3531="!!!",F3531="NEW"),"",COUNTBLANK(OFFSET(A$1,,,SUMPRODUCT(MAX(ROW(E$2:E3531)*(E3531=E$2:E3531)))))-COUNTBLANK(OFFSET(A$1,,,SUMPRODUCT(MAX(ROW(E$1:E3530)*(E2=E$1:E3530))))))</f>
        <v> </v>
      </c>
      <c r="K3531" s="26" t="str">
        <f>IF(OR(E3531="",E3531="!!!",F3531="NEW"),"",INDEX(J$1:J3530,SUMPRODUCT(MAX(ROW(E$1:E3530)*(E3531=E$1:E3530)))))</f>
        <v> </v>
      </c>
      <c r="L3531" s="27"/>
    </row>
    <row r="3532" spans="1:12">
      <c r="A3532" s="20" t="s">
        <v>1356</v>
      </c>
      <c r="E3532" s="22">
        <f>IF(D3532="?OLD","!!!","")</f>
        <v/>
      </c>
      <c r="F3532" s="23" t="str">
        <f>IF(OR(E3532="",E3532="!!!"),"",IF(NOT(ISNA(VLOOKUP(E3532,E$1:E3531,1,FALSE()))),"OLD",IF(AND(E3532&lt;&gt;"",E3532&lt;&gt;"!!!"),"NEW","")))</f>
        <v> </v>
      </c>
      <c r="G3532" s="24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5" t="str">
        <f>IF(J3532&lt;&gt;1,"",IF(I3532="SBJ","CB","?"))</f>
        <v> </v>
      </c>
      <c r="I3532" s="26" t="str">
        <f>IF(OR(E3532="",E3532="!!!",F3532="NEW"),"",INDEX(B3531:B$2,-1+SUMPRODUCT(MAX(ROW(E3531:E$2)*(E3532=E3531:E$2)))))</f>
        <v> </v>
      </c>
      <c r="J3532" s="26" t="str">
        <f>IF(OR(E3532="",E3532="!!!",F3532="NEW"),"",COUNTBLANK(OFFSET(A$1,,,SUMPRODUCT(MAX(ROW(E$2:E3532)*(E3532=E$2:E3532)))))-COUNTBLANK(OFFSET(A$1,,,SUMPRODUCT(MAX(ROW(E$1:E3531)*(E2=E$1:E3531))))))</f>
        <v> </v>
      </c>
      <c r="K3532" s="26" t="str">
        <f>IF(OR(E3532="",E3532="!!!",F3532="NEW"),"",INDEX(J$1:J3531,SUMPRODUCT(MAX(ROW(E$1:E3531)*(E3532=E$1:E3531)))))</f>
        <v> </v>
      </c>
      <c r="L3532" s="27"/>
    </row>
    <row r="3533" spans="1:12">
      <c r="A3533" s="20" t="s">
        <v>1085</v>
      </c>
      <c r="E3533" s="22">
        <f>IF(D3533="?OLD","!!!","")</f>
        <v/>
      </c>
      <c r="F3533" s="23" t="str">
        <f>IF(OR(E3533="",E3533="!!!"),"",IF(NOT(ISNA(VLOOKUP(E3533,E$1:E3532,1,FALSE()))),"OLD",IF(AND(E3533&lt;&gt;"",E3533&lt;&gt;"!!!"),"NEW","")))</f>
        <v> </v>
      </c>
      <c r="G3533" s="24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5" t="str">
        <f>IF(J3533&lt;&gt;1,"",IF(I3533="SBJ","CB","?"))</f>
        <v> </v>
      </c>
      <c r="I3533" s="26" t="str">
        <f>IF(OR(E3533="",E3533="!!!",F3533="NEW"),"",INDEX(B3532:B$2,-1+SUMPRODUCT(MAX(ROW(E3532:E$2)*(E3533=E3532:E$2)))))</f>
        <v> </v>
      </c>
      <c r="J3533" s="26" t="str">
        <f>IF(OR(E3533="",E3533="!!!",F3533="NEW"),"",COUNTBLANK(OFFSET(A$1,,,SUMPRODUCT(MAX(ROW(E$2:E3533)*(E3533=E$2:E3533)))))-COUNTBLANK(OFFSET(A$1,,,SUMPRODUCT(MAX(ROW(E$1:E3532)*(E2=E$1:E3532))))))</f>
        <v> </v>
      </c>
      <c r="K3533" s="26" t="str">
        <f>IF(OR(E3533="",E3533="!!!",F3533="NEW"),"",INDEX(J$1:J3532,SUMPRODUCT(MAX(ROW(E$1:E3532)*(E3533=E$1:E3532)))))</f>
        <v> </v>
      </c>
      <c r="L3533" s="27"/>
    </row>
    <row r="3534" spans="1:12">
      <c r="A3534" s="20" t="s">
        <v>1415</v>
      </c>
      <c r="E3534" s="22">
        <f>IF(D3534="?OLD","!!!","")</f>
        <v/>
      </c>
      <c r="F3534" s="23" t="str">
        <f>IF(OR(E3534="",E3534="!!!"),"",IF(NOT(ISNA(VLOOKUP(E3534,E$1:E3533,1,FALSE()))),"OLD",IF(AND(E3534&lt;&gt;"",E3534&lt;&gt;"!!!"),"NEW","")))</f>
        <v> </v>
      </c>
      <c r="G3534" s="24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5" t="str">
        <f>IF(J3534&lt;&gt;1,"",IF(I3534="SBJ","CB","?"))</f>
        <v> </v>
      </c>
      <c r="I3534" s="26" t="str">
        <f>IF(OR(E3534="",E3534="!!!",F3534="NEW"),"",INDEX(B3533:B$2,-1+SUMPRODUCT(MAX(ROW(E3533:E$2)*(E3534=E3533:E$2)))))</f>
        <v> </v>
      </c>
      <c r="J3534" s="26" t="str">
        <f>IF(OR(E3534="",E3534="!!!",F3534="NEW"),"",COUNTBLANK(OFFSET(A$1,,,SUMPRODUCT(MAX(ROW(E$2:E3534)*(E3534=E$2:E3534)))))-COUNTBLANK(OFFSET(A$1,,,SUMPRODUCT(MAX(ROW(E$1:E3533)*(E2=E$1:E3533))))))</f>
        <v> </v>
      </c>
      <c r="K3534" s="26" t="str">
        <f>IF(OR(E3534="",E3534="!!!",F3534="NEW"),"",INDEX(J$1:J3533,SUMPRODUCT(MAX(ROW(E$1:E3533)*(E3534=E$1:E3533)))))</f>
        <v> </v>
      </c>
      <c r="L3534" s="27"/>
    </row>
    <row r="3535" spans="1:12">
      <c r="A3535" s="20" t="s">
        <v>2372</v>
      </c>
      <c r="E3535" s="22">
        <f>IF(D3535="?OLD","!!!","")</f>
        <v/>
      </c>
      <c r="F3535" s="23" t="str">
        <f>IF(OR(E3535="",E3535="!!!"),"",IF(NOT(ISNA(VLOOKUP(E3535,E$1:E3534,1,FALSE()))),"OLD",IF(AND(E3535&lt;&gt;"",E3535&lt;&gt;"!!!"),"NEW","")))</f>
        <v> </v>
      </c>
      <c r="G3535" s="24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5" t="str">
        <f>IF(J3535&lt;&gt;1,"",IF(I3535="SBJ","CB","?"))</f>
        <v> </v>
      </c>
      <c r="I3535" s="26" t="str">
        <f>IF(OR(E3535="",E3535="!!!",F3535="NEW"),"",INDEX(B3534:B$2,-1+SUMPRODUCT(MAX(ROW(E3534:E$2)*(E3535=E3534:E$2)))))</f>
        <v> </v>
      </c>
      <c r="J3535" s="26" t="str">
        <f>IF(OR(E3535="",E3535="!!!",F3535="NEW"),"",COUNTBLANK(OFFSET(A$1,,,SUMPRODUCT(MAX(ROW(E$2:E3535)*(E3535=E$2:E3535)))))-COUNTBLANK(OFFSET(A$1,,,SUMPRODUCT(MAX(ROW(E$1:E3534)*(E2=E$1:E3534))))))</f>
        <v> </v>
      </c>
      <c r="K3535" s="26" t="str">
        <f>IF(OR(E3535="",E3535="!!!",F3535="NEW"),"",INDEX(J$1:J3534,SUMPRODUCT(MAX(ROW(E$1:E3534)*(E3535=E$1:E3534)))))</f>
        <v> </v>
      </c>
      <c r="L3535" s="27"/>
    </row>
    <row r="3536" spans="1:12">
      <c r="A3536" s="20" t="s">
        <v>1118</v>
      </c>
      <c r="B3536" s="21" t="s">
        <v>1119</v>
      </c>
      <c r="C3536" s="21" t="s">
        <v>1081</v>
      </c>
      <c r="D3536" s="21" t="s">
        <v>1074</v>
      </c>
      <c r="E3536" s="22">
        <f>IF(D3536="?OLD","!!!","")</f>
        <v/>
      </c>
      <c r="F3536" s="23" t="str">
        <f>IF(OR(E3536="",E3536="!!!"),"",IF(NOT(ISNA(VLOOKUP(E3536,E$1:E3535,1,FALSE()))),"OLD",IF(AND(E3536&lt;&gt;"",E3536&lt;&gt;"!!!"),"NEW","")))</f>
        <v> </v>
      </c>
      <c r="G3536" s="24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5" t="str">
        <f>IF(J3536&lt;&gt;1,"",IF(I3536="SBJ","CB","?"))</f>
        <v> </v>
      </c>
      <c r="I3536" s="26" t="str">
        <f>IF(OR(E3536="",E3536="!!!",F3536="NEW"),"",INDEX(B3535:B$2,-1+SUMPRODUCT(MAX(ROW(E3535:E$2)*(E3536=E3535:E$2)))))</f>
        <v> </v>
      </c>
      <c r="J3536" s="26" t="str">
        <f>IF(OR(E3536="",E3536="!!!",F3536="NEW"),"",COUNTBLANK(OFFSET(A$1,,,SUMPRODUCT(MAX(ROW(E$2:E3536)*(E3536=E$2:E3536)))))-COUNTBLANK(OFFSET(A$1,,,SUMPRODUCT(MAX(ROW(E$1:E3535)*(E2=E$1:E3535))))))</f>
        <v> </v>
      </c>
      <c r="K3536" s="26" t="str">
        <f>IF(OR(E3536="",E3536="!!!",F3536="NEW"),"",INDEX(J$1:J3535,SUMPRODUCT(MAX(ROW(E$1:E3535)*(E3536=E$1:E3535)))))</f>
        <v> </v>
      </c>
      <c r="L3536" s="27"/>
    </row>
    <row r="3537" spans="1:12">
      <c r="A3537" s="20" t="s">
        <v>2446</v>
      </c>
      <c r="E3537" s="22">
        <f>IF(D3537="?OLD","!!!","")</f>
        <v/>
      </c>
      <c r="F3537" s="23" t="str">
        <f>IF(OR(E3537="",E3537="!!!"),"",IF(NOT(ISNA(VLOOKUP(E3537,E$1:E3536,1,FALSE()))),"OLD",IF(AND(E3537&lt;&gt;"",E3537&lt;&gt;"!!!"),"NEW","")))</f>
        <v> </v>
      </c>
      <c r="G3537" s="24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5" t="str">
        <f>IF(J3537&lt;&gt;1,"",IF(I3537="SBJ","CB","?"))</f>
        <v> </v>
      </c>
      <c r="I3537" s="26" t="str">
        <f>IF(OR(E3537="",E3537="!!!",F3537="NEW"),"",INDEX(B3536:B$2,-1+SUMPRODUCT(MAX(ROW(E3536:E$2)*(E3537=E3536:E$2)))))</f>
        <v> </v>
      </c>
      <c r="J3537" s="26" t="str">
        <f>IF(OR(E3537="",E3537="!!!",F3537="NEW"),"",COUNTBLANK(OFFSET(A$1,,,SUMPRODUCT(MAX(ROW(E$2:E3537)*(E3537=E$2:E3537)))))-COUNTBLANK(OFFSET(A$1,,,SUMPRODUCT(MAX(ROW(E$1:E3536)*(E2=E$1:E3536))))))</f>
        <v> </v>
      </c>
      <c r="K3537" s="26" t="str">
        <f>IF(OR(E3537="",E3537="!!!",F3537="NEW"),"",INDEX(J$1:J3536,SUMPRODUCT(MAX(ROW(E$1:E3536)*(E3537=E$1:E3536)))))</f>
        <v> </v>
      </c>
      <c r="L3537" s="27"/>
    </row>
    <row r="3538" spans="1:12">
      <c r="A3538" s="20" t="s">
        <v>1085</v>
      </c>
      <c r="E3538" s="22">
        <f>IF(D3538="?OLD","!!!","")</f>
        <v/>
      </c>
      <c r="F3538" s="23" t="str">
        <f>IF(OR(E3538="",E3538="!!!"),"",IF(NOT(ISNA(VLOOKUP(E3538,E$1:E3537,1,FALSE()))),"OLD",IF(AND(E3538&lt;&gt;"",E3538&lt;&gt;"!!!"),"NEW","")))</f>
        <v> </v>
      </c>
      <c r="G3538" s="24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5" t="str">
        <f>IF(J3538&lt;&gt;1,"",IF(I3538="SBJ","CB","?"))</f>
        <v> </v>
      </c>
      <c r="I3538" s="26" t="str">
        <f>IF(OR(E3538="",E3538="!!!",F3538="NEW"),"",INDEX(B3537:B$2,-1+SUMPRODUCT(MAX(ROW(E3537:E$2)*(E3538=E3537:E$2)))))</f>
        <v> </v>
      </c>
      <c r="J3538" s="26" t="str">
        <f>IF(OR(E3538="",E3538="!!!",F3538="NEW"),"",COUNTBLANK(OFFSET(A$1,,,SUMPRODUCT(MAX(ROW(E$2:E3538)*(E3538=E$2:E3538)))))-COUNTBLANK(OFFSET(A$1,,,SUMPRODUCT(MAX(ROW(E$1:E3537)*(E2=E$1:E3537))))))</f>
        <v> </v>
      </c>
      <c r="K3538" s="26" t="str">
        <f>IF(OR(E3538="",E3538="!!!",F3538="NEW"),"",INDEX(J$1:J3537,SUMPRODUCT(MAX(ROW(E$1:E3537)*(E3538=E$1:E3537)))))</f>
        <v> </v>
      </c>
      <c r="L3538" s="27"/>
    </row>
    <row r="3539" spans="1:12">
      <c r="A3539" s="20" t="s">
        <v>1086</v>
      </c>
      <c r="E3539" s="22">
        <f>IF(D3539="?OLD","!!!","")</f>
        <v/>
      </c>
      <c r="F3539" s="23" t="str">
        <f>IF(OR(E3539="",E3539="!!!"),"",IF(NOT(ISNA(VLOOKUP(E3539,E$1:E3538,1,FALSE()))),"OLD",IF(AND(E3539&lt;&gt;"",E3539&lt;&gt;"!!!"),"NEW","")))</f>
        <v> </v>
      </c>
      <c r="G3539" s="24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5" t="str">
        <f>IF(J3539&lt;&gt;1,"",IF(I3539="SBJ","CB","?"))</f>
        <v> </v>
      </c>
      <c r="I3539" s="26" t="str">
        <f>IF(OR(E3539="",E3539="!!!",F3539="NEW"),"",INDEX(B3538:B$2,-1+SUMPRODUCT(MAX(ROW(E3538:E$2)*(E3539=E3538:E$2)))))</f>
        <v> </v>
      </c>
      <c r="J3539" s="26" t="str">
        <f>IF(OR(E3539="",E3539="!!!",F3539="NEW"),"",COUNTBLANK(OFFSET(A$1,,,SUMPRODUCT(MAX(ROW(E$2:E3539)*(E3539=E$2:E3539)))))-COUNTBLANK(OFFSET(A$1,,,SUMPRODUCT(MAX(ROW(E$1:E3538)*(E2=E$1:E3538))))))</f>
        <v> </v>
      </c>
      <c r="K3539" s="26" t="str">
        <f>IF(OR(E3539="",E3539="!!!",F3539="NEW"),"",INDEX(J$1:J3538,SUMPRODUCT(MAX(ROW(E$1:E3538)*(E3539=E$1:E3538)))))</f>
        <v> </v>
      </c>
      <c r="L3539" s="27"/>
    </row>
    <row r="3540" spans="1:12">
      <c r="A3540" s="20" t="s">
        <v>1118</v>
      </c>
      <c r="B3540" s="21" t="s">
        <v>1088</v>
      </c>
      <c r="C3540" s="21" t="s">
        <v>1081</v>
      </c>
      <c r="D3540" s="21" t="s">
        <v>1074</v>
      </c>
      <c r="E3540" s="22">
        <f>IF(D3540="?OLD","!!!","")</f>
        <v/>
      </c>
      <c r="F3540" s="23" t="str">
        <f>IF(OR(E3540="",E3540="!!!"),"",IF(NOT(ISNA(VLOOKUP(E3540,E$1:E3539,1,FALSE()))),"OLD",IF(AND(E3540&lt;&gt;"",E3540&lt;&gt;"!!!"),"NEW","")))</f>
        <v> </v>
      </c>
      <c r="G3540" s="24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5" t="str">
        <f>IF(J3540&lt;&gt;1,"",IF(I3540="SBJ","CB","?"))</f>
        <v> </v>
      </c>
      <c r="I3540" s="26" t="str">
        <f>IF(OR(E3540="",E3540="!!!",F3540="NEW"),"",INDEX(B3539:B$2,-1+SUMPRODUCT(MAX(ROW(E3539:E$2)*(E3540=E3539:E$2)))))</f>
        <v> </v>
      </c>
      <c r="J3540" s="26" t="str">
        <f>IF(OR(E3540="",E3540="!!!",F3540="NEW"),"",COUNTBLANK(OFFSET(A$1,,,SUMPRODUCT(MAX(ROW(E$2:E3540)*(E3540=E$2:E3540)))))-COUNTBLANK(OFFSET(A$1,,,SUMPRODUCT(MAX(ROW(E$1:E3539)*(E2=E$1:E3539))))))</f>
        <v> </v>
      </c>
      <c r="K3540" s="26" t="str">
        <f>IF(OR(E3540="",E3540="!!!",F3540="NEW"),"",INDEX(J$1:J3539,SUMPRODUCT(MAX(ROW(E$1:E3539)*(E3540=E$1:E3539)))))</f>
        <v> </v>
      </c>
      <c r="L3540" s="27"/>
    </row>
    <row r="3541" spans="1:12">
      <c r="A3541" s="20" t="s">
        <v>1138</v>
      </c>
      <c r="E3541" s="22">
        <f>IF(D3541="?OLD","!!!","")</f>
        <v/>
      </c>
      <c r="F3541" s="23" t="str">
        <f>IF(OR(E3541="",E3541="!!!"),"",IF(NOT(ISNA(VLOOKUP(E3541,E$1:E3540,1,FALSE()))),"OLD",IF(AND(E3541&lt;&gt;"",E3541&lt;&gt;"!!!"),"NEW","")))</f>
        <v> </v>
      </c>
      <c r="G3541" s="24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5" t="str">
        <f>IF(J3541&lt;&gt;1,"",IF(I3541="SBJ","CB","?"))</f>
        <v> </v>
      </c>
      <c r="I3541" s="26" t="str">
        <f>IF(OR(E3541="",E3541="!!!",F3541="NEW"),"",INDEX(B3540:B$2,-1+SUMPRODUCT(MAX(ROW(E3540:E$2)*(E3541=E3540:E$2)))))</f>
        <v> </v>
      </c>
      <c r="J3541" s="26" t="str">
        <f>IF(OR(E3541="",E3541="!!!",F3541="NEW"),"",COUNTBLANK(OFFSET(A$1,,,SUMPRODUCT(MAX(ROW(E$2:E3541)*(E3541=E$2:E3541)))))-COUNTBLANK(OFFSET(A$1,,,SUMPRODUCT(MAX(ROW(E$1:E3540)*(E2=E$1:E3540))))))</f>
        <v> </v>
      </c>
      <c r="K3541" s="26" t="str">
        <f>IF(OR(E3541="",E3541="!!!",F3541="NEW"),"",INDEX(J$1:J3540,SUMPRODUCT(MAX(ROW(E$1:E3540)*(E3541=E$1:E3540)))))</f>
        <v> </v>
      </c>
      <c r="L3541" s="27"/>
    </row>
    <row r="3542" spans="1:12">
      <c r="A3542" s="20" t="s">
        <v>1783</v>
      </c>
      <c r="B3542" s="21" t="s">
        <v>1115</v>
      </c>
      <c r="C3542" s="21" t="s">
        <v>1081</v>
      </c>
      <c r="D3542" s="21" t="s">
        <v>1074</v>
      </c>
      <c r="E3542" s="22">
        <f>IF(D3542="?OLD","!!!","")</f>
        <v/>
      </c>
      <c r="F3542" s="23" t="str">
        <f>IF(OR(E3542="",E3542="!!!"),"",IF(NOT(ISNA(VLOOKUP(E3542,E$1:E3541,1,FALSE()))),"OLD",IF(AND(E3542&lt;&gt;"",E3542&lt;&gt;"!!!"),"NEW","")))</f>
        <v> </v>
      </c>
      <c r="G3542" s="24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5" t="str">
        <f>IF(J3542&lt;&gt;1,"",IF(I3542="SBJ","CB","?"))</f>
        <v> </v>
      </c>
      <c r="I3542" s="26" t="str">
        <f>IF(OR(E3542="",E3542="!!!",F3542="NEW"),"",INDEX(B3541:B$2,-1+SUMPRODUCT(MAX(ROW(E3541:E$2)*(E3542=E3541:E$2)))))</f>
        <v> </v>
      </c>
      <c r="J3542" s="26" t="str">
        <f>IF(OR(E3542="",E3542="!!!",F3542="NEW"),"",COUNTBLANK(OFFSET(A$1,,,SUMPRODUCT(MAX(ROW(E$2:E3542)*(E3542=E$2:E3542)))))-COUNTBLANK(OFFSET(A$1,,,SUMPRODUCT(MAX(ROW(E$1:E3541)*(E2=E$1:E3541))))))</f>
        <v> </v>
      </c>
      <c r="K3542" s="26" t="str">
        <f>IF(OR(E3542="",E3542="!!!",F3542="NEW"),"",INDEX(J$1:J3541,SUMPRODUCT(MAX(ROW(E$1:E3541)*(E3542=E$1:E3541)))))</f>
        <v> </v>
      </c>
      <c r="L3542" s="27"/>
    </row>
    <row r="3543" spans="1:12">
      <c r="A3543" s="20" t="s">
        <v>1680</v>
      </c>
      <c r="B3543" s="21" t="s">
        <v>1115</v>
      </c>
      <c r="C3543" s="21" t="s">
        <v>1681</v>
      </c>
      <c r="E3543" s="22">
        <f>IF(D3543="?OLD","!!!","")</f>
        <v/>
      </c>
      <c r="F3543" s="23" t="str">
        <f>IF(OR(E3543="",E3543="!!!"),"",IF(NOT(ISNA(VLOOKUP(E3543,E$1:E3542,1,FALSE()))),"OLD",IF(AND(E3543&lt;&gt;"",E3543&lt;&gt;"!!!"),"NEW","")))</f>
        <v> </v>
      </c>
      <c r="G3543" s="24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5" t="str">
        <f>IF(J3543&lt;&gt;1,"",IF(I3543="SBJ","CB","?"))</f>
        <v> </v>
      </c>
      <c r="I3543" s="26" t="str">
        <f>IF(OR(E3543="",E3543="!!!",F3543="NEW"),"",INDEX(B3542:B$2,-1+SUMPRODUCT(MAX(ROW(E3542:E$2)*(E3543=E3542:E$2)))))</f>
        <v> </v>
      </c>
      <c r="J3543" s="26" t="str">
        <f>IF(OR(E3543="",E3543="!!!",F3543="NEW"),"",COUNTBLANK(OFFSET(A$1,,,SUMPRODUCT(MAX(ROW(E$2:E3543)*(E3543=E$2:E3543)))))-COUNTBLANK(OFFSET(A$1,,,SUMPRODUCT(MAX(ROW(E$1:E3542)*(E2=E$1:E3542))))))</f>
        <v> </v>
      </c>
      <c r="K3543" s="26" t="str">
        <f>IF(OR(E3543="",E3543="!!!",F3543="NEW"),"",INDEX(J$1:J3542,SUMPRODUCT(MAX(ROW(E$1:E3542)*(E3543=E$1:E3542)))))</f>
        <v> </v>
      </c>
      <c r="L3543" s="27"/>
    </row>
    <row r="3544" spans="1:12">
      <c r="A3544" s="20" t="s">
        <v>1091</v>
      </c>
      <c r="E3544" s="22">
        <f>IF(D3544="?OLD","!!!","")</f>
        <v/>
      </c>
      <c r="F3544" s="23" t="str">
        <f>IF(OR(E3544="",E3544="!!!"),"",IF(NOT(ISNA(VLOOKUP(E3544,E$1:E3543,1,FALSE()))),"OLD",IF(AND(E3544&lt;&gt;"",E3544&lt;&gt;"!!!"),"NEW","")))</f>
        <v> </v>
      </c>
      <c r="G3544" s="24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5" t="str">
        <f>IF(J3544&lt;&gt;1,"",IF(I3544="SBJ","CB","?"))</f>
        <v> </v>
      </c>
      <c r="I3544" s="26" t="str">
        <f>IF(OR(E3544="",E3544="!!!",F3544="NEW"),"",INDEX(B3543:B$2,-1+SUMPRODUCT(MAX(ROW(E3543:E$2)*(E3544=E3543:E$2)))))</f>
        <v> </v>
      </c>
      <c r="J3544" s="26" t="str">
        <f>IF(OR(E3544="",E3544="!!!",F3544="NEW"),"",COUNTBLANK(OFFSET(A$1,,,SUMPRODUCT(MAX(ROW(E$2:E3544)*(E3544=E$2:E3544)))))-COUNTBLANK(OFFSET(A$1,,,SUMPRODUCT(MAX(ROW(E$1:E3543)*(E2=E$1:E3543))))))</f>
        <v> </v>
      </c>
      <c r="K3544" s="26" t="str">
        <f>IF(OR(E3544="",E3544="!!!",F3544="NEW"),"",INDEX(J$1:J3543,SUMPRODUCT(MAX(ROW(E$1:E3543)*(E3544=E$1:E3543)))))</f>
        <v> </v>
      </c>
      <c r="L3544" s="27"/>
    </row>
    <row r="3545" spans="1:12">
      <c r="A3545" s="20" t="s">
        <v>1597</v>
      </c>
      <c r="E3545" s="22">
        <f>IF(D3545="?OLD","!!!","")</f>
        <v/>
      </c>
      <c r="F3545" s="23" t="str">
        <f>IF(OR(E3545="",E3545="!!!"),"",IF(NOT(ISNA(VLOOKUP(E3545,E$1:E3544,1,FALSE()))),"OLD",IF(AND(E3545&lt;&gt;"",E3545&lt;&gt;"!!!"),"NEW","")))</f>
        <v> </v>
      </c>
      <c r="G3545" s="24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5" t="str">
        <f>IF(J3545&lt;&gt;1,"",IF(I3545="SBJ","CB","?"))</f>
        <v> </v>
      </c>
      <c r="I3545" s="26" t="str">
        <f>IF(OR(E3545="",E3545="!!!",F3545="NEW"),"",INDEX(B3544:B$2,-1+SUMPRODUCT(MAX(ROW(E3544:E$2)*(E3545=E3544:E$2)))))</f>
        <v> </v>
      </c>
      <c r="J3545" s="26" t="str">
        <f>IF(OR(E3545="",E3545="!!!",F3545="NEW"),"",COUNTBLANK(OFFSET(A$1,,,SUMPRODUCT(MAX(ROW(E$2:E3545)*(E3545=E$2:E3545)))))-COUNTBLANK(OFFSET(A$1,,,SUMPRODUCT(MAX(ROW(E$1:E3544)*(E2=E$1:E3544))))))</f>
        <v> </v>
      </c>
      <c r="K3545" s="26" t="str">
        <f>IF(OR(E3545="",E3545="!!!",F3545="NEW"),"",INDEX(J$1:J3544,SUMPRODUCT(MAX(ROW(E$1:E3544)*(E3545=E$1:E3544)))))</f>
        <v> </v>
      </c>
      <c r="L3545" s="27"/>
    </row>
    <row r="3546" spans="1:12">
      <c r="A3546" s="20" t="s">
        <v>1106</v>
      </c>
      <c r="E3546" s="22">
        <f>IF(D3546="?OLD","!!!","")</f>
        <v/>
      </c>
      <c r="F3546" s="23" t="str">
        <f>IF(OR(E3546="",E3546="!!!"),"",IF(NOT(ISNA(VLOOKUP(E3546,E$1:E3545,1,FALSE()))),"OLD",IF(AND(E3546&lt;&gt;"",E3546&lt;&gt;"!!!"),"NEW","")))</f>
        <v> </v>
      </c>
      <c r="G3546" s="24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5" t="str">
        <f>IF(J3546&lt;&gt;1,"",IF(I3546="SBJ","CB","?"))</f>
        <v> </v>
      </c>
      <c r="I3546" s="26" t="str">
        <f>IF(OR(E3546="",E3546="!!!",F3546="NEW"),"",INDEX(B3545:B$2,-1+SUMPRODUCT(MAX(ROW(E3545:E$2)*(E3546=E3545:E$2)))))</f>
        <v> </v>
      </c>
      <c r="J3546" s="26" t="str">
        <f>IF(OR(E3546="",E3546="!!!",F3546="NEW"),"",COUNTBLANK(OFFSET(A$1,,,SUMPRODUCT(MAX(ROW(E$2:E3546)*(E3546=E$2:E3546)))))-COUNTBLANK(OFFSET(A$1,,,SUMPRODUCT(MAX(ROW(E$1:E3545)*(E2=E$1:E3545))))))</f>
        <v> </v>
      </c>
      <c r="K3546" s="26" t="str">
        <f>IF(OR(E3546="",E3546="!!!",F3546="NEW"),"",INDEX(J$1:J3545,SUMPRODUCT(MAX(ROW(E$1:E3545)*(E3546=E$1:E3545)))))</f>
        <v> </v>
      </c>
      <c r="L3546" s="27"/>
    </row>
    <row r="3547" spans="1:12">
      <c r="A3547" s="20"/>
    </row>
    <row r="3548" spans="1:12">
      <c r="A3548" s="20" t="s">
        <v>2447</v>
      </c>
    </row>
    <row r="3549" spans="1:12">
      <c r="A3549" s="20" t="s">
        <v>2448</v>
      </c>
      <c r="E3549" s="22">
        <f>IF(D3549="?OLD","!!!","")</f>
        <v/>
      </c>
      <c r="F3549" s="23" t="str">
        <f>IF(OR(E3549="",E3549="!!!"),"",IF(NOT(ISNA(VLOOKUP(E3549,E$1:E3548,1,FALSE()))),"OLD",IF(AND(E3549&lt;&gt;"",E3549&lt;&gt;"!!!"),"NEW","")))</f>
        <v> </v>
      </c>
      <c r="G3549" s="24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5" t="str">
        <f>IF(J3549&lt;&gt;1,"",IF(I3549="SBJ","CB","?"))</f>
        <v> </v>
      </c>
      <c r="I3549" s="26" t="str">
        <f>IF(OR(E3549="",E3549="!!!",F3549="NEW"),"",INDEX(B3548:B$2,-1+SUMPRODUCT(MAX(ROW(E3548:E$2)*(E3549=E3548:E$2)))))</f>
        <v> </v>
      </c>
      <c r="J3549" s="26" t="str">
        <f>IF(OR(E3549="",E3549="!!!",F3549="NEW"),"",COUNTBLANK(OFFSET(A$1,,,SUMPRODUCT(MAX(ROW(E$2:E3549)*(E3549=E$2:E3549)))))-COUNTBLANK(OFFSET(A$1,,,SUMPRODUCT(MAX(ROW(E$1:E3548)*(E2=E$1:E3548))))))</f>
        <v> </v>
      </c>
      <c r="K3549" s="26" t="str">
        <f>IF(OR(E3549="",E3549="!!!",F3549="NEW"),"",INDEX(J$1:J3548,SUMPRODUCT(MAX(ROW(E$1:E3548)*(E3549=E$1:E3548)))))</f>
        <v> </v>
      </c>
      <c r="L3549" s="27"/>
    </row>
    <row r="3550" spans="1:12">
      <c r="A3550" s="20" t="s">
        <v>2449</v>
      </c>
      <c r="E3550" s="22">
        <f>IF(D3550="?OLD","!!!","")</f>
        <v/>
      </c>
      <c r="F3550" s="23" t="str">
        <f>IF(OR(E3550="",E3550="!!!"),"",IF(NOT(ISNA(VLOOKUP(E3550,E$1:E3549,1,FALSE()))),"OLD",IF(AND(E3550&lt;&gt;"",E3550&lt;&gt;"!!!"),"NEW","")))</f>
        <v> </v>
      </c>
      <c r="G3550" s="24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5" t="str">
        <f>IF(J3550&lt;&gt;1,"",IF(I3550="SBJ","CB","?"))</f>
        <v> </v>
      </c>
      <c r="I3550" s="26" t="str">
        <f>IF(OR(E3550="",E3550="!!!",F3550="NEW"),"",INDEX(B3549:B$2,-1+SUMPRODUCT(MAX(ROW(E3549:E$2)*(E3550=E3549:E$2)))))</f>
        <v> </v>
      </c>
      <c r="J3550" s="26" t="str">
        <f>IF(OR(E3550="",E3550="!!!",F3550="NEW"),"",COUNTBLANK(OFFSET(A$1,,,SUMPRODUCT(MAX(ROW(E$2:E3550)*(E3550=E$2:E3550)))))-COUNTBLANK(OFFSET(A$1,,,SUMPRODUCT(MAX(ROW(E$1:E3549)*(E2=E$1:E3549))))))</f>
        <v> </v>
      </c>
      <c r="K3550" s="26" t="str">
        <f>IF(OR(E3550="",E3550="!!!",F3550="NEW"),"",INDEX(J$1:J3549,SUMPRODUCT(MAX(ROW(E$1:E3549)*(E3550=E$1:E3549)))))</f>
        <v> </v>
      </c>
      <c r="L3550" s="27"/>
    </row>
    <row r="3551" spans="1:12">
      <c r="A3551" s="20" t="s">
        <v>858</v>
      </c>
      <c r="B3551" s="21" t="s">
        <v>1072</v>
      </c>
      <c r="C3551" s="21" t="s">
        <v>1462</v>
      </c>
      <c r="D3551" s="21" t="s">
        <v>1074</v>
      </c>
      <c r="E3551" s="22">
        <f>IF(D3551="?OLD","!!!","")</f>
        <v/>
      </c>
      <c r="F3551" s="23" t="str">
        <f>IF(OR(E3551="",E3551="!!!"),"",IF(NOT(ISNA(VLOOKUP(E3551,E$1:E3550,1,FALSE()))),"OLD",IF(AND(E3551&lt;&gt;"",E3551&lt;&gt;"!!!"),"NEW","")))</f>
        <v> </v>
      </c>
      <c r="G3551" s="24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5" t="str">
        <f>IF(J3551&lt;&gt;1,"",IF(I3551="SBJ","CB","?"))</f>
        <v> </v>
      </c>
      <c r="I3551" s="26" t="str">
        <f>IF(OR(E3551="",E3551="!!!",F3551="NEW"),"",INDEX(B3550:B$2,-1+SUMPRODUCT(MAX(ROW(E3550:E$2)*(E3551=E3550:E$2)))))</f>
        <v> </v>
      </c>
      <c r="J3551" s="26" t="str">
        <f>IF(OR(E3551="",E3551="!!!",F3551="NEW"),"",COUNTBLANK(OFFSET(A$1,,,SUMPRODUCT(MAX(ROW(E$2:E3551)*(E3551=E$2:E3551)))))-COUNTBLANK(OFFSET(A$1,,,SUMPRODUCT(MAX(ROW(E$1:E3550)*(E2=E$1:E3550))))))</f>
        <v> </v>
      </c>
      <c r="K3551" s="26" t="str">
        <f>IF(OR(E3551="",E3551="!!!",F3551="NEW"),"",INDEX(J$1:J3550,SUMPRODUCT(MAX(ROW(E$1:E3550)*(E3551=E$1:E3550)))))</f>
        <v> </v>
      </c>
      <c r="L3551" s="27"/>
    </row>
    <row r="3552" spans="1:12">
      <c r="A3552" s="20" t="s">
        <v>1085</v>
      </c>
      <c r="E3552" s="22">
        <f>IF(D3552="?OLD","!!!","")</f>
        <v/>
      </c>
      <c r="F3552" s="23" t="str">
        <f>IF(OR(E3552="",E3552="!!!"),"",IF(NOT(ISNA(VLOOKUP(E3552,E$1:E3551,1,FALSE()))),"OLD",IF(AND(E3552&lt;&gt;"",E3552&lt;&gt;"!!!"),"NEW","")))</f>
        <v> </v>
      </c>
      <c r="G3552" s="24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5" t="str">
        <f>IF(J3552&lt;&gt;1,"",IF(I3552="SBJ","CB","?"))</f>
        <v> </v>
      </c>
      <c r="I3552" s="26" t="str">
        <f>IF(OR(E3552="",E3552="!!!",F3552="NEW"),"",INDEX(B3551:B$2,-1+SUMPRODUCT(MAX(ROW(E3551:E$2)*(E3552=E3551:E$2)))))</f>
        <v> </v>
      </c>
      <c r="J3552" s="26" t="str">
        <f>IF(OR(E3552="",E3552="!!!",F3552="NEW"),"",COUNTBLANK(OFFSET(A$1,,,SUMPRODUCT(MAX(ROW(E$2:E3552)*(E3552=E$2:E3552)))))-COUNTBLANK(OFFSET(A$1,,,SUMPRODUCT(MAX(ROW(E$1:E3551)*(E2=E$1:E3551))))))</f>
        <v> </v>
      </c>
      <c r="K3552" s="26" t="str">
        <f>IF(OR(E3552="",E3552="!!!",F3552="NEW"),"",INDEX(J$1:J3551,SUMPRODUCT(MAX(ROW(E$1:E3551)*(E3552=E$1:E3551)))))</f>
        <v> </v>
      </c>
      <c r="L3552" s="27"/>
    </row>
    <row r="3553" spans="1:12">
      <c r="A3553" s="20" t="s">
        <v>1456</v>
      </c>
      <c r="E3553" s="22">
        <f>IF(D3553="?OLD","!!!","")</f>
        <v/>
      </c>
      <c r="F3553" s="23" t="str">
        <f>IF(OR(E3553="",E3553="!!!"),"",IF(NOT(ISNA(VLOOKUP(E3553,E$1:E3552,1,FALSE()))),"OLD",IF(AND(E3553&lt;&gt;"",E3553&lt;&gt;"!!!"),"NEW","")))</f>
        <v> </v>
      </c>
      <c r="G3553" s="24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5" t="str">
        <f>IF(J3553&lt;&gt;1,"",IF(I3553="SBJ","CB","?"))</f>
        <v> </v>
      </c>
      <c r="I3553" s="26" t="str">
        <f>IF(OR(E3553="",E3553="!!!",F3553="NEW"),"",INDEX(B3552:B$2,-1+SUMPRODUCT(MAX(ROW(E3552:E$2)*(E3553=E3552:E$2)))))</f>
        <v> </v>
      </c>
      <c r="J3553" s="26" t="str">
        <f>IF(OR(E3553="",E3553="!!!",F3553="NEW"),"",COUNTBLANK(OFFSET(A$1,,,SUMPRODUCT(MAX(ROW(E$2:E3553)*(E3553=E$2:E3553)))))-COUNTBLANK(OFFSET(A$1,,,SUMPRODUCT(MAX(ROW(E$1:E3552)*(E2=E$1:E3552))))))</f>
        <v> </v>
      </c>
      <c r="K3553" s="26" t="str">
        <f>IF(OR(E3553="",E3553="!!!",F3553="NEW"),"",INDEX(J$1:J3552,SUMPRODUCT(MAX(ROW(E$1:E3552)*(E3553=E$1:E3552)))))</f>
        <v> </v>
      </c>
      <c r="L3553" s="27"/>
    </row>
    <row r="3554" spans="1:12">
      <c r="A3554" s="20" t="s">
        <v>2450</v>
      </c>
      <c r="B3554" s="21" t="s">
        <v>1072</v>
      </c>
      <c r="C3554" s="21" t="s">
        <v>1462</v>
      </c>
      <c r="D3554" s="21" t="s">
        <v>1074</v>
      </c>
      <c r="E3554" s="22">
        <f>IF(D3554="?OLD","!!!","")</f>
        <v/>
      </c>
      <c r="F3554" s="23" t="str">
        <f>IF(OR(E3554="",E3554="!!!"),"",IF(NOT(ISNA(VLOOKUP(E3554,E$1:E3553,1,FALSE()))),"OLD",IF(AND(E3554&lt;&gt;"",E3554&lt;&gt;"!!!"),"NEW","")))</f>
        <v> </v>
      </c>
      <c r="G3554" s="24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5" t="str">
        <f>IF(J3554&lt;&gt;1,"",IF(I3554="SBJ","CB","?"))</f>
        <v> </v>
      </c>
      <c r="I3554" s="26" t="str">
        <f>IF(OR(E3554="",E3554="!!!",F3554="NEW"),"",INDEX(B3553:B$2,-1+SUMPRODUCT(MAX(ROW(E3553:E$2)*(E3554=E3553:E$2)))))</f>
        <v> </v>
      </c>
      <c r="J3554" s="26" t="str">
        <f>IF(OR(E3554="",E3554="!!!",F3554="NEW"),"",COUNTBLANK(OFFSET(A$1,,,SUMPRODUCT(MAX(ROW(E$2:E3554)*(E3554=E$2:E3554)))))-COUNTBLANK(OFFSET(A$1,,,SUMPRODUCT(MAX(ROW(E$1:E3553)*(E2=E$1:E3553))))))</f>
        <v> </v>
      </c>
      <c r="K3554" s="26" t="str">
        <f>IF(OR(E3554="",E3554="!!!",F3554="NEW"),"",INDEX(J$1:J3553,SUMPRODUCT(MAX(ROW(E$1:E3553)*(E3554=E$1:E3553)))))</f>
        <v> </v>
      </c>
      <c r="L3554" s="27"/>
    </row>
    <row r="3555" spans="1:12">
      <c r="A3555" s="20" t="s">
        <v>1085</v>
      </c>
      <c r="E3555" s="22">
        <f>IF(D3555="?OLD","!!!","")</f>
        <v/>
      </c>
      <c r="F3555" s="23" t="str">
        <f>IF(OR(E3555="",E3555="!!!"),"",IF(NOT(ISNA(VLOOKUP(E3555,E$1:E3554,1,FALSE()))),"OLD",IF(AND(E3555&lt;&gt;"",E3555&lt;&gt;"!!!"),"NEW","")))</f>
        <v> </v>
      </c>
      <c r="G3555" s="24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5" t="str">
        <f>IF(J3555&lt;&gt;1,"",IF(I3555="SBJ","CB","?"))</f>
        <v> </v>
      </c>
      <c r="I3555" s="26" t="str">
        <f>IF(OR(E3555="",E3555="!!!",F3555="NEW"),"",INDEX(B3554:B$2,-1+SUMPRODUCT(MAX(ROW(E3554:E$2)*(E3555=E3554:E$2)))))</f>
        <v> </v>
      </c>
      <c r="J3555" s="26" t="str">
        <f>IF(OR(E3555="",E3555="!!!",F3555="NEW"),"",COUNTBLANK(OFFSET(A$1,,,SUMPRODUCT(MAX(ROW(E$2:E3555)*(E3555=E$2:E3555)))))-COUNTBLANK(OFFSET(A$1,,,SUMPRODUCT(MAX(ROW(E$1:E3554)*(E2=E$1:E3554))))))</f>
        <v> </v>
      </c>
      <c r="K3555" s="26" t="str">
        <f>IF(OR(E3555="",E3555="!!!",F3555="NEW"),"",INDEX(J$1:J3554,SUMPRODUCT(MAX(ROW(E$1:E3554)*(E3555=E$1:E3554)))))</f>
        <v> </v>
      </c>
      <c r="L3555" s="27"/>
    </row>
    <row r="3556" spans="1:12">
      <c r="A3556" s="20" t="s">
        <v>2451</v>
      </c>
      <c r="B3556" s="21" t="s">
        <v>1205</v>
      </c>
      <c r="C3556" s="21" t="s">
        <v>1181</v>
      </c>
      <c r="E3556" s="22">
        <f>IF(D3556="?OLD","!!!","")</f>
        <v/>
      </c>
      <c r="F3556" s="23" t="str">
        <f>IF(OR(E3556="",E3556="!!!"),"",IF(NOT(ISNA(VLOOKUP(E3556,E$1:E3555,1,FALSE()))),"OLD",IF(AND(E3556&lt;&gt;"",E3556&lt;&gt;"!!!"),"NEW","")))</f>
        <v> </v>
      </c>
      <c r="G3556" s="24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5" t="str">
        <f>IF(J3556&lt;&gt;1,"",IF(I3556="SBJ","CB","?"))</f>
        <v> </v>
      </c>
      <c r="I3556" s="26" t="str">
        <f>IF(OR(E3556="",E3556="!!!",F3556="NEW"),"",INDEX(B3555:B$2,-1+SUMPRODUCT(MAX(ROW(E3555:E$2)*(E3556=E3555:E$2)))))</f>
        <v> </v>
      </c>
      <c r="J3556" s="26" t="str">
        <f>IF(OR(E3556="",E3556="!!!",F3556="NEW"),"",COUNTBLANK(OFFSET(A$1,,,SUMPRODUCT(MAX(ROW(E$2:E3556)*(E3556=E$2:E3556)))))-COUNTBLANK(OFFSET(A$1,,,SUMPRODUCT(MAX(ROW(E$1:E3555)*(E2=E$1:E3555))))))</f>
        <v> </v>
      </c>
      <c r="K3556" s="26" t="str">
        <f>IF(OR(E3556="",E3556="!!!",F3556="NEW"),"",INDEX(J$1:J3555,SUMPRODUCT(MAX(ROW(E$1:E3555)*(E3556=E$1:E3555)))))</f>
        <v> </v>
      </c>
      <c r="L3556" s="27"/>
    </row>
    <row r="3557" spans="1:12">
      <c r="A3557" s="20" t="s">
        <v>496</v>
      </c>
      <c r="E3557" s="22">
        <f>IF(D3557="?OLD","!!!","")</f>
        <v/>
      </c>
      <c r="F3557" s="23" t="str">
        <f>IF(OR(E3557="",E3557="!!!"),"",IF(NOT(ISNA(VLOOKUP(E3557,E$1:E3556,1,FALSE()))),"OLD",IF(AND(E3557&lt;&gt;"",E3557&lt;&gt;"!!!"),"NEW","")))</f>
        <v> </v>
      </c>
      <c r="G3557" s="24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5" t="str">
        <f>IF(J3557&lt;&gt;1,"",IF(I3557="SBJ","CB","?"))</f>
        <v> </v>
      </c>
      <c r="I3557" s="26" t="str">
        <f>IF(OR(E3557="",E3557="!!!",F3557="NEW"),"",INDEX(B3556:B$2,-1+SUMPRODUCT(MAX(ROW(E3556:E$2)*(E3557=E3556:E$2)))))</f>
        <v> </v>
      </c>
      <c r="J3557" s="26" t="str">
        <f>IF(OR(E3557="",E3557="!!!",F3557="NEW"),"",COUNTBLANK(OFFSET(A$1,,,SUMPRODUCT(MAX(ROW(E$2:E3557)*(E3557=E$2:E3557)))))-COUNTBLANK(OFFSET(A$1,,,SUMPRODUCT(MAX(ROW(E$1:E3556)*(E2=E$1:E3556))))))</f>
        <v> </v>
      </c>
      <c r="K3557" s="26" t="str">
        <f>IF(OR(E3557="",E3557="!!!",F3557="NEW"),"",INDEX(J$1:J3556,SUMPRODUCT(MAX(ROW(E$1:E3556)*(E3557=E$1:E3556)))))</f>
        <v> </v>
      </c>
      <c r="L3557" s="27"/>
    </row>
    <row r="3558" spans="1:12">
      <c r="A3558" s="20" t="s">
        <v>1206</v>
      </c>
      <c r="E3558" s="22">
        <f>IF(D3558="?OLD","!!!","")</f>
        <v/>
      </c>
      <c r="F3558" s="23" t="str">
        <f>IF(OR(E3558="",E3558="!!!"),"",IF(NOT(ISNA(VLOOKUP(E3558,E$1:E3557,1,FALSE()))),"OLD",IF(AND(E3558&lt;&gt;"",E3558&lt;&gt;"!!!"),"NEW","")))</f>
        <v> </v>
      </c>
      <c r="G3558" s="24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5" t="str">
        <f>IF(J3558&lt;&gt;1,"",IF(I3558="SBJ","CB","?"))</f>
        <v> </v>
      </c>
      <c r="I3558" s="26" t="str">
        <f>IF(OR(E3558="",E3558="!!!",F3558="NEW"),"",INDEX(B3557:B$2,-1+SUMPRODUCT(MAX(ROW(E3557:E$2)*(E3558=E3557:E$2)))))</f>
        <v> </v>
      </c>
      <c r="J3558" s="26" t="str">
        <f>IF(OR(E3558="",E3558="!!!",F3558="NEW"),"",COUNTBLANK(OFFSET(A$1,,,SUMPRODUCT(MAX(ROW(E$2:E3558)*(E3558=E$2:E3558)))))-COUNTBLANK(OFFSET(A$1,,,SUMPRODUCT(MAX(ROW(E$1:E3557)*(E2=E$1:E3557))))))</f>
        <v> </v>
      </c>
      <c r="K3558" s="26" t="str">
        <f>IF(OR(E3558="",E3558="!!!",F3558="NEW"),"",INDEX(J$1:J3557,SUMPRODUCT(MAX(ROW(E$1:E3557)*(E3558=E$1:E3557)))))</f>
        <v> </v>
      </c>
      <c r="L3558" s="27"/>
    </row>
    <row r="3559" spans="1:12">
      <c r="A3559" s="20" t="s">
        <v>2452</v>
      </c>
      <c r="E3559" s="22">
        <f>IF(D3559="?OLD","!!!","")</f>
        <v/>
      </c>
      <c r="F3559" s="23" t="str">
        <f>IF(OR(E3559="",E3559="!!!"),"",IF(NOT(ISNA(VLOOKUP(E3559,E$1:E3558,1,FALSE()))),"OLD",IF(AND(E3559&lt;&gt;"",E3559&lt;&gt;"!!!"),"NEW","")))</f>
        <v> </v>
      </c>
      <c r="G3559" s="24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5" t="str">
        <f>IF(J3559&lt;&gt;1,"",IF(I3559="SBJ","CB","?"))</f>
        <v> </v>
      </c>
      <c r="I3559" s="26" t="str">
        <f>IF(OR(E3559="",E3559="!!!",F3559="NEW"),"",INDEX(B3558:B$2,-1+SUMPRODUCT(MAX(ROW(E3558:E$2)*(E3559=E3558:E$2)))))</f>
        <v> </v>
      </c>
      <c r="J3559" s="26" t="str">
        <f>IF(OR(E3559="",E3559="!!!",F3559="NEW"),"",COUNTBLANK(OFFSET(A$1,,,SUMPRODUCT(MAX(ROW(E$2:E3559)*(E3559=E$2:E3559)))))-COUNTBLANK(OFFSET(A$1,,,SUMPRODUCT(MAX(ROW(E$1:E3558)*(E2=E$1:E3558))))))</f>
        <v> </v>
      </c>
      <c r="K3559" s="26" t="str">
        <f>IF(OR(E3559="",E3559="!!!",F3559="NEW"),"",INDEX(J$1:J3558,SUMPRODUCT(MAX(ROW(E$1:E3558)*(E3559=E$1:E3558)))))</f>
        <v> </v>
      </c>
      <c r="L3559" s="27"/>
    </row>
    <row r="3560" spans="1:12">
      <c r="A3560" s="20" t="s">
        <v>1085</v>
      </c>
      <c r="E3560" s="22">
        <f>IF(D3560="?OLD","!!!","")</f>
        <v/>
      </c>
      <c r="F3560" s="23" t="str">
        <f>IF(OR(E3560="",E3560="!!!"),"",IF(NOT(ISNA(VLOOKUP(E3560,E$1:E3559,1,FALSE()))),"OLD",IF(AND(E3560&lt;&gt;"",E3560&lt;&gt;"!!!"),"NEW","")))</f>
        <v> </v>
      </c>
      <c r="G3560" s="24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5" t="str">
        <f>IF(J3560&lt;&gt;1,"",IF(I3560="SBJ","CB","?"))</f>
        <v> </v>
      </c>
      <c r="I3560" s="26" t="str">
        <f>IF(OR(E3560="",E3560="!!!",F3560="NEW"),"",INDEX(B3559:B$2,-1+SUMPRODUCT(MAX(ROW(E3559:E$2)*(E3560=E3559:E$2)))))</f>
        <v> </v>
      </c>
      <c r="J3560" s="26" t="str">
        <f>IF(OR(E3560="",E3560="!!!",F3560="NEW"),"",COUNTBLANK(OFFSET(A$1,,,SUMPRODUCT(MAX(ROW(E$2:E3560)*(E3560=E$2:E3560)))))-COUNTBLANK(OFFSET(A$1,,,SUMPRODUCT(MAX(ROW(E$1:E3559)*(E2=E$1:E3559))))))</f>
        <v> </v>
      </c>
      <c r="K3560" s="26" t="str">
        <f>IF(OR(E3560="",E3560="!!!",F3560="NEW"),"",INDEX(J$1:J3559,SUMPRODUCT(MAX(ROW(E$1:E3559)*(E3560=E$1:E3559)))))</f>
        <v> </v>
      </c>
      <c r="L3560" s="27"/>
    </row>
    <row r="3561" spans="1:12">
      <c r="A3561" s="20" t="s">
        <v>1112</v>
      </c>
      <c r="E3561" s="22">
        <f>IF(D3561="?OLD","!!!","")</f>
        <v/>
      </c>
      <c r="F3561" s="23" t="str">
        <f>IF(OR(E3561="",E3561="!!!"),"",IF(NOT(ISNA(VLOOKUP(E3561,E$1:E3560,1,FALSE()))),"OLD",IF(AND(E3561&lt;&gt;"",E3561&lt;&gt;"!!!"),"NEW","")))</f>
        <v> </v>
      </c>
      <c r="G3561" s="24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5" t="str">
        <f>IF(J3561&lt;&gt;1,"",IF(I3561="SBJ","CB","?"))</f>
        <v> </v>
      </c>
      <c r="I3561" s="26" t="str">
        <f>IF(OR(E3561="",E3561="!!!",F3561="NEW"),"",INDEX(B3560:B$2,-1+SUMPRODUCT(MAX(ROW(E3560:E$2)*(E3561=E3560:E$2)))))</f>
        <v> </v>
      </c>
      <c r="J3561" s="26" t="str">
        <f>IF(OR(E3561="",E3561="!!!",F3561="NEW"),"",COUNTBLANK(OFFSET(A$1,,,SUMPRODUCT(MAX(ROW(E$2:E3561)*(E3561=E$2:E3561)))))-COUNTBLANK(OFFSET(A$1,,,SUMPRODUCT(MAX(ROW(E$1:E3560)*(E2=E$1:E3560))))))</f>
        <v> </v>
      </c>
      <c r="K3561" s="26" t="str">
        <f>IF(OR(E3561="",E3561="!!!",F3561="NEW"),"",INDEX(J$1:J3560,SUMPRODUCT(MAX(ROW(E$1:E3560)*(E3561=E$1:E3560)))))</f>
        <v> </v>
      </c>
      <c r="L3561" s="27"/>
    </row>
    <row r="3562" spans="1:12">
      <c r="A3562" s="20" t="s">
        <v>1179</v>
      </c>
      <c r="E3562" s="22">
        <f>IF(D3562="?OLD","!!!","")</f>
        <v/>
      </c>
      <c r="F3562" s="23" t="str">
        <f>IF(OR(E3562="",E3562="!!!"),"",IF(NOT(ISNA(VLOOKUP(E3562,E$1:E3561,1,FALSE()))),"OLD",IF(AND(E3562&lt;&gt;"",E3562&lt;&gt;"!!!"),"NEW","")))</f>
        <v> </v>
      </c>
      <c r="G3562" s="24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5" t="str">
        <f>IF(J3562&lt;&gt;1,"",IF(I3562="SBJ","CB","?"))</f>
        <v> </v>
      </c>
      <c r="I3562" s="26" t="str">
        <f>IF(OR(E3562="",E3562="!!!",F3562="NEW"),"",INDEX(B3561:B$2,-1+SUMPRODUCT(MAX(ROW(E3561:E$2)*(E3562=E3561:E$2)))))</f>
        <v> </v>
      </c>
      <c r="J3562" s="26" t="str">
        <f>IF(OR(E3562="",E3562="!!!",F3562="NEW"),"",COUNTBLANK(OFFSET(A$1,,,SUMPRODUCT(MAX(ROW(E$2:E3562)*(E3562=E$2:E3562)))))-COUNTBLANK(OFFSET(A$1,,,SUMPRODUCT(MAX(ROW(E$1:E3561)*(E2=E$1:E3561))))))</f>
        <v> </v>
      </c>
      <c r="K3562" s="26" t="str">
        <f>IF(OR(E3562="",E3562="!!!",F3562="NEW"),"",INDEX(J$1:J3561,SUMPRODUCT(MAX(ROW(E$1:E3561)*(E3562=E$1:E3561)))))</f>
        <v> </v>
      </c>
      <c r="L3562" s="27"/>
    </row>
    <row r="3563" spans="1:12">
      <c r="A3563" s="20" t="s">
        <v>2090</v>
      </c>
      <c r="E3563" s="22">
        <f>IF(D3563="?OLD","!!!","")</f>
        <v/>
      </c>
      <c r="F3563" s="23" t="str">
        <f>IF(OR(E3563="",E3563="!!!"),"",IF(NOT(ISNA(VLOOKUP(E3563,E$1:E3562,1,FALSE()))),"OLD",IF(AND(E3563&lt;&gt;"",E3563&lt;&gt;"!!!"),"NEW","")))</f>
        <v> </v>
      </c>
      <c r="G3563" s="24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5" t="str">
        <f>IF(J3563&lt;&gt;1,"",IF(I3563="SBJ","CB","?"))</f>
        <v> </v>
      </c>
      <c r="I3563" s="26" t="str">
        <f>IF(OR(E3563="",E3563="!!!",F3563="NEW"),"",INDEX(B3562:B$2,-1+SUMPRODUCT(MAX(ROW(E3562:E$2)*(E3563=E3562:E$2)))))</f>
        <v> </v>
      </c>
      <c r="J3563" s="26" t="str">
        <f>IF(OR(E3563="",E3563="!!!",F3563="NEW"),"",COUNTBLANK(OFFSET(A$1,,,SUMPRODUCT(MAX(ROW(E$2:E3563)*(E3563=E$2:E3563)))))-COUNTBLANK(OFFSET(A$1,,,SUMPRODUCT(MAX(ROW(E$1:E3562)*(E2=E$1:E3562))))))</f>
        <v> </v>
      </c>
      <c r="K3563" s="26" t="str">
        <f>IF(OR(E3563="",E3563="!!!",F3563="NEW"),"",INDEX(J$1:J3562,SUMPRODUCT(MAX(ROW(E$1:E3562)*(E3563=E$1:E3562)))))</f>
        <v> </v>
      </c>
      <c r="L3563" s="27"/>
    </row>
    <row r="3564" spans="1:12">
      <c r="A3564" s="20" t="s">
        <v>1156</v>
      </c>
      <c r="B3564" s="21" t="s">
        <v>1291</v>
      </c>
      <c r="C3564" s="21" t="s">
        <v>1081</v>
      </c>
      <c r="D3564" s="21" t="s">
        <v>1074</v>
      </c>
      <c r="E3564" s="22">
        <f>IF(D3564="?OLD","!!!","")</f>
        <v/>
      </c>
      <c r="F3564" s="23" t="str">
        <f>IF(OR(E3564="",E3564="!!!"),"",IF(NOT(ISNA(VLOOKUP(E3564,E$1:E3563,1,FALSE()))),"OLD",IF(AND(E3564&lt;&gt;"",E3564&lt;&gt;"!!!"),"NEW","")))</f>
        <v> </v>
      </c>
      <c r="G3564" s="24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5" t="str">
        <f>IF(J3564&lt;&gt;1,"",IF(I3564="SBJ","CB","?"))</f>
        <v> </v>
      </c>
      <c r="I3564" s="26" t="str">
        <f>IF(OR(E3564="",E3564="!!!",F3564="NEW"),"",INDEX(B3563:B$2,-1+SUMPRODUCT(MAX(ROW(E3563:E$2)*(E3564=E3563:E$2)))))</f>
        <v> </v>
      </c>
      <c r="J3564" s="26" t="str">
        <f>IF(OR(E3564="",E3564="!!!",F3564="NEW"),"",COUNTBLANK(OFFSET(A$1,,,SUMPRODUCT(MAX(ROW(E$2:E3564)*(E3564=E$2:E3564)))))-COUNTBLANK(OFFSET(A$1,,,SUMPRODUCT(MAX(ROW(E$1:E3563)*(E2=E$1:E3563))))))</f>
        <v> </v>
      </c>
      <c r="K3564" s="26" t="str">
        <f>IF(OR(E3564="",E3564="!!!",F3564="NEW"),"",INDEX(J$1:J3563,SUMPRODUCT(MAX(ROW(E$1:E3563)*(E3564=E$1:E3563)))))</f>
        <v> </v>
      </c>
      <c r="L3564" s="27"/>
    </row>
    <row r="3565" spans="1:12">
      <c r="A3565" s="20" t="s">
        <v>2453</v>
      </c>
      <c r="E3565" s="22">
        <f>IF(D3565="?OLD","!!!","")</f>
        <v/>
      </c>
      <c r="F3565" s="23" t="str">
        <f>IF(OR(E3565="",E3565="!!!"),"",IF(NOT(ISNA(VLOOKUP(E3565,E$1:E3564,1,FALSE()))),"OLD",IF(AND(E3565&lt;&gt;"",E3565&lt;&gt;"!!!"),"NEW","")))</f>
        <v> </v>
      </c>
      <c r="G3565" s="24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5" t="str">
        <f>IF(J3565&lt;&gt;1,"",IF(I3565="SBJ","CB","?"))</f>
        <v> </v>
      </c>
      <c r="I3565" s="26" t="str">
        <f>IF(OR(E3565="",E3565="!!!",F3565="NEW"),"",INDEX(B3564:B$2,-1+SUMPRODUCT(MAX(ROW(E3564:E$2)*(E3565=E3564:E$2)))))</f>
        <v> </v>
      </c>
      <c r="J3565" s="26" t="str">
        <f>IF(OR(E3565="",E3565="!!!",F3565="NEW"),"",COUNTBLANK(OFFSET(A$1,,,SUMPRODUCT(MAX(ROW(E$2:E3565)*(E3565=E$2:E3565)))))-COUNTBLANK(OFFSET(A$1,,,SUMPRODUCT(MAX(ROW(E$1:E3564)*(E2=E$1:E3564))))))</f>
        <v> </v>
      </c>
      <c r="K3565" s="26" t="str">
        <f>IF(OR(E3565="",E3565="!!!",F3565="NEW"),"",INDEX(J$1:J3564,SUMPRODUCT(MAX(ROW(E$1:E3564)*(E3565=E$1:E3564)))))</f>
        <v> </v>
      </c>
      <c r="L3565" s="27"/>
    </row>
    <row r="3566" spans="1:12">
      <c r="A3566" s="20" t="s">
        <v>1138</v>
      </c>
      <c r="E3566" s="22">
        <f>IF(D3566="?OLD","!!!","")</f>
        <v/>
      </c>
      <c r="F3566" s="23" t="str">
        <f>IF(OR(E3566="",E3566="!!!"),"",IF(NOT(ISNA(VLOOKUP(E3566,E$1:E3565,1,FALSE()))),"OLD",IF(AND(E3566&lt;&gt;"",E3566&lt;&gt;"!!!"),"NEW","")))</f>
        <v> </v>
      </c>
      <c r="G3566" s="24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5" t="str">
        <f>IF(J3566&lt;&gt;1,"",IF(I3566="SBJ","CB","?"))</f>
        <v> </v>
      </c>
      <c r="I3566" s="26" t="str">
        <f>IF(OR(E3566="",E3566="!!!",F3566="NEW"),"",INDEX(B3565:B$2,-1+SUMPRODUCT(MAX(ROW(E3565:E$2)*(E3566=E3565:E$2)))))</f>
        <v> </v>
      </c>
      <c r="J3566" s="26" t="str">
        <f>IF(OR(E3566="",E3566="!!!",F3566="NEW"),"",COUNTBLANK(OFFSET(A$1,,,SUMPRODUCT(MAX(ROW(E$2:E3566)*(E3566=E$2:E3566)))))-COUNTBLANK(OFFSET(A$1,,,SUMPRODUCT(MAX(ROW(E$1:E3565)*(E2=E$1:E3565))))))</f>
        <v> </v>
      </c>
      <c r="K3566" s="26" t="str">
        <f>IF(OR(E3566="",E3566="!!!",F3566="NEW"),"",INDEX(J$1:J3565,SUMPRODUCT(MAX(ROW(E$1:E3565)*(E3566=E$1:E3565)))))</f>
        <v> </v>
      </c>
      <c r="L3566" s="27"/>
    </row>
    <row r="3567" spans="1:12">
      <c r="A3567" s="20" t="s">
        <v>1356</v>
      </c>
      <c r="E3567" s="22">
        <f>IF(D3567="?OLD","!!!","")</f>
        <v/>
      </c>
      <c r="F3567" s="23" t="str">
        <f>IF(OR(E3567="",E3567="!!!"),"",IF(NOT(ISNA(VLOOKUP(E3567,E$1:E3566,1,FALSE()))),"OLD",IF(AND(E3567&lt;&gt;"",E3567&lt;&gt;"!!!"),"NEW","")))</f>
        <v> </v>
      </c>
      <c r="G3567" s="24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5" t="str">
        <f>IF(J3567&lt;&gt;1,"",IF(I3567="SBJ","CB","?"))</f>
        <v> </v>
      </c>
      <c r="I3567" s="26" t="str">
        <f>IF(OR(E3567="",E3567="!!!",F3567="NEW"),"",INDEX(B3566:B$2,-1+SUMPRODUCT(MAX(ROW(E3566:E$2)*(E3567=E3566:E$2)))))</f>
        <v> </v>
      </c>
      <c r="J3567" s="26" t="str">
        <f>IF(OR(E3567="",E3567="!!!",F3567="NEW"),"",COUNTBLANK(OFFSET(A$1,,,SUMPRODUCT(MAX(ROW(E$2:E3567)*(E3567=E$2:E3567)))))-COUNTBLANK(OFFSET(A$1,,,SUMPRODUCT(MAX(ROW(E$1:E3566)*(E2=E$1:E3566))))))</f>
        <v> </v>
      </c>
      <c r="K3567" s="26" t="str">
        <f>IF(OR(E3567="",E3567="!!!",F3567="NEW"),"",INDEX(J$1:J3566,SUMPRODUCT(MAX(ROW(E$1:E3566)*(E3567=E$1:E3566)))))</f>
        <v> </v>
      </c>
      <c r="L3567" s="27"/>
    </row>
    <row r="3568" spans="1:12">
      <c r="A3568" s="20" t="s">
        <v>1085</v>
      </c>
      <c r="E3568" s="22">
        <f>IF(D3568="?OLD","!!!","")</f>
        <v/>
      </c>
      <c r="F3568" s="23" t="str">
        <f>IF(OR(E3568="",E3568="!!!"),"",IF(NOT(ISNA(VLOOKUP(E3568,E$1:E3567,1,FALSE()))),"OLD",IF(AND(E3568&lt;&gt;"",E3568&lt;&gt;"!!!"),"NEW","")))</f>
        <v> </v>
      </c>
      <c r="G3568" s="24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5" t="str">
        <f>IF(J3568&lt;&gt;1,"",IF(I3568="SBJ","CB","?"))</f>
        <v> </v>
      </c>
      <c r="I3568" s="26" t="str">
        <f>IF(OR(E3568="",E3568="!!!",F3568="NEW"),"",INDEX(B3567:B$2,-1+SUMPRODUCT(MAX(ROW(E3567:E$2)*(E3568=E3567:E$2)))))</f>
        <v> </v>
      </c>
      <c r="J3568" s="26" t="str">
        <f>IF(OR(E3568="",E3568="!!!",F3568="NEW"),"",COUNTBLANK(OFFSET(A$1,,,SUMPRODUCT(MAX(ROW(E$2:E3568)*(E3568=E$2:E3568)))))-COUNTBLANK(OFFSET(A$1,,,SUMPRODUCT(MAX(ROW(E$1:E3567)*(E2=E$1:E3567))))))</f>
        <v> </v>
      </c>
      <c r="K3568" s="26" t="str">
        <f>IF(OR(E3568="",E3568="!!!",F3568="NEW"),"",INDEX(J$1:J3567,SUMPRODUCT(MAX(ROW(E$1:E3567)*(E3568=E$1:E3567)))))</f>
        <v> </v>
      </c>
      <c r="L3568" s="27"/>
    </row>
    <row r="3569" spans="1:12">
      <c r="A3569" s="20" t="s">
        <v>1415</v>
      </c>
      <c r="E3569" s="22">
        <f>IF(D3569="?OLD","!!!","")</f>
        <v/>
      </c>
      <c r="F3569" s="23" t="str">
        <f>IF(OR(E3569="",E3569="!!!"),"",IF(NOT(ISNA(VLOOKUP(E3569,E$1:E3568,1,FALSE()))),"OLD",IF(AND(E3569&lt;&gt;"",E3569&lt;&gt;"!!!"),"NEW","")))</f>
        <v> </v>
      </c>
      <c r="G3569" s="24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5" t="str">
        <f>IF(J3569&lt;&gt;1,"",IF(I3569="SBJ","CB","?"))</f>
        <v> </v>
      </c>
      <c r="I3569" s="26" t="str">
        <f>IF(OR(E3569="",E3569="!!!",F3569="NEW"),"",INDEX(B3568:B$2,-1+SUMPRODUCT(MAX(ROW(E3568:E$2)*(E3569=E3568:E$2)))))</f>
        <v> </v>
      </c>
      <c r="J3569" s="26" t="str">
        <f>IF(OR(E3569="",E3569="!!!",F3569="NEW"),"",COUNTBLANK(OFFSET(A$1,,,SUMPRODUCT(MAX(ROW(E$2:E3569)*(E3569=E$2:E3569)))))-COUNTBLANK(OFFSET(A$1,,,SUMPRODUCT(MAX(ROW(E$1:E3568)*(E2=E$1:E3568))))))</f>
        <v> </v>
      </c>
      <c r="K3569" s="26" t="str">
        <f>IF(OR(E3569="",E3569="!!!",F3569="NEW"),"",INDEX(J$1:J3568,SUMPRODUCT(MAX(ROW(E$1:E3568)*(E3569=E$1:E3568)))))</f>
        <v> </v>
      </c>
      <c r="L3569" s="27"/>
    </row>
    <row r="3570" spans="1:12">
      <c r="A3570" s="20" t="s">
        <v>2090</v>
      </c>
      <c r="E3570" s="22">
        <f>IF(D3570="?OLD","!!!","")</f>
        <v/>
      </c>
      <c r="F3570" s="23" t="str">
        <f>IF(OR(E3570="",E3570="!!!"),"",IF(NOT(ISNA(VLOOKUP(E3570,E$1:E3569,1,FALSE()))),"OLD",IF(AND(E3570&lt;&gt;"",E3570&lt;&gt;"!!!"),"NEW","")))</f>
        <v> </v>
      </c>
      <c r="G3570" s="24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5" t="str">
        <f>IF(J3570&lt;&gt;1,"",IF(I3570="SBJ","CB","?"))</f>
        <v> </v>
      </c>
      <c r="I3570" s="26" t="str">
        <f>IF(OR(E3570="",E3570="!!!",F3570="NEW"),"",INDEX(B3569:B$2,-1+SUMPRODUCT(MAX(ROW(E3569:E$2)*(E3570=E3569:E$2)))))</f>
        <v> </v>
      </c>
      <c r="J3570" s="26" t="str">
        <f>IF(OR(E3570="",E3570="!!!",F3570="NEW"),"",COUNTBLANK(OFFSET(A$1,,,SUMPRODUCT(MAX(ROW(E$2:E3570)*(E3570=E$2:E3570)))))-COUNTBLANK(OFFSET(A$1,,,SUMPRODUCT(MAX(ROW(E$1:E3569)*(E2=E$1:E3569))))))</f>
        <v> </v>
      </c>
      <c r="K3570" s="26" t="str">
        <f>IF(OR(E3570="",E3570="!!!",F3570="NEW"),"",INDEX(J$1:J3569,SUMPRODUCT(MAX(ROW(E$1:E3569)*(E3570=E$1:E3569)))))</f>
        <v> </v>
      </c>
      <c r="L3570" s="27"/>
    </row>
    <row r="3571" spans="1:12">
      <c r="A3571" s="20" t="s">
        <v>2454</v>
      </c>
      <c r="E3571" s="22">
        <f>IF(D3571="?OLD","!!!","")</f>
        <v/>
      </c>
      <c r="F3571" s="23" t="str">
        <f>IF(OR(E3571="",E3571="!!!"),"",IF(NOT(ISNA(VLOOKUP(E3571,E$1:E3570,1,FALSE()))),"OLD",IF(AND(E3571&lt;&gt;"",E3571&lt;&gt;"!!!"),"NEW","")))</f>
        <v> </v>
      </c>
      <c r="G3571" s="24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5" t="str">
        <f>IF(J3571&lt;&gt;1,"",IF(I3571="SBJ","CB","?"))</f>
        <v> </v>
      </c>
      <c r="I3571" s="26" t="str">
        <f>IF(OR(E3571="",E3571="!!!",F3571="NEW"),"",INDEX(B3570:B$2,-1+SUMPRODUCT(MAX(ROW(E3570:E$2)*(E3571=E3570:E$2)))))</f>
        <v> </v>
      </c>
      <c r="J3571" s="26" t="str">
        <f>IF(OR(E3571="",E3571="!!!",F3571="NEW"),"",COUNTBLANK(OFFSET(A$1,,,SUMPRODUCT(MAX(ROW(E$2:E3571)*(E3571=E$2:E3571)))))-COUNTBLANK(OFFSET(A$1,,,SUMPRODUCT(MAX(ROW(E$1:E3570)*(E2=E$1:E3570))))))</f>
        <v> </v>
      </c>
      <c r="K3571" s="26" t="str">
        <f>IF(OR(E3571="",E3571="!!!",F3571="NEW"),"",INDEX(J$1:J3570,SUMPRODUCT(MAX(ROW(E$1:E3570)*(E3571=E$1:E3570)))))</f>
        <v> </v>
      </c>
      <c r="L3571" s="27"/>
    </row>
    <row r="3572" spans="1:12">
      <c r="A3572" s="20" t="s">
        <v>1085</v>
      </c>
      <c r="E3572" s="22">
        <f>IF(D3572="?OLD","!!!","")</f>
        <v/>
      </c>
      <c r="F3572" s="23" t="str">
        <f>IF(OR(E3572="",E3572="!!!"),"",IF(NOT(ISNA(VLOOKUP(E3572,E$1:E3571,1,FALSE()))),"OLD",IF(AND(E3572&lt;&gt;"",E3572&lt;&gt;"!!!"),"NEW","")))</f>
        <v> </v>
      </c>
      <c r="G3572" s="24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5" t="str">
        <f>IF(J3572&lt;&gt;1,"",IF(I3572="SBJ","CB","?"))</f>
        <v> </v>
      </c>
      <c r="I3572" s="26" t="str">
        <f>IF(OR(E3572="",E3572="!!!",F3572="NEW"),"",INDEX(B3571:B$2,-1+SUMPRODUCT(MAX(ROW(E3571:E$2)*(E3572=E3571:E$2)))))</f>
        <v> </v>
      </c>
      <c r="J3572" s="26" t="str">
        <f>IF(OR(E3572="",E3572="!!!",F3572="NEW"),"",COUNTBLANK(OFFSET(A$1,,,SUMPRODUCT(MAX(ROW(E$2:E3572)*(E3572=E$2:E3572)))))-COUNTBLANK(OFFSET(A$1,,,SUMPRODUCT(MAX(ROW(E$1:E3571)*(E2=E$1:E3571))))))</f>
        <v> </v>
      </c>
      <c r="K3572" s="26" t="str">
        <f>IF(OR(E3572="",E3572="!!!",F3572="NEW"),"",INDEX(J$1:J3571,SUMPRODUCT(MAX(ROW(E$1:E3571)*(E3572=E$1:E3571)))))</f>
        <v> </v>
      </c>
      <c r="L3572" s="27"/>
    </row>
    <row r="3573" spans="1:12">
      <c r="A3573" s="20" t="s">
        <v>1086</v>
      </c>
      <c r="E3573" s="22">
        <f>IF(D3573="?OLD","!!!","")</f>
        <v/>
      </c>
      <c r="F3573" s="23" t="str">
        <f>IF(OR(E3573="",E3573="!!!"),"",IF(NOT(ISNA(VLOOKUP(E3573,E$1:E3572,1,FALSE()))),"OLD",IF(AND(E3573&lt;&gt;"",E3573&lt;&gt;"!!!"),"NEW","")))</f>
        <v> </v>
      </c>
      <c r="G3573" s="24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5" t="str">
        <f>IF(J3573&lt;&gt;1,"",IF(I3573="SBJ","CB","?"))</f>
        <v> </v>
      </c>
      <c r="I3573" s="26" t="str">
        <f>IF(OR(E3573="",E3573="!!!",F3573="NEW"),"",INDEX(B3572:B$2,-1+SUMPRODUCT(MAX(ROW(E3572:E$2)*(E3573=E3572:E$2)))))</f>
        <v> </v>
      </c>
      <c r="J3573" s="26" t="str">
        <f>IF(OR(E3573="",E3573="!!!",F3573="NEW"),"",COUNTBLANK(OFFSET(A$1,,,SUMPRODUCT(MAX(ROW(E$2:E3573)*(E3573=E$2:E3573)))))-COUNTBLANK(OFFSET(A$1,,,SUMPRODUCT(MAX(ROW(E$1:E3572)*(E2=E$1:E3572))))))</f>
        <v> </v>
      </c>
      <c r="K3573" s="26" t="str">
        <f>IF(OR(E3573="",E3573="!!!",F3573="NEW"),"",INDEX(J$1:J3572,SUMPRODUCT(MAX(ROW(E$1:E3572)*(E3573=E$1:E3572)))))</f>
        <v> </v>
      </c>
      <c r="L3573" s="27"/>
    </row>
    <row r="3574" spans="1:12">
      <c r="A3574" s="20" t="s">
        <v>1246</v>
      </c>
      <c r="E3574" s="22">
        <f>IF(D3574="?OLD","!!!","")</f>
        <v/>
      </c>
      <c r="F3574" s="23" t="str">
        <f>IF(OR(E3574="",E3574="!!!"),"",IF(NOT(ISNA(VLOOKUP(E3574,E$1:E3573,1,FALSE()))),"OLD",IF(AND(E3574&lt;&gt;"",E3574&lt;&gt;"!!!"),"NEW","")))</f>
        <v> </v>
      </c>
      <c r="G3574" s="24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5" t="str">
        <f>IF(J3574&lt;&gt;1,"",IF(I3574="SBJ","CB","?"))</f>
        <v> </v>
      </c>
      <c r="I3574" s="26" t="str">
        <f>IF(OR(E3574="",E3574="!!!",F3574="NEW"),"",INDEX(B3573:B$2,-1+SUMPRODUCT(MAX(ROW(E3573:E$2)*(E3574=E3573:E$2)))))</f>
        <v> </v>
      </c>
      <c r="J3574" s="26" t="str">
        <f>IF(OR(E3574="",E3574="!!!",F3574="NEW"),"",COUNTBLANK(OFFSET(A$1,,,SUMPRODUCT(MAX(ROW(E$2:E3574)*(E3574=E$2:E3574)))))-COUNTBLANK(OFFSET(A$1,,,SUMPRODUCT(MAX(ROW(E$1:E3573)*(E2=E$1:E3573))))))</f>
        <v> </v>
      </c>
      <c r="K3574" s="26" t="str">
        <f>IF(OR(E3574="",E3574="!!!",F3574="NEW"),"",INDEX(J$1:J3573,SUMPRODUCT(MAX(ROW(E$1:E3573)*(E3574=E$1:E3573)))))</f>
        <v> </v>
      </c>
      <c r="L3574" s="27"/>
    </row>
    <row r="3575" spans="1:12">
      <c r="A3575" s="20" t="s">
        <v>496</v>
      </c>
      <c r="E3575" s="22">
        <f>IF(D3575="?OLD","!!!","")</f>
        <v/>
      </c>
      <c r="F3575" s="23" t="str">
        <f>IF(OR(E3575="",E3575="!!!"),"",IF(NOT(ISNA(VLOOKUP(E3575,E$1:E3574,1,FALSE()))),"OLD",IF(AND(E3575&lt;&gt;"",E3575&lt;&gt;"!!!"),"NEW","")))</f>
        <v> </v>
      </c>
      <c r="G3575" s="24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5" t="str">
        <f>IF(J3575&lt;&gt;1,"",IF(I3575="SBJ","CB","?"))</f>
        <v> </v>
      </c>
      <c r="I3575" s="26" t="str">
        <f>IF(OR(E3575="",E3575="!!!",F3575="NEW"),"",INDEX(B3574:B$2,-1+SUMPRODUCT(MAX(ROW(E3574:E$2)*(E3575=E3574:E$2)))))</f>
        <v> </v>
      </c>
      <c r="J3575" s="26" t="str">
        <f>IF(OR(E3575="",E3575="!!!",F3575="NEW"),"",COUNTBLANK(OFFSET(A$1,,,SUMPRODUCT(MAX(ROW(E$2:E3575)*(E3575=E$2:E3575)))))-COUNTBLANK(OFFSET(A$1,,,SUMPRODUCT(MAX(ROW(E$1:E3574)*(E2=E$1:E3574))))))</f>
        <v> </v>
      </c>
      <c r="K3575" s="26" t="str">
        <f>IF(OR(E3575="",E3575="!!!",F3575="NEW"),"",INDEX(J$1:J3574,SUMPRODUCT(MAX(ROW(E$1:E3574)*(E3575=E$1:E3574)))))</f>
        <v> </v>
      </c>
      <c r="L3575" s="27"/>
    </row>
    <row r="3576" spans="1:12">
      <c r="A3576" s="20" t="s">
        <v>61</v>
      </c>
      <c r="E3576" s="22">
        <f>IF(D3576="?OLD","!!!","")</f>
        <v/>
      </c>
      <c r="F3576" s="23" t="str">
        <f>IF(OR(E3576="",E3576="!!!"),"",IF(NOT(ISNA(VLOOKUP(E3576,E$1:E3575,1,FALSE()))),"OLD",IF(AND(E3576&lt;&gt;"",E3576&lt;&gt;"!!!"),"NEW","")))</f>
        <v> </v>
      </c>
      <c r="G3576" s="24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5" t="str">
        <f>IF(J3576&lt;&gt;1,"",IF(I3576="SBJ","CB","?"))</f>
        <v> </v>
      </c>
      <c r="I3576" s="26" t="str">
        <f>IF(OR(E3576="",E3576="!!!",F3576="NEW"),"",INDEX(B3575:B$2,-1+SUMPRODUCT(MAX(ROW(E3575:E$2)*(E3576=E3575:E$2)))))</f>
        <v> </v>
      </c>
      <c r="J3576" s="26" t="str">
        <f>IF(OR(E3576="",E3576="!!!",F3576="NEW"),"",COUNTBLANK(OFFSET(A$1,,,SUMPRODUCT(MAX(ROW(E$2:E3576)*(E3576=E$2:E3576)))))-COUNTBLANK(OFFSET(A$1,,,SUMPRODUCT(MAX(ROW(E$1:E3575)*(E2=E$1:E3575))))))</f>
        <v> </v>
      </c>
      <c r="K3576" s="26" t="str">
        <f>IF(OR(E3576="",E3576="!!!",F3576="NEW"),"",INDEX(J$1:J3575,SUMPRODUCT(MAX(ROW(E$1:E3575)*(E3576=E$1:E3575)))))</f>
        <v> </v>
      </c>
      <c r="L3576" s="27"/>
    </row>
    <row r="3577" spans="1:12">
      <c r="A3577" s="20" t="s">
        <v>1106</v>
      </c>
      <c r="E3577" s="22">
        <f>IF(D3577="?OLD","!!!","")</f>
        <v/>
      </c>
      <c r="F3577" s="23" t="str">
        <f>IF(OR(E3577="",E3577="!!!"),"",IF(NOT(ISNA(VLOOKUP(E3577,E$1:E3576,1,FALSE()))),"OLD",IF(AND(E3577&lt;&gt;"",E3577&lt;&gt;"!!!"),"NEW","")))</f>
        <v> </v>
      </c>
      <c r="G3577" s="24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5" t="str">
        <f>IF(J3577&lt;&gt;1,"",IF(I3577="SBJ","CB","?"))</f>
        <v> </v>
      </c>
      <c r="I3577" s="26" t="str">
        <f>IF(OR(E3577="",E3577="!!!",F3577="NEW"),"",INDEX(B3576:B$2,-1+SUMPRODUCT(MAX(ROW(E3576:E$2)*(E3577=E3576:E$2)))))</f>
        <v> </v>
      </c>
      <c r="J3577" s="26" t="str">
        <f>IF(OR(E3577="",E3577="!!!",F3577="NEW"),"",COUNTBLANK(OFFSET(A$1,,,SUMPRODUCT(MAX(ROW(E$2:E3577)*(E3577=E$2:E3577)))))-COUNTBLANK(OFFSET(A$1,,,SUMPRODUCT(MAX(ROW(E$1:E3576)*(E2=E$1:E3576))))))</f>
        <v> </v>
      </c>
      <c r="K3577" s="26" t="str">
        <f>IF(OR(E3577="",E3577="!!!",F3577="NEW"),"",INDEX(J$1:J3576,SUMPRODUCT(MAX(ROW(E$1:E3576)*(E3577=E$1:E3576)))))</f>
        <v> </v>
      </c>
      <c r="L3577" s="27"/>
    </row>
    <row r="3578" spans="1:12">
      <c r="A3578" s="20"/>
    </row>
    <row r="3579" spans="1:12">
      <c r="A3579" s="20" t="s">
        <v>2455</v>
      </c>
    </row>
    <row r="3580" spans="1:12">
      <c r="A3580" s="20" t="s">
        <v>1841</v>
      </c>
      <c r="B3580" s="21" t="s">
        <v>1109</v>
      </c>
      <c r="C3580" s="21" t="s">
        <v>1081</v>
      </c>
      <c r="D3580" s="21" t="s">
        <v>1074</v>
      </c>
      <c r="E3580" s="22">
        <f>IF(D3580="?OLD","!!!","")</f>
        <v/>
      </c>
      <c r="F3580" s="23" t="str">
        <f>IF(OR(E3580="",E3580="!!!"),"",IF(NOT(ISNA(VLOOKUP(E3580,E$1:E3579,1,FALSE()))),"OLD",IF(AND(E3580&lt;&gt;"",E3580&lt;&gt;"!!!"),"NEW","")))</f>
        <v> </v>
      </c>
      <c r="G3580" s="24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5" t="str">
        <f>IF(J3580&lt;&gt;1,"",IF(I3580="SBJ","CB","?"))</f>
        <v> </v>
      </c>
      <c r="I3580" s="26" t="str">
        <f>IF(OR(E3580="",E3580="!!!",F3580="NEW"),"",INDEX(B3579:B$2,-1+SUMPRODUCT(MAX(ROW(E3579:E$2)*(E3580=E3579:E$2)))))</f>
        <v> </v>
      </c>
      <c r="J3580" s="26" t="str">
        <f>IF(OR(E3580="",E3580="!!!",F3580="NEW"),"",COUNTBLANK(OFFSET(A$1,,,SUMPRODUCT(MAX(ROW(E$2:E3580)*(E3580=E$2:E3580)))))-COUNTBLANK(OFFSET(A$1,,,SUMPRODUCT(MAX(ROW(E$1:E3579)*(E2=E$1:E3579))))))</f>
        <v> </v>
      </c>
      <c r="K3580" s="26" t="str">
        <f>IF(OR(E3580="",E3580="!!!",F3580="NEW"),"",INDEX(J$1:J3579,SUMPRODUCT(MAX(ROW(E$1:E3579)*(E3580=E$1:E3579)))))</f>
        <v> </v>
      </c>
      <c r="L3580" s="27"/>
    </row>
    <row r="3581" spans="1:12">
      <c r="A3581" s="20" t="s">
        <v>2456</v>
      </c>
      <c r="E3581" s="22">
        <f>IF(D3581="?OLD","!!!","")</f>
        <v/>
      </c>
      <c r="F3581" s="23" t="str">
        <f>IF(OR(E3581="",E3581="!!!"),"",IF(NOT(ISNA(VLOOKUP(E3581,E$1:E3580,1,FALSE()))),"OLD",IF(AND(E3581&lt;&gt;"",E3581&lt;&gt;"!!!"),"NEW","")))</f>
        <v> </v>
      </c>
      <c r="G3581" s="24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5" t="str">
        <f>IF(J3581&lt;&gt;1,"",IF(I3581="SBJ","CB","?"))</f>
        <v> </v>
      </c>
      <c r="I3581" s="26" t="str">
        <f>IF(OR(E3581="",E3581="!!!",F3581="NEW"),"",INDEX(B3580:B$2,-1+SUMPRODUCT(MAX(ROW(E3580:E$2)*(E3581=E3580:E$2)))))</f>
        <v> </v>
      </c>
      <c r="J3581" s="26" t="str">
        <f>IF(OR(E3581="",E3581="!!!",F3581="NEW"),"",COUNTBLANK(OFFSET(A$1,,,SUMPRODUCT(MAX(ROW(E$2:E3581)*(E3581=E$2:E3581)))))-COUNTBLANK(OFFSET(A$1,,,SUMPRODUCT(MAX(ROW(E$1:E3580)*(E2=E$1:E3580))))))</f>
        <v> </v>
      </c>
      <c r="K3581" s="26" t="str">
        <f>IF(OR(E3581="",E3581="!!!",F3581="NEW"),"",INDEX(J$1:J3580,SUMPRODUCT(MAX(ROW(E$1:E3580)*(E3581=E$1:E3580)))))</f>
        <v> </v>
      </c>
      <c r="L3581" s="27"/>
    </row>
    <row r="3582" spans="1:12">
      <c r="A3582" s="20" t="s">
        <v>1085</v>
      </c>
      <c r="E3582" s="22">
        <f>IF(D3582="?OLD","!!!","")</f>
        <v/>
      </c>
      <c r="F3582" s="23" t="str">
        <f>IF(OR(E3582="",E3582="!!!"),"",IF(NOT(ISNA(VLOOKUP(E3582,E$1:E3581,1,FALSE()))),"OLD",IF(AND(E3582&lt;&gt;"",E3582&lt;&gt;"!!!"),"NEW","")))</f>
        <v> </v>
      </c>
      <c r="G3582" s="24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5" t="str">
        <f>IF(J3582&lt;&gt;1,"",IF(I3582="SBJ","CB","?"))</f>
        <v> </v>
      </c>
      <c r="I3582" s="26" t="str">
        <f>IF(OR(E3582="",E3582="!!!",F3582="NEW"),"",INDEX(B3581:B$2,-1+SUMPRODUCT(MAX(ROW(E3581:E$2)*(E3582=E3581:E$2)))))</f>
        <v> </v>
      </c>
      <c r="J3582" s="26" t="str">
        <f>IF(OR(E3582="",E3582="!!!",F3582="NEW"),"",COUNTBLANK(OFFSET(A$1,,,SUMPRODUCT(MAX(ROW(E$2:E3582)*(E3582=E$2:E3582)))))-COUNTBLANK(OFFSET(A$1,,,SUMPRODUCT(MAX(ROW(E$1:E3581)*(E2=E$1:E3581))))))</f>
        <v> </v>
      </c>
      <c r="K3582" s="26" t="str">
        <f>IF(OR(E3582="",E3582="!!!",F3582="NEW"),"",INDEX(J$1:J3581,SUMPRODUCT(MAX(ROW(E$1:E3581)*(E3582=E$1:E3581)))))</f>
        <v> </v>
      </c>
      <c r="L3582" s="27"/>
    </row>
    <row r="3583" spans="1:12">
      <c r="A3583" s="20" t="s">
        <v>1086</v>
      </c>
      <c r="E3583" s="22">
        <f>IF(D3583="?OLD","!!!","")</f>
        <v/>
      </c>
      <c r="F3583" s="23" t="str">
        <f>IF(OR(E3583="",E3583="!!!"),"",IF(NOT(ISNA(VLOOKUP(E3583,E$1:E3582,1,FALSE()))),"OLD",IF(AND(E3583&lt;&gt;"",E3583&lt;&gt;"!!!"),"NEW","")))</f>
        <v> </v>
      </c>
      <c r="G3583" s="24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5" t="str">
        <f>IF(J3583&lt;&gt;1,"",IF(I3583="SBJ","CB","?"))</f>
        <v> </v>
      </c>
      <c r="I3583" s="26" t="str">
        <f>IF(OR(E3583="",E3583="!!!",F3583="NEW"),"",INDEX(B3582:B$2,-1+SUMPRODUCT(MAX(ROW(E3582:E$2)*(E3583=E3582:E$2)))))</f>
        <v> </v>
      </c>
      <c r="J3583" s="26" t="str">
        <f>IF(OR(E3583="",E3583="!!!",F3583="NEW"),"",COUNTBLANK(OFFSET(A$1,,,SUMPRODUCT(MAX(ROW(E$2:E3583)*(E3583=E$2:E3583)))))-COUNTBLANK(OFFSET(A$1,,,SUMPRODUCT(MAX(ROW(E$1:E3582)*(E2=E$1:E3582))))))</f>
        <v> </v>
      </c>
      <c r="K3583" s="26" t="str">
        <f>IF(OR(E3583="",E3583="!!!",F3583="NEW"),"",INDEX(J$1:J3582,SUMPRODUCT(MAX(ROW(E$1:E3582)*(E3583=E$1:E3582)))))</f>
        <v> </v>
      </c>
      <c r="L3583" s="27"/>
    </row>
    <row r="3584" spans="1:12">
      <c r="A3584" s="20" t="s">
        <v>2457</v>
      </c>
      <c r="B3584" s="21" t="s">
        <v>1077</v>
      </c>
      <c r="E3584" s="22">
        <f>IF(D3584="?OLD","!!!","")</f>
        <v/>
      </c>
      <c r="F3584" s="23" t="str">
        <f>IF(OR(E3584="",E3584="!!!"),"",IF(NOT(ISNA(VLOOKUP(E3584,E$1:E3583,1,FALSE()))),"OLD",IF(AND(E3584&lt;&gt;"",E3584&lt;&gt;"!!!"),"NEW","")))</f>
        <v> </v>
      </c>
      <c r="G3584" s="24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5" t="str">
        <f>IF(J3584&lt;&gt;1,"",IF(I3584="SBJ","CB","?"))</f>
        <v> </v>
      </c>
      <c r="I3584" s="26" t="str">
        <f>IF(OR(E3584="",E3584="!!!",F3584="NEW"),"",INDEX(B3583:B$2,-1+SUMPRODUCT(MAX(ROW(E3583:E$2)*(E3584=E3583:E$2)))))</f>
        <v> </v>
      </c>
      <c r="J3584" s="26" t="str">
        <f>IF(OR(E3584="",E3584="!!!",F3584="NEW"),"",COUNTBLANK(OFFSET(A$1,,,SUMPRODUCT(MAX(ROW(E$2:E3584)*(E3584=E$2:E3584)))))-COUNTBLANK(OFFSET(A$1,,,SUMPRODUCT(MAX(ROW(E$1:E3583)*(E2=E$1:E3583))))))</f>
        <v> </v>
      </c>
      <c r="K3584" s="26" t="str">
        <f>IF(OR(E3584="",E3584="!!!",F3584="NEW"),"",INDEX(J$1:J3583,SUMPRODUCT(MAX(ROW(E$1:E3583)*(E3584=E$1:E3583)))))</f>
        <v> </v>
      </c>
      <c r="L3584" s="27"/>
    </row>
    <row r="3585" spans="1:12">
      <c r="A3585" s="20" t="s">
        <v>2458</v>
      </c>
      <c r="E3585" s="22">
        <f>IF(D3585="?OLD","!!!","")</f>
        <v/>
      </c>
      <c r="F3585" s="23" t="str">
        <f>IF(OR(E3585="",E3585="!!!"),"",IF(NOT(ISNA(VLOOKUP(E3585,E$1:E3584,1,FALSE()))),"OLD",IF(AND(E3585&lt;&gt;"",E3585&lt;&gt;"!!!"),"NEW","")))</f>
        <v> </v>
      </c>
      <c r="G3585" s="24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5" t="str">
        <f>IF(J3585&lt;&gt;1,"",IF(I3585="SBJ","CB","?"))</f>
        <v> </v>
      </c>
      <c r="I3585" s="26" t="str">
        <f>IF(OR(E3585="",E3585="!!!",F3585="NEW"),"",INDEX(B3584:B$2,-1+SUMPRODUCT(MAX(ROW(E3584:E$2)*(E3585=E3584:E$2)))))</f>
        <v> </v>
      </c>
      <c r="J3585" s="26" t="str">
        <f>IF(OR(E3585="",E3585="!!!",F3585="NEW"),"",COUNTBLANK(OFFSET(A$1,,,SUMPRODUCT(MAX(ROW(E$2:E3585)*(E3585=E$2:E3585)))))-COUNTBLANK(OFFSET(A$1,,,SUMPRODUCT(MAX(ROW(E$1:E3584)*(E2=E$1:E3584))))))</f>
        <v> </v>
      </c>
      <c r="K3585" s="26" t="str">
        <f>IF(OR(E3585="",E3585="!!!",F3585="NEW"),"",INDEX(J$1:J3584,SUMPRODUCT(MAX(ROW(E$1:E3584)*(E3585=E$1:E3584)))))</f>
        <v> </v>
      </c>
      <c r="L3585" s="27"/>
    </row>
    <row r="3586" spans="1:12">
      <c r="A3586" s="20" t="s">
        <v>1957</v>
      </c>
      <c r="E3586" s="22">
        <f>IF(D3586="?OLD","!!!","")</f>
        <v/>
      </c>
      <c r="F3586" s="23" t="str">
        <f>IF(OR(E3586="",E3586="!!!"),"",IF(NOT(ISNA(VLOOKUP(E3586,E$1:E3585,1,FALSE()))),"OLD",IF(AND(E3586&lt;&gt;"",E3586&lt;&gt;"!!!"),"NEW","")))</f>
        <v> </v>
      </c>
      <c r="G3586" s="24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5" t="str">
        <f>IF(J3586&lt;&gt;1,"",IF(I3586="SBJ","CB","?"))</f>
        <v> </v>
      </c>
      <c r="I3586" s="26" t="str">
        <f>IF(OR(E3586="",E3586="!!!",F3586="NEW"),"",INDEX(B3585:B$2,-1+SUMPRODUCT(MAX(ROW(E3585:E$2)*(E3586=E3585:E$2)))))</f>
        <v> </v>
      </c>
      <c r="J3586" s="26" t="str">
        <f>IF(OR(E3586="",E3586="!!!",F3586="NEW"),"",COUNTBLANK(OFFSET(A$1,,,SUMPRODUCT(MAX(ROW(E$2:E3586)*(E3586=E$2:E3586)))))-COUNTBLANK(OFFSET(A$1,,,SUMPRODUCT(MAX(ROW(E$1:E3585)*(E2=E$1:E3585))))))</f>
        <v> </v>
      </c>
      <c r="K3586" s="26" t="str">
        <f>IF(OR(E3586="",E3586="!!!",F3586="NEW"),"",INDEX(J$1:J3585,SUMPRODUCT(MAX(ROW(E$1:E3585)*(E3586=E$1:E3585)))))</f>
        <v> </v>
      </c>
      <c r="L3586" s="27"/>
    </row>
    <row r="3587" spans="1:12">
      <c r="A3587" s="20" t="s">
        <v>1901</v>
      </c>
      <c r="E3587" s="22">
        <f>IF(D3587="?OLD","!!!","")</f>
        <v/>
      </c>
      <c r="F3587" s="23" t="str">
        <f>IF(OR(E3587="",E3587="!!!"),"",IF(NOT(ISNA(VLOOKUP(E3587,E$1:E3586,1,FALSE()))),"OLD",IF(AND(E3587&lt;&gt;"",E3587&lt;&gt;"!!!"),"NEW","")))</f>
        <v> </v>
      </c>
      <c r="G3587" s="24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5" t="str">
        <f>IF(J3587&lt;&gt;1,"",IF(I3587="SBJ","CB","?"))</f>
        <v> </v>
      </c>
      <c r="I3587" s="26" t="str">
        <f>IF(OR(E3587="",E3587="!!!",F3587="NEW"),"",INDEX(B3586:B$2,-1+SUMPRODUCT(MAX(ROW(E3586:E$2)*(E3587=E3586:E$2)))))</f>
        <v> </v>
      </c>
      <c r="J3587" s="26" t="str">
        <f>IF(OR(E3587="",E3587="!!!",F3587="NEW"),"",COUNTBLANK(OFFSET(A$1,,,SUMPRODUCT(MAX(ROW(E$2:E3587)*(E3587=E$2:E3587)))))-COUNTBLANK(OFFSET(A$1,,,SUMPRODUCT(MAX(ROW(E$1:E3586)*(E2=E$1:E3586))))))</f>
        <v> </v>
      </c>
      <c r="K3587" s="26" t="str">
        <f>IF(OR(E3587="",E3587="!!!",F3587="NEW"),"",INDEX(J$1:J3586,SUMPRODUCT(MAX(ROW(E$1:E3586)*(E3587=E$1:E3586)))))</f>
        <v> </v>
      </c>
      <c r="L3587" s="27"/>
    </row>
    <row r="3588" spans="1:12">
      <c r="A3588" s="20" t="s">
        <v>1505</v>
      </c>
      <c r="E3588" s="22">
        <f>IF(D3588="?OLD","!!!","")</f>
        <v/>
      </c>
      <c r="F3588" s="23" t="str">
        <f>IF(OR(E3588="",E3588="!!!"),"",IF(NOT(ISNA(VLOOKUP(E3588,E$1:E3587,1,FALSE()))),"OLD",IF(AND(E3588&lt;&gt;"",E3588&lt;&gt;"!!!"),"NEW","")))</f>
        <v> </v>
      </c>
      <c r="G3588" s="24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5" t="str">
        <f>IF(J3588&lt;&gt;1,"",IF(I3588="SBJ","CB","?"))</f>
        <v> </v>
      </c>
      <c r="I3588" s="26" t="str">
        <f>IF(OR(E3588="",E3588="!!!",F3588="NEW"),"",INDEX(B3587:B$2,-1+SUMPRODUCT(MAX(ROW(E3587:E$2)*(E3588=E3587:E$2)))))</f>
        <v> </v>
      </c>
      <c r="J3588" s="26" t="str">
        <f>IF(OR(E3588="",E3588="!!!",F3588="NEW"),"",COUNTBLANK(OFFSET(A$1,,,SUMPRODUCT(MAX(ROW(E$2:E3588)*(E3588=E$2:E3588)))))-COUNTBLANK(OFFSET(A$1,,,SUMPRODUCT(MAX(ROW(E$1:E3587)*(E2=E$1:E3587))))))</f>
        <v> </v>
      </c>
      <c r="K3588" s="26" t="str">
        <f>IF(OR(E3588="",E3588="!!!",F3588="NEW"),"",INDEX(J$1:J3587,SUMPRODUCT(MAX(ROW(E$1:E3587)*(E3588=E$1:E3587)))))</f>
        <v> </v>
      </c>
      <c r="L3588" s="27"/>
    </row>
    <row r="3589" spans="1:12">
      <c r="A3589" s="20" t="s">
        <v>2459</v>
      </c>
      <c r="E3589" s="22">
        <f>IF(D3589="?OLD","!!!","")</f>
        <v/>
      </c>
      <c r="F3589" s="23" t="str">
        <f>IF(OR(E3589="",E3589="!!!"),"",IF(NOT(ISNA(VLOOKUP(E3589,E$1:E3588,1,FALSE()))),"OLD",IF(AND(E3589&lt;&gt;"",E3589&lt;&gt;"!!!"),"NEW","")))</f>
        <v> </v>
      </c>
      <c r="G3589" s="24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5" t="str">
        <f>IF(J3589&lt;&gt;1,"",IF(I3589="SBJ","CB","?"))</f>
        <v> </v>
      </c>
      <c r="I3589" s="26" t="str">
        <f>IF(OR(E3589="",E3589="!!!",F3589="NEW"),"",INDEX(B3588:B$2,-1+SUMPRODUCT(MAX(ROW(E3588:E$2)*(E3589=E3588:E$2)))))</f>
        <v> </v>
      </c>
      <c r="J3589" s="26" t="str">
        <f>IF(OR(E3589="",E3589="!!!",F3589="NEW"),"",COUNTBLANK(OFFSET(A$1,,,SUMPRODUCT(MAX(ROW(E$2:E3589)*(E3589=E$2:E3589)))))-COUNTBLANK(OFFSET(A$1,,,SUMPRODUCT(MAX(ROW(E$1:E3588)*(E2=E$1:E3588))))))</f>
        <v> </v>
      </c>
      <c r="K3589" s="26" t="str">
        <f>IF(OR(E3589="",E3589="!!!",F3589="NEW"),"",INDEX(J$1:J3588,SUMPRODUCT(MAX(ROW(E$1:E3588)*(E3589=E$1:E3588)))))</f>
        <v> </v>
      </c>
      <c r="L3589" s="27"/>
    </row>
    <row r="3590" spans="1:12">
      <c r="A3590" s="20" t="s">
        <v>2460</v>
      </c>
      <c r="E3590" s="22">
        <f>IF(D3590="?OLD","!!!","")</f>
        <v/>
      </c>
      <c r="F3590" s="23" t="str">
        <f>IF(OR(E3590="",E3590="!!!"),"",IF(NOT(ISNA(VLOOKUP(E3590,E$1:E3589,1,FALSE()))),"OLD",IF(AND(E3590&lt;&gt;"",E3590&lt;&gt;"!!!"),"NEW","")))</f>
        <v> </v>
      </c>
      <c r="G3590" s="24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5" t="str">
        <f>IF(J3590&lt;&gt;1,"",IF(I3590="SBJ","CB","?"))</f>
        <v> </v>
      </c>
      <c r="I3590" s="26" t="str">
        <f>IF(OR(E3590="",E3590="!!!",F3590="NEW"),"",INDEX(B3589:B$2,-1+SUMPRODUCT(MAX(ROW(E3589:E$2)*(E3590=E3589:E$2)))))</f>
        <v> </v>
      </c>
      <c r="J3590" s="26" t="str">
        <f>IF(OR(E3590="",E3590="!!!",F3590="NEW"),"",COUNTBLANK(OFFSET(A$1,,,SUMPRODUCT(MAX(ROW(E$2:E3590)*(E3590=E$2:E3590)))))-COUNTBLANK(OFFSET(A$1,,,SUMPRODUCT(MAX(ROW(E$1:E3589)*(E2=E$1:E3589))))))</f>
        <v> </v>
      </c>
      <c r="K3590" s="26" t="str">
        <f>IF(OR(E3590="",E3590="!!!",F3590="NEW"),"",INDEX(J$1:J3589,SUMPRODUCT(MAX(ROW(E$1:E3589)*(E3590=E$1:E3589)))))</f>
        <v> </v>
      </c>
      <c r="L3590" s="27"/>
    </row>
    <row r="3591" spans="1:12">
      <c r="A3591" s="20" t="s">
        <v>2461</v>
      </c>
      <c r="E3591" s="22">
        <f>IF(D3591="?OLD","!!!","")</f>
        <v/>
      </c>
      <c r="F3591" s="23" t="str">
        <f>IF(OR(E3591="",E3591="!!!"),"",IF(NOT(ISNA(VLOOKUP(E3591,E$1:E3590,1,FALSE()))),"OLD",IF(AND(E3591&lt;&gt;"",E3591&lt;&gt;"!!!"),"NEW","")))</f>
        <v> </v>
      </c>
      <c r="G3591" s="24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5" t="str">
        <f>IF(J3591&lt;&gt;1,"",IF(I3591="SBJ","CB","?"))</f>
        <v> </v>
      </c>
      <c r="I3591" s="26" t="str">
        <f>IF(OR(E3591="",E3591="!!!",F3591="NEW"),"",INDEX(B3590:B$2,-1+SUMPRODUCT(MAX(ROW(E3590:E$2)*(E3591=E3590:E$2)))))</f>
        <v> </v>
      </c>
      <c r="J3591" s="26" t="str">
        <f>IF(OR(E3591="",E3591="!!!",F3591="NEW"),"",COUNTBLANK(OFFSET(A$1,,,SUMPRODUCT(MAX(ROW(E$2:E3591)*(E3591=E$2:E3591)))))-COUNTBLANK(OFFSET(A$1,,,SUMPRODUCT(MAX(ROW(E$1:E3590)*(E2=E$1:E3590))))))</f>
        <v> </v>
      </c>
      <c r="K3591" s="26" t="str">
        <f>IF(OR(E3591="",E3591="!!!",F3591="NEW"),"",INDEX(J$1:J3590,SUMPRODUCT(MAX(ROW(E$1:E3590)*(E3591=E$1:E3590)))))</f>
        <v> </v>
      </c>
      <c r="L3591" s="27"/>
    </row>
    <row r="3592" spans="1:12">
      <c r="A3592" s="20" t="s">
        <v>1085</v>
      </c>
      <c r="E3592" s="22">
        <f>IF(D3592="?OLD","!!!","")</f>
        <v/>
      </c>
      <c r="F3592" s="23" t="str">
        <f>IF(OR(E3592="",E3592="!!!"),"",IF(NOT(ISNA(VLOOKUP(E3592,E$1:E3591,1,FALSE()))),"OLD",IF(AND(E3592&lt;&gt;"",E3592&lt;&gt;"!!!"),"NEW","")))</f>
        <v> </v>
      </c>
      <c r="G3592" s="24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5" t="str">
        <f>IF(J3592&lt;&gt;1,"",IF(I3592="SBJ","CB","?"))</f>
        <v> </v>
      </c>
      <c r="I3592" s="26" t="str">
        <f>IF(OR(E3592="",E3592="!!!",F3592="NEW"),"",INDEX(B3591:B$2,-1+SUMPRODUCT(MAX(ROW(E3591:E$2)*(E3592=E3591:E$2)))))</f>
        <v> </v>
      </c>
      <c r="J3592" s="26" t="str">
        <f>IF(OR(E3592="",E3592="!!!",F3592="NEW"),"",COUNTBLANK(OFFSET(A$1,,,SUMPRODUCT(MAX(ROW(E$2:E3592)*(E3592=E$2:E3592)))))-COUNTBLANK(OFFSET(A$1,,,SUMPRODUCT(MAX(ROW(E$1:E3591)*(E2=E$1:E3591))))))</f>
        <v> </v>
      </c>
      <c r="K3592" s="26" t="str">
        <f>IF(OR(E3592="",E3592="!!!",F3592="NEW"),"",INDEX(J$1:J3591,SUMPRODUCT(MAX(ROW(E$1:E3591)*(E3592=E$1:E3591)))))</f>
        <v> </v>
      </c>
      <c r="L3592" s="27"/>
    </row>
    <row r="3593" spans="1:12">
      <c r="A3593" s="20" t="s">
        <v>1122</v>
      </c>
      <c r="E3593" s="22">
        <f>IF(D3593="?OLD","!!!","")</f>
        <v/>
      </c>
      <c r="F3593" s="23" t="str">
        <f>IF(OR(E3593="",E3593="!!!"),"",IF(NOT(ISNA(VLOOKUP(E3593,E$1:E3592,1,FALSE()))),"OLD",IF(AND(E3593&lt;&gt;"",E3593&lt;&gt;"!!!"),"NEW","")))</f>
        <v> </v>
      </c>
      <c r="G3593" s="24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5" t="str">
        <f>IF(J3593&lt;&gt;1,"",IF(I3593="SBJ","CB","?"))</f>
        <v> </v>
      </c>
      <c r="I3593" s="26" t="str">
        <f>IF(OR(E3593="",E3593="!!!",F3593="NEW"),"",INDEX(B3592:B$2,-1+SUMPRODUCT(MAX(ROW(E3592:E$2)*(E3593=E3592:E$2)))))</f>
        <v> </v>
      </c>
      <c r="J3593" s="26" t="str">
        <f>IF(OR(E3593="",E3593="!!!",F3593="NEW"),"",COUNTBLANK(OFFSET(A$1,,,SUMPRODUCT(MAX(ROW(E$2:E3593)*(E3593=E$2:E3593)))))-COUNTBLANK(OFFSET(A$1,,,SUMPRODUCT(MAX(ROW(E$1:E3592)*(E2=E$1:E3592))))))</f>
        <v> </v>
      </c>
      <c r="K3593" s="26" t="str">
        <f>IF(OR(E3593="",E3593="!!!",F3593="NEW"),"",INDEX(J$1:J3592,SUMPRODUCT(MAX(ROW(E$1:E3592)*(E3593=E$1:E3592)))))</f>
        <v> </v>
      </c>
      <c r="L3593" s="27"/>
    </row>
    <row r="3594" spans="1:12">
      <c r="A3594" s="20" t="s">
        <v>2072</v>
      </c>
      <c r="B3594" s="21" t="s">
        <v>1115</v>
      </c>
      <c r="C3594" s="21" t="s">
        <v>1181</v>
      </c>
      <c r="E3594" s="22">
        <f>IF(D3594="?OLD","!!!","")</f>
        <v/>
      </c>
      <c r="F3594" s="23" t="str">
        <f>IF(OR(E3594="",E3594="!!!"),"",IF(NOT(ISNA(VLOOKUP(E3594,E$1:E3593,1,FALSE()))),"OLD",IF(AND(E3594&lt;&gt;"",E3594&lt;&gt;"!!!"),"NEW","")))</f>
        <v> </v>
      </c>
      <c r="G3594" s="24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5" t="str">
        <f>IF(J3594&lt;&gt;1,"",IF(I3594="SBJ","CB","?"))</f>
        <v> </v>
      </c>
      <c r="I3594" s="26" t="str">
        <f>IF(OR(E3594="",E3594="!!!",F3594="NEW"),"",INDEX(B3593:B$2,-1+SUMPRODUCT(MAX(ROW(E3593:E$2)*(E3594=E3593:E$2)))))</f>
        <v> </v>
      </c>
      <c r="J3594" s="26" t="str">
        <f>IF(OR(E3594="",E3594="!!!",F3594="NEW"),"",COUNTBLANK(OFFSET(A$1,,,SUMPRODUCT(MAX(ROW(E$2:E3594)*(E3594=E$2:E3594)))))-COUNTBLANK(OFFSET(A$1,,,SUMPRODUCT(MAX(ROW(E$1:E3593)*(E2=E$1:E3593))))))</f>
        <v> </v>
      </c>
      <c r="K3594" s="26" t="str">
        <f>IF(OR(E3594="",E3594="!!!",F3594="NEW"),"",INDEX(J$1:J3593,SUMPRODUCT(MAX(ROW(E$1:E3593)*(E3594=E$1:E3593)))))</f>
        <v> </v>
      </c>
      <c r="L3594" s="27"/>
    </row>
    <row r="3595" spans="1:12">
      <c r="A3595" s="20" t="s">
        <v>911</v>
      </c>
      <c r="B3595" s="21" t="s">
        <v>1088</v>
      </c>
      <c r="C3595" s="21" t="s">
        <v>1081</v>
      </c>
      <c r="D3595" s="21" t="s">
        <v>1074</v>
      </c>
      <c r="E3595" s="22">
        <f>IF(D3595="?OLD","!!!","")</f>
        <v/>
      </c>
      <c r="F3595" s="23" t="str">
        <f>IF(OR(E3595="",E3595="!!!"),"",IF(NOT(ISNA(VLOOKUP(E3595,E$1:E3594,1,FALSE()))),"OLD",IF(AND(E3595&lt;&gt;"",E3595&lt;&gt;"!!!"),"NEW","")))</f>
        <v> </v>
      </c>
      <c r="G3595" s="24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5" t="str">
        <f>IF(J3595&lt;&gt;1,"",IF(I3595="SBJ","CB","?"))</f>
        <v> </v>
      </c>
      <c r="I3595" s="26" t="str">
        <f>IF(OR(E3595="",E3595="!!!",F3595="NEW"),"",INDEX(B3594:B$2,-1+SUMPRODUCT(MAX(ROW(E3594:E$2)*(E3595=E3594:E$2)))))</f>
        <v> </v>
      </c>
      <c r="J3595" s="26" t="str">
        <f>IF(OR(E3595="",E3595="!!!",F3595="NEW"),"",COUNTBLANK(OFFSET(A$1,,,SUMPRODUCT(MAX(ROW(E$2:E3595)*(E3595=E$2:E3595)))))-COUNTBLANK(OFFSET(A$1,,,SUMPRODUCT(MAX(ROW(E$1:E3594)*(E2=E$1:E3594))))))</f>
        <v> </v>
      </c>
      <c r="K3595" s="26" t="str">
        <f>IF(OR(E3595="",E3595="!!!",F3595="NEW"),"",INDEX(J$1:J3594,SUMPRODUCT(MAX(ROW(E$1:E3594)*(E3595=E$1:E3594)))))</f>
        <v> </v>
      </c>
      <c r="L3595" s="27"/>
    </row>
    <row r="3596" spans="1:12">
      <c r="A3596" s="20" t="s">
        <v>2462</v>
      </c>
      <c r="E3596" s="22">
        <f>IF(D3596="?OLD","!!!","")</f>
        <v/>
      </c>
      <c r="F3596" s="23" t="str">
        <f>IF(OR(E3596="",E3596="!!!"),"",IF(NOT(ISNA(VLOOKUP(E3596,E$1:E3595,1,FALSE()))),"OLD",IF(AND(E3596&lt;&gt;"",E3596&lt;&gt;"!!!"),"NEW","")))</f>
        <v> </v>
      </c>
      <c r="G3596" s="24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5" t="str">
        <f>IF(J3596&lt;&gt;1,"",IF(I3596="SBJ","CB","?"))</f>
        <v> </v>
      </c>
      <c r="I3596" s="26" t="str">
        <f>IF(OR(E3596="",E3596="!!!",F3596="NEW"),"",INDEX(B3595:B$2,-1+SUMPRODUCT(MAX(ROW(E3595:E$2)*(E3596=E3595:E$2)))))</f>
        <v> </v>
      </c>
      <c r="J3596" s="26" t="str">
        <f>IF(OR(E3596="",E3596="!!!",F3596="NEW"),"",COUNTBLANK(OFFSET(A$1,,,SUMPRODUCT(MAX(ROW(E$2:E3596)*(E3596=E$2:E3596)))))-COUNTBLANK(OFFSET(A$1,,,SUMPRODUCT(MAX(ROW(E$1:E3595)*(E2=E$1:E3595))))))</f>
        <v> </v>
      </c>
      <c r="K3596" s="26" t="str">
        <f>IF(OR(E3596="",E3596="!!!",F3596="NEW"),"",INDEX(J$1:J3595,SUMPRODUCT(MAX(ROW(E$1:E3595)*(E3596=E$1:E3595)))))</f>
        <v> </v>
      </c>
      <c r="L3596" s="27"/>
    </row>
    <row r="3597" spans="1:12">
      <c r="A3597" s="20" t="s">
        <v>1106</v>
      </c>
      <c r="E3597" s="22">
        <f>IF(D3597="?OLD","!!!","")</f>
        <v/>
      </c>
      <c r="F3597" s="23" t="str">
        <f>IF(OR(E3597="",E3597="!!!"),"",IF(NOT(ISNA(VLOOKUP(E3597,E$1:E3596,1,FALSE()))),"OLD",IF(AND(E3597&lt;&gt;"",E3597&lt;&gt;"!!!"),"NEW","")))</f>
        <v> </v>
      </c>
      <c r="G3597" s="24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5" t="str">
        <f>IF(J3597&lt;&gt;1,"",IF(I3597="SBJ","CB","?"))</f>
        <v> </v>
      </c>
      <c r="I3597" s="26" t="str">
        <f>IF(OR(E3597="",E3597="!!!",F3597="NEW"),"",INDEX(B3596:B$2,-1+SUMPRODUCT(MAX(ROW(E3596:E$2)*(E3597=E3596:E$2)))))</f>
        <v> </v>
      </c>
      <c r="J3597" s="26" t="str">
        <f>IF(OR(E3597="",E3597="!!!",F3597="NEW"),"",COUNTBLANK(OFFSET(A$1,,,SUMPRODUCT(MAX(ROW(E$2:E3597)*(E3597=E$2:E3597)))))-COUNTBLANK(OFFSET(A$1,,,SUMPRODUCT(MAX(ROW(E$1:E3596)*(E2=E$1:E3596))))))</f>
        <v> </v>
      </c>
      <c r="K3597" s="26" t="str">
        <f>IF(OR(E3597="",E3597="!!!",F3597="NEW"),"",INDEX(J$1:J3596,SUMPRODUCT(MAX(ROW(E$1:E3596)*(E3597=E$1:E3596)))))</f>
        <v> </v>
      </c>
      <c r="L3597" s="27"/>
    </row>
    <row r="3598" spans="1:12">
      <c r="A3598" s="20"/>
    </row>
    <row r="3599" spans="1:12">
      <c r="A3599" s="20" t="s">
        <v>1510</v>
      </c>
    </row>
    <row r="3600" spans="1:12">
      <c r="A3600" s="20" t="s">
        <v>1132</v>
      </c>
      <c r="B3600" s="21" t="s">
        <v>1072</v>
      </c>
      <c r="C3600" s="21" t="s">
        <v>1073</v>
      </c>
      <c r="D3600" s="21" t="s">
        <v>1074</v>
      </c>
      <c r="E3600" s="22">
        <f>IF(D3600="?OLD","!!!","")</f>
        <v/>
      </c>
      <c r="F3600" s="23" t="str">
        <f>IF(OR(E3600="",E3600="!!!"),"",IF(NOT(ISNA(VLOOKUP(E3600,E$1:E3599,1,FALSE()))),"OLD",IF(AND(E3600&lt;&gt;"",E3600&lt;&gt;"!!!"),"NEW","")))</f>
        <v> </v>
      </c>
      <c r="G3600" s="24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5" t="str">
        <f>IF(J3600&lt;&gt;1,"",IF(I3600="SBJ","CB","?"))</f>
        <v> </v>
      </c>
      <c r="I3600" s="26" t="str">
        <f>IF(OR(E3600="",E3600="!!!",F3600="NEW"),"",INDEX(B3599:B$2,-1+SUMPRODUCT(MAX(ROW(E3599:E$2)*(E3600=E3599:E$2)))))</f>
        <v> </v>
      </c>
      <c r="J3600" s="26" t="str">
        <f>IF(OR(E3600="",E3600="!!!",F3600="NEW"),"",COUNTBLANK(OFFSET(A$1,,,SUMPRODUCT(MAX(ROW(E$2:E3600)*(E3600=E$2:E3600)))))-COUNTBLANK(OFFSET(A$1,,,SUMPRODUCT(MAX(ROW(E$1:E3599)*(E2=E$1:E3599))))))</f>
        <v> </v>
      </c>
      <c r="K3600" s="26" t="str">
        <f>IF(OR(E3600="",E3600="!!!",F3600="NEW"),"",INDEX(J$1:J3599,SUMPRODUCT(MAX(ROW(E$1:E3599)*(E3600=E$1:E3599)))))</f>
        <v> </v>
      </c>
      <c r="L3600" s="27"/>
    </row>
    <row r="3601" spans="1:12">
      <c r="A3601" s="20" t="s">
        <v>1076</v>
      </c>
      <c r="E3601" s="22">
        <f>IF(D3601="?OLD","!!!","")</f>
        <v/>
      </c>
      <c r="F3601" s="23" t="str">
        <f>IF(OR(E3601="",E3601="!!!"),"",IF(NOT(ISNA(VLOOKUP(E3601,E$1:E3600,1,FALSE()))),"OLD",IF(AND(E3601&lt;&gt;"",E3601&lt;&gt;"!!!"),"NEW","")))</f>
        <v> </v>
      </c>
      <c r="G3601" s="24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5" t="str">
        <f>IF(J3601&lt;&gt;1,"",IF(I3601="SBJ","CB","?"))</f>
        <v> </v>
      </c>
      <c r="I3601" s="26" t="str">
        <f>IF(OR(E3601="",E3601="!!!",F3601="NEW"),"",INDEX(B3600:B$2,-1+SUMPRODUCT(MAX(ROW(E3600:E$2)*(E3601=E3600:E$2)))))</f>
        <v> </v>
      </c>
      <c r="J3601" s="26" t="str">
        <f>IF(OR(E3601="",E3601="!!!",F3601="NEW"),"",COUNTBLANK(OFFSET(A$1,,,SUMPRODUCT(MAX(ROW(E$2:E3601)*(E3601=E$2:E3601)))))-COUNTBLANK(OFFSET(A$1,,,SUMPRODUCT(MAX(ROW(E$1:E3600)*(E2=E$1:E3600))))))</f>
        <v> </v>
      </c>
      <c r="K3601" s="26" t="str">
        <f>IF(OR(E3601="",E3601="!!!",F3601="NEW"),"",INDEX(J$1:J3600,SUMPRODUCT(MAX(ROW(E$1:E3600)*(E3601=E$1:E3600)))))</f>
        <v> </v>
      </c>
      <c r="L3601" s="27"/>
    </row>
    <row r="3602" spans="1:12">
      <c r="A3602" s="20"/>
    </row>
    <row r="3603" spans="1:12">
      <c r="A3603" s="20" t="s">
        <v>2463</v>
      </c>
    </row>
    <row r="3604" spans="1:12">
      <c r="A3604" s="20" t="s">
        <v>1170</v>
      </c>
      <c r="E3604" s="22">
        <f>IF(D3604="?OLD","!!!","")</f>
        <v/>
      </c>
      <c r="F3604" s="23" t="str">
        <f>IF(OR(E3604="",E3604="!!!"),"",IF(NOT(ISNA(VLOOKUP(E3604,E$1:E3603,1,FALSE()))),"OLD",IF(AND(E3604&lt;&gt;"",E3604&lt;&gt;"!!!"),"NEW","")))</f>
        <v> </v>
      </c>
      <c r="G3604" s="24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5" t="str">
        <f>IF(J3604&lt;&gt;1,"",IF(I3604="SBJ","CB","?"))</f>
        <v> </v>
      </c>
      <c r="I3604" s="26" t="str">
        <f>IF(OR(E3604="",E3604="!!!",F3604="NEW"),"",INDEX(B3603:B$2,-1+SUMPRODUCT(MAX(ROW(E3603:E$2)*(E3604=E3603:E$2)))))</f>
        <v> </v>
      </c>
      <c r="J3604" s="26" t="str">
        <f>IF(OR(E3604="",E3604="!!!",F3604="NEW"),"",COUNTBLANK(OFFSET(A$1,,,SUMPRODUCT(MAX(ROW(E$2:E3604)*(E3604=E$2:E3604)))))-COUNTBLANK(OFFSET(A$1,,,SUMPRODUCT(MAX(ROW(E$1:E3603)*(E2=E$1:E3603))))))</f>
        <v> </v>
      </c>
      <c r="K3604" s="26" t="str">
        <f>IF(OR(E3604="",E3604="!!!",F3604="NEW"),"",INDEX(J$1:J3603,SUMPRODUCT(MAX(ROW(E$1:E3603)*(E3604=E$1:E3603)))))</f>
        <v> </v>
      </c>
      <c r="L3604" s="27"/>
    </row>
    <row r="3605" spans="1:12">
      <c r="A3605" s="20" t="s">
        <v>1298</v>
      </c>
      <c r="B3605" s="21" t="s">
        <v>1072</v>
      </c>
      <c r="C3605" s="21" t="s">
        <v>1081</v>
      </c>
      <c r="D3605" s="21" t="s">
        <v>1074</v>
      </c>
      <c r="E3605" s="22">
        <f>IF(D3605="?OLD","!!!","")</f>
        <v/>
      </c>
      <c r="F3605" s="23" t="str">
        <f>IF(OR(E3605="",E3605="!!!"),"",IF(NOT(ISNA(VLOOKUP(E3605,E$1:E3604,1,FALSE()))),"OLD",IF(AND(E3605&lt;&gt;"",E3605&lt;&gt;"!!!"),"NEW","")))</f>
        <v> </v>
      </c>
      <c r="G3605" s="24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5" t="str">
        <f>IF(J3605&lt;&gt;1,"",IF(I3605="SBJ","CB","?"))</f>
        <v> </v>
      </c>
      <c r="I3605" s="26" t="str">
        <f>IF(OR(E3605="",E3605="!!!",F3605="NEW"),"",INDEX(B3604:B$2,-1+SUMPRODUCT(MAX(ROW(E3604:E$2)*(E3605=E3604:E$2)))))</f>
        <v> </v>
      </c>
      <c r="J3605" s="26" t="str">
        <f>IF(OR(E3605="",E3605="!!!",F3605="NEW"),"",COUNTBLANK(OFFSET(A$1,,,SUMPRODUCT(MAX(ROW(E$2:E3605)*(E3605=E$2:E3605)))))-COUNTBLANK(OFFSET(A$1,,,SUMPRODUCT(MAX(ROW(E$1:E3604)*(E2=E$1:E3604))))))</f>
        <v> </v>
      </c>
      <c r="K3605" s="26" t="str">
        <f>IF(OR(E3605="",E3605="!!!",F3605="NEW"),"",INDEX(J$1:J3604,SUMPRODUCT(MAX(ROW(E$1:E3604)*(E3605=E$1:E3604)))))</f>
        <v> </v>
      </c>
      <c r="L3605" s="27"/>
    </row>
    <row r="3606" spans="1:12">
      <c r="A3606" s="20" t="s">
        <v>1079</v>
      </c>
      <c r="B3606" s="21" t="s">
        <v>1227</v>
      </c>
      <c r="C3606" s="21" t="s">
        <v>1081</v>
      </c>
      <c r="D3606" s="21" t="s">
        <v>1074</v>
      </c>
      <c r="E3606" s="22">
        <f>IF(D3606="?OLD","!!!","")</f>
        <v/>
      </c>
      <c r="F3606" s="23" t="str">
        <f>IF(OR(E3606="",E3606="!!!"),"",IF(NOT(ISNA(VLOOKUP(E3606,E$1:E3605,1,FALSE()))),"OLD",IF(AND(E3606&lt;&gt;"",E3606&lt;&gt;"!!!"),"NEW","")))</f>
        <v> </v>
      </c>
      <c r="G3606" s="24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5" t="str">
        <f>IF(J3606&lt;&gt;1,"",IF(I3606="SBJ","CB","?"))</f>
        <v> </v>
      </c>
      <c r="I3606" s="26" t="str">
        <f>IF(OR(E3606="",E3606="!!!",F3606="NEW"),"",INDEX(B3605:B$2,-1+SUMPRODUCT(MAX(ROW(E3605:E$2)*(E3606=E3605:E$2)))))</f>
        <v> </v>
      </c>
      <c r="J3606" s="26" t="str">
        <f>IF(OR(E3606="",E3606="!!!",F3606="NEW"),"",COUNTBLANK(OFFSET(A$1,,,SUMPRODUCT(MAX(ROW(E$2:E3606)*(E3606=E$2:E3606)))))-COUNTBLANK(OFFSET(A$1,,,SUMPRODUCT(MAX(ROW(E$1:E3605)*(E2=E$1:E3605))))))</f>
        <v> </v>
      </c>
      <c r="K3606" s="26" t="str">
        <f>IF(OR(E3606="",E3606="!!!",F3606="NEW"),"",INDEX(J$1:J3605,SUMPRODUCT(MAX(ROW(E$1:E3605)*(E3606=E$1:E3605)))))</f>
        <v> </v>
      </c>
      <c r="L3606" s="27"/>
    </row>
    <row r="3607" spans="1:12">
      <c r="A3607" s="20" t="s">
        <v>2464</v>
      </c>
      <c r="E3607" s="22">
        <f>IF(D3607="?OLD","!!!","")</f>
        <v/>
      </c>
      <c r="F3607" s="23" t="str">
        <f>IF(OR(E3607="",E3607="!!!"),"",IF(NOT(ISNA(VLOOKUP(E3607,E$1:E3606,1,FALSE()))),"OLD",IF(AND(E3607&lt;&gt;"",E3607&lt;&gt;"!!!"),"NEW","")))</f>
        <v> </v>
      </c>
      <c r="G3607" s="24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5" t="str">
        <f>IF(J3607&lt;&gt;1,"",IF(I3607="SBJ","CB","?"))</f>
        <v> </v>
      </c>
      <c r="I3607" s="26" t="str">
        <f>IF(OR(E3607="",E3607="!!!",F3607="NEW"),"",INDEX(B3606:B$2,-1+SUMPRODUCT(MAX(ROW(E3606:E$2)*(E3607=E3606:E$2)))))</f>
        <v> </v>
      </c>
      <c r="J3607" s="26" t="str">
        <f>IF(OR(E3607="",E3607="!!!",F3607="NEW"),"",COUNTBLANK(OFFSET(A$1,,,SUMPRODUCT(MAX(ROW(E$2:E3607)*(E3607=E$2:E3607)))))-COUNTBLANK(OFFSET(A$1,,,SUMPRODUCT(MAX(ROW(E$1:E3606)*(E2=E$1:E3606))))))</f>
        <v> </v>
      </c>
      <c r="K3607" s="26" t="str">
        <f>IF(OR(E3607="",E3607="!!!",F3607="NEW"),"",INDEX(J$1:J3606,SUMPRODUCT(MAX(ROW(E$1:E3606)*(E3607=E$1:E3606)))))</f>
        <v> </v>
      </c>
      <c r="L3607" s="27"/>
    </row>
    <row r="3608" spans="1:12">
      <c r="A3608" s="20" t="s">
        <v>2020</v>
      </c>
      <c r="E3608" s="22">
        <f>IF(D3608="?OLD","!!!","")</f>
        <v/>
      </c>
      <c r="F3608" s="23" t="str">
        <f>IF(OR(E3608="",E3608="!!!"),"",IF(NOT(ISNA(VLOOKUP(E3608,E$1:E3607,1,FALSE()))),"OLD",IF(AND(E3608&lt;&gt;"",E3608&lt;&gt;"!!!"),"NEW","")))</f>
        <v> </v>
      </c>
      <c r="G3608" s="24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5" t="str">
        <f>IF(J3608&lt;&gt;1,"",IF(I3608="SBJ","CB","?"))</f>
        <v> </v>
      </c>
      <c r="I3608" s="26" t="str">
        <f>IF(OR(E3608="",E3608="!!!",F3608="NEW"),"",INDEX(B3607:B$2,-1+SUMPRODUCT(MAX(ROW(E3607:E$2)*(E3608=E3607:E$2)))))</f>
        <v> </v>
      </c>
      <c r="J3608" s="26" t="str">
        <f>IF(OR(E3608="",E3608="!!!",F3608="NEW"),"",COUNTBLANK(OFFSET(A$1,,,SUMPRODUCT(MAX(ROW(E$2:E3608)*(E3608=E$2:E3608)))))-COUNTBLANK(OFFSET(A$1,,,SUMPRODUCT(MAX(ROW(E$1:E3607)*(E2=E$1:E3607))))))</f>
        <v> </v>
      </c>
      <c r="K3608" s="26" t="str">
        <f>IF(OR(E3608="",E3608="!!!",F3608="NEW"),"",INDEX(J$1:J3607,SUMPRODUCT(MAX(ROW(E$1:E3607)*(E3608=E$1:E3607)))))</f>
        <v> </v>
      </c>
      <c r="L3608" s="27"/>
    </row>
    <row r="3609" spans="1:12">
      <c r="A3609" s="20" t="s">
        <v>2465</v>
      </c>
      <c r="B3609" s="21" t="s">
        <v>1109</v>
      </c>
      <c r="C3609" s="21" t="s">
        <v>1462</v>
      </c>
      <c r="D3609" s="21" t="s">
        <v>1074</v>
      </c>
      <c r="E3609" s="22">
        <f>IF(D3609="?OLD","!!!","")</f>
        <v/>
      </c>
      <c r="F3609" s="23" t="str">
        <f>IF(OR(E3609="",E3609="!!!"),"",IF(NOT(ISNA(VLOOKUP(E3609,E$1:E3608,1,FALSE()))),"OLD",IF(AND(E3609&lt;&gt;"",E3609&lt;&gt;"!!!"),"NEW","")))</f>
        <v> </v>
      </c>
      <c r="G3609" s="24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5" t="str">
        <f>IF(J3609&lt;&gt;1,"",IF(I3609="SBJ","CB","?"))</f>
        <v> </v>
      </c>
      <c r="I3609" s="26" t="str">
        <f>IF(OR(E3609="",E3609="!!!",F3609="NEW"),"",INDEX(B3608:B$2,-1+SUMPRODUCT(MAX(ROW(E3608:E$2)*(E3609=E3608:E$2)))))</f>
        <v> </v>
      </c>
      <c r="J3609" s="26" t="str">
        <f>IF(OR(E3609="",E3609="!!!",F3609="NEW"),"",COUNTBLANK(OFFSET(A$1,,,SUMPRODUCT(MAX(ROW(E$2:E3609)*(E3609=E$2:E3609)))))-COUNTBLANK(OFFSET(A$1,,,SUMPRODUCT(MAX(ROW(E$1:E3608)*(E2=E$1:E3608))))))</f>
        <v> </v>
      </c>
      <c r="K3609" s="26" t="str">
        <f>IF(OR(E3609="",E3609="!!!",F3609="NEW"),"",INDEX(J$1:J3608,SUMPRODUCT(MAX(ROW(E$1:E3608)*(E3609=E$1:E3608)))))</f>
        <v> </v>
      </c>
      <c r="L3609" s="27"/>
    </row>
    <row r="3610" spans="1:12">
      <c r="A3610" s="20" t="s">
        <v>1085</v>
      </c>
      <c r="E3610" s="22">
        <f>IF(D3610="?OLD","!!!","")</f>
        <v/>
      </c>
      <c r="F3610" s="23" t="str">
        <f>IF(OR(E3610="",E3610="!!!"),"",IF(NOT(ISNA(VLOOKUP(E3610,E$1:E3609,1,FALSE()))),"OLD",IF(AND(E3610&lt;&gt;"",E3610&lt;&gt;"!!!"),"NEW","")))</f>
        <v> </v>
      </c>
      <c r="G3610" s="24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5" t="str">
        <f>IF(J3610&lt;&gt;1,"",IF(I3610="SBJ","CB","?"))</f>
        <v> </v>
      </c>
      <c r="I3610" s="26" t="str">
        <f>IF(OR(E3610="",E3610="!!!",F3610="NEW"),"",INDEX(B3609:B$2,-1+SUMPRODUCT(MAX(ROW(E3609:E$2)*(E3610=E3609:E$2)))))</f>
        <v> </v>
      </c>
      <c r="J3610" s="26" t="str">
        <f>IF(OR(E3610="",E3610="!!!",F3610="NEW"),"",COUNTBLANK(OFFSET(A$1,,,SUMPRODUCT(MAX(ROW(E$2:E3610)*(E3610=E$2:E3610)))))-COUNTBLANK(OFFSET(A$1,,,SUMPRODUCT(MAX(ROW(E$1:E3609)*(E2=E$1:E3609))))))</f>
        <v> </v>
      </c>
      <c r="K3610" s="26" t="str">
        <f>IF(OR(E3610="",E3610="!!!",F3610="NEW"),"",INDEX(J$1:J3609,SUMPRODUCT(MAX(ROW(E$1:E3609)*(E3610=E$1:E3609)))))</f>
        <v> </v>
      </c>
      <c r="L3610" s="27"/>
    </row>
    <row r="3611" spans="1:12">
      <c r="A3611" s="20" t="s">
        <v>1086</v>
      </c>
      <c r="E3611" s="22">
        <f>IF(D3611="?OLD","!!!","")</f>
        <v/>
      </c>
      <c r="F3611" s="23" t="str">
        <f>IF(OR(E3611="",E3611="!!!"),"",IF(NOT(ISNA(VLOOKUP(E3611,E$1:E3610,1,FALSE()))),"OLD",IF(AND(E3611&lt;&gt;"",E3611&lt;&gt;"!!!"),"NEW","")))</f>
        <v> </v>
      </c>
      <c r="G3611" s="24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5" t="str">
        <f>IF(J3611&lt;&gt;1,"",IF(I3611="SBJ","CB","?"))</f>
        <v> </v>
      </c>
      <c r="I3611" s="26" t="str">
        <f>IF(OR(E3611="",E3611="!!!",F3611="NEW"),"",INDEX(B3610:B$2,-1+SUMPRODUCT(MAX(ROW(E3610:E$2)*(E3611=E3610:E$2)))))</f>
        <v> </v>
      </c>
      <c r="J3611" s="26" t="str">
        <f>IF(OR(E3611="",E3611="!!!",F3611="NEW"),"",COUNTBLANK(OFFSET(A$1,,,SUMPRODUCT(MAX(ROW(E$2:E3611)*(E3611=E$2:E3611)))))-COUNTBLANK(OFFSET(A$1,,,SUMPRODUCT(MAX(ROW(E$1:E3610)*(E2=E$1:E3610))))))</f>
        <v> </v>
      </c>
      <c r="K3611" s="26" t="str">
        <f>IF(OR(E3611="",E3611="!!!",F3611="NEW"),"",INDEX(J$1:J3610,SUMPRODUCT(MAX(ROW(E$1:E3610)*(E3611=E$1:E3610)))))</f>
        <v> </v>
      </c>
      <c r="L3611" s="27"/>
    </row>
    <row r="3612" spans="1:12">
      <c r="A3612" s="20" t="s">
        <v>1112</v>
      </c>
      <c r="E3612" s="22">
        <f>IF(D3612="?OLD","!!!","")</f>
        <v/>
      </c>
      <c r="F3612" s="23" t="str">
        <f>IF(OR(E3612="",E3612="!!!"),"",IF(NOT(ISNA(VLOOKUP(E3612,E$1:E3611,1,FALSE()))),"OLD",IF(AND(E3612&lt;&gt;"",E3612&lt;&gt;"!!!"),"NEW","")))</f>
        <v> </v>
      </c>
      <c r="G3612" s="24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5" t="str">
        <f>IF(J3612&lt;&gt;1,"",IF(I3612="SBJ","CB","?"))</f>
        <v> </v>
      </c>
      <c r="I3612" s="26" t="str">
        <f>IF(OR(E3612="",E3612="!!!",F3612="NEW"),"",INDEX(B3611:B$2,-1+SUMPRODUCT(MAX(ROW(E3611:E$2)*(E3612=E3611:E$2)))))</f>
        <v> </v>
      </c>
      <c r="J3612" s="26" t="str">
        <f>IF(OR(E3612="",E3612="!!!",F3612="NEW"),"",COUNTBLANK(OFFSET(A$1,,,SUMPRODUCT(MAX(ROW(E$2:E3612)*(E3612=E$2:E3612)))))-COUNTBLANK(OFFSET(A$1,,,SUMPRODUCT(MAX(ROW(E$1:E3611)*(E2=E$1:E3611))))))</f>
        <v> </v>
      </c>
      <c r="K3612" s="26" t="str">
        <f>IF(OR(E3612="",E3612="!!!",F3612="NEW"),"",INDEX(J$1:J3611,SUMPRODUCT(MAX(ROW(E$1:E3611)*(E3612=E$1:E3611)))))</f>
        <v> </v>
      </c>
      <c r="L3612" s="27"/>
    </row>
    <row r="3613" spans="1:12">
      <c r="A3613" s="20" t="s">
        <v>1380</v>
      </c>
      <c r="E3613" s="22">
        <f>IF(D3613="?OLD","!!!","")</f>
        <v/>
      </c>
      <c r="F3613" s="23" t="str">
        <f>IF(OR(E3613="",E3613="!!!"),"",IF(NOT(ISNA(VLOOKUP(E3613,E$1:E3612,1,FALSE()))),"OLD",IF(AND(E3613&lt;&gt;"",E3613&lt;&gt;"!!!"),"NEW","")))</f>
        <v> </v>
      </c>
      <c r="G3613" s="24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5" t="str">
        <f>IF(J3613&lt;&gt;1,"",IF(I3613="SBJ","CB","?"))</f>
        <v> </v>
      </c>
      <c r="I3613" s="26" t="str">
        <f>IF(OR(E3613="",E3613="!!!",F3613="NEW"),"",INDEX(B3612:B$2,-1+SUMPRODUCT(MAX(ROW(E3612:E$2)*(E3613=E3612:E$2)))))</f>
        <v> </v>
      </c>
      <c r="J3613" s="26" t="str">
        <f>IF(OR(E3613="",E3613="!!!",F3613="NEW"),"",COUNTBLANK(OFFSET(A$1,,,SUMPRODUCT(MAX(ROW(E$2:E3613)*(E3613=E$2:E3613)))))-COUNTBLANK(OFFSET(A$1,,,SUMPRODUCT(MAX(ROW(E$1:E3612)*(E2=E$1:E3612))))))</f>
        <v> </v>
      </c>
      <c r="K3613" s="26" t="str">
        <f>IF(OR(E3613="",E3613="!!!",F3613="NEW"),"",INDEX(J$1:J3612,SUMPRODUCT(MAX(ROW(E$1:E3612)*(E3613=E$1:E3612)))))</f>
        <v> </v>
      </c>
      <c r="L3613" s="27"/>
    </row>
    <row r="3614" spans="1:12">
      <c r="A3614" s="20" t="s">
        <v>1336</v>
      </c>
      <c r="B3614" s="21" t="s">
        <v>1137</v>
      </c>
      <c r="C3614" s="21" t="s">
        <v>1081</v>
      </c>
      <c r="D3614" s="21" t="s">
        <v>1074</v>
      </c>
      <c r="E3614" s="22">
        <f>IF(D3614="?OLD","!!!","")</f>
        <v/>
      </c>
      <c r="F3614" s="23" t="str">
        <f>IF(OR(E3614="",E3614="!!!"),"",IF(NOT(ISNA(VLOOKUP(E3614,E$1:E3613,1,FALSE()))),"OLD",IF(AND(E3614&lt;&gt;"",E3614&lt;&gt;"!!!"),"NEW","")))</f>
        <v> </v>
      </c>
      <c r="G3614" s="24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5" t="str">
        <f>IF(J3614&lt;&gt;1,"",IF(I3614="SBJ","CB","?"))</f>
        <v> </v>
      </c>
      <c r="I3614" s="26" t="str">
        <f>IF(OR(E3614="",E3614="!!!",F3614="NEW"),"",INDEX(B3613:B$2,-1+SUMPRODUCT(MAX(ROW(E3613:E$2)*(E3614=E3613:E$2)))))</f>
        <v> </v>
      </c>
      <c r="J3614" s="26" t="str">
        <f>IF(OR(E3614="",E3614="!!!",F3614="NEW"),"",COUNTBLANK(OFFSET(A$1,,,SUMPRODUCT(MAX(ROW(E$2:E3614)*(E3614=E$2:E3614)))))-COUNTBLANK(OFFSET(A$1,,,SUMPRODUCT(MAX(ROW(E$1:E3613)*(E2=E$1:E3613))))))</f>
        <v> </v>
      </c>
      <c r="K3614" s="26" t="str">
        <f>IF(OR(E3614="",E3614="!!!",F3614="NEW"),"",INDEX(J$1:J3613,SUMPRODUCT(MAX(ROW(E$1:E3613)*(E3614=E$1:E3613)))))</f>
        <v> </v>
      </c>
      <c r="L3614" s="27"/>
    </row>
    <row r="3615" spans="1:12">
      <c r="A3615" s="20" t="s">
        <v>2466</v>
      </c>
      <c r="E3615" s="22">
        <f>IF(D3615="?OLD","!!!","")</f>
        <v/>
      </c>
      <c r="F3615" s="23" t="str">
        <f>IF(OR(E3615="",E3615="!!!"),"",IF(NOT(ISNA(VLOOKUP(E3615,E$1:E3614,1,FALSE()))),"OLD",IF(AND(E3615&lt;&gt;"",E3615&lt;&gt;"!!!"),"NEW","")))</f>
        <v> </v>
      </c>
      <c r="G3615" s="24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5" t="str">
        <f>IF(J3615&lt;&gt;1,"",IF(I3615="SBJ","CB","?"))</f>
        <v> </v>
      </c>
      <c r="I3615" s="26" t="str">
        <f>IF(OR(E3615="",E3615="!!!",F3615="NEW"),"",INDEX(B3614:B$2,-1+SUMPRODUCT(MAX(ROW(E3614:E$2)*(E3615=E3614:E$2)))))</f>
        <v> </v>
      </c>
      <c r="J3615" s="26" t="str">
        <f>IF(OR(E3615="",E3615="!!!",F3615="NEW"),"",COUNTBLANK(OFFSET(A$1,,,SUMPRODUCT(MAX(ROW(E$2:E3615)*(E3615=E$2:E3615)))))-COUNTBLANK(OFFSET(A$1,,,SUMPRODUCT(MAX(ROW(E$1:E3614)*(E2=E$1:E3614))))))</f>
        <v> </v>
      </c>
      <c r="K3615" s="26" t="str">
        <f>IF(OR(E3615="",E3615="!!!",F3615="NEW"),"",INDEX(J$1:J3614,SUMPRODUCT(MAX(ROW(E$1:E3614)*(E3615=E$1:E3614)))))</f>
        <v> </v>
      </c>
      <c r="L3615" s="27"/>
    </row>
    <row r="3616" spans="1:12">
      <c r="A3616" s="20" t="s">
        <v>1191</v>
      </c>
      <c r="B3616" s="21" t="s">
        <v>1119</v>
      </c>
      <c r="E3616" s="22">
        <f>IF(D3616="?OLD","!!!","")</f>
        <v/>
      </c>
      <c r="F3616" s="23" t="str">
        <f>IF(OR(E3616="",E3616="!!!"),"",IF(NOT(ISNA(VLOOKUP(E3616,E$1:E3615,1,FALSE()))),"OLD",IF(AND(E3616&lt;&gt;"",E3616&lt;&gt;"!!!"),"NEW","")))</f>
        <v> </v>
      </c>
      <c r="G3616" s="24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5" t="str">
        <f>IF(J3616&lt;&gt;1,"",IF(I3616="SBJ","CB","?"))</f>
        <v> </v>
      </c>
      <c r="I3616" s="26" t="str">
        <f>IF(OR(E3616="",E3616="!!!",F3616="NEW"),"",INDEX(B3615:B$2,-1+SUMPRODUCT(MAX(ROW(E3615:E$2)*(E3616=E3615:E$2)))))</f>
        <v> </v>
      </c>
      <c r="J3616" s="26" t="str">
        <f>IF(OR(E3616="",E3616="!!!",F3616="NEW"),"",COUNTBLANK(OFFSET(A$1,,,SUMPRODUCT(MAX(ROW(E$2:E3616)*(E3616=E$2:E3616)))))-COUNTBLANK(OFFSET(A$1,,,SUMPRODUCT(MAX(ROW(E$1:E3615)*(E2=E$1:E3615))))))</f>
        <v> </v>
      </c>
      <c r="K3616" s="26" t="str">
        <f>IF(OR(E3616="",E3616="!!!",F3616="NEW"),"",INDEX(J$1:J3615,SUMPRODUCT(MAX(ROW(E$1:E3615)*(E3616=E$1:E3615)))))</f>
        <v> </v>
      </c>
      <c r="L3616" s="27"/>
    </row>
    <row r="3617" spans="1:12">
      <c r="A3617" s="20" t="s">
        <v>1789</v>
      </c>
      <c r="E3617" s="22">
        <f>IF(D3617="?OLD","!!!","")</f>
        <v/>
      </c>
      <c r="F3617" s="23" t="str">
        <f>IF(OR(E3617="",E3617="!!!"),"",IF(NOT(ISNA(VLOOKUP(E3617,E$1:E3616,1,FALSE()))),"OLD",IF(AND(E3617&lt;&gt;"",E3617&lt;&gt;"!!!"),"NEW","")))</f>
        <v> </v>
      </c>
      <c r="G3617" s="24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5" t="str">
        <f>IF(J3617&lt;&gt;1,"",IF(I3617="SBJ","CB","?"))</f>
        <v> </v>
      </c>
      <c r="I3617" s="26" t="str">
        <f>IF(OR(E3617="",E3617="!!!",F3617="NEW"),"",INDEX(B3616:B$2,-1+SUMPRODUCT(MAX(ROW(E3616:E$2)*(E3617=E3616:E$2)))))</f>
        <v> </v>
      </c>
      <c r="J3617" s="26" t="str">
        <f>IF(OR(E3617="",E3617="!!!",F3617="NEW"),"",COUNTBLANK(OFFSET(A$1,,,SUMPRODUCT(MAX(ROW(E$2:E3617)*(E3617=E$2:E3617)))))-COUNTBLANK(OFFSET(A$1,,,SUMPRODUCT(MAX(ROW(E$1:E3616)*(E2=E$1:E3616))))))</f>
        <v> </v>
      </c>
      <c r="K3617" s="26" t="str">
        <f>IF(OR(E3617="",E3617="!!!",F3617="NEW"),"",INDEX(J$1:J3616,SUMPRODUCT(MAX(ROW(E$1:E3616)*(E3617=E$1:E3616)))))</f>
        <v> </v>
      </c>
      <c r="L3617" s="27"/>
    </row>
    <row r="3618" spans="1:12">
      <c r="A3618" s="20" t="s">
        <v>1085</v>
      </c>
      <c r="E3618" s="22">
        <f>IF(D3618="?OLD","!!!","")</f>
        <v/>
      </c>
      <c r="F3618" s="23" t="str">
        <f>IF(OR(E3618="",E3618="!!!"),"",IF(NOT(ISNA(VLOOKUP(E3618,E$1:E3617,1,FALSE()))),"OLD",IF(AND(E3618&lt;&gt;"",E3618&lt;&gt;"!!!"),"NEW","")))</f>
        <v> </v>
      </c>
      <c r="G3618" s="24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5" t="str">
        <f>IF(J3618&lt;&gt;1,"",IF(I3618="SBJ","CB","?"))</f>
        <v> </v>
      </c>
      <c r="I3618" s="26" t="str">
        <f>IF(OR(E3618="",E3618="!!!",F3618="NEW"),"",INDEX(B3617:B$2,-1+SUMPRODUCT(MAX(ROW(E3617:E$2)*(E3618=E3617:E$2)))))</f>
        <v> </v>
      </c>
      <c r="J3618" s="26" t="str">
        <f>IF(OR(E3618="",E3618="!!!",F3618="NEW"),"",COUNTBLANK(OFFSET(A$1,,,SUMPRODUCT(MAX(ROW(E$2:E3618)*(E3618=E$2:E3618)))))-COUNTBLANK(OFFSET(A$1,,,SUMPRODUCT(MAX(ROW(E$1:E3617)*(E2=E$1:E3617))))))</f>
        <v> </v>
      </c>
      <c r="K3618" s="26" t="str">
        <f>IF(OR(E3618="",E3618="!!!",F3618="NEW"),"",INDEX(J$1:J3617,SUMPRODUCT(MAX(ROW(E$1:E3617)*(E3618=E$1:E3617)))))</f>
        <v> </v>
      </c>
      <c r="L3618" s="27"/>
    </row>
    <row r="3619" spans="1:12">
      <c r="A3619" s="20" t="s">
        <v>2467</v>
      </c>
      <c r="E3619" s="22">
        <f>IF(D3619="?OLD","!!!","")</f>
        <v/>
      </c>
      <c r="F3619" s="23" t="str">
        <f>IF(OR(E3619="",E3619="!!!"),"",IF(NOT(ISNA(VLOOKUP(E3619,E$1:E3618,1,FALSE()))),"OLD",IF(AND(E3619&lt;&gt;"",E3619&lt;&gt;"!!!"),"NEW","")))</f>
        <v> </v>
      </c>
      <c r="G3619" s="24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5" t="str">
        <f>IF(J3619&lt;&gt;1,"",IF(I3619="SBJ","CB","?"))</f>
        <v> </v>
      </c>
      <c r="I3619" s="26" t="str">
        <f>IF(OR(E3619="",E3619="!!!",F3619="NEW"),"",INDEX(B3618:B$2,-1+SUMPRODUCT(MAX(ROW(E3618:E$2)*(E3619=E3618:E$2)))))</f>
        <v> </v>
      </c>
      <c r="J3619" s="26" t="str">
        <f>IF(OR(E3619="",E3619="!!!",F3619="NEW"),"",COUNTBLANK(OFFSET(A$1,,,SUMPRODUCT(MAX(ROW(E$2:E3619)*(E3619=E$2:E3619)))))-COUNTBLANK(OFFSET(A$1,,,SUMPRODUCT(MAX(ROW(E$1:E3618)*(E2=E$1:E3618))))))</f>
        <v> </v>
      </c>
      <c r="K3619" s="26" t="str">
        <f>IF(OR(E3619="",E3619="!!!",F3619="NEW"),"",INDEX(J$1:J3618,SUMPRODUCT(MAX(ROW(E$1:E3618)*(E3619=E$1:E3618)))))</f>
        <v> </v>
      </c>
      <c r="L3619" s="27"/>
    </row>
    <row r="3620" spans="1:12">
      <c r="A3620" s="20" t="s">
        <v>1138</v>
      </c>
      <c r="E3620" s="22">
        <f>IF(D3620="?OLD","!!!","")</f>
        <v/>
      </c>
      <c r="F3620" s="23" t="str">
        <f>IF(OR(E3620="",E3620="!!!"),"",IF(NOT(ISNA(VLOOKUP(E3620,E$1:E3619,1,FALSE()))),"OLD",IF(AND(E3620&lt;&gt;"",E3620&lt;&gt;"!!!"),"NEW","")))</f>
        <v> </v>
      </c>
      <c r="G3620" s="24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5" t="str">
        <f>IF(J3620&lt;&gt;1,"",IF(I3620="SBJ","CB","?"))</f>
        <v> </v>
      </c>
      <c r="I3620" s="26" t="str">
        <f>IF(OR(E3620="",E3620="!!!",F3620="NEW"),"",INDEX(B3619:B$2,-1+SUMPRODUCT(MAX(ROW(E3619:E$2)*(E3620=E3619:E$2)))))</f>
        <v> </v>
      </c>
      <c r="J3620" s="26" t="str">
        <f>IF(OR(E3620="",E3620="!!!",F3620="NEW"),"",COUNTBLANK(OFFSET(A$1,,,SUMPRODUCT(MAX(ROW(E$2:E3620)*(E3620=E$2:E3620)))))-COUNTBLANK(OFFSET(A$1,,,SUMPRODUCT(MAX(ROW(E$1:E3619)*(E2=E$1:E3619))))))</f>
        <v> </v>
      </c>
      <c r="K3620" s="26" t="str">
        <f>IF(OR(E3620="",E3620="!!!",F3620="NEW"),"",INDEX(J$1:J3619,SUMPRODUCT(MAX(ROW(E$1:E3619)*(E3620=E$1:E3619)))))</f>
        <v> </v>
      </c>
      <c r="L3620" s="27"/>
    </row>
    <row r="3621" spans="1:12">
      <c r="A3621" s="20" t="s">
        <v>1173</v>
      </c>
      <c r="E3621" s="22">
        <f>IF(D3621="?OLD","!!!","")</f>
        <v/>
      </c>
      <c r="F3621" s="23" t="str">
        <f>IF(OR(E3621="",E3621="!!!"),"",IF(NOT(ISNA(VLOOKUP(E3621,E$1:E3620,1,FALSE()))),"OLD",IF(AND(E3621&lt;&gt;"",E3621&lt;&gt;"!!!"),"NEW","")))</f>
        <v> </v>
      </c>
      <c r="G3621" s="24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5" t="str">
        <f>IF(J3621&lt;&gt;1,"",IF(I3621="SBJ","CB","?"))</f>
        <v> </v>
      </c>
      <c r="I3621" s="26" t="str">
        <f>IF(OR(E3621="",E3621="!!!",F3621="NEW"),"",INDEX(B3620:B$2,-1+SUMPRODUCT(MAX(ROW(E3620:E$2)*(E3621=E3620:E$2)))))</f>
        <v> </v>
      </c>
      <c r="J3621" s="26" t="str">
        <f>IF(OR(E3621="",E3621="!!!",F3621="NEW"),"",COUNTBLANK(OFFSET(A$1,,,SUMPRODUCT(MAX(ROW(E$2:E3621)*(E3621=E$2:E3621)))))-COUNTBLANK(OFFSET(A$1,,,SUMPRODUCT(MAX(ROW(E$1:E3620)*(E2=E$1:E3620))))))</f>
        <v> </v>
      </c>
      <c r="K3621" s="26" t="str">
        <f>IF(OR(E3621="",E3621="!!!",F3621="NEW"),"",INDEX(J$1:J3620,SUMPRODUCT(MAX(ROW(E$1:E3620)*(E3621=E$1:E3620)))))</f>
        <v> </v>
      </c>
      <c r="L3621" s="27"/>
    </row>
    <row r="3622" spans="1:12">
      <c r="A3622" s="20" t="s">
        <v>1085</v>
      </c>
      <c r="E3622" s="22">
        <f>IF(D3622="?OLD","!!!","")</f>
        <v/>
      </c>
      <c r="F3622" s="23" t="str">
        <f>IF(OR(E3622="",E3622="!!!"),"",IF(NOT(ISNA(VLOOKUP(E3622,E$1:E3621,1,FALSE()))),"OLD",IF(AND(E3622&lt;&gt;"",E3622&lt;&gt;"!!!"),"NEW","")))</f>
        <v> </v>
      </c>
      <c r="G3622" s="24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5" t="str">
        <f>IF(J3622&lt;&gt;1,"",IF(I3622="SBJ","CB","?"))</f>
        <v> </v>
      </c>
      <c r="I3622" s="26" t="str">
        <f>IF(OR(E3622="",E3622="!!!",F3622="NEW"),"",INDEX(B3621:B$2,-1+SUMPRODUCT(MAX(ROW(E3621:E$2)*(E3622=E3621:E$2)))))</f>
        <v> </v>
      </c>
      <c r="J3622" s="26" t="str">
        <f>IF(OR(E3622="",E3622="!!!",F3622="NEW"),"",COUNTBLANK(OFFSET(A$1,,,SUMPRODUCT(MAX(ROW(E$2:E3622)*(E3622=E$2:E3622)))))-COUNTBLANK(OFFSET(A$1,,,SUMPRODUCT(MAX(ROW(E$1:E3621)*(E2=E$1:E3621))))))</f>
        <v> </v>
      </c>
      <c r="K3622" s="26" t="str">
        <f>IF(OR(E3622="",E3622="!!!",F3622="NEW"),"",INDEX(J$1:J3621,SUMPRODUCT(MAX(ROW(E$1:E3621)*(E3622=E$1:E3621)))))</f>
        <v> </v>
      </c>
      <c r="L3622" s="27"/>
    </row>
    <row r="3623" spans="1:12">
      <c r="A3623" s="20" t="s">
        <v>911</v>
      </c>
      <c r="B3623" s="21" t="s">
        <v>1088</v>
      </c>
      <c r="C3623" s="21" t="s">
        <v>1081</v>
      </c>
      <c r="D3623" s="21" t="s">
        <v>1074</v>
      </c>
      <c r="E3623" s="22">
        <f>IF(D3623="?OLD","!!!","")</f>
        <v/>
      </c>
      <c r="F3623" s="23" t="str">
        <f>IF(OR(E3623="",E3623="!!!"),"",IF(NOT(ISNA(VLOOKUP(E3623,E$1:E3622,1,FALSE()))),"OLD",IF(AND(E3623&lt;&gt;"",E3623&lt;&gt;"!!!"),"NEW","")))</f>
        <v> </v>
      </c>
      <c r="G3623" s="24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5" t="str">
        <f>IF(J3623&lt;&gt;1,"",IF(I3623="SBJ","CB","?"))</f>
        <v> </v>
      </c>
      <c r="I3623" s="26" t="str">
        <f>IF(OR(E3623="",E3623="!!!",F3623="NEW"),"",INDEX(B3622:B$2,-1+SUMPRODUCT(MAX(ROW(E3622:E$2)*(E3623=E3622:E$2)))))</f>
        <v> </v>
      </c>
      <c r="J3623" s="26" t="str">
        <f>IF(OR(E3623="",E3623="!!!",F3623="NEW"),"",COUNTBLANK(OFFSET(A$1,,,SUMPRODUCT(MAX(ROW(E$2:E3623)*(E3623=E$2:E3623)))))-COUNTBLANK(OFFSET(A$1,,,SUMPRODUCT(MAX(ROW(E$1:E3622)*(E2=E$1:E3622))))))</f>
        <v> </v>
      </c>
      <c r="K3623" s="26" t="str">
        <f>IF(OR(E3623="",E3623="!!!",F3623="NEW"),"",INDEX(J$1:J3622,SUMPRODUCT(MAX(ROW(E$1:E3622)*(E3623=E$1:E3622)))))</f>
        <v> </v>
      </c>
      <c r="L3623" s="27"/>
    </row>
    <row r="3624" spans="1:12">
      <c r="A3624" s="20" t="s">
        <v>2468</v>
      </c>
      <c r="E3624" s="22">
        <f>IF(D3624="?OLD","!!!","")</f>
        <v/>
      </c>
      <c r="F3624" s="23" t="str">
        <f>IF(OR(E3624="",E3624="!!!"),"",IF(NOT(ISNA(VLOOKUP(E3624,E$1:E3623,1,FALSE()))),"OLD",IF(AND(E3624&lt;&gt;"",E3624&lt;&gt;"!!!"),"NEW","")))</f>
        <v> </v>
      </c>
      <c r="G3624" s="24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5" t="str">
        <f>IF(J3624&lt;&gt;1,"",IF(I3624="SBJ","CB","?"))</f>
        <v> </v>
      </c>
      <c r="I3624" s="26" t="str">
        <f>IF(OR(E3624="",E3624="!!!",F3624="NEW"),"",INDEX(B3623:B$2,-1+SUMPRODUCT(MAX(ROW(E3623:E$2)*(E3624=E3623:E$2)))))</f>
        <v> </v>
      </c>
      <c r="J3624" s="26" t="str">
        <f>IF(OR(E3624="",E3624="!!!",F3624="NEW"),"",COUNTBLANK(OFFSET(A$1,,,SUMPRODUCT(MAX(ROW(E$2:E3624)*(E3624=E$2:E3624)))))-COUNTBLANK(OFFSET(A$1,,,SUMPRODUCT(MAX(ROW(E$1:E3623)*(E2=E$1:E3623))))))</f>
        <v> </v>
      </c>
      <c r="K3624" s="26" t="str">
        <f>IF(OR(E3624="",E3624="!!!",F3624="NEW"),"",INDEX(J$1:J3623,SUMPRODUCT(MAX(ROW(E$1:E3623)*(E3624=E$1:E3623)))))</f>
        <v> </v>
      </c>
      <c r="L3624" s="27"/>
    </row>
    <row r="3625" spans="1:12">
      <c r="A3625" s="20" t="s">
        <v>1083</v>
      </c>
      <c r="E3625" s="22">
        <f>IF(D3625="?OLD","!!!","")</f>
        <v/>
      </c>
      <c r="F3625" s="23" t="str">
        <f>IF(OR(E3625="",E3625="!!!"),"",IF(NOT(ISNA(VLOOKUP(E3625,E$1:E3624,1,FALSE()))),"OLD",IF(AND(E3625&lt;&gt;"",E3625&lt;&gt;"!!!"),"NEW","")))</f>
        <v> </v>
      </c>
      <c r="G3625" s="24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5" t="str">
        <f>IF(J3625&lt;&gt;1,"",IF(I3625="SBJ","CB","?"))</f>
        <v> </v>
      </c>
      <c r="I3625" s="26" t="str">
        <f>IF(OR(E3625="",E3625="!!!",F3625="NEW"),"",INDEX(B3624:B$2,-1+SUMPRODUCT(MAX(ROW(E3624:E$2)*(E3625=E3624:E$2)))))</f>
        <v> </v>
      </c>
      <c r="J3625" s="26" t="str">
        <f>IF(OR(E3625="",E3625="!!!",F3625="NEW"),"",COUNTBLANK(OFFSET(A$1,,,SUMPRODUCT(MAX(ROW(E$2:E3625)*(E3625=E$2:E3625)))))-COUNTBLANK(OFFSET(A$1,,,SUMPRODUCT(MAX(ROW(E$1:E3624)*(E2=E$1:E3624))))))</f>
        <v> </v>
      </c>
      <c r="K3625" s="26" t="str">
        <f>IF(OR(E3625="",E3625="!!!",F3625="NEW"),"",INDEX(J$1:J3624,SUMPRODUCT(MAX(ROW(E$1:E3624)*(E3625=E$1:E3624)))))</f>
        <v> </v>
      </c>
      <c r="L3625" s="27"/>
    </row>
    <row r="3626" spans="1:12">
      <c r="A3626" s="20" t="s">
        <v>2469</v>
      </c>
      <c r="E3626" s="22">
        <f>IF(D3626="?OLD","!!!","")</f>
        <v/>
      </c>
      <c r="F3626" s="23" t="str">
        <f>IF(OR(E3626="",E3626="!!!"),"",IF(NOT(ISNA(VLOOKUP(E3626,E$1:E3625,1,FALSE()))),"OLD",IF(AND(E3626&lt;&gt;"",E3626&lt;&gt;"!!!"),"NEW","")))</f>
        <v> </v>
      </c>
      <c r="G3626" s="24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5" t="str">
        <f>IF(J3626&lt;&gt;1,"",IF(I3626="SBJ","CB","?"))</f>
        <v> </v>
      </c>
      <c r="I3626" s="26" t="str">
        <f>IF(OR(E3626="",E3626="!!!",F3626="NEW"),"",INDEX(B3625:B$2,-1+SUMPRODUCT(MAX(ROW(E3625:E$2)*(E3626=E3625:E$2)))))</f>
        <v> </v>
      </c>
      <c r="J3626" s="26" t="str">
        <f>IF(OR(E3626="",E3626="!!!",F3626="NEW"),"",COUNTBLANK(OFFSET(A$1,,,SUMPRODUCT(MAX(ROW(E$2:E3626)*(E3626=E$2:E3626)))))-COUNTBLANK(OFFSET(A$1,,,SUMPRODUCT(MAX(ROW(E$1:E3625)*(E2=E$1:E3625))))))</f>
        <v> </v>
      </c>
      <c r="K3626" s="26" t="str">
        <f>IF(OR(E3626="",E3626="!!!",F3626="NEW"),"",INDEX(J$1:J3625,SUMPRODUCT(MAX(ROW(E$1:E3625)*(E3626=E$1:E3625)))))</f>
        <v> </v>
      </c>
      <c r="L3626" s="27"/>
    </row>
    <row r="3627" spans="1:12">
      <c r="A3627" s="20" t="s">
        <v>1085</v>
      </c>
      <c r="E3627" s="22">
        <f>IF(D3627="?OLD","!!!","")</f>
        <v/>
      </c>
      <c r="F3627" s="23" t="str">
        <f>IF(OR(E3627="",E3627="!!!"),"",IF(NOT(ISNA(VLOOKUP(E3627,E$1:E3626,1,FALSE()))),"OLD",IF(AND(E3627&lt;&gt;"",E3627&lt;&gt;"!!!"),"NEW","")))</f>
        <v> </v>
      </c>
      <c r="G3627" s="24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5" t="str">
        <f>IF(J3627&lt;&gt;1,"",IF(I3627="SBJ","CB","?"))</f>
        <v> </v>
      </c>
      <c r="I3627" s="26" t="str">
        <f>IF(OR(E3627="",E3627="!!!",F3627="NEW"),"",INDEX(B3626:B$2,-1+SUMPRODUCT(MAX(ROW(E3626:E$2)*(E3627=E3626:E$2)))))</f>
        <v> </v>
      </c>
      <c r="J3627" s="26" t="str">
        <f>IF(OR(E3627="",E3627="!!!",F3627="NEW"),"",COUNTBLANK(OFFSET(A$1,,,SUMPRODUCT(MAX(ROW(E$2:E3627)*(E3627=E$2:E3627)))))-COUNTBLANK(OFFSET(A$1,,,SUMPRODUCT(MAX(ROW(E$1:E3626)*(E2=E$1:E3626))))))</f>
        <v> </v>
      </c>
      <c r="K3627" s="26" t="str">
        <f>IF(OR(E3627="",E3627="!!!",F3627="NEW"),"",INDEX(J$1:J3626,SUMPRODUCT(MAX(ROW(E$1:E3626)*(E3627=E$1:E3626)))))</f>
        <v> </v>
      </c>
      <c r="L3627" s="27"/>
    </row>
    <row r="3628" spans="1:12">
      <c r="A3628" s="20" t="s">
        <v>1083</v>
      </c>
      <c r="E3628" s="22">
        <f>IF(D3628="?OLD","!!!","")</f>
        <v/>
      </c>
      <c r="F3628" s="23" t="str">
        <f>IF(OR(E3628="",E3628="!!!"),"",IF(NOT(ISNA(VLOOKUP(E3628,E$1:E3627,1,FALSE()))),"OLD",IF(AND(E3628&lt;&gt;"",E3628&lt;&gt;"!!!"),"NEW","")))</f>
        <v> </v>
      </c>
      <c r="G3628" s="24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5" t="str">
        <f>IF(J3628&lt;&gt;1,"",IF(I3628="SBJ","CB","?"))</f>
        <v> </v>
      </c>
      <c r="I3628" s="26" t="str">
        <f>IF(OR(E3628="",E3628="!!!",F3628="NEW"),"",INDEX(B3627:B$2,-1+SUMPRODUCT(MAX(ROW(E3627:E$2)*(E3628=E3627:E$2)))))</f>
        <v> </v>
      </c>
      <c r="J3628" s="26" t="str">
        <f>IF(OR(E3628="",E3628="!!!",F3628="NEW"),"",COUNTBLANK(OFFSET(A$1,,,SUMPRODUCT(MAX(ROW(E$2:E3628)*(E3628=E$2:E3628)))))-COUNTBLANK(OFFSET(A$1,,,SUMPRODUCT(MAX(ROW(E$1:E3627)*(E2=E$1:E3627))))))</f>
        <v> </v>
      </c>
      <c r="K3628" s="26" t="str">
        <f>IF(OR(E3628="",E3628="!!!",F3628="NEW"),"",INDEX(J$1:J3627,SUMPRODUCT(MAX(ROW(E$1:E3627)*(E3628=E$1:E3627)))))</f>
        <v> </v>
      </c>
      <c r="L3628" s="27"/>
    </row>
    <row r="3629" spans="1:12">
      <c r="A3629" s="20" t="s">
        <v>1087</v>
      </c>
      <c r="B3629" s="21" t="s">
        <v>1157</v>
      </c>
      <c r="C3629" s="21" t="s">
        <v>1081</v>
      </c>
      <c r="D3629" s="21" t="s">
        <v>1074</v>
      </c>
      <c r="E3629" s="22">
        <f>IF(D3629="?OLD","!!!","")</f>
        <v/>
      </c>
      <c r="F3629" s="23" t="str">
        <f>IF(OR(E3629="",E3629="!!!"),"",IF(NOT(ISNA(VLOOKUP(E3629,E$1:E3628,1,FALSE()))),"OLD",IF(AND(E3629&lt;&gt;"",E3629&lt;&gt;"!!!"),"NEW","")))</f>
        <v> </v>
      </c>
      <c r="G3629" s="24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5" t="str">
        <f>IF(J3629&lt;&gt;1,"",IF(I3629="SBJ","CB","?"))</f>
        <v> </v>
      </c>
      <c r="I3629" s="26" t="str">
        <f>IF(OR(E3629="",E3629="!!!",F3629="NEW"),"",INDEX(B3628:B$2,-1+SUMPRODUCT(MAX(ROW(E3628:E$2)*(E3629=E3628:E$2)))))</f>
        <v> </v>
      </c>
      <c r="J3629" s="26" t="str">
        <f>IF(OR(E3629="",E3629="!!!",F3629="NEW"),"",COUNTBLANK(OFFSET(A$1,,,SUMPRODUCT(MAX(ROW(E$2:E3629)*(E3629=E$2:E3629)))))-COUNTBLANK(OFFSET(A$1,,,SUMPRODUCT(MAX(ROW(E$1:E3628)*(E2=E$1:E3628))))))</f>
        <v> </v>
      </c>
      <c r="K3629" s="26" t="str">
        <f>IF(OR(E3629="",E3629="!!!",F3629="NEW"),"",INDEX(J$1:J3628,SUMPRODUCT(MAX(ROW(E$1:E3628)*(E3629=E$1:E3628)))))</f>
        <v> </v>
      </c>
      <c r="L3629" s="27"/>
    </row>
    <row r="3630" spans="1:12">
      <c r="A3630" s="20" t="s">
        <v>2470</v>
      </c>
      <c r="E3630" s="22">
        <f>IF(D3630="?OLD","!!!","")</f>
        <v/>
      </c>
      <c r="F3630" s="23" t="str">
        <f>IF(OR(E3630="",E3630="!!!"),"",IF(NOT(ISNA(VLOOKUP(E3630,E$1:E3629,1,FALSE()))),"OLD",IF(AND(E3630&lt;&gt;"",E3630&lt;&gt;"!!!"),"NEW","")))</f>
        <v> </v>
      </c>
      <c r="G3630" s="24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5" t="str">
        <f>IF(J3630&lt;&gt;1,"",IF(I3630="SBJ","CB","?"))</f>
        <v> </v>
      </c>
      <c r="I3630" s="26" t="str">
        <f>IF(OR(E3630="",E3630="!!!",F3630="NEW"),"",INDEX(B3629:B$2,-1+SUMPRODUCT(MAX(ROW(E3629:E$2)*(E3630=E3629:E$2)))))</f>
        <v> </v>
      </c>
      <c r="J3630" s="26" t="str">
        <f>IF(OR(E3630="",E3630="!!!",F3630="NEW"),"",COUNTBLANK(OFFSET(A$1,,,SUMPRODUCT(MAX(ROW(E$2:E3630)*(E3630=E$2:E3630)))))-COUNTBLANK(OFFSET(A$1,,,SUMPRODUCT(MAX(ROW(E$1:E3629)*(E2=E$1:E3629))))))</f>
        <v> </v>
      </c>
      <c r="K3630" s="26" t="str">
        <f>IF(OR(E3630="",E3630="!!!",F3630="NEW"),"",INDEX(J$1:J3629,SUMPRODUCT(MAX(ROW(E$1:E3629)*(E3630=E$1:E3629)))))</f>
        <v> </v>
      </c>
      <c r="L3630" s="27"/>
    </row>
    <row r="3631" spans="1:12">
      <c r="A3631" s="20" t="s">
        <v>1091</v>
      </c>
      <c r="E3631" s="22">
        <f>IF(D3631="?OLD","!!!","")</f>
        <v/>
      </c>
      <c r="F3631" s="23" t="str">
        <f>IF(OR(E3631="",E3631="!!!"),"",IF(NOT(ISNA(VLOOKUP(E3631,E$1:E3630,1,FALSE()))),"OLD",IF(AND(E3631&lt;&gt;"",E3631&lt;&gt;"!!!"),"NEW","")))</f>
        <v> </v>
      </c>
      <c r="G3631" s="24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5" t="str">
        <f>IF(J3631&lt;&gt;1,"",IF(I3631="SBJ","CB","?"))</f>
        <v> </v>
      </c>
      <c r="I3631" s="26" t="str">
        <f>IF(OR(E3631="",E3631="!!!",F3631="NEW"),"",INDEX(B3630:B$2,-1+SUMPRODUCT(MAX(ROW(E3630:E$2)*(E3631=E3630:E$2)))))</f>
        <v> </v>
      </c>
      <c r="J3631" s="26" t="str">
        <f>IF(OR(E3631="",E3631="!!!",F3631="NEW"),"",COUNTBLANK(OFFSET(A$1,,,SUMPRODUCT(MAX(ROW(E$2:E3631)*(E3631=E$2:E3631)))))-COUNTBLANK(OFFSET(A$1,,,SUMPRODUCT(MAX(ROW(E$1:E3630)*(E2=E$1:E3630))))))</f>
        <v> </v>
      </c>
      <c r="K3631" s="26" t="str">
        <f>IF(OR(E3631="",E3631="!!!",F3631="NEW"),"",INDEX(J$1:J3630,SUMPRODUCT(MAX(ROW(E$1:E3630)*(E3631=E$1:E3630)))))</f>
        <v> </v>
      </c>
      <c r="L3631" s="27"/>
    </row>
    <row r="3632" spans="1:12">
      <c r="A3632" s="20" t="s">
        <v>2471</v>
      </c>
      <c r="E3632" s="22">
        <f>IF(D3632="?OLD","!!!","")</f>
        <v/>
      </c>
      <c r="F3632" s="23" t="str">
        <f>IF(OR(E3632="",E3632="!!!"),"",IF(NOT(ISNA(VLOOKUP(E3632,E$1:E3631,1,FALSE()))),"OLD",IF(AND(E3632&lt;&gt;"",E3632&lt;&gt;"!!!"),"NEW","")))</f>
        <v> </v>
      </c>
      <c r="G3632" s="24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5" t="str">
        <f>IF(J3632&lt;&gt;1,"",IF(I3632="SBJ","CB","?"))</f>
        <v> </v>
      </c>
      <c r="I3632" s="26" t="str">
        <f>IF(OR(E3632="",E3632="!!!",F3632="NEW"),"",INDEX(B3631:B$2,-1+SUMPRODUCT(MAX(ROW(E3631:E$2)*(E3632=E3631:E$2)))))</f>
        <v> </v>
      </c>
      <c r="J3632" s="26" t="str">
        <f>IF(OR(E3632="",E3632="!!!",F3632="NEW"),"",COUNTBLANK(OFFSET(A$1,,,SUMPRODUCT(MAX(ROW(E$2:E3632)*(E3632=E$2:E3632)))))-COUNTBLANK(OFFSET(A$1,,,SUMPRODUCT(MAX(ROW(E$1:E3631)*(E2=E$1:E3631))))))</f>
        <v> </v>
      </c>
      <c r="K3632" s="26" t="str">
        <f>IF(OR(E3632="",E3632="!!!",F3632="NEW"),"",INDEX(J$1:J3631,SUMPRODUCT(MAX(ROW(E$1:E3631)*(E3632=E$1:E3631)))))</f>
        <v> </v>
      </c>
      <c r="L3632" s="27"/>
    </row>
    <row r="3633" spans="1:12">
      <c r="A3633" s="20" t="s">
        <v>2472</v>
      </c>
      <c r="E3633" s="22">
        <f>IF(D3633="?OLD","!!!","")</f>
        <v/>
      </c>
      <c r="F3633" s="23" t="str">
        <f>IF(OR(E3633="",E3633="!!!"),"",IF(NOT(ISNA(VLOOKUP(E3633,E$1:E3632,1,FALSE()))),"OLD",IF(AND(E3633&lt;&gt;"",E3633&lt;&gt;"!!!"),"NEW","")))</f>
        <v> </v>
      </c>
      <c r="G3633" s="24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5" t="str">
        <f>IF(J3633&lt;&gt;1,"",IF(I3633="SBJ","CB","?"))</f>
        <v> </v>
      </c>
      <c r="I3633" s="26" t="str">
        <f>IF(OR(E3633="",E3633="!!!",F3633="NEW"),"",INDEX(B3632:B$2,-1+SUMPRODUCT(MAX(ROW(E3632:E$2)*(E3633=E3632:E$2)))))</f>
        <v> </v>
      </c>
      <c r="J3633" s="26" t="str">
        <f>IF(OR(E3633="",E3633="!!!",F3633="NEW"),"",COUNTBLANK(OFFSET(A$1,,,SUMPRODUCT(MAX(ROW(E$2:E3633)*(E3633=E$2:E3633)))))-COUNTBLANK(OFFSET(A$1,,,SUMPRODUCT(MAX(ROW(E$1:E3632)*(E2=E$1:E3632))))))</f>
        <v> </v>
      </c>
      <c r="K3633" s="26" t="str">
        <f>IF(OR(E3633="",E3633="!!!",F3633="NEW"),"",INDEX(J$1:J3632,SUMPRODUCT(MAX(ROW(E$1:E3632)*(E3633=E$1:E3632)))))</f>
        <v> </v>
      </c>
      <c r="L3633" s="27"/>
    </row>
    <row r="3634" spans="1:12">
      <c r="A3634" s="20" t="s">
        <v>2473</v>
      </c>
      <c r="B3634" s="21" t="s">
        <v>1161</v>
      </c>
      <c r="E3634" s="22">
        <f>IF(D3634="?OLD","!!!","")</f>
        <v/>
      </c>
      <c r="F3634" s="23" t="str">
        <f>IF(OR(E3634="",E3634="!!!"),"",IF(NOT(ISNA(VLOOKUP(E3634,E$1:E3633,1,FALSE()))),"OLD",IF(AND(E3634&lt;&gt;"",E3634&lt;&gt;"!!!"),"NEW","")))</f>
        <v> </v>
      </c>
      <c r="G3634" s="24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5" t="str">
        <f>IF(J3634&lt;&gt;1,"",IF(I3634="SBJ","CB","?"))</f>
        <v> </v>
      </c>
      <c r="I3634" s="26" t="str">
        <f>IF(OR(E3634="",E3634="!!!",F3634="NEW"),"",INDEX(B3633:B$2,-1+SUMPRODUCT(MAX(ROW(E3633:E$2)*(E3634=E3633:E$2)))))</f>
        <v> </v>
      </c>
      <c r="J3634" s="26" t="str">
        <f>IF(OR(E3634="",E3634="!!!",F3634="NEW"),"",COUNTBLANK(OFFSET(A$1,,,SUMPRODUCT(MAX(ROW(E$2:E3634)*(E3634=E$2:E3634)))))-COUNTBLANK(OFFSET(A$1,,,SUMPRODUCT(MAX(ROW(E$1:E3633)*(E2=E$1:E3633))))))</f>
        <v> </v>
      </c>
      <c r="K3634" s="26" t="str">
        <f>IF(OR(E3634="",E3634="!!!",F3634="NEW"),"",INDEX(J$1:J3633,SUMPRODUCT(MAX(ROW(E$1:E3633)*(E3634=E$1:E3633)))))</f>
        <v> </v>
      </c>
      <c r="L3634" s="27"/>
    </row>
    <row r="3635" spans="1:12">
      <c r="A3635" s="20" t="s">
        <v>2424</v>
      </c>
      <c r="E3635" s="22">
        <f>IF(D3635="?OLD","!!!","")</f>
        <v/>
      </c>
      <c r="F3635" s="23" t="str">
        <f>IF(OR(E3635="",E3635="!!!"),"",IF(NOT(ISNA(VLOOKUP(E3635,E$1:E3634,1,FALSE()))),"OLD",IF(AND(E3635&lt;&gt;"",E3635&lt;&gt;"!!!"),"NEW","")))</f>
        <v> </v>
      </c>
      <c r="G3635" s="24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5" t="str">
        <f>IF(J3635&lt;&gt;1,"",IF(I3635="SBJ","CB","?"))</f>
        <v> </v>
      </c>
      <c r="I3635" s="26" t="str">
        <f>IF(OR(E3635="",E3635="!!!",F3635="NEW"),"",INDEX(B3634:B$2,-1+SUMPRODUCT(MAX(ROW(E3634:E$2)*(E3635=E3634:E$2)))))</f>
        <v> </v>
      </c>
      <c r="J3635" s="26" t="str">
        <f>IF(OR(E3635="",E3635="!!!",F3635="NEW"),"",COUNTBLANK(OFFSET(A$1,,,SUMPRODUCT(MAX(ROW(E$2:E3635)*(E3635=E$2:E3635)))))-COUNTBLANK(OFFSET(A$1,,,SUMPRODUCT(MAX(ROW(E$1:E3634)*(E2=E$1:E3634))))))</f>
        <v> </v>
      </c>
      <c r="K3635" s="26" t="str">
        <f>IF(OR(E3635="",E3635="!!!",F3635="NEW"),"",INDEX(J$1:J3634,SUMPRODUCT(MAX(ROW(E$1:E3634)*(E3635=E$1:E3634)))))</f>
        <v> </v>
      </c>
      <c r="L3635" s="27"/>
    </row>
    <row r="3636" spans="1:12">
      <c r="A3636" s="20" t="s">
        <v>1106</v>
      </c>
      <c r="E3636" s="22">
        <f>IF(D3636="?OLD","!!!","")</f>
        <v/>
      </c>
      <c r="F3636" s="23" t="str">
        <f>IF(OR(E3636="",E3636="!!!"),"",IF(NOT(ISNA(VLOOKUP(E3636,E$1:E3635,1,FALSE()))),"OLD",IF(AND(E3636&lt;&gt;"",E3636&lt;&gt;"!!!"),"NEW","")))</f>
        <v> </v>
      </c>
      <c r="G3636" s="24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5" t="str">
        <f>IF(J3636&lt;&gt;1,"",IF(I3636="SBJ","CB","?"))</f>
        <v> </v>
      </c>
      <c r="I3636" s="26" t="str">
        <f>IF(OR(E3636="",E3636="!!!",F3636="NEW"),"",INDEX(B3635:B$2,-1+SUMPRODUCT(MAX(ROW(E3635:E$2)*(E3636=E3635:E$2)))))</f>
        <v> </v>
      </c>
      <c r="J3636" s="26" t="str">
        <f>IF(OR(E3636="",E3636="!!!",F3636="NEW"),"",COUNTBLANK(OFFSET(A$1,,,SUMPRODUCT(MAX(ROW(E$2:E3636)*(E3636=E$2:E3636)))))-COUNTBLANK(OFFSET(A$1,,,SUMPRODUCT(MAX(ROW(E$1:E3635)*(E2=E$1:E3635))))))</f>
        <v> </v>
      </c>
      <c r="K3636" s="26" t="str">
        <f>IF(OR(E3636="",E3636="!!!",F3636="NEW"),"",INDEX(J$1:J3635,SUMPRODUCT(MAX(ROW(E$1:E3635)*(E3636=E$1:E3635)))))</f>
        <v> </v>
      </c>
      <c r="L3636" s="27"/>
    </row>
    <row r="3637" spans="1:12">
      <c r="A3637" s="20"/>
    </row>
    <row r="3638" spans="1:12">
      <c r="A3638" s="20" t="s">
        <v>2474</v>
      </c>
    </row>
    <row r="3639" spans="1:12">
      <c r="A3639" s="20" t="s">
        <v>1108</v>
      </c>
      <c r="B3639" s="21" t="s">
        <v>1109</v>
      </c>
      <c r="C3639" s="21" t="s">
        <v>1081</v>
      </c>
      <c r="D3639" s="21" t="s">
        <v>1074</v>
      </c>
      <c r="E3639" s="22">
        <f>IF(D3639="?OLD","!!!","")</f>
        <v/>
      </c>
      <c r="F3639" s="23" t="str">
        <f>IF(OR(E3639="",E3639="!!!"),"",IF(NOT(ISNA(VLOOKUP(E3639,E$1:E3638,1,FALSE()))),"OLD",IF(AND(E3639&lt;&gt;"",E3639&lt;&gt;"!!!"),"NEW","")))</f>
        <v> </v>
      </c>
      <c r="G3639" s="24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5" t="str">
        <f>IF(J3639&lt;&gt;1,"",IF(I3639="SBJ","CB","?"))</f>
        <v> </v>
      </c>
      <c r="I3639" s="26" t="str">
        <f>IF(OR(E3639="",E3639="!!!",F3639="NEW"),"",INDEX(B3638:B$2,-1+SUMPRODUCT(MAX(ROW(E3638:E$2)*(E3639=E3638:E$2)))))</f>
        <v> </v>
      </c>
      <c r="J3639" s="26" t="str">
        <f>IF(OR(E3639="",E3639="!!!",F3639="NEW"),"",COUNTBLANK(OFFSET(A$1,,,SUMPRODUCT(MAX(ROW(E$2:E3639)*(E3639=E$2:E3639)))))-COUNTBLANK(OFFSET(A$1,,,SUMPRODUCT(MAX(ROW(E$1:E3638)*(E2=E$1:E3638))))))</f>
        <v> </v>
      </c>
      <c r="K3639" s="26" t="str">
        <f>IF(OR(E3639="",E3639="!!!",F3639="NEW"),"",INDEX(J$1:J3638,SUMPRODUCT(MAX(ROW(E$1:E3638)*(E3639=E$1:E3638)))))</f>
        <v> </v>
      </c>
      <c r="L3639" s="27"/>
    </row>
    <row r="3640" spans="1:12">
      <c r="A3640" s="20" t="s">
        <v>1235</v>
      </c>
      <c r="E3640" s="22">
        <f>IF(D3640="?OLD","!!!","")</f>
        <v/>
      </c>
      <c r="F3640" s="23" t="str">
        <f>IF(OR(E3640="",E3640="!!!"),"",IF(NOT(ISNA(VLOOKUP(E3640,E$1:E3639,1,FALSE()))),"OLD",IF(AND(E3640&lt;&gt;"",E3640&lt;&gt;"!!!"),"NEW","")))</f>
        <v> </v>
      </c>
      <c r="G3640" s="24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5" t="str">
        <f>IF(J3640&lt;&gt;1,"",IF(I3640="SBJ","CB","?"))</f>
        <v> </v>
      </c>
      <c r="I3640" s="26" t="str">
        <f>IF(OR(E3640="",E3640="!!!",F3640="NEW"),"",INDEX(B3639:B$2,-1+SUMPRODUCT(MAX(ROW(E3639:E$2)*(E3640=E3639:E$2)))))</f>
        <v> </v>
      </c>
      <c r="J3640" s="26" t="str">
        <f>IF(OR(E3640="",E3640="!!!",F3640="NEW"),"",COUNTBLANK(OFFSET(A$1,,,SUMPRODUCT(MAX(ROW(E$2:E3640)*(E3640=E$2:E3640)))))-COUNTBLANK(OFFSET(A$1,,,SUMPRODUCT(MAX(ROW(E$1:E3639)*(E2=E$1:E3639))))))</f>
        <v> </v>
      </c>
      <c r="K3640" s="26" t="str">
        <f>IF(OR(E3640="",E3640="!!!",F3640="NEW"),"",INDEX(J$1:J3639,SUMPRODUCT(MAX(ROW(E$1:E3639)*(E3640=E$1:E3639)))))</f>
        <v> </v>
      </c>
      <c r="L3640" s="27"/>
    </row>
    <row r="3641" spans="1:12">
      <c r="A3641" s="20" t="s">
        <v>1135</v>
      </c>
      <c r="E3641" s="22">
        <f>IF(D3641="?OLD","!!!","")</f>
        <v/>
      </c>
      <c r="F3641" s="23" t="str">
        <f>IF(OR(E3641="",E3641="!!!"),"",IF(NOT(ISNA(VLOOKUP(E3641,E$1:E3640,1,FALSE()))),"OLD",IF(AND(E3641&lt;&gt;"",E3641&lt;&gt;"!!!"),"NEW","")))</f>
        <v> </v>
      </c>
      <c r="G3641" s="24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5" t="str">
        <f>IF(J3641&lt;&gt;1,"",IF(I3641="SBJ","CB","?"))</f>
        <v> </v>
      </c>
      <c r="I3641" s="26" t="str">
        <f>IF(OR(E3641="",E3641="!!!",F3641="NEW"),"",INDEX(B3640:B$2,-1+SUMPRODUCT(MAX(ROW(E3640:E$2)*(E3641=E3640:E$2)))))</f>
        <v> </v>
      </c>
      <c r="J3641" s="26" t="str">
        <f>IF(OR(E3641="",E3641="!!!",F3641="NEW"),"",COUNTBLANK(OFFSET(A$1,,,SUMPRODUCT(MAX(ROW(E$2:E3641)*(E3641=E$2:E3641)))))-COUNTBLANK(OFFSET(A$1,,,SUMPRODUCT(MAX(ROW(E$1:E3640)*(E2=E$1:E3640))))))</f>
        <v> </v>
      </c>
      <c r="K3641" s="26" t="str">
        <f>IF(OR(E3641="",E3641="!!!",F3641="NEW"),"",INDEX(J$1:J3640,SUMPRODUCT(MAX(ROW(E$1:E3640)*(E3641=E$1:E3640)))))</f>
        <v> </v>
      </c>
      <c r="L3641" s="27"/>
    </row>
    <row r="3642" spans="1:12">
      <c r="A3642" s="20" t="s">
        <v>1691</v>
      </c>
      <c r="E3642" s="22">
        <f>IF(D3642="?OLD","!!!","")</f>
        <v/>
      </c>
      <c r="F3642" s="23" t="str">
        <f>IF(OR(E3642="",E3642="!!!"),"",IF(NOT(ISNA(VLOOKUP(E3642,E$1:E3641,1,FALSE()))),"OLD",IF(AND(E3642&lt;&gt;"",E3642&lt;&gt;"!!!"),"NEW","")))</f>
        <v> </v>
      </c>
      <c r="G3642" s="24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5" t="str">
        <f>IF(J3642&lt;&gt;1,"",IF(I3642="SBJ","CB","?"))</f>
        <v> </v>
      </c>
      <c r="I3642" s="26" t="str">
        <f>IF(OR(E3642="",E3642="!!!",F3642="NEW"),"",INDEX(B3641:B$2,-1+SUMPRODUCT(MAX(ROW(E3641:E$2)*(E3642=E3641:E$2)))))</f>
        <v> </v>
      </c>
      <c r="J3642" s="26" t="str">
        <f>IF(OR(E3642="",E3642="!!!",F3642="NEW"),"",COUNTBLANK(OFFSET(A$1,,,SUMPRODUCT(MAX(ROW(E$2:E3642)*(E3642=E$2:E3642)))))-COUNTBLANK(OFFSET(A$1,,,SUMPRODUCT(MAX(ROW(E$1:E3641)*(E2=E$1:E3641))))))</f>
        <v> </v>
      </c>
      <c r="K3642" s="26" t="str">
        <f>IF(OR(E3642="",E3642="!!!",F3642="NEW"),"",INDEX(J$1:J3641,SUMPRODUCT(MAX(ROW(E$1:E3641)*(E3642=E$1:E3641)))))</f>
        <v> </v>
      </c>
      <c r="L3642" s="27"/>
    </row>
    <row r="3643" spans="1:12">
      <c r="A3643" s="20" t="s">
        <v>2475</v>
      </c>
      <c r="B3643" s="21" t="s">
        <v>1180</v>
      </c>
      <c r="C3643" s="21" t="s">
        <v>1103</v>
      </c>
      <c r="E3643" s="22">
        <f>IF(D3643="?OLD","!!!","")</f>
        <v/>
      </c>
      <c r="F3643" s="23" t="str">
        <f>IF(OR(E3643="",E3643="!!!"),"",IF(NOT(ISNA(VLOOKUP(E3643,E$1:E3642,1,FALSE()))),"OLD",IF(AND(E3643&lt;&gt;"",E3643&lt;&gt;"!!!"),"NEW","")))</f>
        <v> </v>
      </c>
      <c r="G3643" s="24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5" t="str">
        <f>IF(J3643&lt;&gt;1,"",IF(I3643="SBJ","CB","?"))</f>
        <v> </v>
      </c>
      <c r="I3643" s="26" t="str">
        <f>IF(OR(E3643="",E3643="!!!",F3643="NEW"),"",INDEX(B3642:B$2,-1+SUMPRODUCT(MAX(ROW(E3642:E$2)*(E3643=E3642:E$2)))))</f>
        <v> </v>
      </c>
      <c r="J3643" s="26" t="str">
        <f>IF(OR(E3643="",E3643="!!!",F3643="NEW"),"",COUNTBLANK(OFFSET(A$1,,,SUMPRODUCT(MAX(ROW(E$2:E3643)*(E3643=E$2:E3643)))))-COUNTBLANK(OFFSET(A$1,,,SUMPRODUCT(MAX(ROW(E$1:E3642)*(E2=E$1:E3642))))))</f>
        <v> </v>
      </c>
      <c r="K3643" s="26" t="str">
        <f>IF(OR(E3643="",E3643="!!!",F3643="NEW"),"",INDEX(J$1:J3642,SUMPRODUCT(MAX(ROW(E$1:E3642)*(E3643=E$1:E3642)))))</f>
        <v> </v>
      </c>
      <c r="L3643" s="27"/>
    </row>
    <row r="3644" spans="1:12">
      <c r="A3644" s="20" t="s">
        <v>1085</v>
      </c>
      <c r="E3644" s="22">
        <f>IF(D3644="?OLD","!!!","")</f>
        <v/>
      </c>
      <c r="F3644" s="23" t="str">
        <f>IF(OR(E3644="",E3644="!!!"),"",IF(NOT(ISNA(VLOOKUP(E3644,E$1:E3643,1,FALSE()))),"OLD",IF(AND(E3644&lt;&gt;"",E3644&lt;&gt;"!!!"),"NEW","")))</f>
        <v> </v>
      </c>
      <c r="G3644" s="24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5" t="str">
        <f>IF(J3644&lt;&gt;1,"",IF(I3644="SBJ","CB","?"))</f>
        <v> </v>
      </c>
      <c r="I3644" s="26" t="str">
        <f>IF(OR(E3644="",E3644="!!!",F3644="NEW"),"",INDEX(B3643:B$2,-1+SUMPRODUCT(MAX(ROW(E3643:E$2)*(E3644=E3643:E$2)))))</f>
        <v> </v>
      </c>
      <c r="J3644" s="26" t="str">
        <f>IF(OR(E3644="",E3644="!!!",F3644="NEW"),"",COUNTBLANK(OFFSET(A$1,,,SUMPRODUCT(MAX(ROW(E$2:E3644)*(E3644=E$2:E3644)))))-COUNTBLANK(OFFSET(A$1,,,SUMPRODUCT(MAX(ROW(E$1:E3643)*(E2=E$1:E3643))))))</f>
        <v> </v>
      </c>
      <c r="K3644" s="26" t="str">
        <f>IF(OR(E3644="",E3644="!!!",F3644="NEW"),"",INDEX(J$1:J3643,SUMPRODUCT(MAX(ROW(E$1:E3643)*(E3644=E$1:E3643)))))</f>
        <v> </v>
      </c>
      <c r="L3644" s="27"/>
    </row>
    <row r="3645" spans="1:12">
      <c r="A3645" s="20" t="s">
        <v>2476</v>
      </c>
      <c r="B3645" s="21" t="s">
        <v>1205</v>
      </c>
      <c r="C3645" s="21" t="s">
        <v>1181</v>
      </c>
      <c r="E3645" s="22">
        <f>IF(D3645="?OLD","!!!","")</f>
        <v/>
      </c>
      <c r="F3645" s="23" t="str">
        <f>IF(OR(E3645="",E3645="!!!"),"",IF(NOT(ISNA(VLOOKUP(E3645,E$1:E3644,1,FALSE()))),"OLD",IF(AND(E3645&lt;&gt;"",E3645&lt;&gt;"!!!"),"NEW","")))</f>
        <v> </v>
      </c>
      <c r="G3645" s="24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5" t="str">
        <f>IF(J3645&lt;&gt;1,"",IF(I3645="SBJ","CB","?"))</f>
        <v> </v>
      </c>
      <c r="I3645" s="26" t="str">
        <f>IF(OR(E3645="",E3645="!!!",F3645="NEW"),"",INDEX(B3644:B$2,-1+SUMPRODUCT(MAX(ROW(E3644:E$2)*(E3645=E3644:E$2)))))</f>
        <v> </v>
      </c>
      <c r="J3645" s="26" t="str">
        <f>IF(OR(E3645="",E3645="!!!",F3645="NEW"),"",COUNTBLANK(OFFSET(A$1,,,SUMPRODUCT(MAX(ROW(E$2:E3645)*(E3645=E$2:E3645)))))-COUNTBLANK(OFFSET(A$1,,,SUMPRODUCT(MAX(ROW(E$1:E3644)*(E2=E$1:E3644))))))</f>
        <v> </v>
      </c>
      <c r="K3645" s="26" t="str">
        <f>IF(OR(E3645="",E3645="!!!",F3645="NEW"),"",INDEX(J$1:J3644,SUMPRODUCT(MAX(ROW(E$1:E3644)*(E3645=E$1:E3644)))))</f>
        <v> </v>
      </c>
      <c r="L3645" s="27"/>
    </row>
    <row r="3646" spans="1:12">
      <c r="A3646" s="20" t="s">
        <v>1156</v>
      </c>
      <c r="B3646" s="21" t="s">
        <v>1088</v>
      </c>
      <c r="C3646" s="21" t="s">
        <v>1081</v>
      </c>
      <c r="D3646" s="21" t="s">
        <v>1074</v>
      </c>
      <c r="E3646" s="22">
        <f>IF(D3646="?OLD","!!!","")</f>
        <v/>
      </c>
      <c r="F3646" s="23" t="str">
        <f>IF(OR(E3646="",E3646="!!!"),"",IF(NOT(ISNA(VLOOKUP(E3646,E$1:E3645,1,FALSE()))),"OLD",IF(AND(E3646&lt;&gt;"",E3646&lt;&gt;"!!!"),"NEW","")))</f>
        <v> </v>
      </c>
      <c r="G3646" s="24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5" t="str">
        <f>IF(J3646&lt;&gt;1,"",IF(I3646="SBJ","CB","?"))</f>
        <v> </v>
      </c>
      <c r="I3646" s="26" t="str">
        <f>IF(OR(E3646="",E3646="!!!",F3646="NEW"),"",INDEX(B3645:B$2,-1+SUMPRODUCT(MAX(ROW(E3645:E$2)*(E3646=E3645:E$2)))))</f>
        <v> </v>
      </c>
      <c r="J3646" s="26" t="str">
        <f>IF(OR(E3646="",E3646="!!!",F3646="NEW"),"",COUNTBLANK(OFFSET(A$1,,,SUMPRODUCT(MAX(ROW(E$2:E3646)*(E3646=E$2:E3646)))))-COUNTBLANK(OFFSET(A$1,,,SUMPRODUCT(MAX(ROW(E$1:E3645)*(E2=E$1:E3645))))))</f>
        <v> </v>
      </c>
      <c r="K3646" s="26" t="str">
        <f>IF(OR(E3646="",E3646="!!!",F3646="NEW"),"",INDEX(J$1:J3645,SUMPRODUCT(MAX(ROW(E$1:E3645)*(E3646=E$1:E3645)))))</f>
        <v> </v>
      </c>
      <c r="L3646" s="27"/>
    </row>
    <row r="3647" spans="1:12">
      <c r="A3647" s="20" t="s">
        <v>1124</v>
      </c>
      <c r="E3647" s="22">
        <f>IF(D3647="?OLD","!!!","")</f>
        <v/>
      </c>
      <c r="F3647" s="23" t="str">
        <f>IF(OR(E3647="",E3647="!!!"),"",IF(NOT(ISNA(VLOOKUP(E3647,E$1:E3646,1,FALSE()))),"OLD",IF(AND(E3647&lt;&gt;"",E3647&lt;&gt;"!!!"),"NEW","")))</f>
        <v> </v>
      </c>
      <c r="G3647" s="24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5" t="str">
        <f>IF(J3647&lt;&gt;1,"",IF(I3647="SBJ","CB","?"))</f>
        <v> </v>
      </c>
      <c r="I3647" s="26" t="str">
        <f>IF(OR(E3647="",E3647="!!!",F3647="NEW"),"",INDEX(B3646:B$2,-1+SUMPRODUCT(MAX(ROW(E3646:E$2)*(E3647=E3646:E$2)))))</f>
        <v> </v>
      </c>
      <c r="J3647" s="26" t="str">
        <f>IF(OR(E3647="",E3647="!!!",F3647="NEW"),"",COUNTBLANK(OFFSET(A$1,,,SUMPRODUCT(MAX(ROW(E$2:E3647)*(E3647=E$2:E3647)))))-COUNTBLANK(OFFSET(A$1,,,SUMPRODUCT(MAX(ROW(E$1:E3646)*(E2=E$1:E3646))))))</f>
        <v> </v>
      </c>
      <c r="K3647" s="26" t="str">
        <f>IF(OR(E3647="",E3647="!!!",F3647="NEW"),"",INDEX(J$1:J3646,SUMPRODUCT(MAX(ROW(E$1:E3646)*(E3647=E$1:E3646)))))</f>
        <v> </v>
      </c>
      <c r="L3647" s="27"/>
    </row>
    <row r="3648" spans="1:12">
      <c r="A3648" s="20" t="s">
        <v>1273</v>
      </c>
      <c r="E3648" s="22">
        <f>IF(D3648="?OLD","!!!","")</f>
        <v/>
      </c>
      <c r="F3648" s="23" t="str">
        <f>IF(OR(E3648="",E3648="!!!"),"",IF(NOT(ISNA(VLOOKUP(E3648,E$1:E3647,1,FALSE()))),"OLD",IF(AND(E3648&lt;&gt;"",E3648&lt;&gt;"!!!"),"NEW","")))</f>
        <v> </v>
      </c>
      <c r="G3648" s="24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5" t="str">
        <f>IF(J3648&lt;&gt;1,"",IF(I3648="SBJ","CB","?"))</f>
        <v> </v>
      </c>
      <c r="I3648" s="26" t="str">
        <f>IF(OR(E3648="",E3648="!!!",F3648="NEW"),"",INDEX(B3647:B$2,-1+SUMPRODUCT(MAX(ROW(E3647:E$2)*(E3648=E3647:E$2)))))</f>
        <v> </v>
      </c>
      <c r="J3648" s="26" t="str">
        <f>IF(OR(E3648="",E3648="!!!",F3648="NEW"),"",COUNTBLANK(OFFSET(A$1,,,SUMPRODUCT(MAX(ROW(E$2:E3648)*(E3648=E$2:E3648)))))-COUNTBLANK(OFFSET(A$1,,,SUMPRODUCT(MAX(ROW(E$1:E3647)*(E2=E$1:E3647))))))</f>
        <v> </v>
      </c>
      <c r="K3648" s="26" t="str">
        <f>IF(OR(E3648="",E3648="!!!",F3648="NEW"),"",INDEX(J$1:J3647,SUMPRODUCT(MAX(ROW(E$1:E3647)*(E3648=E$1:E3647)))))</f>
        <v> </v>
      </c>
      <c r="L3648" s="27"/>
    </row>
    <row r="3649" spans="1:12">
      <c r="A3649" s="20" t="s">
        <v>1083</v>
      </c>
      <c r="E3649" s="22">
        <f>IF(D3649="?OLD","!!!","")</f>
        <v/>
      </c>
      <c r="F3649" s="23" t="str">
        <f>IF(OR(E3649="",E3649="!!!"),"",IF(NOT(ISNA(VLOOKUP(E3649,E$1:E3648,1,FALSE()))),"OLD",IF(AND(E3649&lt;&gt;"",E3649&lt;&gt;"!!!"),"NEW","")))</f>
        <v> </v>
      </c>
      <c r="G3649" s="24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5" t="str">
        <f>IF(J3649&lt;&gt;1,"",IF(I3649="SBJ","CB","?"))</f>
        <v> </v>
      </c>
      <c r="I3649" s="26" t="str">
        <f>IF(OR(E3649="",E3649="!!!",F3649="NEW"),"",INDEX(B3648:B$2,-1+SUMPRODUCT(MAX(ROW(E3648:E$2)*(E3649=E3648:E$2)))))</f>
        <v> </v>
      </c>
      <c r="J3649" s="26" t="str">
        <f>IF(OR(E3649="",E3649="!!!",F3649="NEW"),"",COUNTBLANK(OFFSET(A$1,,,SUMPRODUCT(MAX(ROW(E$2:E3649)*(E3649=E$2:E3649)))))-COUNTBLANK(OFFSET(A$1,,,SUMPRODUCT(MAX(ROW(E$1:E3648)*(E2=E$1:E3648))))))</f>
        <v> </v>
      </c>
      <c r="K3649" s="26" t="str">
        <f>IF(OR(E3649="",E3649="!!!",F3649="NEW"),"",INDEX(J$1:J3648,SUMPRODUCT(MAX(ROW(E$1:E3648)*(E3649=E$1:E3648)))))</f>
        <v> </v>
      </c>
      <c r="L3649" s="27"/>
    </row>
    <row r="3650" spans="1:12">
      <c r="A3650" s="20" t="s">
        <v>1138</v>
      </c>
      <c r="E3650" s="22">
        <f>IF(D3650="?OLD","!!!","")</f>
        <v/>
      </c>
      <c r="F3650" s="23" t="str">
        <f>IF(OR(E3650="",E3650="!!!"),"",IF(NOT(ISNA(VLOOKUP(E3650,E$1:E3649,1,FALSE()))),"OLD",IF(AND(E3650&lt;&gt;"",E3650&lt;&gt;"!!!"),"NEW","")))</f>
        <v> </v>
      </c>
      <c r="G3650" s="24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5" t="str">
        <f>IF(J3650&lt;&gt;1,"",IF(I3650="SBJ","CB","?"))</f>
        <v> </v>
      </c>
      <c r="I3650" s="26" t="str">
        <f>IF(OR(E3650="",E3650="!!!",F3650="NEW"),"",INDEX(B3649:B$2,-1+SUMPRODUCT(MAX(ROW(E3649:E$2)*(E3650=E3649:E$2)))))</f>
        <v> </v>
      </c>
      <c r="J3650" s="26" t="str">
        <f>IF(OR(E3650="",E3650="!!!",F3650="NEW"),"",COUNTBLANK(OFFSET(A$1,,,SUMPRODUCT(MAX(ROW(E$2:E3650)*(E3650=E$2:E3650)))))-COUNTBLANK(OFFSET(A$1,,,SUMPRODUCT(MAX(ROW(E$1:E3649)*(E2=E$1:E3649))))))</f>
        <v> </v>
      </c>
      <c r="K3650" s="26" t="str">
        <f>IF(OR(E3650="",E3650="!!!",F3650="NEW"),"",INDEX(J$1:J3649,SUMPRODUCT(MAX(ROW(E$1:E3649)*(E3650=E$1:E3649)))))</f>
        <v> </v>
      </c>
      <c r="L3650" s="27"/>
    </row>
    <row r="3651" spans="1:12">
      <c r="A3651" s="20" t="s">
        <v>1855</v>
      </c>
      <c r="B3651" s="21" t="s">
        <v>1140</v>
      </c>
      <c r="C3651" s="21" t="s">
        <v>1181</v>
      </c>
      <c r="E3651" s="22">
        <f>IF(D3651="?OLD","!!!","")</f>
        <v/>
      </c>
      <c r="F3651" s="23" t="str">
        <f>IF(OR(E3651="",E3651="!!!"),"",IF(NOT(ISNA(VLOOKUP(E3651,E$1:E3650,1,FALSE()))),"OLD",IF(AND(E3651&lt;&gt;"",E3651&lt;&gt;"!!!"),"NEW","")))</f>
        <v> </v>
      </c>
      <c r="G3651" s="24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5" t="str">
        <f>IF(J3651&lt;&gt;1,"",IF(I3651="SBJ","CB","?"))</f>
        <v> </v>
      </c>
      <c r="I3651" s="26" t="str">
        <f>IF(OR(E3651="",E3651="!!!",F3651="NEW"),"",INDEX(B3650:B$2,-1+SUMPRODUCT(MAX(ROW(E3650:E$2)*(E3651=E3650:E$2)))))</f>
        <v> </v>
      </c>
      <c r="J3651" s="26" t="str">
        <f>IF(OR(E3651="",E3651="!!!",F3651="NEW"),"",COUNTBLANK(OFFSET(A$1,,,SUMPRODUCT(MAX(ROW(E$2:E3651)*(E3651=E$2:E3651)))))-COUNTBLANK(OFFSET(A$1,,,SUMPRODUCT(MAX(ROW(E$1:E3650)*(E2=E$1:E3650))))))</f>
        <v> </v>
      </c>
      <c r="K3651" s="26" t="str">
        <f>IF(OR(E3651="",E3651="!!!",F3651="NEW"),"",INDEX(J$1:J3650,SUMPRODUCT(MAX(ROW(E$1:E3650)*(E3651=E$1:E3650)))))</f>
        <v> </v>
      </c>
      <c r="L3651" s="27"/>
    </row>
    <row r="3652" spans="1:12">
      <c r="A3652" s="20" t="s">
        <v>2477</v>
      </c>
      <c r="E3652" s="22">
        <f>IF(D3652="?OLD","!!!","")</f>
        <v/>
      </c>
      <c r="F3652" s="23" t="str">
        <f>IF(OR(E3652="",E3652="!!!"),"",IF(NOT(ISNA(VLOOKUP(E3652,E$1:E3651,1,FALSE()))),"OLD",IF(AND(E3652&lt;&gt;"",E3652&lt;&gt;"!!!"),"NEW","")))</f>
        <v> </v>
      </c>
      <c r="G3652" s="24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5" t="str">
        <f>IF(J3652&lt;&gt;1,"",IF(I3652="SBJ","CB","?"))</f>
        <v> </v>
      </c>
      <c r="I3652" s="26" t="str">
        <f>IF(OR(E3652="",E3652="!!!",F3652="NEW"),"",INDEX(B3651:B$2,-1+SUMPRODUCT(MAX(ROW(E3651:E$2)*(E3652=E3651:E$2)))))</f>
        <v> </v>
      </c>
      <c r="J3652" s="26" t="str">
        <f>IF(OR(E3652="",E3652="!!!",F3652="NEW"),"",COUNTBLANK(OFFSET(A$1,,,SUMPRODUCT(MAX(ROW(E$2:E3652)*(E3652=E$2:E3652)))))-COUNTBLANK(OFFSET(A$1,,,SUMPRODUCT(MAX(ROW(E$1:E3651)*(E2=E$1:E3651))))))</f>
        <v> </v>
      </c>
      <c r="K3652" s="26" t="str">
        <f>IF(OR(E3652="",E3652="!!!",F3652="NEW"),"",INDEX(J$1:J3651,SUMPRODUCT(MAX(ROW(E$1:E3651)*(E3652=E$1:E3651)))))</f>
        <v> </v>
      </c>
      <c r="L3652" s="27"/>
    </row>
    <row r="3653" spans="1:12">
      <c r="A3653" s="20" t="s">
        <v>1112</v>
      </c>
      <c r="E3653" s="22">
        <f>IF(D3653="?OLD","!!!","")</f>
        <v/>
      </c>
      <c r="F3653" s="23" t="str">
        <f>IF(OR(E3653="",E3653="!!!"),"",IF(NOT(ISNA(VLOOKUP(E3653,E$1:E3652,1,FALSE()))),"OLD",IF(AND(E3653&lt;&gt;"",E3653&lt;&gt;"!!!"),"NEW","")))</f>
        <v> </v>
      </c>
      <c r="G3653" s="24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5" t="str">
        <f>IF(J3653&lt;&gt;1,"",IF(I3653="SBJ","CB","?"))</f>
        <v> </v>
      </c>
      <c r="I3653" s="26" t="str">
        <f>IF(OR(E3653="",E3653="!!!",F3653="NEW"),"",INDEX(B3652:B$2,-1+SUMPRODUCT(MAX(ROW(E3652:E$2)*(E3653=E3652:E$2)))))</f>
        <v> </v>
      </c>
      <c r="J3653" s="26" t="str">
        <f>IF(OR(E3653="",E3653="!!!",F3653="NEW"),"",COUNTBLANK(OFFSET(A$1,,,SUMPRODUCT(MAX(ROW(E$2:E3653)*(E3653=E$2:E3653)))))-COUNTBLANK(OFFSET(A$1,,,SUMPRODUCT(MAX(ROW(E$1:E3652)*(E2=E$1:E3652))))))</f>
        <v> </v>
      </c>
      <c r="K3653" s="26" t="str">
        <f>IF(OR(E3653="",E3653="!!!",F3653="NEW"),"",INDEX(J$1:J3652,SUMPRODUCT(MAX(ROW(E$1:E3652)*(E3653=E$1:E3652)))))</f>
        <v> </v>
      </c>
      <c r="L3653" s="27"/>
    </row>
    <row r="3654" spans="1:12">
      <c r="A3654" s="20" t="s">
        <v>2478</v>
      </c>
      <c r="E3654" s="22">
        <f>IF(D3654="?OLD","!!!","")</f>
        <v/>
      </c>
      <c r="F3654" s="23" t="str">
        <f>IF(OR(E3654="",E3654="!!!"),"",IF(NOT(ISNA(VLOOKUP(E3654,E$1:E3653,1,FALSE()))),"OLD",IF(AND(E3654&lt;&gt;"",E3654&lt;&gt;"!!!"),"NEW","")))</f>
        <v> </v>
      </c>
      <c r="G3654" s="24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5" t="str">
        <f>IF(J3654&lt;&gt;1,"",IF(I3654="SBJ","CB","?"))</f>
        <v> </v>
      </c>
      <c r="I3654" s="26" t="str">
        <f>IF(OR(E3654="",E3654="!!!",F3654="NEW"),"",INDEX(B3653:B$2,-1+SUMPRODUCT(MAX(ROW(E3653:E$2)*(E3654=E3653:E$2)))))</f>
        <v> </v>
      </c>
      <c r="J3654" s="26" t="str">
        <f>IF(OR(E3654="",E3654="!!!",F3654="NEW"),"",COUNTBLANK(OFFSET(A$1,,,SUMPRODUCT(MAX(ROW(E$2:E3654)*(E3654=E$2:E3654)))))-COUNTBLANK(OFFSET(A$1,,,SUMPRODUCT(MAX(ROW(E$1:E3653)*(E2=E$1:E3653))))))</f>
        <v> </v>
      </c>
      <c r="K3654" s="26" t="str">
        <f>IF(OR(E3654="",E3654="!!!",F3654="NEW"),"",INDEX(J$1:J3653,SUMPRODUCT(MAX(ROW(E$1:E3653)*(E3654=E$1:E3653)))))</f>
        <v> </v>
      </c>
      <c r="L3654" s="27"/>
    </row>
    <row r="3655" spans="1:12">
      <c r="A3655" s="20" t="s">
        <v>1106</v>
      </c>
      <c r="E3655" s="22">
        <f>IF(D3655="?OLD","!!!","")</f>
        <v/>
      </c>
      <c r="F3655" s="23" t="str">
        <f>IF(OR(E3655="",E3655="!!!"),"",IF(NOT(ISNA(VLOOKUP(E3655,E$1:E3654,1,FALSE()))),"OLD",IF(AND(E3655&lt;&gt;"",E3655&lt;&gt;"!!!"),"NEW","")))</f>
        <v> </v>
      </c>
      <c r="G3655" s="24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5" t="str">
        <f>IF(J3655&lt;&gt;1,"",IF(I3655="SBJ","CB","?"))</f>
        <v> </v>
      </c>
      <c r="I3655" s="26" t="str">
        <f>IF(OR(E3655="",E3655="!!!",F3655="NEW"),"",INDEX(B3654:B$2,-1+SUMPRODUCT(MAX(ROW(E3654:E$2)*(E3655=E3654:E$2)))))</f>
        <v> </v>
      </c>
      <c r="J3655" s="26" t="str">
        <f>IF(OR(E3655="",E3655="!!!",F3655="NEW"),"",COUNTBLANK(OFFSET(A$1,,,SUMPRODUCT(MAX(ROW(E$2:E3655)*(E3655=E$2:E3655)))))-COUNTBLANK(OFFSET(A$1,,,SUMPRODUCT(MAX(ROW(E$1:E3654)*(E2=E$1:E3654))))))</f>
        <v> </v>
      </c>
      <c r="K3655" s="26" t="str">
        <f>IF(OR(E3655="",E3655="!!!",F3655="NEW"),"",INDEX(J$1:J3654,SUMPRODUCT(MAX(ROW(E$1:E3654)*(E3655=E$1:E3654)))))</f>
        <v> </v>
      </c>
      <c r="L3655" s="27"/>
    </row>
    <row r="3656" spans="1:12">
      <c r="A3656" s="20"/>
    </row>
    <row r="3657" spans="1:12">
      <c r="A3657" s="20" t="s">
        <v>2479</v>
      </c>
    </row>
    <row r="3658" spans="1:12">
      <c r="A3658" s="20" t="s">
        <v>1523</v>
      </c>
      <c r="B3658" s="21" t="s">
        <v>1227</v>
      </c>
      <c r="C3658" s="21" t="s">
        <v>1181</v>
      </c>
      <c r="E3658" s="22">
        <f>IF(D3658="?OLD","!!!","")</f>
        <v/>
      </c>
      <c r="F3658" s="23" t="str">
        <f>IF(OR(E3658="",E3658="!!!"),"",IF(NOT(ISNA(VLOOKUP(E3658,E$1:E3657,1,FALSE()))),"OLD",IF(AND(E3658&lt;&gt;"",E3658&lt;&gt;"!!!"),"NEW","")))</f>
        <v> </v>
      </c>
      <c r="G3658" s="24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5" t="str">
        <f>IF(J3658&lt;&gt;1,"",IF(I3658="SBJ","CB","?"))</f>
        <v> </v>
      </c>
      <c r="I3658" s="26" t="str">
        <f>IF(OR(E3658="",E3658="!!!",F3658="NEW"),"",INDEX(B3657:B$2,-1+SUMPRODUCT(MAX(ROW(E3657:E$2)*(E3658=E3657:E$2)))))</f>
        <v> </v>
      </c>
      <c r="J3658" s="26" t="str">
        <f>IF(OR(E3658="",E3658="!!!",F3658="NEW"),"",COUNTBLANK(OFFSET(A$1,,,SUMPRODUCT(MAX(ROW(E$2:E3658)*(E3658=E$2:E3658)))))-COUNTBLANK(OFFSET(A$1,,,SUMPRODUCT(MAX(ROW(E$1:E3657)*(E2=E$1:E3657))))))</f>
        <v> </v>
      </c>
      <c r="K3658" s="26" t="str">
        <f>IF(OR(E3658="",E3658="!!!",F3658="NEW"),"",INDEX(J$1:J3657,SUMPRODUCT(MAX(ROW(E$1:E3657)*(E3658=E$1:E3657)))))</f>
        <v> </v>
      </c>
      <c r="L3658" s="27"/>
    </row>
    <row r="3659" spans="1:12">
      <c r="A3659" s="20" t="s">
        <v>1492</v>
      </c>
      <c r="E3659" s="22">
        <f>IF(D3659="?OLD","!!!","")</f>
        <v/>
      </c>
      <c r="F3659" s="23" t="str">
        <f>IF(OR(E3659="",E3659="!!!"),"",IF(NOT(ISNA(VLOOKUP(E3659,E$1:E3658,1,FALSE()))),"OLD",IF(AND(E3659&lt;&gt;"",E3659&lt;&gt;"!!!"),"NEW","")))</f>
        <v> </v>
      </c>
      <c r="G3659" s="24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5" t="str">
        <f>IF(J3659&lt;&gt;1,"",IF(I3659="SBJ","CB","?"))</f>
        <v> </v>
      </c>
      <c r="I3659" s="26" t="str">
        <f>IF(OR(E3659="",E3659="!!!",F3659="NEW"),"",INDEX(B3658:B$2,-1+SUMPRODUCT(MAX(ROW(E3658:E$2)*(E3659=E3658:E$2)))))</f>
        <v> </v>
      </c>
      <c r="J3659" s="26" t="str">
        <f>IF(OR(E3659="",E3659="!!!",F3659="NEW"),"",COUNTBLANK(OFFSET(A$1,,,SUMPRODUCT(MAX(ROW(E$2:E3659)*(E3659=E$2:E3659)))))-COUNTBLANK(OFFSET(A$1,,,SUMPRODUCT(MAX(ROW(E$1:E3658)*(E2=E$1:E3658))))))</f>
        <v> </v>
      </c>
      <c r="K3659" s="26" t="str">
        <f>IF(OR(E3659="",E3659="!!!",F3659="NEW"),"",INDEX(J$1:J3658,SUMPRODUCT(MAX(ROW(E$1:E3658)*(E3659=E$1:E3658)))))</f>
        <v> </v>
      </c>
      <c r="L3659" s="27"/>
    </row>
    <row r="3660" spans="1:12">
      <c r="A3660" s="20" t="s">
        <v>1156</v>
      </c>
      <c r="B3660" s="21" t="s">
        <v>1109</v>
      </c>
      <c r="C3660" s="21" t="s">
        <v>1081</v>
      </c>
      <c r="D3660" s="21" t="s">
        <v>1074</v>
      </c>
      <c r="E3660" s="22">
        <f>IF(D3660="?OLD","!!!","")</f>
        <v/>
      </c>
      <c r="F3660" s="23" t="str">
        <f>IF(OR(E3660="",E3660="!!!"),"",IF(NOT(ISNA(VLOOKUP(E3660,E$1:E3659,1,FALSE()))),"OLD",IF(AND(E3660&lt;&gt;"",E3660&lt;&gt;"!!!"),"NEW","")))</f>
        <v> </v>
      </c>
      <c r="G3660" s="24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5" t="str">
        <f>IF(J3660&lt;&gt;1,"",IF(I3660="SBJ","CB","?"))</f>
        <v> </v>
      </c>
      <c r="I3660" s="26" t="str">
        <f>IF(OR(E3660="",E3660="!!!",F3660="NEW"),"",INDEX(B3659:B$2,-1+SUMPRODUCT(MAX(ROW(E3659:E$2)*(E3660=E3659:E$2)))))</f>
        <v> </v>
      </c>
      <c r="J3660" s="26" t="str">
        <f>IF(OR(E3660="",E3660="!!!",F3660="NEW"),"",COUNTBLANK(OFFSET(A$1,,,SUMPRODUCT(MAX(ROW(E$2:E3660)*(E3660=E$2:E3660)))))-COUNTBLANK(OFFSET(A$1,,,SUMPRODUCT(MAX(ROW(E$1:E3659)*(E2=E$1:E3659))))))</f>
        <v> </v>
      </c>
      <c r="K3660" s="26" t="str">
        <f>IF(OR(E3660="",E3660="!!!",F3660="NEW"),"",INDEX(J$1:J3659,SUMPRODUCT(MAX(ROW(E$1:E3659)*(E3660=E$1:E3659)))))</f>
        <v> </v>
      </c>
      <c r="L3660" s="27"/>
    </row>
    <row r="3661" spans="1:12">
      <c r="A3661" s="20" t="s">
        <v>1599</v>
      </c>
      <c r="E3661" s="22">
        <f>IF(D3661="?OLD","!!!","")</f>
        <v/>
      </c>
      <c r="F3661" s="23" t="str">
        <f>IF(OR(E3661="",E3661="!!!"),"",IF(NOT(ISNA(VLOOKUP(E3661,E$1:E3660,1,FALSE()))),"OLD",IF(AND(E3661&lt;&gt;"",E3661&lt;&gt;"!!!"),"NEW","")))</f>
        <v> </v>
      </c>
      <c r="G3661" s="24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5" t="str">
        <f>IF(J3661&lt;&gt;1,"",IF(I3661="SBJ","CB","?"))</f>
        <v> </v>
      </c>
      <c r="I3661" s="26" t="str">
        <f>IF(OR(E3661="",E3661="!!!",F3661="NEW"),"",INDEX(B3660:B$2,-1+SUMPRODUCT(MAX(ROW(E3660:E$2)*(E3661=E3660:E$2)))))</f>
        <v> </v>
      </c>
      <c r="J3661" s="26" t="str">
        <f>IF(OR(E3661="",E3661="!!!",F3661="NEW"),"",COUNTBLANK(OFFSET(A$1,,,SUMPRODUCT(MAX(ROW(E$2:E3661)*(E3661=E$2:E3661)))))-COUNTBLANK(OFFSET(A$1,,,SUMPRODUCT(MAX(ROW(E$1:E3660)*(E2=E$1:E3660))))))</f>
        <v> </v>
      </c>
      <c r="K3661" s="26" t="str">
        <f>IF(OR(E3661="",E3661="!!!",F3661="NEW"),"",INDEX(J$1:J3660,SUMPRODUCT(MAX(ROW(E$1:E3660)*(E3661=E$1:E3660)))))</f>
        <v> </v>
      </c>
      <c r="L3661" s="27"/>
    </row>
    <row r="3662" spans="1:12">
      <c r="A3662" s="20" t="s">
        <v>1123</v>
      </c>
      <c r="B3662" s="21" t="s">
        <v>1072</v>
      </c>
      <c r="C3662" s="21" t="s">
        <v>1081</v>
      </c>
      <c r="D3662" s="21" t="s">
        <v>1074</v>
      </c>
      <c r="E3662" s="22">
        <f>IF(D3662="?OLD","!!!","")</f>
        <v/>
      </c>
      <c r="F3662" s="23" t="str">
        <f>IF(OR(E3662="",E3662="!!!"),"",IF(NOT(ISNA(VLOOKUP(E3662,E$1:E3661,1,FALSE()))),"OLD",IF(AND(E3662&lt;&gt;"",E3662&lt;&gt;"!!!"),"NEW","")))</f>
        <v> </v>
      </c>
      <c r="G3662" s="24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5" t="str">
        <f>IF(J3662&lt;&gt;1,"",IF(I3662="SBJ","CB","?"))</f>
        <v> </v>
      </c>
      <c r="I3662" s="26" t="str">
        <f>IF(OR(E3662="",E3662="!!!",F3662="NEW"),"",INDEX(B3661:B$2,-1+SUMPRODUCT(MAX(ROW(E3661:E$2)*(E3662=E3661:E$2)))))</f>
        <v> </v>
      </c>
      <c r="J3662" s="26" t="str">
        <f>IF(OR(E3662="",E3662="!!!",F3662="NEW"),"",COUNTBLANK(OFFSET(A$1,,,SUMPRODUCT(MAX(ROW(E$2:E3662)*(E3662=E$2:E3662)))))-COUNTBLANK(OFFSET(A$1,,,SUMPRODUCT(MAX(ROW(E$1:E3661)*(E2=E$1:E3661))))))</f>
        <v> </v>
      </c>
      <c r="K3662" s="26" t="str">
        <f>IF(OR(E3662="",E3662="!!!",F3662="NEW"),"",INDEX(J$1:J3661,SUMPRODUCT(MAX(ROW(E$1:E3661)*(E3662=E$1:E3661)))))</f>
        <v> </v>
      </c>
      <c r="L3662" s="27"/>
    </row>
    <row r="3663" spans="1:12">
      <c r="A3663" s="20" t="s">
        <v>2480</v>
      </c>
      <c r="E3663" s="22">
        <f>IF(D3663="?OLD","!!!","")</f>
        <v/>
      </c>
      <c r="F3663" s="23" t="str">
        <f>IF(OR(E3663="",E3663="!!!"),"",IF(NOT(ISNA(VLOOKUP(E3663,E$1:E3662,1,FALSE()))),"OLD",IF(AND(E3663&lt;&gt;"",E3663&lt;&gt;"!!!"),"NEW","")))</f>
        <v> </v>
      </c>
      <c r="G3663" s="24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5" t="str">
        <f>IF(J3663&lt;&gt;1,"",IF(I3663="SBJ","CB","?"))</f>
        <v> </v>
      </c>
      <c r="I3663" s="26" t="str">
        <f>IF(OR(E3663="",E3663="!!!",F3663="NEW"),"",INDEX(B3662:B$2,-1+SUMPRODUCT(MAX(ROW(E3662:E$2)*(E3663=E3662:E$2)))))</f>
        <v> </v>
      </c>
      <c r="J3663" s="26" t="str">
        <f>IF(OR(E3663="",E3663="!!!",F3663="NEW"),"",COUNTBLANK(OFFSET(A$1,,,SUMPRODUCT(MAX(ROW(E$2:E3663)*(E3663=E$2:E3663)))))-COUNTBLANK(OFFSET(A$1,,,SUMPRODUCT(MAX(ROW(E$1:E3662)*(E2=E$1:E3662))))))</f>
        <v> </v>
      </c>
      <c r="K3663" s="26" t="str">
        <f>IF(OR(E3663="",E3663="!!!",F3663="NEW"),"",INDEX(J$1:J3662,SUMPRODUCT(MAX(ROW(E$1:E3662)*(E3663=E$1:E3662)))))</f>
        <v> </v>
      </c>
      <c r="L3663" s="27"/>
    </row>
    <row r="3664" spans="1:12">
      <c r="A3664" s="20" t="s">
        <v>1189</v>
      </c>
      <c r="E3664" s="22">
        <f>IF(D3664="?OLD","!!!","")</f>
        <v/>
      </c>
      <c r="F3664" s="23" t="str">
        <f>IF(OR(E3664="",E3664="!!!"),"",IF(NOT(ISNA(VLOOKUP(E3664,E$1:E3663,1,FALSE()))),"OLD",IF(AND(E3664&lt;&gt;"",E3664&lt;&gt;"!!!"),"NEW","")))</f>
        <v> </v>
      </c>
      <c r="G3664" s="24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5" t="str">
        <f>IF(J3664&lt;&gt;1,"",IF(I3664="SBJ","CB","?"))</f>
        <v> </v>
      </c>
      <c r="I3664" s="26" t="str">
        <f>IF(OR(E3664="",E3664="!!!",F3664="NEW"),"",INDEX(B3663:B$2,-1+SUMPRODUCT(MAX(ROW(E3663:E$2)*(E3664=E3663:E$2)))))</f>
        <v> </v>
      </c>
      <c r="J3664" s="26" t="str">
        <f>IF(OR(E3664="",E3664="!!!",F3664="NEW"),"",COUNTBLANK(OFFSET(A$1,,,SUMPRODUCT(MAX(ROW(E$2:E3664)*(E3664=E$2:E3664)))))-COUNTBLANK(OFFSET(A$1,,,SUMPRODUCT(MAX(ROW(E$1:E3663)*(E2=E$1:E3663))))))</f>
        <v> </v>
      </c>
      <c r="K3664" s="26" t="str">
        <f>IF(OR(E3664="",E3664="!!!",F3664="NEW"),"",INDEX(J$1:J3663,SUMPRODUCT(MAX(ROW(E$1:E3663)*(E3664=E$1:E3663)))))</f>
        <v> </v>
      </c>
      <c r="L3664" s="27"/>
    </row>
    <row r="3665" spans="1:12">
      <c r="A3665" s="20"/>
    </row>
    <row r="3666" spans="1:12">
      <c r="A3666" s="20" t="s">
        <v>2481</v>
      </c>
    </row>
    <row r="3667" spans="1:12">
      <c r="A3667" s="20" t="s">
        <v>661</v>
      </c>
      <c r="E3667" s="22">
        <f>IF(D3667="?OLD","!!!","")</f>
        <v/>
      </c>
      <c r="F3667" s="23" t="str">
        <f>IF(OR(E3667="",E3667="!!!"),"",IF(NOT(ISNA(VLOOKUP(E3667,E$1:E3666,1,FALSE()))),"OLD",IF(AND(E3667&lt;&gt;"",E3667&lt;&gt;"!!!"),"NEW","")))</f>
        <v> </v>
      </c>
      <c r="G3667" s="24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5" t="str">
        <f>IF(J3667&lt;&gt;1,"",IF(I3667="SBJ","CB","?"))</f>
        <v> </v>
      </c>
      <c r="I3667" s="26" t="str">
        <f>IF(OR(E3667="",E3667="!!!",F3667="NEW"),"",INDEX(B3666:B$2,-1+SUMPRODUCT(MAX(ROW(E3666:E$2)*(E3667=E3666:E$2)))))</f>
        <v> </v>
      </c>
      <c r="J3667" s="26" t="str">
        <f>IF(OR(E3667="",E3667="!!!",F3667="NEW"),"",COUNTBLANK(OFFSET(A$1,,,SUMPRODUCT(MAX(ROW(E$2:E3667)*(E3667=E$2:E3667)))))-COUNTBLANK(OFFSET(A$1,,,SUMPRODUCT(MAX(ROW(E$1:E3666)*(E2=E$1:E3666))))))</f>
        <v> </v>
      </c>
      <c r="K3667" s="26" t="str">
        <f>IF(OR(E3667="",E3667="!!!",F3667="NEW"),"",INDEX(J$1:J3666,SUMPRODUCT(MAX(ROW(E$1:E3666)*(E3667=E$1:E3666)))))</f>
        <v> </v>
      </c>
      <c r="L3667" s="27"/>
    </row>
    <row r="3668" spans="1:12">
      <c r="A3668" s="20" t="s">
        <v>1076</v>
      </c>
      <c r="E3668" s="22">
        <f>IF(D3668="?OLD","!!!","")</f>
        <v/>
      </c>
      <c r="F3668" s="23" t="str">
        <f>IF(OR(E3668="",E3668="!!!"),"",IF(NOT(ISNA(VLOOKUP(E3668,E$1:E3667,1,FALSE()))),"OLD",IF(AND(E3668&lt;&gt;"",E3668&lt;&gt;"!!!"),"NEW","")))</f>
        <v> </v>
      </c>
      <c r="G3668" s="24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5" t="str">
        <f>IF(J3668&lt;&gt;1,"",IF(I3668="SBJ","CB","?"))</f>
        <v> </v>
      </c>
      <c r="I3668" s="26" t="str">
        <f>IF(OR(E3668="",E3668="!!!",F3668="NEW"),"",INDEX(B3667:B$2,-1+SUMPRODUCT(MAX(ROW(E3667:E$2)*(E3668=E3667:E$2)))))</f>
        <v> </v>
      </c>
      <c r="J3668" s="26" t="str">
        <f>IF(OR(E3668="",E3668="!!!",F3668="NEW"),"",COUNTBLANK(OFFSET(A$1,,,SUMPRODUCT(MAX(ROW(E$2:E3668)*(E3668=E$2:E3668)))))-COUNTBLANK(OFFSET(A$1,,,SUMPRODUCT(MAX(ROW(E$1:E3667)*(E2=E$1:E3667))))))</f>
        <v> </v>
      </c>
      <c r="K3668" s="26" t="str">
        <f>IF(OR(E3668="",E3668="!!!",F3668="NEW"),"",INDEX(J$1:J3667,SUMPRODUCT(MAX(ROW(E$1:E3667)*(E3668=E$1:E3667)))))</f>
        <v> </v>
      </c>
      <c r="L3668" s="27"/>
    </row>
    <row r="3669" spans="1:12">
      <c r="A3669" s="20" t="s">
        <v>1268</v>
      </c>
      <c r="E3669" s="22">
        <f>IF(D3669="?OLD","!!!","")</f>
        <v/>
      </c>
      <c r="F3669" s="23" t="str">
        <f>IF(OR(E3669="",E3669="!!!"),"",IF(NOT(ISNA(VLOOKUP(E3669,E$1:E3668,1,FALSE()))),"OLD",IF(AND(E3669&lt;&gt;"",E3669&lt;&gt;"!!!"),"NEW","")))</f>
        <v> </v>
      </c>
      <c r="G3669" s="24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5" t="str">
        <f>IF(J3669&lt;&gt;1,"",IF(I3669="SBJ","CB","?"))</f>
        <v> </v>
      </c>
      <c r="I3669" s="26" t="str">
        <f>IF(OR(E3669="",E3669="!!!",F3669="NEW"),"",INDEX(B3668:B$2,-1+SUMPRODUCT(MAX(ROW(E3668:E$2)*(E3669=E3668:E$2)))))</f>
        <v> </v>
      </c>
      <c r="J3669" s="26" t="str">
        <f>IF(OR(E3669="",E3669="!!!",F3669="NEW"),"",COUNTBLANK(OFFSET(A$1,,,SUMPRODUCT(MAX(ROW(E$2:E3669)*(E3669=E$2:E3669)))))-COUNTBLANK(OFFSET(A$1,,,SUMPRODUCT(MAX(ROW(E$1:E3668)*(E2=E$1:E3668))))))</f>
        <v> </v>
      </c>
      <c r="K3669" s="26" t="str">
        <f>IF(OR(E3669="",E3669="!!!",F3669="NEW"),"",INDEX(J$1:J3668,SUMPRODUCT(MAX(ROW(E$1:E3668)*(E3669=E$1:E3668)))))</f>
        <v> </v>
      </c>
      <c r="L3669" s="27"/>
    </row>
    <row r="3670" spans="1:12">
      <c r="A3670" s="20" t="s">
        <v>1085</v>
      </c>
      <c r="E3670" s="22">
        <f>IF(D3670="?OLD","!!!","")</f>
        <v/>
      </c>
      <c r="F3670" s="23" t="str">
        <f>IF(OR(E3670="",E3670="!!!"),"",IF(NOT(ISNA(VLOOKUP(E3670,E$1:E3669,1,FALSE()))),"OLD",IF(AND(E3670&lt;&gt;"",E3670&lt;&gt;"!!!"),"NEW","")))</f>
        <v> </v>
      </c>
      <c r="G3670" s="24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5" t="str">
        <f>IF(J3670&lt;&gt;1,"",IF(I3670="SBJ","CB","?"))</f>
        <v> </v>
      </c>
      <c r="I3670" s="26" t="str">
        <f>IF(OR(E3670="",E3670="!!!",F3670="NEW"),"",INDEX(B3669:B$2,-1+SUMPRODUCT(MAX(ROW(E3669:E$2)*(E3670=E3669:E$2)))))</f>
        <v> </v>
      </c>
      <c r="J3670" s="26" t="str">
        <f>IF(OR(E3670="",E3670="!!!",F3670="NEW"),"",COUNTBLANK(OFFSET(A$1,,,SUMPRODUCT(MAX(ROW(E$2:E3670)*(E3670=E$2:E3670)))))-COUNTBLANK(OFFSET(A$1,,,SUMPRODUCT(MAX(ROW(E$1:E3669)*(E2=E$1:E3669))))))</f>
        <v> </v>
      </c>
      <c r="K3670" s="26" t="str">
        <f>IF(OR(E3670="",E3670="!!!",F3670="NEW"),"",INDEX(J$1:J3669,SUMPRODUCT(MAX(ROW(E$1:E3669)*(E3670=E$1:E3669)))))</f>
        <v> </v>
      </c>
      <c r="L3670" s="27"/>
    </row>
    <row r="3671" spans="1:12">
      <c r="A3671" s="20" t="s">
        <v>2482</v>
      </c>
      <c r="E3671" s="22">
        <f>IF(D3671="?OLD","!!!","")</f>
        <v/>
      </c>
      <c r="F3671" s="23" t="str">
        <f>IF(OR(E3671="",E3671="!!!"),"",IF(NOT(ISNA(VLOOKUP(E3671,E$1:E3670,1,FALSE()))),"OLD",IF(AND(E3671&lt;&gt;"",E3671&lt;&gt;"!!!"),"NEW","")))</f>
        <v> </v>
      </c>
      <c r="G3671" s="24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5" t="str">
        <f>IF(J3671&lt;&gt;1,"",IF(I3671="SBJ","CB","?"))</f>
        <v> </v>
      </c>
      <c r="I3671" s="26" t="str">
        <f>IF(OR(E3671="",E3671="!!!",F3671="NEW"),"",INDEX(B3670:B$2,-1+SUMPRODUCT(MAX(ROW(E3670:E$2)*(E3671=E3670:E$2)))))</f>
        <v> </v>
      </c>
      <c r="J3671" s="26" t="str">
        <f>IF(OR(E3671="",E3671="!!!",F3671="NEW"),"",COUNTBLANK(OFFSET(A$1,,,SUMPRODUCT(MAX(ROW(E$2:E3671)*(E3671=E$2:E3671)))))-COUNTBLANK(OFFSET(A$1,,,SUMPRODUCT(MAX(ROW(E$1:E3670)*(E2=E$1:E3670))))))</f>
        <v> </v>
      </c>
      <c r="K3671" s="26" t="str">
        <f>IF(OR(E3671="",E3671="!!!",F3671="NEW"),"",INDEX(J$1:J3670,SUMPRODUCT(MAX(ROW(E$1:E3670)*(E3671=E$1:E3670)))))</f>
        <v> </v>
      </c>
      <c r="L3671" s="27"/>
    </row>
    <row r="3672" spans="1:12">
      <c r="A3672" s="20" t="s">
        <v>1628</v>
      </c>
      <c r="E3672" s="22">
        <f>IF(D3672="?OLD","!!!","")</f>
        <v/>
      </c>
      <c r="F3672" s="23" t="str">
        <f>IF(OR(E3672="",E3672="!!!"),"",IF(NOT(ISNA(VLOOKUP(E3672,E$1:E3671,1,FALSE()))),"OLD",IF(AND(E3672&lt;&gt;"",E3672&lt;&gt;"!!!"),"NEW","")))</f>
        <v> </v>
      </c>
      <c r="G3672" s="24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5" t="str">
        <f>IF(J3672&lt;&gt;1,"",IF(I3672="SBJ","CB","?"))</f>
        <v> </v>
      </c>
      <c r="I3672" s="26" t="str">
        <f>IF(OR(E3672="",E3672="!!!",F3672="NEW"),"",INDEX(B3671:B$2,-1+SUMPRODUCT(MAX(ROW(E3671:E$2)*(E3672=E3671:E$2)))))</f>
        <v> </v>
      </c>
      <c r="J3672" s="26" t="str">
        <f>IF(OR(E3672="",E3672="!!!",F3672="NEW"),"",COUNTBLANK(OFFSET(A$1,,,SUMPRODUCT(MAX(ROW(E$2:E3672)*(E3672=E$2:E3672)))))-COUNTBLANK(OFFSET(A$1,,,SUMPRODUCT(MAX(ROW(E$1:E3671)*(E2=E$1:E3671))))))</f>
        <v> </v>
      </c>
      <c r="K3672" s="26" t="str">
        <f>IF(OR(E3672="",E3672="!!!",F3672="NEW"),"",INDEX(J$1:J3671,SUMPRODUCT(MAX(ROW(E$1:E3671)*(E3672=E$1:E3671)))))</f>
        <v> </v>
      </c>
      <c r="L3672" s="27"/>
    </row>
    <row r="3673" spans="1:12">
      <c r="A3673" s="20" t="s">
        <v>2483</v>
      </c>
      <c r="E3673" s="22">
        <f>IF(D3673="?OLD","!!!","")</f>
        <v/>
      </c>
      <c r="F3673" s="23" t="str">
        <f>IF(OR(E3673="",E3673="!!!"),"",IF(NOT(ISNA(VLOOKUP(E3673,E$1:E3672,1,FALSE()))),"OLD",IF(AND(E3673&lt;&gt;"",E3673&lt;&gt;"!!!"),"NEW","")))</f>
        <v> </v>
      </c>
      <c r="G3673" s="24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5" t="str">
        <f>IF(J3673&lt;&gt;1,"",IF(I3673="SBJ","CB","?"))</f>
        <v> </v>
      </c>
      <c r="I3673" s="26" t="str">
        <f>IF(OR(E3673="",E3673="!!!",F3673="NEW"),"",INDEX(B3672:B$2,-1+SUMPRODUCT(MAX(ROW(E3672:E$2)*(E3673=E3672:E$2)))))</f>
        <v> </v>
      </c>
      <c r="J3673" s="26" t="str">
        <f>IF(OR(E3673="",E3673="!!!",F3673="NEW"),"",COUNTBLANK(OFFSET(A$1,,,SUMPRODUCT(MAX(ROW(E$2:E3673)*(E3673=E$2:E3673)))))-COUNTBLANK(OFFSET(A$1,,,SUMPRODUCT(MAX(ROW(E$1:E3672)*(E2=E$1:E3672))))))</f>
        <v> </v>
      </c>
      <c r="K3673" s="26" t="str">
        <f>IF(OR(E3673="",E3673="!!!",F3673="NEW"),"",INDEX(J$1:J3672,SUMPRODUCT(MAX(ROW(E$1:E3672)*(E3673=E$1:E3672)))))</f>
        <v> </v>
      </c>
      <c r="L3673" s="27"/>
    </row>
    <row r="3674" spans="1:12">
      <c r="A3674" s="20" t="s">
        <v>2484</v>
      </c>
      <c r="B3674" s="21" t="s">
        <v>1080</v>
      </c>
      <c r="C3674" s="21" t="s">
        <v>1181</v>
      </c>
      <c r="E3674" s="22">
        <f>IF(D3674="?OLD","!!!","")</f>
        <v/>
      </c>
      <c r="F3674" s="23" t="str">
        <f>IF(OR(E3674="",E3674="!!!"),"",IF(NOT(ISNA(VLOOKUP(E3674,E$1:E3673,1,FALSE()))),"OLD",IF(AND(E3674&lt;&gt;"",E3674&lt;&gt;"!!!"),"NEW","")))</f>
        <v> </v>
      </c>
      <c r="G3674" s="24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5" t="str">
        <f>IF(J3674&lt;&gt;1,"",IF(I3674="SBJ","CB","?"))</f>
        <v> </v>
      </c>
      <c r="I3674" s="26" t="str">
        <f>IF(OR(E3674="",E3674="!!!",F3674="NEW"),"",INDEX(B3673:B$2,-1+SUMPRODUCT(MAX(ROW(E3673:E$2)*(E3674=E3673:E$2)))))</f>
        <v> </v>
      </c>
      <c r="J3674" s="26" t="str">
        <f>IF(OR(E3674="",E3674="!!!",F3674="NEW"),"",COUNTBLANK(OFFSET(A$1,,,SUMPRODUCT(MAX(ROW(E$2:E3674)*(E3674=E$2:E3674)))))-COUNTBLANK(OFFSET(A$1,,,SUMPRODUCT(MAX(ROW(E$1:E3673)*(E2=E$1:E3673))))))</f>
        <v> </v>
      </c>
      <c r="K3674" s="26" t="str">
        <f>IF(OR(E3674="",E3674="!!!",F3674="NEW"),"",INDEX(J$1:J3673,SUMPRODUCT(MAX(ROW(E$1:E3673)*(E3674=E$1:E3673)))))</f>
        <v> </v>
      </c>
      <c r="L3674" s="27"/>
    </row>
    <row r="3675" spans="1:12">
      <c r="A3675" s="20" t="s">
        <v>1106</v>
      </c>
      <c r="E3675" s="22">
        <f>IF(D3675="?OLD","!!!","")</f>
        <v/>
      </c>
      <c r="F3675" s="23" t="str">
        <f>IF(OR(E3675="",E3675="!!!"),"",IF(NOT(ISNA(VLOOKUP(E3675,E$1:E3674,1,FALSE()))),"OLD",IF(AND(E3675&lt;&gt;"",E3675&lt;&gt;"!!!"),"NEW","")))</f>
        <v> </v>
      </c>
      <c r="G3675" s="24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5" t="str">
        <f>IF(J3675&lt;&gt;1,"",IF(I3675="SBJ","CB","?"))</f>
        <v> </v>
      </c>
      <c r="I3675" s="26" t="str">
        <f>IF(OR(E3675="",E3675="!!!",F3675="NEW"),"",INDEX(B3674:B$2,-1+SUMPRODUCT(MAX(ROW(E3674:E$2)*(E3675=E3674:E$2)))))</f>
        <v> </v>
      </c>
      <c r="J3675" s="26" t="str">
        <f>IF(OR(E3675="",E3675="!!!",F3675="NEW"),"",COUNTBLANK(OFFSET(A$1,,,SUMPRODUCT(MAX(ROW(E$2:E3675)*(E3675=E$2:E3675)))))-COUNTBLANK(OFFSET(A$1,,,SUMPRODUCT(MAX(ROW(E$1:E3674)*(E2=E$1:E3674))))))</f>
        <v> </v>
      </c>
      <c r="K3675" s="26" t="str">
        <f>IF(OR(E3675="",E3675="!!!",F3675="NEW"),"",INDEX(J$1:J3674,SUMPRODUCT(MAX(ROW(E$1:E3674)*(E3675=E$1:E3674)))))</f>
        <v> </v>
      </c>
      <c r="L3675" s="27"/>
    </row>
    <row r="3676" spans="1:12">
      <c r="A3676" s="20"/>
    </row>
    <row r="3677" spans="1:12">
      <c r="A3677" s="20" t="s">
        <v>2485</v>
      </c>
    </row>
    <row r="3678" spans="1:12">
      <c r="A3678" s="20" t="s">
        <v>1405</v>
      </c>
      <c r="E3678" s="22">
        <f>IF(D3678="?OLD","!!!","")</f>
        <v/>
      </c>
      <c r="F3678" s="23" t="str">
        <f>IF(OR(E3678="",E3678="!!!"),"",IF(NOT(ISNA(VLOOKUP(E3678,E$1:E3677,1,FALSE()))),"OLD",IF(AND(E3678&lt;&gt;"",E3678&lt;&gt;"!!!"),"NEW","")))</f>
        <v> </v>
      </c>
      <c r="G3678" s="24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5" t="str">
        <f>IF(J3678&lt;&gt;1,"",IF(I3678="SBJ","CB","?"))</f>
        <v> </v>
      </c>
      <c r="I3678" s="26" t="str">
        <f>IF(OR(E3678="",E3678="!!!",F3678="NEW"),"",INDEX(B3677:B$2,-1+SUMPRODUCT(MAX(ROW(E3677:E$2)*(E3678=E3677:E$2)))))</f>
        <v> </v>
      </c>
      <c r="J3678" s="26" t="str">
        <f>IF(OR(E3678="",E3678="!!!",F3678="NEW"),"",COUNTBLANK(OFFSET(A$1,,,SUMPRODUCT(MAX(ROW(E$2:E3678)*(E3678=E$2:E3678)))))-COUNTBLANK(OFFSET(A$1,,,SUMPRODUCT(MAX(ROW(E$1:E3677)*(E2=E$1:E3677))))))</f>
        <v> </v>
      </c>
      <c r="K3678" s="26" t="str">
        <f>IF(OR(E3678="",E3678="!!!",F3678="NEW"),"",INDEX(J$1:J3677,SUMPRODUCT(MAX(ROW(E$1:E3677)*(E3678=E$1:E3677)))))</f>
        <v> </v>
      </c>
      <c r="L3678" s="27"/>
    </row>
    <row r="3679" spans="1:12">
      <c r="A3679" s="20" t="s">
        <v>1156</v>
      </c>
      <c r="B3679" s="21" t="s">
        <v>1077</v>
      </c>
      <c r="C3679" s="21" t="s">
        <v>1081</v>
      </c>
      <c r="D3679" s="21" t="s">
        <v>1074</v>
      </c>
      <c r="E3679" s="22">
        <f>IF(D3679="?OLD","!!!","")</f>
        <v/>
      </c>
      <c r="F3679" s="23" t="str">
        <f>IF(OR(E3679="",E3679="!!!"),"",IF(NOT(ISNA(VLOOKUP(E3679,E$1:E3678,1,FALSE()))),"OLD",IF(AND(E3679&lt;&gt;"",E3679&lt;&gt;"!!!"),"NEW","")))</f>
        <v> </v>
      </c>
      <c r="G3679" s="24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5" t="str">
        <f>IF(J3679&lt;&gt;1,"",IF(I3679="SBJ","CB","?"))</f>
        <v> </v>
      </c>
      <c r="I3679" s="26" t="str">
        <f>IF(OR(E3679="",E3679="!!!",F3679="NEW"),"",INDEX(B3678:B$2,-1+SUMPRODUCT(MAX(ROW(E3678:E$2)*(E3679=E3678:E$2)))))</f>
        <v> </v>
      </c>
      <c r="J3679" s="26" t="str">
        <f>IF(OR(E3679="",E3679="!!!",F3679="NEW"),"",COUNTBLANK(OFFSET(A$1,,,SUMPRODUCT(MAX(ROW(E$2:E3679)*(E3679=E$2:E3679)))))-COUNTBLANK(OFFSET(A$1,,,SUMPRODUCT(MAX(ROW(E$1:E3678)*(E2=E$1:E3678))))))</f>
        <v> </v>
      </c>
      <c r="K3679" s="26" t="str">
        <f>IF(OR(E3679="",E3679="!!!",F3679="NEW"),"",INDEX(J$1:J3678,SUMPRODUCT(MAX(ROW(E$1:E3678)*(E3679=E$1:E3678)))))</f>
        <v> </v>
      </c>
      <c r="L3679" s="27"/>
    </row>
    <row r="3680" spans="1:12">
      <c r="A3680" s="20" t="s">
        <v>2484</v>
      </c>
      <c r="B3680" s="21" t="s">
        <v>1080</v>
      </c>
      <c r="C3680" s="21" t="s">
        <v>1181</v>
      </c>
      <c r="E3680" s="22">
        <f>IF(D3680="?OLD","!!!","")</f>
        <v/>
      </c>
      <c r="F3680" s="23" t="str">
        <f>IF(OR(E3680="",E3680="!!!"),"",IF(NOT(ISNA(VLOOKUP(E3680,E$1:E3679,1,FALSE()))),"OLD",IF(AND(E3680&lt;&gt;"",E3680&lt;&gt;"!!!"),"NEW","")))</f>
        <v> </v>
      </c>
      <c r="G3680" s="24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5" t="str">
        <f>IF(J3680&lt;&gt;1,"",IF(I3680="SBJ","CB","?"))</f>
        <v> </v>
      </c>
      <c r="I3680" s="26" t="str">
        <f>IF(OR(E3680="",E3680="!!!",F3680="NEW"),"",INDEX(B3679:B$2,-1+SUMPRODUCT(MAX(ROW(E3679:E$2)*(E3680=E3679:E$2)))))</f>
        <v> </v>
      </c>
      <c r="J3680" s="26" t="str">
        <f>IF(OR(E3680="",E3680="!!!",F3680="NEW"),"",COUNTBLANK(OFFSET(A$1,,,SUMPRODUCT(MAX(ROW(E$2:E3680)*(E3680=E$2:E3680)))))-COUNTBLANK(OFFSET(A$1,,,SUMPRODUCT(MAX(ROW(E$1:E3679)*(E2=E$1:E3679))))))</f>
        <v> </v>
      </c>
      <c r="K3680" s="26" t="str">
        <f>IF(OR(E3680="",E3680="!!!",F3680="NEW"),"",INDEX(J$1:J3679,SUMPRODUCT(MAX(ROW(E$1:E3679)*(E3680=E$1:E3679)))))</f>
        <v> </v>
      </c>
      <c r="L3680" s="27"/>
    </row>
    <row r="3681" spans="1:12">
      <c r="A3681" s="20" t="s">
        <v>2486</v>
      </c>
      <c r="E3681" s="22">
        <f>IF(D3681="?OLD","!!!","")</f>
        <v/>
      </c>
      <c r="F3681" s="23" t="str">
        <f>IF(OR(E3681="",E3681="!!!"),"",IF(NOT(ISNA(VLOOKUP(E3681,E$1:E3680,1,FALSE()))),"OLD",IF(AND(E3681&lt;&gt;"",E3681&lt;&gt;"!!!"),"NEW","")))</f>
        <v> </v>
      </c>
      <c r="G3681" s="24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5" t="str">
        <f>IF(J3681&lt;&gt;1,"",IF(I3681="SBJ","CB","?"))</f>
        <v> </v>
      </c>
      <c r="I3681" s="26" t="str">
        <f>IF(OR(E3681="",E3681="!!!",F3681="NEW"),"",INDEX(B3680:B$2,-1+SUMPRODUCT(MAX(ROW(E3680:E$2)*(E3681=E3680:E$2)))))</f>
        <v> </v>
      </c>
      <c r="J3681" s="26" t="str">
        <f>IF(OR(E3681="",E3681="!!!",F3681="NEW"),"",COUNTBLANK(OFFSET(A$1,,,SUMPRODUCT(MAX(ROW(E$2:E3681)*(E3681=E$2:E3681)))))-COUNTBLANK(OFFSET(A$1,,,SUMPRODUCT(MAX(ROW(E$1:E3680)*(E2=E$1:E3680))))))</f>
        <v> </v>
      </c>
      <c r="K3681" s="26" t="str">
        <f>IF(OR(E3681="",E3681="!!!",F3681="NEW"),"",INDEX(J$1:J3680,SUMPRODUCT(MAX(ROW(E$1:E3680)*(E3681=E$1:E3680)))))</f>
        <v> </v>
      </c>
      <c r="L3681" s="27"/>
    </row>
    <row r="3682" spans="1:12">
      <c r="A3682" s="20" t="s">
        <v>1112</v>
      </c>
      <c r="E3682" s="22">
        <f>IF(D3682="?OLD","!!!","")</f>
        <v/>
      </c>
      <c r="F3682" s="23" t="str">
        <f>IF(OR(E3682="",E3682="!!!"),"",IF(NOT(ISNA(VLOOKUP(E3682,E$1:E3681,1,FALSE()))),"OLD",IF(AND(E3682&lt;&gt;"",E3682&lt;&gt;"!!!"),"NEW","")))</f>
        <v> </v>
      </c>
      <c r="G3682" s="24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5" t="str">
        <f>IF(J3682&lt;&gt;1,"",IF(I3682="SBJ","CB","?"))</f>
        <v> </v>
      </c>
      <c r="I3682" s="26" t="str">
        <f>IF(OR(E3682="",E3682="!!!",F3682="NEW"),"",INDEX(B3681:B$2,-1+SUMPRODUCT(MAX(ROW(E3681:E$2)*(E3682=E3681:E$2)))))</f>
        <v> </v>
      </c>
      <c r="J3682" s="26" t="str">
        <f>IF(OR(E3682="",E3682="!!!",F3682="NEW"),"",COUNTBLANK(OFFSET(A$1,,,SUMPRODUCT(MAX(ROW(E$2:E3682)*(E3682=E$2:E3682)))))-COUNTBLANK(OFFSET(A$1,,,SUMPRODUCT(MAX(ROW(E$1:E3681)*(E2=E$1:E3681))))))</f>
        <v> </v>
      </c>
      <c r="K3682" s="26" t="str">
        <f>IF(OR(E3682="",E3682="!!!",F3682="NEW"),"",INDEX(J$1:J3681,SUMPRODUCT(MAX(ROW(E$1:E3681)*(E3682=E$1:E3681)))))</f>
        <v> </v>
      </c>
      <c r="L3682" s="27"/>
    </row>
    <row r="3683" spans="1:12">
      <c r="A3683" s="20" t="s">
        <v>2478</v>
      </c>
      <c r="B3683" s="21" t="s">
        <v>1109</v>
      </c>
      <c r="E3683" s="22">
        <f>IF(D3683="?OLD","!!!","")</f>
        <v/>
      </c>
      <c r="F3683" s="23" t="str">
        <f>IF(OR(E3683="",E3683="!!!"),"",IF(NOT(ISNA(VLOOKUP(E3683,E$1:E3682,1,FALSE()))),"OLD",IF(AND(E3683&lt;&gt;"",E3683&lt;&gt;"!!!"),"NEW","")))</f>
        <v> </v>
      </c>
      <c r="G3683" s="24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5" t="str">
        <f>IF(J3683&lt;&gt;1,"",IF(I3683="SBJ","CB","?"))</f>
        <v> </v>
      </c>
      <c r="I3683" s="26" t="str">
        <f>IF(OR(E3683="",E3683="!!!",F3683="NEW"),"",INDEX(B3682:B$2,-1+SUMPRODUCT(MAX(ROW(E3682:E$2)*(E3683=E3682:E$2)))))</f>
        <v> </v>
      </c>
      <c r="J3683" s="26" t="str">
        <f>IF(OR(E3683="",E3683="!!!",F3683="NEW"),"",COUNTBLANK(OFFSET(A$1,,,SUMPRODUCT(MAX(ROW(E$2:E3683)*(E3683=E$2:E3683)))))-COUNTBLANK(OFFSET(A$1,,,SUMPRODUCT(MAX(ROW(E$1:E3682)*(E2=E$1:E3682))))))</f>
        <v> </v>
      </c>
      <c r="K3683" s="26" t="str">
        <f>IF(OR(E3683="",E3683="!!!",F3683="NEW"),"",INDEX(J$1:J3682,SUMPRODUCT(MAX(ROW(E$1:E3682)*(E3683=E$1:E3682)))))</f>
        <v> </v>
      </c>
      <c r="L3683" s="27"/>
    </row>
    <row r="3684" spans="1:12">
      <c r="A3684" s="20" t="s">
        <v>2487</v>
      </c>
      <c r="E3684" s="22">
        <f>IF(D3684="?OLD","!!!","")</f>
        <v/>
      </c>
      <c r="F3684" s="23" t="str">
        <f>IF(OR(E3684="",E3684="!!!"),"",IF(NOT(ISNA(VLOOKUP(E3684,E$1:E3683,1,FALSE()))),"OLD",IF(AND(E3684&lt;&gt;"",E3684&lt;&gt;"!!!"),"NEW","")))</f>
        <v> </v>
      </c>
      <c r="G3684" s="24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5" t="str">
        <f>IF(J3684&lt;&gt;1,"",IF(I3684="SBJ","CB","?"))</f>
        <v> </v>
      </c>
      <c r="I3684" s="26" t="str">
        <f>IF(OR(E3684="",E3684="!!!",F3684="NEW"),"",INDEX(B3683:B$2,-1+SUMPRODUCT(MAX(ROW(E3683:E$2)*(E3684=E3683:E$2)))))</f>
        <v> </v>
      </c>
      <c r="J3684" s="26" t="str">
        <f>IF(OR(E3684="",E3684="!!!",F3684="NEW"),"",COUNTBLANK(OFFSET(A$1,,,SUMPRODUCT(MAX(ROW(E$2:E3684)*(E3684=E$2:E3684)))))-COUNTBLANK(OFFSET(A$1,,,SUMPRODUCT(MAX(ROW(E$1:E3683)*(E2=E$1:E3683))))))</f>
        <v> </v>
      </c>
      <c r="K3684" s="26" t="str">
        <f>IF(OR(E3684="",E3684="!!!",F3684="NEW"),"",INDEX(J$1:J3683,SUMPRODUCT(MAX(ROW(E$1:E3683)*(E3684=E$1:E3683)))))</f>
        <v> </v>
      </c>
      <c r="L3684" s="27"/>
    </row>
    <row r="3685" spans="1:12">
      <c r="A3685" s="20" t="s">
        <v>1336</v>
      </c>
      <c r="B3685" s="21" t="s">
        <v>1227</v>
      </c>
      <c r="C3685" s="21" t="s">
        <v>1081</v>
      </c>
      <c r="D3685" s="21" t="s">
        <v>1074</v>
      </c>
      <c r="E3685" s="22">
        <f>IF(D3685="?OLD","!!!","")</f>
        <v/>
      </c>
      <c r="F3685" s="23" t="str">
        <f>IF(OR(E3685="",E3685="!!!"),"",IF(NOT(ISNA(VLOOKUP(E3685,E$1:E3684,1,FALSE()))),"OLD",IF(AND(E3685&lt;&gt;"",E3685&lt;&gt;"!!!"),"NEW","")))</f>
        <v> </v>
      </c>
      <c r="G3685" s="24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5" t="str">
        <f>IF(J3685&lt;&gt;1,"",IF(I3685="SBJ","CB","?"))</f>
        <v> </v>
      </c>
      <c r="I3685" s="26" t="str">
        <f>IF(OR(E3685="",E3685="!!!",F3685="NEW"),"",INDEX(B3684:B$2,-1+SUMPRODUCT(MAX(ROW(E3684:E$2)*(E3685=E3684:E$2)))))</f>
        <v> </v>
      </c>
      <c r="J3685" s="26" t="str">
        <f>IF(OR(E3685="",E3685="!!!",F3685="NEW"),"",COUNTBLANK(OFFSET(A$1,,,SUMPRODUCT(MAX(ROW(E$2:E3685)*(E3685=E$2:E3685)))))-COUNTBLANK(OFFSET(A$1,,,SUMPRODUCT(MAX(ROW(E$1:E3684)*(E2=E$1:E3684))))))</f>
        <v> </v>
      </c>
      <c r="K3685" s="26" t="str">
        <f>IF(OR(E3685="",E3685="!!!",F3685="NEW"),"",INDEX(J$1:J3684,SUMPRODUCT(MAX(ROW(E$1:E3684)*(E3685=E$1:E3684)))))</f>
        <v> </v>
      </c>
      <c r="L3685" s="27"/>
    </row>
    <row r="3686" spans="1:12">
      <c r="A3686" s="20" t="s">
        <v>2488</v>
      </c>
      <c r="B3686" s="21" t="s">
        <v>1227</v>
      </c>
      <c r="E3686" s="22">
        <f>IF(D3686="?OLD","!!!","")</f>
        <v/>
      </c>
      <c r="F3686" s="23" t="str">
        <f>IF(OR(E3686="",E3686="!!!"),"",IF(NOT(ISNA(VLOOKUP(E3686,E$1:E3685,1,FALSE()))),"OLD",IF(AND(E3686&lt;&gt;"",E3686&lt;&gt;"!!!"),"NEW","")))</f>
        <v> </v>
      </c>
      <c r="G3686" s="24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5" t="str">
        <f>IF(J3686&lt;&gt;1,"",IF(I3686="SBJ","CB","?"))</f>
        <v> </v>
      </c>
      <c r="I3686" s="26" t="str">
        <f>IF(OR(E3686="",E3686="!!!",F3686="NEW"),"",INDEX(B3685:B$2,-1+SUMPRODUCT(MAX(ROW(E3685:E$2)*(E3686=E3685:E$2)))))</f>
        <v> </v>
      </c>
      <c r="J3686" s="26" t="str">
        <f>IF(OR(E3686="",E3686="!!!",F3686="NEW"),"",COUNTBLANK(OFFSET(A$1,,,SUMPRODUCT(MAX(ROW(E$2:E3686)*(E3686=E$2:E3686)))))-COUNTBLANK(OFFSET(A$1,,,SUMPRODUCT(MAX(ROW(E$1:E3685)*(E2=E$1:E3685))))))</f>
        <v> </v>
      </c>
      <c r="K3686" s="26" t="str">
        <f>IF(OR(E3686="",E3686="!!!",F3686="NEW"),"",INDEX(J$1:J3685,SUMPRODUCT(MAX(ROW(E$1:E3685)*(E3686=E$1:E3685)))))</f>
        <v> </v>
      </c>
      <c r="L3686" s="27"/>
    </row>
    <row r="3687" spans="1:12">
      <c r="A3687" s="20" t="s">
        <v>1098</v>
      </c>
      <c r="E3687" s="22">
        <f>IF(D3687="?OLD","!!!","")</f>
        <v/>
      </c>
      <c r="F3687" s="23" t="str">
        <f>IF(OR(E3687="",E3687="!!!"),"",IF(NOT(ISNA(VLOOKUP(E3687,E$1:E3686,1,FALSE()))),"OLD",IF(AND(E3687&lt;&gt;"",E3687&lt;&gt;"!!!"),"NEW","")))</f>
        <v> </v>
      </c>
      <c r="G3687" s="24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5" t="str">
        <f>IF(J3687&lt;&gt;1,"",IF(I3687="SBJ","CB","?"))</f>
        <v> </v>
      </c>
      <c r="I3687" s="26" t="str">
        <f>IF(OR(E3687="",E3687="!!!",F3687="NEW"),"",INDEX(B3686:B$2,-1+SUMPRODUCT(MAX(ROW(E3686:E$2)*(E3687=E3686:E$2)))))</f>
        <v> </v>
      </c>
      <c r="J3687" s="26" t="str">
        <f>IF(OR(E3687="",E3687="!!!",F3687="NEW"),"",COUNTBLANK(OFFSET(A$1,,,SUMPRODUCT(MAX(ROW(E$2:E3687)*(E3687=E$2:E3687)))))-COUNTBLANK(OFFSET(A$1,,,SUMPRODUCT(MAX(ROW(E$1:E3686)*(E2=E$1:E3686))))))</f>
        <v> </v>
      </c>
      <c r="K3687" s="26" t="str">
        <f>IF(OR(E3687="",E3687="!!!",F3687="NEW"),"",INDEX(J$1:J3686,SUMPRODUCT(MAX(ROW(E$1:E3686)*(E3687=E$1:E3686)))))</f>
        <v> </v>
      </c>
      <c r="L3687" s="27"/>
    </row>
    <row r="3688" spans="1:12">
      <c r="A3688" s="20" t="s">
        <v>1153</v>
      </c>
      <c r="E3688" s="22">
        <f>IF(D3688="?OLD","!!!","")</f>
        <v/>
      </c>
      <c r="F3688" s="23" t="str">
        <f>IF(OR(E3688="",E3688="!!!"),"",IF(NOT(ISNA(VLOOKUP(E3688,E$1:E3687,1,FALSE()))),"OLD",IF(AND(E3688&lt;&gt;"",E3688&lt;&gt;"!!!"),"NEW","")))</f>
        <v> </v>
      </c>
      <c r="G3688" s="24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5" t="str">
        <f>IF(J3688&lt;&gt;1,"",IF(I3688="SBJ","CB","?"))</f>
        <v> </v>
      </c>
      <c r="I3688" s="26" t="str">
        <f>IF(OR(E3688="",E3688="!!!",F3688="NEW"),"",INDEX(B3687:B$2,-1+SUMPRODUCT(MAX(ROW(E3687:E$2)*(E3688=E3687:E$2)))))</f>
        <v> </v>
      </c>
      <c r="J3688" s="26" t="str">
        <f>IF(OR(E3688="",E3688="!!!",F3688="NEW"),"",COUNTBLANK(OFFSET(A$1,,,SUMPRODUCT(MAX(ROW(E$2:E3688)*(E3688=E$2:E3688)))))-COUNTBLANK(OFFSET(A$1,,,SUMPRODUCT(MAX(ROW(E$1:E3687)*(E2=E$1:E3687))))))</f>
        <v> </v>
      </c>
      <c r="K3688" s="26" t="str">
        <f>IF(OR(E3688="",E3688="!!!",F3688="NEW"),"",INDEX(J$1:J3687,SUMPRODUCT(MAX(ROW(E$1:E3687)*(E3688=E$1:E3687)))))</f>
        <v> </v>
      </c>
      <c r="L3688" s="27"/>
    </row>
    <row r="3689" spans="1:12">
      <c r="A3689" s="20" t="s">
        <v>2489</v>
      </c>
      <c r="B3689" s="21" t="s">
        <v>1180</v>
      </c>
      <c r="C3689" s="21" t="s">
        <v>1462</v>
      </c>
      <c r="D3689" s="21" t="s">
        <v>1074</v>
      </c>
      <c r="E3689" s="22">
        <f>IF(D3689="?OLD","!!!","")</f>
        <v/>
      </c>
      <c r="F3689" s="23" t="str">
        <f>IF(OR(E3689="",E3689="!!!"),"",IF(NOT(ISNA(VLOOKUP(E3689,E$1:E3688,1,FALSE()))),"OLD",IF(AND(E3689&lt;&gt;"",E3689&lt;&gt;"!!!"),"NEW","")))</f>
        <v> </v>
      </c>
      <c r="G3689" s="24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5" t="str">
        <f>IF(J3689&lt;&gt;1,"",IF(I3689="SBJ","CB","?"))</f>
        <v> </v>
      </c>
      <c r="I3689" s="26" t="str">
        <f>IF(OR(E3689="",E3689="!!!",F3689="NEW"),"",INDEX(B3688:B$2,-1+SUMPRODUCT(MAX(ROW(E3688:E$2)*(E3689=E3688:E$2)))))</f>
        <v> </v>
      </c>
      <c r="J3689" s="26" t="str">
        <f>IF(OR(E3689="",E3689="!!!",F3689="NEW"),"",COUNTBLANK(OFFSET(A$1,,,SUMPRODUCT(MAX(ROW(E$2:E3689)*(E3689=E$2:E3689)))))-COUNTBLANK(OFFSET(A$1,,,SUMPRODUCT(MAX(ROW(E$1:E3688)*(E2=E$1:E3688))))))</f>
        <v> </v>
      </c>
      <c r="K3689" s="26" t="str">
        <f>IF(OR(E3689="",E3689="!!!",F3689="NEW"),"",INDEX(J$1:J3688,SUMPRODUCT(MAX(ROW(E$1:E3688)*(E3689=E$1:E3688)))))</f>
        <v> </v>
      </c>
      <c r="L3689" s="27"/>
    </row>
    <row r="3690" spans="1:12">
      <c r="A3690" s="20" t="s">
        <v>1085</v>
      </c>
      <c r="E3690" s="22">
        <f>IF(D3690="?OLD","!!!","")</f>
        <v/>
      </c>
      <c r="F3690" s="23" t="str">
        <f>IF(OR(E3690="",E3690="!!!"),"",IF(NOT(ISNA(VLOOKUP(E3690,E$1:E3689,1,FALSE()))),"OLD",IF(AND(E3690&lt;&gt;"",E3690&lt;&gt;"!!!"),"NEW","")))</f>
        <v> </v>
      </c>
      <c r="G3690" s="24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5" t="str">
        <f>IF(J3690&lt;&gt;1,"",IF(I3690="SBJ","CB","?"))</f>
        <v> </v>
      </c>
      <c r="I3690" s="26" t="str">
        <f>IF(OR(E3690="",E3690="!!!",F3690="NEW"),"",INDEX(B3689:B$2,-1+SUMPRODUCT(MAX(ROW(E3689:E$2)*(E3690=E3689:E$2)))))</f>
        <v> </v>
      </c>
      <c r="J3690" s="26" t="str">
        <f>IF(OR(E3690="",E3690="!!!",F3690="NEW"),"",COUNTBLANK(OFFSET(A$1,,,SUMPRODUCT(MAX(ROW(E$2:E3690)*(E3690=E$2:E3690)))))-COUNTBLANK(OFFSET(A$1,,,SUMPRODUCT(MAX(ROW(E$1:E3689)*(E2=E$1:E3689))))))</f>
        <v> </v>
      </c>
      <c r="K3690" s="26" t="str">
        <f>IF(OR(E3690="",E3690="!!!",F3690="NEW"),"",INDEX(J$1:J3689,SUMPRODUCT(MAX(ROW(E$1:E3689)*(E3690=E$1:E3689)))))</f>
        <v> </v>
      </c>
      <c r="L3690" s="27"/>
    </row>
    <row r="3691" spans="1:12">
      <c r="A3691" s="20" t="s">
        <v>1098</v>
      </c>
      <c r="E3691" s="22">
        <f>IF(D3691="?OLD","!!!","")</f>
        <v/>
      </c>
      <c r="F3691" s="23" t="str">
        <f>IF(OR(E3691="",E3691="!!!"),"",IF(NOT(ISNA(VLOOKUP(E3691,E$1:E3690,1,FALSE()))),"OLD",IF(AND(E3691&lt;&gt;"",E3691&lt;&gt;"!!!"),"NEW","")))</f>
        <v> </v>
      </c>
      <c r="G3691" s="24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5" t="str">
        <f>IF(J3691&lt;&gt;1,"",IF(I3691="SBJ","CB","?"))</f>
        <v> </v>
      </c>
      <c r="I3691" s="26" t="str">
        <f>IF(OR(E3691="",E3691="!!!",F3691="NEW"),"",INDEX(B3690:B$2,-1+SUMPRODUCT(MAX(ROW(E3690:E$2)*(E3691=E3690:E$2)))))</f>
        <v> </v>
      </c>
      <c r="J3691" s="26" t="str">
        <f>IF(OR(E3691="",E3691="!!!",F3691="NEW"),"",COUNTBLANK(OFFSET(A$1,,,SUMPRODUCT(MAX(ROW(E$2:E3691)*(E3691=E$2:E3691)))))-COUNTBLANK(OFFSET(A$1,,,SUMPRODUCT(MAX(ROW(E$1:E3690)*(E2=E$1:E3690))))))</f>
        <v> </v>
      </c>
      <c r="K3691" s="26" t="str">
        <f>IF(OR(E3691="",E3691="!!!",F3691="NEW"),"",INDEX(J$1:J3690,SUMPRODUCT(MAX(ROW(E$1:E3690)*(E3691=E$1:E3690)))))</f>
        <v> </v>
      </c>
      <c r="L3691" s="27"/>
    </row>
    <row r="3692" spans="1:12">
      <c r="A3692" s="20" t="s">
        <v>1855</v>
      </c>
      <c r="B3692" s="21" t="s">
        <v>1115</v>
      </c>
      <c r="C3692" s="21" t="s">
        <v>1181</v>
      </c>
      <c r="E3692" s="22">
        <f>IF(D3692="?OLD","!!!","")</f>
        <v/>
      </c>
      <c r="F3692" s="23" t="str">
        <f>IF(OR(E3692="",E3692="!!!"),"",IF(NOT(ISNA(VLOOKUP(E3692,E$1:E3691,1,FALSE()))),"OLD",IF(AND(E3692&lt;&gt;"",E3692&lt;&gt;"!!!"),"NEW","")))</f>
        <v> </v>
      </c>
      <c r="G3692" s="24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5" t="str">
        <f>IF(J3692&lt;&gt;1,"",IF(I3692="SBJ","CB","?"))</f>
        <v> </v>
      </c>
      <c r="I3692" s="26" t="str">
        <f>IF(OR(E3692="",E3692="!!!",F3692="NEW"),"",INDEX(B3691:B$2,-1+SUMPRODUCT(MAX(ROW(E3691:E$2)*(E3692=E3691:E$2)))))</f>
        <v> </v>
      </c>
      <c r="J3692" s="26" t="str">
        <f>IF(OR(E3692="",E3692="!!!",F3692="NEW"),"",COUNTBLANK(OFFSET(A$1,,,SUMPRODUCT(MAX(ROW(E$2:E3692)*(E3692=E$2:E3692)))))-COUNTBLANK(OFFSET(A$1,,,SUMPRODUCT(MAX(ROW(E$1:E3691)*(E2=E$1:E3691))))))</f>
        <v> </v>
      </c>
      <c r="K3692" s="26" t="str">
        <f>IF(OR(E3692="",E3692="!!!",F3692="NEW"),"",INDEX(J$1:J3691,SUMPRODUCT(MAX(ROW(E$1:E3691)*(E3692=E$1:E3691)))))</f>
        <v> </v>
      </c>
      <c r="L3692" s="27"/>
    </row>
    <row r="3693" spans="1:12">
      <c r="A3693" s="20" t="s">
        <v>1087</v>
      </c>
      <c r="B3693" s="21" t="s">
        <v>1088</v>
      </c>
      <c r="C3693" s="21" t="s">
        <v>1081</v>
      </c>
      <c r="D3693" s="21" t="s">
        <v>1074</v>
      </c>
      <c r="E3693" s="22">
        <f>IF(D3693="?OLD","!!!","")</f>
        <v/>
      </c>
      <c r="F3693" s="23" t="str">
        <f>IF(OR(E3693="",E3693="!!!"),"",IF(NOT(ISNA(VLOOKUP(E3693,E$1:E3692,1,FALSE()))),"OLD",IF(AND(E3693&lt;&gt;"",E3693&lt;&gt;"!!!"),"NEW","")))</f>
        <v> </v>
      </c>
      <c r="G3693" s="24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5" t="str">
        <f>IF(J3693&lt;&gt;1,"",IF(I3693="SBJ","CB","?"))</f>
        <v> </v>
      </c>
      <c r="I3693" s="26" t="str">
        <f>IF(OR(E3693="",E3693="!!!",F3693="NEW"),"",INDEX(B3692:B$2,-1+SUMPRODUCT(MAX(ROW(E3692:E$2)*(E3693=E3692:E$2)))))</f>
        <v> </v>
      </c>
      <c r="J3693" s="26" t="str">
        <f>IF(OR(E3693="",E3693="!!!",F3693="NEW"),"",COUNTBLANK(OFFSET(A$1,,,SUMPRODUCT(MAX(ROW(E$2:E3693)*(E3693=E$2:E3693)))))-COUNTBLANK(OFFSET(A$1,,,SUMPRODUCT(MAX(ROW(E$1:E3692)*(E2=E$1:E3692))))))</f>
        <v> </v>
      </c>
      <c r="K3693" s="26" t="str">
        <f>IF(OR(E3693="",E3693="!!!",F3693="NEW"),"",INDEX(J$1:J3692,SUMPRODUCT(MAX(ROW(E$1:E3692)*(E3693=E$1:E3692)))))</f>
        <v> </v>
      </c>
      <c r="L3693" s="27"/>
    </row>
    <row r="3694" spans="1:12">
      <c r="A3694" s="20" t="s">
        <v>1355</v>
      </c>
      <c r="E3694" s="22">
        <f>IF(D3694="?OLD","!!!","")</f>
        <v/>
      </c>
      <c r="F3694" s="23" t="str">
        <f>IF(OR(E3694="",E3694="!!!"),"",IF(NOT(ISNA(VLOOKUP(E3694,E$1:E3693,1,FALSE()))),"OLD",IF(AND(E3694&lt;&gt;"",E3694&lt;&gt;"!!!"),"NEW","")))</f>
        <v> </v>
      </c>
      <c r="G3694" s="24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5" t="str">
        <f>IF(J3694&lt;&gt;1,"",IF(I3694="SBJ","CB","?"))</f>
        <v> </v>
      </c>
      <c r="I3694" s="26" t="str">
        <f>IF(OR(E3694="",E3694="!!!",F3694="NEW"),"",INDEX(B3693:B$2,-1+SUMPRODUCT(MAX(ROW(E3693:E$2)*(E3694=E3693:E$2)))))</f>
        <v> </v>
      </c>
      <c r="J3694" s="26" t="str">
        <f>IF(OR(E3694="",E3694="!!!",F3694="NEW"),"",COUNTBLANK(OFFSET(A$1,,,SUMPRODUCT(MAX(ROW(E$2:E3694)*(E3694=E$2:E3694)))))-COUNTBLANK(OFFSET(A$1,,,SUMPRODUCT(MAX(ROW(E$1:E3693)*(E2=E$1:E3693))))))</f>
        <v> </v>
      </c>
      <c r="K3694" s="26" t="str">
        <f>IF(OR(E3694="",E3694="!!!",F3694="NEW"),"",INDEX(J$1:J3693,SUMPRODUCT(MAX(ROW(E$1:E3693)*(E3694=E$1:E3693)))))</f>
        <v> </v>
      </c>
      <c r="L3694" s="27"/>
    </row>
    <row r="3695" spans="1:12">
      <c r="A3695" s="20" t="s">
        <v>1249</v>
      </c>
      <c r="B3695" s="21" t="s">
        <v>1205</v>
      </c>
      <c r="C3695" s="21" t="s">
        <v>1081</v>
      </c>
      <c r="D3695" s="21" t="s">
        <v>1074</v>
      </c>
      <c r="E3695" s="22">
        <f>IF(D3695="?OLD","!!!","")</f>
        <v/>
      </c>
      <c r="F3695" s="23" t="str">
        <f>IF(OR(E3695="",E3695="!!!"),"",IF(NOT(ISNA(VLOOKUP(E3695,E$1:E3694,1,FALSE()))),"OLD",IF(AND(E3695&lt;&gt;"",E3695&lt;&gt;"!!!"),"NEW","")))</f>
        <v> </v>
      </c>
      <c r="G3695" s="24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5" t="str">
        <f>IF(J3695&lt;&gt;1,"",IF(I3695="SBJ","CB","?"))</f>
        <v> </v>
      </c>
      <c r="I3695" s="26" t="str">
        <f>IF(OR(E3695="",E3695="!!!",F3695="NEW"),"",INDEX(B3694:B$2,-1+SUMPRODUCT(MAX(ROW(E3694:E$2)*(E3695=E3694:E$2)))))</f>
        <v> </v>
      </c>
      <c r="J3695" s="26" t="str">
        <f>IF(OR(E3695="",E3695="!!!",F3695="NEW"),"",COUNTBLANK(OFFSET(A$1,,,SUMPRODUCT(MAX(ROW(E$2:E3695)*(E3695=E$2:E3695)))))-COUNTBLANK(OFFSET(A$1,,,SUMPRODUCT(MAX(ROW(E$1:E3694)*(E2=E$1:E3694))))))</f>
        <v> </v>
      </c>
      <c r="K3695" s="26" t="str">
        <f>IF(OR(E3695="",E3695="!!!",F3695="NEW"),"",INDEX(J$1:J3694,SUMPRODUCT(MAX(ROW(E$1:E3694)*(E3695=E$1:E3694)))))</f>
        <v> </v>
      </c>
      <c r="L3695" s="27"/>
    </row>
    <row r="3696" spans="1:12">
      <c r="A3696" s="20" t="s">
        <v>1799</v>
      </c>
      <c r="E3696" s="22">
        <f>IF(D3696="?OLD","!!!","")</f>
        <v/>
      </c>
      <c r="F3696" s="23" t="str">
        <f>IF(OR(E3696="",E3696="!!!"),"",IF(NOT(ISNA(VLOOKUP(E3696,E$1:E3695,1,FALSE()))),"OLD",IF(AND(E3696&lt;&gt;"",E3696&lt;&gt;"!!!"),"NEW","")))</f>
        <v> </v>
      </c>
      <c r="G3696" s="24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5" t="str">
        <f>IF(J3696&lt;&gt;1,"",IF(I3696="SBJ","CB","?"))</f>
        <v> </v>
      </c>
      <c r="I3696" s="26" t="str">
        <f>IF(OR(E3696="",E3696="!!!",F3696="NEW"),"",INDEX(B3695:B$2,-1+SUMPRODUCT(MAX(ROW(E3695:E$2)*(E3696=E3695:E$2)))))</f>
        <v> </v>
      </c>
      <c r="J3696" s="26" t="str">
        <f>IF(OR(E3696="",E3696="!!!",F3696="NEW"),"",COUNTBLANK(OFFSET(A$1,,,SUMPRODUCT(MAX(ROW(E$2:E3696)*(E3696=E$2:E3696)))))-COUNTBLANK(OFFSET(A$1,,,SUMPRODUCT(MAX(ROW(E$1:E3695)*(E2=E$1:E3695))))))</f>
        <v> </v>
      </c>
      <c r="K3696" s="26" t="str">
        <f>IF(OR(E3696="",E3696="!!!",F3696="NEW"),"",INDEX(J$1:J3695,SUMPRODUCT(MAX(ROW(E$1:E3695)*(E3696=E$1:E3695)))))</f>
        <v> </v>
      </c>
      <c r="L3696" s="27"/>
    </row>
    <row r="3697" spans="1:12">
      <c r="A3697" s="20" t="s">
        <v>1085</v>
      </c>
      <c r="E3697" s="22">
        <f>IF(D3697="?OLD","!!!","")</f>
        <v/>
      </c>
      <c r="F3697" s="23" t="str">
        <f>IF(OR(E3697="",E3697="!!!"),"",IF(NOT(ISNA(VLOOKUP(E3697,E$1:E3696,1,FALSE()))),"OLD",IF(AND(E3697&lt;&gt;"",E3697&lt;&gt;"!!!"),"NEW","")))</f>
        <v> </v>
      </c>
      <c r="G3697" s="24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5" t="str">
        <f>IF(J3697&lt;&gt;1,"",IF(I3697="SBJ","CB","?"))</f>
        <v> </v>
      </c>
      <c r="I3697" s="26" t="str">
        <f>IF(OR(E3697="",E3697="!!!",F3697="NEW"),"",INDEX(B3696:B$2,-1+SUMPRODUCT(MAX(ROW(E3696:E$2)*(E3697=E3696:E$2)))))</f>
        <v> </v>
      </c>
      <c r="J3697" s="26" t="str">
        <f>IF(OR(E3697="",E3697="!!!",F3697="NEW"),"",COUNTBLANK(OFFSET(A$1,,,SUMPRODUCT(MAX(ROW(E$2:E3697)*(E3697=E$2:E3697)))))-COUNTBLANK(OFFSET(A$1,,,SUMPRODUCT(MAX(ROW(E$1:E3696)*(E2=E$1:E3696))))))</f>
        <v> </v>
      </c>
      <c r="K3697" s="26" t="str">
        <f>IF(OR(E3697="",E3697="!!!",F3697="NEW"),"",INDEX(J$1:J3696,SUMPRODUCT(MAX(ROW(E$1:E3696)*(E3697=E$1:E3696)))))</f>
        <v> </v>
      </c>
      <c r="L3697" s="27"/>
    </row>
    <row r="3698" spans="1:12">
      <c r="A3698" s="20" t="s">
        <v>1258</v>
      </c>
      <c r="E3698" s="22">
        <f>IF(D3698="?OLD","!!!","")</f>
        <v/>
      </c>
      <c r="F3698" s="23" t="str">
        <f>IF(OR(E3698="",E3698="!!!"),"",IF(NOT(ISNA(VLOOKUP(E3698,E$1:E3697,1,FALSE()))),"OLD",IF(AND(E3698&lt;&gt;"",E3698&lt;&gt;"!!!"),"NEW","")))</f>
        <v> </v>
      </c>
      <c r="G3698" s="24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5" t="str">
        <f>IF(J3698&lt;&gt;1,"",IF(I3698="SBJ","CB","?"))</f>
        <v> </v>
      </c>
      <c r="I3698" s="26" t="str">
        <f>IF(OR(E3698="",E3698="!!!",F3698="NEW"),"",INDEX(B3697:B$2,-1+SUMPRODUCT(MAX(ROW(E3697:E$2)*(E3698=E3697:E$2)))))</f>
        <v> </v>
      </c>
      <c r="J3698" s="26" t="str">
        <f>IF(OR(E3698="",E3698="!!!",F3698="NEW"),"",COUNTBLANK(OFFSET(A$1,,,SUMPRODUCT(MAX(ROW(E$2:E3698)*(E3698=E$2:E3698)))))-COUNTBLANK(OFFSET(A$1,,,SUMPRODUCT(MAX(ROW(E$1:E3697)*(E2=E$1:E3697))))))</f>
        <v> </v>
      </c>
      <c r="K3698" s="26" t="str">
        <f>IF(OR(E3698="",E3698="!!!",F3698="NEW"),"",INDEX(J$1:J3697,SUMPRODUCT(MAX(ROW(E$1:E3697)*(E3698=E$1:E3697)))))</f>
        <v> </v>
      </c>
      <c r="L3698" s="27"/>
    </row>
    <row r="3699" spans="1:12">
      <c r="A3699" s="20" t="s">
        <v>2188</v>
      </c>
      <c r="B3699" s="21" t="s">
        <v>1161</v>
      </c>
      <c r="C3699" s="21" t="s">
        <v>1081</v>
      </c>
      <c r="D3699" s="21" t="s">
        <v>1074</v>
      </c>
      <c r="E3699" s="22">
        <f>IF(D3699="?OLD","!!!","")</f>
        <v/>
      </c>
      <c r="F3699" s="23" t="str">
        <f>IF(OR(E3699="",E3699="!!!"),"",IF(NOT(ISNA(VLOOKUP(E3699,E$1:E3698,1,FALSE()))),"OLD",IF(AND(E3699&lt;&gt;"",E3699&lt;&gt;"!!!"),"NEW","")))</f>
        <v> </v>
      </c>
      <c r="G3699" s="24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5" t="str">
        <f>IF(J3699&lt;&gt;1,"",IF(I3699="SBJ","CB","?"))</f>
        <v> </v>
      </c>
      <c r="I3699" s="26" t="str">
        <f>IF(OR(E3699="",E3699="!!!",F3699="NEW"),"",INDEX(B3698:B$2,-1+SUMPRODUCT(MAX(ROW(E3698:E$2)*(E3699=E3698:E$2)))))</f>
        <v> </v>
      </c>
      <c r="J3699" s="26" t="str">
        <f>IF(OR(E3699="",E3699="!!!",F3699="NEW"),"",COUNTBLANK(OFFSET(A$1,,,SUMPRODUCT(MAX(ROW(E$2:E3699)*(E3699=E$2:E3699)))))-COUNTBLANK(OFFSET(A$1,,,SUMPRODUCT(MAX(ROW(E$1:E3698)*(E2=E$1:E3698))))))</f>
        <v> </v>
      </c>
      <c r="K3699" s="26" t="str">
        <f>IF(OR(E3699="",E3699="!!!",F3699="NEW"),"",INDEX(J$1:J3698,SUMPRODUCT(MAX(ROW(E$1:E3698)*(E3699=E$1:E3698)))))</f>
        <v> </v>
      </c>
      <c r="L3699" s="27"/>
    </row>
    <row r="3700" spans="1:12">
      <c r="A3700" s="20" t="s">
        <v>1493</v>
      </c>
      <c r="E3700" s="22">
        <f>IF(D3700="?OLD","!!!","")</f>
        <v/>
      </c>
      <c r="F3700" s="23" t="str">
        <f>IF(OR(E3700="",E3700="!!!"),"",IF(NOT(ISNA(VLOOKUP(E3700,E$1:E3699,1,FALSE()))),"OLD",IF(AND(E3700&lt;&gt;"",E3700&lt;&gt;"!!!"),"NEW","")))</f>
        <v> </v>
      </c>
      <c r="G3700" s="24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5" t="str">
        <f>IF(J3700&lt;&gt;1,"",IF(I3700="SBJ","CB","?"))</f>
        <v> </v>
      </c>
      <c r="I3700" s="26" t="str">
        <f>IF(OR(E3700="",E3700="!!!",F3700="NEW"),"",INDEX(B3699:B$2,-1+SUMPRODUCT(MAX(ROW(E3699:E$2)*(E3700=E3699:E$2)))))</f>
        <v> </v>
      </c>
      <c r="J3700" s="26" t="str">
        <f>IF(OR(E3700="",E3700="!!!",F3700="NEW"),"",COUNTBLANK(OFFSET(A$1,,,SUMPRODUCT(MAX(ROW(E$2:E3700)*(E3700=E$2:E3700)))))-COUNTBLANK(OFFSET(A$1,,,SUMPRODUCT(MAX(ROW(E$1:E3699)*(E2=E$1:E3699))))))</f>
        <v> </v>
      </c>
      <c r="K3700" s="26" t="str">
        <f>IF(OR(E3700="",E3700="!!!",F3700="NEW"),"",INDEX(J$1:J3699,SUMPRODUCT(MAX(ROW(E$1:E3699)*(E3700=E$1:E3699)))))</f>
        <v> </v>
      </c>
      <c r="L3700" s="27"/>
    </row>
    <row r="3701" spans="1:12">
      <c r="A3701" s="20" t="s">
        <v>2490</v>
      </c>
      <c r="E3701" s="22">
        <f>IF(D3701="?OLD","!!!","")</f>
        <v/>
      </c>
      <c r="F3701" s="23" t="str">
        <f>IF(OR(E3701="",E3701="!!!"),"",IF(NOT(ISNA(VLOOKUP(E3701,E$1:E3700,1,FALSE()))),"OLD",IF(AND(E3701&lt;&gt;"",E3701&lt;&gt;"!!!"),"NEW","")))</f>
        <v> </v>
      </c>
      <c r="G3701" s="24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5" t="str">
        <f>IF(J3701&lt;&gt;1,"",IF(I3701="SBJ","CB","?"))</f>
        <v> </v>
      </c>
      <c r="I3701" s="26" t="str">
        <f>IF(OR(E3701="",E3701="!!!",F3701="NEW"),"",INDEX(B3700:B$2,-1+SUMPRODUCT(MAX(ROW(E3700:E$2)*(E3701=E3700:E$2)))))</f>
        <v> </v>
      </c>
      <c r="J3701" s="26" t="str">
        <f>IF(OR(E3701="",E3701="!!!",F3701="NEW"),"",COUNTBLANK(OFFSET(A$1,,,SUMPRODUCT(MAX(ROW(E$2:E3701)*(E3701=E$2:E3701)))))-COUNTBLANK(OFFSET(A$1,,,SUMPRODUCT(MAX(ROW(E$1:E3700)*(E2=E$1:E3700))))))</f>
        <v> </v>
      </c>
      <c r="K3701" s="26" t="str">
        <f>IF(OR(E3701="",E3701="!!!",F3701="NEW"),"",INDEX(J$1:J3700,SUMPRODUCT(MAX(ROW(E$1:E3700)*(E3701=E$1:E3700)))))</f>
        <v> </v>
      </c>
      <c r="L3701" s="27"/>
    </row>
    <row r="3702" spans="1:12">
      <c r="A3702" s="20" t="s">
        <v>2491</v>
      </c>
      <c r="E3702" s="22">
        <f>IF(D3702="?OLD","!!!","")</f>
        <v/>
      </c>
      <c r="F3702" s="23" t="str">
        <f>IF(OR(E3702="",E3702="!!!"),"",IF(NOT(ISNA(VLOOKUP(E3702,E$1:E3701,1,FALSE()))),"OLD",IF(AND(E3702&lt;&gt;"",E3702&lt;&gt;"!!!"),"NEW","")))</f>
        <v> </v>
      </c>
      <c r="G3702" s="24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5" t="str">
        <f>IF(J3702&lt;&gt;1,"",IF(I3702="SBJ","CB","?"))</f>
        <v> </v>
      </c>
      <c r="I3702" s="26" t="str">
        <f>IF(OR(E3702="",E3702="!!!",F3702="NEW"),"",INDEX(B3701:B$2,-1+SUMPRODUCT(MAX(ROW(E3701:E$2)*(E3702=E3701:E$2)))))</f>
        <v> </v>
      </c>
      <c r="J3702" s="26" t="str">
        <f>IF(OR(E3702="",E3702="!!!",F3702="NEW"),"",COUNTBLANK(OFFSET(A$1,,,SUMPRODUCT(MAX(ROW(E$2:E3702)*(E3702=E$2:E3702)))))-COUNTBLANK(OFFSET(A$1,,,SUMPRODUCT(MAX(ROW(E$1:E3701)*(E2=E$1:E3701))))))</f>
        <v> </v>
      </c>
      <c r="K3702" s="26" t="str">
        <f>IF(OR(E3702="",E3702="!!!",F3702="NEW"),"",INDEX(J$1:J3701,SUMPRODUCT(MAX(ROW(E$1:E3701)*(E3702=E$1:E3701)))))</f>
        <v> </v>
      </c>
      <c r="L3702" s="27"/>
    </row>
    <row r="3703" spans="1:12">
      <c r="A3703" s="20" t="s">
        <v>1249</v>
      </c>
      <c r="B3703" s="21" t="s">
        <v>1094</v>
      </c>
      <c r="C3703" s="21" t="s">
        <v>1095</v>
      </c>
      <c r="D3703" s="21" t="s">
        <v>1074</v>
      </c>
      <c r="E3703" s="22">
        <f>IF(D3703="?OLD","!!!","")</f>
        <v/>
      </c>
      <c r="F3703" s="23" t="str">
        <f>IF(OR(E3703="",E3703="!!!"),"",IF(NOT(ISNA(VLOOKUP(E3703,E$1:E3702,1,FALSE()))),"OLD",IF(AND(E3703&lt;&gt;"",E3703&lt;&gt;"!!!"),"NEW","")))</f>
        <v> </v>
      </c>
      <c r="G3703" s="24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5" t="str">
        <f>IF(J3703&lt;&gt;1,"",IF(I3703="SBJ","CB","?"))</f>
        <v> </v>
      </c>
      <c r="I3703" s="26" t="str">
        <f>IF(OR(E3703="",E3703="!!!",F3703="NEW"),"",INDEX(B3702:B$2,-1+SUMPRODUCT(MAX(ROW(E3702:E$2)*(E3703=E3702:E$2)))))</f>
        <v> </v>
      </c>
      <c r="J3703" s="26" t="str">
        <f>IF(OR(E3703="",E3703="!!!",F3703="NEW"),"",COUNTBLANK(OFFSET(A$1,,,SUMPRODUCT(MAX(ROW(E$2:E3703)*(E3703=E$2:E3703)))))-COUNTBLANK(OFFSET(A$1,,,SUMPRODUCT(MAX(ROW(E$1:E3702)*(E2=E$1:E3702))))))</f>
        <v> </v>
      </c>
      <c r="K3703" s="26" t="str">
        <f>IF(OR(E3703="",E3703="!!!",F3703="NEW"),"",INDEX(J$1:J3702,SUMPRODUCT(MAX(ROW(E$1:E3702)*(E3703=E$1:E3702)))))</f>
        <v> </v>
      </c>
      <c r="L3703" s="27"/>
    </row>
    <row r="3704" spans="1:12">
      <c r="A3704" s="20" t="s">
        <v>1772</v>
      </c>
      <c r="B3704" s="21" t="s">
        <v>1097</v>
      </c>
      <c r="E3704" s="22">
        <f>IF(D3704="?OLD","!!!","")</f>
        <v/>
      </c>
      <c r="F3704" s="23" t="str">
        <f>IF(OR(E3704="",E3704="!!!"),"",IF(NOT(ISNA(VLOOKUP(E3704,E$1:E3703,1,FALSE()))),"OLD",IF(AND(E3704&lt;&gt;"",E3704&lt;&gt;"!!!"),"NEW","")))</f>
        <v> </v>
      </c>
      <c r="G3704" s="24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5" t="str">
        <f>IF(J3704&lt;&gt;1,"",IF(I3704="SBJ","CB","?"))</f>
        <v> </v>
      </c>
      <c r="I3704" s="26" t="str">
        <f>IF(OR(E3704="",E3704="!!!",F3704="NEW"),"",INDEX(B3703:B$2,-1+SUMPRODUCT(MAX(ROW(E3703:E$2)*(E3704=E3703:E$2)))))</f>
        <v> </v>
      </c>
      <c r="J3704" s="26" t="str">
        <f>IF(OR(E3704="",E3704="!!!",F3704="NEW"),"",COUNTBLANK(OFFSET(A$1,,,SUMPRODUCT(MAX(ROW(E$2:E3704)*(E3704=E$2:E3704)))))-COUNTBLANK(OFFSET(A$1,,,SUMPRODUCT(MAX(ROW(E$1:E3703)*(E2=E$1:E3703))))))</f>
        <v> </v>
      </c>
      <c r="K3704" s="26" t="str">
        <f>IF(OR(E3704="",E3704="!!!",F3704="NEW"),"",INDEX(J$1:J3703,SUMPRODUCT(MAX(ROW(E$1:E3703)*(E3704=E$1:E3703)))))</f>
        <v> </v>
      </c>
      <c r="L3704" s="27"/>
    </row>
    <row r="3705" spans="1:12">
      <c r="A3705" s="20" t="s">
        <v>1106</v>
      </c>
      <c r="E3705" s="22">
        <f>IF(D3705="?OLD","!!!","")</f>
        <v/>
      </c>
      <c r="F3705" s="23" t="str">
        <f>IF(OR(E3705="",E3705="!!!"),"",IF(NOT(ISNA(VLOOKUP(E3705,E$1:E3704,1,FALSE()))),"OLD",IF(AND(E3705&lt;&gt;"",E3705&lt;&gt;"!!!"),"NEW","")))</f>
        <v> </v>
      </c>
      <c r="G3705" s="24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5" t="str">
        <f>IF(J3705&lt;&gt;1,"",IF(I3705="SBJ","CB","?"))</f>
        <v> </v>
      </c>
      <c r="I3705" s="26" t="str">
        <f>IF(OR(E3705="",E3705="!!!",F3705="NEW"),"",INDEX(B3704:B$2,-1+SUMPRODUCT(MAX(ROW(E3704:E$2)*(E3705=E3704:E$2)))))</f>
        <v> </v>
      </c>
      <c r="J3705" s="26" t="str">
        <f>IF(OR(E3705="",E3705="!!!",F3705="NEW"),"",COUNTBLANK(OFFSET(A$1,,,SUMPRODUCT(MAX(ROW(E$2:E3705)*(E3705=E$2:E3705)))))-COUNTBLANK(OFFSET(A$1,,,SUMPRODUCT(MAX(ROW(E$1:E3704)*(E2=E$1:E3704))))))</f>
        <v> </v>
      </c>
      <c r="K3705" s="26" t="str">
        <f>IF(OR(E3705="",E3705="!!!",F3705="NEW"),"",INDEX(J$1:J3704,SUMPRODUCT(MAX(ROW(E$1:E3704)*(E3705=E$1:E3704)))))</f>
        <v> </v>
      </c>
      <c r="L3705" s="27"/>
    </row>
    <row r="3706" spans="1:12">
      <c r="A3706" s="20"/>
    </row>
    <row r="3707" spans="1:12">
      <c r="A3707" s="20" t="s">
        <v>2492</v>
      </c>
    </row>
    <row r="3708" spans="1:12">
      <c r="A3708" s="20" t="s">
        <v>2493</v>
      </c>
      <c r="B3708" s="21" t="s">
        <v>1109</v>
      </c>
      <c r="E3708" s="22">
        <f>IF(D3708="?OLD","!!!","")</f>
        <v/>
      </c>
      <c r="F3708" s="23" t="str">
        <f>IF(OR(E3708="",E3708="!!!"),"",IF(NOT(ISNA(VLOOKUP(E3708,E$1:E3707,1,FALSE()))),"OLD",IF(AND(E3708&lt;&gt;"",E3708&lt;&gt;"!!!"),"NEW","")))</f>
        <v> </v>
      </c>
      <c r="G3708" s="24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5" t="str">
        <f>IF(J3708&lt;&gt;1,"",IF(I3708="SBJ","CB","?"))</f>
        <v> </v>
      </c>
      <c r="I3708" s="26" t="str">
        <f>IF(OR(E3708="",E3708="!!!",F3708="NEW"),"",INDEX(B3707:B$2,-1+SUMPRODUCT(MAX(ROW(E3707:E$2)*(E3708=E3707:E$2)))))</f>
        <v> </v>
      </c>
      <c r="J3708" s="26" t="str">
        <f>IF(OR(E3708="",E3708="!!!",F3708="NEW"),"",COUNTBLANK(OFFSET(A$1,,,SUMPRODUCT(MAX(ROW(E$2:E3708)*(E3708=E$2:E3708)))))-COUNTBLANK(OFFSET(A$1,,,SUMPRODUCT(MAX(ROW(E$1:E3707)*(E2=E$1:E3707))))))</f>
        <v> </v>
      </c>
      <c r="K3708" s="26" t="str">
        <f>IF(OR(E3708="",E3708="!!!",F3708="NEW"),"",INDEX(J$1:J3707,SUMPRODUCT(MAX(ROW(E$1:E3707)*(E3708=E$1:E3707)))))</f>
        <v> </v>
      </c>
      <c r="L3708" s="27"/>
    </row>
    <row r="3709" spans="1:12">
      <c r="A3709" s="20" t="s">
        <v>1089</v>
      </c>
      <c r="E3709" s="22">
        <f>IF(D3709="?OLD","!!!","")</f>
        <v/>
      </c>
      <c r="F3709" s="23" t="str">
        <f>IF(OR(E3709="",E3709="!!!"),"",IF(NOT(ISNA(VLOOKUP(E3709,E$1:E3708,1,FALSE()))),"OLD",IF(AND(E3709&lt;&gt;"",E3709&lt;&gt;"!!!"),"NEW","")))</f>
        <v> </v>
      </c>
      <c r="G3709" s="24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5" t="str">
        <f>IF(J3709&lt;&gt;1,"",IF(I3709="SBJ","CB","?"))</f>
        <v> </v>
      </c>
      <c r="I3709" s="26" t="str">
        <f>IF(OR(E3709="",E3709="!!!",F3709="NEW"),"",INDEX(B3708:B$2,-1+SUMPRODUCT(MAX(ROW(E3708:E$2)*(E3709=E3708:E$2)))))</f>
        <v> </v>
      </c>
      <c r="J3709" s="26" t="str">
        <f>IF(OR(E3709="",E3709="!!!",F3709="NEW"),"",COUNTBLANK(OFFSET(A$1,,,SUMPRODUCT(MAX(ROW(E$2:E3709)*(E3709=E$2:E3709)))))-COUNTBLANK(OFFSET(A$1,,,SUMPRODUCT(MAX(ROW(E$1:E3708)*(E2=E$1:E3708))))))</f>
        <v> </v>
      </c>
      <c r="K3709" s="26" t="str">
        <f>IF(OR(E3709="",E3709="!!!",F3709="NEW"),"",INDEX(J$1:J3708,SUMPRODUCT(MAX(ROW(E$1:E3708)*(E3709=E$1:E3708)))))</f>
        <v> </v>
      </c>
      <c r="L3709" s="27"/>
    </row>
    <row r="3710" spans="1:12">
      <c r="A3710" s="20" t="s">
        <v>1881</v>
      </c>
      <c r="E3710" s="22">
        <f>IF(D3710="?OLD","!!!","")</f>
        <v/>
      </c>
      <c r="F3710" s="23" t="str">
        <f>IF(OR(E3710="",E3710="!!!"),"",IF(NOT(ISNA(VLOOKUP(E3710,E$1:E3709,1,FALSE()))),"OLD",IF(AND(E3710&lt;&gt;"",E3710&lt;&gt;"!!!"),"NEW","")))</f>
        <v> </v>
      </c>
      <c r="G3710" s="24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5" t="str">
        <f>IF(J3710&lt;&gt;1,"",IF(I3710="SBJ","CB","?"))</f>
        <v> </v>
      </c>
      <c r="I3710" s="26" t="str">
        <f>IF(OR(E3710="",E3710="!!!",F3710="NEW"),"",INDEX(B3709:B$2,-1+SUMPRODUCT(MAX(ROW(E3709:E$2)*(E3710=E3709:E$2)))))</f>
        <v> </v>
      </c>
      <c r="J3710" s="26" t="str">
        <f>IF(OR(E3710="",E3710="!!!",F3710="NEW"),"",COUNTBLANK(OFFSET(A$1,,,SUMPRODUCT(MAX(ROW(E$2:E3710)*(E3710=E$2:E3710)))))-COUNTBLANK(OFFSET(A$1,,,SUMPRODUCT(MAX(ROW(E$1:E3709)*(E2=E$1:E3709))))))</f>
        <v> </v>
      </c>
      <c r="K3710" s="26" t="str">
        <f>IF(OR(E3710="",E3710="!!!",F3710="NEW"),"",INDEX(J$1:J3709,SUMPRODUCT(MAX(ROW(E$1:E3709)*(E3710=E$1:E3709)))))</f>
        <v> </v>
      </c>
      <c r="L3710" s="27"/>
    </row>
    <row r="3711" spans="1:12">
      <c r="A3711" s="20" t="s">
        <v>1321</v>
      </c>
      <c r="B3711" s="21" t="s">
        <v>1080</v>
      </c>
      <c r="C3711" s="21" t="s">
        <v>1154</v>
      </c>
      <c r="D3711" s="21" t="s">
        <v>1074</v>
      </c>
      <c r="E3711" s="22">
        <f>IF(D3711="?OLD","!!!","")</f>
        <v/>
      </c>
      <c r="F3711" s="23" t="str">
        <f>IF(OR(E3711="",E3711="!!!"),"",IF(NOT(ISNA(VLOOKUP(E3711,E$1:E3710,1,FALSE()))),"OLD",IF(AND(E3711&lt;&gt;"",E3711&lt;&gt;"!!!"),"NEW","")))</f>
        <v> </v>
      </c>
      <c r="G3711" s="24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5" t="str">
        <f>IF(J3711&lt;&gt;1,"",IF(I3711="SBJ","CB","?"))</f>
        <v> </v>
      </c>
      <c r="I3711" s="26" t="str">
        <f>IF(OR(E3711="",E3711="!!!",F3711="NEW"),"",INDEX(B3710:B$2,-1+SUMPRODUCT(MAX(ROW(E3710:E$2)*(E3711=E3710:E$2)))))</f>
        <v> </v>
      </c>
      <c r="J3711" s="26" t="str">
        <f>IF(OR(E3711="",E3711="!!!",F3711="NEW"),"",COUNTBLANK(OFFSET(A$1,,,SUMPRODUCT(MAX(ROW(E$2:E3711)*(E3711=E$2:E3711)))))-COUNTBLANK(OFFSET(A$1,,,SUMPRODUCT(MAX(ROW(E$1:E3710)*(E2=E$1:E3710))))))</f>
        <v> </v>
      </c>
      <c r="K3711" s="26" t="str">
        <f>IF(OR(E3711="",E3711="!!!",F3711="NEW"),"",INDEX(J$1:J3710,SUMPRODUCT(MAX(ROW(E$1:E3710)*(E3711=E$1:E3710)))))</f>
        <v> </v>
      </c>
      <c r="L3711" s="27"/>
    </row>
    <row r="3712" spans="1:12">
      <c r="A3712" s="20" t="s">
        <v>1206</v>
      </c>
      <c r="E3712" s="22">
        <f>IF(D3712="?OLD","!!!","")</f>
        <v/>
      </c>
      <c r="F3712" s="23" t="str">
        <f>IF(OR(E3712="",E3712="!!!"),"",IF(NOT(ISNA(VLOOKUP(E3712,E$1:E3711,1,FALSE()))),"OLD",IF(AND(E3712&lt;&gt;"",E3712&lt;&gt;"!!!"),"NEW","")))</f>
        <v> </v>
      </c>
      <c r="G3712" s="24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5" t="str">
        <f>IF(J3712&lt;&gt;1,"",IF(I3712="SBJ","CB","?"))</f>
        <v> </v>
      </c>
      <c r="I3712" s="26" t="str">
        <f>IF(OR(E3712="",E3712="!!!",F3712="NEW"),"",INDEX(B3711:B$2,-1+SUMPRODUCT(MAX(ROW(E3711:E$2)*(E3712=E3711:E$2)))))</f>
        <v> </v>
      </c>
      <c r="J3712" s="26" t="str">
        <f>IF(OR(E3712="",E3712="!!!",F3712="NEW"),"",COUNTBLANK(OFFSET(A$1,,,SUMPRODUCT(MAX(ROW(E$2:E3712)*(E3712=E$2:E3712)))))-COUNTBLANK(OFFSET(A$1,,,SUMPRODUCT(MAX(ROW(E$1:E3711)*(E2=E$1:E3711))))))</f>
        <v> </v>
      </c>
      <c r="K3712" s="26" t="str">
        <f>IF(OR(E3712="",E3712="!!!",F3712="NEW"),"",INDEX(J$1:J3711,SUMPRODUCT(MAX(ROW(E$1:E3711)*(E3712=E$1:E3711)))))</f>
        <v> </v>
      </c>
      <c r="L3712" s="27"/>
    </row>
    <row r="3713" spans="1:12">
      <c r="A3713" s="20" t="s">
        <v>1106</v>
      </c>
      <c r="E3713" s="22">
        <f>IF(D3713="?OLD","!!!","")</f>
        <v/>
      </c>
      <c r="F3713" s="23" t="str">
        <f>IF(OR(E3713="",E3713="!!!"),"",IF(NOT(ISNA(VLOOKUP(E3713,E$1:E3712,1,FALSE()))),"OLD",IF(AND(E3713&lt;&gt;"",E3713&lt;&gt;"!!!"),"NEW","")))</f>
        <v> </v>
      </c>
      <c r="G3713" s="24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5" t="str">
        <f>IF(J3713&lt;&gt;1,"",IF(I3713="SBJ","CB","?"))</f>
        <v> </v>
      </c>
      <c r="I3713" s="26" t="str">
        <f>IF(OR(E3713="",E3713="!!!",F3713="NEW"),"",INDEX(B3712:B$2,-1+SUMPRODUCT(MAX(ROW(E3712:E$2)*(E3713=E3712:E$2)))))</f>
        <v> </v>
      </c>
      <c r="J3713" s="26" t="str">
        <f>IF(OR(E3713="",E3713="!!!",F3713="NEW"),"",COUNTBLANK(OFFSET(A$1,,,SUMPRODUCT(MAX(ROW(E$2:E3713)*(E3713=E$2:E3713)))))-COUNTBLANK(OFFSET(A$1,,,SUMPRODUCT(MAX(ROW(E$1:E3712)*(E2=E$1:E3712))))))</f>
        <v> </v>
      </c>
      <c r="K3713" s="26" t="str">
        <f>IF(OR(E3713="",E3713="!!!",F3713="NEW"),"",INDEX(J$1:J3712,SUMPRODUCT(MAX(ROW(E$1:E3712)*(E3713=E$1:E3712)))))</f>
        <v> </v>
      </c>
      <c r="L3713" s="27"/>
    </row>
    <row r="3714" spans="1:12">
      <c r="A3714" s="20"/>
    </row>
    <row r="3715" spans="1:12">
      <c r="A3715" s="20" t="s">
        <v>2494</v>
      </c>
    </row>
    <row r="3716" spans="1:12">
      <c r="A3716" s="20" t="s">
        <v>2495</v>
      </c>
      <c r="E3716" s="22">
        <f>IF(D3716="?OLD","!!!","")</f>
        <v/>
      </c>
      <c r="F3716" s="23" t="str">
        <f>IF(OR(E3716="",E3716="!!!"),"",IF(NOT(ISNA(VLOOKUP(E3716,E$1:E3715,1,FALSE()))),"OLD",IF(AND(E3716&lt;&gt;"",E3716&lt;&gt;"!!!"),"NEW","")))</f>
        <v> </v>
      </c>
      <c r="G3716" s="24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5" t="str">
        <f>IF(J3716&lt;&gt;1,"",IF(I3716="SBJ","CB","?"))</f>
        <v> </v>
      </c>
      <c r="I3716" s="26" t="str">
        <f>IF(OR(E3716="",E3716="!!!",F3716="NEW"),"",INDEX(B3715:B$2,-1+SUMPRODUCT(MAX(ROW(E3715:E$2)*(E3716=E3715:E$2)))))</f>
        <v> </v>
      </c>
      <c r="J3716" s="26" t="str">
        <f>IF(OR(E3716="",E3716="!!!",F3716="NEW"),"",COUNTBLANK(OFFSET(A$1,,,SUMPRODUCT(MAX(ROW(E$2:E3716)*(E3716=E$2:E3716)))))-COUNTBLANK(OFFSET(A$1,,,SUMPRODUCT(MAX(ROW(E$1:E3715)*(E2=E$1:E3715))))))</f>
        <v> </v>
      </c>
      <c r="K3716" s="26" t="str">
        <f>IF(OR(E3716="",E3716="!!!",F3716="NEW"),"",INDEX(J$1:J3715,SUMPRODUCT(MAX(ROW(E$1:E3715)*(E3716=E$1:E3715)))))</f>
        <v> </v>
      </c>
      <c r="L3716" s="27"/>
    </row>
    <row r="3717" spans="1:12">
      <c r="A3717" s="20" t="s">
        <v>1166</v>
      </c>
      <c r="B3717" s="21" t="s">
        <v>1109</v>
      </c>
      <c r="E3717" s="22">
        <f>IF(D3717="?OLD","!!!","")</f>
        <v/>
      </c>
      <c r="F3717" s="23" t="str">
        <f>IF(OR(E3717="",E3717="!!!"),"",IF(NOT(ISNA(VLOOKUP(E3717,E$1:E3716,1,FALSE()))),"OLD",IF(AND(E3717&lt;&gt;"",E3717&lt;&gt;"!!!"),"NEW","")))</f>
        <v> </v>
      </c>
      <c r="G3717" s="24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5" t="str">
        <f>IF(J3717&lt;&gt;1,"",IF(I3717="SBJ","CB","?"))</f>
        <v> </v>
      </c>
      <c r="I3717" s="26" t="str">
        <f>IF(OR(E3717="",E3717="!!!",F3717="NEW"),"",INDEX(B3716:B$2,-1+SUMPRODUCT(MAX(ROW(E3716:E$2)*(E3717=E3716:E$2)))))</f>
        <v> </v>
      </c>
      <c r="J3717" s="26" t="str">
        <f>IF(OR(E3717="",E3717="!!!",F3717="NEW"),"",COUNTBLANK(OFFSET(A$1,,,SUMPRODUCT(MAX(ROW(E$2:E3717)*(E3717=E$2:E3717)))))-COUNTBLANK(OFFSET(A$1,,,SUMPRODUCT(MAX(ROW(E$1:E3716)*(E2=E$1:E3716))))))</f>
        <v> </v>
      </c>
      <c r="K3717" s="26" t="str">
        <f>IF(OR(E3717="",E3717="!!!",F3717="NEW"),"",INDEX(J$1:J3716,SUMPRODUCT(MAX(ROW(E$1:E3716)*(E3717=E$1:E3716)))))</f>
        <v> </v>
      </c>
      <c r="L3717" s="27"/>
    </row>
    <row r="3718" spans="1:12">
      <c r="A3718" s="20" t="s">
        <v>1106</v>
      </c>
      <c r="E3718" s="22">
        <f>IF(D3718="?OLD","!!!","")</f>
        <v/>
      </c>
      <c r="F3718" s="23" t="str">
        <f>IF(OR(E3718="",E3718="!!!"),"",IF(NOT(ISNA(VLOOKUP(E3718,E$1:E3717,1,FALSE()))),"OLD",IF(AND(E3718&lt;&gt;"",E3718&lt;&gt;"!!!"),"NEW","")))</f>
        <v> </v>
      </c>
      <c r="G3718" s="24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5" t="str">
        <f>IF(J3718&lt;&gt;1,"",IF(I3718="SBJ","CB","?"))</f>
        <v> </v>
      </c>
      <c r="I3718" s="26" t="str">
        <f>IF(OR(E3718="",E3718="!!!",F3718="NEW"),"",INDEX(B3717:B$2,-1+SUMPRODUCT(MAX(ROW(E3717:E$2)*(E3718=E3717:E$2)))))</f>
        <v> </v>
      </c>
      <c r="J3718" s="26" t="str">
        <f>IF(OR(E3718="",E3718="!!!",F3718="NEW"),"",COUNTBLANK(OFFSET(A$1,,,SUMPRODUCT(MAX(ROW(E$2:E3718)*(E3718=E$2:E3718)))))-COUNTBLANK(OFFSET(A$1,,,SUMPRODUCT(MAX(ROW(E$1:E3717)*(E2=E$1:E3717))))))</f>
        <v> </v>
      </c>
      <c r="K3718" s="26" t="str">
        <f>IF(OR(E3718="",E3718="!!!",F3718="NEW"),"",INDEX(J$1:J3717,SUMPRODUCT(MAX(ROW(E$1:E3717)*(E3718=E$1:E3717)))))</f>
        <v> </v>
      </c>
      <c r="L3718" s="27"/>
    </row>
    <row r="3719" spans="1:12">
      <c r="A3719" s="20"/>
    </row>
    <row r="3720" spans="1:12">
      <c r="A3720" s="20" t="s">
        <v>2496</v>
      </c>
    </row>
    <row r="3721" spans="1:12">
      <c r="A3721" s="20" t="s">
        <v>1268</v>
      </c>
      <c r="E3721" s="22">
        <f>IF(D3721="?OLD","!!!","")</f>
        <v/>
      </c>
      <c r="F3721" s="23" t="str">
        <f>IF(OR(E3721="",E3721="!!!"),"",IF(NOT(ISNA(VLOOKUP(E3721,E$1:E3720,1,FALSE()))),"OLD",IF(AND(E3721&lt;&gt;"",E3721&lt;&gt;"!!!"),"NEW","")))</f>
        <v> </v>
      </c>
      <c r="G3721" s="24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5" t="str">
        <f>IF(J3721&lt;&gt;1,"",IF(I3721="SBJ","CB","?"))</f>
        <v> </v>
      </c>
      <c r="I3721" s="26" t="str">
        <f>IF(OR(E3721="",E3721="!!!",F3721="NEW"),"",INDEX(B3720:B$2,-1+SUMPRODUCT(MAX(ROW(E3720:E$2)*(E3721=E3720:E$2)))))</f>
        <v> </v>
      </c>
      <c r="J3721" s="26" t="str">
        <f>IF(OR(E3721="",E3721="!!!",F3721="NEW"),"",COUNTBLANK(OFFSET(A$1,,,SUMPRODUCT(MAX(ROW(E$2:E3721)*(E3721=E$2:E3721)))))-COUNTBLANK(OFFSET(A$1,,,SUMPRODUCT(MAX(ROW(E$1:E3720)*(E2=E$1:E3720))))))</f>
        <v> </v>
      </c>
      <c r="K3721" s="26" t="str">
        <f>IF(OR(E3721="",E3721="!!!",F3721="NEW"),"",INDEX(J$1:J3720,SUMPRODUCT(MAX(ROW(E$1:E3720)*(E3721=E$1:E3720)))))</f>
        <v> </v>
      </c>
      <c r="L3721" s="27"/>
    </row>
    <row r="3722" spans="1:12">
      <c r="A3722" s="20" t="s">
        <v>1085</v>
      </c>
      <c r="E3722" s="22">
        <f>IF(D3722="?OLD","!!!","")</f>
        <v/>
      </c>
      <c r="F3722" s="23" t="str">
        <f>IF(OR(E3722="",E3722="!!!"),"",IF(NOT(ISNA(VLOOKUP(E3722,E$1:E3721,1,FALSE()))),"OLD",IF(AND(E3722&lt;&gt;"",E3722&lt;&gt;"!!!"),"NEW","")))</f>
        <v> </v>
      </c>
      <c r="G3722" s="24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5" t="str">
        <f>IF(J3722&lt;&gt;1,"",IF(I3722="SBJ","CB","?"))</f>
        <v> </v>
      </c>
      <c r="I3722" s="26" t="str">
        <f>IF(OR(E3722="",E3722="!!!",F3722="NEW"),"",INDEX(B3721:B$2,-1+SUMPRODUCT(MAX(ROW(E3721:E$2)*(E3722=E3721:E$2)))))</f>
        <v> </v>
      </c>
      <c r="J3722" s="26" t="str">
        <f>IF(OR(E3722="",E3722="!!!",F3722="NEW"),"",COUNTBLANK(OFFSET(A$1,,,SUMPRODUCT(MAX(ROW(E$2:E3722)*(E3722=E$2:E3722)))))-COUNTBLANK(OFFSET(A$1,,,SUMPRODUCT(MAX(ROW(E$1:E3721)*(E2=E$1:E3721))))))</f>
        <v> </v>
      </c>
      <c r="K3722" s="26" t="str">
        <f>IF(OR(E3722="",E3722="!!!",F3722="NEW"),"",INDEX(J$1:J3721,SUMPRODUCT(MAX(ROW(E$1:E3721)*(E3722=E$1:E3721)))))</f>
        <v> </v>
      </c>
      <c r="L3722" s="27"/>
    </row>
    <row r="3723" spans="1:12">
      <c r="A3723" s="20" t="s">
        <v>1269</v>
      </c>
      <c r="E3723" s="22">
        <f>IF(D3723="?OLD","!!!","")</f>
        <v/>
      </c>
      <c r="F3723" s="23" t="str">
        <f>IF(OR(E3723="",E3723="!!!"),"",IF(NOT(ISNA(VLOOKUP(E3723,E$1:E3722,1,FALSE()))),"OLD",IF(AND(E3723&lt;&gt;"",E3723&lt;&gt;"!!!"),"NEW","")))</f>
        <v> </v>
      </c>
      <c r="G3723" s="24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5" t="str">
        <f>IF(J3723&lt;&gt;1,"",IF(I3723="SBJ","CB","?"))</f>
        <v> </v>
      </c>
      <c r="I3723" s="26" t="str">
        <f>IF(OR(E3723="",E3723="!!!",F3723="NEW"),"",INDEX(B3722:B$2,-1+SUMPRODUCT(MAX(ROW(E3722:E$2)*(E3723=E3722:E$2)))))</f>
        <v> </v>
      </c>
      <c r="J3723" s="26" t="str">
        <f>IF(OR(E3723="",E3723="!!!",F3723="NEW"),"",COUNTBLANK(OFFSET(A$1,,,SUMPRODUCT(MAX(ROW(E$2:E3723)*(E3723=E$2:E3723)))))-COUNTBLANK(OFFSET(A$1,,,SUMPRODUCT(MAX(ROW(E$1:E3722)*(E2=E$1:E3722))))))</f>
        <v> </v>
      </c>
      <c r="K3723" s="26" t="str">
        <f>IF(OR(E3723="",E3723="!!!",F3723="NEW"),"",INDEX(J$1:J3722,SUMPRODUCT(MAX(ROW(E$1:E3722)*(E3723=E$1:E3722)))))</f>
        <v> </v>
      </c>
      <c r="L3723" s="27"/>
    </row>
    <row r="3724" spans="1:12">
      <c r="A3724" s="20" t="s">
        <v>1336</v>
      </c>
      <c r="B3724" s="21" t="s">
        <v>1080</v>
      </c>
      <c r="C3724" s="21" t="s">
        <v>1081</v>
      </c>
      <c r="D3724" s="21" t="s">
        <v>1074</v>
      </c>
      <c r="E3724" s="22">
        <f>IF(D3724="?OLD","!!!","")</f>
        <v/>
      </c>
      <c r="F3724" s="23" t="str">
        <f>IF(OR(E3724="",E3724="!!!"),"",IF(NOT(ISNA(VLOOKUP(E3724,E$1:E3723,1,FALSE()))),"OLD",IF(AND(E3724&lt;&gt;"",E3724&lt;&gt;"!!!"),"NEW","")))</f>
        <v> </v>
      </c>
      <c r="G3724" s="24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5" t="str">
        <f>IF(J3724&lt;&gt;1,"",IF(I3724="SBJ","CB","?"))</f>
        <v> </v>
      </c>
      <c r="I3724" s="26" t="str">
        <f>IF(OR(E3724="",E3724="!!!",F3724="NEW"),"",INDEX(B3723:B$2,-1+SUMPRODUCT(MAX(ROW(E3723:E$2)*(E3724=E3723:E$2)))))</f>
        <v> </v>
      </c>
      <c r="J3724" s="26" t="str">
        <f>IF(OR(E3724="",E3724="!!!",F3724="NEW"),"",COUNTBLANK(OFFSET(A$1,,,SUMPRODUCT(MAX(ROW(E$2:E3724)*(E3724=E$2:E3724)))))-COUNTBLANK(OFFSET(A$1,,,SUMPRODUCT(MAX(ROW(E$1:E3723)*(E2=E$1:E3723))))))</f>
        <v> </v>
      </c>
      <c r="K3724" s="26" t="str">
        <f>IF(OR(E3724="",E3724="!!!",F3724="NEW"),"",INDEX(J$1:J3723,SUMPRODUCT(MAX(ROW(E$1:E3723)*(E3724=E$1:E3723)))))</f>
        <v> </v>
      </c>
      <c r="L3724" s="27"/>
    </row>
    <row r="3725" spans="1:12">
      <c r="A3725" s="20" t="s">
        <v>2497</v>
      </c>
      <c r="E3725" s="22">
        <f>IF(D3725="?OLD","!!!","")</f>
        <v/>
      </c>
      <c r="F3725" s="23" t="str">
        <f>IF(OR(E3725="",E3725="!!!"),"",IF(NOT(ISNA(VLOOKUP(E3725,E$1:E3724,1,FALSE()))),"OLD",IF(AND(E3725&lt;&gt;"",E3725&lt;&gt;"!!!"),"NEW","")))</f>
        <v> </v>
      </c>
      <c r="G3725" s="24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5" t="str">
        <f>IF(J3725&lt;&gt;1,"",IF(I3725="SBJ","CB","?"))</f>
        <v> </v>
      </c>
      <c r="I3725" s="26" t="str">
        <f>IF(OR(E3725="",E3725="!!!",F3725="NEW"),"",INDEX(B3724:B$2,-1+SUMPRODUCT(MAX(ROW(E3724:E$2)*(E3725=E3724:E$2)))))</f>
        <v> </v>
      </c>
      <c r="J3725" s="26" t="str">
        <f>IF(OR(E3725="",E3725="!!!",F3725="NEW"),"",COUNTBLANK(OFFSET(A$1,,,SUMPRODUCT(MAX(ROW(E$2:E3725)*(E3725=E$2:E3725)))))-COUNTBLANK(OFFSET(A$1,,,SUMPRODUCT(MAX(ROW(E$1:E3724)*(E2=E$1:E3724))))))</f>
        <v> </v>
      </c>
      <c r="K3725" s="26" t="str">
        <f>IF(OR(E3725="",E3725="!!!",F3725="NEW"),"",INDEX(J$1:J3724,SUMPRODUCT(MAX(ROW(E$1:E3724)*(E3725=E$1:E3724)))))</f>
        <v> </v>
      </c>
      <c r="L3725" s="27"/>
    </row>
    <row r="3726" spans="1:12">
      <c r="A3726" s="20" t="s">
        <v>2498</v>
      </c>
      <c r="E3726" s="22">
        <f>IF(D3726="?OLD","!!!","")</f>
        <v/>
      </c>
      <c r="F3726" s="23" t="str">
        <f>IF(OR(E3726="",E3726="!!!"),"",IF(NOT(ISNA(VLOOKUP(E3726,E$1:E3725,1,FALSE()))),"OLD",IF(AND(E3726&lt;&gt;"",E3726&lt;&gt;"!!!"),"NEW","")))</f>
        <v> </v>
      </c>
      <c r="G3726" s="24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5" t="str">
        <f>IF(J3726&lt;&gt;1,"",IF(I3726="SBJ","CB","?"))</f>
        <v> </v>
      </c>
      <c r="I3726" s="26" t="str">
        <f>IF(OR(E3726="",E3726="!!!",F3726="NEW"),"",INDEX(B3725:B$2,-1+SUMPRODUCT(MAX(ROW(E3725:E$2)*(E3726=E3725:E$2)))))</f>
        <v> </v>
      </c>
      <c r="J3726" s="26" t="str">
        <f>IF(OR(E3726="",E3726="!!!",F3726="NEW"),"",COUNTBLANK(OFFSET(A$1,,,SUMPRODUCT(MAX(ROW(E$2:E3726)*(E3726=E$2:E3726)))))-COUNTBLANK(OFFSET(A$1,,,SUMPRODUCT(MAX(ROW(E$1:E3725)*(E2=E$1:E3725))))))</f>
        <v> </v>
      </c>
      <c r="K3726" s="26" t="str">
        <f>IF(OR(E3726="",E3726="!!!",F3726="NEW"),"",INDEX(J$1:J3725,SUMPRODUCT(MAX(ROW(E$1:E3725)*(E3726=E$1:E3725)))))</f>
        <v> </v>
      </c>
      <c r="L3726" s="27"/>
    </row>
    <row r="3727" spans="1:12">
      <c r="A3727" s="20" t="s">
        <v>1461</v>
      </c>
      <c r="E3727" s="22">
        <f>IF(D3727="?OLD","!!!","")</f>
        <v/>
      </c>
      <c r="F3727" s="23" t="str">
        <f>IF(OR(E3727="",E3727="!!!"),"",IF(NOT(ISNA(VLOOKUP(E3727,E$1:E3726,1,FALSE()))),"OLD",IF(AND(E3727&lt;&gt;"",E3727&lt;&gt;"!!!"),"NEW","")))</f>
        <v> </v>
      </c>
      <c r="G3727" s="24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5" t="str">
        <f>IF(J3727&lt;&gt;1,"",IF(I3727="SBJ","CB","?"))</f>
        <v> </v>
      </c>
      <c r="I3727" s="26" t="str">
        <f>IF(OR(E3727="",E3727="!!!",F3727="NEW"),"",INDEX(B3726:B$2,-1+SUMPRODUCT(MAX(ROW(E3726:E$2)*(E3727=E3726:E$2)))))</f>
        <v> </v>
      </c>
      <c r="J3727" s="26" t="str">
        <f>IF(OR(E3727="",E3727="!!!",F3727="NEW"),"",COUNTBLANK(OFFSET(A$1,,,SUMPRODUCT(MAX(ROW(E$2:E3727)*(E3727=E$2:E3727)))))-COUNTBLANK(OFFSET(A$1,,,SUMPRODUCT(MAX(ROW(E$1:E3726)*(E2=E$1:E3726))))))</f>
        <v> </v>
      </c>
      <c r="K3727" s="26" t="str">
        <f>IF(OR(E3727="",E3727="!!!",F3727="NEW"),"",INDEX(J$1:J3726,SUMPRODUCT(MAX(ROW(E$1:E3726)*(E3727=E$1:E3726)))))</f>
        <v> </v>
      </c>
      <c r="L3727" s="27"/>
    </row>
    <row r="3728" spans="1:12">
      <c r="A3728" s="20" t="s">
        <v>2005</v>
      </c>
      <c r="E3728" s="22">
        <f>IF(D3728="?OLD","!!!","")</f>
        <v/>
      </c>
      <c r="F3728" s="23" t="str">
        <f>IF(OR(E3728="",E3728="!!!"),"",IF(NOT(ISNA(VLOOKUP(E3728,E$1:E3727,1,FALSE()))),"OLD",IF(AND(E3728&lt;&gt;"",E3728&lt;&gt;"!!!"),"NEW","")))</f>
        <v> </v>
      </c>
      <c r="G3728" s="24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5" t="str">
        <f>IF(J3728&lt;&gt;1,"",IF(I3728="SBJ","CB","?"))</f>
        <v> </v>
      </c>
      <c r="I3728" s="26" t="str">
        <f>IF(OR(E3728="",E3728="!!!",F3728="NEW"),"",INDEX(B3727:B$2,-1+SUMPRODUCT(MAX(ROW(E3727:E$2)*(E3728=E3727:E$2)))))</f>
        <v> </v>
      </c>
      <c r="J3728" s="26" t="str">
        <f>IF(OR(E3728="",E3728="!!!",F3728="NEW"),"",COUNTBLANK(OFFSET(A$1,,,SUMPRODUCT(MAX(ROW(E$2:E3728)*(E3728=E$2:E3728)))))-COUNTBLANK(OFFSET(A$1,,,SUMPRODUCT(MAX(ROW(E$1:E3727)*(E2=E$1:E3727))))))</f>
        <v> </v>
      </c>
      <c r="K3728" s="26" t="str">
        <f>IF(OR(E3728="",E3728="!!!",F3728="NEW"),"",INDEX(J$1:J3727,SUMPRODUCT(MAX(ROW(E$1:E3727)*(E3728=E$1:E3727)))))</f>
        <v> </v>
      </c>
      <c r="L3728" s="27"/>
    </row>
    <row r="3729" spans="1:12">
      <c r="A3729" s="20" t="s">
        <v>1439</v>
      </c>
      <c r="B3729" s="21" t="s">
        <v>1199</v>
      </c>
      <c r="C3729" s="21" t="s">
        <v>1103</v>
      </c>
      <c r="E3729" s="22">
        <f>IF(D3729="?OLD","!!!","")</f>
        <v/>
      </c>
      <c r="F3729" s="23" t="str">
        <f>IF(OR(E3729="",E3729="!!!"),"",IF(NOT(ISNA(VLOOKUP(E3729,E$1:E3728,1,FALSE()))),"OLD",IF(AND(E3729&lt;&gt;"",E3729&lt;&gt;"!!!"),"NEW","")))</f>
        <v> </v>
      </c>
      <c r="G3729" s="24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5" t="str">
        <f>IF(J3729&lt;&gt;1,"",IF(I3729="SBJ","CB","?"))</f>
        <v> </v>
      </c>
      <c r="I3729" s="26" t="str">
        <f>IF(OR(E3729="",E3729="!!!",F3729="NEW"),"",INDEX(B3728:B$2,-1+SUMPRODUCT(MAX(ROW(E3728:E$2)*(E3729=E3728:E$2)))))</f>
        <v> </v>
      </c>
      <c r="J3729" s="26" t="str">
        <f>IF(OR(E3729="",E3729="!!!",F3729="NEW"),"",COUNTBLANK(OFFSET(A$1,,,SUMPRODUCT(MAX(ROW(E$2:E3729)*(E3729=E$2:E3729)))))-COUNTBLANK(OFFSET(A$1,,,SUMPRODUCT(MAX(ROW(E$1:E3728)*(E2=E$1:E3728))))))</f>
        <v> </v>
      </c>
      <c r="K3729" s="26" t="str">
        <f>IF(OR(E3729="",E3729="!!!",F3729="NEW"),"",INDEX(J$1:J3728,SUMPRODUCT(MAX(ROW(E$1:E3728)*(E3729=E$1:E3728)))))</f>
        <v> </v>
      </c>
      <c r="L3729" s="27"/>
    </row>
    <row r="3730" spans="1:12">
      <c r="A3730" s="20" t="s">
        <v>1112</v>
      </c>
      <c r="E3730" s="22">
        <f>IF(D3730="?OLD","!!!","")</f>
        <v/>
      </c>
      <c r="F3730" s="23" t="str">
        <f>IF(OR(E3730="",E3730="!!!"),"",IF(NOT(ISNA(VLOOKUP(E3730,E$1:E3729,1,FALSE()))),"OLD",IF(AND(E3730&lt;&gt;"",E3730&lt;&gt;"!!!"),"NEW","")))</f>
        <v> </v>
      </c>
      <c r="G3730" s="24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5" t="str">
        <f>IF(J3730&lt;&gt;1,"",IF(I3730="SBJ","CB","?"))</f>
        <v> </v>
      </c>
      <c r="I3730" s="26" t="str">
        <f>IF(OR(E3730="",E3730="!!!",F3730="NEW"),"",INDEX(B3729:B$2,-1+SUMPRODUCT(MAX(ROW(E3729:E$2)*(E3730=E3729:E$2)))))</f>
        <v> </v>
      </c>
      <c r="J3730" s="26" t="str">
        <f>IF(OR(E3730="",E3730="!!!",F3730="NEW"),"",COUNTBLANK(OFFSET(A$1,,,SUMPRODUCT(MAX(ROW(E$2:E3730)*(E3730=E$2:E3730)))))-COUNTBLANK(OFFSET(A$1,,,SUMPRODUCT(MAX(ROW(E$1:E3729)*(E2=E$1:E3729))))))</f>
        <v> </v>
      </c>
      <c r="K3730" s="26" t="str">
        <f>IF(OR(E3730="",E3730="!!!",F3730="NEW"),"",INDEX(J$1:J3729,SUMPRODUCT(MAX(ROW(E$1:E3729)*(E3730=E$1:E3729)))))</f>
        <v> </v>
      </c>
      <c r="L3730" s="27"/>
    </row>
    <row r="3731" spans="1:12">
      <c r="A3731" s="20" t="s">
        <v>1888</v>
      </c>
      <c r="B3731" s="21" t="s">
        <v>1205</v>
      </c>
      <c r="E3731" s="22">
        <f>IF(D3731="?OLD","!!!","")</f>
        <v/>
      </c>
      <c r="F3731" s="23" t="str">
        <f>IF(OR(E3731="",E3731="!!!"),"",IF(NOT(ISNA(VLOOKUP(E3731,E$1:E3730,1,FALSE()))),"OLD",IF(AND(E3731&lt;&gt;"",E3731&lt;&gt;"!!!"),"NEW","")))</f>
        <v> </v>
      </c>
      <c r="G3731" s="24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5" t="str">
        <f>IF(J3731&lt;&gt;1,"",IF(I3731="SBJ","CB","?"))</f>
        <v> </v>
      </c>
      <c r="I3731" s="26" t="str">
        <f>IF(OR(E3731="",E3731="!!!",F3731="NEW"),"",INDEX(B3730:B$2,-1+SUMPRODUCT(MAX(ROW(E3730:E$2)*(E3731=E3730:E$2)))))</f>
        <v> </v>
      </c>
      <c r="J3731" s="26" t="str">
        <f>IF(OR(E3731="",E3731="!!!",F3731="NEW"),"",COUNTBLANK(OFFSET(A$1,,,SUMPRODUCT(MAX(ROW(E$2:E3731)*(E3731=E$2:E3731)))))-COUNTBLANK(OFFSET(A$1,,,SUMPRODUCT(MAX(ROW(E$1:E3730)*(E2=E$1:E3730))))))</f>
        <v> </v>
      </c>
      <c r="K3731" s="26" t="str">
        <f>IF(OR(E3731="",E3731="!!!",F3731="NEW"),"",INDEX(J$1:J3730,SUMPRODUCT(MAX(ROW(E$1:E3730)*(E3731=E$1:E3730)))))</f>
        <v> </v>
      </c>
      <c r="L3731" s="27"/>
    </row>
    <row r="3732" spans="1:12">
      <c r="A3732" s="20" t="s">
        <v>1085</v>
      </c>
      <c r="E3732" s="22">
        <f>IF(D3732="?OLD","!!!","")</f>
        <v/>
      </c>
      <c r="F3732" s="23" t="str">
        <f>IF(OR(E3732="",E3732="!!!"),"",IF(NOT(ISNA(VLOOKUP(E3732,E$1:E3731,1,FALSE()))),"OLD",IF(AND(E3732&lt;&gt;"",E3732&lt;&gt;"!!!"),"NEW","")))</f>
        <v> </v>
      </c>
      <c r="G3732" s="24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5" t="str">
        <f>IF(J3732&lt;&gt;1,"",IF(I3732="SBJ","CB","?"))</f>
        <v> </v>
      </c>
      <c r="I3732" s="26" t="str">
        <f>IF(OR(E3732="",E3732="!!!",F3732="NEW"),"",INDEX(B3731:B$2,-1+SUMPRODUCT(MAX(ROW(E3731:E$2)*(E3732=E3731:E$2)))))</f>
        <v> </v>
      </c>
      <c r="J3732" s="26" t="str">
        <f>IF(OR(E3732="",E3732="!!!",F3732="NEW"),"",COUNTBLANK(OFFSET(A$1,,,SUMPRODUCT(MAX(ROW(E$2:E3732)*(E3732=E$2:E3732)))))-COUNTBLANK(OFFSET(A$1,,,SUMPRODUCT(MAX(ROW(E$1:E3731)*(E2=E$1:E3731))))))</f>
        <v> </v>
      </c>
      <c r="K3732" s="26" t="str">
        <f>IF(OR(E3732="",E3732="!!!",F3732="NEW"),"",INDEX(J$1:J3731,SUMPRODUCT(MAX(ROW(E$1:E3731)*(E3732=E$1:E3731)))))</f>
        <v> </v>
      </c>
      <c r="L3732" s="27"/>
    </row>
    <row r="3733" spans="1:12">
      <c r="A3733" s="20" t="s">
        <v>2499</v>
      </c>
      <c r="E3733" s="22">
        <f>IF(D3733="?OLD","!!!","")</f>
        <v/>
      </c>
      <c r="F3733" s="23" t="str">
        <f>IF(OR(E3733="",E3733="!!!"),"",IF(NOT(ISNA(VLOOKUP(E3733,E$1:E3732,1,FALSE()))),"OLD",IF(AND(E3733&lt;&gt;"",E3733&lt;&gt;"!!!"),"NEW","")))</f>
        <v> </v>
      </c>
      <c r="G3733" s="24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5" t="str">
        <f>IF(J3733&lt;&gt;1,"",IF(I3733="SBJ","CB","?"))</f>
        <v> </v>
      </c>
      <c r="I3733" s="26" t="str">
        <f>IF(OR(E3733="",E3733="!!!",F3733="NEW"),"",INDEX(B3732:B$2,-1+SUMPRODUCT(MAX(ROW(E3732:E$2)*(E3733=E3732:E$2)))))</f>
        <v> </v>
      </c>
      <c r="J3733" s="26" t="str">
        <f>IF(OR(E3733="",E3733="!!!",F3733="NEW"),"",COUNTBLANK(OFFSET(A$1,,,SUMPRODUCT(MAX(ROW(E$2:E3733)*(E3733=E$2:E3733)))))-COUNTBLANK(OFFSET(A$1,,,SUMPRODUCT(MAX(ROW(E$1:E3732)*(E2=E$1:E3732))))))</f>
        <v> </v>
      </c>
      <c r="K3733" s="26" t="str">
        <f>IF(OR(E3733="",E3733="!!!",F3733="NEW"),"",INDEX(J$1:J3732,SUMPRODUCT(MAX(ROW(E$1:E3732)*(E3733=E$1:E3732)))))</f>
        <v> </v>
      </c>
      <c r="L3733" s="27"/>
    </row>
    <row r="3734" spans="1:12">
      <c r="A3734" s="20" t="s">
        <v>1083</v>
      </c>
      <c r="E3734" s="22">
        <f>IF(D3734="?OLD","!!!","")</f>
        <v/>
      </c>
      <c r="F3734" s="23" t="str">
        <f>IF(OR(E3734="",E3734="!!!"),"",IF(NOT(ISNA(VLOOKUP(E3734,E$1:E3733,1,FALSE()))),"OLD",IF(AND(E3734&lt;&gt;"",E3734&lt;&gt;"!!!"),"NEW","")))</f>
        <v> </v>
      </c>
      <c r="G3734" s="24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5" t="str">
        <f>IF(J3734&lt;&gt;1,"",IF(I3734="SBJ","CB","?"))</f>
        <v> </v>
      </c>
      <c r="I3734" s="26" t="str">
        <f>IF(OR(E3734="",E3734="!!!",F3734="NEW"),"",INDEX(B3733:B$2,-1+SUMPRODUCT(MAX(ROW(E3733:E$2)*(E3734=E3733:E$2)))))</f>
        <v> </v>
      </c>
      <c r="J3734" s="26" t="str">
        <f>IF(OR(E3734="",E3734="!!!",F3734="NEW"),"",COUNTBLANK(OFFSET(A$1,,,SUMPRODUCT(MAX(ROW(E$2:E3734)*(E3734=E$2:E3734)))))-COUNTBLANK(OFFSET(A$1,,,SUMPRODUCT(MAX(ROW(E$1:E3733)*(E2=E$1:E3733))))))</f>
        <v> </v>
      </c>
      <c r="K3734" s="26" t="str">
        <f>IF(OR(E3734="",E3734="!!!",F3734="NEW"),"",INDEX(J$1:J3733,SUMPRODUCT(MAX(ROW(E$1:E3733)*(E3734=E$1:E3733)))))</f>
        <v> </v>
      </c>
      <c r="L3734" s="27"/>
    </row>
    <row r="3735" spans="1:12">
      <c r="A3735" s="20" t="s">
        <v>2500</v>
      </c>
      <c r="E3735" s="22">
        <f>IF(D3735="?OLD","!!!","")</f>
        <v/>
      </c>
      <c r="F3735" s="23" t="str">
        <f>IF(OR(E3735="",E3735="!!!"),"",IF(NOT(ISNA(VLOOKUP(E3735,E$1:E3734,1,FALSE()))),"OLD",IF(AND(E3735&lt;&gt;"",E3735&lt;&gt;"!!!"),"NEW","")))</f>
        <v> </v>
      </c>
      <c r="G3735" s="24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5" t="str">
        <f>IF(J3735&lt;&gt;1,"",IF(I3735="SBJ","CB","?"))</f>
        <v> </v>
      </c>
      <c r="I3735" s="26" t="str">
        <f>IF(OR(E3735="",E3735="!!!",F3735="NEW"),"",INDEX(B3734:B$2,-1+SUMPRODUCT(MAX(ROW(E3734:E$2)*(E3735=E3734:E$2)))))</f>
        <v> </v>
      </c>
      <c r="J3735" s="26" t="str">
        <f>IF(OR(E3735="",E3735="!!!",F3735="NEW"),"",COUNTBLANK(OFFSET(A$1,,,SUMPRODUCT(MAX(ROW(E$2:E3735)*(E3735=E$2:E3735)))))-COUNTBLANK(OFFSET(A$1,,,SUMPRODUCT(MAX(ROW(E$1:E3734)*(E2=E$1:E3734))))))</f>
        <v> </v>
      </c>
      <c r="K3735" s="26" t="str">
        <f>IF(OR(E3735="",E3735="!!!",F3735="NEW"),"",INDEX(J$1:J3734,SUMPRODUCT(MAX(ROW(E$1:E3734)*(E3735=E$1:E3734)))))</f>
        <v> </v>
      </c>
      <c r="L3735" s="27"/>
    </row>
    <row r="3736" spans="1:12">
      <c r="A3736" s="20" t="s">
        <v>2501</v>
      </c>
      <c r="E3736" s="22">
        <f>IF(D3736="?OLD","!!!","")</f>
        <v/>
      </c>
      <c r="F3736" s="23" t="str">
        <f>IF(OR(E3736="",E3736="!!!"),"",IF(NOT(ISNA(VLOOKUP(E3736,E$1:E3735,1,FALSE()))),"OLD",IF(AND(E3736&lt;&gt;"",E3736&lt;&gt;"!!!"),"NEW","")))</f>
        <v> </v>
      </c>
      <c r="G3736" s="24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5" t="str">
        <f>IF(J3736&lt;&gt;1,"",IF(I3736="SBJ","CB","?"))</f>
        <v> </v>
      </c>
      <c r="I3736" s="26" t="str">
        <f>IF(OR(E3736="",E3736="!!!",F3736="NEW"),"",INDEX(B3735:B$2,-1+SUMPRODUCT(MAX(ROW(E3735:E$2)*(E3736=E3735:E$2)))))</f>
        <v> </v>
      </c>
      <c r="J3736" s="26" t="str">
        <f>IF(OR(E3736="",E3736="!!!",F3736="NEW"),"",COUNTBLANK(OFFSET(A$1,,,SUMPRODUCT(MAX(ROW(E$2:E3736)*(E3736=E$2:E3736)))))-COUNTBLANK(OFFSET(A$1,,,SUMPRODUCT(MAX(ROW(E$1:E3735)*(E2=E$1:E3735))))))</f>
        <v> </v>
      </c>
      <c r="K3736" s="26" t="str">
        <f>IF(OR(E3736="",E3736="!!!",F3736="NEW"),"",INDEX(J$1:J3735,SUMPRODUCT(MAX(ROW(E$1:E3735)*(E3736=E$1:E3735)))))</f>
        <v> </v>
      </c>
      <c r="L3736" s="27"/>
    </row>
    <row r="3737" spans="1:12">
      <c r="A3737" s="20" t="s">
        <v>1186</v>
      </c>
      <c r="B3737" s="21" t="s">
        <v>1293</v>
      </c>
      <c r="C3737" s="21" t="s">
        <v>1167</v>
      </c>
      <c r="E3737" s="22">
        <f>IF(D3737="?OLD","!!!","")</f>
        <v/>
      </c>
      <c r="F3737" s="23" t="str">
        <f>IF(OR(E3737="",E3737="!!!"),"",IF(NOT(ISNA(VLOOKUP(E3737,E$1:E3736,1,FALSE()))),"OLD",IF(AND(E3737&lt;&gt;"",E3737&lt;&gt;"!!!"),"NEW","")))</f>
        <v> </v>
      </c>
      <c r="G3737" s="24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5" t="str">
        <f>IF(J3737&lt;&gt;1,"",IF(I3737="SBJ","CB","?"))</f>
        <v> </v>
      </c>
      <c r="I3737" s="26" t="str">
        <f>IF(OR(E3737="",E3737="!!!",F3737="NEW"),"",INDEX(B3736:B$2,-1+SUMPRODUCT(MAX(ROW(E3736:E$2)*(E3737=E3736:E$2)))))</f>
        <v> </v>
      </c>
      <c r="J3737" s="26" t="str">
        <f>IF(OR(E3737="",E3737="!!!",F3737="NEW"),"",COUNTBLANK(OFFSET(A$1,,,SUMPRODUCT(MAX(ROW(E$2:E3737)*(E3737=E$2:E3737)))))-COUNTBLANK(OFFSET(A$1,,,SUMPRODUCT(MAX(ROW(E$1:E3736)*(E2=E$1:E3736))))))</f>
        <v> </v>
      </c>
      <c r="K3737" s="26" t="str">
        <f>IF(OR(E3737="",E3737="!!!",F3737="NEW"),"",INDEX(J$1:J3736,SUMPRODUCT(MAX(ROW(E$1:E3736)*(E3737=E$1:E3736)))))</f>
        <v> </v>
      </c>
      <c r="L3737" s="27"/>
    </row>
    <row r="3738" spans="1:12">
      <c r="A3738" s="20" t="s">
        <v>2502</v>
      </c>
      <c r="E3738" s="22">
        <f>IF(D3738="?OLD","!!!","")</f>
        <v/>
      </c>
      <c r="F3738" s="23" t="str">
        <f>IF(OR(E3738="",E3738="!!!"),"",IF(NOT(ISNA(VLOOKUP(E3738,E$1:E3737,1,FALSE()))),"OLD",IF(AND(E3738&lt;&gt;"",E3738&lt;&gt;"!!!"),"NEW","")))</f>
        <v> </v>
      </c>
      <c r="G3738" s="24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5" t="str">
        <f>IF(J3738&lt;&gt;1,"",IF(I3738="SBJ","CB","?"))</f>
        <v> </v>
      </c>
      <c r="I3738" s="26" t="str">
        <f>IF(OR(E3738="",E3738="!!!",F3738="NEW"),"",INDEX(B3737:B$2,-1+SUMPRODUCT(MAX(ROW(E3737:E$2)*(E3738=E3737:E$2)))))</f>
        <v> </v>
      </c>
      <c r="J3738" s="26" t="str">
        <f>IF(OR(E3738="",E3738="!!!",F3738="NEW"),"",COUNTBLANK(OFFSET(A$1,,,SUMPRODUCT(MAX(ROW(E$2:E3738)*(E3738=E$2:E3738)))))-COUNTBLANK(OFFSET(A$1,,,SUMPRODUCT(MAX(ROW(E$1:E3737)*(E2=E$1:E3737))))))</f>
        <v> </v>
      </c>
      <c r="K3738" s="26" t="str">
        <f>IF(OR(E3738="",E3738="!!!",F3738="NEW"),"",INDEX(J$1:J3737,SUMPRODUCT(MAX(ROW(E$1:E3737)*(E3738=E$1:E3737)))))</f>
        <v> </v>
      </c>
      <c r="L3738" s="27"/>
    </row>
    <row r="3739" spans="1:12">
      <c r="A3739" s="20" t="s">
        <v>2503</v>
      </c>
      <c r="B3739" s="21" t="s">
        <v>1205</v>
      </c>
      <c r="E3739" s="22">
        <f>IF(D3739="?OLD","!!!","")</f>
        <v/>
      </c>
      <c r="F3739" s="23" t="str">
        <f>IF(OR(E3739="",E3739="!!!"),"",IF(NOT(ISNA(VLOOKUP(E3739,E$1:E3738,1,FALSE()))),"OLD",IF(AND(E3739&lt;&gt;"",E3739&lt;&gt;"!!!"),"NEW","")))</f>
        <v> </v>
      </c>
      <c r="G3739" s="24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5" t="str">
        <f>IF(J3739&lt;&gt;1,"",IF(I3739="SBJ","CB","?"))</f>
        <v> </v>
      </c>
      <c r="I3739" s="26" t="str">
        <f>IF(OR(E3739="",E3739="!!!",F3739="NEW"),"",INDEX(B3738:B$2,-1+SUMPRODUCT(MAX(ROW(E3738:E$2)*(E3739=E3738:E$2)))))</f>
        <v> </v>
      </c>
      <c r="J3739" s="26" t="str">
        <f>IF(OR(E3739="",E3739="!!!",F3739="NEW"),"",COUNTBLANK(OFFSET(A$1,,,SUMPRODUCT(MAX(ROW(E$2:E3739)*(E3739=E$2:E3739)))))-COUNTBLANK(OFFSET(A$1,,,SUMPRODUCT(MAX(ROW(E$1:E3738)*(E2=E$1:E3738))))))</f>
        <v> </v>
      </c>
      <c r="K3739" s="26" t="str">
        <f>IF(OR(E3739="",E3739="!!!",F3739="NEW"),"",INDEX(J$1:J3738,SUMPRODUCT(MAX(ROW(E$1:E3738)*(E3739=E$1:E3738)))))</f>
        <v> </v>
      </c>
      <c r="L3739" s="27"/>
    </row>
    <row r="3740" spans="1:12">
      <c r="A3740" s="20" t="s">
        <v>1187</v>
      </c>
      <c r="E3740" s="22">
        <f>IF(D3740="?OLD","!!!","")</f>
        <v/>
      </c>
      <c r="F3740" s="23" t="str">
        <f>IF(OR(E3740="",E3740="!!!"),"",IF(NOT(ISNA(VLOOKUP(E3740,E$1:E3739,1,FALSE()))),"OLD",IF(AND(E3740&lt;&gt;"",E3740&lt;&gt;"!!!"),"NEW","")))</f>
        <v> </v>
      </c>
      <c r="G3740" s="24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5" t="str">
        <f>IF(J3740&lt;&gt;1,"",IF(I3740="SBJ","CB","?"))</f>
        <v> </v>
      </c>
      <c r="I3740" s="26" t="str">
        <f>IF(OR(E3740="",E3740="!!!",F3740="NEW"),"",INDEX(B3739:B$2,-1+SUMPRODUCT(MAX(ROW(E3739:E$2)*(E3740=E3739:E$2)))))</f>
        <v> </v>
      </c>
      <c r="J3740" s="26" t="str">
        <f>IF(OR(E3740="",E3740="!!!",F3740="NEW"),"",COUNTBLANK(OFFSET(A$1,,,SUMPRODUCT(MAX(ROW(E$2:E3740)*(E3740=E$2:E3740)))))-COUNTBLANK(OFFSET(A$1,,,SUMPRODUCT(MAX(ROW(E$1:E3739)*(E2=E$1:E3739))))))</f>
        <v> </v>
      </c>
      <c r="K3740" s="26" t="str">
        <f>IF(OR(E3740="",E3740="!!!",F3740="NEW"),"",INDEX(J$1:J3739,SUMPRODUCT(MAX(ROW(E$1:E3739)*(E3740=E$1:E3739)))))</f>
        <v> </v>
      </c>
      <c r="L3740" s="27"/>
    </row>
    <row r="3741" spans="1:12">
      <c r="A3741" s="20" t="s">
        <v>2504</v>
      </c>
      <c r="E3741" s="22">
        <f>IF(D3741="?OLD","!!!","")</f>
        <v/>
      </c>
      <c r="F3741" s="23" t="str">
        <f>IF(OR(E3741="",E3741="!!!"),"",IF(NOT(ISNA(VLOOKUP(E3741,E$1:E3740,1,FALSE()))),"OLD",IF(AND(E3741&lt;&gt;"",E3741&lt;&gt;"!!!"),"NEW","")))</f>
        <v> </v>
      </c>
      <c r="G3741" s="24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5" t="str">
        <f>IF(J3741&lt;&gt;1,"",IF(I3741="SBJ","CB","?"))</f>
        <v> </v>
      </c>
      <c r="I3741" s="26" t="str">
        <f>IF(OR(E3741="",E3741="!!!",F3741="NEW"),"",INDEX(B3740:B$2,-1+SUMPRODUCT(MAX(ROW(E3740:E$2)*(E3741=E3740:E$2)))))</f>
        <v> </v>
      </c>
      <c r="J3741" s="26" t="str">
        <f>IF(OR(E3741="",E3741="!!!",F3741="NEW"),"",COUNTBLANK(OFFSET(A$1,,,SUMPRODUCT(MAX(ROW(E$2:E3741)*(E3741=E$2:E3741)))))-COUNTBLANK(OFFSET(A$1,,,SUMPRODUCT(MAX(ROW(E$1:E3740)*(E2=E$1:E3740))))))</f>
        <v> </v>
      </c>
      <c r="K3741" s="26" t="str">
        <f>IF(OR(E3741="",E3741="!!!",F3741="NEW"),"",INDEX(J$1:J3740,SUMPRODUCT(MAX(ROW(E$1:E3740)*(E3741=E$1:E3740)))))</f>
        <v> </v>
      </c>
      <c r="L3741" s="27"/>
    </row>
    <row r="3742" spans="1:12">
      <c r="A3742" s="20" t="s">
        <v>2505</v>
      </c>
      <c r="E3742" s="22">
        <f>IF(D3742="?OLD","!!!","")</f>
        <v/>
      </c>
      <c r="F3742" s="23" t="str">
        <f>IF(OR(E3742="",E3742="!!!"),"",IF(NOT(ISNA(VLOOKUP(E3742,E$1:E3741,1,FALSE()))),"OLD",IF(AND(E3742&lt;&gt;"",E3742&lt;&gt;"!!!"),"NEW","")))</f>
        <v> </v>
      </c>
      <c r="G3742" s="24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5" t="str">
        <f>IF(J3742&lt;&gt;1,"",IF(I3742="SBJ","CB","?"))</f>
        <v> </v>
      </c>
      <c r="I3742" s="26" t="str">
        <f>IF(OR(E3742="",E3742="!!!",F3742="NEW"),"",INDEX(B3741:B$2,-1+SUMPRODUCT(MAX(ROW(E3741:E$2)*(E3742=E3741:E$2)))))</f>
        <v> </v>
      </c>
      <c r="J3742" s="26" t="str">
        <f>IF(OR(E3742="",E3742="!!!",F3742="NEW"),"",COUNTBLANK(OFFSET(A$1,,,SUMPRODUCT(MAX(ROW(E$2:E3742)*(E3742=E$2:E3742)))))-COUNTBLANK(OFFSET(A$1,,,SUMPRODUCT(MAX(ROW(E$1:E3741)*(E2=E$1:E3741))))))</f>
        <v> </v>
      </c>
      <c r="K3742" s="26" t="str">
        <f>IF(OR(E3742="",E3742="!!!",F3742="NEW"),"",INDEX(J$1:J3741,SUMPRODUCT(MAX(ROW(E$1:E3741)*(E3742=E$1:E3741)))))</f>
        <v> </v>
      </c>
      <c r="L3742" s="27"/>
    </row>
    <row r="3743" spans="1:12">
      <c r="A3743" s="20" t="s">
        <v>1112</v>
      </c>
      <c r="E3743" s="22">
        <f>IF(D3743="?OLD","!!!","")</f>
        <v/>
      </c>
      <c r="F3743" s="23" t="str">
        <f>IF(OR(E3743="",E3743="!!!"),"",IF(NOT(ISNA(VLOOKUP(E3743,E$1:E3742,1,FALSE()))),"OLD",IF(AND(E3743&lt;&gt;"",E3743&lt;&gt;"!!!"),"NEW","")))</f>
        <v> </v>
      </c>
      <c r="G3743" s="24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5" t="str">
        <f>IF(J3743&lt;&gt;1,"",IF(I3743="SBJ","CB","?"))</f>
        <v> </v>
      </c>
      <c r="I3743" s="26" t="str">
        <f>IF(OR(E3743="",E3743="!!!",F3743="NEW"),"",INDEX(B3742:B$2,-1+SUMPRODUCT(MAX(ROW(E3742:E$2)*(E3743=E3742:E$2)))))</f>
        <v> </v>
      </c>
      <c r="J3743" s="26" t="str">
        <f>IF(OR(E3743="",E3743="!!!",F3743="NEW"),"",COUNTBLANK(OFFSET(A$1,,,SUMPRODUCT(MAX(ROW(E$2:E3743)*(E3743=E$2:E3743)))))-COUNTBLANK(OFFSET(A$1,,,SUMPRODUCT(MAX(ROW(E$1:E3742)*(E2=E$1:E3742))))))</f>
        <v> </v>
      </c>
      <c r="K3743" s="26" t="str">
        <f>IF(OR(E3743="",E3743="!!!",F3743="NEW"),"",INDEX(J$1:J3742,SUMPRODUCT(MAX(ROW(E$1:E3742)*(E3743=E$1:E3742)))))</f>
        <v> </v>
      </c>
      <c r="L3743" s="27"/>
    </row>
    <row r="3744" spans="1:12">
      <c r="A3744" s="20" t="s">
        <v>1087</v>
      </c>
      <c r="B3744" s="21" t="s">
        <v>1109</v>
      </c>
      <c r="C3744" s="21" t="s">
        <v>1081</v>
      </c>
      <c r="D3744" s="21" t="s">
        <v>1074</v>
      </c>
      <c r="E3744" s="22">
        <f>IF(D3744="?OLD","!!!","")</f>
        <v/>
      </c>
      <c r="F3744" s="23" t="str">
        <f>IF(OR(E3744="",E3744="!!!"),"",IF(NOT(ISNA(VLOOKUP(E3744,E$1:E3743,1,FALSE()))),"OLD",IF(AND(E3744&lt;&gt;"",E3744&lt;&gt;"!!!"),"NEW","")))</f>
        <v> </v>
      </c>
      <c r="G3744" s="24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5" t="str">
        <f>IF(J3744&lt;&gt;1,"",IF(I3744="SBJ","CB","?"))</f>
        <v> </v>
      </c>
      <c r="I3744" s="26" t="str">
        <f>IF(OR(E3744="",E3744="!!!",F3744="NEW"),"",INDEX(B3743:B$2,-1+SUMPRODUCT(MAX(ROW(E3743:E$2)*(E3744=E3743:E$2)))))</f>
        <v> </v>
      </c>
      <c r="J3744" s="26" t="str">
        <f>IF(OR(E3744="",E3744="!!!",F3744="NEW"),"",COUNTBLANK(OFFSET(A$1,,,SUMPRODUCT(MAX(ROW(E$2:E3744)*(E3744=E$2:E3744)))))-COUNTBLANK(OFFSET(A$1,,,SUMPRODUCT(MAX(ROW(E$1:E3743)*(E2=E$1:E3743))))))</f>
        <v> </v>
      </c>
      <c r="K3744" s="26" t="str">
        <f>IF(OR(E3744="",E3744="!!!",F3744="NEW"),"",INDEX(J$1:J3743,SUMPRODUCT(MAX(ROW(E$1:E3743)*(E3744=E$1:E3743)))))</f>
        <v> </v>
      </c>
      <c r="L3744" s="27"/>
    </row>
    <row r="3745" spans="1:12">
      <c r="A3745" s="20" t="s">
        <v>1469</v>
      </c>
      <c r="E3745" s="22">
        <f>IF(D3745="?OLD","!!!","")</f>
        <v/>
      </c>
      <c r="F3745" s="23" t="str">
        <f>IF(OR(E3745="",E3745="!!!"),"",IF(NOT(ISNA(VLOOKUP(E3745,E$1:E3744,1,FALSE()))),"OLD",IF(AND(E3745&lt;&gt;"",E3745&lt;&gt;"!!!"),"NEW","")))</f>
        <v> </v>
      </c>
      <c r="G3745" s="24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5" t="str">
        <f>IF(J3745&lt;&gt;1,"",IF(I3745="SBJ","CB","?"))</f>
        <v> </v>
      </c>
      <c r="I3745" s="26" t="str">
        <f>IF(OR(E3745="",E3745="!!!",F3745="NEW"),"",INDEX(B3744:B$2,-1+SUMPRODUCT(MAX(ROW(E3744:E$2)*(E3745=E3744:E$2)))))</f>
        <v> </v>
      </c>
      <c r="J3745" s="26" t="str">
        <f>IF(OR(E3745="",E3745="!!!",F3745="NEW"),"",COUNTBLANK(OFFSET(A$1,,,SUMPRODUCT(MAX(ROW(E$2:E3745)*(E3745=E$2:E3745)))))-COUNTBLANK(OFFSET(A$1,,,SUMPRODUCT(MAX(ROW(E$1:E3744)*(E2=E$1:E3744))))))</f>
        <v> </v>
      </c>
      <c r="K3745" s="26" t="str">
        <f>IF(OR(E3745="",E3745="!!!",F3745="NEW"),"",INDEX(J$1:J3744,SUMPRODUCT(MAX(ROW(E$1:E3744)*(E3745=E$1:E3744)))))</f>
        <v> </v>
      </c>
      <c r="L3745" s="27"/>
    </row>
    <row r="3746" spans="1:12">
      <c r="A3746" s="20" t="s">
        <v>1492</v>
      </c>
      <c r="E3746" s="22">
        <f>IF(D3746="?OLD","!!!","")</f>
        <v/>
      </c>
      <c r="F3746" s="23" t="str">
        <f>IF(OR(E3746="",E3746="!!!"),"",IF(NOT(ISNA(VLOOKUP(E3746,E$1:E3745,1,FALSE()))),"OLD",IF(AND(E3746&lt;&gt;"",E3746&lt;&gt;"!!!"),"NEW","")))</f>
        <v> </v>
      </c>
      <c r="G3746" s="24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5" t="str">
        <f>IF(J3746&lt;&gt;1,"",IF(I3746="SBJ","CB","?"))</f>
        <v> </v>
      </c>
      <c r="I3746" s="26" t="str">
        <f>IF(OR(E3746="",E3746="!!!",F3746="NEW"),"",INDEX(B3745:B$2,-1+SUMPRODUCT(MAX(ROW(E3745:E$2)*(E3746=E3745:E$2)))))</f>
        <v> </v>
      </c>
      <c r="J3746" s="26" t="str">
        <f>IF(OR(E3746="",E3746="!!!",F3746="NEW"),"",COUNTBLANK(OFFSET(A$1,,,SUMPRODUCT(MAX(ROW(E$2:E3746)*(E3746=E$2:E3746)))))-COUNTBLANK(OFFSET(A$1,,,SUMPRODUCT(MAX(ROW(E$1:E3745)*(E2=E$1:E3745))))))</f>
        <v> </v>
      </c>
      <c r="K3746" s="26" t="str">
        <f>IF(OR(E3746="",E3746="!!!",F3746="NEW"),"",INDEX(J$1:J3745,SUMPRODUCT(MAX(ROW(E$1:E3745)*(E3746=E$1:E3745)))))</f>
        <v> </v>
      </c>
      <c r="L3746" s="27"/>
    </row>
    <row r="3747" spans="1:12">
      <c r="A3747" s="20" t="s">
        <v>2491</v>
      </c>
      <c r="E3747" s="22">
        <f>IF(D3747="?OLD","!!!","")</f>
        <v/>
      </c>
      <c r="F3747" s="23" t="str">
        <f>IF(OR(E3747="",E3747="!!!"),"",IF(NOT(ISNA(VLOOKUP(E3747,E$1:E3746,1,FALSE()))),"OLD",IF(AND(E3747&lt;&gt;"",E3747&lt;&gt;"!!!"),"NEW","")))</f>
        <v> </v>
      </c>
      <c r="G3747" s="24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5" t="str">
        <f>IF(J3747&lt;&gt;1,"",IF(I3747="SBJ","CB","?"))</f>
        <v> </v>
      </c>
      <c r="I3747" s="26" t="str">
        <f>IF(OR(E3747="",E3747="!!!",F3747="NEW"),"",INDEX(B3746:B$2,-1+SUMPRODUCT(MAX(ROW(E3746:E$2)*(E3747=E3746:E$2)))))</f>
        <v> </v>
      </c>
      <c r="J3747" s="26" t="str">
        <f>IF(OR(E3747="",E3747="!!!",F3747="NEW"),"",COUNTBLANK(OFFSET(A$1,,,SUMPRODUCT(MAX(ROW(E$2:E3747)*(E3747=E$2:E3747)))))-COUNTBLANK(OFFSET(A$1,,,SUMPRODUCT(MAX(ROW(E$1:E3746)*(E2=E$1:E3746))))))</f>
        <v> </v>
      </c>
      <c r="K3747" s="26" t="str">
        <f>IF(OR(E3747="",E3747="!!!",F3747="NEW"),"",INDEX(J$1:J3746,SUMPRODUCT(MAX(ROW(E$1:E3746)*(E3747=E$1:E3746)))))</f>
        <v> </v>
      </c>
      <c r="L3747" s="27"/>
    </row>
    <row r="3748" spans="1:12">
      <c r="A3748" s="20" t="s">
        <v>1888</v>
      </c>
      <c r="B3748" s="21" t="s">
        <v>1080</v>
      </c>
      <c r="E3748" s="22">
        <f>IF(D3748="?OLD","!!!","")</f>
        <v/>
      </c>
      <c r="F3748" s="23" t="str">
        <f>IF(OR(E3748="",E3748="!!!"),"",IF(NOT(ISNA(VLOOKUP(E3748,E$1:E3747,1,FALSE()))),"OLD",IF(AND(E3748&lt;&gt;"",E3748&lt;&gt;"!!!"),"NEW","")))</f>
        <v> </v>
      </c>
      <c r="G3748" s="24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5" t="str">
        <f>IF(J3748&lt;&gt;1,"",IF(I3748="SBJ","CB","?"))</f>
        <v> </v>
      </c>
      <c r="I3748" s="26" t="str">
        <f>IF(OR(E3748="",E3748="!!!",F3748="NEW"),"",INDEX(B3747:B$2,-1+SUMPRODUCT(MAX(ROW(E3747:E$2)*(E3748=E3747:E$2)))))</f>
        <v> </v>
      </c>
      <c r="J3748" s="26" t="str">
        <f>IF(OR(E3748="",E3748="!!!",F3748="NEW"),"",COUNTBLANK(OFFSET(A$1,,,SUMPRODUCT(MAX(ROW(E$2:E3748)*(E3748=E$2:E3748)))))-COUNTBLANK(OFFSET(A$1,,,SUMPRODUCT(MAX(ROW(E$1:E3747)*(E2=E$1:E3747))))))</f>
        <v> </v>
      </c>
      <c r="K3748" s="26" t="str">
        <f>IF(OR(E3748="",E3748="!!!",F3748="NEW"),"",INDEX(J$1:J3747,SUMPRODUCT(MAX(ROW(E$1:E3747)*(E3748=E$1:E3747)))))</f>
        <v> </v>
      </c>
      <c r="L3748" s="27"/>
    </row>
    <row r="3749" spans="1:12">
      <c r="A3749" s="20" t="s">
        <v>1772</v>
      </c>
      <c r="B3749" s="21" t="s">
        <v>1080</v>
      </c>
      <c r="E3749" s="22">
        <f>IF(D3749="?OLD","!!!","")</f>
        <v/>
      </c>
      <c r="F3749" s="23" t="str">
        <f>IF(OR(E3749="",E3749="!!!"),"",IF(NOT(ISNA(VLOOKUP(E3749,E$1:E3748,1,FALSE()))),"OLD",IF(AND(E3749&lt;&gt;"",E3749&lt;&gt;"!!!"),"NEW","")))</f>
        <v> </v>
      </c>
      <c r="G3749" s="24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5" t="str">
        <f>IF(J3749&lt;&gt;1,"",IF(I3749="SBJ","CB","?"))</f>
        <v> </v>
      </c>
      <c r="I3749" s="26" t="str">
        <f>IF(OR(E3749="",E3749="!!!",F3749="NEW"),"",INDEX(B3748:B$2,-1+SUMPRODUCT(MAX(ROW(E3748:E$2)*(E3749=E3748:E$2)))))</f>
        <v> </v>
      </c>
      <c r="J3749" s="26" t="str">
        <f>IF(OR(E3749="",E3749="!!!",F3749="NEW"),"",COUNTBLANK(OFFSET(A$1,,,SUMPRODUCT(MAX(ROW(E$2:E3749)*(E3749=E$2:E3749)))))-COUNTBLANK(OFFSET(A$1,,,SUMPRODUCT(MAX(ROW(E$1:E3748)*(E2=E$1:E3748))))))</f>
        <v> </v>
      </c>
      <c r="K3749" s="26" t="str">
        <f>IF(OR(E3749="",E3749="!!!",F3749="NEW"),"",INDEX(J$1:J3748,SUMPRODUCT(MAX(ROW(E$1:E3748)*(E3749=E$1:E3748)))))</f>
        <v> </v>
      </c>
      <c r="L3749" s="27"/>
    </row>
    <row r="3750" spans="1:12">
      <c r="A3750" s="20" t="s">
        <v>1085</v>
      </c>
      <c r="E3750" s="22">
        <f>IF(D3750="?OLD","!!!","")</f>
        <v/>
      </c>
      <c r="F3750" s="23" t="str">
        <f>IF(OR(E3750="",E3750="!!!"),"",IF(NOT(ISNA(VLOOKUP(E3750,E$1:E3749,1,FALSE()))),"OLD",IF(AND(E3750&lt;&gt;"",E3750&lt;&gt;"!!!"),"NEW","")))</f>
        <v> </v>
      </c>
      <c r="G3750" s="24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5" t="str">
        <f>IF(J3750&lt;&gt;1,"",IF(I3750="SBJ","CB","?"))</f>
        <v> </v>
      </c>
      <c r="I3750" s="26" t="str">
        <f>IF(OR(E3750="",E3750="!!!",F3750="NEW"),"",INDEX(B3749:B$2,-1+SUMPRODUCT(MAX(ROW(E3749:E$2)*(E3750=E3749:E$2)))))</f>
        <v> </v>
      </c>
      <c r="J3750" s="26" t="str">
        <f>IF(OR(E3750="",E3750="!!!",F3750="NEW"),"",COUNTBLANK(OFFSET(A$1,,,SUMPRODUCT(MAX(ROW(E$2:E3750)*(E3750=E$2:E3750)))))-COUNTBLANK(OFFSET(A$1,,,SUMPRODUCT(MAX(ROW(E$1:E3749)*(E2=E$1:E3749))))))</f>
        <v> </v>
      </c>
      <c r="K3750" s="26" t="str">
        <f>IF(OR(E3750="",E3750="!!!",F3750="NEW"),"",INDEX(J$1:J3749,SUMPRODUCT(MAX(ROW(E$1:E3749)*(E3750=E$1:E3749)))))</f>
        <v> </v>
      </c>
      <c r="L3750" s="27"/>
    </row>
    <row r="3751" spans="1:12">
      <c r="A3751" s="20" t="s">
        <v>1086</v>
      </c>
      <c r="B3751" s="21" t="s">
        <v>1077</v>
      </c>
      <c r="C3751" s="21" t="s">
        <v>1181</v>
      </c>
      <c r="E3751" s="22">
        <f>IF(D3751="?OLD","!!!","")</f>
        <v/>
      </c>
      <c r="F3751" s="23" t="str">
        <f>IF(OR(E3751="",E3751="!!!"),"",IF(NOT(ISNA(VLOOKUP(E3751,E$1:E3750,1,FALSE()))),"OLD",IF(AND(E3751&lt;&gt;"",E3751&lt;&gt;"!!!"),"NEW","")))</f>
        <v> </v>
      </c>
      <c r="G3751" s="24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5" t="str">
        <f>IF(J3751&lt;&gt;1,"",IF(I3751="SBJ","CB","?"))</f>
        <v> </v>
      </c>
      <c r="I3751" s="26" t="str">
        <f>IF(OR(E3751="",E3751="!!!",F3751="NEW"),"",INDEX(B3750:B$2,-1+SUMPRODUCT(MAX(ROW(E3750:E$2)*(E3751=E3750:E$2)))))</f>
        <v> </v>
      </c>
      <c r="J3751" s="26" t="str">
        <f>IF(OR(E3751="",E3751="!!!",F3751="NEW"),"",COUNTBLANK(OFFSET(A$1,,,SUMPRODUCT(MAX(ROW(E$2:E3751)*(E3751=E$2:E3751)))))-COUNTBLANK(OFFSET(A$1,,,SUMPRODUCT(MAX(ROW(E$1:E3750)*(E2=E$1:E3750))))))</f>
        <v> </v>
      </c>
      <c r="K3751" s="26" t="str">
        <f>IF(OR(E3751="",E3751="!!!",F3751="NEW"),"",INDEX(J$1:J3750,SUMPRODUCT(MAX(ROW(E$1:E3750)*(E3751=E$1:E3750)))))</f>
        <v> </v>
      </c>
      <c r="L3751" s="27"/>
    </row>
    <row r="3752" spans="1:12">
      <c r="A3752" s="20" t="s">
        <v>2506</v>
      </c>
      <c r="E3752" s="22">
        <f>IF(D3752="?OLD","!!!","")</f>
        <v/>
      </c>
      <c r="F3752" s="23" t="str">
        <f>IF(OR(E3752="",E3752="!!!"),"",IF(NOT(ISNA(VLOOKUP(E3752,E$1:E3751,1,FALSE()))),"OLD",IF(AND(E3752&lt;&gt;"",E3752&lt;&gt;"!!!"),"NEW","")))</f>
        <v> </v>
      </c>
      <c r="G3752" s="24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5" t="str">
        <f>IF(J3752&lt;&gt;1,"",IF(I3752="SBJ","CB","?"))</f>
        <v> </v>
      </c>
      <c r="I3752" s="26" t="str">
        <f>IF(OR(E3752="",E3752="!!!",F3752="NEW"),"",INDEX(B3751:B$2,-1+SUMPRODUCT(MAX(ROW(E3751:E$2)*(E3752=E3751:E$2)))))</f>
        <v> </v>
      </c>
      <c r="J3752" s="26" t="str">
        <f>IF(OR(E3752="",E3752="!!!",F3752="NEW"),"",COUNTBLANK(OFFSET(A$1,,,SUMPRODUCT(MAX(ROW(E$2:E3752)*(E3752=E$2:E3752)))))-COUNTBLANK(OFFSET(A$1,,,SUMPRODUCT(MAX(ROW(E$1:E3751)*(E2=E$1:E3751))))))</f>
        <v> </v>
      </c>
      <c r="K3752" s="26" t="str">
        <f>IF(OR(E3752="",E3752="!!!",F3752="NEW"),"",INDEX(J$1:J3751,SUMPRODUCT(MAX(ROW(E$1:E3751)*(E3752=E$1:E3751)))))</f>
        <v> </v>
      </c>
      <c r="L3752" s="27"/>
    </row>
    <row r="3753" spans="1:12">
      <c r="A3753" s="20" t="s">
        <v>1492</v>
      </c>
      <c r="E3753" s="22">
        <f>IF(D3753="?OLD","!!!","")</f>
        <v/>
      </c>
      <c r="F3753" s="23" t="str">
        <f>IF(OR(E3753="",E3753="!!!"),"",IF(NOT(ISNA(VLOOKUP(E3753,E$1:E3752,1,FALSE()))),"OLD",IF(AND(E3753&lt;&gt;"",E3753&lt;&gt;"!!!"),"NEW","")))</f>
        <v> </v>
      </c>
      <c r="G3753" s="24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5" t="str">
        <f>IF(J3753&lt;&gt;1,"",IF(I3753="SBJ","CB","?"))</f>
        <v> </v>
      </c>
      <c r="I3753" s="26" t="str">
        <f>IF(OR(E3753="",E3753="!!!",F3753="NEW"),"",INDEX(B3752:B$2,-1+SUMPRODUCT(MAX(ROW(E3752:E$2)*(E3753=E3752:E$2)))))</f>
        <v> </v>
      </c>
      <c r="J3753" s="26" t="str">
        <f>IF(OR(E3753="",E3753="!!!",F3753="NEW"),"",COUNTBLANK(OFFSET(A$1,,,SUMPRODUCT(MAX(ROW(E$2:E3753)*(E3753=E$2:E3753)))))-COUNTBLANK(OFFSET(A$1,,,SUMPRODUCT(MAX(ROW(E$1:E3752)*(E2=E$1:E3752))))))</f>
        <v> </v>
      </c>
      <c r="K3753" s="26" t="str">
        <f>IF(OR(E3753="",E3753="!!!",F3753="NEW"),"",INDEX(J$1:J3752,SUMPRODUCT(MAX(ROW(E$1:E3752)*(E3753=E$1:E3752)))))</f>
        <v> </v>
      </c>
      <c r="L3753" s="27"/>
    </row>
    <row r="3754" spans="1:12">
      <c r="A3754" s="20" t="s">
        <v>1833</v>
      </c>
      <c r="E3754" s="22">
        <f>IF(D3754="?OLD","!!!","")</f>
        <v/>
      </c>
      <c r="F3754" s="23" t="str">
        <f>IF(OR(E3754="",E3754="!!!"),"",IF(NOT(ISNA(VLOOKUP(E3754,E$1:E3753,1,FALSE()))),"OLD",IF(AND(E3754&lt;&gt;"",E3754&lt;&gt;"!!!"),"NEW","")))</f>
        <v> </v>
      </c>
      <c r="G3754" s="24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5" t="str">
        <f>IF(J3754&lt;&gt;1,"",IF(I3754="SBJ","CB","?"))</f>
        <v> </v>
      </c>
      <c r="I3754" s="26" t="str">
        <f>IF(OR(E3754="",E3754="!!!",F3754="NEW"),"",INDEX(B3753:B$2,-1+SUMPRODUCT(MAX(ROW(E3753:E$2)*(E3754=E3753:E$2)))))</f>
        <v> </v>
      </c>
      <c r="J3754" s="26" t="str">
        <f>IF(OR(E3754="",E3754="!!!",F3754="NEW"),"",COUNTBLANK(OFFSET(A$1,,,SUMPRODUCT(MAX(ROW(E$2:E3754)*(E3754=E$2:E3754)))))-COUNTBLANK(OFFSET(A$1,,,SUMPRODUCT(MAX(ROW(E$1:E3753)*(E2=E$1:E3753))))))</f>
        <v> </v>
      </c>
      <c r="K3754" s="26" t="str">
        <f>IF(OR(E3754="",E3754="!!!",F3754="NEW"),"",INDEX(J$1:J3753,SUMPRODUCT(MAX(ROW(E$1:E3753)*(E3754=E$1:E3753)))))</f>
        <v> </v>
      </c>
      <c r="L3754" s="27"/>
    </row>
    <row r="3755" spans="1:12">
      <c r="A3755" s="20" t="s">
        <v>1187</v>
      </c>
      <c r="E3755" s="22">
        <f>IF(D3755="?OLD","!!!","")</f>
        <v/>
      </c>
      <c r="F3755" s="23" t="str">
        <f>IF(OR(E3755="",E3755="!!!"),"",IF(NOT(ISNA(VLOOKUP(E3755,E$1:E3754,1,FALSE()))),"OLD",IF(AND(E3755&lt;&gt;"",E3755&lt;&gt;"!!!"),"NEW","")))</f>
        <v> </v>
      </c>
      <c r="G3755" s="24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5" t="str">
        <f>IF(J3755&lt;&gt;1,"",IF(I3755="SBJ","CB","?"))</f>
        <v> </v>
      </c>
      <c r="I3755" s="26" t="str">
        <f>IF(OR(E3755="",E3755="!!!",F3755="NEW"),"",INDEX(B3754:B$2,-1+SUMPRODUCT(MAX(ROW(E3754:E$2)*(E3755=E3754:E$2)))))</f>
        <v> </v>
      </c>
      <c r="J3755" s="26" t="str">
        <f>IF(OR(E3755="",E3755="!!!",F3755="NEW"),"",COUNTBLANK(OFFSET(A$1,,,SUMPRODUCT(MAX(ROW(E$2:E3755)*(E3755=E$2:E3755)))))-COUNTBLANK(OFFSET(A$1,,,SUMPRODUCT(MAX(ROW(E$1:E3754)*(E2=E$1:E3754))))))</f>
        <v> </v>
      </c>
      <c r="K3755" s="26" t="str">
        <f>IF(OR(E3755="",E3755="!!!",F3755="NEW"),"",INDEX(J$1:J3754,SUMPRODUCT(MAX(ROW(E$1:E3754)*(E3755=E$1:E3754)))))</f>
        <v> </v>
      </c>
      <c r="L3755" s="27"/>
    </row>
    <row r="3756" spans="1:12">
      <c r="A3756" s="20" t="s">
        <v>1822</v>
      </c>
      <c r="E3756" s="22">
        <f>IF(D3756="?OLD","!!!","")</f>
        <v/>
      </c>
      <c r="F3756" s="23" t="str">
        <f>IF(OR(E3756="",E3756="!!!"),"",IF(NOT(ISNA(VLOOKUP(E3756,E$1:E3755,1,FALSE()))),"OLD",IF(AND(E3756&lt;&gt;"",E3756&lt;&gt;"!!!"),"NEW","")))</f>
        <v> </v>
      </c>
      <c r="G3756" s="24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5" t="str">
        <f>IF(J3756&lt;&gt;1,"",IF(I3756="SBJ","CB","?"))</f>
        <v> </v>
      </c>
      <c r="I3756" s="26" t="str">
        <f>IF(OR(E3756="",E3756="!!!",F3756="NEW"),"",INDEX(B3755:B$2,-1+SUMPRODUCT(MAX(ROW(E3755:E$2)*(E3756=E3755:E$2)))))</f>
        <v> </v>
      </c>
      <c r="J3756" s="26" t="str">
        <f>IF(OR(E3756="",E3756="!!!",F3756="NEW"),"",COUNTBLANK(OFFSET(A$1,,,SUMPRODUCT(MAX(ROW(E$2:E3756)*(E3756=E$2:E3756)))))-COUNTBLANK(OFFSET(A$1,,,SUMPRODUCT(MAX(ROW(E$1:E3755)*(E2=E$1:E3755))))))</f>
        <v> </v>
      </c>
      <c r="K3756" s="26" t="str">
        <f>IF(OR(E3756="",E3756="!!!",F3756="NEW"),"",INDEX(J$1:J3755,SUMPRODUCT(MAX(ROW(E$1:E3755)*(E3756=E$1:E3755)))))</f>
        <v> </v>
      </c>
      <c r="L3756" s="27"/>
    </row>
    <row r="3757" spans="1:12">
      <c r="A3757" s="20" t="s">
        <v>1083</v>
      </c>
      <c r="E3757" s="22">
        <f>IF(D3757="?OLD","!!!","")</f>
        <v/>
      </c>
      <c r="F3757" s="23" t="str">
        <f>IF(OR(E3757="",E3757="!!!"),"",IF(NOT(ISNA(VLOOKUP(E3757,E$1:E3756,1,FALSE()))),"OLD",IF(AND(E3757&lt;&gt;"",E3757&lt;&gt;"!!!"),"NEW","")))</f>
        <v> </v>
      </c>
      <c r="G3757" s="24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5" t="str">
        <f>IF(J3757&lt;&gt;1,"",IF(I3757="SBJ","CB","?"))</f>
        <v> </v>
      </c>
      <c r="I3757" s="26" t="str">
        <f>IF(OR(E3757="",E3757="!!!",F3757="NEW"),"",INDEX(B3756:B$2,-1+SUMPRODUCT(MAX(ROW(E3756:E$2)*(E3757=E3756:E$2)))))</f>
        <v> </v>
      </c>
      <c r="J3757" s="26" t="str">
        <f>IF(OR(E3757="",E3757="!!!",F3757="NEW"),"",COUNTBLANK(OFFSET(A$1,,,SUMPRODUCT(MAX(ROW(E$2:E3757)*(E3757=E$2:E3757)))))-COUNTBLANK(OFFSET(A$1,,,SUMPRODUCT(MAX(ROW(E$1:E3756)*(E2=E$1:E3756))))))</f>
        <v> </v>
      </c>
      <c r="K3757" s="26" t="str">
        <f>IF(OR(E3757="",E3757="!!!",F3757="NEW"),"",INDEX(J$1:J3756,SUMPRODUCT(MAX(ROW(E$1:E3756)*(E3757=E$1:E3756)))))</f>
        <v> </v>
      </c>
      <c r="L3757" s="27"/>
    </row>
    <row r="3758" spans="1:12">
      <c r="A3758" s="20" t="s">
        <v>2194</v>
      </c>
      <c r="E3758" s="22">
        <f>IF(D3758="?OLD","!!!","")</f>
        <v/>
      </c>
      <c r="F3758" s="23" t="str">
        <f>IF(OR(E3758="",E3758="!!!"),"",IF(NOT(ISNA(VLOOKUP(E3758,E$1:E3757,1,FALSE()))),"OLD",IF(AND(E3758&lt;&gt;"",E3758&lt;&gt;"!!!"),"NEW","")))</f>
        <v> </v>
      </c>
      <c r="G3758" s="24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5" t="str">
        <f>IF(J3758&lt;&gt;1,"",IF(I3758="SBJ","CB","?"))</f>
        <v> </v>
      </c>
      <c r="I3758" s="26" t="str">
        <f>IF(OR(E3758="",E3758="!!!",F3758="NEW"),"",INDEX(B3757:B$2,-1+SUMPRODUCT(MAX(ROW(E3757:E$2)*(E3758=E3757:E$2)))))</f>
        <v> </v>
      </c>
      <c r="J3758" s="26" t="str">
        <f>IF(OR(E3758="",E3758="!!!",F3758="NEW"),"",COUNTBLANK(OFFSET(A$1,,,SUMPRODUCT(MAX(ROW(E$2:E3758)*(E3758=E$2:E3758)))))-COUNTBLANK(OFFSET(A$1,,,SUMPRODUCT(MAX(ROW(E$1:E3757)*(E2=E$1:E3757))))))</f>
        <v> </v>
      </c>
      <c r="K3758" s="26" t="str">
        <f>IF(OR(E3758="",E3758="!!!",F3758="NEW"),"",INDEX(J$1:J3757,SUMPRODUCT(MAX(ROW(E$1:E3757)*(E3758=E$1:E3757)))))</f>
        <v> </v>
      </c>
      <c r="L3758" s="27"/>
    </row>
    <row r="3759" spans="1:12">
      <c r="A3759" s="20" t="s">
        <v>1492</v>
      </c>
      <c r="E3759" s="22">
        <f>IF(D3759="?OLD","!!!","")</f>
        <v/>
      </c>
      <c r="F3759" s="23" t="str">
        <f>IF(OR(E3759="",E3759="!!!"),"",IF(NOT(ISNA(VLOOKUP(E3759,E$1:E3758,1,FALSE()))),"OLD",IF(AND(E3759&lt;&gt;"",E3759&lt;&gt;"!!!"),"NEW","")))</f>
        <v> </v>
      </c>
      <c r="G3759" s="24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5" t="str">
        <f>IF(J3759&lt;&gt;1,"",IF(I3759="SBJ","CB","?"))</f>
        <v> </v>
      </c>
      <c r="I3759" s="26" t="str">
        <f>IF(OR(E3759="",E3759="!!!",F3759="NEW"),"",INDEX(B3758:B$2,-1+SUMPRODUCT(MAX(ROW(E3758:E$2)*(E3759=E3758:E$2)))))</f>
        <v> </v>
      </c>
      <c r="J3759" s="26" t="str">
        <f>IF(OR(E3759="",E3759="!!!",F3759="NEW"),"",COUNTBLANK(OFFSET(A$1,,,SUMPRODUCT(MAX(ROW(E$2:E3759)*(E3759=E$2:E3759)))))-COUNTBLANK(OFFSET(A$1,,,SUMPRODUCT(MAX(ROW(E$1:E3758)*(E2=E$1:E3758))))))</f>
        <v> </v>
      </c>
      <c r="K3759" s="26" t="str">
        <f>IF(OR(E3759="",E3759="!!!",F3759="NEW"),"",INDEX(J$1:J3758,SUMPRODUCT(MAX(ROW(E$1:E3758)*(E3759=E$1:E3758)))))</f>
        <v> </v>
      </c>
      <c r="L3759" s="27"/>
    </row>
    <row r="3760" spans="1:12">
      <c r="A3760" s="20" t="s">
        <v>1772</v>
      </c>
      <c r="B3760" s="21" t="s">
        <v>1199</v>
      </c>
      <c r="E3760" s="22">
        <f>IF(D3760="?OLD","!!!","")</f>
        <v/>
      </c>
      <c r="F3760" s="23" t="str">
        <f>IF(OR(E3760="",E3760="!!!"),"",IF(NOT(ISNA(VLOOKUP(E3760,E$1:E3759,1,FALSE()))),"OLD",IF(AND(E3760&lt;&gt;"",E3760&lt;&gt;"!!!"),"NEW","")))</f>
        <v> </v>
      </c>
      <c r="G3760" s="24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5" t="str">
        <f>IF(J3760&lt;&gt;1,"",IF(I3760="SBJ","CB","?"))</f>
        <v> </v>
      </c>
      <c r="I3760" s="26" t="str">
        <f>IF(OR(E3760="",E3760="!!!",F3760="NEW"),"",INDEX(B3759:B$2,-1+SUMPRODUCT(MAX(ROW(E3759:E$2)*(E3760=E3759:E$2)))))</f>
        <v> </v>
      </c>
      <c r="J3760" s="26" t="str">
        <f>IF(OR(E3760="",E3760="!!!",F3760="NEW"),"",COUNTBLANK(OFFSET(A$1,,,SUMPRODUCT(MAX(ROW(E$2:E3760)*(E3760=E$2:E3760)))))-COUNTBLANK(OFFSET(A$1,,,SUMPRODUCT(MAX(ROW(E$1:E3759)*(E2=E$1:E3759))))))</f>
        <v> </v>
      </c>
      <c r="K3760" s="26" t="str">
        <f>IF(OR(E3760="",E3760="!!!",F3760="NEW"),"",INDEX(J$1:J3759,SUMPRODUCT(MAX(ROW(E$1:E3759)*(E3760=E$1:E3759)))))</f>
        <v> </v>
      </c>
      <c r="L3760" s="27"/>
    </row>
    <row r="3761" spans="1:12">
      <c r="A3761" s="20" t="s">
        <v>2507</v>
      </c>
      <c r="B3761" s="21" t="s">
        <v>1199</v>
      </c>
      <c r="E3761" s="22">
        <f>IF(D3761="?OLD","!!!","")</f>
        <v/>
      </c>
      <c r="F3761" s="23" t="str">
        <f>IF(OR(E3761="",E3761="!!!"),"",IF(NOT(ISNA(VLOOKUP(E3761,E$1:E3760,1,FALSE()))),"OLD",IF(AND(E3761&lt;&gt;"",E3761&lt;&gt;"!!!"),"NEW","")))</f>
        <v> </v>
      </c>
      <c r="G3761" s="24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5" t="str">
        <f>IF(J3761&lt;&gt;1,"",IF(I3761="SBJ","CB","?"))</f>
        <v> </v>
      </c>
      <c r="I3761" s="26" t="str">
        <f>IF(OR(E3761="",E3761="!!!",F3761="NEW"),"",INDEX(B3760:B$2,-1+SUMPRODUCT(MAX(ROW(E3760:E$2)*(E3761=E3760:E$2)))))</f>
        <v> </v>
      </c>
      <c r="J3761" s="26" t="str">
        <f>IF(OR(E3761="",E3761="!!!",F3761="NEW"),"",COUNTBLANK(OFFSET(A$1,,,SUMPRODUCT(MAX(ROW(E$2:E3761)*(E3761=E$2:E3761)))))-COUNTBLANK(OFFSET(A$1,,,SUMPRODUCT(MAX(ROW(E$1:E3760)*(E2=E$1:E3760))))))</f>
        <v> </v>
      </c>
      <c r="K3761" s="26" t="str">
        <f>IF(OR(E3761="",E3761="!!!",F3761="NEW"),"",INDEX(J$1:J3760,SUMPRODUCT(MAX(ROW(E$1:E3760)*(E3761=E$1:E3760)))))</f>
        <v> </v>
      </c>
      <c r="L3761" s="27"/>
    </row>
    <row r="3762" spans="1:12">
      <c r="A3762" s="20" t="s">
        <v>1106</v>
      </c>
      <c r="E3762" s="22">
        <f>IF(D3762="?OLD","!!!","")</f>
        <v/>
      </c>
      <c r="F3762" s="23" t="str">
        <f>IF(OR(E3762="",E3762="!!!"),"",IF(NOT(ISNA(VLOOKUP(E3762,E$1:E3761,1,FALSE()))),"OLD",IF(AND(E3762&lt;&gt;"",E3762&lt;&gt;"!!!"),"NEW","")))</f>
        <v> </v>
      </c>
      <c r="G3762" s="24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5" t="str">
        <f>IF(J3762&lt;&gt;1,"",IF(I3762="SBJ","CB","?"))</f>
        <v> </v>
      </c>
      <c r="I3762" s="26" t="str">
        <f>IF(OR(E3762="",E3762="!!!",F3762="NEW"),"",INDEX(B3761:B$2,-1+SUMPRODUCT(MAX(ROW(E3761:E$2)*(E3762=E3761:E$2)))))</f>
        <v> </v>
      </c>
      <c r="J3762" s="26" t="str">
        <f>IF(OR(E3762="",E3762="!!!",F3762="NEW"),"",COUNTBLANK(OFFSET(A$1,,,SUMPRODUCT(MAX(ROW(E$2:E3762)*(E3762=E$2:E3762)))))-COUNTBLANK(OFFSET(A$1,,,SUMPRODUCT(MAX(ROW(E$1:E3761)*(E2=E$1:E3761))))))</f>
        <v> </v>
      </c>
      <c r="K3762" s="26" t="str">
        <f>IF(OR(E3762="",E3762="!!!",F3762="NEW"),"",INDEX(J$1:J3761,SUMPRODUCT(MAX(ROW(E$1:E3761)*(E3762=E$1:E3761)))))</f>
        <v> </v>
      </c>
      <c r="L3762" s="27"/>
    </row>
    <row r="3763" spans="1:12">
      <c r="A3763" s="20"/>
    </row>
    <row r="3764" spans="1:12">
      <c r="A3764" s="20" t="s">
        <v>2508</v>
      </c>
    </row>
    <row r="3765" spans="1:12">
      <c r="A3765" s="20" t="s">
        <v>1108</v>
      </c>
      <c r="B3765" s="21" t="s">
        <v>1109</v>
      </c>
      <c r="C3765" s="21" t="s">
        <v>1081</v>
      </c>
      <c r="D3765" s="21" t="s">
        <v>1074</v>
      </c>
      <c r="E3765" s="22">
        <f>IF(D3765="?OLD","!!!","")</f>
        <v/>
      </c>
      <c r="F3765" s="23" t="str">
        <f>IF(OR(E3765="",E3765="!!!"),"",IF(NOT(ISNA(VLOOKUP(E3765,E$1:E3764,1,FALSE()))),"OLD",IF(AND(E3765&lt;&gt;"",E3765&lt;&gt;"!!!"),"NEW","")))</f>
        <v> </v>
      </c>
      <c r="G3765" s="24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5" t="str">
        <f>IF(J3765&lt;&gt;1,"",IF(I3765="SBJ","CB","?"))</f>
        <v> </v>
      </c>
      <c r="I3765" s="26" t="str">
        <f>IF(OR(E3765="",E3765="!!!",F3765="NEW"),"",INDEX(B3764:B$2,-1+SUMPRODUCT(MAX(ROW(E3764:E$2)*(E3765=E3764:E$2)))))</f>
        <v> </v>
      </c>
      <c r="J3765" s="26" t="str">
        <f>IF(OR(E3765="",E3765="!!!",F3765="NEW"),"",COUNTBLANK(OFFSET(A$1,,,SUMPRODUCT(MAX(ROW(E$2:E3765)*(E3765=E$2:E3765)))))-COUNTBLANK(OFFSET(A$1,,,SUMPRODUCT(MAX(ROW(E$1:E3764)*(E2=E$1:E3764))))))</f>
        <v> </v>
      </c>
      <c r="K3765" s="26" t="str">
        <f>IF(OR(E3765="",E3765="!!!",F3765="NEW"),"",INDEX(J$1:J3764,SUMPRODUCT(MAX(ROW(E$1:E3764)*(E3765=E$1:E3764)))))</f>
        <v> </v>
      </c>
      <c r="L3765" s="27"/>
    </row>
    <row r="3766" spans="1:12">
      <c r="A3766" s="20" t="s">
        <v>2509</v>
      </c>
      <c r="E3766" s="22">
        <f>IF(D3766="?OLD","!!!","")</f>
        <v/>
      </c>
      <c r="F3766" s="23" t="str">
        <f>IF(OR(E3766="",E3766="!!!"),"",IF(NOT(ISNA(VLOOKUP(E3766,E$1:E3765,1,FALSE()))),"OLD",IF(AND(E3766&lt;&gt;"",E3766&lt;&gt;"!!!"),"NEW","")))</f>
        <v> </v>
      </c>
      <c r="G3766" s="24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5" t="str">
        <f>IF(J3766&lt;&gt;1,"",IF(I3766="SBJ","CB","?"))</f>
        <v> </v>
      </c>
      <c r="I3766" s="26" t="str">
        <f>IF(OR(E3766="",E3766="!!!",F3766="NEW"),"",INDEX(B3765:B$2,-1+SUMPRODUCT(MAX(ROW(E3765:E$2)*(E3766=E3765:E$2)))))</f>
        <v> </v>
      </c>
      <c r="J3766" s="26" t="str">
        <f>IF(OR(E3766="",E3766="!!!",F3766="NEW"),"",COUNTBLANK(OFFSET(A$1,,,SUMPRODUCT(MAX(ROW(E$2:E3766)*(E3766=E$2:E3766)))))-COUNTBLANK(OFFSET(A$1,,,SUMPRODUCT(MAX(ROW(E$1:E3765)*(E2=E$1:E3765))))))</f>
        <v> </v>
      </c>
      <c r="K3766" s="26" t="str">
        <f>IF(OR(E3766="",E3766="!!!",F3766="NEW"),"",INDEX(J$1:J3765,SUMPRODUCT(MAX(ROW(E$1:E3765)*(E3766=E$1:E3765)))))</f>
        <v> </v>
      </c>
      <c r="L3766" s="27"/>
    </row>
    <row r="3767" spans="1:12">
      <c r="A3767" s="20" t="s">
        <v>2510</v>
      </c>
      <c r="E3767" s="22">
        <f>IF(D3767="?OLD","!!!","")</f>
        <v/>
      </c>
      <c r="F3767" s="23" t="str">
        <f>IF(OR(E3767="",E3767="!!!"),"",IF(NOT(ISNA(VLOOKUP(E3767,E$1:E3766,1,FALSE()))),"OLD",IF(AND(E3767&lt;&gt;"",E3767&lt;&gt;"!!!"),"NEW","")))</f>
        <v> </v>
      </c>
      <c r="G3767" s="24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5" t="str">
        <f>IF(J3767&lt;&gt;1,"",IF(I3767="SBJ","CB","?"))</f>
        <v> </v>
      </c>
      <c r="I3767" s="26" t="str">
        <f>IF(OR(E3767="",E3767="!!!",F3767="NEW"),"",INDEX(B3766:B$2,-1+SUMPRODUCT(MAX(ROW(E3766:E$2)*(E3767=E3766:E$2)))))</f>
        <v> </v>
      </c>
      <c r="J3767" s="26" t="str">
        <f>IF(OR(E3767="",E3767="!!!",F3767="NEW"),"",COUNTBLANK(OFFSET(A$1,,,SUMPRODUCT(MAX(ROW(E$2:E3767)*(E3767=E$2:E3767)))))-COUNTBLANK(OFFSET(A$1,,,SUMPRODUCT(MAX(ROW(E$1:E3766)*(E2=E$1:E3766))))))</f>
        <v> </v>
      </c>
      <c r="K3767" s="26" t="str">
        <f>IF(OR(E3767="",E3767="!!!",F3767="NEW"),"",INDEX(J$1:J3766,SUMPRODUCT(MAX(ROW(E$1:E3766)*(E3767=E$1:E3766)))))</f>
        <v> </v>
      </c>
      <c r="L3767" s="27"/>
    </row>
    <row r="3768" spans="1:12">
      <c r="A3768" s="20" t="s">
        <v>1853</v>
      </c>
      <c r="B3768" s="21" t="s">
        <v>1137</v>
      </c>
      <c r="C3768" s="21" t="s">
        <v>1073</v>
      </c>
      <c r="D3768" s="21" t="s">
        <v>1074</v>
      </c>
      <c r="E3768" s="22">
        <f>IF(D3768="?OLD","!!!","")</f>
        <v/>
      </c>
      <c r="F3768" s="23" t="str">
        <f>IF(OR(E3768="",E3768="!!!"),"",IF(NOT(ISNA(VLOOKUP(E3768,E$1:E3767,1,FALSE()))),"OLD",IF(AND(E3768&lt;&gt;"",E3768&lt;&gt;"!!!"),"NEW","")))</f>
        <v> </v>
      </c>
      <c r="G3768" s="24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5" t="str">
        <f>IF(J3768&lt;&gt;1,"",IF(I3768="SBJ","CB","?"))</f>
        <v> </v>
      </c>
      <c r="I3768" s="26" t="str">
        <f>IF(OR(E3768="",E3768="!!!",F3768="NEW"),"",INDEX(B3767:B$2,-1+SUMPRODUCT(MAX(ROW(E3767:E$2)*(E3768=E3767:E$2)))))</f>
        <v> </v>
      </c>
      <c r="J3768" s="26" t="str">
        <f>IF(OR(E3768="",E3768="!!!",F3768="NEW"),"",COUNTBLANK(OFFSET(A$1,,,SUMPRODUCT(MAX(ROW(E$2:E3768)*(E3768=E$2:E3768)))))-COUNTBLANK(OFFSET(A$1,,,SUMPRODUCT(MAX(ROW(E$1:E3767)*(E2=E$1:E3767))))))</f>
        <v> </v>
      </c>
      <c r="K3768" s="26" t="str">
        <f>IF(OR(E3768="",E3768="!!!",F3768="NEW"),"",INDEX(J$1:J3767,SUMPRODUCT(MAX(ROW(E$1:E3767)*(E3768=E$1:E3767)))))</f>
        <v> </v>
      </c>
      <c r="L3768" s="27"/>
    </row>
    <row r="3769" spans="1:12">
      <c r="A3769" s="20" t="s">
        <v>1854</v>
      </c>
      <c r="B3769" s="21" t="s">
        <v>1137</v>
      </c>
      <c r="C3769" s="21" t="s">
        <v>1073</v>
      </c>
      <c r="D3769" s="21" t="s">
        <v>1074</v>
      </c>
      <c r="E3769" s="22">
        <f>IF(D3769="?OLD","!!!","")</f>
        <v/>
      </c>
      <c r="F3769" s="23" t="str">
        <f>IF(OR(E3769="",E3769="!!!"),"",IF(NOT(ISNA(VLOOKUP(E3769,E$1:E3768,1,FALSE()))),"OLD",IF(AND(E3769&lt;&gt;"",E3769&lt;&gt;"!!!"),"NEW","")))</f>
        <v> </v>
      </c>
      <c r="G3769" s="24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5" t="str">
        <f>IF(J3769&lt;&gt;1,"",IF(I3769="SBJ","CB","?"))</f>
        <v> </v>
      </c>
      <c r="I3769" s="26" t="str">
        <f>IF(OR(E3769="",E3769="!!!",F3769="NEW"),"",INDEX(B3768:B$2,-1+SUMPRODUCT(MAX(ROW(E3768:E$2)*(E3769=E3768:E$2)))))</f>
        <v> </v>
      </c>
      <c r="J3769" s="26" t="str">
        <f>IF(OR(E3769="",E3769="!!!",F3769="NEW"),"",COUNTBLANK(OFFSET(A$1,,,SUMPRODUCT(MAX(ROW(E$2:E3769)*(E3769=E$2:E3769)))))-COUNTBLANK(OFFSET(A$1,,,SUMPRODUCT(MAX(ROW(E$1:E3768)*(E2=E$1:E3768))))))</f>
        <v> </v>
      </c>
      <c r="K3769" s="26" t="str">
        <f>IF(OR(E3769="",E3769="!!!",F3769="NEW"),"",INDEX(J$1:J3768,SUMPRODUCT(MAX(ROW(E$1:E3768)*(E3769=E$1:E3768)))))</f>
        <v> </v>
      </c>
      <c r="L3769" s="27"/>
    </row>
    <row r="3770" spans="1:12">
      <c r="A3770" s="20" t="s">
        <v>1124</v>
      </c>
      <c r="E3770" s="22">
        <f>IF(D3770="?OLD","!!!","")</f>
        <v/>
      </c>
      <c r="F3770" s="23" t="str">
        <f>IF(OR(E3770="",E3770="!!!"),"",IF(NOT(ISNA(VLOOKUP(E3770,E$1:E3769,1,FALSE()))),"OLD",IF(AND(E3770&lt;&gt;"",E3770&lt;&gt;"!!!"),"NEW","")))</f>
        <v> </v>
      </c>
      <c r="G3770" s="24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5" t="str">
        <f>IF(J3770&lt;&gt;1,"",IF(I3770="SBJ","CB","?"))</f>
        <v> </v>
      </c>
      <c r="I3770" s="26" t="str">
        <f>IF(OR(E3770="",E3770="!!!",F3770="NEW"),"",INDEX(B3769:B$2,-1+SUMPRODUCT(MAX(ROW(E3769:E$2)*(E3770=E3769:E$2)))))</f>
        <v> </v>
      </c>
      <c r="J3770" s="26" t="str">
        <f>IF(OR(E3770="",E3770="!!!",F3770="NEW"),"",COUNTBLANK(OFFSET(A$1,,,SUMPRODUCT(MAX(ROW(E$2:E3770)*(E3770=E$2:E3770)))))-COUNTBLANK(OFFSET(A$1,,,SUMPRODUCT(MAX(ROW(E$1:E3769)*(E2=E$1:E3769))))))</f>
        <v> </v>
      </c>
      <c r="K3770" s="26" t="str">
        <f>IF(OR(E3770="",E3770="!!!",F3770="NEW"),"",INDEX(J$1:J3769,SUMPRODUCT(MAX(ROW(E$1:E3769)*(E3770=E$1:E3769)))))</f>
        <v> </v>
      </c>
      <c r="L3770" s="27"/>
    </row>
    <row r="3771" spans="1:12">
      <c r="A3771" s="20" t="s">
        <v>1360</v>
      </c>
      <c r="E3771" s="22">
        <f>IF(D3771="?OLD","!!!","")</f>
        <v/>
      </c>
      <c r="F3771" s="23" t="str">
        <f>IF(OR(E3771="",E3771="!!!"),"",IF(NOT(ISNA(VLOOKUP(E3771,E$1:E3770,1,FALSE()))),"OLD",IF(AND(E3771&lt;&gt;"",E3771&lt;&gt;"!!!"),"NEW","")))</f>
        <v> </v>
      </c>
      <c r="G3771" s="24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5" t="str">
        <f>IF(J3771&lt;&gt;1,"",IF(I3771="SBJ","CB","?"))</f>
        <v> </v>
      </c>
      <c r="I3771" s="26" t="str">
        <f>IF(OR(E3771="",E3771="!!!",F3771="NEW"),"",INDEX(B3770:B$2,-1+SUMPRODUCT(MAX(ROW(E3770:E$2)*(E3771=E3770:E$2)))))</f>
        <v> </v>
      </c>
      <c r="J3771" s="26" t="str">
        <f>IF(OR(E3771="",E3771="!!!",F3771="NEW"),"",COUNTBLANK(OFFSET(A$1,,,SUMPRODUCT(MAX(ROW(E$2:E3771)*(E3771=E$2:E3771)))))-COUNTBLANK(OFFSET(A$1,,,SUMPRODUCT(MAX(ROW(E$1:E3770)*(E2=E$1:E3770))))))</f>
        <v> </v>
      </c>
      <c r="K3771" s="26" t="str">
        <f>IF(OR(E3771="",E3771="!!!",F3771="NEW"),"",INDEX(J$1:J3770,SUMPRODUCT(MAX(ROW(E$1:E3770)*(E3771=E$1:E3770)))))</f>
        <v> </v>
      </c>
      <c r="L3771" s="27"/>
    </row>
    <row r="3772" spans="1:12">
      <c r="A3772" s="20" t="s">
        <v>1457</v>
      </c>
      <c r="E3772" s="22">
        <f>IF(D3772="?OLD","!!!","")</f>
        <v/>
      </c>
      <c r="F3772" s="23" t="str">
        <f>IF(OR(E3772="",E3772="!!!"),"",IF(NOT(ISNA(VLOOKUP(E3772,E$1:E3771,1,FALSE()))),"OLD",IF(AND(E3772&lt;&gt;"",E3772&lt;&gt;"!!!"),"NEW","")))</f>
        <v> </v>
      </c>
      <c r="G3772" s="24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5" t="str">
        <f>IF(J3772&lt;&gt;1,"",IF(I3772="SBJ","CB","?"))</f>
        <v> </v>
      </c>
      <c r="I3772" s="26" t="str">
        <f>IF(OR(E3772="",E3772="!!!",F3772="NEW"),"",INDEX(B3771:B$2,-1+SUMPRODUCT(MAX(ROW(E3771:E$2)*(E3772=E3771:E$2)))))</f>
        <v> </v>
      </c>
      <c r="J3772" s="26" t="str">
        <f>IF(OR(E3772="",E3772="!!!",F3772="NEW"),"",COUNTBLANK(OFFSET(A$1,,,SUMPRODUCT(MAX(ROW(E$2:E3772)*(E3772=E$2:E3772)))))-COUNTBLANK(OFFSET(A$1,,,SUMPRODUCT(MAX(ROW(E$1:E3771)*(E2=E$1:E3771))))))</f>
        <v> </v>
      </c>
      <c r="K3772" s="26" t="str">
        <f>IF(OR(E3772="",E3772="!!!",F3772="NEW"),"",INDEX(J$1:J3771,SUMPRODUCT(MAX(ROW(E$1:E3771)*(E3772=E$1:E3771)))))</f>
        <v> </v>
      </c>
      <c r="L3772" s="27"/>
    </row>
    <row r="3773" spans="1:12">
      <c r="A3773" s="20" t="s">
        <v>1085</v>
      </c>
      <c r="E3773" s="22">
        <f>IF(D3773="?OLD","!!!","")</f>
        <v/>
      </c>
      <c r="F3773" s="23" t="str">
        <f>IF(OR(E3773="",E3773="!!!"),"",IF(NOT(ISNA(VLOOKUP(E3773,E$1:E3772,1,FALSE()))),"OLD",IF(AND(E3773&lt;&gt;"",E3773&lt;&gt;"!!!"),"NEW","")))</f>
        <v> </v>
      </c>
      <c r="G3773" s="24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5" t="str">
        <f>IF(J3773&lt;&gt;1,"",IF(I3773="SBJ","CB","?"))</f>
        <v> </v>
      </c>
      <c r="I3773" s="26" t="str">
        <f>IF(OR(E3773="",E3773="!!!",F3773="NEW"),"",INDEX(B3772:B$2,-1+SUMPRODUCT(MAX(ROW(E3772:E$2)*(E3773=E3772:E$2)))))</f>
        <v> </v>
      </c>
      <c r="J3773" s="26" t="str">
        <f>IF(OR(E3773="",E3773="!!!",F3773="NEW"),"",COUNTBLANK(OFFSET(A$1,,,SUMPRODUCT(MAX(ROW(E$2:E3773)*(E3773=E$2:E3773)))))-COUNTBLANK(OFFSET(A$1,,,SUMPRODUCT(MAX(ROW(E$1:E3772)*(E2=E$1:E3772))))))</f>
        <v> </v>
      </c>
      <c r="K3773" s="26" t="str">
        <f>IF(OR(E3773="",E3773="!!!",F3773="NEW"),"",INDEX(J$1:J3772,SUMPRODUCT(MAX(ROW(E$1:E3772)*(E3773=E$1:E3772)))))</f>
        <v> </v>
      </c>
      <c r="L3773" s="27"/>
    </row>
    <row r="3774" spans="1:12">
      <c r="A3774" s="20" t="s">
        <v>1155</v>
      </c>
      <c r="E3774" s="22">
        <f>IF(D3774="?OLD","!!!","")</f>
        <v/>
      </c>
      <c r="F3774" s="23" t="str">
        <f>IF(OR(E3774="",E3774="!!!"),"",IF(NOT(ISNA(VLOOKUP(E3774,E$1:E3773,1,FALSE()))),"OLD",IF(AND(E3774&lt;&gt;"",E3774&lt;&gt;"!!!"),"NEW","")))</f>
        <v> </v>
      </c>
      <c r="G3774" s="24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5" t="str">
        <f>IF(J3774&lt;&gt;1,"",IF(I3774="SBJ","CB","?"))</f>
        <v> </v>
      </c>
      <c r="I3774" s="26" t="str">
        <f>IF(OR(E3774="",E3774="!!!",F3774="NEW"),"",INDEX(B3773:B$2,-1+SUMPRODUCT(MAX(ROW(E3773:E$2)*(E3774=E3773:E$2)))))</f>
        <v> </v>
      </c>
      <c r="J3774" s="26" t="str">
        <f>IF(OR(E3774="",E3774="!!!",F3774="NEW"),"",COUNTBLANK(OFFSET(A$1,,,SUMPRODUCT(MAX(ROW(E$2:E3774)*(E3774=E$2:E3774)))))-COUNTBLANK(OFFSET(A$1,,,SUMPRODUCT(MAX(ROW(E$1:E3773)*(E2=E$1:E3773))))))</f>
        <v> </v>
      </c>
      <c r="K3774" s="26" t="str">
        <f>IF(OR(E3774="",E3774="!!!",F3774="NEW"),"",INDEX(J$1:J3773,SUMPRODUCT(MAX(ROW(E$1:E3773)*(E3774=E$1:E3773)))))</f>
        <v> </v>
      </c>
      <c r="L3774" s="27"/>
    </row>
    <row r="3775" spans="1:12">
      <c r="A3775" s="20" t="s">
        <v>1083</v>
      </c>
      <c r="E3775" s="22">
        <f>IF(D3775="?OLD","!!!","")</f>
        <v/>
      </c>
      <c r="F3775" s="23" t="str">
        <f>IF(OR(E3775="",E3775="!!!"),"",IF(NOT(ISNA(VLOOKUP(E3775,E$1:E3774,1,FALSE()))),"OLD",IF(AND(E3775&lt;&gt;"",E3775&lt;&gt;"!!!"),"NEW","")))</f>
        <v> </v>
      </c>
      <c r="G3775" s="24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5" t="str">
        <f>IF(J3775&lt;&gt;1,"",IF(I3775="SBJ","CB","?"))</f>
        <v> </v>
      </c>
      <c r="I3775" s="26" t="str">
        <f>IF(OR(E3775="",E3775="!!!",F3775="NEW"),"",INDEX(B3774:B$2,-1+SUMPRODUCT(MAX(ROW(E3774:E$2)*(E3775=E3774:E$2)))))</f>
        <v> </v>
      </c>
      <c r="J3775" s="26" t="str">
        <f>IF(OR(E3775="",E3775="!!!",F3775="NEW"),"",COUNTBLANK(OFFSET(A$1,,,SUMPRODUCT(MAX(ROW(E$2:E3775)*(E3775=E$2:E3775)))))-COUNTBLANK(OFFSET(A$1,,,SUMPRODUCT(MAX(ROW(E$1:E3774)*(E2=E$1:E3774))))))</f>
        <v> </v>
      </c>
      <c r="K3775" s="26" t="str">
        <f>IF(OR(E3775="",E3775="!!!",F3775="NEW"),"",INDEX(J$1:J3774,SUMPRODUCT(MAX(ROW(E$1:E3774)*(E3775=E$1:E3774)))))</f>
        <v> </v>
      </c>
      <c r="L3775" s="27"/>
    </row>
    <row r="3776" spans="1:12">
      <c r="A3776" s="20" t="s">
        <v>1945</v>
      </c>
      <c r="E3776" s="22">
        <f>IF(D3776="?OLD","!!!","")</f>
        <v/>
      </c>
      <c r="F3776" s="23" t="str">
        <f>IF(OR(E3776="",E3776="!!!"),"",IF(NOT(ISNA(VLOOKUP(E3776,E$1:E3775,1,FALSE()))),"OLD",IF(AND(E3776&lt;&gt;"",E3776&lt;&gt;"!!!"),"NEW","")))</f>
        <v> </v>
      </c>
      <c r="G3776" s="24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5" t="str">
        <f>IF(J3776&lt;&gt;1,"",IF(I3776="SBJ","CB","?"))</f>
        <v> </v>
      </c>
      <c r="I3776" s="26" t="str">
        <f>IF(OR(E3776="",E3776="!!!",F3776="NEW"),"",INDEX(B3775:B$2,-1+SUMPRODUCT(MAX(ROW(E3775:E$2)*(E3776=E3775:E$2)))))</f>
        <v> </v>
      </c>
      <c r="J3776" s="26" t="str">
        <f>IF(OR(E3776="",E3776="!!!",F3776="NEW"),"",COUNTBLANK(OFFSET(A$1,,,SUMPRODUCT(MAX(ROW(E$2:E3776)*(E3776=E$2:E3776)))))-COUNTBLANK(OFFSET(A$1,,,SUMPRODUCT(MAX(ROW(E$1:E3775)*(E2=E$1:E3775))))))</f>
        <v> </v>
      </c>
      <c r="K3776" s="26" t="str">
        <f>IF(OR(E3776="",E3776="!!!",F3776="NEW"),"",INDEX(J$1:J3775,SUMPRODUCT(MAX(ROW(E$1:E3775)*(E3776=E$1:E3775)))))</f>
        <v> </v>
      </c>
      <c r="L3776" s="27"/>
    </row>
    <row r="3777" spans="1:12">
      <c r="A3777" s="20" t="s">
        <v>1832</v>
      </c>
      <c r="E3777" s="22">
        <f>IF(D3777="?OLD","!!!","")</f>
        <v/>
      </c>
      <c r="F3777" s="23" t="str">
        <f>IF(OR(E3777="",E3777="!!!"),"",IF(NOT(ISNA(VLOOKUP(E3777,E$1:E3776,1,FALSE()))),"OLD",IF(AND(E3777&lt;&gt;"",E3777&lt;&gt;"!!!"),"NEW","")))</f>
        <v> </v>
      </c>
      <c r="G3777" s="24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5" t="str">
        <f>IF(J3777&lt;&gt;1,"",IF(I3777="SBJ","CB","?"))</f>
        <v> </v>
      </c>
      <c r="I3777" s="26" t="str">
        <f>IF(OR(E3777="",E3777="!!!",F3777="NEW"),"",INDEX(B3776:B$2,-1+SUMPRODUCT(MAX(ROW(E3776:E$2)*(E3777=E3776:E$2)))))</f>
        <v> </v>
      </c>
      <c r="J3777" s="26" t="str">
        <f>IF(OR(E3777="",E3777="!!!",F3777="NEW"),"",COUNTBLANK(OFFSET(A$1,,,SUMPRODUCT(MAX(ROW(E$2:E3777)*(E3777=E$2:E3777)))))-COUNTBLANK(OFFSET(A$1,,,SUMPRODUCT(MAX(ROW(E$1:E3776)*(E2=E$1:E3776))))))</f>
        <v> </v>
      </c>
      <c r="K3777" s="26" t="str">
        <f>IF(OR(E3777="",E3777="!!!",F3777="NEW"),"",INDEX(J$1:J3776,SUMPRODUCT(MAX(ROW(E$1:E3776)*(E3777=E$1:E3776)))))</f>
        <v> </v>
      </c>
      <c r="L3777" s="27"/>
    </row>
    <row r="3778" spans="1:12">
      <c r="A3778" s="20" t="s">
        <v>1085</v>
      </c>
      <c r="E3778" s="22">
        <f>IF(D3778="?OLD","!!!","")</f>
        <v/>
      </c>
      <c r="F3778" s="23" t="str">
        <f>IF(OR(E3778="",E3778="!!!"),"",IF(NOT(ISNA(VLOOKUP(E3778,E$1:E3777,1,FALSE()))),"OLD",IF(AND(E3778&lt;&gt;"",E3778&lt;&gt;"!!!"),"NEW","")))</f>
        <v> </v>
      </c>
      <c r="G3778" s="24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5" t="str">
        <f>IF(J3778&lt;&gt;1,"",IF(I3778="SBJ","CB","?"))</f>
        <v> </v>
      </c>
      <c r="I3778" s="26" t="str">
        <f>IF(OR(E3778="",E3778="!!!",F3778="NEW"),"",INDEX(B3777:B$2,-1+SUMPRODUCT(MAX(ROW(E3777:E$2)*(E3778=E3777:E$2)))))</f>
        <v> </v>
      </c>
      <c r="J3778" s="26" t="str">
        <f>IF(OR(E3778="",E3778="!!!",F3778="NEW"),"",COUNTBLANK(OFFSET(A$1,,,SUMPRODUCT(MAX(ROW(E$2:E3778)*(E3778=E$2:E3778)))))-COUNTBLANK(OFFSET(A$1,,,SUMPRODUCT(MAX(ROW(E$1:E3777)*(E2=E$1:E3777))))))</f>
        <v> </v>
      </c>
      <c r="K3778" s="26" t="str">
        <f>IF(OR(E3778="",E3778="!!!",F3778="NEW"),"",INDEX(J$1:J3777,SUMPRODUCT(MAX(ROW(E$1:E3777)*(E3778=E$1:E3777)))))</f>
        <v> </v>
      </c>
      <c r="L3778" s="27"/>
    </row>
    <row r="3779" spans="1:12">
      <c r="A3779" s="20" t="s">
        <v>2362</v>
      </c>
      <c r="E3779" s="22">
        <f>IF(D3779="?OLD","!!!","")</f>
        <v/>
      </c>
      <c r="F3779" s="23" t="str">
        <f>IF(OR(E3779="",E3779="!!!"),"",IF(NOT(ISNA(VLOOKUP(E3779,E$1:E3778,1,FALSE()))),"OLD",IF(AND(E3779&lt;&gt;"",E3779&lt;&gt;"!!!"),"NEW","")))</f>
        <v> </v>
      </c>
      <c r="G3779" s="24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5" t="str">
        <f>IF(J3779&lt;&gt;1,"",IF(I3779="SBJ","CB","?"))</f>
        <v> </v>
      </c>
      <c r="I3779" s="26" t="str">
        <f>IF(OR(E3779="",E3779="!!!",F3779="NEW"),"",INDEX(B3778:B$2,-1+SUMPRODUCT(MAX(ROW(E3778:E$2)*(E3779=E3778:E$2)))))</f>
        <v> </v>
      </c>
      <c r="J3779" s="26" t="str">
        <f>IF(OR(E3779="",E3779="!!!",F3779="NEW"),"",COUNTBLANK(OFFSET(A$1,,,SUMPRODUCT(MAX(ROW(E$2:E3779)*(E3779=E$2:E3779)))))-COUNTBLANK(OFFSET(A$1,,,SUMPRODUCT(MAX(ROW(E$1:E3778)*(E2=E$1:E3778))))))</f>
        <v> </v>
      </c>
      <c r="K3779" s="26" t="str">
        <f>IF(OR(E3779="",E3779="!!!",F3779="NEW"),"",INDEX(J$1:J3778,SUMPRODUCT(MAX(ROW(E$1:E3778)*(E3779=E$1:E3778)))))</f>
        <v> </v>
      </c>
      <c r="L3779" s="27"/>
    </row>
    <row r="3780" spans="1:12">
      <c r="A3780" s="20" t="s">
        <v>1086</v>
      </c>
      <c r="E3780" s="22">
        <f>IF(D3780="?OLD","!!!","")</f>
        <v/>
      </c>
      <c r="F3780" s="23" t="str">
        <f>IF(OR(E3780="",E3780="!!!"),"",IF(NOT(ISNA(VLOOKUP(E3780,E$1:E3779,1,FALSE()))),"OLD",IF(AND(E3780&lt;&gt;"",E3780&lt;&gt;"!!!"),"NEW","")))</f>
        <v> </v>
      </c>
      <c r="G3780" s="24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5" t="str">
        <f>IF(J3780&lt;&gt;1,"",IF(I3780="SBJ","CB","?"))</f>
        <v> </v>
      </c>
      <c r="I3780" s="26" t="str">
        <f>IF(OR(E3780="",E3780="!!!",F3780="NEW"),"",INDEX(B3779:B$2,-1+SUMPRODUCT(MAX(ROW(E3779:E$2)*(E3780=E3779:E$2)))))</f>
        <v> </v>
      </c>
      <c r="J3780" s="26" t="str">
        <f>IF(OR(E3780="",E3780="!!!",F3780="NEW"),"",COUNTBLANK(OFFSET(A$1,,,SUMPRODUCT(MAX(ROW(E$2:E3780)*(E3780=E$2:E3780)))))-COUNTBLANK(OFFSET(A$1,,,SUMPRODUCT(MAX(ROW(E$1:E3779)*(E2=E$1:E3779))))))</f>
        <v> </v>
      </c>
      <c r="K3780" s="26" t="str">
        <f>IF(OR(E3780="",E3780="!!!",F3780="NEW"),"",INDEX(J$1:J3779,SUMPRODUCT(MAX(ROW(E$1:E3779)*(E3780=E$1:E3779)))))</f>
        <v> </v>
      </c>
      <c r="L3780" s="27"/>
    </row>
    <row r="3781" spans="1:12">
      <c r="A3781" s="20" t="s">
        <v>1110</v>
      </c>
      <c r="B3781" s="21" t="s">
        <v>1077</v>
      </c>
      <c r="C3781" s="21" t="s">
        <v>1081</v>
      </c>
      <c r="D3781" s="21" t="s">
        <v>1074</v>
      </c>
      <c r="E3781" s="22">
        <f>IF(D3781="?OLD","!!!","")</f>
        <v/>
      </c>
      <c r="F3781" s="23" t="str">
        <f>IF(OR(E3781="",E3781="!!!"),"",IF(NOT(ISNA(VLOOKUP(E3781,E$1:E3780,1,FALSE()))),"OLD",IF(AND(E3781&lt;&gt;"",E3781&lt;&gt;"!!!"),"NEW","")))</f>
        <v> </v>
      </c>
      <c r="G3781" s="24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5" t="str">
        <f>IF(J3781&lt;&gt;1,"",IF(I3781="SBJ","CB","?"))</f>
        <v> </v>
      </c>
      <c r="I3781" s="26" t="str">
        <f>IF(OR(E3781="",E3781="!!!",F3781="NEW"),"",INDEX(B3780:B$2,-1+SUMPRODUCT(MAX(ROW(E3780:E$2)*(E3781=E3780:E$2)))))</f>
        <v> </v>
      </c>
      <c r="J3781" s="26" t="str">
        <f>IF(OR(E3781="",E3781="!!!",F3781="NEW"),"",COUNTBLANK(OFFSET(A$1,,,SUMPRODUCT(MAX(ROW(E$2:E3781)*(E3781=E$2:E3781)))))-COUNTBLANK(OFFSET(A$1,,,SUMPRODUCT(MAX(ROW(E$1:E3780)*(E2=E$1:E3780))))))</f>
        <v> </v>
      </c>
      <c r="K3781" s="26" t="str">
        <f>IF(OR(E3781="",E3781="!!!",F3781="NEW"),"",INDEX(J$1:J3780,SUMPRODUCT(MAX(ROW(E$1:E3780)*(E3781=E$1:E3780)))))</f>
        <v> </v>
      </c>
      <c r="L3781" s="27"/>
    </row>
    <row r="3782" spans="1:12">
      <c r="A3782" s="20" t="s">
        <v>2487</v>
      </c>
      <c r="E3782" s="22">
        <f>IF(D3782="?OLD","!!!","")</f>
        <v/>
      </c>
      <c r="F3782" s="23" t="str">
        <f>IF(OR(E3782="",E3782="!!!"),"",IF(NOT(ISNA(VLOOKUP(E3782,E$1:E3781,1,FALSE()))),"OLD",IF(AND(E3782&lt;&gt;"",E3782&lt;&gt;"!!!"),"NEW","")))</f>
        <v> </v>
      </c>
      <c r="G3782" s="24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5" t="str">
        <f>IF(J3782&lt;&gt;1,"",IF(I3782="SBJ","CB","?"))</f>
        <v> </v>
      </c>
      <c r="I3782" s="26" t="str">
        <f>IF(OR(E3782="",E3782="!!!",F3782="NEW"),"",INDEX(B3781:B$2,-1+SUMPRODUCT(MAX(ROW(E3781:E$2)*(E3782=E3781:E$2)))))</f>
        <v> </v>
      </c>
      <c r="J3782" s="26" t="str">
        <f>IF(OR(E3782="",E3782="!!!",F3782="NEW"),"",COUNTBLANK(OFFSET(A$1,,,SUMPRODUCT(MAX(ROW(E$2:E3782)*(E3782=E$2:E3782)))))-COUNTBLANK(OFFSET(A$1,,,SUMPRODUCT(MAX(ROW(E$1:E3781)*(E2=E$1:E3781))))))</f>
        <v> </v>
      </c>
      <c r="K3782" s="26" t="str">
        <f>IF(OR(E3782="",E3782="!!!",F3782="NEW"),"",INDEX(J$1:J3781,SUMPRODUCT(MAX(ROW(E$1:E3781)*(E3782=E$1:E3781)))))</f>
        <v> </v>
      </c>
      <c r="L3782" s="27"/>
    </row>
    <row r="3783" spans="1:12">
      <c r="A3783" s="20" t="s">
        <v>2507</v>
      </c>
      <c r="B3783" s="21" t="s">
        <v>1080</v>
      </c>
      <c r="E3783" s="22">
        <f>IF(D3783="?OLD","!!!","")</f>
        <v/>
      </c>
      <c r="F3783" s="23" t="str">
        <f>IF(OR(E3783="",E3783="!!!"),"",IF(NOT(ISNA(VLOOKUP(E3783,E$1:E3782,1,FALSE()))),"OLD",IF(AND(E3783&lt;&gt;"",E3783&lt;&gt;"!!!"),"NEW","")))</f>
        <v> </v>
      </c>
      <c r="G3783" s="24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5" t="str">
        <f>IF(J3783&lt;&gt;1,"",IF(I3783="SBJ","CB","?"))</f>
        <v> </v>
      </c>
      <c r="I3783" s="26" t="str">
        <f>IF(OR(E3783="",E3783="!!!",F3783="NEW"),"",INDEX(B3782:B$2,-1+SUMPRODUCT(MAX(ROW(E3782:E$2)*(E3783=E3782:E$2)))))</f>
        <v> </v>
      </c>
      <c r="J3783" s="26" t="str">
        <f>IF(OR(E3783="",E3783="!!!",F3783="NEW"),"",COUNTBLANK(OFFSET(A$1,,,SUMPRODUCT(MAX(ROW(E$2:E3783)*(E3783=E$2:E3783)))))-COUNTBLANK(OFFSET(A$1,,,SUMPRODUCT(MAX(ROW(E$1:E3782)*(E2=E$1:E3782))))))</f>
        <v> </v>
      </c>
      <c r="K3783" s="26" t="str">
        <f>IF(OR(E3783="",E3783="!!!",F3783="NEW"),"",INDEX(J$1:J3782,SUMPRODUCT(MAX(ROW(E$1:E3782)*(E3783=E$1:E3782)))))</f>
        <v> </v>
      </c>
      <c r="L3783" s="27"/>
    </row>
    <row r="3784" spans="1:12">
      <c r="A3784" s="20" t="s">
        <v>1187</v>
      </c>
      <c r="E3784" s="22">
        <f>IF(D3784="?OLD","!!!","")</f>
        <v/>
      </c>
      <c r="F3784" s="23" t="str">
        <f>IF(OR(E3784="",E3784="!!!"),"",IF(NOT(ISNA(VLOOKUP(E3784,E$1:E3783,1,FALSE()))),"OLD",IF(AND(E3784&lt;&gt;"",E3784&lt;&gt;"!!!"),"NEW","")))</f>
        <v> </v>
      </c>
      <c r="G3784" s="24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5" t="str">
        <f>IF(J3784&lt;&gt;1,"",IF(I3784="SBJ","CB","?"))</f>
        <v> </v>
      </c>
      <c r="I3784" s="26" t="str">
        <f>IF(OR(E3784="",E3784="!!!",F3784="NEW"),"",INDEX(B3783:B$2,-1+SUMPRODUCT(MAX(ROW(E3783:E$2)*(E3784=E3783:E$2)))))</f>
        <v> </v>
      </c>
      <c r="J3784" s="26" t="str">
        <f>IF(OR(E3784="",E3784="!!!",F3784="NEW"),"",COUNTBLANK(OFFSET(A$1,,,SUMPRODUCT(MAX(ROW(E$2:E3784)*(E3784=E$2:E3784)))))-COUNTBLANK(OFFSET(A$1,,,SUMPRODUCT(MAX(ROW(E$1:E3783)*(E2=E$1:E3783))))))</f>
        <v> </v>
      </c>
      <c r="K3784" s="26" t="str">
        <f>IF(OR(E3784="",E3784="!!!",F3784="NEW"),"",INDEX(J$1:J3783,SUMPRODUCT(MAX(ROW(E$1:E3783)*(E3784=E$1:E3783)))))</f>
        <v> </v>
      </c>
      <c r="L3784" s="27"/>
    </row>
    <row r="3785" spans="1:12">
      <c r="A3785" s="20" t="s">
        <v>2511</v>
      </c>
      <c r="E3785" s="22">
        <f>IF(D3785="?OLD","!!!","")</f>
        <v/>
      </c>
      <c r="F3785" s="23" t="str">
        <f>IF(OR(E3785="",E3785="!!!"),"",IF(NOT(ISNA(VLOOKUP(E3785,E$1:E3784,1,FALSE()))),"OLD",IF(AND(E3785&lt;&gt;"",E3785&lt;&gt;"!!!"),"NEW","")))</f>
        <v> </v>
      </c>
      <c r="G3785" s="24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5" t="str">
        <f>IF(J3785&lt;&gt;1,"",IF(I3785="SBJ","CB","?"))</f>
        <v> </v>
      </c>
      <c r="I3785" s="26" t="str">
        <f>IF(OR(E3785="",E3785="!!!",F3785="NEW"),"",INDEX(B3784:B$2,-1+SUMPRODUCT(MAX(ROW(E3784:E$2)*(E3785=E3784:E$2)))))</f>
        <v> </v>
      </c>
      <c r="J3785" s="26" t="str">
        <f>IF(OR(E3785="",E3785="!!!",F3785="NEW"),"",COUNTBLANK(OFFSET(A$1,,,SUMPRODUCT(MAX(ROW(E$2:E3785)*(E3785=E$2:E3785)))))-COUNTBLANK(OFFSET(A$1,,,SUMPRODUCT(MAX(ROW(E$1:E3784)*(E2=E$1:E3784))))))</f>
        <v> </v>
      </c>
      <c r="K3785" s="26" t="str">
        <f>IF(OR(E3785="",E3785="!!!",F3785="NEW"),"",INDEX(J$1:J3784,SUMPRODUCT(MAX(ROW(E$1:E3784)*(E3785=E$1:E3784)))))</f>
        <v> </v>
      </c>
      <c r="L3785" s="27"/>
    </row>
    <row r="3786" spans="1:12">
      <c r="A3786" s="20" t="s">
        <v>2512</v>
      </c>
      <c r="E3786" s="22">
        <f>IF(D3786="?OLD","!!!","")</f>
        <v/>
      </c>
      <c r="F3786" s="23" t="str">
        <f>IF(OR(E3786="",E3786="!!!"),"",IF(NOT(ISNA(VLOOKUP(E3786,E$1:E3785,1,FALSE()))),"OLD",IF(AND(E3786&lt;&gt;"",E3786&lt;&gt;"!!!"),"NEW","")))</f>
        <v> </v>
      </c>
      <c r="G3786" s="24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5" t="str">
        <f>IF(J3786&lt;&gt;1,"",IF(I3786="SBJ","CB","?"))</f>
        <v> </v>
      </c>
      <c r="I3786" s="26" t="str">
        <f>IF(OR(E3786="",E3786="!!!",F3786="NEW"),"",INDEX(B3785:B$2,-1+SUMPRODUCT(MAX(ROW(E3785:E$2)*(E3786=E3785:E$2)))))</f>
        <v> </v>
      </c>
      <c r="J3786" s="26" t="str">
        <f>IF(OR(E3786="",E3786="!!!",F3786="NEW"),"",COUNTBLANK(OFFSET(A$1,,,SUMPRODUCT(MAX(ROW(E$2:E3786)*(E3786=E$2:E3786)))))-COUNTBLANK(OFFSET(A$1,,,SUMPRODUCT(MAX(ROW(E$1:E3785)*(E2=E$1:E3785))))))</f>
        <v> </v>
      </c>
      <c r="K3786" s="26" t="str">
        <f>IF(OR(E3786="",E3786="!!!",F3786="NEW"),"",INDEX(J$1:J3785,SUMPRODUCT(MAX(ROW(E$1:E3785)*(E3786=E$1:E3785)))))</f>
        <v> </v>
      </c>
      <c r="L3786" s="27"/>
    </row>
    <row r="3787" spans="1:12">
      <c r="A3787" s="20" t="s">
        <v>2513</v>
      </c>
      <c r="E3787" s="22">
        <f>IF(D3787="?OLD","!!!","")</f>
        <v/>
      </c>
      <c r="F3787" s="23" t="str">
        <f>IF(OR(E3787="",E3787="!!!"),"",IF(NOT(ISNA(VLOOKUP(E3787,E$1:E3786,1,FALSE()))),"OLD",IF(AND(E3787&lt;&gt;"",E3787&lt;&gt;"!!!"),"NEW","")))</f>
        <v> </v>
      </c>
      <c r="G3787" s="24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5" t="str">
        <f>IF(J3787&lt;&gt;1,"",IF(I3787="SBJ","CB","?"))</f>
        <v> </v>
      </c>
      <c r="I3787" s="26" t="str">
        <f>IF(OR(E3787="",E3787="!!!",F3787="NEW"),"",INDEX(B3786:B$2,-1+SUMPRODUCT(MAX(ROW(E3786:E$2)*(E3787=E3786:E$2)))))</f>
        <v> </v>
      </c>
      <c r="J3787" s="26" t="str">
        <f>IF(OR(E3787="",E3787="!!!",F3787="NEW"),"",COUNTBLANK(OFFSET(A$1,,,SUMPRODUCT(MAX(ROW(E$2:E3787)*(E3787=E$2:E3787)))))-COUNTBLANK(OFFSET(A$1,,,SUMPRODUCT(MAX(ROW(E$1:E3786)*(E2=E$1:E3786))))))</f>
        <v> </v>
      </c>
      <c r="K3787" s="26" t="str">
        <f>IF(OR(E3787="",E3787="!!!",F3787="NEW"),"",INDEX(J$1:J3786,SUMPRODUCT(MAX(ROW(E$1:E3786)*(E3787=E$1:E3786)))))</f>
        <v> </v>
      </c>
      <c r="L3787" s="27"/>
    </row>
    <row r="3788" spans="1:12">
      <c r="A3788" s="20" t="s">
        <v>2514</v>
      </c>
      <c r="B3788" s="21" t="s">
        <v>1140</v>
      </c>
      <c r="C3788" s="21" t="s">
        <v>1095</v>
      </c>
      <c r="D3788" s="21" t="s">
        <v>1074</v>
      </c>
      <c r="E3788" s="22">
        <f>IF(D3788="?OLD","!!!","")</f>
        <v/>
      </c>
      <c r="F3788" s="23" t="str">
        <f>IF(OR(E3788="",E3788="!!!"),"",IF(NOT(ISNA(VLOOKUP(E3788,E$1:E3787,1,FALSE()))),"OLD",IF(AND(E3788&lt;&gt;"",E3788&lt;&gt;"!!!"),"NEW","")))</f>
        <v> </v>
      </c>
      <c r="G3788" s="24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5" t="str">
        <f>IF(J3788&lt;&gt;1,"",IF(I3788="SBJ","CB","?"))</f>
        <v> </v>
      </c>
      <c r="I3788" s="26" t="str">
        <f>IF(OR(E3788="",E3788="!!!",F3788="NEW"),"",INDEX(B3787:B$2,-1+SUMPRODUCT(MAX(ROW(E3787:E$2)*(E3788=E3787:E$2)))))</f>
        <v> </v>
      </c>
      <c r="J3788" s="26" t="str">
        <f>IF(OR(E3788="",E3788="!!!",F3788="NEW"),"",COUNTBLANK(OFFSET(A$1,,,SUMPRODUCT(MAX(ROW(E$2:E3788)*(E3788=E$2:E3788)))))-COUNTBLANK(OFFSET(A$1,,,SUMPRODUCT(MAX(ROW(E$1:E3787)*(E2=E$1:E3787))))))</f>
        <v> </v>
      </c>
      <c r="K3788" s="26" t="str">
        <f>IF(OR(E3788="",E3788="!!!",F3788="NEW"),"",INDEX(J$1:J3787,SUMPRODUCT(MAX(ROW(E$1:E3787)*(E3788=E$1:E3787)))))</f>
        <v> </v>
      </c>
      <c r="L3788" s="27"/>
    </row>
    <row r="3789" spans="1:12">
      <c r="A3789" s="20" t="s">
        <v>2515</v>
      </c>
      <c r="B3789" s="21" t="s">
        <v>1115</v>
      </c>
      <c r="C3789" s="21" t="s">
        <v>1103</v>
      </c>
      <c r="E3789" s="22">
        <f>IF(D3789="?OLD","!!!","")</f>
        <v/>
      </c>
      <c r="F3789" s="23" t="str">
        <f>IF(OR(E3789="",E3789="!!!"),"",IF(NOT(ISNA(VLOOKUP(E3789,E$1:E3788,1,FALSE()))),"OLD",IF(AND(E3789&lt;&gt;"",E3789&lt;&gt;"!!!"),"NEW","")))</f>
        <v> </v>
      </c>
      <c r="G3789" s="24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5" t="str">
        <f>IF(J3789&lt;&gt;1,"",IF(I3789="SBJ","CB","?"))</f>
        <v> </v>
      </c>
      <c r="I3789" s="26" t="str">
        <f>IF(OR(E3789="",E3789="!!!",F3789="NEW"),"",INDEX(B3788:B$2,-1+SUMPRODUCT(MAX(ROW(E3788:E$2)*(E3789=E3788:E$2)))))</f>
        <v> </v>
      </c>
      <c r="J3789" s="26" t="str">
        <f>IF(OR(E3789="",E3789="!!!",F3789="NEW"),"",COUNTBLANK(OFFSET(A$1,,,SUMPRODUCT(MAX(ROW(E$2:E3789)*(E3789=E$2:E3789)))))-COUNTBLANK(OFFSET(A$1,,,SUMPRODUCT(MAX(ROW(E$1:E3788)*(E2=E$1:E3788))))))</f>
        <v> </v>
      </c>
      <c r="K3789" s="26" t="str">
        <f>IF(OR(E3789="",E3789="!!!",F3789="NEW"),"",INDEX(J$1:J3788,SUMPRODUCT(MAX(ROW(E$1:E3788)*(E3789=E$1:E3788)))))</f>
        <v> </v>
      </c>
      <c r="L3789" s="27"/>
    </row>
    <row r="3790" spans="1:12">
      <c r="A3790" s="20" t="s">
        <v>1085</v>
      </c>
      <c r="E3790" s="22">
        <f>IF(D3790="?OLD","!!!","")</f>
        <v/>
      </c>
      <c r="F3790" s="23" t="str">
        <f>IF(OR(E3790="",E3790="!!!"),"",IF(NOT(ISNA(VLOOKUP(E3790,E$1:E3789,1,FALSE()))),"OLD",IF(AND(E3790&lt;&gt;"",E3790&lt;&gt;"!!!"),"NEW","")))</f>
        <v> </v>
      </c>
      <c r="G3790" s="24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5" t="str">
        <f>IF(J3790&lt;&gt;1,"",IF(I3790="SBJ","CB","?"))</f>
        <v> </v>
      </c>
      <c r="I3790" s="26" t="str">
        <f>IF(OR(E3790="",E3790="!!!",F3790="NEW"),"",INDEX(B3789:B$2,-1+SUMPRODUCT(MAX(ROW(E3789:E$2)*(E3790=E3789:E$2)))))</f>
        <v> </v>
      </c>
      <c r="J3790" s="26" t="str">
        <f>IF(OR(E3790="",E3790="!!!",F3790="NEW"),"",COUNTBLANK(OFFSET(A$1,,,SUMPRODUCT(MAX(ROW(E$2:E3790)*(E3790=E$2:E3790)))))-COUNTBLANK(OFFSET(A$1,,,SUMPRODUCT(MAX(ROW(E$1:E3789)*(E2=E$1:E3789))))))</f>
        <v> </v>
      </c>
      <c r="K3790" s="26" t="str">
        <f>IF(OR(E3790="",E3790="!!!",F3790="NEW"),"",INDEX(J$1:J3789,SUMPRODUCT(MAX(ROW(E$1:E3789)*(E3790=E$1:E3789)))))</f>
        <v> </v>
      </c>
      <c r="L3790" s="27"/>
    </row>
    <row r="3791" spans="1:12">
      <c r="A3791" s="20" t="s">
        <v>1091</v>
      </c>
      <c r="E3791" s="22">
        <f>IF(D3791="?OLD","!!!","")</f>
        <v/>
      </c>
      <c r="F3791" s="23" t="str">
        <f>IF(OR(E3791="",E3791="!!!"),"",IF(NOT(ISNA(VLOOKUP(E3791,E$1:E3790,1,FALSE()))),"OLD",IF(AND(E3791&lt;&gt;"",E3791&lt;&gt;"!!!"),"NEW","")))</f>
        <v> </v>
      </c>
      <c r="G3791" s="24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5" t="str">
        <f>IF(J3791&lt;&gt;1,"",IF(I3791="SBJ","CB","?"))</f>
        <v> </v>
      </c>
      <c r="I3791" s="26" t="str">
        <f>IF(OR(E3791="",E3791="!!!",F3791="NEW"),"",INDEX(B3790:B$2,-1+SUMPRODUCT(MAX(ROW(E3790:E$2)*(E3791=E3790:E$2)))))</f>
        <v> </v>
      </c>
      <c r="J3791" s="26" t="str">
        <f>IF(OR(E3791="",E3791="!!!",F3791="NEW"),"",COUNTBLANK(OFFSET(A$1,,,SUMPRODUCT(MAX(ROW(E$2:E3791)*(E3791=E$2:E3791)))))-COUNTBLANK(OFFSET(A$1,,,SUMPRODUCT(MAX(ROW(E$1:E3790)*(E2=E$1:E3790))))))</f>
        <v> </v>
      </c>
      <c r="K3791" s="26" t="str">
        <f>IF(OR(E3791="",E3791="!!!",F3791="NEW"),"",INDEX(J$1:J3790,SUMPRODUCT(MAX(ROW(E$1:E3790)*(E3791=E$1:E3790)))))</f>
        <v> </v>
      </c>
      <c r="L3791" s="27"/>
    </row>
    <row r="3792" spans="1:12">
      <c r="A3792" s="20" t="s">
        <v>2516</v>
      </c>
      <c r="E3792" s="22">
        <f>IF(D3792="?OLD","!!!","")</f>
        <v/>
      </c>
      <c r="F3792" s="23" t="str">
        <f>IF(OR(E3792="",E3792="!!!"),"",IF(NOT(ISNA(VLOOKUP(E3792,E$1:E3791,1,FALSE()))),"OLD",IF(AND(E3792&lt;&gt;"",E3792&lt;&gt;"!!!"),"NEW","")))</f>
        <v> </v>
      </c>
      <c r="G3792" s="24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5" t="str">
        <f>IF(J3792&lt;&gt;1,"",IF(I3792="SBJ","CB","?"))</f>
        <v> </v>
      </c>
      <c r="I3792" s="26" t="str">
        <f>IF(OR(E3792="",E3792="!!!",F3792="NEW"),"",INDEX(B3791:B$2,-1+SUMPRODUCT(MAX(ROW(E3791:E$2)*(E3792=E3791:E$2)))))</f>
        <v> </v>
      </c>
      <c r="J3792" s="26" t="str">
        <f>IF(OR(E3792="",E3792="!!!",F3792="NEW"),"",COUNTBLANK(OFFSET(A$1,,,SUMPRODUCT(MAX(ROW(E$2:E3792)*(E3792=E$2:E3792)))))-COUNTBLANK(OFFSET(A$1,,,SUMPRODUCT(MAX(ROW(E$1:E3791)*(E2=E$1:E3791))))))</f>
        <v> </v>
      </c>
      <c r="K3792" s="26" t="str">
        <f>IF(OR(E3792="",E3792="!!!",F3792="NEW"),"",INDEX(J$1:J3791,SUMPRODUCT(MAX(ROW(E$1:E3791)*(E3792=E$1:E3791)))))</f>
        <v> </v>
      </c>
      <c r="L3792" s="27"/>
    </row>
    <row r="3793" spans="1:12">
      <c r="A3793" s="20" t="s">
        <v>1848</v>
      </c>
      <c r="E3793" s="22">
        <f>IF(D3793="?OLD","!!!","")</f>
        <v/>
      </c>
      <c r="F3793" s="23" t="str">
        <f>IF(OR(E3793="",E3793="!!!"),"",IF(NOT(ISNA(VLOOKUP(E3793,E$1:E3792,1,FALSE()))),"OLD",IF(AND(E3793&lt;&gt;"",E3793&lt;&gt;"!!!"),"NEW","")))</f>
        <v> </v>
      </c>
      <c r="G3793" s="24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5" t="str">
        <f>IF(J3793&lt;&gt;1,"",IF(I3793="SBJ","CB","?"))</f>
        <v> </v>
      </c>
      <c r="I3793" s="26" t="str">
        <f>IF(OR(E3793="",E3793="!!!",F3793="NEW"),"",INDEX(B3792:B$2,-1+SUMPRODUCT(MAX(ROW(E3792:E$2)*(E3793=E3792:E$2)))))</f>
        <v> </v>
      </c>
      <c r="J3793" s="26" t="str">
        <f>IF(OR(E3793="",E3793="!!!",F3793="NEW"),"",COUNTBLANK(OFFSET(A$1,,,SUMPRODUCT(MAX(ROW(E$2:E3793)*(E3793=E$2:E3793)))))-COUNTBLANK(OFFSET(A$1,,,SUMPRODUCT(MAX(ROW(E$1:E3792)*(E2=E$1:E3792))))))</f>
        <v> </v>
      </c>
      <c r="K3793" s="26" t="str">
        <f>IF(OR(E3793="",E3793="!!!",F3793="NEW"),"",INDEX(J$1:J3792,SUMPRODUCT(MAX(ROW(E$1:E3792)*(E3793=E$1:E3792)))))</f>
        <v> </v>
      </c>
      <c r="L3793" s="27"/>
    </row>
    <row r="3794" spans="1:12">
      <c r="A3794" s="20" t="s">
        <v>1098</v>
      </c>
      <c r="E3794" s="22">
        <f>IF(D3794="?OLD","!!!","")</f>
        <v/>
      </c>
      <c r="F3794" s="23" t="str">
        <f>IF(OR(E3794="",E3794="!!!"),"",IF(NOT(ISNA(VLOOKUP(E3794,E$1:E3793,1,FALSE()))),"OLD",IF(AND(E3794&lt;&gt;"",E3794&lt;&gt;"!!!"),"NEW","")))</f>
        <v> </v>
      </c>
      <c r="G3794" s="24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5" t="str">
        <f>IF(J3794&lt;&gt;1,"",IF(I3794="SBJ","CB","?"))</f>
        <v> </v>
      </c>
      <c r="I3794" s="26" t="str">
        <f>IF(OR(E3794="",E3794="!!!",F3794="NEW"),"",INDEX(B3793:B$2,-1+SUMPRODUCT(MAX(ROW(E3793:E$2)*(E3794=E3793:E$2)))))</f>
        <v> </v>
      </c>
      <c r="J3794" s="26" t="str">
        <f>IF(OR(E3794="",E3794="!!!",F3794="NEW"),"",COUNTBLANK(OFFSET(A$1,,,SUMPRODUCT(MAX(ROW(E$2:E3794)*(E3794=E$2:E3794)))))-COUNTBLANK(OFFSET(A$1,,,SUMPRODUCT(MAX(ROW(E$1:E3793)*(E2=E$1:E3793))))))</f>
        <v> </v>
      </c>
      <c r="K3794" s="26" t="str">
        <f>IF(OR(E3794="",E3794="!!!",F3794="NEW"),"",INDEX(J$1:J3793,SUMPRODUCT(MAX(ROW(E$1:E3793)*(E3794=E$1:E3793)))))</f>
        <v> </v>
      </c>
      <c r="L3794" s="27"/>
    </row>
    <row r="3795" spans="1:12">
      <c r="A3795" s="20" t="s">
        <v>1708</v>
      </c>
      <c r="B3795" s="21" t="s">
        <v>1140</v>
      </c>
      <c r="C3795" s="21" t="s">
        <v>1073</v>
      </c>
      <c r="D3795" s="21" t="s">
        <v>1074</v>
      </c>
      <c r="E3795" s="22">
        <f>IF(D3795="?OLD","!!!","")</f>
        <v/>
      </c>
      <c r="F3795" s="23" t="str">
        <f>IF(OR(E3795="",E3795="!!!"),"",IF(NOT(ISNA(VLOOKUP(E3795,E$1:E3794,1,FALSE()))),"OLD",IF(AND(E3795&lt;&gt;"",E3795&lt;&gt;"!!!"),"NEW","")))</f>
        <v> </v>
      </c>
      <c r="G3795" s="24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5" t="str">
        <f>IF(J3795&lt;&gt;1,"",IF(I3795="SBJ","CB","?"))</f>
        <v> </v>
      </c>
      <c r="I3795" s="26" t="str">
        <f>IF(OR(E3795="",E3795="!!!",F3795="NEW"),"",INDEX(B3794:B$2,-1+SUMPRODUCT(MAX(ROW(E3794:E$2)*(E3795=E3794:E$2)))))</f>
        <v> </v>
      </c>
      <c r="J3795" s="26" t="str">
        <f>IF(OR(E3795="",E3795="!!!",F3795="NEW"),"",COUNTBLANK(OFFSET(A$1,,,SUMPRODUCT(MAX(ROW(E$2:E3795)*(E3795=E$2:E3795)))))-COUNTBLANK(OFFSET(A$1,,,SUMPRODUCT(MAX(ROW(E$1:E3794)*(E2=E$1:E3794))))))</f>
        <v> </v>
      </c>
      <c r="K3795" s="26" t="str">
        <f>IF(OR(E3795="",E3795="!!!",F3795="NEW"),"",INDEX(J$1:J3794,SUMPRODUCT(MAX(ROW(E$1:E3794)*(E3795=E$1:E3794)))))</f>
        <v> </v>
      </c>
      <c r="L3795" s="27"/>
    </row>
    <row r="3796" spans="1:12">
      <c r="A3796" s="20" t="s">
        <v>1106</v>
      </c>
      <c r="E3796" s="22">
        <f>IF(D3796="?OLD","!!!","")</f>
        <v/>
      </c>
      <c r="F3796" s="23" t="str">
        <f>IF(OR(E3796="",E3796="!!!"),"",IF(NOT(ISNA(VLOOKUP(E3796,E$1:E3795,1,FALSE()))),"OLD",IF(AND(E3796&lt;&gt;"",E3796&lt;&gt;"!!!"),"NEW","")))</f>
        <v> </v>
      </c>
      <c r="G3796" s="24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5" t="str">
        <f>IF(J3796&lt;&gt;1,"",IF(I3796="SBJ","CB","?"))</f>
        <v> </v>
      </c>
      <c r="I3796" s="26" t="str">
        <f>IF(OR(E3796="",E3796="!!!",F3796="NEW"),"",INDEX(B3795:B$2,-1+SUMPRODUCT(MAX(ROW(E3795:E$2)*(E3796=E3795:E$2)))))</f>
        <v> </v>
      </c>
      <c r="J3796" s="26" t="str">
        <f>IF(OR(E3796="",E3796="!!!",F3796="NEW"),"",COUNTBLANK(OFFSET(A$1,,,SUMPRODUCT(MAX(ROW(E$2:E3796)*(E3796=E$2:E3796)))))-COUNTBLANK(OFFSET(A$1,,,SUMPRODUCT(MAX(ROW(E$1:E3795)*(E2=E$1:E3795))))))</f>
        <v> </v>
      </c>
      <c r="K3796" s="26" t="str">
        <f>IF(OR(E3796="",E3796="!!!",F3796="NEW"),"",INDEX(J$1:J3795,SUMPRODUCT(MAX(ROW(E$1:E3795)*(E3796=E$1:E3795)))))</f>
        <v> </v>
      </c>
      <c r="L3796" s="27"/>
    </row>
    <row r="3797" spans="1:12">
      <c r="A3797" s="20"/>
    </row>
    <row r="3798" spans="1:12">
      <c r="A3798" s="20" t="s">
        <v>1510</v>
      </c>
    </row>
    <row r="3799" spans="1:12">
      <c r="A3799" s="20" t="s">
        <v>1132</v>
      </c>
      <c r="B3799" s="21" t="s">
        <v>1072</v>
      </c>
      <c r="C3799" s="21" t="s">
        <v>1073</v>
      </c>
      <c r="D3799" s="21" t="s">
        <v>1074</v>
      </c>
      <c r="E3799" s="22">
        <f>IF(D3799="?OLD","!!!","")</f>
        <v/>
      </c>
      <c r="F3799" s="23" t="str">
        <f>IF(OR(E3799="",E3799="!!!"),"",IF(NOT(ISNA(VLOOKUP(E3799,E$1:E3798,1,FALSE()))),"OLD",IF(AND(E3799&lt;&gt;"",E3799&lt;&gt;"!!!"),"NEW","")))</f>
        <v> </v>
      </c>
      <c r="G3799" s="24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5" t="str">
        <f>IF(J3799&lt;&gt;1,"",IF(I3799="SBJ","CB","?"))</f>
        <v> </v>
      </c>
      <c r="I3799" s="26" t="str">
        <f>IF(OR(E3799="",E3799="!!!",F3799="NEW"),"",INDEX(B3798:B$2,-1+SUMPRODUCT(MAX(ROW(E3798:E$2)*(E3799=E3798:E$2)))))</f>
        <v> </v>
      </c>
      <c r="J3799" s="26" t="str">
        <f>IF(OR(E3799="",E3799="!!!",F3799="NEW"),"",COUNTBLANK(OFFSET(A$1,,,SUMPRODUCT(MAX(ROW(E$2:E3799)*(E3799=E$2:E3799)))))-COUNTBLANK(OFFSET(A$1,,,SUMPRODUCT(MAX(ROW(E$1:E3798)*(E2=E$1:E3798))))))</f>
        <v> </v>
      </c>
      <c r="K3799" s="26" t="str">
        <f>IF(OR(E3799="",E3799="!!!",F3799="NEW"),"",INDEX(J$1:J3798,SUMPRODUCT(MAX(ROW(E$1:E3798)*(E3799=E$1:E3798)))))</f>
        <v> </v>
      </c>
      <c r="L3799" s="27"/>
    </row>
    <row r="3800" spans="1:12">
      <c r="A3800" s="20" t="s">
        <v>1076</v>
      </c>
      <c r="E3800" s="22">
        <f>IF(D3800="?OLD","!!!","")</f>
        <v/>
      </c>
      <c r="F3800" s="23" t="str">
        <f>IF(OR(E3800="",E3800="!!!"),"",IF(NOT(ISNA(VLOOKUP(E3800,E$1:E3799,1,FALSE()))),"OLD",IF(AND(E3800&lt;&gt;"",E3800&lt;&gt;"!!!"),"NEW","")))</f>
        <v> </v>
      </c>
      <c r="G3800" s="24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5" t="str">
        <f>IF(J3800&lt;&gt;1,"",IF(I3800="SBJ","CB","?"))</f>
        <v> </v>
      </c>
      <c r="I3800" s="26" t="str">
        <f>IF(OR(E3800="",E3800="!!!",F3800="NEW"),"",INDEX(B3799:B$2,-1+SUMPRODUCT(MAX(ROW(E3799:E$2)*(E3800=E3799:E$2)))))</f>
        <v> </v>
      </c>
      <c r="J3800" s="26" t="str">
        <f>IF(OR(E3800="",E3800="!!!",F3800="NEW"),"",COUNTBLANK(OFFSET(A$1,,,SUMPRODUCT(MAX(ROW(E$2:E3800)*(E3800=E$2:E3800)))))-COUNTBLANK(OFFSET(A$1,,,SUMPRODUCT(MAX(ROW(E$1:E3799)*(E2=E$1:E3799))))))</f>
        <v> </v>
      </c>
      <c r="K3800" s="26" t="str">
        <f>IF(OR(E3800="",E3800="!!!",F3800="NEW"),"",INDEX(J$1:J3799,SUMPRODUCT(MAX(ROW(E$1:E3799)*(E3800=E$1:E3799)))))</f>
        <v> </v>
      </c>
      <c r="L3800" s="27"/>
    </row>
    <row r="3801" spans="1:12">
      <c r="A3801" s="20"/>
    </row>
    <row r="3802" spans="1:12">
      <c r="A3802" s="20" t="s">
        <v>2517</v>
      </c>
    </row>
    <row r="3803" spans="1:12">
      <c r="A3803" s="20" t="s">
        <v>1523</v>
      </c>
      <c r="B3803" s="21" t="s">
        <v>1109</v>
      </c>
      <c r="C3803" s="21" t="s">
        <v>1181</v>
      </c>
      <c r="E3803" s="22">
        <f>IF(D3803="?OLD","!!!","")</f>
        <v/>
      </c>
      <c r="F3803" s="23" t="str">
        <f>IF(OR(E3803="",E3803="!!!"),"",IF(NOT(ISNA(VLOOKUP(E3803,E$1:E3802,1,FALSE()))),"OLD",IF(AND(E3803&lt;&gt;"",E3803&lt;&gt;"!!!"),"NEW","")))</f>
        <v> </v>
      </c>
      <c r="G3803" s="24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5" t="str">
        <f>IF(J3803&lt;&gt;1,"",IF(I3803="SBJ","CB","?"))</f>
        <v> </v>
      </c>
      <c r="I3803" s="26" t="str">
        <f>IF(OR(E3803="",E3803="!!!",F3803="NEW"),"",INDEX(B3802:B$2,-1+SUMPRODUCT(MAX(ROW(E3802:E$2)*(E3803=E3802:E$2)))))</f>
        <v> </v>
      </c>
      <c r="J3803" s="26" t="str">
        <f>IF(OR(E3803="",E3803="!!!",F3803="NEW"),"",COUNTBLANK(OFFSET(A$1,,,SUMPRODUCT(MAX(ROW(E$2:E3803)*(E3803=E$2:E3803)))))-COUNTBLANK(OFFSET(A$1,,,SUMPRODUCT(MAX(ROW(E$1:E3802)*(E2=E$1:E3802))))))</f>
        <v> </v>
      </c>
      <c r="K3803" s="26" t="str">
        <f>IF(OR(E3803="",E3803="!!!",F3803="NEW"),"",INDEX(J$1:J3802,SUMPRODUCT(MAX(ROW(E$1:E3802)*(E3803=E$1:E3802)))))</f>
        <v> </v>
      </c>
      <c r="L3803" s="27"/>
    </row>
    <row r="3804" spans="1:12">
      <c r="A3804" s="20" t="s">
        <v>2518</v>
      </c>
      <c r="E3804" s="22">
        <f>IF(D3804="?OLD","!!!","")</f>
        <v/>
      </c>
      <c r="F3804" s="23" t="str">
        <f>IF(OR(E3804="",E3804="!!!"),"",IF(NOT(ISNA(VLOOKUP(E3804,E$1:E3803,1,FALSE()))),"OLD",IF(AND(E3804&lt;&gt;"",E3804&lt;&gt;"!!!"),"NEW","")))</f>
        <v> </v>
      </c>
      <c r="G3804" s="24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5" t="str">
        <f>IF(J3804&lt;&gt;1,"",IF(I3804="SBJ","CB","?"))</f>
        <v> </v>
      </c>
      <c r="I3804" s="26" t="str">
        <f>IF(OR(E3804="",E3804="!!!",F3804="NEW"),"",INDEX(B3803:B$2,-1+SUMPRODUCT(MAX(ROW(E3803:E$2)*(E3804=E3803:E$2)))))</f>
        <v> </v>
      </c>
      <c r="J3804" s="26" t="str">
        <f>IF(OR(E3804="",E3804="!!!",F3804="NEW"),"",COUNTBLANK(OFFSET(A$1,,,SUMPRODUCT(MAX(ROW(E$2:E3804)*(E3804=E$2:E3804)))))-COUNTBLANK(OFFSET(A$1,,,SUMPRODUCT(MAX(ROW(E$1:E3803)*(E2=E$1:E3803))))))</f>
        <v> </v>
      </c>
      <c r="K3804" s="26" t="str">
        <f>IF(OR(E3804="",E3804="!!!",F3804="NEW"),"",INDEX(J$1:J3803,SUMPRODUCT(MAX(ROW(E$1:E3803)*(E3804=E$1:E3803)))))</f>
        <v> </v>
      </c>
      <c r="L3804" s="27"/>
    </row>
    <row r="3805" spans="1:12">
      <c r="A3805" s="20" t="s">
        <v>1241</v>
      </c>
      <c r="B3805" s="21" t="s">
        <v>1227</v>
      </c>
      <c r="C3805" s="21" t="s">
        <v>1081</v>
      </c>
      <c r="D3805" s="21" t="s">
        <v>1074</v>
      </c>
      <c r="E3805" s="22">
        <f>IF(D3805="?OLD","!!!","")</f>
        <v/>
      </c>
      <c r="F3805" s="23" t="str">
        <f>IF(OR(E3805="",E3805="!!!"),"",IF(NOT(ISNA(VLOOKUP(E3805,E$1:E3804,1,FALSE()))),"OLD",IF(AND(E3805&lt;&gt;"",E3805&lt;&gt;"!!!"),"NEW","")))</f>
        <v> </v>
      </c>
      <c r="G3805" s="24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5" t="str">
        <f>IF(J3805&lt;&gt;1,"",IF(I3805="SBJ","CB","?"))</f>
        <v> </v>
      </c>
      <c r="I3805" s="26" t="str">
        <f>IF(OR(E3805="",E3805="!!!",F3805="NEW"),"",INDEX(B3804:B$2,-1+SUMPRODUCT(MAX(ROW(E3804:E$2)*(E3805=E3804:E$2)))))</f>
        <v> </v>
      </c>
      <c r="J3805" s="26" t="str">
        <f>IF(OR(E3805="",E3805="!!!",F3805="NEW"),"",COUNTBLANK(OFFSET(A$1,,,SUMPRODUCT(MAX(ROW(E$2:E3805)*(E3805=E$2:E3805)))))-COUNTBLANK(OFFSET(A$1,,,SUMPRODUCT(MAX(ROW(E$1:E3804)*(E2=E$1:E3804))))))</f>
        <v> </v>
      </c>
      <c r="K3805" s="26" t="str">
        <f>IF(OR(E3805="",E3805="!!!",F3805="NEW"),"",INDEX(J$1:J3804,SUMPRODUCT(MAX(ROW(E$1:E3804)*(E3805=E$1:E3804)))))</f>
        <v> </v>
      </c>
      <c r="L3805" s="27"/>
    </row>
    <row r="3806" spans="1:12">
      <c r="A3806" s="20" t="s">
        <v>1380</v>
      </c>
      <c r="E3806" s="22">
        <f>IF(D3806="?OLD","!!!","")</f>
        <v/>
      </c>
      <c r="F3806" s="23" t="str">
        <f>IF(OR(E3806="",E3806="!!!"),"",IF(NOT(ISNA(VLOOKUP(E3806,E$1:E3805,1,FALSE()))),"OLD",IF(AND(E3806&lt;&gt;"",E3806&lt;&gt;"!!!"),"NEW","")))</f>
        <v> </v>
      </c>
      <c r="G3806" s="24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5" t="str">
        <f>IF(J3806&lt;&gt;1,"",IF(I3806="SBJ","CB","?"))</f>
        <v> </v>
      </c>
      <c r="I3806" s="26" t="str">
        <f>IF(OR(E3806="",E3806="!!!",F3806="NEW"),"",INDEX(B3805:B$2,-1+SUMPRODUCT(MAX(ROW(E3805:E$2)*(E3806=E3805:E$2)))))</f>
        <v> </v>
      </c>
      <c r="J3806" s="26" t="str">
        <f>IF(OR(E3806="",E3806="!!!",F3806="NEW"),"",COUNTBLANK(OFFSET(A$1,,,SUMPRODUCT(MAX(ROW(E$2:E3806)*(E3806=E$2:E3806)))))-COUNTBLANK(OFFSET(A$1,,,SUMPRODUCT(MAX(ROW(E$1:E3805)*(E2=E$1:E3805))))))</f>
        <v> </v>
      </c>
      <c r="K3806" s="26" t="str">
        <f>IF(OR(E3806="",E3806="!!!",F3806="NEW"),"",INDEX(J$1:J3805,SUMPRODUCT(MAX(ROW(E$1:E3805)*(E3806=E$1:E3805)))))</f>
        <v> </v>
      </c>
      <c r="L3806" s="27"/>
    </row>
    <row r="3807" spans="1:12">
      <c r="A3807" s="20" t="s">
        <v>2519</v>
      </c>
      <c r="E3807" s="22">
        <f>IF(D3807="?OLD","!!!","")</f>
        <v/>
      </c>
      <c r="F3807" s="23" t="str">
        <f>IF(OR(E3807="",E3807="!!!"),"",IF(NOT(ISNA(VLOOKUP(E3807,E$1:E3806,1,FALSE()))),"OLD",IF(AND(E3807&lt;&gt;"",E3807&lt;&gt;"!!!"),"NEW","")))</f>
        <v> </v>
      </c>
      <c r="G3807" s="24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5" t="str">
        <f>IF(J3807&lt;&gt;1,"",IF(I3807="SBJ","CB","?"))</f>
        <v> </v>
      </c>
      <c r="I3807" s="26" t="str">
        <f>IF(OR(E3807="",E3807="!!!",F3807="NEW"),"",INDEX(B3806:B$2,-1+SUMPRODUCT(MAX(ROW(E3806:E$2)*(E3807=E3806:E$2)))))</f>
        <v> </v>
      </c>
      <c r="J3807" s="26" t="str">
        <f>IF(OR(E3807="",E3807="!!!",F3807="NEW"),"",COUNTBLANK(OFFSET(A$1,,,SUMPRODUCT(MAX(ROW(E$2:E3807)*(E3807=E$2:E3807)))))-COUNTBLANK(OFFSET(A$1,,,SUMPRODUCT(MAX(ROW(E$1:E3806)*(E2=E$1:E3806))))))</f>
        <v> </v>
      </c>
      <c r="K3807" s="26" t="str">
        <f>IF(OR(E3807="",E3807="!!!",F3807="NEW"),"",INDEX(J$1:J3806,SUMPRODUCT(MAX(ROW(E$1:E3806)*(E3807=E$1:E3806)))))</f>
        <v> </v>
      </c>
      <c r="L3807" s="27"/>
    </row>
    <row r="3808" spans="1:12">
      <c r="A3808" s="20" t="s">
        <v>1138</v>
      </c>
      <c r="E3808" s="22">
        <f>IF(D3808="?OLD","!!!","")</f>
        <v/>
      </c>
      <c r="F3808" s="23" t="str">
        <f>IF(OR(E3808="",E3808="!!!"),"",IF(NOT(ISNA(VLOOKUP(E3808,E$1:E3807,1,FALSE()))),"OLD",IF(AND(E3808&lt;&gt;"",E3808&lt;&gt;"!!!"),"NEW","")))</f>
        <v> </v>
      </c>
      <c r="G3808" s="24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5" t="str">
        <f>IF(J3808&lt;&gt;1,"",IF(I3808="SBJ","CB","?"))</f>
        <v> </v>
      </c>
      <c r="I3808" s="26" t="str">
        <f>IF(OR(E3808="",E3808="!!!",F3808="NEW"),"",INDEX(B3807:B$2,-1+SUMPRODUCT(MAX(ROW(E3807:E$2)*(E3808=E3807:E$2)))))</f>
        <v> </v>
      </c>
      <c r="J3808" s="26" t="str">
        <f>IF(OR(E3808="",E3808="!!!",F3808="NEW"),"",COUNTBLANK(OFFSET(A$1,,,SUMPRODUCT(MAX(ROW(E$2:E3808)*(E3808=E$2:E3808)))))-COUNTBLANK(OFFSET(A$1,,,SUMPRODUCT(MAX(ROW(E$1:E3807)*(E2=E$1:E3807))))))</f>
        <v> </v>
      </c>
      <c r="K3808" s="26" t="str">
        <f>IF(OR(E3808="",E3808="!!!",F3808="NEW"),"",INDEX(J$1:J3807,SUMPRODUCT(MAX(ROW(E$1:E3807)*(E3808=E$1:E3807)))))</f>
        <v> </v>
      </c>
      <c r="L3808" s="27"/>
    </row>
    <row r="3809" spans="1:12">
      <c r="A3809" s="20" t="s">
        <v>2520</v>
      </c>
      <c r="E3809" s="22">
        <f>IF(D3809="?OLD","!!!","")</f>
        <v/>
      </c>
      <c r="F3809" s="23" t="str">
        <f>IF(OR(E3809="",E3809="!!!"),"",IF(NOT(ISNA(VLOOKUP(E3809,E$1:E3808,1,FALSE()))),"OLD",IF(AND(E3809&lt;&gt;"",E3809&lt;&gt;"!!!"),"NEW","")))</f>
        <v> </v>
      </c>
      <c r="G3809" s="24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5" t="str">
        <f>IF(J3809&lt;&gt;1,"",IF(I3809="SBJ","CB","?"))</f>
        <v> </v>
      </c>
      <c r="I3809" s="26" t="str">
        <f>IF(OR(E3809="",E3809="!!!",F3809="NEW"),"",INDEX(B3808:B$2,-1+SUMPRODUCT(MAX(ROW(E3808:E$2)*(E3809=E3808:E$2)))))</f>
        <v> </v>
      </c>
      <c r="J3809" s="26" t="str">
        <f>IF(OR(E3809="",E3809="!!!",F3809="NEW"),"",COUNTBLANK(OFFSET(A$1,,,SUMPRODUCT(MAX(ROW(E$2:E3809)*(E3809=E$2:E3809)))))-COUNTBLANK(OFFSET(A$1,,,SUMPRODUCT(MAX(ROW(E$1:E3808)*(E2=E$1:E3808))))))</f>
        <v> </v>
      </c>
      <c r="K3809" s="26" t="str">
        <f>IF(OR(E3809="",E3809="!!!",F3809="NEW"),"",INDEX(J$1:J3808,SUMPRODUCT(MAX(ROW(E$1:E3808)*(E3809=E$1:E3808)))))</f>
        <v> </v>
      </c>
      <c r="L3809" s="27"/>
    </row>
    <row r="3810" spans="1:12">
      <c r="A3810" s="20" t="s">
        <v>1106</v>
      </c>
      <c r="E3810" s="22">
        <f>IF(D3810="?OLD","!!!","")</f>
        <v/>
      </c>
      <c r="F3810" s="23" t="str">
        <f>IF(OR(E3810="",E3810="!!!"),"",IF(NOT(ISNA(VLOOKUP(E3810,E$1:E3809,1,FALSE()))),"OLD",IF(AND(E3810&lt;&gt;"",E3810&lt;&gt;"!!!"),"NEW","")))</f>
        <v> </v>
      </c>
      <c r="G3810" s="24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5" t="str">
        <f>IF(J3810&lt;&gt;1,"",IF(I3810="SBJ","CB","?"))</f>
        <v> </v>
      </c>
      <c r="I3810" s="26" t="str">
        <f>IF(OR(E3810="",E3810="!!!",F3810="NEW"),"",INDEX(B3809:B$2,-1+SUMPRODUCT(MAX(ROW(E3809:E$2)*(E3810=E3809:E$2)))))</f>
        <v> </v>
      </c>
      <c r="J3810" s="26" t="str">
        <f>IF(OR(E3810="",E3810="!!!",F3810="NEW"),"",COUNTBLANK(OFFSET(A$1,,,SUMPRODUCT(MAX(ROW(E$2:E3810)*(E3810=E$2:E3810)))))-COUNTBLANK(OFFSET(A$1,,,SUMPRODUCT(MAX(ROW(E$1:E3809)*(E2=E$1:E3809))))))</f>
        <v> </v>
      </c>
      <c r="K3810" s="26" t="str">
        <f>IF(OR(E3810="",E3810="!!!",F3810="NEW"),"",INDEX(J$1:J3809,SUMPRODUCT(MAX(ROW(E$1:E3809)*(E3810=E$1:E3809)))))</f>
        <v> </v>
      </c>
      <c r="L3810" s="27"/>
    </row>
    <row r="3811" spans="1:12">
      <c r="A3811" s="20"/>
    </row>
    <row r="3812" spans="1:12">
      <c r="A3812" s="20" t="s">
        <v>2521</v>
      </c>
    </row>
    <row r="3813" spans="1:12">
      <c r="A3813" s="20" t="s">
        <v>1841</v>
      </c>
      <c r="B3813" s="21" t="s">
        <v>1109</v>
      </c>
      <c r="C3813" s="21" t="s">
        <v>1081</v>
      </c>
      <c r="D3813" s="21" t="s">
        <v>1074</v>
      </c>
      <c r="E3813" s="22">
        <f>IF(D3813="?OLD","!!!","")</f>
        <v/>
      </c>
      <c r="F3813" s="23" t="str">
        <f>IF(OR(E3813="",E3813="!!!"),"",IF(NOT(ISNA(VLOOKUP(E3813,E$1:E3812,1,FALSE()))),"OLD",IF(AND(E3813&lt;&gt;"",E3813&lt;&gt;"!!!"),"NEW","")))</f>
        <v> </v>
      </c>
      <c r="G3813" s="24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5" t="str">
        <f>IF(J3813&lt;&gt;1,"",IF(I3813="SBJ","CB","?"))</f>
        <v> </v>
      </c>
      <c r="I3813" s="26" t="str">
        <f>IF(OR(E3813="",E3813="!!!",F3813="NEW"),"",INDEX(B3812:B$2,-1+SUMPRODUCT(MAX(ROW(E3812:E$2)*(E3813=E3812:E$2)))))</f>
        <v> </v>
      </c>
      <c r="J3813" s="26" t="str">
        <f>IF(OR(E3813="",E3813="!!!",F3813="NEW"),"",COUNTBLANK(OFFSET(A$1,,,SUMPRODUCT(MAX(ROW(E$2:E3813)*(E3813=E$2:E3813)))))-COUNTBLANK(OFFSET(A$1,,,SUMPRODUCT(MAX(ROW(E$1:E3812)*(E2=E$1:E3812))))))</f>
        <v> </v>
      </c>
      <c r="K3813" s="26" t="str">
        <f>IF(OR(E3813="",E3813="!!!",F3813="NEW"),"",INDEX(J$1:J3812,SUMPRODUCT(MAX(ROW(E$1:E3812)*(E3813=E$1:E3812)))))</f>
        <v> </v>
      </c>
      <c r="L3813" s="27"/>
    </row>
    <row r="3814" spans="1:12">
      <c r="A3814" s="20" t="s">
        <v>216</v>
      </c>
      <c r="E3814" s="22">
        <f>IF(D3814="?OLD","!!!","")</f>
        <v/>
      </c>
      <c r="F3814" s="23" t="str">
        <f>IF(OR(E3814="",E3814="!!!"),"",IF(NOT(ISNA(VLOOKUP(E3814,E$1:E3813,1,FALSE()))),"OLD",IF(AND(E3814&lt;&gt;"",E3814&lt;&gt;"!!!"),"NEW","")))</f>
        <v> </v>
      </c>
      <c r="G3814" s="24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5" t="str">
        <f>IF(J3814&lt;&gt;1,"",IF(I3814="SBJ","CB","?"))</f>
        <v> </v>
      </c>
      <c r="I3814" s="26" t="str">
        <f>IF(OR(E3814="",E3814="!!!",F3814="NEW"),"",INDEX(B3813:B$2,-1+SUMPRODUCT(MAX(ROW(E3813:E$2)*(E3814=E3813:E$2)))))</f>
        <v> </v>
      </c>
      <c r="J3814" s="26" t="str">
        <f>IF(OR(E3814="",E3814="!!!",F3814="NEW"),"",COUNTBLANK(OFFSET(A$1,,,SUMPRODUCT(MAX(ROW(E$2:E3814)*(E3814=E$2:E3814)))))-COUNTBLANK(OFFSET(A$1,,,SUMPRODUCT(MAX(ROW(E$1:E3813)*(E2=E$1:E3813))))))</f>
        <v> </v>
      </c>
      <c r="K3814" s="26" t="str">
        <f>IF(OR(E3814="",E3814="!!!",F3814="NEW"),"",INDEX(J$1:J3813,SUMPRODUCT(MAX(ROW(E$1:E3813)*(E3814=E$1:E3813)))))</f>
        <v> </v>
      </c>
      <c r="L3814" s="27"/>
    </row>
    <row r="3815" spans="1:12">
      <c r="A3815" s="20" t="s">
        <v>1122</v>
      </c>
      <c r="E3815" s="22">
        <f>IF(D3815="?OLD","!!!","")</f>
        <v/>
      </c>
      <c r="F3815" s="23" t="str">
        <f>IF(OR(E3815="",E3815="!!!"),"",IF(NOT(ISNA(VLOOKUP(E3815,E$1:E3814,1,FALSE()))),"OLD",IF(AND(E3815&lt;&gt;"",E3815&lt;&gt;"!!!"),"NEW","")))</f>
        <v> </v>
      </c>
      <c r="G3815" s="24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5" t="str">
        <f>IF(J3815&lt;&gt;1,"",IF(I3815="SBJ","CB","?"))</f>
        <v> </v>
      </c>
      <c r="I3815" s="26" t="str">
        <f>IF(OR(E3815="",E3815="!!!",F3815="NEW"),"",INDEX(B3814:B$2,-1+SUMPRODUCT(MAX(ROW(E3814:E$2)*(E3815=E3814:E$2)))))</f>
        <v> </v>
      </c>
      <c r="J3815" s="26" t="str">
        <f>IF(OR(E3815="",E3815="!!!",F3815="NEW"),"",COUNTBLANK(OFFSET(A$1,,,SUMPRODUCT(MAX(ROW(E$2:E3815)*(E3815=E$2:E3815)))))-COUNTBLANK(OFFSET(A$1,,,SUMPRODUCT(MAX(ROW(E$1:E3814)*(E2=E$1:E3814))))))</f>
        <v> </v>
      </c>
      <c r="K3815" s="26" t="str">
        <f>IF(OR(E3815="",E3815="!!!",F3815="NEW"),"",INDEX(J$1:J3814,SUMPRODUCT(MAX(ROW(E$1:E3814)*(E3815=E$1:E3814)))))</f>
        <v> </v>
      </c>
      <c r="L3815" s="27"/>
    </row>
    <row r="3816" spans="1:12">
      <c r="A3816" s="20" t="s">
        <v>2522</v>
      </c>
      <c r="E3816" s="22">
        <f>IF(D3816="?OLD","!!!","")</f>
        <v/>
      </c>
      <c r="F3816" s="23" t="str">
        <f>IF(OR(E3816="",E3816="!!!"),"",IF(NOT(ISNA(VLOOKUP(E3816,E$1:E3815,1,FALSE()))),"OLD",IF(AND(E3816&lt;&gt;"",E3816&lt;&gt;"!!!"),"NEW","")))</f>
        <v> </v>
      </c>
      <c r="G3816" s="24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5" t="str">
        <f>IF(J3816&lt;&gt;1,"",IF(I3816="SBJ","CB","?"))</f>
        <v> </v>
      </c>
      <c r="I3816" s="26" t="str">
        <f>IF(OR(E3816="",E3816="!!!",F3816="NEW"),"",INDEX(B3815:B$2,-1+SUMPRODUCT(MAX(ROW(E3815:E$2)*(E3816=E3815:E$2)))))</f>
        <v> </v>
      </c>
      <c r="J3816" s="26" t="str">
        <f>IF(OR(E3816="",E3816="!!!",F3816="NEW"),"",COUNTBLANK(OFFSET(A$1,,,SUMPRODUCT(MAX(ROW(E$2:E3816)*(E3816=E$2:E3816)))))-COUNTBLANK(OFFSET(A$1,,,SUMPRODUCT(MAX(ROW(E$1:E3815)*(E2=E$1:E3815))))))</f>
        <v> </v>
      </c>
      <c r="K3816" s="26" t="str">
        <f>IF(OR(E3816="",E3816="!!!",F3816="NEW"),"",INDEX(J$1:J3815,SUMPRODUCT(MAX(ROW(E$1:E3815)*(E3816=E$1:E3815)))))</f>
        <v> </v>
      </c>
      <c r="L3816" s="27"/>
    </row>
    <row r="3817" spans="1:12">
      <c r="A3817" s="20" t="s">
        <v>1085</v>
      </c>
      <c r="E3817" s="22">
        <f>IF(D3817="?OLD","!!!","")</f>
        <v/>
      </c>
      <c r="F3817" s="23" t="str">
        <f>IF(OR(E3817="",E3817="!!!"),"",IF(NOT(ISNA(VLOOKUP(E3817,E$1:E3816,1,FALSE()))),"OLD",IF(AND(E3817&lt;&gt;"",E3817&lt;&gt;"!!!"),"NEW","")))</f>
        <v> </v>
      </c>
      <c r="G3817" s="24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5" t="str">
        <f>IF(J3817&lt;&gt;1,"",IF(I3817="SBJ","CB","?"))</f>
        <v> </v>
      </c>
      <c r="I3817" s="26" t="str">
        <f>IF(OR(E3817="",E3817="!!!",F3817="NEW"),"",INDEX(B3816:B$2,-1+SUMPRODUCT(MAX(ROW(E3816:E$2)*(E3817=E3816:E$2)))))</f>
        <v> </v>
      </c>
      <c r="J3817" s="26" t="str">
        <f>IF(OR(E3817="",E3817="!!!",F3817="NEW"),"",COUNTBLANK(OFFSET(A$1,,,SUMPRODUCT(MAX(ROW(E$2:E3817)*(E3817=E$2:E3817)))))-COUNTBLANK(OFFSET(A$1,,,SUMPRODUCT(MAX(ROW(E$1:E3816)*(E2=E$1:E3816))))))</f>
        <v> </v>
      </c>
      <c r="K3817" s="26" t="str">
        <f>IF(OR(E3817="",E3817="!!!",F3817="NEW"),"",INDEX(J$1:J3816,SUMPRODUCT(MAX(ROW(E$1:E3816)*(E3817=E$1:E3816)))))</f>
        <v> </v>
      </c>
      <c r="L3817" s="27"/>
    </row>
    <row r="3818" spans="1:12">
      <c r="A3818" s="20" t="s">
        <v>1292</v>
      </c>
      <c r="B3818" s="21" t="s">
        <v>1119</v>
      </c>
      <c r="C3818" s="21" t="s">
        <v>1181</v>
      </c>
      <c r="E3818" s="22">
        <f>IF(D3818="?OLD","!!!","")</f>
        <v/>
      </c>
      <c r="F3818" s="23" t="str">
        <f>IF(OR(E3818="",E3818="!!!"),"",IF(NOT(ISNA(VLOOKUP(E3818,E$1:E3817,1,FALSE()))),"OLD",IF(AND(E3818&lt;&gt;"",E3818&lt;&gt;"!!!"),"NEW","")))</f>
        <v> </v>
      </c>
      <c r="G3818" s="24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5" t="str">
        <f>IF(J3818&lt;&gt;1,"",IF(I3818="SBJ","CB","?"))</f>
        <v> </v>
      </c>
      <c r="I3818" s="26" t="str">
        <f>IF(OR(E3818="",E3818="!!!",F3818="NEW"),"",INDEX(B3817:B$2,-1+SUMPRODUCT(MAX(ROW(E3817:E$2)*(E3818=E3817:E$2)))))</f>
        <v> </v>
      </c>
      <c r="J3818" s="26" t="str">
        <f>IF(OR(E3818="",E3818="!!!",F3818="NEW"),"",COUNTBLANK(OFFSET(A$1,,,SUMPRODUCT(MAX(ROW(E$2:E3818)*(E3818=E$2:E3818)))))-COUNTBLANK(OFFSET(A$1,,,SUMPRODUCT(MAX(ROW(E$1:E3817)*(E2=E$1:E3817))))))</f>
        <v> </v>
      </c>
      <c r="K3818" s="26" t="str">
        <f>IF(OR(E3818="",E3818="!!!",F3818="NEW"),"",INDEX(J$1:J3817,SUMPRODUCT(MAX(ROW(E$1:E3817)*(E3818=E$1:E3817)))))</f>
        <v> </v>
      </c>
      <c r="L3818" s="27"/>
    </row>
    <row r="3819" spans="1:12">
      <c r="A3819" s="20" t="s">
        <v>2523</v>
      </c>
      <c r="E3819" s="22">
        <f>IF(D3819="?OLD","!!!","")</f>
        <v/>
      </c>
      <c r="F3819" s="23" t="str">
        <f>IF(OR(E3819="",E3819="!!!"),"",IF(NOT(ISNA(VLOOKUP(E3819,E$1:E3818,1,FALSE()))),"OLD",IF(AND(E3819&lt;&gt;"",E3819&lt;&gt;"!!!"),"NEW","")))</f>
        <v> </v>
      </c>
      <c r="G3819" s="24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5" t="str">
        <f>IF(J3819&lt;&gt;1,"",IF(I3819="SBJ","CB","?"))</f>
        <v> </v>
      </c>
      <c r="I3819" s="26" t="str">
        <f>IF(OR(E3819="",E3819="!!!",F3819="NEW"),"",INDEX(B3818:B$2,-1+SUMPRODUCT(MAX(ROW(E3818:E$2)*(E3819=E3818:E$2)))))</f>
        <v> </v>
      </c>
      <c r="J3819" s="26" t="str">
        <f>IF(OR(E3819="",E3819="!!!",F3819="NEW"),"",COUNTBLANK(OFFSET(A$1,,,SUMPRODUCT(MAX(ROW(E$2:E3819)*(E3819=E$2:E3819)))))-COUNTBLANK(OFFSET(A$1,,,SUMPRODUCT(MAX(ROW(E$1:E3818)*(E2=E$1:E3818))))))</f>
        <v> </v>
      </c>
      <c r="K3819" s="26" t="str">
        <f>IF(OR(E3819="",E3819="!!!",F3819="NEW"),"",INDEX(J$1:J3818,SUMPRODUCT(MAX(ROW(E$1:E3818)*(E3819=E$1:E3818)))))</f>
        <v> </v>
      </c>
      <c r="L3819" s="27"/>
    </row>
    <row r="3820" spans="1:12">
      <c r="A3820" s="20" t="s">
        <v>1085</v>
      </c>
      <c r="E3820" s="22">
        <f>IF(D3820="?OLD","!!!","")</f>
        <v/>
      </c>
      <c r="F3820" s="23" t="str">
        <f>IF(OR(E3820="",E3820="!!!"),"",IF(NOT(ISNA(VLOOKUP(E3820,E$1:E3819,1,FALSE()))),"OLD",IF(AND(E3820&lt;&gt;"",E3820&lt;&gt;"!!!"),"NEW","")))</f>
        <v> </v>
      </c>
      <c r="G3820" s="24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5" t="str">
        <f>IF(J3820&lt;&gt;1,"",IF(I3820="SBJ","CB","?"))</f>
        <v> </v>
      </c>
      <c r="I3820" s="26" t="str">
        <f>IF(OR(E3820="",E3820="!!!",F3820="NEW"),"",INDEX(B3819:B$2,-1+SUMPRODUCT(MAX(ROW(E3819:E$2)*(E3820=E3819:E$2)))))</f>
        <v> </v>
      </c>
      <c r="J3820" s="26" t="str">
        <f>IF(OR(E3820="",E3820="!!!",F3820="NEW"),"",COUNTBLANK(OFFSET(A$1,,,SUMPRODUCT(MAX(ROW(E$2:E3820)*(E3820=E$2:E3820)))))-COUNTBLANK(OFFSET(A$1,,,SUMPRODUCT(MAX(ROW(E$1:E3819)*(E2=E$1:E3819))))))</f>
        <v> </v>
      </c>
      <c r="K3820" s="26" t="str">
        <f>IF(OR(E3820="",E3820="!!!",F3820="NEW"),"",INDEX(J$1:J3819,SUMPRODUCT(MAX(ROW(E$1:E3819)*(E3820=E$1:E3819)))))</f>
        <v> </v>
      </c>
      <c r="L3820" s="27"/>
    </row>
    <row r="3821" spans="1:12">
      <c r="A3821" s="20" t="s">
        <v>1086</v>
      </c>
      <c r="E3821" s="22">
        <f>IF(D3821="?OLD","!!!","")</f>
        <v/>
      </c>
      <c r="F3821" s="23" t="str">
        <f>IF(OR(E3821="",E3821="!!!"),"",IF(NOT(ISNA(VLOOKUP(E3821,E$1:E3820,1,FALSE()))),"OLD",IF(AND(E3821&lt;&gt;"",E3821&lt;&gt;"!!!"),"NEW","")))</f>
        <v> </v>
      </c>
      <c r="G3821" s="24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5" t="str">
        <f>IF(J3821&lt;&gt;1,"",IF(I3821="SBJ","CB","?"))</f>
        <v> </v>
      </c>
      <c r="I3821" s="26" t="str">
        <f>IF(OR(E3821="",E3821="!!!",F3821="NEW"),"",INDEX(B3820:B$2,-1+SUMPRODUCT(MAX(ROW(E3820:E$2)*(E3821=E3820:E$2)))))</f>
        <v> </v>
      </c>
      <c r="J3821" s="26" t="str">
        <f>IF(OR(E3821="",E3821="!!!",F3821="NEW"),"",COUNTBLANK(OFFSET(A$1,,,SUMPRODUCT(MAX(ROW(E$2:E3821)*(E3821=E$2:E3821)))))-COUNTBLANK(OFFSET(A$1,,,SUMPRODUCT(MAX(ROW(E$1:E3820)*(E2=E$1:E3820))))))</f>
        <v> </v>
      </c>
      <c r="K3821" s="26" t="str">
        <f>IF(OR(E3821="",E3821="!!!",F3821="NEW"),"",INDEX(J$1:J3820,SUMPRODUCT(MAX(ROW(E$1:E3820)*(E3821=E$1:E3820)))))</f>
        <v> </v>
      </c>
      <c r="L3821" s="27"/>
    </row>
    <row r="3822" spans="1:12">
      <c r="A3822" s="20" t="s">
        <v>2524</v>
      </c>
      <c r="B3822" s="21" t="s">
        <v>1088</v>
      </c>
      <c r="E3822" s="22">
        <f>IF(D3822="?OLD","!!!","")</f>
        <v/>
      </c>
      <c r="F3822" s="23" t="str">
        <f>IF(OR(E3822="",E3822="!!!"),"",IF(NOT(ISNA(VLOOKUP(E3822,E$1:E3821,1,FALSE()))),"OLD",IF(AND(E3822&lt;&gt;"",E3822&lt;&gt;"!!!"),"NEW","")))</f>
        <v> </v>
      </c>
      <c r="G3822" s="24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5" t="str">
        <f>IF(J3822&lt;&gt;1,"",IF(I3822="SBJ","CB","?"))</f>
        <v> </v>
      </c>
      <c r="I3822" s="26" t="str">
        <f>IF(OR(E3822="",E3822="!!!",F3822="NEW"),"",INDEX(B3821:B$2,-1+SUMPRODUCT(MAX(ROW(E3821:E$2)*(E3822=E3821:E$2)))))</f>
        <v> </v>
      </c>
      <c r="J3822" s="26" t="str">
        <f>IF(OR(E3822="",E3822="!!!",F3822="NEW"),"",COUNTBLANK(OFFSET(A$1,,,SUMPRODUCT(MAX(ROW(E$2:E3822)*(E3822=E$2:E3822)))))-COUNTBLANK(OFFSET(A$1,,,SUMPRODUCT(MAX(ROW(E$1:E3821)*(E2=E$1:E3821))))))</f>
        <v> </v>
      </c>
      <c r="K3822" s="26" t="str">
        <f>IF(OR(E3822="",E3822="!!!",F3822="NEW"),"",INDEX(J$1:J3821,SUMPRODUCT(MAX(ROW(E$1:E3821)*(E3822=E$1:E3821)))))</f>
        <v> </v>
      </c>
      <c r="L3822" s="27"/>
    </row>
    <row r="3823" spans="1:12">
      <c r="A3823" s="20" t="s">
        <v>1695</v>
      </c>
      <c r="E3823" s="22">
        <f>IF(D3823="?OLD","!!!","")</f>
        <v/>
      </c>
      <c r="F3823" s="23" t="str">
        <f>IF(OR(E3823="",E3823="!!!"),"",IF(NOT(ISNA(VLOOKUP(E3823,E$1:E3822,1,FALSE()))),"OLD",IF(AND(E3823&lt;&gt;"",E3823&lt;&gt;"!!!"),"NEW","")))</f>
        <v> </v>
      </c>
      <c r="G3823" s="24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5" t="str">
        <f>IF(J3823&lt;&gt;1,"",IF(I3823="SBJ","CB","?"))</f>
        <v> </v>
      </c>
      <c r="I3823" s="26" t="str">
        <f>IF(OR(E3823="",E3823="!!!",F3823="NEW"),"",INDEX(B3822:B$2,-1+SUMPRODUCT(MAX(ROW(E3822:E$2)*(E3823=E3822:E$2)))))</f>
        <v> </v>
      </c>
      <c r="J3823" s="26" t="str">
        <f>IF(OR(E3823="",E3823="!!!",F3823="NEW"),"",COUNTBLANK(OFFSET(A$1,,,SUMPRODUCT(MAX(ROW(E$2:E3823)*(E3823=E$2:E3823)))))-COUNTBLANK(OFFSET(A$1,,,SUMPRODUCT(MAX(ROW(E$1:E3822)*(E2=E$1:E3822))))))</f>
        <v> </v>
      </c>
      <c r="K3823" s="26" t="str">
        <f>IF(OR(E3823="",E3823="!!!",F3823="NEW"),"",INDEX(J$1:J3822,SUMPRODUCT(MAX(ROW(E$1:E3822)*(E3823=E$1:E3822)))))</f>
        <v> </v>
      </c>
      <c r="L3823" s="27"/>
    </row>
    <row r="3824" spans="1:12">
      <c r="A3824" s="20" t="s">
        <v>2525</v>
      </c>
      <c r="E3824" s="22">
        <f>IF(D3824="?OLD","!!!","")</f>
        <v/>
      </c>
      <c r="F3824" s="23" t="str">
        <f>IF(OR(E3824="",E3824="!!!"),"",IF(NOT(ISNA(VLOOKUP(E3824,E$1:E3823,1,FALSE()))),"OLD",IF(AND(E3824&lt;&gt;"",E3824&lt;&gt;"!!!"),"NEW","")))</f>
        <v> </v>
      </c>
      <c r="G3824" s="24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5" t="str">
        <f>IF(J3824&lt;&gt;1,"",IF(I3824="SBJ","CB","?"))</f>
        <v> </v>
      </c>
      <c r="I3824" s="26" t="str">
        <f>IF(OR(E3824="",E3824="!!!",F3824="NEW"),"",INDEX(B3823:B$2,-1+SUMPRODUCT(MAX(ROW(E3823:E$2)*(E3824=E3823:E$2)))))</f>
        <v> </v>
      </c>
      <c r="J3824" s="26" t="str">
        <f>IF(OR(E3824="",E3824="!!!",F3824="NEW"),"",COUNTBLANK(OFFSET(A$1,,,SUMPRODUCT(MAX(ROW(E$2:E3824)*(E3824=E$2:E3824)))))-COUNTBLANK(OFFSET(A$1,,,SUMPRODUCT(MAX(ROW(E$1:E3823)*(E2=E$1:E3823))))))</f>
        <v> </v>
      </c>
      <c r="K3824" s="26" t="str">
        <f>IF(OR(E3824="",E3824="!!!",F3824="NEW"),"",INDEX(J$1:J3823,SUMPRODUCT(MAX(ROW(E$1:E3823)*(E3824=E$1:E3823)))))</f>
        <v> </v>
      </c>
      <c r="L3824" s="27"/>
    </row>
    <row r="3825" spans="1:12">
      <c r="A3825" s="20" t="s">
        <v>2526</v>
      </c>
      <c r="E3825" s="22">
        <f>IF(D3825="?OLD","!!!","")</f>
        <v/>
      </c>
      <c r="F3825" s="23" t="str">
        <f>IF(OR(E3825="",E3825="!!!"),"",IF(NOT(ISNA(VLOOKUP(E3825,E$1:E3824,1,FALSE()))),"OLD",IF(AND(E3825&lt;&gt;"",E3825&lt;&gt;"!!!"),"NEW","")))</f>
        <v> </v>
      </c>
      <c r="G3825" s="24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5" t="str">
        <f>IF(J3825&lt;&gt;1,"",IF(I3825="SBJ","CB","?"))</f>
        <v> </v>
      </c>
      <c r="I3825" s="26" t="str">
        <f>IF(OR(E3825="",E3825="!!!",F3825="NEW"),"",INDEX(B3824:B$2,-1+SUMPRODUCT(MAX(ROW(E3824:E$2)*(E3825=E3824:E$2)))))</f>
        <v> </v>
      </c>
      <c r="J3825" s="26" t="str">
        <f>IF(OR(E3825="",E3825="!!!",F3825="NEW"),"",COUNTBLANK(OFFSET(A$1,,,SUMPRODUCT(MAX(ROW(E$2:E3825)*(E3825=E$2:E3825)))))-COUNTBLANK(OFFSET(A$1,,,SUMPRODUCT(MAX(ROW(E$1:E3824)*(E2=E$1:E3824))))))</f>
        <v> </v>
      </c>
      <c r="K3825" s="26" t="str">
        <f>IF(OR(E3825="",E3825="!!!",F3825="NEW"),"",INDEX(J$1:J3824,SUMPRODUCT(MAX(ROW(E$1:E3824)*(E3825=E$1:E3824)))))</f>
        <v> </v>
      </c>
      <c r="L3825" s="27"/>
    </row>
    <row r="3826" spans="1:12">
      <c r="A3826" s="20" t="s">
        <v>2527</v>
      </c>
      <c r="B3826" s="21" t="s">
        <v>1161</v>
      </c>
      <c r="E3826" s="22">
        <f>IF(D3826="?OLD","!!!","")</f>
        <v/>
      </c>
      <c r="F3826" s="23" t="str">
        <f>IF(OR(E3826="",E3826="!!!"),"",IF(NOT(ISNA(VLOOKUP(E3826,E$1:E3825,1,FALSE()))),"OLD",IF(AND(E3826&lt;&gt;"",E3826&lt;&gt;"!!!"),"NEW","")))</f>
        <v> </v>
      </c>
      <c r="G3826" s="24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5" t="str">
        <f>IF(J3826&lt;&gt;1,"",IF(I3826="SBJ","CB","?"))</f>
        <v> </v>
      </c>
      <c r="I3826" s="26" t="str">
        <f>IF(OR(E3826="",E3826="!!!",F3826="NEW"),"",INDEX(B3825:B$2,-1+SUMPRODUCT(MAX(ROW(E3825:E$2)*(E3826=E3825:E$2)))))</f>
        <v> </v>
      </c>
      <c r="J3826" s="26" t="str">
        <f>IF(OR(E3826="",E3826="!!!",F3826="NEW"),"",COUNTBLANK(OFFSET(A$1,,,SUMPRODUCT(MAX(ROW(E$2:E3826)*(E3826=E$2:E3826)))))-COUNTBLANK(OFFSET(A$1,,,SUMPRODUCT(MAX(ROW(E$1:E3825)*(E2=E$1:E3825))))))</f>
        <v> </v>
      </c>
      <c r="K3826" s="26" t="str">
        <f>IF(OR(E3826="",E3826="!!!",F3826="NEW"),"",INDEX(J$1:J3825,SUMPRODUCT(MAX(ROW(E$1:E3825)*(E3826=E$1:E3825)))))</f>
        <v> </v>
      </c>
      <c r="L3826" s="27"/>
    </row>
    <row r="3827" spans="1:12">
      <c r="A3827" s="20" t="s">
        <v>1085</v>
      </c>
      <c r="E3827" s="22">
        <f>IF(D3827="?OLD","!!!","")</f>
        <v/>
      </c>
      <c r="F3827" s="23" t="str">
        <f>IF(OR(E3827="",E3827="!!!"),"",IF(NOT(ISNA(VLOOKUP(E3827,E$1:E3826,1,FALSE()))),"OLD",IF(AND(E3827&lt;&gt;"",E3827&lt;&gt;"!!!"),"NEW","")))</f>
        <v> </v>
      </c>
      <c r="G3827" s="24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5" t="str">
        <f>IF(J3827&lt;&gt;1,"",IF(I3827="SBJ","CB","?"))</f>
        <v> </v>
      </c>
      <c r="I3827" s="26" t="str">
        <f>IF(OR(E3827="",E3827="!!!",F3827="NEW"),"",INDEX(B3826:B$2,-1+SUMPRODUCT(MAX(ROW(E3826:E$2)*(E3827=E3826:E$2)))))</f>
        <v> </v>
      </c>
      <c r="J3827" s="26" t="str">
        <f>IF(OR(E3827="",E3827="!!!",F3827="NEW"),"",COUNTBLANK(OFFSET(A$1,,,SUMPRODUCT(MAX(ROW(E$2:E3827)*(E3827=E$2:E3827)))))-COUNTBLANK(OFFSET(A$1,,,SUMPRODUCT(MAX(ROW(E$1:E3826)*(E2=E$1:E3826))))))</f>
        <v> </v>
      </c>
      <c r="K3827" s="26" t="str">
        <f>IF(OR(E3827="",E3827="!!!",F3827="NEW"),"",INDEX(J$1:J3826,SUMPRODUCT(MAX(ROW(E$1:E3826)*(E3827=E$1:E3826)))))</f>
        <v> </v>
      </c>
      <c r="L3827" s="27"/>
    </row>
    <row r="3828" spans="1:12">
      <c r="A3828" s="20" t="s">
        <v>1269</v>
      </c>
      <c r="E3828" s="22">
        <f>IF(D3828="?OLD","!!!","")</f>
        <v/>
      </c>
      <c r="F3828" s="23" t="str">
        <f>IF(OR(E3828="",E3828="!!!"),"",IF(NOT(ISNA(VLOOKUP(E3828,E$1:E3827,1,FALSE()))),"OLD",IF(AND(E3828&lt;&gt;"",E3828&lt;&gt;"!!!"),"NEW","")))</f>
        <v> </v>
      </c>
      <c r="G3828" s="24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5" t="str">
        <f>IF(J3828&lt;&gt;1,"",IF(I3828="SBJ","CB","?"))</f>
        <v> </v>
      </c>
      <c r="I3828" s="26" t="str">
        <f>IF(OR(E3828="",E3828="!!!",F3828="NEW"),"",INDEX(B3827:B$2,-1+SUMPRODUCT(MAX(ROW(E3827:E$2)*(E3828=E3827:E$2)))))</f>
        <v> </v>
      </c>
      <c r="J3828" s="26" t="str">
        <f>IF(OR(E3828="",E3828="!!!",F3828="NEW"),"",COUNTBLANK(OFFSET(A$1,,,SUMPRODUCT(MAX(ROW(E$2:E3828)*(E3828=E$2:E3828)))))-COUNTBLANK(OFFSET(A$1,,,SUMPRODUCT(MAX(ROW(E$1:E3827)*(E2=E$1:E3827))))))</f>
        <v> </v>
      </c>
      <c r="K3828" s="26" t="str">
        <f>IF(OR(E3828="",E3828="!!!",F3828="NEW"),"",INDEX(J$1:J3827,SUMPRODUCT(MAX(ROW(E$1:E3827)*(E3828=E$1:E3827)))))</f>
        <v> </v>
      </c>
      <c r="L3828" s="27"/>
    </row>
    <row r="3829" spans="1:12">
      <c r="A3829" s="20" t="s">
        <v>2528</v>
      </c>
      <c r="B3829" s="21" t="s">
        <v>1293</v>
      </c>
      <c r="C3829" s="21" t="s">
        <v>1081</v>
      </c>
      <c r="D3829" s="21" t="s">
        <v>1074</v>
      </c>
      <c r="E3829" s="22">
        <f>IF(D3829="?OLD","!!!","")</f>
        <v/>
      </c>
      <c r="F3829" s="23" t="str">
        <f>IF(OR(E3829="",E3829="!!!"),"",IF(NOT(ISNA(VLOOKUP(E3829,E$1:E3828,1,FALSE()))),"OLD",IF(AND(E3829&lt;&gt;"",E3829&lt;&gt;"!!!"),"NEW","")))</f>
        <v> </v>
      </c>
      <c r="G3829" s="24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5" t="str">
        <f>IF(J3829&lt;&gt;1,"",IF(I3829="SBJ","CB","?"))</f>
        <v> </v>
      </c>
      <c r="I3829" s="26" t="str">
        <f>IF(OR(E3829="",E3829="!!!",F3829="NEW"),"",INDEX(B3828:B$2,-1+SUMPRODUCT(MAX(ROW(E3828:E$2)*(E3829=E3828:E$2)))))</f>
        <v> </v>
      </c>
      <c r="J3829" s="26" t="str">
        <f>IF(OR(E3829="",E3829="!!!",F3829="NEW"),"",COUNTBLANK(OFFSET(A$1,,,SUMPRODUCT(MAX(ROW(E$2:E3829)*(E3829=E$2:E3829)))))-COUNTBLANK(OFFSET(A$1,,,SUMPRODUCT(MAX(ROW(E$1:E3828)*(E2=E$1:E3828))))))</f>
        <v> </v>
      </c>
      <c r="K3829" s="26" t="str">
        <f>IF(OR(E3829="",E3829="!!!",F3829="NEW"),"",INDEX(J$1:J3828,SUMPRODUCT(MAX(ROW(E$1:E3828)*(E3829=E$1:E3828)))))</f>
        <v> </v>
      </c>
      <c r="L3829" s="27"/>
    </row>
    <row r="3830" spans="1:12">
      <c r="A3830" s="20" t="s">
        <v>1155</v>
      </c>
      <c r="E3830" s="22">
        <f>IF(D3830="?OLD","!!!","")</f>
        <v/>
      </c>
      <c r="F3830" s="23" t="str">
        <f>IF(OR(E3830="",E3830="!!!"),"",IF(NOT(ISNA(VLOOKUP(E3830,E$1:E3829,1,FALSE()))),"OLD",IF(AND(E3830&lt;&gt;"",E3830&lt;&gt;"!!!"),"NEW","")))</f>
        <v> </v>
      </c>
      <c r="G3830" s="24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5" t="str">
        <f>IF(J3830&lt;&gt;1,"",IF(I3830="SBJ","CB","?"))</f>
        <v> </v>
      </c>
      <c r="I3830" s="26" t="str">
        <f>IF(OR(E3830="",E3830="!!!",F3830="NEW"),"",INDEX(B3829:B$2,-1+SUMPRODUCT(MAX(ROW(E3829:E$2)*(E3830=E3829:E$2)))))</f>
        <v> </v>
      </c>
      <c r="J3830" s="26" t="str">
        <f>IF(OR(E3830="",E3830="!!!",F3830="NEW"),"",COUNTBLANK(OFFSET(A$1,,,SUMPRODUCT(MAX(ROW(E$2:E3830)*(E3830=E$2:E3830)))))-COUNTBLANK(OFFSET(A$1,,,SUMPRODUCT(MAX(ROW(E$1:E3829)*(E2=E$1:E3829))))))</f>
        <v> </v>
      </c>
      <c r="K3830" s="26" t="str">
        <f>IF(OR(E3830="",E3830="!!!",F3830="NEW"),"",INDEX(J$1:J3829,SUMPRODUCT(MAX(ROW(E$1:E3829)*(E3830=E$1:E3829)))))</f>
        <v> </v>
      </c>
      <c r="L3830" s="27"/>
    </row>
    <row r="3831" spans="1:12">
      <c r="A3831" s="20" t="s">
        <v>2529</v>
      </c>
      <c r="E3831" s="22">
        <f>IF(D3831="?OLD","!!!","")</f>
        <v/>
      </c>
      <c r="F3831" s="23" t="str">
        <f>IF(OR(E3831="",E3831="!!!"),"",IF(NOT(ISNA(VLOOKUP(E3831,E$1:E3830,1,FALSE()))),"OLD",IF(AND(E3831&lt;&gt;"",E3831&lt;&gt;"!!!"),"NEW","")))</f>
        <v> </v>
      </c>
      <c r="G3831" s="24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5" t="str">
        <f>IF(J3831&lt;&gt;1,"",IF(I3831="SBJ","CB","?"))</f>
        <v> </v>
      </c>
      <c r="I3831" s="26" t="str">
        <f>IF(OR(E3831="",E3831="!!!",F3831="NEW"),"",INDEX(B3830:B$2,-1+SUMPRODUCT(MAX(ROW(E3830:E$2)*(E3831=E3830:E$2)))))</f>
        <v> </v>
      </c>
      <c r="J3831" s="26" t="str">
        <f>IF(OR(E3831="",E3831="!!!",F3831="NEW"),"",COUNTBLANK(OFFSET(A$1,,,SUMPRODUCT(MAX(ROW(E$2:E3831)*(E3831=E$2:E3831)))))-COUNTBLANK(OFFSET(A$1,,,SUMPRODUCT(MAX(ROW(E$1:E3830)*(E2=E$1:E3830))))))</f>
        <v> </v>
      </c>
      <c r="K3831" s="26" t="str">
        <f>IF(OR(E3831="",E3831="!!!",F3831="NEW"),"",INDEX(J$1:J3830,SUMPRODUCT(MAX(ROW(E$1:E3830)*(E3831=E$1:E3830)))))</f>
        <v> </v>
      </c>
      <c r="L3831" s="27"/>
    </row>
    <row r="3832" spans="1:12">
      <c r="A3832" s="20" t="s">
        <v>2530</v>
      </c>
      <c r="B3832" s="21" t="s">
        <v>1097</v>
      </c>
      <c r="E3832" s="22">
        <f>IF(D3832="?OLD","!!!","")</f>
        <v/>
      </c>
      <c r="F3832" s="23" t="str">
        <f>IF(OR(E3832="",E3832="!!!"),"",IF(NOT(ISNA(VLOOKUP(E3832,E$1:E3831,1,FALSE()))),"OLD",IF(AND(E3832&lt;&gt;"",E3832&lt;&gt;"!!!"),"NEW","")))</f>
        <v> </v>
      </c>
      <c r="G3832" s="24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5" t="str">
        <f>IF(J3832&lt;&gt;1,"",IF(I3832="SBJ","CB","?"))</f>
        <v> </v>
      </c>
      <c r="I3832" s="26" t="str">
        <f>IF(OR(E3832="",E3832="!!!",F3832="NEW"),"",INDEX(B3831:B$2,-1+SUMPRODUCT(MAX(ROW(E3831:E$2)*(E3832=E3831:E$2)))))</f>
        <v> </v>
      </c>
      <c r="J3832" s="26" t="str">
        <f>IF(OR(E3832="",E3832="!!!",F3832="NEW"),"",COUNTBLANK(OFFSET(A$1,,,SUMPRODUCT(MAX(ROW(E$2:E3832)*(E3832=E$2:E3832)))))-COUNTBLANK(OFFSET(A$1,,,SUMPRODUCT(MAX(ROW(E$1:E3831)*(E2=E$1:E3831))))))</f>
        <v> </v>
      </c>
      <c r="K3832" s="26" t="str">
        <f>IF(OR(E3832="",E3832="!!!",F3832="NEW"),"",INDEX(J$1:J3831,SUMPRODUCT(MAX(ROW(E$1:E3831)*(E3832=E$1:E3831)))))</f>
        <v> </v>
      </c>
      <c r="L3832" s="27"/>
    </row>
    <row r="3833" spans="1:12">
      <c r="A3833" s="20" t="s">
        <v>1106</v>
      </c>
      <c r="E3833" s="22">
        <f>IF(D3833="?OLD","!!!","")</f>
        <v/>
      </c>
      <c r="F3833" s="23" t="str">
        <f>IF(OR(E3833="",E3833="!!!"),"",IF(NOT(ISNA(VLOOKUP(E3833,E$1:E3832,1,FALSE()))),"OLD",IF(AND(E3833&lt;&gt;"",E3833&lt;&gt;"!!!"),"NEW","")))</f>
        <v> </v>
      </c>
      <c r="G3833" s="24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5" t="str">
        <f>IF(J3833&lt;&gt;1,"",IF(I3833="SBJ","CB","?"))</f>
        <v> </v>
      </c>
      <c r="I3833" s="26" t="str">
        <f>IF(OR(E3833="",E3833="!!!",F3833="NEW"),"",INDEX(B3832:B$2,-1+SUMPRODUCT(MAX(ROW(E3832:E$2)*(E3833=E3832:E$2)))))</f>
        <v> </v>
      </c>
      <c r="J3833" s="26" t="str">
        <f>IF(OR(E3833="",E3833="!!!",F3833="NEW"),"",COUNTBLANK(OFFSET(A$1,,,SUMPRODUCT(MAX(ROW(E$2:E3833)*(E3833=E$2:E3833)))))-COUNTBLANK(OFFSET(A$1,,,SUMPRODUCT(MAX(ROW(E$1:E3832)*(E2=E$1:E3832))))))</f>
        <v> </v>
      </c>
      <c r="K3833" s="26" t="str">
        <f>IF(OR(E3833="",E3833="!!!",F3833="NEW"),"",INDEX(J$1:J3832,SUMPRODUCT(MAX(ROW(E$1:E3832)*(E3833=E$1:E3832)))))</f>
        <v> </v>
      </c>
      <c r="L3833" s="27"/>
    </row>
    <row r="3834" spans="1:12">
      <c r="A3834" s="20"/>
    </row>
    <row r="3835" spans="1:12">
      <c r="A3835" s="20" t="s">
        <v>2531</v>
      </c>
    </row>
    <row r="3836" spans="1:12">
      <c r="A3836" s="20" t="s">
        <v>661</v>
      </c>
      <c r="E3836" s="22">
        <f>IF(D3836="?OLD","!!!","")</f>
        <v/>
      </c>
      <c r="F3836" s="23" t="str">
        <f>IF(OR(E3836="",E3836="!!!"),"",IF(NOT(ISNA(VLOOKUP(E3836,E$1:E3835,1,FALSE()))),"OLD",IF(AND(E3836&lt;&gt;"",E3836&lt;&gt;"!!!"),"NEW","")))</f>
        <v> </v>
      </c>
      <c r="G3836" s="24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5" t="str">
        <f>IF(J3836&lt;&gt;1,"",IF(I3836="SBJ","CB","?"))</f>
        <v> </v>
      </c>
      <c r="I3836" s="26" t="str">
        <f>IF(OR(E3836="",E3836="!!!",F3836="NEW"),"",INDEX(B3835:B$2,-1+SUMPRODUCT(MAX(ROW(E3835:E$2)*(E3836=E3835:E$2)))))</f>
        <v> </v>
      </c>
      <c r="J3836" s="26" t="str">
        <f>IF(OR(E3836="",E3836="!!!",F3836="NEW"),"",COUNTBLANK(OFFSET(A$1,,,SUMPRODUCT(MAX(ROW(E$2:E3836)*(E3836=E$2:E3836)))))-COUNTBLANK(OFFSET(A$1,,,SUMPRODUCT(MAX(ROW(E$1:E3835)*(E2=E$1:E3835))))))</f>
        <v> </v>
      </c>
      <c r="K3836" s="26" t="str">
        <f>IF(OR(E3836="",E3836="!!!",F3836="NEW"),"",INDEX(J$1:J3835,SUMPRODUCT(MAX(ROW(E$1:E3835)*(E3836=E$1:E3835)))))</f>
        <v> </v>
      </c>
      <c r="L3836" s="27"/>
    </row>
    <row r="3837" spans="1:12">
      <c r="A3837" s="20" t="s">
        <v>1076</v>
      </c>
      <c r="E3837" s="22">
        <f>IF(D3837="?OLD","!!!","")</f>
        <v/>
      </c>
      <c r="F3837" s="23" t="str">
        <f>IF(OR(E3837="",E3837="!!!"),"",IF(NOT(ISNA(VLOOKUP(E3837,E$1:E3836,1,FALSE()))),"OLD",IF(AND(E3837&lt;&gt;"",E3837&lt;&gt;"!!!"),"NEW","")))</f>
        <v> </v>
      </c>
      <c r="G3837" s="24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5" t="str">
        <f>IF(J3837&lt;&gt;1,"",IF(I3837="SBJ","CB","?"))</f>
        <v> </v>
      </c>
      <c r="I3837" s="26" t="str">
        <f>IF(OR(E3837="",E3837="!!!",F3837="NEW"),"",INDEX(B3836:B$2,-1+SUMPRODUCT(MAX(ROW(E3836:E$2)*(E3837=E3836:E$2)))))</f>
        <v> </v>
      </c>
      <c r="J3837" s="26" t="str">
        <f>IF(OR(E3837="",E3837="!!!",F3837="NEW"),"",COUNTBLANK(OFFSET(A$1,,,SUMPRODUCT(MAX(ROW(E$2:E3837)*(E3837=E$2:E3837)))))-COUNTBLANK(OFFSET(A$1,,,SUMPRODUCT(MAX(ROW(E$1:E3836)*(E2=E$1:E3836))))))</f>
        <v> </v>
      </c>
      <c r="K3837" s="26" t="str">
        <f>IF(OR(E3837="",E3837="!!!",F3837="NEW"),"",INDEX(J$1:J3836,SUMPRODUCT(MAX(ROW(E$1:E3836)*(E3837=E$1:E3836)))))</f>
        <v> </v>
      </c>
      <c r="L3837" s="27"/>
    </row>
    <row r="3838" spans="1:12">
      <c r="A3838" s="20" t="s">
        <v>1614</v>
      </c>
      <c r="E3838" s="22">
        <f>IF(D3838="?OLD","!!!","")</f>
        <v/>
      </c>
      <c r="F3838" s="23" t="str">
        <f>IF(OR(E3838="",E3838="!!!"),"",IF(NOT(ISNA(VLOOKUP(E3838,E$1:E3837,1,FALSE()))),"OLD",IF(AND(E3838&lt;&gt;"",E3838&lt;&gt;"!!!"),"NEW","")))</f>
        <v> </v>
      </c>
      <c r="G3838" s="24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5" t="str">
        <f>IF(J3838&lt;&gt;1,"",IF(I3838="SBJ","CB","?"))</f>
        <v> </v>
      </c>
      <c r="I3838" s="26" t="str">
        <f>IF(OR(E3838="",E3838="!!!",F3838="NEW"),"",INDEX(B3837:B$2,-1+SUMPRODUCT(MAX(ROW(E3837:E$2)*(E3838=E3837:E$2)))))</f>
        <v> </v>
      </c>
      <c r="J3838" s="26" t="str">
        <f>IF(OR(E3838="",E3838="!!!",F3838="NEW"),"",COUNTBLANK(OFFSET(A$1,,,SUMPRODUCT(MAX(ROW(E$2:E3838)*(E3838=E$2:E3838)))))-COUNTBLANK(OFFSET(A$1,,,SUMPRODUCT(MAX(ROW(E$1:E3837)*(E2=E$1:E3837))))))</f>
        <v> </v>
      </c>
      <c r="K3838" s="26" t="str">
        <f>IF(OR(E3838="",E3838="!!!",F3838="NEW"),"",INDEX(J$1:J3837,SUMPRODUCT(MAX(ROW(E$1:E3837)*(E3838=E$1:E3837)))))</f>
        <v> </v>
      </c>
      <c r="L3838" s="27"/>
    </row>
    <row r="3839" spans="1:12">
      <c r="A3839" s="20" t="s">
        <v>1085</v>
      </c>
      <c r="E3839" s="22">
        <f>IF(D3839="?OLD","!!!","")</f>
        <v/>
      </c>
      <c r="F3839" s="23" t="str">
        <f>IF(OR(E3839="",E3839="!!!"),"",IF(NOT(ISNA(VLOOKUP(E3839,E$1:E3838,1,FALSE()))),"OLD",IF(AND(E3839&lt;&gt;"",E3839&lt;&gt;"!!!"),"NEW","")))</f>
        <v> </v>
      </c>
      <c r="G3839" s="24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5" t="str">
        <f>IF(J3839&lt;&gt;1,"",IF(I3839="SBJ","CB","?"))</f>
        <v> </v>
      </c>
      <c r="I3839" s="26" t="str">
        <f>IF(OR(E3839="",E3839="!!!",F3839="NEW"),"",INDEX(B3838:B$2,-1+SUMPRODUCT(MAX(ROW(E3838:E$2)*(E3839=E3838:E$2)))))</f>
        <v> </v>
      </c>
      <c r="J3839" s="26" t="str">
        <f>IF(OR(E3839="",E3839="!!!",F3839="NEW"),"",COUNTBLANK(OFFSET(A$1,,,SUMPRODUCT(MAX(ROW(E$2:E3839)*(E3839=E$2:E3839)))))-COUNTBLANK(OFFSET(A$1,,,SUMPRODUCT(MAX(ROW(E$1:E3838)*(E2=E$1:E3838))))))</f>
        <v> </v>
      </c>
      <c r="K3839" s="26" t="str">
        <f>IF(OR(E3839="",E3839="!!!",F3839="NEW"),"",INDEX(J$1:J3838,SUMPRODUCT(MAX(ROW(E$1:E3838)*(E3839=E$1:E3838)))))</f>
        <v> </v>
      </c>
      <c r="L3839" s="27"/>
    </row>
    <row r="3840" spans="1:12">
      <c r="A3840" s="20" t="s">
        <v>1588</v>
      </c>
      <c r="B3840" s="21" t="s">
        <v>1080</v>
      </c>
      <c r="C3840" s="21" t="s">
        <v>1081</v>
      </c>
      <c r="D3840" s="21" t="s">
        <v>1074</v>
      </c>
      <c r="E3840" s="22">
        <f>IF(D3840="?OLD","!!!","")</f>
        <v/>
      </c>
      <c r="F3840" s="23" t="str">
        <f>IF(OR(E3840="",E3840="!!!"),"",IF(NOT(ISNA(VLOOKUP(E3840,E$1:E3839,1,FALSE()))),"OLD",IF(AND(E3840&lt;&gt;"",E3840&lt;&gt;"!!!"),"NEW","")))</f>
        <v> </v>
      </c>
      <c r="G3840" s="24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5" t="str">
        <f>IF(J3840&lt;&gt;1,"",IF(I3840="SBJ","CB","?"))</f>
        <v> </v>
      </c>
      <c r="I3840" s="26" t="str">
        <f>IF(OR(E3840="",E3840="!!!",F3840="NEW"),"",INDEX(B3839:B$2,-1+SUMPRODUCT(MAX(ROW(E3839:E$2)*(E3840=E3839:E$2)))))</f>
        <v> </v>
      </c>
      <c r="J3840" s="26" t="str">
        <f>IF(OR(E3840="",E3840="!!!",F3840="NEW"),"",COUNTBLANK(OFFSET(A$1,,,SUMPRODUCT(MAX(ROW(E$2:E3840)*(E3840=E$2:E3840)))))-COUNTBLANK(OFFSET(A$1,,,SUMPRODUCT(MAX(ROW(E$1:E3839)*(E2=E$1:E3839))))))</f>
        <v> </v>
      </c>
      <c r="K3840" s="26" t="str">
        <f>IF(OR(E3840="",E3840="!!!",F3840="NEW"),"",INDEX(J$1:J3839,SUMPRODUCT(MAX(ROW(E$1:E3839)*(E3840=E$1:E3839)))))</f>
        <v> </v>
      </c>
      <c r="L3840" s="27"/>
    </row>
    <row r="3841" spans="1:12">
      <c r="A3841" s="20" t="s">
        <v>2532</v>
      </c>
      <c r="E3841" s="22">
        <f>IF(D3841="?OLD","!!!","")</f>
        <v/>
      </c>
      <c r="F3841" s="23" t="str">
        <f>IF(OR(E3841="",E3841="!!!"),"",IF(NOT(ISNA(VLOOKUP(E3841,E$1:E3840,1,FALSE()))),"OLD",IF(AND(E3841&lt;&gt;"",E3841&lt;&gt;"!!!"),"NEW","")))</f>
        <v> </v>
      </c>
      <c r="G3841" s="24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5" t="str">
        <f>IF(J3841&lt;&gt;1,"",IF(I3841="SBJ","CB","?"))</f>
        <v> </v>
      </c>
      <c r="I3841" s="26" t="str">
        <f>IF(OR(E3841="",E3841="!!!",F3841="NEW"),"",INDEX(B3840:B$2,-1+SUMPRODUCT(MAX(ROW(E3840:E$2)*(E3841=E3840:E$2)))))</f>
        <v> </v>
      </c>
      <c r="J3841" s="26" t="str">
        <f>IF(OR(E3841="",E3841="!!!",F3841="NEW"),"",COUNTBLANK(OFFSET(A$1,,,SUMPRODUCT(MAX(ROW(E$2:E3841)*(E3841=E$2:E3841)))))-COUNTBLANK(OFFSET(A$1,,,SUMPRODUCT(MAX(ROW(E$1:E3840)*(E2=E$1:E3840))))))</f>
        <v> </v>
      </c>
      <c r="K3841" s="26" t="str">
        <f>IF(OR(E3841="",E3841="!!!",F3841="NEW"),"",INDEX(J$1:J3840,SUMPRODUCT(MAX(ROW(E$1:E3840)*(E3841=E$1:E3840)))))</f>
        <v> </v>
      </c>
      <c r="L3841" s="27"/>
    </row>
    <row r="3842" spans="1:12">
      <c r="A3842" s="20" t="s">
        <v>2020</v>
      </c>
      <c r="E3842" s="22">
        <f>IF(D3842="?OLD","!!!","")</f>
        <v/>
      </c>
      <c r="F3842" s="23" t="str">
        <f>IF(OR(E3842="",E3842="!!!"),"",IF(NOT(ISNA(VLOOKUP(E3842,E$1:E3841,1,FALSE()))),"OLD",IF(AND(E3842&lt;&gt;"",E3842&lt;&gt;"!!!"),"NEW","")))</f>
        <v> </v>
      </c>
      <c r="G3842" s="24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5" t="str">
        <f>IF(J3842&lt;&gt;1,"",IF(I3842="SBJ","CB","?"))</f>
        <v> </v>
      </c>
      <c r="I3842" s="26" t="str">
        <f>IF(OR(E3842="",E3842="!!!",F3842="NEW"),"",INDEX(B3841:B$2,-1+SUMPRODUCT(MAX(ROW(E3841:E$2)*(E3842=E3841:E$2)))))</f>
        <v> </v>
      </c>
      <c r="J3842" s="26" t="str">
        <f>IF(OR(E3842="",E3842="!!!",F3842="NEW"),"",COUNTBLANK(OFFSET(A$1,,,SUMPRODUCT(MAX(ROW(E$2:E3842)*(E3842=E$2:E3842)))))-COUNTBLANK(OFFSET(A$1,,,SUMPRODUCT(MAX(ROW(E$1:E3841)*(E2=E$1:E3841))))))</f>
        <v> </v>
      </c>
      <c r="K3842" s="26" t="str">
        <f>IF(OR(E3842="",E3842="!!!",F3842="NEW"),"",INDEX(J$1:J3841,SUMPRODUCT(MAX(ROW(E$1:E3841)*(E3842=E$1:E3841)))))</f>
        <v> </v>
      </c>
      <c r="L3842" s="27"/>
    </row>
    <row r="3843" spans="1:12">
      <c r="A3843" s="20" t="s">
        <v>2021</v>
      </c>
      <c r="B3843" s="21" t="s">
        <v>1077</v>
      </c>
      <c r="C3843" s="21" t="s">
        <v>1462</v>
      </c>
      <c r="D3843" s="21" t="s">
        <v>1074</v>
      </c>
      <c r="E3843" s="22">
        <f>IF(D3843="?OLD","!!!","")</f>
        <v/>
      </c>
      <c r="F3843" s="23" t="str">
        <f>IF(OR(E3843="",E3843="!!!"),"",IF(NOT(ISNA(VLOOKUP(E3843,E$1:E3842,1,FALSE()))),"OLD",IF(AND(E3843&lt;&gt;"",E3843&lt;&gt;"!!!"),"NEW","")))</f>
        <v> </v>
      </c>
      <c r="G3843" s="24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5" t="str">
        <f>IF(J3843&lt;&gt;1,"",IF(I3843="SBJ","CB","?"))</f>
        <v> </v>
      </c>
      <c r="I3843" s="26" t="str">
        <f>IF(OR(E3843="",E3843="!!!",F3843="NEW"),"",INDEX(B3842:B$2,-1+SUMPRODUCT(MAX(ROW(E3842:E$2)*(E3843=E3842:E$2)))))</f>
        <v> </v>
      </c>
      <c r="J3843" s="26" t="str">
        <f>IF(OR(E3843="",E3843="!!!",F3843="NEW"),"",COUNTBLANK(OFFSET(A$1,,,SUMPRODUCT(MAX(ROW(E$2:E3843)*(E3843=E$2:E3843)))))-COUNTBLANK(OFFSET(A$1,,,SUMPRODUCT(MAX(ROW(E$1:E3842)*(E2=E$1:E3842))))))</f>
        <v> </v>
      </c>
      <c r="K3843" s="26" t="str">
        <f>IF(OR(E3843="",E3843="!!!",F3843="NEW"),"",INDEX(J$1:J3842,SUMPRODUCT(MAX(ROW(E$1:E3842)*(E3843=E$1:E3842)))))</f>
        <v> </v>
      </c>
      <c r="L3843" s="27"/>
    </row>
    <row r="3844" spans="1:12">
      <c r="A3844" s="20" t="s">
        <v>1085</v>
      </c>
      <c r="E3844" s="22">
        <f>IF(D3844="?OLD","!!!","")</f>
        <v/>
      </c>
      <c r="F3844" s="23" t="str">
        <f>IF(OR(E3844="",E3844="!!!"),"",IF(NOT(ISNA(VLOOKUP(E3844,E$1:E3843,1,FALSE()))),"OLD",IF(AND(E3844&lt;&gt;"",E3844&lt;&gt;"!!!"),"NEW","")))</f>
        <v> </v>
      </c>
      <c r="G3844" s="24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5" t="str">
        <f>IF(J3844&lt;&gt;1,"",IF(I3844="SBJ","CB","?"))</f>
        <v> </v>
      </c>
      <c r="I3844" s="26" t="str">
        <f>IF(OR(E3844="",E3844="!!!",F3844="NEW"),"",INDEX(B3843:B$2,-1+SUMPRODUCT(MAX(ROW(E3843:E$2)*(E3844=E3843:E$2)))))</f>
        <v> </v>
      </c>
      <c r="J3844" s="26" t="str">
        <f>IF(OR(E3844="",E3844="!!!",F3844="NEW"),"",COUNTBLANK(OFFSET(A$1,,,SUMPRODUCT(MAX(ROW(E$2:E3844)*(E3844=E$2:E3844)))))-COUNTBLANK(OFFSET(A$1,,,SUMPRODUCT(MAX(ROW(E$1:E3843)*(E2=E$1:E3843))))))</f>
        <v> </v>
      </c>
      <c r="K3844" s="26" t="str">
        <f>IF(OR(E3844="",E3844="!!!",F3844="NEW"),"",INDEX(J$1:J3843,SUMPRODUCT(MAX(ROW(E$1:E3843)*(E3844=E$1:E3843)))))</f>
        <v> </v>
      </c>
      <c r="L3844" s="27"/>
    </row>
    <row r="3845" spans="1:12">
      <c r="A3845" s="20" t="s">
        <v>1086</v>
      </c>
      <c r="E3845" s="22">
        <f>IF(D3845="?OLD","!!!","")</f>
        <v/>
      </c>
      <c r="F3845" s="23" t="str">
        <f>IF(OR(E3845="",E3845="!!!"),"",IF(NOT(ISNA(VLOOKUP(E3845,E$1:E3844,1,FALSE()))),"OLD",IF(AND(E3845&lt;&gt;"",E3845&lt;&gt;"!!!"),"NEW","")))</f>
        <v> </v>
      </c>
      <c r="G3845" s="24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5" t="str">
        <f>IF(J3845&lt;&gt;1,"",IF(I3845="SBJ","CB","?"))</f>
        <v> </v>
      </c>
      <c r="I3845" s="26" t="str">
        <f>IF(OR(E3845="",E3845="!!!",F3845="NEW"),"",INDEX(B3844:B$2,-1+SUMPRODUCT(MAX(ROW(E3844:E$2)*(E3845=E3844:E$2)))))</f>
        <v> </v>
      </c>
      <c r="J3845" s="26" t="str">
        <f>IF(OR(E3845="",E3845="!!!",F3845="NEW"),"",COUNTBLANK(OFFSET(A$1,,,SUMPRODUCT(MAX(ROW(E$2:E3845)*(E3845=E$2:E3845)))))-COUNTBLANK(OFFSET(A$1,,,SUMPRODUCT(MAX(ROW(E$1:E3844)*(E2=E$1:E3844))))))</f>
        <v> </v>
      </c>
      <c r="K3845" s="26" t="str">
        <f>IF(OR(E3845="",E3845="!!!",F3845="NEW"),"",INDEX(J$1:J3844,SUMPRODUCT(MAX(ROW(E$1:E3844)*(E3845=E$1:E3844)))))</f>
        <v> </v>
      </c>
      <c r="L3845" s="27"/>
    </row>
    <row r="3846" spans="1:12">
      <c r="A3846" s="20" t="s">
        <v>2325</v>
      </c>
      <c r="B3846" s="21" t="s">
        <v>1205</v>
      </c>
      <c r="E3846" s="22">
        <f>IF(D3846="?OLD","!!!","")</f>
        <v/>
      </c>
      <c r="F3846" s="23" t="str">
        <f>IF(OR(E3846="",E3846="!!!"),"",IF(NOT(ISNA(VLOOKUP(E3846,E$1:E3845,1,FALSE()))),"OLD",IF(AND(E3846&lt;&gt;"",E3846&lt;&gt;"!!!"),"NEW","")))</f>
        <v> </v>
      </c>
      <c r="G3846" s="24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5" t="str">
        <f>IF(J3846&lt;&gt;1,"",IF(I3846="SBJ","CB","?"))</f>
        <v> </v>
      </c>
      <c r="I3846" s="26" t="str">
        <f>IF(OR(E3846="",E3846="!!!",F3846="NEW"),"",INDEX(B3845:B$2,-1+SUMPRODUCT(MAX(ROW(E3845:E$2)*(E3846=E3845:E$2)))))</f>
        <v> </v>
      </c>
      <c r="J3846" s="26" t="str">
        <f>IF(OR(E3846="",E3846="!!!",F3846="NEW"),"",COUNTBLANK(OFFSET(A$1,,,SUMPRODUCT(MAX(ROW(E$2:E3846)*(E3846=E$2:E3846)))))-COUNTBLANK(OFFSET(A$1,,,SUMPRODUCT(MAX(ROW(E$1:E3845)*(E2=E$1:E3845))))))</f>
        <v> </v>
      </c>
      <c r="K3846" s="26" t="str">
        <f>IF(OR(E3846="",E3846="!!!",F3846="NEW"),"",INDEX(J$1:J3845,SUMPRODUCT(MAX(ROW(E$1:E3845)*(E3846=E$1:E3845)))))</f>
        <v> </v>
      </c>
      <c r="L3846" s="27"/>
    </row>
    <row r="3847" spans="1:12">
      <c r="A3847" s="20" t="s">
        <v>1789</v>
      </c>
      <c r="E3847" s="22">
        <f>IF(D3847="?OLD","!!!","")</f>
        <v/>
      </c>
      <c r="F3847" s="23" t="str">
        <f>IF(OR(E3847="",E3847="!!!"),"",IF(NOT(ISNA(VLOOKUP(E3847,E$1:E3846,1,FALSE()))),"OLD",IF(AND(E3847&lt;&gt;"",E3847&lt;&gt;"!!!"),"NEW","")))</f>
        <v> </v>
      </c>
      <c r="G3847" s="24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5" t="str">
        <f>IF(J3847&lt;&gt;1,"",IF(I3847="SBJ","CB","?"))</f>
        <v> </v>
      </c>
      <c r="I3847" s="26" t="str">
        <f>IF(OR(E3847="",E3847="!!!",F3847="NEW"),"",INDEX(B3846:B$2,-1+SUMPRODUCT(MAX(ROW(E3846:E$2)*(E3847=E3846:E$2)))))</f>
        <v> </v>
      </c>
      <c r="J3847" s="26" t="str">
        <f>IF(OR(E3847="",E3847="!!!",F3847="NEW"),"",COUNTBLANK(OFFSET(A$1,,,SUMPRODUCT(MAX(ROW(E$2:E3847)*(E3847=E$2:E3847)))))-COUNTBLANK(OFFSET(A$1,,,SUMPRODUCT(MAX(ROW(E$1:E3846)*(E2=E$1:E3846))))))</f>
        <v> </v>
      </c>
      <c r="K3847" s="26" t="str">
        <f>IF(OR(E3847="",E3847="!!!",F3847="NEW"),"",INDEX(J$1:J3846,SUMPRODUCT(MAX(ROW(E$1:E3846)*(E3847=E$1:E3846)))))</f>
        <v> </v>
      </c>
      <c r="L3847" s="27"/>
    </row>
    <row r="3848" spans="1:12">
      <c r="A3848" s="20" t="s">
        <v>2533</v>
      </c>
      <c r="E3848" s="22">
        <f>IF(D3848="?OLD","!!!","")</f>
        <v/>
      </c>
      <c r="F3848" s="23" t="str">
        <f>IF(OR(E3848="",E3848="!!!"),"",IF(NOT(ISNA(VLOOKUP(E3848,E$1:E3847,1,FALSE()))),"OLD",IF(AND(E3848&lt;&gt;"",E3848&lt;&gt;"!!!"),"NEW","")))</f>
        <v> </v>
      </c>
      <c r="G3848" s="24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5" t="str">
        <f>IF(J3848&lt;&gt;1,"",IF(I3848="SBJ","CB","?"))</f>
        <v> </v>
      </c>
      <c r="I3848" s="26" t="str">
        <f>IF(OR(E3848="",E3848="!!!",F3848="NEW"),"",INDEX(B3847:B$2,-1+SUMPRODUCT(MAX(ROW(E3847:E$2)*(E3848=E3847:E$2)))))</f>
        <v> </v>
      </c>
      <c r="J3848" s="26" t="str">
        <f>IF(OR(E3848="",E3848="!!!",F3848="NEW"),"",COUNTBLANK(OFFSET(A$1,,,SUMPRODUCT(MAX(ROW(E$2:E3848)*(E3848=E$2:E3848)))))-COUNTBLANK(OFFSET(A$1,,,SUMPRODUCT(MAX(ROW(E$1:E3847)*(E2=E$1:E3847))))))</f>
        <v> </v>
      </c>
      <c r="K3848" s="26" t="str">
        <f>IF(OR(E3848="",E3848="!!!",F3848="NEW"),"",INDEX(J$1:J3847,SUMPRODUCT(MAX(ROW(E$1:E3847)*(E3848=E$1:E3847)))))</f>
        <v> </v>
      </c>
      <c r="L3848" s="27"/>
    </row>
    <row r="3849" spans="1:12">
      <c r="A3849" s="20" t="s">
        <v>2534</v>
      </c>
      <c r="E3849" s="22">
        <f>IF(D3849="?OLD","!!!","")</f>
        <v/>
      </c>
      <c r="F3849" s="23" t="str">
        <f>IF(OR(E3849="",E3849="!!!"),"",IF(NOT(ISNA(VLOOKUP(E3849,E$1:E3848,1,FALSE()))),"OLD",IF(AND(E3849&lt;&gt;"",E3849&lt;&gt;"!!!"),"NEW","")))</f>
        <v> </v>
      </c>
      <c r="G3849" s="24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5" t="str">
        <f>IF(J3849&lt;&gt;1,"",IF(I3849="SBJ","CB","?"))</f>
        <v> </v>
      </c>
      <c r="I3849" s="26" t="str">
        <f>IF(OR(E3849="",E3849="!!!",F3849="NEW"),"",INDEX(B3848:B$2,-1+SUMPRODUCT(MAX(ROW(E3848:E$2)*(E3849=E3848:E$2)))))</f>
        <v> </v>
      </c>
      <c r="J3849" s="26" t="str">
        <f>IF(OR(E3849="",E3849="!!!",F3849="NEW"),"",COUNTBLANK(OFFSET(A$1,,,SUMPRODUCT(MAX(ROW(E$2:E3849)*(E3849=E$2:E3849)))))-COUNTBLANK(OFFSET(A$1,,,SUMPRODUCT(MAX(ROW(E$1:E3848)*(E2=E$1:E3848))))))</f>
        <v> </v>
      </c>
      <c r="K3849" s="26" t="str">
        <f>IF(OR(E3849="",E3849="!!!",F3849="NEW"),"",INDEX(J$1:J3848,SUMPRODUCT(MAX(ROW(E$1:E3848)*(E3849=E$1:E3848)))))</f>
        <v> </v>
      </c>
      <c r="L3849" s="27"/>
    </row>
    <row r="3850" spans="1:12">
      <c r="A3850" s="20" t="s">
        <v>1186</v>
      </c>
      <c r="B3850" s="21" t="s">
        <v>1088</v>
      </c>
      <c r="E3850" s="22">
        <f>IF(D3850="?OLD","!!!","")</f>
        <v/>
      </c>
      <c r="F3850" s="23" t="str">
        <f>IF(OR(E3850="",E3850="!!!"),"",IF(NOT(ISNA(VLOOKUP(E3850,E$1:E3849,1,FALSE()))),"OLD",IF(AND(E3850&lt;&gt;"",E3850&lt;&gt;"!!!"),"NEW","")))</f>
        <v> </v>
      </c>
      <c r="G3850" s="24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5" t="str">
        <f>IF(J3850&lt;&gt;1,"",IF(I3850="SBJ","CB","?"))</f>
        <v> </v>
      </c>
      <c r="I3850" s="26" t="str">
        <f>IF(OR(E3850="",E3850="!!!",F3850="NEW"),"",INDEX(B3849:B$2,-1+SUMPRODUCT(MAX(ROW(E3849:E$2)*(E3850=E3849:E$2)))))</f>
        <v> </v>
      </c>
      <c r="J3850" s="26" t="str">
        <f>IF(OR(E3850="",E3850="!!!",F3850="NEW"),"",COUNTBLANK(OFFSET(A$1,,,SUMPRODUCT(MAX(ROW(E$2:E3850)*(E3850=E$2:E3850)))))-COUNTBLANK(OFFSET(A$1,,,SUMPRODUCT(MAX(ROW(E$1:E3849)*(E2=E$1:E3849))))))</f>
        <v> </v>
      </c>
      <c r="K3850" s="26" t="str">
        <f>IF(OR(E3850="",E3850="!!!",F3850="NEW"),"",INDEX(J$1:J3849,SUMPRODUCT(MAX(ROW(E$1:E3849)*(E3850=E$1:E3849)))))</f>
        <v> </v>
      </c>
      <c r="L3850" s="27"/>
    </row>
    <row r="3851" spans="1:12">
      <c r="A3851" s="20" t="s">
        <v>2535</v>
      </c>
      <c r="E3851" s="22">
        <f>IF(D3851="?OLD","!!!","")</f>
        <v/>
      </c>
      <c r="F3851" s="23" t="str">
        <f>IF(OR(E3851="",E3851="!!!"),"",IF(NOT(ISNA(VLOOKUP(E3851,E$1:E3850,1,FALSE()))),"OLD",IF(AND(E3851&lt;&gt;"",E3851&lt;&gt;"!!!"),"NEW","")))</f>
        <v> </v>
      </c>
      <c r="G3851" s="24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5" t="str">
        <f>IF(J3851&lt;&gt;1,"",IF(I3851="SBJ","CB","?"))</f>
        <v> </v>
      </c>
      <c r="I3851" s="26" t="str">
        <f>IF(OR(E3851="",E3851="!!!",F3851="NEW"),"",INDEX(B3850:B$2,-1+SUMPRODUCT(MAX(ROW(E3850:E$2)*(E3851=E3850:E$2)))))</f>
        <v> </v>
      </c>
      <c r="J3851" s="26" t="str">
        <f>IF(OR(E3851="",E3851="!!!",F3851="NEW"),"",COUNTBLANK(OFFSET(A$1,,,SUMPRODUCT(MAX(ROW(E$2:E3851)*(E3851=E$2:E3851)))))-COUNTBLANK(OFFSET(A$1,,,SUMPRODUCT(MAX(ROW(E$1:E3850)*(E2=E$1:E3850))))))</f>
        <v> </v>
      </c>
      <c r="K3851" s="26" t="str">
        <f>IF(OR(E3851="",E3851="!!!",F3851="NEW"),"",INDEX(J$1:J3850,SUMPRODUCT(MAX(ROW(E$1:E3850)*(E3851=E$1:E3850)))))</f>
        <v> </v>
      </c>
      <c r="L3851" s="27"/>
    </row>
    <row r="3852" spans="1:12">
      <c r="A3852" s="20" t="s">
        <v>2536</v>
      </c>
      <c r="E3852" s="22">
        <f>IF(D3852="?OLD","!!!","")</f>
        <v/>
      </c>
      <c r="F3852" s="23" t="str">
        <f>IF(OR(E3852="",E3852="!!!"),"",IF(NOT(ISNA(VLOOKUP(E3852,E$1:E3851,1,FALSE()))),"OLD",IF(AND(E3852&lt;&gt;"",E3852&lt;&gt;"!!!"),"NEW","")))</f>
        <v> </v>
      </c>
      <c r="G3852" s="24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5" t="str">
        <f>IF(J3852&lt;&gt;1,"",IF(I3852="SBJ","CB","?"))</f>
        <v> </v>
      </c>
      <c r="I3852" s="26" t="str">
        <f>IF(OR(E3852="",E3852="!!!",F3852="NEW"),"",INDEX(B3851:B$2,-1+SUMPRODUCT(MAX(ROW(E3851:E$2)*(E3852=E3851:E$2)))))</f>
        <v> </v>
      </c>
      <c r="J3852" s="26" t="str">
        <f>IF(OR(E3852="",E3852="!!!",F3852="NEW"),"",COUNTBLANK(OFFSET(A$1,,,SUMPRODUCT(MAX(ROW(E$2:E3852)*(E3852=E$2:E3852)))))-COUNTBLANK(OFFSET(A$1,,,SUMPRODUCT(MAX(ROW(E$1:E3851)*(E2=E$1:E3851))))))</f>
        <v> </v>
      </c>
      <c r="K3852" s="26" t="str">
        <f>IF(OR(E3852="",E3852="!!!",F3852="NEW"),"",INDEX(J$1:J3851,SUMPRODUCT(MAX(ROW(E$1:E3851)*(E3852=E$1:E3851)))))</f>
        <v> </v>
      </c>
      <c r="L3852" s="27"/>
    </row>
    <row r="3853" spans="1:12">
      <c r="A3853" s="20" t="s">
        <v>1106</v>
      </c>
      <c r="E3853" s="22">
        <f>IF(D3853="?OLD","!!!","")</f>
        <v/>
      </c>
      <c r="F3853" s="23" t="str">
        <f>IF(OR(E3853="",E3853="!!!"),"",IF(NOT(ISNA(VLOOKUP(E3853,E$1:E3852,1,FALSE()))),"OLD",IF(AND(E3853&lt;&gt;"",E3853&lt;&gt;"!!!"),"NEW","")))</f>
        <v> </v>
      </c>
      <c r="G3853" s="24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5" t="str">
        <f>IF(J3853&lt;&gt;1,"",IF(I3853="SBJ","CB","?"))</f>
        <v> </v>
      </c>
      <c r="I3853" s="26" t="str">
        <f>IF(OR(E3853="",E3853="!!!",F3853="NEW"),"",INDEX(B3852:B$2,-1+SUMPRODUCT(MAX(ROW(E3852:E$2)*(E3853=E3852:E$2)))))</f>
        <v> </v>
      </c>
      <c r="J3853" s="26" t="str">
        <f>IF(OR(E3853="",E3853="!!!",F3853="NEW"),"",COUNTBLANK(OFFSET(A$1,,,SUMPRODUCT(MAX(ROW(E$2:E3853)*(E3853=E$2:E3853)))))-COUNTBLANK(OFFSET(A$1,,,SUMPRODUCT(MAX(ROW(E$1:E3852)*(E2=E$1:E3852))))))</f>
        <v> </v>
      </c>
      <c r="K3853" s="26" t="str">
        <f>IF(OR(E3853="",E3853="!!!",F3853="NEW"),"",INDEX(J$1:J3852,SUMPRODUCT(MAX(ROW(E$1:E3852)*(E3853=E$1:E3852)))))</f>
        <v> </v>
      </c>
      <c r="L3853" s="27"/>
    </row>
    <row r="3854" spans="1:12">
      <c r="A3854" s="20"/>
    </row>
    <row r="3855" spans="1:12">
      <c r="A3855" s="20" t="s">
        <v>2537</v>
      </c>
    </row>
    <row r="3856" spans="1:12">
      <c r="A3856" s="20" t="s">
        <v>1711</v>
      </c>
      <c r="E3856" s="22">
        <f>IF(D3856="?OLD","!!!","")</f>
        <v/>
      </c>
      <c r="F3856" s="23" t="str">
        <f>IF(OR(E3856="",E3856="!!!"),"",IF(NOT(ISNA(VLOOKUP(E3856,E$1:E3855,1,FALSE()))),"OLD",IF(AND(E3856&lt;&gt;"",E3856&lt;&gt;"!!!"),"NEW","")))</f>
        <v> </v>
      </c>
      <c r="G3856" s="24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5" t="str">
        <f>IF(J3856&lt;&gt;1,"",IF(I3856="SBJ","CB","?"))</f>
        <v> </v>
      </c>
      <c r="I3856" s="26" t="str">
        <f>IF(OR(E3856="",E3856="!!!",F3856="NEW"),"",INDEX(B3855:B$2,-1+SUMPRODUCT(MAX(ROW(E3855:E$2)*(E3856=E3855:E$2)))))</f>
        <v> </v>
      </c>
      <c r="J3856" s="26" t="str">
        <f>IF(OR(E3856="",E3856="!!!",F3856="NEW"),"",COUNTBLANK(OFFSET(A$1,,,SUMPRODUCT(MAX(ROW(E$2:E3856)*(E3856=E$2:E3856)))))-COUNTBLANK(OFFSET(A$1,,,SUMPRODUCT(MAX(ROW(E$1:E3855)*(E2=E$1:E3855))))))</f>
        <v> </v>
      </c>
      <c r="K3856" s="26" t="str">
        <f>IF(OR(E3856="",E3856="!!!",F3856="NEW"),"",INDEX(J$1:J3855,SUMPRODUCT(MAX(ROW(E$1:E3855)*(E3856=E$1:E3855)))))</f>
        <v> </v>
      </c>
      <c r="L3856" s="27"/>
    </row>
    <row r="3857" spans="1:12">
      <c r="A3857" s="20" t="s">
        <v>1655</v>
      </c>
      <c r="B3857" s="21" t="s">
        <v>1072</v>
      </c>
      <c r="C3857" s="21" t="s">
        <v>1081</v>
      </c>
      <c r="D3857" s="21" t="s">
        <v>1074</v>
      </c>
      <c r="E3857" s="22">
        <f>IF(D3857="?OLD","!!!","")</f>
        <v/>
      </c>
      <c r="F3857" s="23" t="str">
        <f>IF(OR(E3857="",E3857="!!!"),"",IF(NOT(ISNA(VLOOKUP(E3857,E$1:E3856,1,FALSE()))),"OLD",IF(AND(E3857&lt;&gt;"",E3857&lt;&gt;"!!!"),"NEW","")))</f>
        <v> </v>
      </c>
      <c r="G3857" s="24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5" t="str">
        <f>IF(J3857&lt;&gt;1,"",IF(I3857="SBJ","CB","?"))</f>
        <v> </v>
      </c>
      <c r="I3857" s="26" t="str">
        <f>IF(OR(E3857="",E3857="!!!",F3857="NEW"),"",INDEX(B3856:B$2,-1+SUMPRODUCT(MAX(ROW(E3856:E$2)*(E3857=E3856:E$2)))))</f>
        <v> </v>
      </c>
      <c r="J3857" s="26" t="str">
        <f>IF(OR(E3857="",E3857="!!!",F3857="NEW"),"",COUNTBLANK(OFFSET(A$1,,,SUMPRODUCT(MAX(ROW(E$2:E3857)*(E3857=E$2:E3857)))))-COUNTBLANK(OFFSET(A$1,,,SUMPRODUCT(MAX(ROW(E$1:E3856)*(E2=E$1:E3856))))))</f>
        <v> </v>
      </c>
      <c r="K3857" s="26" t="str">
        <f>IF(OR(E3857="",E3857="!!!",F3857="NEW"),"",INDEX(J$1:J3856,SUMPRODUCT(MAX(ROW(E$1:E3856)*(E3857=E$1:E3856)))))</f>
        <v> </v>
      </c>
      <c r="L3857" s="27"/>
    </row>
    <row r="3858" spans="1:12">
      <c r="A3858" s="20" t="s">
        <v>2538</v>
      </c>
      <c r="E3858" s="22">
        <f>IF(D3858="?OLD","!!!","")</f>
        <v/>
      </c>
      <c r="F3858" s="23" t="str">
        <f>IF(OR(E3858="",E3858="!!!"),"",IF(NOT(ISNA(VLOOKUP(E3858,E$1:E3857,1,FALSE()))),"OLD",IF(AND(E3858&lt;&gt;"",E3858&lt;&gt;"!!!"),"NEW","")))</f>
        <v> </v>
      </c>
      <c r="G3858" s="24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5" t="str">
        <f>IF(J3858&lt;&gt;1,"",IF(I3858="SBJ","CB","?"))</f>
        <v> </v>
      </c>
      <c r="I3858" s="26" t="str">
        <f>IF(OR(E3858="",E3858="!!!",F3858="NEW"),"",INDEX(B3857:B$2,-1+SUMPRODUCT(MAX(ROW(E3857:E$2)*(E3858=E3857:E$2)))))</f>
        <v> </v>
      </c>
      <c r="J3858" s="26" t="str">
        <f>IF(OR(E3858="",E3858="!!!",F3858="NEW"),"",COUNTBLANK(OFFSET(A$1,,,SUMPRODUCT(MAX(ROW(E$2:E3858)*(E3858=E$2:E3858)))))-COUNTBLANK(OFFSET(A$1,,,SUMPRODUCT(MAX(ROW(E$1:E3857)*(E2=E$1:E3857))))))</f>
        <v> </v>
      </c>
      <c r="K3858" s="26" t="str">
        <f>IF(OR(E3858="",E3858="!!!",F3858="NEW"),"",INDEX(J$1:J3857,SUMPRODUCT(MAX(ROW(E$1:E3857)*(E3858=E$1:E3857)))))</f>
        <v> </v>
      </c>
      <c r="L3858" s="27"/>
    </row>
    <row r="3859" spans="1:12">
      <c r="A3859" s="20" t="s">
        <v>2539</v>
      </c>
      <c r="B3859" s="21" t="s">
        <v>1109</v>
      </c>
      <c r="E3859" s="22">
        <f>IF(D3859="?OLD","!!!","")</f>
        <v/>
      </c>
      <c r="F3859" s="23" t="str">
        <f>IF(OR(E3859="",E3859="!!!"),"",IF(NOT(ISNA(VLOOKUP(E3859,E$1:E3858,1,FALSE()))),"OLD",IF(AND(E3859&lt;&gt;"",E3859&lt;&gt;"!!!"),"NEW","")))</f>
        <v> </v>
      </c>
      <c r="G3859" s="24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5" t="str">
        <f>IF(J3859&lt;&gt;1,"",IF(I3859="SBJ","CB","?"))</f>
        <v> </v>
      </c>
      <c r="I3859" s="26" t="str">
        <f>IF(OR(E3859="",E3859="!!!",F3859="NEW"),"",INDEX(B3858:B$2,-1+SUMPRODUCT(MAX(ROW(E3858:E$2)*(E3859=E3858:E$2)))))</f>
        <v> </v>
      </c>
      <c r="J3859" s="26" t="str">
        <f>IF(OR(E3859="",E3859="!!!",F3859="NEW"),"",COUNTBLANK(OFFSET(A$1,,,SUMPRODUCT(MAX(ROW(E$2:E3859)*(E3859=E$2:E3859)))))-COUNTBLANK(OFFSET(A$1,,,SUMPRODUCT(MAX(ROW(E$1:E3858)*(E2=E$1:E3858))))))</f>
        <v> </v>
      </c>
      <c r="K3859" s="26" t="str">
        <f>IF(OR(E3859="",E3859="!!!",F3859="NEW"),"",INDEX(J$1:J3858,SUMPRODUCT(MAX(ROW(E$1:E3858)*(E3859=E$1:E3858)))))</f>
        <v> </v>
      </c>
      <c r="L3859" s="27"/>
    </row>
    <row r="3860" spans="1:12">
      <c r="A3860" s="20" t="s">
        <v>1106</v>
      </c>
      <c r="E3860" s="22">
        <f>IF(D3860="?OLD","!!!","")</f>
        <v/>
      </c>
      <c r="F3860" s="23" t="str">
        <f>IF(OR(E3860="",E3860="!!!"),"",IF(NOT(ISNA(VLOOKUP(E3860,E$1:E3859,1,FALSE()))),"OLD",IF(AND(E3860&lt;&gt;"",E3860&lt;&gt;"!!!"),"NEW","")))</f>
        <v> </v>
      </c>
      <c r="G3860" s="24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5" t="str">
        <f>IF(J3860&lt;&gt;1,"",IF(I3860="SBJ","CB","?"))</f>
        <v> </v>
      </c>
      <c r="I3860" s="26" t="str">
        <f>IF(OR(E3860="",E3860="!!!",F3860="NEW"),"",INDEX(B3859:B$2,-1+SUMPRODUCT(MAX(ROW(E3859:E$2)*(E3860=E3859:E$2)))))</f>
        <v> </v>
      </c>
      <c r="J3860" s="26" t="str">
        <f>IF(OR(E3860="",E3860="!!!",F3860="NEW"),"",COUNTBLANK(OFFSET(A$1,,,SUMPRODUCT(MAX(ROW(E$2:E3860)*(E3860=E$2:E3860)))))-COUNTBLANK(OFFSET(A$1,,,SUMPRODUCT(MAX(ROW(E$1:E3859)*(E2=E$1:E3859))))))</f>
        <v> </v>
      </c>
      <c r="K3860" s="26" t="str">
        <f>IF(OR(E3860="",E3860="!!!",F3860="NEW"),"",INDEX(J$1:J3859,SUMPRODUCT(MAX(ROW(E$1:E3859)*(E3860=E$1:E3859)))))</f>
        <v> </v>
      </c>
      <c r="L3860" s="27"/>
    </row>
    <row r="3861" spans="1:12">
      <c r="A3861" s="20"/>
    </row>
    <row r="3862" spans="1:12">
      <c r="A3862" s="20" t="s">
        <v>2540</v>
      </c>
    </row>
    <row r="3863" spans="1:12">
      <c r="A3863" s="20" t="s">
        <v>1268</v>
      </c>
      <c r="E3863" s="22">
        <f>IF(D3863="?OLD","!!!","")</f>
        <v/>
      </c>
      <c r="F3863" s="23" t="str">
        <f>IF(OR(E3863="",E3863="!!!"),"",IF(NOT(ISNA(VLOOKUP(E3863,E$1:E3862,1,FALSE()))),"OLD",IF(AND(E3863&lt;&gt;"",E3863&lt;&gt;"!!!"),"NEW","")))</f>
        <v> </v>
      </c>
      <c r="G3863" s="24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5" t="str">
        <f>IF(J3863&lt;&gt;1,"",IF(I3863="SBJ","CB","?"))</f>
        <v> </v>
      </c>
      <c r="I3863" s="26" t="str">
        <f>IF(OR(E3863="",E3863="!!!",F3863="NEW"),"",INDEX(B3862:B$2,-1+SUMPRODUCT(MAX(ROW(E3862:E$2)*(E3863=E3862:E$2)))))</f>
        <v> </v>
      </c>
      <c r="J3863" s="26" t="str">
        <f>IF(OR(E3863="",E3863="!!!",F3863="NEW"),"",COUNTBLANK(OFFSET(A$1,,,SUMPRODUCT(MAX(ROW(E$2:E3863)*(E3863=E$2:E3863)))))-COUNTBLANK(OFFSET(A$1,,,SUMPRODUCT(MAX(ROW(E$1:E3862)*(E2=E$1:E3862))))))</f>
        <v> </v>
      </c>
      <c r="K3863" s="26" t="str">
        <f>IF(OR(E3863="",E3863="!!!",F3863="NEW"),"",INDEX(J$1:J3862,SUMPRODUCT(MAX(ROW(E$1:E3862)*(E3863=E$1:E3862)))))</f>
        <v> </v>
      </c>
      <c r="L3863" s="27"/>
    </row>
    <row r="3864" spans="1:12">
      <c r="A3864" s="20" t="s">
        <v>1085</v>
      </c>
      <c r="E3864" s="22">
        <f>IF(D3864="?OLD","!!!","")</f>
        <v/>
      </c>
      <c r="F3864" s="23" t="str">
        <f>IF(OR(E3864="",E3864="!!!"),"",IF(NOT(ISNA(VLOOKUP(E3864,E$1:E3863,1,FALSE()))),"OLD",IF(AND(E3864&lt;&gt;"",E3864&lt;&gt;"!!!"),"NEW","")))</f>
        <v> </v>
      </c>
      <c r="G3864" s="24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5" t="str">
        <f>IF(J3864&lt;&gt;1,"",IF(I3864="SBJ","CB","?"))</f>
        <v> </v>
      </c>
      <c r="I3864" s="26" t="str">
        <f>IF(OR(E3864="",E3864="!!!",F3864="NEW"),"",INDEX(B3863:B$2,-1+SUMPRODUCT(MAX(ROW(E3863:E$2)*(E3864=E3863:E$2)))))</f>
        <v> </v>
      </c>
      <c r="J3864" s="26" t="str">
        <f>IF(OR(E3864="",E3864="!!!",F3864="NEW"),"",COUNTBLANK(OFFSET(A$1,,,SUMPRODUCT(MAX(ROW(E$2:E3864)*(E3864=E$2:E3864)))))-COUNTBLANK(OFFSET(A$1,,,SUMPRODUCT(MAX(ROW(E$1:E3863)*(E2=E$1:E3863))))))</f>
        <v> </v>
      </c>
      <c r="K3864" s="26" t="str">
        <f>IF(OR(E3864="",E3864="!!!",F3864="NEW"),"",INDEX(J$1:J3863,SUMPRODUCT(MAX(ROW(E$1:E3863)*(E3864=E$1:E3863)))))</f>
        <v> </v>
      </c>
      <c r="L3864" s="27"/>
    </row>
    <row r="3865" spans="1:12">
      <c r="A3865" s="20" t="s">
        <v>1562</v>
      </c>
      <c r="E3865" s="22">
        <f>IF(D3865="?OLD","!!!","")</f>
        <v/>
      </c>
      <c r="F3865" s="23" t="str">
        <f>IF(OR(E3865="",E3865="!!!"),"",IF(NOT(ISNA(VLOOKUP(E3865,E$1:E3864,1,FALSE()))),"OLD",IF(AND(E3865&lt;&gt;"",E3865&lt;&gt;"!!!"),"NEW","")))</f>
        <v> </v>
      </c>
      <c r="G3865" s="24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5" t="str">
        <f>IF(J3865&lt;&gt;1,"",IF(I3865="SBJ","CB","?"))</f>
        <v> </v>
      </c>
      <c r="I3865" s="26" t="str">
        <f>IF(OR(E3865="",E3865="!!!",F3865="NEW"),"",INDEX(B3864:B$2,-1+SUMPRODUCT(MAX(ROW(E3864:E$2)*(E3865=E3864:E$2)))))</f>
        <v> </v>
      </c>
      <c r="J3865" s="26" t="str">
        <f>IF(OR(E3865="",E3865="!!!",F3865="NEW"),"",COUNTBLANK(OFFSET(A$1,,,SUMPRODUCT(MAX(ROW(E$2:E3865)*(E3865=E$2:E3865)))))-COUNTBLANK(OFFSET(A$1,,,SUMPRODUCT(MAX(ROW(E$1:E3864)*(E2=E$1:E3864))))))</f>
        <v> </v>
      </c>
      <c r="K3865" s="26" t="str">
        <f>IF(OR(E3865="",E3865="!!!",F3865="NEW"),"",INDEX(J$1:J3864,SUMPRODUCT(MAX(ROW(E$1:E3864)*(E3865=E$1:E3864)))))</f>
        <v> </v>
      </c>
      <c r="L3865" s="27"/>
    </row>
    <row r="3866" spans="1:12">
      <c r="A3866" s="20" t="s">
        <v>1321</v>
      </c>
      <c r="B3866" s="21" t="s">
        <v>1080</v>
      </c>
      <c r="C3866" s="21" t="s">
        <v>1154</v>
      </c>
      <c r="D3866" s="21" t="s">
        <v>1074</v>
      </c>
      <c r="E3866" s="22">
        <f>IF(D3866="?OLD","!!!","")</f>
        <v/>
      </c>
      <c r="F3866" s="23" t="str">
        <f>IF(OR(E3866="",E3866="!!!"),"",IF(NOT(ISNA(VLOOKUP(E3866,E$1:E3865,1,FALSE()))),"OLD",IF(AND(E3866&lt;&gt;"",E3866&lt;&gt;"!!!"),"NEW","")))</f>
        <v> </v>
      </c>
      <c r="G3866" s="24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5" t="str">
        <f>IF(J3866&lt;&gt;1,"",IF(I3866="SBJ","CB","?"))</f>
        <v> </v>
      </c>
      <c r="I3866" s="26" t="str">
        <f>IF(OR(E3866="",E3866="!!!",F3866="NEW"),"",INDEX(B3865:B$2,-1+SUMPRODUCT(MAX(ROW(E3865:E$2)*(E3866=E3865:E$2)))))</f>
        <v> </v>
      </c>
      <c r="J3866" s="26" t="str">
        <f>IF(OR(E3866="",E3866="!!!",F3866="NEW"),"",COUNTBLANK(OFFSET(A$1,,,SUMPRODUCT(MAX(ROW(E$2:E3866)*(E3866=E$2:E3866)))))-COUNTBLANK(OFFSET(A$1,,,SUMPRODUCT(MAX(ROW(E$1:E3865)*(E2=E$1:E3865))))))</f>
        <v> </v>
      </c>
      <c r="K3866" s="26" t="str">
        <f>IF(OR(E3866="",E3866="!!!",F3866="NEW"),"",INDEX(J$1:J3865,SUMPRODUCT(MAX(ROW(E$1:E3865)*(E3866=E$1:E3865)))))</f>
        <v> </v>
      </c>
      <c r="L3866" s="27"/>
    </row>
    <row r="3867" spans="1:12">
      <c r="A3867" s="20" t="s">
        <v>2541</v>
      </c>
      <c r="E3867" s="22">
        <f>IF(D3867="?OLD","!!!","")</f>
        <v/>
      </c>
      <c r="F3867" s="23" t="str">
        <f>IF(OR(E3867="",E3867="!!!"),"",IF(NOT(ISNA(VLOOKUP(E3867,E$1:E3866,1,FALSE()))),"OLD",IF(AND(E3867&lt;&gt;"",E3867&lt;&gt;"!!!"),"NEW","")))</f>
        <v> </v>
      </c>
      <c r="G3867" s="24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5" t="str">
        <f>IF(J3867&lt;&gt;1,"",IF(I3867="SBJ","CB","?"))</f>
        <v> </v>
      </c>
      <c r="I3867" s="26" t="str">
        <f>IF(OR(E3867="",E3867="!!!",F3867="NEW"),"",INDEX(B3866:B$2,-1+SUMPRODUCT(MAX(ROW(E3866:E$2)*(E3867=E3866:E$2)))))</f>
        <v> </v>
      </c>
      <c r="J3867" s="26" t="str">
        <f>IF(OR(E3867="",E3867="!!!",F3867="NEW"),"",COUNTBLANK(OFFSET(A$1,,,SUMPRODUCT(MAX(ROW(E$2:E3867)*(E3867=E$2:E3867)))))-COUNTBLANK(OFFSET(A$1,,,SUMPRODUCT(MAX(ROW(E$1:E3866)*(E2=E$1:E3866))))))</f>
        <v> </v>
      </c>
      <c r="K3867" s="26" t="str">
        <f>IF(OR(E3867="",E3867="!!!",F3867="NEW"),"",INDEX(J$1:J3866,SUMPRODUCT(MAX(ROW(E$1:E3866)*(E3867=E$1:E3866)))))</f>
        <v> </v>
      </c>
      <c r="L3867" s="27"/>
    </row>
    <row r="3868" spans="1:12">
      <c r="A3868" s="20" t="s">
        <v>1106</v>
      </c>
      <c r="E3868" s="22">
        <f>IF(D3868="?OLD","!!!","")</f>
        <v/>
      </c>
      <c r="F3868" s="23" t="str">
        <f>IF(OR(E3868="",E3868="!!!"),"",IF(NOT(ISNA(VLOOKUP(E3868,E$1:E3867,1,FALSE()))),"OLD",IF(AND(E3868&lt;&gt;"",E3868&lt;&gt;"!!!"),"NEW","")))</f>
        <v> </v>
      </c>
      <c r="G3868" s="24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5" t="str">
        <f>IF(J3868&lt;&gt;1,"",IF(I3868="SBJ","CB","?"))</f>
        <v> </v>
      </c>
      <c r="I3868" s="26" t="str">
        <f>IF(OR(E3868="",E3868="!!!",F3868="NEW"),"",INDEX(B3867:B$2,-1+SUMPRODUCT(MAX(ROW(E3867:E$2)*(E3868=E3867:E$2)))))</f>
        <v> </v>
      </c>
      <c r="J3868" s="26" t="str">
        <f>IF(OR(E3868="",E3868="!!!",F3868="NEW"),"",COUNTBLANK(OFFSET(A$1,,,SUMPRODUCT(MAX(ROW(E$2:E3868)*(E3868=E$2:E3868)))))-COUNTBLANK(OFFSET(A$1,,,SUMPRODUCT(MAX(ROW(E$1:E3867)*(E2=E$1:E3867))))))</f>
        <v> </v>
      </c>
      <c r="K3868" s="26" t="str">
        <f>IF(OR(E3868="",E3868="!!!",F3868="NEW"),"",INDEX(J$1:J3867,SUMPRODUCT(MAX(ROW(E$1:E3867)*(E3868=E$1:E3867)))))</f>
        <v> </v>
      </c>
      <c r="L3868" s="27"/>
    </row>
    <row r="3869" spans="1:12">
      <c r="A3869" s="20"/>
    </row>
    <row r="3870" spans="1:12">
      <c r="A3870" s="20" t="s">
        <v>2542</v>
      </c>
    </row>
    <row r="3871" spans="1:12">
      <c r="A3871" s="20" t="s">
        <v>2543</v>
      </c>
      <c r="B3871" s="21" t="s">
        <v>1109</v>
      </c>
      <c r="E3871" s="22">
        <f>IF(D3871="?OLD","!!!","")</f>
        <v/>
      </c>
      <c r="F3871" s="23" t="str">
        <f>IF(OR(E3871="",E3871="!!!"),"",IF(NOT(ISNA(VLOOKUP(E3871,E$1:E3870,1,FALSE()))),"OLD",IF(AND(E3871&lt;&gt;"",E3871&lt;&gt;"!!!"),"NEW","")))</f>
        <v> </v>
      </c>
      <c r="G3871" s="24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5" t="str">
        <f>IF(J3871&lt;&gt;1,"",IF(I3871="SBJ","CB","?"))</f>
        <v> </v>
      </c>
      <c r="I3871" s="26" t="str">
        <f>IF(OR(E3871="",E3871="!!!",F3871="NEW"),"",INDEX(B3870:B$2,-1+SUMPRODUCT(MAX(ROW(E3870:E$2)*(E3871=E3870:E$2)))))</f>
        <v> </v>
      </c>
      <c r="J3871" s="26" t="str">
        <f>IF(OR(E3871="",E3871="!!!",F3871="NEW"),"",COUNTBLANK(OFFSET(A$1,,,SUMPRODUCT(MAX(ROW(E$2:E3871)*(E3871=E$2:E3871)))))-COUNTBLANK(OFFSET(A$1,,,SUMPRODUCT(MAX(ROW(E$1:E3870)*(E2=E$1:E3870))))))</f>
        <v> </v>
      </c>
      <c r="K3871" s="26" t="str">
        <f>IF(OR(E3871="",E3871="!!!",F3871="NEW"),"",INDEX(J$1:J3870,SUMPRODUCT(MAX(ROW(E$1:E3870)*(E3871=E$1:E3870)))))</f>
        <v> </v>
      </c>
      <c r="L3871" s="27"/>
    </row>
    <row r="3872" spans="1:12">
      <c r="A3872" s="20" t="s">
        <v>2544</v>
      </c>
      <c r="E3872" s="22">
        <f>IF(D3872="?OLD","!!!","")</f>
        <v/>
      </c>
      <c r="F3872" s="23" t="str">
        <f>IF(OR(E3872="",E3872="!!!"),"",IF(NOT(ISNA(VLOOKUP(E3872,E$1:E3871,1,FALSE()))),"OLD",IF(AND(E3872&lt;&gt;"",E3872&lt;&gt;"!!!"),"NEW","")))</f>
        <v> </v>
      </c>
      <c r="G3872" s="24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5" t="str">
        <f>IF(J3872&lt;&gt;1,"",IF(I3872="SBJ","CB","?"))</f>
        <v> </v>
      </c>
      <c r="I3872" s="26" t="str">
        <f>IF(OR(E3872="",E3872="!!!",F3872="NEW"),"",INDEX(B3871:B$2,-1+SUMPRODUCT(MAX(ROW(E3871:E$2)*(E3872=E3871:E$2)))))</f>
        <v> </v>
      </c>
      <c r="J3872" s="26" t="str">
        <f>IF(OR(E3872="",E3872="!!!",F3872="NEW"),"",COUNTBLANK(OFFSET(A$1,,,SUMPRODUCT(MAX(ROW(E$2:E3872)*(E3872=E$2:E3872)))))-COUNTBLANK(OFFSET(A$1,,,SUMPRODUCT(MAX(ROW(E$1:E3871)*(E2=E$1:E3871))))))</f>
        <v> </v>
      </c>
      <c r="K3872" s="26" t="str">
        <f>IF(OR(E3872="",E3872="!!!",F3872="NEW"),"",INDEX(J$1:J3871,SUMPRODUCT(MAX(ROW(E$1:E3871)*(E3872=E$1:E3871)))))</f>
        <v> </v>
      </c>
      <c r="L3872" s="27"/>
    </row>
    <row r="3873" spans="1:12">
      <c r="A3873" s="20" t="s">
        <v>1124</v>
      </c>
      <c r="E3873" s="22">
        <f>IF(D3873="?OLD","!!!","")</f>
        <v/>
      </c>
      <c r="F3873" s="23" t="str">
        <f>IF(OR(E3873="",E3873="!!!"),"",IF(NOT(ISNA(VLOOKUP(E3873,E$1:E3872,1,FALSE()))),"OLD",IF(AND(E3873&lt;&gt;"",E3873&lt;&gt;"!!!"),"NEW","")))</f>
        <v> </v>
      </c>
      <c r="G3873" s="24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5" t="str">
        <f>IF(J3873&lt;&gt;1,"",IF(I3873="SBJ","CB","?"))</f>
        <v> </v>
      </c>
      <c r="I3873" s="26" t="str">
        <f>IF(OR(E3873="",E3873="!!!",F3873="NEW"),"",INDEX(B3872:B$2,-1+SUMPRODUCT(MAX(ROW(E3872:E$2)*(E3873=E3872:E$2)))))</f>
        <v> </v>
      </c>
      <c r="J3873" s="26" t="str">
        <f>IF(OR(E3873="",E3873="!!!",F3873="NEW"),"",COUNTBLANK(OFFSET(A$1,,,SUMPRODUCT(MAX(ROW(E$2:E3873)*(E3873=E$2:E3873)))))-COUNTBLANK(OFFSET(A$1,,,SUMPRODUCT(MAX(ROW(E$1:E3872)*(E2=E$1:E3872))))))</f>
        <v> </v>
      </c>
      <c r="K3873" s="26" t="str">
        <f>IF(OR(E3873="",E3873="!!!",F3873="NEW"),"",INDEX(J$1:J3872,SUMPRODUCT(MAX(ROW(E$1:E3872)*(E3873=E$1:E3872)))))</f>
        <v> </v>
      </c>
      <c r="L3873" s="27"/>
    </row>
    <row r="3874" spans="1:12">
      <c r="A3874" s="20" t="s">
        <v>1360</v>
      </c>
      <c r="E3874" s="22">
        <f>IF(D3874="?OLD","!!!","")</f>
        <v/>
      </c>
      <c r="F3874" s="23" t="str">
        <f>IF(OR(E3874="",E3874="!!!"),"",IF(NOT(ISNA(VLOOKUP(E3874,E$1:E3873,1,FALSE()))),"OLD",IF(AND(E3874&lt;&gt;"",E3874&lt;&gt;"!!!"),"NEW","")))</f>
        <v> </v>
      </c>
      <c r="G3874" s="24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5" t="str">
        <f>IF(J3874&lt;&gt;1,"",IF(I3874="SBJ","CB","?"))</f>
        <v> </v>
      </c>
      <c r="I3874" s="26" t="str">
        <f>IF(OR(E3874="",E3874="!!!",F3874="NEW"),"",INDEX(B3873:B$2,-1+SUMPRODUCT(MAX(ROW(E3873:E$2)*(E3874=E3873:E$2)))))</f>
        <v> </v>
      </c>
      <c r="J3874" s="26" t="str">
        <f>IF(OR(E3874="",E3874="!!!",F3874="NEW"),"",COUNTBLANK(OFFSET(A$1,,,SUMPRODUCT(MAX(ROW(E$2:E3874)*(E3874=E$2:E3874)))))-COUNTBLANK(OFFSET(A$1,,,SUMPRODUCT(MAX(ROW(E$1:E3873)*(E2=E$1:E3873))))))</f>
        <v> </v>
      </c>
      <c r="K3874" s="26" t="str">
        <f>IF(OR(E3874="",E3874="!!!",F3874="NEW"),"",INDEX(J$1:J3873,SUMPRODUCT(MAX(ROW(E$1:E3873)*(E3874=E$1:E3873)))))</f>
        <v> </v>
      </c>
      <c r="L3874" s="27"/>
    </row>
    <row r="3875" spans="1:12">
      <c r="A3875" s="20" t="s">
        <v>1457</v>
      </c>
      <c r="E3875" s="22">
        <f>IF(D3875="?OLD","!!!","")</f>
        <v/>
      </c>
      <c r="F3875" s="23" t="str">
        <f>IF(OR(E3875="",E3875="!!!"),"",IF(NOT(ISNA(VLOOKUP(E3875,E$1:E3874,1,FALSE()))),"OLD",IF(AND(E3875&lt;&gt;"",E3875&lt;&gt;"!!!"),"NEW","")))</f>
        <v> </v>
      </c>
      <c r="G3875" s="24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5" t="str">
        <f>IF(J3875&lt;&gt;1,"",IF(I3875="SBJ","CB","?"))</f>
        <v> </v>
      </c>
      <c r="I3875" s="26" t="str">
        <f>IF(OR(E3875="",E3875="!!!",F3875="NEW"),"",INDEX(B3874:B$2,-1+SUMPRODUCT(MAX(ROW(E3874:E$2)*(E3875=E3874:E$2)))))</f>
        <v> </v>
      </c>
      <c r="J3875" s="26" t="str">
        <f>IF(OR(E3875="",E3875="!!!",F3875="NEW"),"",COUNTBLANK(OFFSET(A$1,,,SUMPRODUCT(MAX(ROW(E$2:E3875)*(E3875=E$2:E3875)))))-COUNTBLANK(OFFSET(A$1,,,SUMPRODUCT(MAX(ROW(E$1:E3874)*(E2=E$1:E3874))))))</f>
        <v> </v>
      </c>
      <c r="K3875" s="26" t="str">
        <f>IF(OR(E3875="",E3875="!!!",F3875="NEW"),"",INDEX(J$1:J3874,SUMPRODUCT(MAX(ROW(E$1:E3874)*(E3875=E$1:E3874)))))</f>
        <v> </v>
      </c>
      <c r="L3875" s="27"/>
    </row>
    <row r="3876" spans="1:12">
      <c r="A3876" s="20" t="s">
        <v>1085</v>
      </c>
      <c r="E3876" s="22">
        <f>IF(D3876="?OLD","!!!","")</f>
        <v/>
      </c>
      <c r="F3876" s="23" t="str">
        <f>IF(OR(E3876="",E3876="!!!"),"",IF(NOT(ISNA(VLOOKUP(E3876,E$1:E3875,1,FALSE()))),"OLD",IF(AND(E3876&lt;&gt;"",E3876&lt;&gt;"!!!"),"NEW","")))</f>
        <v> </v>
      </c>
      <c r="G3876" s="24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5" t="str">
        <f>IF(J3876&lt;&gt;1,"",IF(I3876="SBJ","CB","?"))</f>
        <v> </v>
      </c>
      <c r="I3876" s="26" t="str">
        <f>IF(OR(E3876="",E3876="!!!",F3876="NEW"),"",INDEX(B3875:B$2,-1+SUMPRODUCT(MAX(ROW(E3875:E$2)*(E3876=E3875:E$2)))))</f>
        <v> </v>
      </c>
      <c r="J3876" s="26" t="str">
        <f>IF(OR(E3876="",E3876="!!!",F3876="NEW"),"",COUNTBLANK(OFFSET(A$1,,,SUMPRODUCT(MAX(ROW(E$2:E3876)*(E3876=E$2:E3876)))))-COUNTBLANK(OFFSET(A$1,,,SUMPRODUCT(MAX(ROW(E$1:E3875)*(E2=E$1:E3875))))))</f>
        <v> </v>
      </c>
      <c r="K3876" s="26" t="str">
        <f>IF(OR(E3876="",E3876="!!!",F3876="NEW"),"",INDEX(J$1:J3875,SUMPRODUCT(MAX(ROW(E$1:E3875)*(E3876=E$1:E3875)))))</f>
        <v> </v>
      </c>
      <c r="L3876" s="27"/>
    </row>
    <row r="3877" spans="1:12">
      <c r="A3877" s="20" t="s">
        <v>1155</v>
      </c>
      <c r="E3877" s="22">
        <f>IF(D3877="?OLD","!!!","")</f>
        <v/>
      </c>
      <c r="F3877" s="23" t="str">
        <f>IF(OR(E3877="",E3877="!!!"),"",IF(NOT(ISNA(VLOOKUP(E3877,E$1:E3876,1,FALSE()))),"OLD",IF(AND(E3877&lt;&gt;"",E3877&lt;&gt;"!!!"),"NEW","")))</f>
        <v> </v>
      </c>
      <c r="G3877" s="24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5" t="str">
        <f>IF(J3877&lt;&gt;1,"",IF(I3877="SBJ","CB","?"))</f>
        <v> </v>
      </c>
      <c r="I3877" s="26" t="str">
        <f>IF(OR(E3877="",E3877="!!!",F3877="NEW"),"",INDEX(B3876:B$2,-1+SUMPRODUCT(MAX(ROW(E3876:E$2)*(E3877=E3876:E$2)))))</f>
        <v> </v>
      </c>
      <c r="J3877" s="26" t="str">
        <f>IF(OR(E3877="",E3877="!!!",F3877="NEW"),"",COUNTBLANK(OFFSET(A$1,,,SUMPRODUCT(MAX(ROW(E$2:E3877)*(E3877=E$2:E3877)))))-COUNTBLANK(OFFSET(A$1,,,SUMPRODUCT(MAX(ROW(E$1:E3876)*(E2=E$1:E3876))))))</f>
        <v> </v>
      </c>
      <c r="K3877" s="26" t="str">
        <f>IF(OR(E3877="",E3877="!!!",F3877="NEW"),"",INDEX(J$1:J3876,SUMPRODUCT(MAX(ROW(E$1:E3876)*(E3877=E$1:E3876)))))</f>
        <v> </v>
      </c>
      <c r="L3877" s="27"/>
    </row>
    <row r="3878" spans="1:12">
      <c r="A3878" s="20" t="s">
        <v>911</v>
      </c>
      <c r="B3878" s="21" t="s">
        <v>1119</v>
      </c>
      <c r="C3878" s="21" t="s">
        <v>1081</v>
      </c>
      <c r="D3878" s="21" t="s">
        <v>1074</v>
      </c>
      <c r="E3878" s="22">
        <f>IF(D3878="?OLD","!!!","")</f>
        <v/>
      </c>
      <c r="F3878" s="23" t="str">
        <f>IF(OR(E3878="",E3878="!!!"),"",IF(NOT(ISNA(VLOOKUP(E3878,E$1:E3877,1,FALSE()))),"OLD",IF(AND(E3878&lt;&gt;"",E3878&lt;&gt;"!!!"),"NEW","")))</f>
        <v> </v>
      </c>
      <c r="G3878" s="24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5" t="str">
        <f>IF(J3878&lt;&gt;1,"",IF(I3878="SBJ","CB","?"))</f>
        <v> </v>
      </c>
      <c r="I3878" s="26" t="str">
        <f>IF(OR(E3878="",E3878="!!!",F3878="NEW"),"",INDEX(B3877:B$2,-1+SUMPRODUCT(MAX(ROW(E3877:E$2)*(E3878=E3877:E$2)))))</f>
        <v> </v>
      </c>
      <c r="J3878" s="26" t="str">
        <f>IF(OR(E3878="",E3878="!!!",F3878="NEW"),"",COUNTBLANK(OFFSET(A$1,,,SUMPRODUCT(MAX(ROW(E$2:E3878)*(E3878=E$2:E3878)))))-COUNTBLANK(OFFSET(A$1,,,SUMPRODUCT(MAX(ROW(E$1:E3877)*(E2=E$1:E3877))))))</f>
        <v> </v>
      </c>
      <c r="K3878" s="26" t="str">
        <f>IF(OR(E3878="",E3878="!!!",F3878="NEW"),"",INDEX(J$1:J3877,SUMPRODUCT(MAX(ROW(E$1:E3877)*(E3878=E$1:E3877)))))</f>
        <v> </v>
      </c>
      <c r="L3878" s="27"/>
    </row>
    <row r="3879" spans="1:12">
      <c r="A3879" s="20" t="s">
        <v>1321</v>
      </c>
      <c r="B3879" s="21" t="s">
        <v>1199</v>
      </c>
      <c r="C3879" s="21" t="s">
        <v>1154</v>
      </c>
      <c r="D3879" s="21" t="s">
        <v>1074</v>
      </c>
      <c r="E3879" s="22">
        <f>IF(D3879="?OLD","!!!","")</f>
        <v/>
      </c>
      <c r="F3879" s="23" t="str">
        <f>IF(OR(E3879="",E3879="!!!"),"",IF(NOT(ISNA(VLOOKUP(E3879,E$1:E3878,1,FALSE()))),"OLD",IF(AND(E3879&lt;&gt;"",E3879&lt;&gt;"!!!"),"NEW","")))</f>
        <v> </v>
      </c>
      <c r="G3879" s="24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5" t="str">
        <f>IF(J3879&lt;&gt;1,"",IF(I3879="SBJ","CB","?"))</f>
        <v> </v>
      </c>
      <c r="I3879" s="26" t="str">
        <f>IF(OR(E3879="",E3879="!!!",F3879="NEW"),"",INDEX(B3878:B$2,-1+SUMPRODUCT(MAX(ROW(E3878:E$2)*(E3879=E3878:E$2)))))</f>
        <v> </v>
      </c>
      <c r="J3879" s="26" t="str">
        <f>IF(OR(E3879="",E3879="!!!",F3879="NEW"),"",COUNTBLANK(OFFSET(A$1,,,SUMPRODUCT(MAX(ROW(E$2:E3879)*(E3879=E$2:E3879)))))-COUNTBLANK(OFFSET(A$1,,,SUMPRODUCT(MAX(ROW(E$1:E3878)*(E2=E$1:E3878))))))</f>
        <v> </v>
      </c>
      <c r="K3879" s="26" t="str">
        <f>IF(OR(E3879="",E3879="!!!",F3879="NEW"),"",INDEX(J$1:J3878,SUMPRODUCT(MAX(ROW(E$1:E3878)*(E3879=E$1:E3878)))))</f>
        <v> </v>
      </c>
      <c r="L3879" s="27"/>
    </row>
    <row r="3880" spans="1:12">
      <c r="A3880" s="20" t="s">
        <v>2545</v>
      </c>
      <c r="E3880" s="22">
        <f>IF(D3880="?OLD","!!!","")</f>
        <v/>
      </c>
      <c r="F3880" s="23" t="str">
        <f>IF(OR(E3880="",E3880="!!!"),"",IF(NOT(ISNA(VLOOKUP(E3880,E$1:E3879,1,FALSE()))),"OLD",IF(AND(E3880&lt;&gt;"",E3880&lt;&gt;"!!!"),"NEW","")))</f>
        <v> </v>
      </c>
      <c r="G3880" s="24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5" t="str">
        <f>IF(J3880&lt;&gt;1,"",IF(I3880="SBJ","CB","?"))</f>
        <v> </v>
      </c>
      <c r="I3880" s="26" t="str">
        <f>IF(OR(E3880="",E3880="!!!",F3880="NEW"),"",INDEX(B3879:B$2,-1+SUMPRODUCT(MAX(ROW(E3879:E$2)*(E3880=E3879:E$2)))))</f>
        <v> </v>
      </c>
      <c r="J3880" s="26" t="str">
        <f>IF(OR(E3880="",E3880="!!!",F3880="NEW"),"",COUNTBLANK(OFFSET(A$1,,,SUMPRODUCT(MAX(ROW(E$2:E3880)*(E3880=E$2:E3880)))))-COUNTBLANK(OFFSET(A$1,,,SUMPRODUCT(MAX(ROW(E$1:E3879)*(E2=E$1:E3879))))))</f>
        <v> </v>
      </c>
      <c r="K3880" s="26" t="str">
        <f>IF(OR(E3880="",E3880="!!!",F3880="NEW"),"",INDEX(J$1:J3879,SUMPRODUCT(MAX(ROW(E$1:E3879)*(E3880=E$1:E3879)))))</f>
        <v> </v>
      </c>
      <c r="L3880" s="27"/>
    </row>
    <row r="3881" spans="1:12">
      <c r="A3881" s="20" t="s">
        <v>196</v>
      </c>
      <c r="E3881" s="22">
        <f>IF(D3881="?OLD","!!!","")</f>
        <v/>
      </c>
      <c r="F3881" s="23" t="str">
        <f>IF(OR(E3881="",E3881="!!!"),"",IF(NOT(ISNA(VLOOKUP(E3881,E$1:E3880,1,FALSE()))),"OLD",IF(AND(E3881&lt;&gt;"",E3881&lt;&gt;"!!!"),"NEW","")))</f>
        <v> </v>
      </c>
      <c r="G3881" s="24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5" t="str">
        <f>IF(J3881&lt;&gt;1,"",IF(I3881="SBJ","CB","?"))</f>
        <v> </v>
      </c>
      <c r="I3881" s="26" t="str">
        <f>IF(OR(E3881="",E3881="!!!",F3881="NEW"),"",INDEX(B3880:B$2,-1+SUMPRODUCT(MAX(ROW(E3880:E$2)*(E3881=E3880:E$2)))))</f>
        <v> </v>
      </c>
      <c r="J3881" s="26" t="str">
        <f>IF(OR(E3881="",E3881="!!!",F3881="NEW"),"",COUNTBLANK(OFFSET(A$1,,,SUMPRODUCT(MAX(ROW(E$2:E3881)*(E3881=E$2:E3881)))))-COUNTBLANK(OFFSET(A$1,,,SUMPRODUCT(MAX(ROW(E$1:E3880)*(E2=E$1:E3880))))))</f>
        <v> </v>
      </c>
      <c r="K3881" s="26" t="str">
        <f>IF(OR(E3881="",E3881="!!!",F3881="NEW"),"",INDEX(J$1:J3880,SUMPRODUCT(MAX(ROW(E$1:E3880)*(E3881=E$1:E3880)))))</f>
        <v> </v>
      </c>
      <c r="L3881" s="27"/>
    </row>
    <row r="3882" spans="1:12">
      <c r="A3882" s="20" t="s">
        <v>1501</v>
      </c>
      <c r="E3882" s="22">
        <f>IF(D3882="?OLD","!!!","")</f>
        <v/>
      </c>
      <c r="F3882" s="23" t="str">
        <f>IF(OR(E3882="",E3882="!!!"),"",IF(NOT(ISNA(VLOOKUP(E3882,E$1:E3881,1,FALSE()))),"OLD",IF(AND(E3882&lt;&gt;"",E3882&lt;&gt;"!!!"),"NEW","")))</f>
        <v> </v>
      </c>
      <c r="G3882" s="24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5" t="str">
        <f>IF(J3882&lt;&gt;1,"",IF(I3882="SBJ","CB","?"))</f>
        <v> </v>
      </c>
      <c r="I3882" s="26" t="str">
        <f>IF(OR(E3882="",E3882="!!!",F3882="NEW"),"",INDEX(B3881:B$2,-1+SUMPRODUCT(MAX(ROW(E3881:E$2)*(E3882=E3881:E$2)))))</f>
        <v> </v>
      </c>
      <c r="J3882" s="26" t="str">
        <f>IF(OR(E3882="",E3882="!!!",F3882="NEW"),"",COUNTBLANK(OFFSET(A$1,,,SUMPRODUCT(MAX(ROW(E$2:E3882)*(E3882=E$2:E3882)))))-COUNTBLANK(OFFSET(A$1,,,SUMPRODUCT(MAX(ROW(E$1:E3881)*(E2=E$1:E3881))))))</f>
        <v> </v>
      </c>
      <c r="K3882" s="26" t="str">
        <f>IF(OR(E3882="",E3882="!!!",F3882="NEW"),"",INDEX(J$1:J3881,SUMPRODUCT(MAX(ROW(E$1:E3881)*(E3882=E$1:E3881)))))</f>
        <v> </v>
      </c>
      <c r="L3882" s="27"/>
    </row>
    <row r="3883" spans="1:12">
      <c r="A3883" s="20" t="s">
        <v>84</v>
      </c>
      <c r="E3883" s="22">
        <f>IF(D3883="?OLD","!!!","")</f>
        <v/>
      </c>
      <c r="F3883" s="23" t="str">
        <f>IF(OR(E3883="",E3883="!!!"),"",IF(NOT(ISNA(VLOOKUP(E3883,E$1:E3882,1,FALSE()))),"OLD",IF(AND(E3883&lt;&gt;"",E3883&lt;&gt;"!!!"),"NEW","")))</f>
        <v> </v>
      </c>
      <c r="G3883" s="24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5" t="str">
        <f>IF(J3883&lt;&gt;1,"",IF(I3883="SBJ","CB","?"))</f>
        <v> </v>
      </c>
      <c r="I3883" s="26" t="str">
        <f>IF(OR(E3883="",E3883="!!!",F3883="NEW"),"",INDEX(B3882:B$2,-1+SUMPRODUCT(MAX(ROW(E3882:E$2)*(E3883=E3882:E$2)))))</f>
        <v> </v>
      </c>
      <c r="J3883" s="26" t="str">
        <f>IF(OR(E3883="",E3883="!!!",F3883="NEW"),"",COUNTBLANK(OFFSET(A$1,,,SUMPRODUCT(MAX(ROW(E$2:E3883)*(E3883=E$2:E3883)))))-COUNTBLANK(OFFSET(A$1,,,SUMPRODUCT(MAX(ROW(E$1:E3882)*(E2=E$1:E3882))))))</f>
        <v> </v>
      </c>
      <c r="K3883" s="26" t="str">
        <f>IF(OR(E3883="",E3883="!!!",F3883="NEW"),"",INDEX(J$1:J3882,SUMPRODUCT(MAX(ROW(E$1:E3882)*(E3883=E$1:E3882)))))</f>
        <v> </v>
      </c>
      <c r="L3883" s="27"/>
    </row>
    <row r="3884" spans="1:12">
      <c r="A3884" s="20" t="s">
        <v>1105</v>
      </c>
      <c r="B3884" s="21" t="s">
        <v>1137</v>
      </c>
      <c r="C3884" s="21" t="s">
        <v>1103</v>
      </c>
      <c r="E3884" s="22">
        <f>IF(D3884="?OLD","!!!","")</f>
        <v/>
      </c>
      <c r="F3884" s="23" t="str">
        <f>IF(OR(E3884="",E3884="!!!"),"",IF(NOT(ISNA(VLOOKUP(E3884,E$1:E3883,1,FALSE()))),"OLD",IF(AND(E3884&lt;&gt;"",E3884&lt;&gt;"!!!"),"NEW","")))</f>
        <v> </v>
      </c>
      <c r="G3884" s="24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5" t="str">
        <f>IF(J3884&lt;&gt;1,"",IF(I3884="SBJ","CB","?"))</f>
        <v> </v>
      </c>
      <c r="I3884" s="26" t="str">
        <f>IF(OR(E3884="",E3884="!!!",F3884="NEW"),"",INDEX(B3883:B$2,-1+SUMPRODUCT(MAX(ROW(E3883:E$2)*(E3884=E3883:E$2)))))</f>
        <v> </v>
      </c>
      <c r="J3884" s="26" t="str">
        <f>IF(OR(E3884="",E3884="!!!",F3884="NEW"),"",COUNTBLANK(OFFSET(A$1,,,SUMPRODUCT(MAX(ROW(E$2:E3884)*(E3884=E$2:E3884)))))-COUNTBLANK(OFFSET(A$1,,,SUMPRODUCT(MAX(ROW(E$1:E3883)*(E2=E$1:E3883))))))</f>
        <v> </v>
      </c>
      <c r="K3884" s="26" t="str">
        <f>IF(OR(E3884="",E3884="!!!",F3884="NEW"),"",INDEX(J$1:J3883,SUMPRODUCT(MAX(ROW(E$1:E3883)*(E3884=E$1:E3883)))))</f>
        <v> </v>
      </c>
      <c r="L3884" s="27"/>
    </row>
    <row r="3885" spans="1:12">
      <c r="A3885" s="20" t="s">
        <v>1168</v>
      </c>
      <c r="E3885" s="22">
        <f>IF(D3885="?OLD","!!!","")</f>
        <v/>
      </c>
      <c r="F3885" s="23" t="str">
        <f>IF(OR(E3885="",E3885="!!!"),"",IF(NOT(ISNA(VLOOKUP(E3885,E$1:E3884,1,FALSE()))),"OLD",IF(AND(E3885&lt;&gt;"",E3885&lt;&gt;"!!!"),"NEW","")))</f>
        <v> </v>
      </c>
      <c r="G3885" s="24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5" t="str">
        <f>IF(J3885&lt;&gt;1,"",IF(I3885="SBJ","CB","?"))</f>
        <v> </v>
      </c>
      <c r="I3885" s="26" t="str">
        <f>IF(OR(E3885="",E3885="!!!",F3885="NEW"),"",INDEX(B3884:B$2,-1+SUMPRODUCT(MAX(ROW(E3884:E$2)*(E3885=E3884:E$2)))))</f>
        <v> </v>
      </c>
      <c r="J3885" s="26" t="str">
        <f>IF(OR(E3885="",E3885="!!!",F3885="NEW"),"",COUNTBLANK(OFFSET(A$1,,,SUMPRODUCT(MAX(ROW(E$2:E3885)*(E3885=E$2:E3885)))))-COUNTBLANK(OFFSET(A$1,,,SUMPRODUCT(MAX(ROW(E$1:E3884)*(E2=E$1:E3884))))))</f>
        <v> </v>
      </c>
      <c r="K3885" s="26" t="str">
        <f>IF(OR(E3885="",E3885="!!!",F3885="NEW"),"",INDEX(J$1:J3884,SUMPRODUCT(MAX(ROW(E$1:E3884)*(E3885=E$1:E3884)))))</f>
        <v> </v>
      </c>
      <c r="L3885" s="27"/>
    </row>
    <row r="3886" spans="1:12">
      <c r="A3886" s="20" t="s">
        <v>1106</v>
      </c>
      <c r="E3886" s="22">
        <f>IF(D3886="?OLD","!!!","")</f>
        <v/>
      </c>
      <c r="F3886" s="23" t="str">
        <f>IF(OR(E3886="",E3886="!!!"),"",IF(NOT(ISNA(VLOOKUP(E3886,E$1:E3885,1,FALSE()))),"OLD",IF(AND(E3886&lt;&gt;"",E3886&lt;&gt;"!!!"),"NEW","")))</f>
        <v> </v>
      </c>
      <c r="G3886" s="24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5" t="str">
        <f>IF(J3886&lt;&gt;1,"",IF(I3886="SBJ","CB","?"))</f>
        <v> </v>
      </c>
      <c r="I3886" s="26" t="str">
        <f>IF(OR(E3886="",E3886="!!!",F3886="NEW"),"",INDEX(B3885:B$2,-1+SUMPRODUCT(MAX(ROW(E3885:E$2)*(E3886=E3885:E$2)))))</f>
        <v> </v>
      </c>
      <c r="J3886" s="26" t="str">
        <f>IF(OR(E3886="",E3886="!!!",F3886="NEW"),"",COUNTBLANK(OFFSET(A$1,,,SUMPRODUCT(MAX(ROW(E$2:E3886)*(E3886=E$2:E3886)))))-COUNTBLANK(OFFSET(A$1,,,SUMPRODUCT(MAX(ROW(E$1:E3885)*(E2=E$1:E3885))))))</f>
        <v> </v>
      </c>
      <c r="K3886" s="26" t="str">
        <f>IF(OR(E3886="",E3886="!!!",F3886="NEW"),"",INDEX(J$1:J3885,SUMPRODUCT(MAX(ROW(E$1:E3885)*(E3886=E$1:E3885)))))</f>
        <v> </v>
      </c>
      <c r="L3886" s="27"/>
    </row>
    <row r="3887" spans="1:12">
      <c r="A3887" s="20"/>
    </row>
    <row r="3888" spans="1:12">
      <c r="A3888" s="20" t="s">
        <v>2546</v>
      </c>
    </row>
    <row r="3889" spans="1:12">
      <c r="A3889" s="20" t="s">
        <v>1233</v>
      </c>
      <c r="E3889" s="22">
        <f>IF(D3889="?OLD","!!!","")</f>
        <v/>
      </c>
      <c r="F3889" s="23" t="str">
        <f>IF(OR(E3889="",E3889="!!!"),"",IF(NOT(ISNA(VLOOKUP(E3889,E$1:E3888,1,FALSE()))),"OLD",IF(AND(E3889&lt;&gt;"",E3889&lt;&gt;"!!!"),"NEW","")))</f>
        <v> </v>
      </c>
      <c r="G3889" s="24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5" t="str">
        <f>IF(J3889&lt;&gt;1,"",IF(I3889="SBJ","CB","?"))</f>
        <v> </v>
      </c>
      <c r="I3889" s="26" t="str">
        <f>IF(OR(E3889="",E3889="!!!",F3889="NEW"),"",INDEX(B3888:B$2,-1+SUMPRODUCT(MAX(ROW(E3888:E$2)*(E3889=E3888:E$2)))))</f>
        <v> </v>
      </c>
      <c r="J3889" s="26" t="str">
        <f>IF(OR(E3889="",E3889="!!!",F3889="NEW"),"",COUNTBLANK(OFFSET(A$1,,,SUMPRODUCT(MAX(ROW(E$2:E3889)*(E3889=E$2:E3889)))))-COUNTBLANK(OFFSET(A$1,,,SUMPRODUCT(MAX(ROW(E$1:E3888)*(E2=E$1:E3888))))))</f>
        <v> </v>
      </c>
      <c r="K3889" s="26" t="str">
        <f>IF(OR(E3889="",E3889="!!!",F3889="NEW"),"",INDEX(J$1:J3888,SUMPRODUCT(MAX(ROW(E$1:E3888)*(E3889=E$1:E3888)))))</f>
        <v> </v>
      </c>
      <c r="L3889" s="27"/>
    </row>
    <row r="3890" spans="1:12">
      <c r="A3890" s="20" t="s">
        <v>1336</v>
      </c>
      <c r="B3890" s="21" t="s">
        <v>1227</v>
      </c>
      <c r="C3890" s="21" t="s">
        <v>1081</v>
      </c>
      <c r="D3890" s="21" t="s">
        <v>1074</v>
      </c>
      <c r="E3890" s="22">
        <f>IF(D3890="?OLD","!!!","")</f>
        <v/>
      </c>
      <c r="F3890" s="23" t="str">
        <f>IF(OR(E3890="",E3890="!!!"),"",IF(NOT(ISNA(VLOOKUP(E3890,E$1:E3889,1,FALSE()))),"OLD",IF(AND(E3890&lt;&gt;"",E3890&lt;&gt;"!!!"),"NEW","")))</f>
        <v> </v>
      </c>
      <c r="G3890" s="24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5" t="str">
        <f>IF(J3890&lt;&gt;1,"",IF(I3890="SBJ","CB","?"))</f>
        <v> </v>
      </c>
      <c r="I3890" s="26" t="str">
        <f>IF(OR(E3890="",E3890="!!!",F3890="NEW"),"",INDEX(B3889:B$2,-1+SUMPRODUCT(MAX(ROW(E3889:E$2)*(E3890=E3889:E$2)))))</f>
        <v> </v>
      </c>
      <c r="J3890" s="26" t="str">
        <f>IF(OR(E3890="",E3890="!!!",F3890="NEW"),"",COUNTBLANK(OFFSET(A$1,,,SUMPRODUCT(MAX(ROW(E$2:E3890)*(E3890=E$2:E3890)))))-COUNTBLANK(OFFSET(A$1,,,SUMPRODUCT(MAX(ROW(E$1:E3889)*(E2=E$1:E3889))))))</f>
        <v> </v>
      </c>
      <c r="K3890" s="26" t="str">
        <f>IF(OR(E3890="",E3890="!!!",F3890="NEW"),"",INDEX(J$1:J3889,SUMPRODUCT(MAX(ROW(E$1:E3889)*(E3890=E$1:E3889)))))</f>
        <v> </v>
      </c>
      <c r="L3890" s="27"/>
    </row>
    <row r="3891" spans="1:12">
      <c r="A3891" s="20" t="s">
        <v>1562</v>
      </c>
      <c r="E3891" s="22">
        <f>IF(D3891="?OLD","!!!","")</f>
        <v/>
      </c>
      <c r="F3891" s="23" t="str">
        <f>IF(OR(E3891="",E3891="!!!"),"",IF(NOT(ISNA(VLOOKUP(E3891,E$1:E3890,1,FALSE()))),"OLD",IF(AND(E3891&lt;&gt;"",E3891&lt;&gt;"!!!"),"NEW","")))</f>
        <v> </v>
      </c>
      <c r="G3891" s="24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5" t="str">
        <f>IF(J3891&lt;&gt;1,"",IF(I3891="SBJ","CB","?"))</f>
        <v> </v>
      </c>
      <c r="I3891" s="26" t="str">
        <f>IF(OR(E3891="",E3891="!!!",F3891="NEW"),"",INDEX(B3890:B$2,-1+SUMPRODUCT(MAX(ROW(E3890:E$2)*(E3891=E3890:E$2)))))</f>
        <v> </v>
      </c>
      <c r="J3891" s="26" t="str">
        <f>IF(OR(E3891="",E3891="!!!",F3891="NEW"),"",COUNTBLANK(OFFSET(A$1,,,SUMPRODUCT(MAX(ROW(E$2:E3891)*(E3891=E$2:E3891)))))-COUNTBLANK(OFFSET(A$1,,,SUMPRODUCT(MAX(ROW(E$1:E3890)*(E2=E$1:E3890))))))</f>
        <v> </v>
      </c>
      <c r="K3891" s="26" t="str">
        <f>IF(OR(E3891="",E3891="!!!",F3891="NEW"),"",INDEX(J$1:J3890,SUMPRODUCT(MAX(ROW(E$1:E3890)*(E3891=E$1:E3890)))))</f>
        <v> </v>
      </c>
      <c r="L3891" s="27"/>
    </row>
    <row r="3892" spans="1:12">
      <c r="A3892" s="20" t="s">
        <v>1091</v>
      </c>
      <c r="E3892" s="22">
        <f>IF(D3892="?OLD","!!!","")</f>
        <v/>
      </c>
      <c r="F3892" s="23" t="str">
        <f>IF(OR(E3892="",E3892="!!!"),"",IF(NOT(ISNA(VLOOKUP(E3892,E$1:E3891,1,FALSE()))),"OLD",IF(AND(E3892&lt;&gt;"",E3892&lt;&gt;"!!!"),"NEW","")))</f>
        <v> </v>
      </c>
      <c r="G3892" s="24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5" t="str">
        <f>IF(J3892&lt;&gt;1,"",IF(I3892="SBJ","CB","?"))</f>
        <v> </v>
      </c>
      <c r="I3892" s="26" t="str">
        <f>IF(OR(E3892="",E3892="!!!",F3892="NEW"),"",INDEX(B3891:B$2,-1+SUMPRODUCT(MAX(ROW(E3891:E$2)*(E3892=E3891:E$2)))))</f>
        <v> </v>
      </c>
      <c r="J3892" s="26" t="str">
        <f>IF(OR(E3892="",E3892="!!!",F3892="NEW"),"",COUNTBLANK(OFFSET(A$1,,,SUMPRODUCT(MAX(ROW(E$2:E3892)*(E3892=E$2:E3892)))))-COUNTBLANK(OFFSET(A$1,,,SUMPRODUCT(MAX(ROW(E$1:E3891)*(E2=E$1:E3891))))))</f>
        <v> </v>
      </c>
      <c r="K3892" s="26" t="str">
        <f>IF(OR(E3892="",E3892="!!!",F3892="NEW"),"",INDEX(J$1:J3891,SUMPRODUCT(MAX(ROW(E$1:E3891)*(E3892=E$1:E3891)))))</f>
        <v> </v>
      </c>
      <c r="L3892" s="27"/>
    </row>
    <row r="3893" spans="1:12">
      <c r="A3893" s="20" t="s">
        <v>1321</v>
      </c>
      <c r="B3893" s="21" t="s">
        <v>1109</v>
      </c>
      <c r="C3893" s="21" t="s">
        <v>1154</v>
      </c>
      <c r="D3893" s="21" t="s">
        <v>1074</v>
      </c>
      <c r="E3893" s="22">
        <f>IF(D3893="?OLD","!!!","")</f>
        <v/>
      </c>
      <c r="F3893" s="23" t="str">
        <f>IF(OR(E3893="",E3893="!!!"),"",IF(NOT(ISNA(VLOOKUP(E3893,E$1:E3892,1,FALSE()))),"OLD",IF(AND(E3893&lt;&gt;"",E3893&lt;&gt;"!!!"),"NEW","")))</f>
        <v> </v>
      </c>
      <c r="G3893" s="24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5" t="str">
        <f>IF(J3893&lt;&gt;1,"",IF(I3893="SBJ","CB","?"))</f>
        <v> </v>
      </c>
      <c r="I3893" s="26" t="str">
        <f>IF(OR(E3893="",E3893="!!!",F3893="NEW"),"",INDEX(B3892:B$2,-1+SUMPRODUCT(MAX(ROW(E3892:E$2)*(E3893=E3892:E$2)))))</f>
        <v> </v>
      </c>
      <c r="J3893" s="26" t="str">
        <f>IF(OR(E3893="",E3893="!!!",F3893="NEW"),"",COUNTBLANK(OFFSET(A$1,,,SUMPRODUCT(MAX(ROW(E$2:E3893)*(E3893=E$2:E3893)))))-COUNTBLANK(OFFSET(A$1,,,SUMPRODUCT(MAX(ROW(E$1:E3892)*(E2=E$1:E3892))))))</f>
        <v> </v>
      </c>
      <c r="K3893" s="26" t="str">
        <f>IF(OR(E3893="",E3893="!!!",F3893="NEW"),"",INDEX(J$1:J3892,SUMPRODUCT(MAX(ROW(E$1:E3892)*(E3893=E$1:E3892)))))</f>
        <v> </v>
      </c>
      <c r="L3893" s="27"/>
    </row>
    <row r="3894" spans="1:12">
      <c r="A3894" s="20" t="s">
        <v>1106</v>
      </c>
      <c r="E3894" s="22">
        <f>IF(D3894="?OLD","!!!","")</f>
        <v/>
      </c>
      <c r="F3894" s="23" t="str">
        <f>IF(OR(E3894="",E3894="!!!"),"",IF(NOT(ISNA(VLOOKUP(E3894,E$1:E3893,1,FALSE()))),"OLD",IF(AND(E3894&lt;&gt;"",E3894&lt;&gt;"!!!"),"NEW","")))</f>
        <v> </v>
      </c>
      <c r="G3894" s="24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5" t="str">
        <f>IF(J3894&lt;&gt;1,"",IF(I3894="SBJ","CB","?"))</f>
        <v> </v>
      </c>
      <c r="I3894" s="26" t="str">
        <f>IF(OR(E3894="",E3894="!!!",F3894="NEW"),"",INDEX(B3893:B$2,-1+SUMPRODUCT(MAX(ROW(E3893:E$2)*(E3894=E3893:E$2)))))</f>
        <v> </v>
      </c>
      <c r="J3894" s="26" t="str">
        <f>IF(OR(E3894="",E3894="!!!",F3894="NEW"),"",COUNTBLANK(OFFSET(A$1,,,SUMPRODUCT(MAX(ROW(E$2:E3894)*(E3894=E$2:E3894)))))-COUNTBLANK(OFFSET(A$1,,,SUMPRODUCT(MAX(ROW(E$1:E3893)*(E2=E$1:E3893))))))</f>
        <v> </v>
      </c>
      <c r="K3894" s="26" t="str">
        <f>IF(OR(E3894="",E3894="!!!",F3894="NEW"),"",INDEX(J$1:J3893,SUMPRODUCT(MAX(ROW(E$1:E3893)*(E3894=E$1:E3893)))))</f>
        <v> </v>
      </c>
      <c r="L3894" s="27"/>
    </row>
    <row r="3895" spans="1:12">
      <c r="A3895" s="20"/>
    </row>
    <row r="3896" spans="1:12">
      <c r="A3896" s="20" t="s">
        <v>2547</v>
      </c>
    </row>
    <row r="3897" spans="1:12">
      <c r="A3897" s="20" t="s">
        <v>2548</v>
      </c>
      <c r="E3897" s="22">
        <f>IF(D3897="?OLD","!!!","")</f>
        <v/>
      </c>
      <c r="F3897" s="23" t="str">
        <f>IF(OR(E3897="",E3897="!!!"),"",IF(NOT(ISNA(VLOOKUP(E3897,E$1:E3896,1,FALSE()))),"OLD",IF(AND(E3897&lt;&gt;"",E3897&lt;&gt;"!!!"),"NEW","")))</f>
        <v> </v>
      </c>
      <c r="G3897" s="24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5" t="str">
        <f>IF(J3897&lt;&gt;1,"",IF(I3897="SBJ","CB","?"))</f>
        <v> </v>
      </c>
      <c r="I3897" s="26" t="str">
        <f>IF(OR(E3897="",E3897="!!!",F3897="NEW"),"",INDEX(B3896:B$2,-1+SUMPRODUCT(MAX(ROW(E3896:E$2)*(E3897=E3896:E$2)))))</f>
        <v> </v>
      </c>
      <c r="J3897" s="26" t="str">
        <f>IF(OR(E3897="",E3897="!!!",F3897="NEW"),"",COUNTBLANK(OFFSET(A$1,,,SUMPRODUCT(MAX(ROW(E$2:E3897)*(E3897=E$2:E3897)))))-COUNTBLANK(OFFSET(A$1,,,SUMPRODUCT(MAX(ROW(E$1:E3896)*(E2=E$1:E3896))))))</f>
        <v> </v>
      </c>
      <c r="K3897" s="26" t="str">
        <f>IF(OR(E3897="",E3897="!!!",F3897="NEW"),"",INDEX(J$1:J3896,SUMPRODUCT(MAX(ROW(E$1:E3896)*(E3897=E$1:E3896)))))</f>
        <v> </v>
      </c>
      <c r="L3897" s="27"/>
    </row>
    <row r="3898" spans="1:12">
      <c r="A3898" s="20" t="s">
        <v>1098</v>
      </c>
      <c r="E3898" s="22">
        <f>IF(D3898="?OLD","!!!","")</f>
        <v/>
      </c>
      <c r="F3898" s="23" t="str">
        <f>IF(OR(E3898="",E3898="!!!"),"",IF(NOT(ISNA(VLOOKUP(E3898,E$1:E3897,1,FALSE()))),"OLD",IF(AND(E3898&lt;&gt;"",E3898&lt;&gt;"!!!"),"NEW","")))</f>
        <v> </v>
      </c>
      <c r="G3898" s="24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5" t="str">
        <f>IF(J3898&lt;&gt;1,"",IF(I3898="SBJ","CB","?"))</f>
        <v> </v>
      </c>
      <c r="I3898" s="26" t="str">
        <f>IF(OR(E3898="",E3898="!!!",F3898="NEW"),"",INDEX(B3897:B$2,-1+SUMPRODUCT(MAX(ROW(E3897:E$2)*(E3898=E3897:E$2)))))</f>
        <v> </v>
      </c>
      <c r="J3898" s="26" t="str">
        <f>IF(OR(E3898="",E3898="!!!",F3898="NEW"),"",COUNTBLANK(OFFSET(A$1,,,SUMPRODUCT(MAX(ROW(E$2:E3898)*(E3898=E$2:E3898)))))-COUNTBLANK(OFFSET(A$1,,,SUMPRODUCT(MAX(ROW(E$1:E3897)*(E2=E$1:E3897))))))</f>
        <v> </v>
      </c>
      <c r="K3898" s="26" t="str">
        <f>IF(OR(E3898="",E3898="!!!",F3898="NEW"),"",INDEX(J$1:J3897,SUMPRODUCT(MAX(ROW(E$1:E3897)*(E3898=E$1:E3897)))))</f>
        <v> </v>
      </c>
      <c r="L3898" s="27"/>
    </row>
    <row r="3899" spans="1:12">
      <c r="A3899" s="20" t="s">
        <v>1548</v>
      </c>
      <c r="E3899" s="22">
        <f>IF(D3899="?OLD","!!!","")</f>
        <v/>
      </c>
      <c r="F3899" s="23" t="str">
        <f>IF(OR(E3899="",E3899="!!!"),"",IF(NOT(ISNA(VLOOKUP(E3899,E$1:E3898,1,FALSE()))),"OLD",IF(AND(E3899&lt;&gt;"",E3899&lt;&gt;"!!!"),"NEW","")))</f>
        <v> </v>
      </c>
      <c r="G3899" s="24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5" t="str">
        <f>IF(J3899&lt;&gt;1,"",IF(I3899="SBJ","CB","?"))</f>
        <v> </v>
      </c>
      <c r="I3899" s="26" t="str">
        <f>IF(OR(E3899="",E3899="!!!",F3899="NEW"),"",INDEX(B3898:B$2,-1+SUMPRODUCT(MAX(ROW(E3898:E$2)*(E3899=E3898:E$2)))))</f>
        <v> </v>
      </c>
      <c r="J3899" s="26" t="str">
        <f>IF(OR(E3899="",E3899="!!!",F3899="NEW"),"",COUNTBLANK(OFFSET(A$1,,,SUMPRODUCT(MAX(ROW(E$2:E3899)*(E3899=E$2:E3899)))))-COUNTBLANK(OFFSET(A$1,,,SUMPRODUCT(MAX(ROW(E$1:E3898)*(E2=E$1:E3898))))))</f>
        <v> </v>
      </c>
      <c r="K3899" s="26" t="str">
        <f>IF(OR(E3899="",E3899="!!!",F3899="NEW"),"",INDEX(J$1:J3898,SUMPRODUCT(MAX(ROW(E$1:E3898)*(E3899=E$1:E3898)))))</f>
        <v> </v>
      </c>
      <c r="L3899" s="27"/>
    </row>
    <row r="3900" spans="1:12">
      <c r="A3900" s="20" t="s">
        <v>2549</v>
      </c>
      <c r="E3900" s="22">
        <f>IF(D3900="?OLD","!!!","")</f>
        <v/>
      </c>
      <c r="F3900" s="23" t="str">
        <f>IF(OR(E3900="",E3900="!!!"),"",IF(NOT(ISNA(VLOOKUP(E3900,E$1:E3899,1,FALSE()))),"OLD",IF(AND(E3900&lt;&gt;"",E3900&lt;&gt;"!!!"),"NEW","")))</f>
        <v> </v>
      </c>
      <c r="G3900" s="24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5" t="str">
        <f>IF(J3900&lt;&gt;1,"",IF(I3900="SBJ","CB","?"))</f>
        <v> </v>
      </c>
      <c r="I3900" s="26" t="str">
        <f>IF(OR(E3900="",E3900="!!!",F3900="NEW"),"",INDEX(B3899:B$2,-1+SUMPRODUCT(MAX(ROW(E3899:E$2)*(E3900=E3899:E$2)))))</f>
        <v> </v>
      </c>
      <c r="J3900" s="26" t="str">
        <f>IF(OR(E3900="",E3900="!!!",F3900="NEW"),"",COUNTBLANK(OFFSET(A$1,,,SUMPRODUCT(MAX(ROW(E$2:E3900)*(E3900=E$2:E3900)))))-COUNTBLANK(OFFSET(A$1,,,SUMPRODUCT(MAX(ROW(E$1:E3899)*(E2=E$1:E3899))))))</f>
        <v> </v>
      </c>
      <c r="K3900" s="26" t="str">
        <f>IF(OR(E3900="",E3900="!!!",F3900="NEW"),"",INDEX(J$1:J3899,SUMPRODUCT(MAX(ROW(E$1:E3899)*(E3900=E$1:E3899)))))</f>
        <v> </v>
      </c>
      <c r="L3900" s="27"/>
    </row>
    <row r="3901" spans="1:12">
      <c r="A3901" s="20" t="s">
        <v>1085</v>
      </c>
      <c r="E3901" s="22">
        <f>IF(D3901="?OLD","!!!","")</f>
        <v/>
      </c>
      <c r="F3901" s="23" t="str">
        <f>IF(OR(E3901="",E3901="!!!"),"",IF(NOT(ISNA(VLOOKUP(E3901,E$1:E3900,1,FALSE()))),"OLD",IF(AND(E3901&lt;&gt;"",E3901&lt;&gt;"!!!"),"NEW","")))</f>
        <v> </v>
      </c>
      <c r="G3901" s="24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5" t="str">
        <f>IF(J3901&lt;&gt;1,"",IF(I3901="SBJ","CB","?"))</f>
        <v> </v>
      </c>
      <c r="I3901" s="26" t="str">
        <f>IF(OR(E3901="",E3901="!!!",F3901="NEW"),"",INDEX(B3900:B$2,-1+SUMPRODUCT(MAX(ROW(E3900:E$2)*(E3901=E3900:E$2)))))</f>
        <v> </v>
      </c>
      <c r="J3901" s="26" t="str">
        <f>IF(OR(E3901="",E3901="!!!",F3901="NEW"),"",COUNTBLANK(OFFSET(A$1,,,SUMPRODUCT(MAX(ROW(E$2:E3901)*(E3901=E$2:E3901)))))-COUNTBLANK(OFFSET(A$1,,,SUMPRODUCT(MAX(ROW(E$1:E3900)*(E2=E$1:E3900))))))</f>
        <v> </v>
      </c>
      <c r="K3901" s="26" t="str">
        <f>IF(OR(E3901="",E3901="!!!",F3901="NEW"),"",INDEX(J$1:J3900,SUMPRODUCT(MAX(ROW(E$1:E3900)*(E3901=E$1:E3900)))))</f>
        <v> </v>
      </c>
      <c r="L3901" s="27"/>
    </row>
    <row r="3902" spans="1:12">
      <c r="A3902" s="20" t="s">
        <v>1336</v>
      </c>
      <c r="B3902" s="21" t="s">
        <v>1227</v>
      </c>
      <c r="C3902" s="21" t="s">
        <v>1081</v>
      </c>
      <c r="D3902" s="21" t="s">
        <v>1074</v>
      </c>
      <c r="E3902" s="22">
        <f>IF(D3902="?OLD","!!!","")</f>
        <v/>
      </c>
      <c r="F3902" s="23" t="str">
        <f>IF(OR(E3902="",E3902="!!!"),"",IF(NOT(ISNA(VLOOKUP(E3902,E$1:E3901,1,FALSE()))),"OLD",IF(AND(E3902&lt;&gt;"",E3902&lt;&gt;"!!!"),"NEW","")))</f>
        <v> </v>
      </c>
      <c r="G3902" s="24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5" t="str">
        <f>IF(J3902&lt;&gt;1,"",IF(I3902="SBJ","CB","?"))</f>
        <v> </v>
      </c>
      <c r="I3902" s="26" t="str">
        <f>IF(OR(E3902="",E3902="!!!",F3902="NEW"),"",INDEX(B3901:B$2,-1+SUMPRODUCT(MAX(ROW(E3901:E$2)*(E3902=E3901:E$2)))))</f>
        <v> </v>
      </c>
      <c r="J3902" s="26" t="str">
        <f>IF(OR(E3902="",E3902="!!!",F3902="NEW"),"",COUNTBLANK(OFFSET(A$1,,,SUMPRODUCT(MAX(ROW(E$2:E3902)*(E3902=E$2:E3902)))))-COUNTBLANK(OFFSET(A$1,,,SUMPRODUCT(MAX(ROW(E$1:E3901)*(E2=E$1:E3901))))))</f>
        <v> </v>
      </c>
      <c r="K3902" s="26" t="str">
        <f>IF(OR(E3902="",E3902="!!!",F3902="NEW"),"",INDEX(J$1:J3901,SUMPRODUCT(MAX(ROW(E$1:E3901)*(E3902=E$1:E3901)))))</f>
        <v> </v>
      </c>
      <c r="L3902" s="27"/>
    </row>
    <row r="3903" spans="1:12">
      <c r="A3903" s="20" t="s">
        <v>2550</v>
      </c>
      <c r="E3903" s="22">
        <f>IF(D3903="?OLD","!!!","")</f>
        <v/>
      </c>
      <c r="F3903" s="23" t="str">
        <f>IF(OR(E3903="",E3903="!!!"),"",IF(NOT(ISNA(VLOOKUP(E3903,E$1:E3902,1,FALSE()))),"OLD",IF(AND(E3903&lt;&gt;"",E3903&lt;&gt;"!!!"),"NEW","")))</f>
        <v> </v>
      </c>
      <c r="G3903" s="24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5" t="str">
        <f>IF(J3903&lt;&gt;1,"",IF(I3903="SBJ","CB","?"))</f>
        <v> </v>
      </c>
      <c r="I3903" s="26" t="str">
        <f>IF(OR(E3903="",E3903="!!!",F3903="NEW"),"",INDEX(B3902:B$2,-1+SUMPRODUCT(MAX(ROW(E3902:E$2)*(E3903=E3902:E$2)))))</f>
        <v> </v>
      </c>
      <c r="J3903" s="26" t="str">
        <f>IF(OR(E3903="",E3903="!!!",F3903="NEW"),"",COUNTBLANK(OFFSET(A$1,,,SUMPRODUCT(MAX(ROW(E$2:E3903)*(E3903=E$2:E3903)))))-COUNTBLANK(OFFSET(A$1,,,SUMPRODUCT(MAX(ROW(E$1:E3902)*(E2=E$1:E3902))))))</f>
        <v> </v>
      </c>
      <c r="K3903" s="26" t="str">
        <f>IF(OR(E3903="",E3903="!!!",F3903="NEW"),"",INDEX(J$1:J3902,SUMPRODUCT(MAX(ROW(E$1:E3902)*(E3903=E$1:E3902)))))</f>
        <v> </v>
      </c>
      <c r="L3903" s="27"/>
    </row>
    <row r="3904" spans="1:12">
      <c r="A3904" s="20" t="s">
        <v>2551</v>
      </c>
      <c r="E3904" s="22">
        <f>IF(D3904="?OLD","!!!","")</f>
        <v/>
      </c>
      <c r="F3904" s="23" t="str">
        <f>IF(OR(E3904="",E3904="!!!"),"",IF(NOT(ISNA(VLOOKUP(E3904,E$1:E3903,1,FALSE()))),"OLD",IF(AND(E3904&lt;&gt;"",E3904&lt;&gt;"!!!"),"NEW","")))</f>
        <v> </v>
      </c>
      <c r="G3904" s="24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5" t="str">
        <f>IF(J3904&lt;&gt;1,"",IF(I3904="SBJ","CB","?"))</f>
        <v> </v>
      </c>
      <c r="I3904" s="26" t="str">
        <f>IF(OR(E3904="",E3904="!!!",F3904="NEW"),"",INDEX(B3903:B$2,-1+SUMPRODUCT(MAX(ROW(E3903:E$2)*(E3904=E3903:E$2)))))</f>
        <v> </v>
      </c>
      <c r="J3904" s="26" t="str">
        <f>IF(OR(E3904="",E3904="!!!",F3904="NEW"),"",COUNTBLANK(OFFSET(A$1,,,SUMPRODUCT(MAX(ROW(E$2:E3904)*(E3904=E$2:E3904)))))-COUNTBLANK(OFFSET(A$1,,,SUMPRODUCT(MAX(ROW(E$1:E3903)*(E2=E$1:E3903))))))</f>
        <v> </v>
      </c>
      <c r="K3904" s="26" t="str">
        <f>IF(OR(E3904="",E3904="!!!",F3904="NEW"),"",INDEX(J$1:J3903,SUMPRODUCT(MAX(ROW(E$1:E3903)*(E3904=E$1:E3903)))))</f>
        <v> </v>
      </c>
      <c r="L3904" s="27"/>
    </row>
    <row r="3905" spans="1:12">
      <c r="A3905" s="20" t="s">
        <v>1085</v>
      </c>
      <c r="E3905" s="22">
        <f>IF(D3905="?OLD","!!!","")</f>
        <v/>
      </c>
      <c r="F3905" s="23" t="str">
        <f>IF(OR(E3905="",E3905="!!!"),"",IF(NOT(ISNA(VLOOKUP(E3905,E$1:E3904,1,FALSE()))),"OLD",IF(AND(E3905&lt;&gt;"",E3905&lt;&gt;"!!!"),"NEW","")))</f>
        <v> </v>
      </c>
      <c r="G3905" s="24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5" t="str">
        <f>IF(J3905&lt;&gt;1,"",IF(I3905="SBJ","CB","?"))</f>
        <v> </v>
      </c>
      <c r="I3905" s="26" t="str">
        <f>IF(OR(E3905="",E3905="!!!",F3905="NEW"),"",INDEX(B3904:B$2,-1+SUMPRODUCT(MAX(ROW(E3904:E$2)*(E3905=E3904:E$2)))))</f>
        <v> </v>
      </c>
      <c r="J3905" s="26" t="str">
        <f>IF(OR(E3905="",E3905="!!!",F3905="NEW"),"",COUNTBLANK(OFFSET(A$1,,,SUMPRODUCT(MAX(ROW(E$2:E3905)*(E3905=E$2:E3905)))))-COUNTBLANK(OFFSET(A$1,,,SUMPRODUCT(MAX(ROW(E$1:E3904)*(E2=E$1:E3904))))))</f>
        <v> </v>
      </c>
      <c r="K3905" s="26" t="str">
        <f>IF(OR(E3905="",E3905="!!!",F3905="NEW"),"",INDEX(J$1:J3904,SUMPRODUCT(MAX(ROW(E$1:E3904)*(E3905=E$1:E3904)))))</f>
        <v> </v>
      </c>
      <c r="L3905" s="27"/>
    </row>
    <row r="3906" spans="1:12">
      <c r="A3906" s="20" t="s">
        <v>1149</v>
      </c>
      <c r="E3906" s="22">
        <f>IF(D3906="?OLD","!!!","")</f>
        <v/>
      </c>
      <c r="F3906" s="23" t="str">
        <f>IF(OR(E3906="",E3906="!!!"),"",IF(NOT(ISNA(VLOOKUP(E3906,E$1:E3905,1,FALSE()))),"OLD",IF(AND(E3906&lt;&gt;"",E3906&lt;&gt;"!!!"),"NEW","")))</f>
        <v> </v>
      </c>
      <c r="G3906" s="24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5" t="str">
        <f>IF(J3906&lt;&gt;1,"",IF(I3906="SBJ","CB","?"))</f>
        <v> </v>
      </c>
      <c r="I3906" s="26" t="str">
        <f>IF(OR(E3906="",E3906="!!!",F3906="NEW"),"",INDEX(B3905:B$2,-1+SUMPRODUCT(MAX(ROW(E3905:E$2)*(E3906=E3905:E$2)))))</f>
        <v> </v>
      </c>
      <c r="J3906" s="26" t="str">
        <f>IF(OR(E3906="",E3906="!!!",F3906="NEW"),"",COUNTBLANK(OFFSET(A$1,,,SUMPRODUCT(MAX(ROW(E$2:E3906)*(E3906=E$2:E3906)))))-COUNTBLANK(OFFSET(A$1,,,SUMPRODUCT(MAX(ROW(E$1:E3905)*(E2=E$1:E3905))))))</f>
        <v> </v>
      </c>
      <c r="K3906" s="26" t="str">
        <f>IF(OR(E3906="",E3906="!!!",F3906="NEW"),"",INDEX(J$1:J3905,SUMPRODUCT(MAX(ROW(E$1:E3905)*(E3906=E$1:E3905)))))</f>
        <v> </v>
      </c>
      <c r="L3906" s="27"/>
    </row>
    <row r="3907" spans="1:12">
      <c r="A3907" s="20" t="s">
        <v>1091</v>
      </c>
      <c r="E3907" s="22">
        <f>IF(D3907="?OLD","!!!","")</f>
        <v/>
      </c>
      <c r="F3907" s="23" t="str">
        <f>IF(OR(E3907="",E3907="!!!"),"",IF(NOT(ISNA(VLOOKUP(E3907,E$1:E3906,1,FALSE()))),"OLD",IF(AND(E3907&lt;&gt;"",E3907&lt;&gt;"!!!"),"NEW","")))</f>
        <v> </v>
      </c>
      <c r="G3907" s="24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5" t="str">
        <f>IF(J3907&lt;&gt;1,"",IF(I3907="SBJ","CB","?"))</f>
        <v> </v>
      </c>
      <c r="I3907" s="26" t="str">
        <f>IF(OR(E3907="",E3907="!!!",F3907="NEW"),"",INDEX(B3906:B$2,-1+SUMPRODUCT(MAX(ROW(E3906:E$2)*(E3907=E3906:E$2)))))</f>
        <v> </v>
      </c>
      <c r="J3907" s="26" t="str">
        <f>IF(OR(E3907="",E3907="!!!",F3907="NEW"),"",COUNTBLANK(OFFSET(A$1,,,SUMPRODUCT(MAX(ROW(E$2:E3907)*(E3907=E$2:E3907)))))-COUNTBLANK(OFFSET(A$1,,,SUMPRODUCT(MAX(ROW(E$1:E3906)*(E2=E$1:E3906))))))</f>
        <v> </v>
      </c>
      <c r="K3907" s="26" t="str">
        <f>IF(OR(E3907="",E3907="!!!",F3907="NEW"),"",INDEX(J$1:J3906,SUMPRODUCT(MAX(ROW(E$1:E3906)*(E3907=E$1:E3906)))))</f>
        <v> </v>
      </c>
      <c r="L3907" s="27"/>
    </row>
    <row r="3908" spans="1:12">
      <c r="A3908" s="20" t="s">
        <v>2552</v>
      </c>
      <c r="E3908" s="22">
        <f>IF(D3908="?OLD","!!!","")</f>
        <v/>
      </c>
      <c r="F3908" s="23" t="str">
        <f>IF(OR(E3908="",E3908="!!!"),"",IF(NOT(ISNA(VLOOKUP(E3908,E$1:E3907,1,FALSE()))),"OLD",IF(AND(E3908&lt;&gt;"",E3908&lt;&gt;"!!!"),"NEW","")))</f>
        <v> </v>
      </c>
      <c r="G3908" s="24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5" t="str">
        <f>IF(J3908&lt;&gt;1,"",IF(I3908="SBJ","CB","?"))</f>
        <v> </v>
      </c>
      <c r="I3908" s="26" t="str">
        <f>IF(OR(E3908="",E3908="!!!",F3908="NEW"),"",INDEX(B3907:B$2,-1+SUMPRODUCT(MAX(ROW(E3907:E$2)*(E3908=E3907:E$2)))))</f>
        <v> </v>
      </c>
      <c r="J3908" s="26" t="str">
        <f>IF(OR(E3908="",E3908="!!!",F3908="NEW"),"",COUNTBLANK(OFFSET(A$1,,,SUMPRODUCT(MAX(ROW(E$2:E3908)*(E3908=E$2:E3908)))))-COUNTBLANK(OFFSET(A$1,,,SUMPRODUCT(MAX(ROW(E$1:E3907)*(E2=E$1:E3907))))))</f>
        <v> </v>
      </c>
      <c r="K3908" s="26" t="str">
        <f>IF(OR(E3908="",E3908="!!!",F3908="NEW"),"",INDEX(J$1:J3907,SUMPRODUCT(MAX(ROW(E$1:E3907)*(E3908=E$1:E3907)))))</f>
        <v> </v>
      </c>
      <c r="L3908" s="27"/>
    </row>
    <row r="3909" spans="1:12">
      <c r="A3909" s="20" t="s">
        <v>2553</v>
      </c>
      <c r="B3909" s="21" t="s">
        <v>1109</v>
      </c>
      <c r="E3909" s="22">
        <f>IF(D3909="?OLD","!!!","")</f>
        <v/>
      </c>
      <c r="F3909" s="23" t="str">
        <f>IF(OR(E3909="",E3909="!!!"),"",IF(NOT(ISNA(VLOOKUP(E3909,E$1:E3908,1,FALSE()))),"OLD",IF(AND(E3909&lt;&gt;"",E3909&lt;&gt;"!!!"),"NEW","")))</f>
        <v> </v>
      </c>
      <c r="G3909" s="24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5" t="str">
        <f>IF(J3909&lt;&gt;1,"",IF(I3909="SBJ","CB","?"))</f>
        <v> </v>
      </c>
      <c r="I3909" s="26" t="str">
        <f>IF(OR(E3909="",E3909="!!!",F3909="NEW"),"",INDEX(B3908:B$2,-1+SUMPRODUCT(MAX(ROW(E3908:E$2)*(E3909=E3908:E$2)))))</f>
        <v> </v>
      </c>
      <c r="J3909" s="26" t="str">
        <f>IF(OR(E3909="",E3909="!!!",F3909="NEW"),"",COUNTBLANK(OFFSET(A$1,,,SUMPRODUCT(MAX(ROW(E$2:E3909)*(E3909=E$2:E3909)))))-COUNTBLANK(OFFSET(A$1,,,SUMPRODUCT(MAX(ROW(E$1:E3908)*(E2=E$1:E3908))))))</f>
        <v> </v>
      </c>
      <c r="K3909" s="26" t="str">
        <f>IF(OR(E3909="",E3909="!!!",F3909="NEW"),"",INDEX(J$1:J3908,SUMPRODUCT(MAX(ROW(E$1:E3908)*(E3909=E$1:E3908)))))</f>
        <v> </v>
      </c>
      <c r="L3909" s="27"/>
    </row>
    <row r="3910" spans="1:12">
      <c r="A3910" s="20" t="s">
        <v>1106</v>
      </c>
      <c r="E3910" s="22">
        <f>IF(D3910="?OLD","!!!","")</f>
        <v/>
      </c>
      <c r="F3910" s="23" t="str">
        <f>IF(OR(E3910="",E3910="!!!"),"",IF(NOT(ISNA(VLOOKUP(E3910,E$1:E3909,1,FALSE()))),"OLD",IF(AND(E3910&lt;&gt;"",E3910&lt;&gt;"!!!"),"NEW","")))</f>
        <v> </v>
      </c>
      <c r="G3910" s="24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5" t="str">
        <f>IF(J3910&lt;&gt;1,"",IF(I3910="SBJ","CB","?"))</f>
        <v> </v>
      </c>
      <c r="I3910" s="26" t="str">
        <f>IF(OR(E3910="",E3910="!!!",F3910="NEW"),"",INDEX(B3909:B$2,-1+SUMPRODUCT(MAX(ROW(E3909:E$2)*(E3910=E3909:E$2)))))</f>
        <v> </v>
      </c>
      <c r="J3910" s="26" t="str">
        <f>IF(OR(E3910="",E3910="!!!",F3910="NEW"),"",COUNTBLANK(OFFSET(A$1,,,SUMPRODUCT(MAX(ROW(E$2:E3910)*(E3910=E$2:E3910)))))-COUNTBLANK(OFFSET(A$1,,,SUMPRODUCT(MAX(ROW(E$1:E3909)*(E2=E$1:E3909))))))</f>
        <v> </v>
      </c>
      <c r="K3910" s="26" t="str">
        <f>IF(OR(E3910="",E3910="!!!",F3910="NEW"),"",INDEX(J$1:J3909,SUMPRODUCT(MAX(ROW(E$1:E3909)*(E3910=E$1:E3909)))))</f>
        <v> </v>
      </c>
      <c r="L3910" s="27"/>
    </row>
    <row r="3911" spans="1:12">
      <c r="A3911" s="20"/>
    </row>
    <row r="3912" spans="1:12">
      <c r="A3912" s="20" t="s">
        <v>1510</v>
      </c>
    </row>
    <row r="3913" spans="1:12">
      <c r="A3913" s="20" t="s">
        <v>1132</v>
      </c>
      <c r="B3913" s="21" t="s">
        <v>1072</v>
      </c>
      <c r="C3913" s="21" t="s">
        <v>1073</v>
      </c>
      <c r="D3913" s="21" t="s">
        <v>1074</v>
      </c>
      <c r="E3913" s="22">
        <f>IF(D3913="?OLD","!!!","")</f>
        <v/>
      </c>
      <c r="F3913" s="23" t="str">
        <f>IF(OR(E3913="",E3913="!!!"),"",IF(NOT(ISNA(VLOOKUP(E3913,E$1:E3912,1,FALSE()))),"OLD",IF(AND(E3913&lt;&gt;"",E3913&lt;&gt;"!!!"),"NEW","")))</f>
        <v> </v>
      </c>
      <c r="G3913" s="24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5" t="str">
        <f>IF(J3913&lt;&gt;1,"",IF(I3913="SBJ","CB","?"))</f>
        <v> </v>
      </c>
      <c r="I3913" s="26" t="str">
        <f>IF(OR(E3913="",E3913="!!!",F3913="NEW"),"",INDEX(B3912:B$2,-1+SUMPRODUCT(MAX(ROW(E3912:E$2)*(E3913=E3912:E$2)))))</f>
        <v> </v>
      </c>
      <c r="J3913" s="26" t="str">
        <f>IF(OR(E3913="",E3913="!!!",F3913="NEW"),"",COUNTBLANK(OFFSET(A$1,,,SUMPRODUCT(MAX(ROW(E$2:E3913)*(E3913=E$2:E3913)))))-COUNTBLANK(OFFSET(A$1,,,SUMPRODUCT(MAX(ROW(E$1:E3912)*(E2=E$1:E3912))))))</f>
        <v> </v>
      </c>
      <c r="K3913" s="26" t="str">
        <f>IF(OR(E3913="",E3913="!!!",F3913="NEW"),"",INDEX(J$1:J3912,SUMPRODUCT(MAX(ROW(E$1:E3912)*(E3913=E$1:E3912)))))</f>
        <v> </v>
      </c>
      <c r="L3913" s="27"/>
    </row>
    <row r="3914" spans="1:12">
      <c r="A3914" s="20" t="s">
        <v>1076</v>
      </c>
      <c r="E3914" s="22">
        <f>IF(D3914="?OLD","!!!","")</f>
        <v/>
      </c>
      <c r="F3914" s="23" t="str">
        <f>IF(OR(E3914="",E3914="!!!"),"",IF(NOT(ISNA(VLOOKUP(E3914,E$1:E3913,1,FALSE()))),"OLD",IF(AND(E3914&lt;&gt;"",E3914&lt;&gt;"!!!"),"NEW","")))</f>
        <v> </v>
      </c>
      <c r="G3914" s="24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5" t="str">
        <f>IF(J3914&lt;&gt;1,"",IF(I3914="SBJ","CB","?"))</f>
        <v> </v>
      </c>
      <c r="I3914" s="26" t="str">
        <f>IF(OR(E3914="",E3914="!!!",F3914="NEW"),"",INDEX(B3913:B$2,-1+SUMPRODUCT(MAX(ROW(E3913:E$2)*(E3914=E3913:E$2)))))</f>
        <v> </v>
      </c>
      <c r="J3914" s="26" t="str">
        <f>IF(OR(E3914="",E3914="!!!",F3914="NEW"),"",COUNTBLANK(OFFSET(A$1,,,SUMPRODUCT(MAX(ROW(E$2:E3914)*(E3914=E$2:E3914)))))-COUNTBLANK(OFFSET(A$1,,,SUMPRODUCT(MAX(ROW(E$1:E3913)*(E2=E$1:E3913))))))</f>
        <v> </v>
      </c>
      <c r="K3914" s="26" t="str">
        <f>IF(OR(E3914="",E3914="!!!",F3914="NEW"),"",INDEX(J$1:J3913,SUMPRODUCT(MAX(ROW(E$1:E3913)*(E3914=E$1:E3913)))))</f>
        <v> </v>
      </c>
      <c r="L3914" s="27"/>
    </row>
    <row r="3915" spans="1:12">
      <c r="A3915" s="20"/>
    </row>
    <row r="3916" spans="1:12">
      <c r="A3916" s="20" t="s">
        <v>2554</v>
      </c>
    </row>
    <row r="3917" spans="1:12">
      <c r="A3917" s="20" t="s">
        <v>2555</v>
      </c>
      <c r="E3917" s="22">
        <f>IF(D3917="?OLD","!!!","")</f>
        <v/>
      </c>
      <c r="F3917" s="23" t="str">
        <f>IF(OR(E3917="",E3917="!!!"),"",IF(NOT(ISNA(VLOOKUP(E3917,E$1:E3916,1,FALSE()))),"OLD",IF(AND(E3917&lt;&gt;"",E3917&lt;&gt;"!!!"),"NEW","")))</f>
        <v> </v>
      </c>
      <c r="G3917" s="24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5" t="str">
        <f>IF(J3917&lt;&gt;1,"",IF(I3917="SBJ","CB","?"))</f>
        <v> </v>
      </c>
      <c r="I3917" s="26" t="str">
        <f>IF(OR(E3917="",E3917="!!!",F3917="NEW"),"",INDEX(B3916:B$2,-1+SUMPRODUCT(MAX(ROW(E3916:E$2)*(E3917=E3916:E$2)))))</f>
        <v> </v>
      </c>
      <c r="J3917" s="26" t="str">
        <f>IF(OR(E3917="",E3917="!!!",F3917="NEW"),"",COUNTBLANK(OFFSET(A$1,,,SUMPRODUCT(MAX(ROW(E$2:E3917)*(E3917=E$2:E3917)))))-COUNTBLANK(OFFSET(A$1,,,SUMPRODUCT(MAX(ROW(E$1:E3916)*(E2=E$1:E3916))))))</f>
        <v> </v>
      </c>
      <c r="K3917" s="26" t="str">
        <f>IF(OR(E3917="",E3917="!!!",F3917="NEW"),"",INDEX(J$1:J3916,SUMPRODUCT(MAX(ROW(E$1:E3916)*(E3917=E$1:E3916)))))</f>
        <v> </v>
      </c>
      <c r="L3917" s="27"/>
    </row>
    <row r="3918" spans="1:12">
      <c r="A3918" s="20" t="s">
        <v>1156</v>
      </c>
      <c r="B3918" s="21" t="s">
        <v>1077</v>
      </c>
      <c r="C3918" s="21" t="s">
        <v>1081</v>
      </c>
      <c r="D3918" s="21" t="s">
        <v>1074</v>
      </c>
      <c r="E3918" s="22">
        <f>IF(D3918="?OLD","!!!","")</f>
        <v/>
      </c>
      <c r="F3918" s="23" t="str">
        <f>IF(OR(E3918="",E3918="!!!"),"",IF(NOT(ISNA(VLOOKUP(E3918,E$1:E3917,1,FALSE()))),"OLD",IF(AND(E3918&lt;&gt;"",E3918&lt;&gt;"!!!"),"NEW","")))</f>
        <v> </v>
      </c>
      <c r="G3918" s="24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5" t="str">
        <f>IF(J3918&lt;&gt;1,"",IF(I3918="SBJ","CB","?"))</f>
        <v> </v>
      </c>
      <c r="I3918" s="26" t="str">
        <f>IF(OR(E3918="",E3918="!!!",F3918="NEW"),"",INDEX(B3917:B$2,-1+SUMPRODUCT(MAX(ROW(E3917:E$2)*(E3918=E3917:E$2)))))</f>
        <v> </v>
      </c>
      <c r="J3918" s="26" t="str">
        <f>IF(OR(E3918="",E3918="!!!",F3918="NEW"),"",COUNTBLANK(OFFSET(A$1,,,SUMPRODUCT(MAX(ROW(E$2:E3918)*(E3918=E$2:E3918)))))-COUNTBLANK(OFFSET(A$1,,,SUMPRODUCT(MAX(ROW(E$1:E3917)*(E2=E$1:E3917))))))</f>
        <v> </v>
      </c>
      <c r="K3918" s="26" t="str">
        <f>IF(OR(E3918="",E3918="!!!",F3918="NEW"),"",INDEX(J$1:J3917,SUMPRODUCT(MAX(ROW(E$1:E3917)*(E3918=E$1:E3917)))))</f>
        <v> </v>
      </c>
      <c r="L3918" s="27"/>
    </row>
    <row r="3919" spans="1:12">
      <c r="A3919" s="20" t="s">
        <v>1084</v>
      </c>
      <c r="E3919" s="22">
        <f>IF(D3919="?OLD","!!!","")</f>
        <v/>
      </c>
      <c r="F3919" s="23" t="str">
        <f>IF(OR(E3919="",E3919="!!!"),"",IF(NOT(ISNA(VLOOKUP(E3919,E$1:E3918,1,FALSE()))),"OLD",IF(AND(E3919&lt;&gt;"",E3919&lt;&gt;"!!!"),"NEW","")))</f>
        <v> </v>
      </c>
      <c r="G3919" s="24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5" t="str">
        <f>IF(J3919&lt;&gt;1,"",IF(I3919="SBJ","CB","?"))</f>
        <v> </v>
      </c>
      <c r="I3919" s="26" t="str">
        <f>IF(OR(E3919="",E3919="!!!",F3919="NEW"),"",INDEX(B3918:B$2,-1+SUMPRODUCT(MAX(ROW(E3918:E$2)*(E3919=E3918:E$2)))))</f>
        <v> </v>
      </c>
      <c r="J3919" s="26" t="str">
        <f>IF(OR(E3919="",E3919="!!!",F3919="NEW"),"",COUNTBLANK(OFFSET(A$1,,,SUMPRODUCT(MAX(ROW(E$2:E3919)*(E3919=E$2:E3919)))))-COUNTBLANK(OFFSET(A$1,,,SUMPRODUCT(MAX(ROW(E$1:E3918)*(E2=E$1:E3918))))))</f>
        <v> </v>
      </c>
      <c r="K3919" s="26" t="str">
        <f>IF(OR(E3919="",E3919="!!!",F3919="NEW"),"",INDEX(J$1:J3918,SUMPRODUCT(MAX(ROW(E$1:E3918)*(E3919=E$1:E3918)))))</f>
        <v> </v>
      </c>
      <c r="L3919" s="27"/>
    </row>
    <row r="3920" spans="1:12">
      <c r="A3920" s="20" t="s">
        <v>1112</v>
      </c>
      <c r="E3920" s="22">
        <f>IF(D3920="?OLD","!!!","")</f>
        <v/>
      </c>
      <c r="F3920" s="23" t="str">
        <f>IF(OR(E3920="",E3920="!!!"),"",IF(NOT(ISNA(VLOOKUP(E3920,E$1:E3919,1,FALSE()))),"OLD",IF(AND(E3920&lt;&gt;"",E3920&lt;&gt;"!!!"),"NEW","")))</f>
        <v> </v>
      </c>
      <c r="G3920" s="24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5" t="str">
        <f>IF(J3920&lt;&gt;1,"",IF(I3920="SBJ","CB","?"))</f>
        <v> </v>
      </c>
      <c r="I3920" s="26" t="str">
        <f>IF(OR(E3920="",E3920="!!!",F3920="NEW"),"",INDEX(B3919:B$2,-1+SUMPRODUCT(MAX(ROW(E3919:E$2)*(E3920=E3919:E$2)))))</f>
        <v> </v>
      </c>
      <c r="J3920" s="26" t="str">
        <f>IF(OR(E3920="",E3920="!!!",F3920="NEW"),"",COUNTBLANK(OFFSET(A$1,,,SUMPRODUCT(MAX(ROW(E$2:E3920)*(E3920=E$2:E3920)))))-COUNTBLANK(OFFSET(A$1,,,SUMPRODUCT(MAX(ROW(E$1:E3919)*(E2=E$1:E3919))))))</f>
        <v> </v>
      </c>
      <c r="K3920" s="26" t="str">
        <f>IF(OR(E3920="",E3920="!!!",F3920="NEW"),"",INDEX(J$1:J3919,SUMPRODUCT(MAX(ROW(E$1:E3919)*(E3920=E$1:E3919)))))</f>
        <v> </v>
      </c>
      <c r="L3920" s="27"/>
    </row>
    <row r="3921" spans="1:12">
      <c r="A3921" s="20" t="s">
        <v>2556</v>
      </c>
      <c r="E3921" s="22">
        <f>IF(D3921="?OLD","!!!","")</f>
        <v/>
      </c>
      <c r="F3921" s="23" t="str">
        <f>IF(OR(E3921="",E3921="!!!"),"",IF(NOT(ISNA(VLOOKUP(E3921,E$1:E3920,1,FALSE()))),"OLD",IF(AND(E3921&lt;&gt;"",E3921&lt;&gt;"!!!"),"NEW","")))</f>
        <v> </v>
      </c>
      <c r="G3921" s="24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5" t="str">
        <f>IF(J3921&lt;&gt;1,"",IF(I3921="SBJ","CB","?"))</f>
        <v> </v>
      </c>
      <c r="I3921" s="26" t="str">
        <f>IF(OR(E3921="",E3921="!!!",F3921="NEW"),"",INDEX(B3920:B$2,-1+SUMPRODUCT(MAX(ROW(E3920:E$2)*(E3921=E3920:E$2)))))</f>
        <v> </v>
      </c>
      <c r="J3921" s="26" t="str">
        <f>IF(OR(E3921="",E3921="!!!",F3921="NEW"),"",COUNTBLANK(OFFSET(A$1,,,SUMPRODUCT(MAX(ROW(E$2:E3921)*(E3921=E$2:E3921)))))-COUNTBLANK(OFFSET(A$1,,,SUMPRODUCT(MAX(ROW(E$1:E3920)*(E2=E$1:E3920))))))</f>
        <v> </v>
      </c>
      <c r="K3921" s="26" t="str">
        <f>IF(OR(E3921="",E3921="!!!",F3921="NEW"),"",INDEX(J$1:J3920,SUMPRODUCT(MAX(ROW(E$1:E3920)*(E3921=E$1:E3920)))))</f>
        <v> </v>
      </c>
      <c r="L3921" s="27"/>
    </row>
    <row r="3922" spans="1:12">
      <c r="A3922" s="20" t="s">
        <v>1588</v>
      </c>
      <c r="B3922" s="21" t="s">
        <v>1227</v>
      </c>
      <c r="C3922" s="21" t="s">
        <v>1081</v>
      </c>
      <c r="D3922" s="21" t="s">
        <v>1074</v>
      </c>
      <c r="E3922" s="22">
        <f>IF(D3922="?OLD","!!!","")</f>
        <v/>
      </c>
      <c r="F3922" s="23" t="str">
        <f>IF(OR(E3922="",E3922="!!!"),"",IF(NOT(ISNA(VLOOKUP(E3922,E$1:E3921,1,FALSE()))),"OLD",IF(AND(E3922&lt;&gt;"",E3922&lt;&gt;"!!!"),"NEW","")))</f>
        <v> </v>
      </c>
      <c r="G3922" s="24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5" t="str">
        <f>IF(J3922&lt;&gt;1,"",IF(I3922="SBJ","CB","?"))</f>
        <v> </v>
      </c>
      <c r="I3922" s="26" t="str">
        <f>IF(OR(E3922="",E3922="!!!",F3922="NEW"),"",INDEX(B3921:B$2,-1+SUMPRODUCT(MAX(ROW(E3921:E$2)*(E3922=E3921:E$2)))))</f>
        <v> </v>
      </c>
      <c r="J3922" s="26" t="str">
        <f>IF(OR(E3922="",E3922="!!!",F3922="NEW"),"",COUNTBLANK(OFFSET(A$1,,,SUMPRODUCT(MAX(ROW(E$2:E3922)*(E3922=E$2:E3922)))))-COUNTBLANK(OFFSET(A$1,,,SUMPRODUCT(MAX(ROW(E$1:E3921)*(E2=E$1:E3921))))))</f>
        <v> </v>
      </c>
      <c r="K3922" s="26" t="str">
        <f>IF(OR(E3922="",E3922="!!!",F3922="NEW"),"",INDEX(J$1:J3921,SUMPRODUCT(MAX(ROW(E$1:E3921)*(E3922=E$1:E3921)))))</f>
        <v> </v>
      </c>
      <c r="L3922" s="27"/>
    </row>
    <row r="3923" spans="1:12">
      <c r="A3923" s="20" t="s">
        <v>1085</v>
      </c>
      <c r="E3923" s="22">
        <f>IF(D3923="?OLD","!!!","")</f>
        <v/>
      </c>
      <c r="F3923" s="23" t="str">
        <f>IF(OR(E3923="",E3923="!!!"),"",IF(NOT(ISNA(VLOOKUP(E3923,E$1:E3922,1,FALSE()))),"OLD",IF(AND(E3923&lt;&gt;"",E3923&lt;&gt;"!!!"),"NEW","")))</f>
        <v> </v>
      </c>
      <c r="G3923" s="24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5" t="str">
        <f>IF(J3923&lt;&gt;1,"",IF(I3923="SBJ","CB","?"))</f>
        <v> </v>
      </c>
      <c r="I3923" s="26" t="str">
        <f>IF(OR(E3923="",E3923="!!!",F3923="NEW"),"",INDEX(B3922:B$2,-1+SUMPRODUCT(MAX(ROW(E3922:E$2)*(E3923=E3922:E$2)))))</f>
        <v> </v>
      </c>
      <c r="J3923" s="26" t="str">
        <f>IF(OR(E3923="",E3923="!!!",F3923="NEW"),"",COUNTBLANK(OFFSET(A$1,,,SUMPRODUCT(MAX(ROW(E$2:E3923)*(E3923=E$2:E3923)))))-COUNTBLANK(OFFSET(A$1,,,SUMPRODUCT(MAX(ROW(E$1:E3922)*(E2=E$1:E3922))))))</f>
        <v> </v>
      </c>
      <c r="K3923" s="26" t="str">
        <f>IF(OR(E3923="",E3923="!!!",F3923="NEW"),"",INDEX(J$1:J3922,SUMPRODUCT(MAX(ROW(E$1:E3922)*(E3923=E$1:E3922)))))</f>
        <v> </v>
      </c>
      <c r="L3923" s="27"/>
    </row>
    <row r="3924" spans="1:12">
      <c r="A3924" s="20" t="s">
        <v>1269</v>
      </c>
      <c r="E3924" s="22">
        <f>IF(D3924="?OLD","!!!","")</f>
        <v/>
      </c>
      <c r="F3924" s="23" t="str">
        <f>IF(OR(E3924="",E3924="!!!"),"",IF(NOT(ISNA(VLOOKUP(E3924,E$1:E3923,1,FALSE()))),"OLD",IF(AND(E3924&lt;&gt;"",E3924&lt;&gt;"!!!"),"NEW","")))</f>
        <v> </v>
      </c>
      <c r="G3924" s="24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5" t="str">
        <f>IF(J3924&lt;&gt;1,"",IF(I3924="SBJ","CB","?"))</f>
        <v> </v>
      </c>
      <c r="I3924" s="26" t="str">
        <f>IF(OR(E3924="",E3924="!!!",F3924="NEW"),"",INDEX(B3923:B$2,-1+SUMPRODUCT(MAX(ROW(E3923:E$2)*(E3924=E3923:E$2)))))</f>
        <v> </v>
      </c>
      <c r="J3924" s="26" t="str">
        <f>IF(OR(E3924="",E3924="!!!",F3924="NEW"),"",COUNTBLANK(OFFSET(A$1,,,SUMPRODUCT(MAX(ROW(E$2:E3924)*(E3924=E$2:E3924)))))-COUNTBLANK(OFFSET(A$1,,,SUMPRODUCT(MAX(ROW(E$1:E3923)*(E2=E$1:E3923))))))</f>
        <v> </v>
      </c>
      <c r="K3924" s="26" t="str">
        <f>IF(OR(E3924="",E3924="!!!",F3924="NEW"),"",INDEX(J$1:J3923,SUMPRODUCT(MAX(ROW(E$1:E3923)*(E3924=E$1:E3923)))))</f>
        <v> </v>
      </c>
      <c r="L3924" s="27"/>
    </row>
    <row r="3925" spans="1:12">
      <c r="A3925" s="20" t="s">
        <v>1118</v>
      </c>
      <c r="B3925" s="21" t="s">
        <v>1077</v>
      </c>
      <c r="C3925" s="21" t="s">
        <v>1081</v>
      </c>
      <c r="D3925" s="21" t="s">
        <v>1074</v>
      </c>
      <c r="E3925" s="22">
        <f>IF(D3925="?OLD","!!!","")</f>
        <v/>
      </c>
      <c r="F3925" s="23" t="str">
        <f>IF(OR(E3925="",E3925="!!!"),"",IF(NOT(ISNA(VLOOKUP(E3925,E$1:E3924,1,FALSE()))),"OLD",IF(AND(E3925&lt;&gt;"",E3925&lt;&gt;"!!!"),"NEW","")))</f>
        <v> </v>
      </c>
      <c r="G3925" s="24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5" t="str">
        <f>IF(J3925&lt;&gt;1,"",IF(I3925="SBJ","CB","?"))</f>
        <v> </v>
      </c>
      <c r="I3925" s="26" t="str">
        <f>IF(OR(E3925="",E3925="!!!",F3925="NEW"),"",INDEX(B3924:B$2,-1+SUMPRODUCT(MAX(ROW(E3924:E$2)*(E3925=E3924:E$2)))))</f>
        <v> </v>
      </c>
      <c r="J3925" s="26" t="str">
        <f>IF(OR(E3925="",E3925="!!!",F3925="NEW"),"",COUNTBLANK(OFFSET(A$1,,,SUMPRODUCT(MAX(ROW(E$2:E3925)*(E3925=E$2:E3925)))))-COUNTBLANK(OFFSET(A$1,,,SUMPRODUCT(MAX(ROW(E$1:E3924)*(E2=E$1:E3924))))))</f>
        <v> </v>
      </c>
      <c r="K3925" s="26" t="str">
        <f>IF(OR(E3925="",E3925="!!!",F3925="NEW"),"",INDEX(J$1:J3924,SUMPRODUCT(MAX(ROW(E$1:E3924)*(E3925=E$1:E3924)))))</f>
        <v> </v>
      </c>
      <c r="L3925" s="27"/>
    </row>
    <row r="3926" spans="1:12">
      <c r="A3926" s="20" t="s">
        <v>1091</v>
      </c>
      <c r="E3926" s="22">
        <f>IF(D3926="?OLD","!!!","")</f>
        <v/>
      </c>
      <c r="F3926" s="23" t="str">
        <f>IF(OR(E3926="",E3926="!!!"),"",IF(NOT(ISNA(VLOOKUP(E3926,E$1:E3925,1,FALSE()))),"OLD",IF(AND(E3926&lt;&gt;"",E3926&lt;&gt;"!!!"),"NEW","")))</f>
        <v> </v>
      </c>
      <c r="G3926" s="24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5" t="str">
        <f>IF(J3926&lt;&gt;1,"",IF(I3926="SBJ","CB","?"))</f>
        <v> </v>
      </c>
      <c r="I3926" s="26" t="str">
        <f>IF(OR(E3926="",E3926="!!!",F3926="NEW"),"",INDEX(B3925:B$2,-1+SUMPRODUCT(MAX(ROW(E3925:E$2)*(E3926=E3925:E$2)))))</f>
        <v> </v>
      </c>
      <c r="J3926" s="26" t="str">
        <f>IF(OR(E3926="",E3926="!!!",F3926="NEW"),"",COUNTBLANK(OFFSET(A$1,,,SUMPRODUCT(MAX(ROW(E$2:E3926)*(E3926=E$2:E3926)))))-COUNTBLANK(OFFSET(A$1,,,SUMPRODUCT(MAX(ROW(E$1:E3925)*(E2=E$1:E3925))))))</f>
        <v> </v>
      </c>
      <c r="K3926" s="26" t="str">
        <f>IF(OR(E3926="",E3926="!!!",F3926="NEW"),"",INDEX(J$1:J3925,SUMPRODUCT(MAX(ROW(E$1:E3925)*(E3926=E$1:E3925)))))</f>
        <v> </v>
      </c>
      <c r="L3926" s="27"/>
    </row>
    <row r="3927" spans="1:12">
      <c r="A3927" s="20" t="s">
        <v>1842</v>
      </c>
      <c r="E3927" s="22">
        <f>IF(D3927="?OLD","!!!","")</f>
        <v/>
      </c>
      <c r="F3927" s="23" t="str">
        <f>IF(OR(E3927="",E3927="!!!"),"",IF(NOT(ISNA(VLOOKUP(E3927,E$1:E3926,1,FALSE()))),"OLD",IF(AND(E3927&lt;&gt;"",E3927&lt;&gt;"!!!"),"NEW","")))</f>
        <v> </v>
      </c>
      <c r="G3927" s="24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5" t="str">
        <f>IF(J3927&lt;&gt;1,"",IF(I3927="SBJ","CB","?"))</f>
        <v> </v>
      </c>
      <c r="I3927" s="26" t="str">
        <f>IF(OR(E3927="",E3927="!!!",F3927="NEW"),"",INDEX(B3926:B$2,-1+SUMPRODUCT(MAX(ROW(E3926:E$2)*(E3927=E3926:E$2)))))</f>
        <v> </v>
      </c>
      <c r="J3927" s="26" t="str">
        <f>IF(OR(E3927="",E3927="!!!",F3927="NEW"),"",COUNTBLANK(OFFSET(A$1,,,SUMPRODUCT(MAX(ROW(E$2:E3927)*(E3927=E$2:E3927)))))-COUNTBLANK(OFFSET(A$1,,,SUMPRODUCT(MAX(ROW(E$1:E3926)*(E2=E$1:E3926))))))</f>
        <v> </v>
      </c>
      <c r="K3927" s="26" t="str">
        <f>IF(OR(E3927="",E3927="!!!",F3927="NEW"),"",INDEX(J$1:J3926,SUMPRODUCT(MAX(ROW(E$1:E3926)*(E3927=E$1:E3926)))))</f>
        <v> </v>
      </c>
      <c r="L3927" s="27"/>
    </row>
    <row r="3928" spans="1:12">
      <c r="A3928" s="20" t="s">
        <v>1112</v>
      </c>
      <c r="E3928" s="22">
        <f>IF(D3928="?OLD","!!!","")</f>
        <v/>
      </c>
      <c r="F3928" s="23" t="str">
        <f>IF(OR(E3928="",E3928="!!!"),"",IF(NOT(ISNA(VLOOKUP(E3928,E$1:E3927,1,FALSE()))),"OLD",IF(AND(E3928&lt;&gt;"",E3928&lt;&gt;"!!!"),"NEW","")))</f>
        <v> </v>
      </c>
      <c r="G3928" s="24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5" t="str">
        <f>IF(J3928&lt;&gt;1,"",IF(I3928="SBJ","CB","?"))</f>
        <v> </v>
      </c>
      <c r="I3928" s="26" t="str">
        <f>IF(OR(E3928="",E3928="!!!",F3928="NEW"),"",INDEX(B3927:B$2,-1+SUMPRODUCT(MAX(ROW(E3927:E$2)*(E3928=E3927:E$2)))))</f>
        <v> </v>
      </c>
      <c r="J3928" s="26" t="str">
        <f>IF(OR(E3928="",E3928="!!!",F3928="NEW"),"",COUNTBLANK(OFFSET(A$1,,,SUMPRODUCT(MAX(ROW(E$2:E3928)*(E3928=E$2:E3928)))))-COUNTBLANK(OFFSET(A$1,,,SUMPRODUCT(MAX(ROW(E$1:E3927)*(E2=E$1:E3927))))))</f>
        <v> </v>
      </c>
      <c r="K3928" s="26" t="str">
        <f>IF(OR(E3928="",E3928="!!!",F3928="NEW"),"",INDEX(J$1:J3927,SUMPRODUCT(MAX(ROW(E$1:E3927)*(E3928=E$1:E3927)))))</f>
        <v> </v>
      </c>
      <c r="L3928" s="27"/>
    </row>
    <row r="3929" spans="1:12">
      <c r="A3929" s="20" t="s">
        <v>1086</v>
      </c>
      <c r="E3929" s="22">
        <f>IF(D3929="?OLD","!!!","")</f>
        <v/>
      </c>
      <c r="F3929" s="23" t="str">
        <f>IF(OR(E3929="",E3929="!!!"),"",IF(NOT(ISNA(VLOOKUP(E3929,E$1:E3928,1,FALSE()))),"OLD",IF(AND(E3929&lt;&gt;"",E3929&lt;&gt;"!!!"),"NEW","")))</f>
        <v> </v>
      </c>
      <c r="G3929" s="24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5" t="str">
        <f>IF(J3929&lt;&gt;1,"",IF(I3929="SBJ","CB","?"))</f>
        <v> </v>
      </c>
      <c r="I3929" s="26" t="str">
        <f>IF(OR(E3929="",E3929="!!!",F3929="NEW"),"",INDEX(B3928:B$2,-1+SUMPRODUCT(MAX(ROW(E3928:E$2)*(E3929=E3928:E$2)))))</f>
        <v> </v>
      </c>
      <c r="J3929" s="26" t="str">
        <f>IF(OR(E3929="",E3929="!!!",F3929="NEW"),"",COUNTBLANK(OFFSET(A$1,,,SUMPRODUCT(MAX(ROW(E$2:E3929)*(E3929=E$2:E3929)))))-COUNTBLANK(OFFSET(A$1,,,SUMPRODUCT(MAX(ROW(E$1:E3928)*(E2=E$1:E3928))))))</f>
        <v> </v>
      </c>
      <c r="K3929" s="26" t="str">
        <f>IF(OR(E3929="",E3929="!!!",F3929="NEW"),"",INDEX(J$1:J3928,SUMPRODUCT(MAX(ROW(E$1:E3928)*(E3929=E$1:E3928)))))</f>
        <v> </v>
      </c>
      <c r="L3929" s="27"/>
    </row>
    <row r="3930" spans="1:12">
      <c r="A3930" s="20" t="s">
        <v>1269</v>
      </c>
      <c r="E3930" s="22">
        <f>IF(D3930="?OLD","!!!","")</f>
        <v/>
      </c>
      <c r="F3930" s="23" t="str">
        <f>IF(OR(E3930="",E3930="!!!"),"",IF(NOT(ISNA(VLOOKUP(E3930,E$1:E3929,1,FALSE()))),"OLD",IF(AND(E3930&lt;&gt;"",E3930&lt;&gt;"!!!"),"NEW","")))</f>
        <v> </v>
      </c>
      <c r="G3930" s="24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5" t="str">
        <f>IF(J3930&lt;&gt;1,"",IF(I3930="SBJ","CB","?"))</f>
        <v> </v>
      </c>
      <c r="I3930" s="26" t="str">
        <f>IF(OR(E3930="",E3930="!!!",F3930="NEW"),"",INDEX(B3929:B$2,-1+SUMPRODUCT(MAX(ROW(E3929:E$2)*(E3930=E3929:E$2)))))</f>
        <v> </v>
      </c>
      <c r="J3930" s="26" t="str">
        <f>IF(OR(E3930="",E3930="!!!",F3930="NEW"),"",COUNTBLANK(OFFSET(A$1,,,SUMPRODUCT(MAX(ROW(E$2:E3930)*(E3930=E$2:E3930)))))-COUNTBLANK(OFFSET(A$1,,,SUMPRODUCT(MAX(ROW(E$1:E3929)*(E2=E$1:E3929))))))</f>
        <v> </v>
      </c>
      <c r="K3930" s="26" t="str">
        <f>IF(OR(E3930="",E3930="!!!",F3930="NEW"),"",INDEX(J$1:J3929,SUMPRODUCT(MAX(ROW(E$1:E3929)*(E3930=E$1:E3929)))))</f>
        <v> </v>
      </c>
      <c r="L3930" s="27"/>
    </row>
    <row r="3931" spans="1:12">
      <c r="A3931" s="20" t="s">
        <v>1156</v>
      </c>
      <c r="B3931" s="21" t="s">
        <v>1088</v>
      </c>
      <c r="C3931" s="21" t="s">
        <v>1081</v>
      </c>
      <c r="D3931" s="21" t="s">
        <v>1074</v>
      </c>
      <c r="E3931" s="22">
        <f>IF(D3931="?OLD","!!!","")</f>
        <v/>
      </c>
      <c r="F3931" s="23" t="str">
        <f>IF(OR(E3931="",E3931="!!!"),"",IF(NOT(ISNA(VLOOKUP(E3931,E$1:E3930,1,FALSE()))),"OLD",IF(AND(E3931&lt;&gt;"",E3931&lt;&gt;"!!!"),"NEW","")))</f>
        <v> </v>
      </c>
      <c r="G3931" s="24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5" t="str">
        <f>IF(J3931&lt;&gt;1,"",IF(I3931="SBJ","CB","?"))</f>
        <v> </v>
      </c>
      <c r="I3931" s="26" t="str">
        <f>IF(OR(E3931="",E3931="!!!",F3931="NEW"),"",INDEX(B3930:B$2,-1+SUMPRODUCT(MAX(ROW(E3930:E$2)*(E3931=E3930:E$2)))))</f>
        <v> </v>
      </c>
      <c r="J3931" s="26" t="str">
        <f>IF(OR(E3931="",E3931="!!!",F3931="NEW"),"",COUNTBLANK(OFFSET(A$1,,,SUMPRODUCT(MAX(ROW(E$2:E3931)*(E3931=E$2:E3931)))))-COUNTBLANK(OFFSET(A$1,,,SUMPRODUCT(MAX(ROW(E$1:E3930)*(E2=E$1:E3930))))))</f>
        <v> </v>
      </c>
      <c r="K3931" s="26" t="str">
        <f>IF(OR(E3931="",E3931="!!!",F3931="NEW"),"",INDEX(J$1:J3930,SUMPRODUCT(MAX(ROW(E$1:E3930)*(E3931=E$1:E3930)))))</f>
        <v> </v>
      </c>
      <c r="L3931" s="27"/>
    </row>
    <row r="3932" spans="1:12">
      <c r="A3932" s="20" t="s">
        <v>2557</v>
      </c>
      <c r="E3932" s="22">
        <f>IF(D3932="?OLD","!!!","")</f>
        <v/>
      </c>
      <c r="F3932" s="23" t="str">
        <f>IF(OR(E3932="",E3932="!!!"),"",IF(NOT(ISNA(VLOOKUP(E3932,E$1:E3931,1,FALSE()))),"OLD",IF(AND(E3932&lt;&gt;"",E3932&lt;&gt;"!!!"),"NEW","")))</f>
        <v> </v>
      </c>
      <c r="G3932" s="24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5" t="str">
        <f>IF(J3932&lt;&gt;1,"",IF(I3932="SBJ","CB","?"))</f>
        <v> </v>
      </c>
      <c r="I3932" s="26" t="str">
        <f>IF(OR(E3932="",E3932="!!!",F3932="NEW"),"",INDEX(B3931:B$2,-1+SUMPRODUCT(MAX(ROW(E3931:E$2)*(E3932=E3931:E$2)))))</f>
        <v> </v>
      </c>
      <c r="J3932" s="26" t="str">
        <f>IF(OR(E3932="",E3932="!!!",F3932="NEW"),"",COUNTBLANK(OFFSET(A$1,,,SUMPRODUCT(MAX(ROW(E$2:E3932)*(E3932=E$2:E3932)))))-COUNTBLANK(OFFSET(A$1,,,SUMPRODUCT(MAX(ROW(E$1:E3931)*(E2=E$1:E3931))))))</f>
        <v> </v>
      </c>
      <c r="K3932" s="26" t="str">
        <f>IF(OR(E3932="",E3932="!!!",F3932="NEW"),"",INDEX(J$1:J3931,SUMPRODUCT(MAX(ROW(E$1:E3931)*(E3932=E$1:E3931)))))</f>
        <v> </v>
      </c>
      <c r="L3932" s="27"/>
    </row>
    <row r="3933" spans="1:12">
      <c r="A3933" s="20" t="s">
        <v>2558</v>
      </c>
      <c r="E3933" s="22">
        <f>IF(D3933="?OLD","!!!","")</f>
        <v/>
      </c>
      <c r="F3933" s="23" t="str">
        <f>IF(OR(E3933="",E3933="!!!"),"",IF(NOT(ISNA(VLOOKUP(E3933,E$1:E3932,1,FALSE()))),"OLD",IF(AND(E3933&lt;&gt;"",E3933&lt;&gt;"!!!"),"NEW","")))</f>
        <v> </v>
      </c>
      <c r="G3933" s="24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5" t="str">
        <f>IF(J3933&lt;&gt;1,"",IF(I3933="SBJ","CB","?"))</f>
        <v> </v>
      </c>
      <c r="I3933" s="26" t="str">
        <f>IF(OR(E3933="",E3933="!!!",F3933="NEW"),"",INDEX(B3932:B$2,-1+SUMPRODUCT(MAX(ROW(E3932:E$2)*(E3933=E3932:E$2)))))</f>
        <v> </v>
      </c>
      <c r="J3933" s="26" t="str">
        <f>IF(OR(E3933="",E3933="!!!",F3933="NEW"),"",COUNTBLANK(OFFSET(A$1,,,SUMPRODUCT(MAX(ROW(E$2:E3933)*(E3933=E$2:E3933)))))-COUNTBLANK(OFFSET(A$1,,,SUMPRODUCT(MAX(ROW(E$1:E3932)*(E2=E$1:E3932))))))</f>
        <v> </v>
      </c>
      <c r="K3933" s="26" t="str">
        <f>IF(OR(E3933="",E3933="!!!",F3933="NEW"),"",INDEX(J$1:J3932,SUMPRODUCT(MAX(ROW(E$1:E3932)*(E3933=E$1:E3932)))))</f>
        <v> </v>
      </c>
      <c r="L3933" s="27"/>
    </row>
    <row r="3934" spans="1:12">
      <c r="A3934" s="20" t="s">
        <v>2559</v>
      </c>
      <c r="E3934" s="22">
        <f>IF(D3934="?OLD","!!!","")</f>
        <v/>
      </c>
      <c r="F3934" s="23" t="str">
        <f>IF(OR(E3934="",E3934="!!!"),"",IF(NOT(ISNA(VLOOKUP(E3934,E$1:E3933,1,FALSE()))),"OLD",IF(AND(E3934&lt;&gt;"",E3934&lt;&gt;"!!!"),"NEW","")))</f>
        <v> </v>
      </c>
      <c r="G3934" s="24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5" t="str">
        <f>IF(J3934&lt;&gt;1,"",IF(I3934="SBJ","CB","?"))</f>
        <v> </v>
      </c>
      <c r="I3934" s="26" t="str">
        <f>IF(OR(E3934="",E3934="!!!",F3934="NEW"),"",INDEX(B3933:B$2,-1+SUMPRODUCT(MAX(ROW(E3933:E$2)*(E3934=E3933:E$2)))))</f>
        <v> </v>
      </c>
      <c r="J3934" s="26" t="str">
        <f>IF(OR(E3934="",E3934="!!!",F3934="NEW"),"",COUNTBLANK(OFFSET(A$1,,,SUMPRODUCT(MAX(ROW(E$2:E3934)*(E3934=E$2:E3934)))))-COUNTBLANK(OFFSET(A$1,,,SUMPRODUCT(MAX(ROW(E$1:E3933)*(E2=E$1:E3933))))))</f>
        <v> </v>
      </c>
      <c r="K3934" s="26" t="str">
        <f>IF(OR(E3934="",E3934="!!!",F3934="NEW"),"",INDEX(J$1:J3933,SUMPRODUCT(MAX(ROW(E$1:E3933)*(E3934=E$1:E3933)))))</f>
        <v> </v>
      </c>
      <c r="L3934" s="27"/>
    </row>
    <row r="3935" spans="1:12">
      <c r="A3935" s="20" t="s">
        <v>2560</v>
      </c>
      <c r="B3935" s="21" t="s">
        <v>1161</v>
      </c>
      <c r="E3935" s="22">
        <f>IF(D3935="?OLD","!!!","")</f>
        <v/>
      </c>
      <c r="F3935" s="23" t="str">
        <f>IF(OR(E3935="",E3935="!!!"),"",IF(NOT(ISNA(VLOOKUP(E3935,E$1:E3934,1,FALSE()))),"OLD",IF(AND(E3935&lt;&gt;"",E3935&lt;&gt;"!!!"),"NEW","")))</f>
        <v> </v>
      </c>
      <c r="G3935" s="24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5" t="str">
        <f>IF(J3935&lt;&gt;1,"",IF(I3935="SBJ","CB","?"))</f>
        <v> </v>
      </c>
      <c r="I3935" s="26" t="str">
        <f>IF(OR(E3935="",E3935="!!!",F3935="NEW"),"",INDEX(B3934:B$2,-1+SUMPRODUCT(MAX(ROW(E3934:E$2)*(E3935=E3934:E$2)))))</f>
        <v> </v>
      </c>
      <c r="J3935" s="26" t="str">
        <f>IF(OR(E3935="",E3935="!!!",F3935="NEW"),"",COUNTBLANK(OFFSET(A$1,,,SUMPRODUCT(MAX(ROW(E$2:E3935)*(E3935=E$2:E3935)))))-COUNTBLANK(OFFSET(A$1,,,SUMPRODUCT(MAX(ROW(E$1:E3934)*(E2=E$1:E3934))))))</f>
        <v> </v>
      </c>
      <c r="K3935" s="26" t="str">
        <f>IF(OR(E3935="",E3935="!!!",F3935="NEW"),"",INDEX(J$1:J3934,SUMPRODUCT(MAX(ROW(E$1:E3934)*(E3935=E$1:E3934)))))</f>
        <v> </v>
      </c>
      <c r="L3935" s="27"/>
    </row>
    <row r="3936" spans="1:12">
      <c r="A3936" s="20" t="s">
        <v>1187</v>
      </c>
      <c r="E3936" s="22">
        <f>IF(D3936="?OLD","!!!","")</f>
        <v/>
      </c>
      <c r="F3936" s="23" t="str">
        <f>IF(OR(E3936="",E3936="!!!"),"",IF(NOT(ISNA(VLOOKUP(E3936,E$1:E3935,1,FALSE()))),"OLD",IF(AND(E3936&lt;&gt;"",E3936&lt;&gt;"!!!"),"NEW","")))</f>
        <v> </v>
      </c>
      <c r="G3936" s="24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5" t="str">
        <f>IF(J3936&lt;&gt;1,"",IF(I3936="SBJ","CB","?"))</f>
        <v> </v>
      </c>
      <c r="I3936" s="26" t="str">
        <f>IF(OR(E3936="",E3936="!!!",F3936="NEW"),"",INDEX(B3935:B$2,-1+SUMPRODUCT(MAX(ROW(E3935:E$2)*(E3936=E3935:E$2)))))</f>
        <v> </v>
      </c>
      <c r="J3936" s="26" t="str">
        <f>IF(OR(E3936="",E3936="!!!",F3936="NEW"),"",COUNTBLANK(OFFSET(A$1,,,SUMPRODUCT(MAX(ROW(E$2:E3936)*(E3936=E$2:E3936)))))-COUNTBLANK(OFFSET(A$1,,,SUMPRODUCT(MAX(ROW(E$1:E3935)*(E2=E$1:E3935))))))</f>
        <v> </v>
      </c>
      <c r="K3936" s="26" t="str">
        <f>IF(OR(E3936="",E3936="!!!",F3936="NEW"),"",INDEX(J$1:J3935,SUMPRODUCT(MAX(ROW(E$1:E3935)*(E3936=E$1:E3935)))))</f>
        <v> </v>
      </c>
      <c r="L3936" s="27"/>
    </row>
    <row r="3937" spans="1:12">
      <c r="A3937" s="20" t="s">
        <v>2484</v>
      </c>
      <c r="B3937" s="21" t="s">
        <v>1140</v>
      </c>
      <c r="C3937" s="21" t="s">
        <v>1181</v>
      </c>
      <c r="E3937" s="22">
        <f>IF(D3937="?OLD","!!!","")</f>
        <v/>
      </c>
      <c r="F3937" s="23" t="str">
        <f>IF(OR(E3937="",E3937="!!!"),"",IF(NOT(ISNA(VLOOKUP(E3937,E$1:E3936,1,FALSE()))),"OLD",IF(AND(E3937&lt;&gt;"",E3937&lt;&gt;"!!!"),"NEW","")))</f>
        <v> </v>
      </c>
      <c r="G3937" s="24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5" t="str">
        <f>IF(J3937&lt;&gt;1,"",IF(I3937="SBJ","CB","?"))</f>
        <v> </v>
      </c>
      <c r="I3937" s="26" t="str">
        <f>IF(OR(E3937="",E3937="!!!",F3937="NEW"),"",INDEX(B3936:B$2,-1+SUMPRODUCT(MAX(ROW(E3936:E$2)*(E3937=E3936:E$2)))))</f>
        <v> </v>
      </c>
      <c r="J3937" s="26" t="str">
        <f>IF(OR(E3937="",E3937="!!!",F3937="NEW"),"",COUNTBLANK(OFFSET(A$1,,,SUMPRODUCT(MAX(ROW(E$2:E3937)*(E3937=E$2:E3937)))))-COUNTBLANK(OFFSET(A$1,,,SUMPRODUCT(MAX(ROW(E$1:E3936)*(E2=E$1:E3936))))))</f>
        <v> </v>
      </c>
      <c r="K3937" s="26" t="str">
        <f>IF(OR(E3937="",E3937="!!!",F3937="NEW"),"",INDEX(J$1:J3936,SUMPRODUCT(MAX(ROW(E$1:E3936)*(E3937=E$1:E3936)))))</f>
        <v> </v>
      </c>
      <c r="L3937" s="27"/>
    </row>
    <row r="3938" spans="1:12">
      <c r="A3938" s="20" t="s">
        <v>1085</v>
      </c>
      <c r="E3938" s="22">
        <f>IF(D3938="?OLD","!!!","")</f>
        <v/>
      </c>
      <c r="F3938" s="23" t="str">
        <f>IF(OR(E3938="",E3938="!!!"),"",IF(NOT(ISNA(VLOOKUP(E3938,E$1:E3937,1,FALSE()))),"OLD",IF(AND(E3938&lt;&gt;"",E3938&lt;&gt;"!!!"),"NEW","")))</f>
        <v> </v>
      </c>
      <c r="G3938" s="24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5" t="str">
        <f>IF(J3938&lt;&gt;1,"",IF(I3938="SBJ","CB","?"))</f>
        <v> </v>
      </c>
      <c r="I3938" s="26" t="str">
        <f>IF(OR(E3938="",E3938="!!!",F3938="NEW"),"",INDEX(B3937:B$2,-1+SUMPRODUCT(MAX(ROW(E3937:E$2)*(E3938=E3937:E$2)))))</f>
        <v> </v>
      </c>
      <c r="J3938" s="26" t="str">
        <f>IF(OR(E3938="",E3938="!!!",F3938="NEW"),"",COUNTBLANK(OFFSET(A$1,,,SUMPRODUCT(MAX(ROW(E$2:E3938)*(E3938=E$2:E3938)))))-COUNTBLANK(OFFSET(A$1,,,SUMPRODUCT(MAX(ROW(E$1:E3937)*(E2=E$1:E3937))))))</f>
        <v> </v>
      </c>
      <c r="K3938" s="26" t="str">
        <f>IF(OR(E3938="",E3938="!!!",F3938="NEW"),"",INDEX(J$1:J3937,SUMPRODUCT(MAX(ROW(E$1:E3937)*(E3938=E$1:E3937)))))</f>
        <v> </v>
      </c>
      <c r="L3938" s="27"/>
    </row>
    <row r="3939" spans="1:12">
      <c r="A3939" s="20" t="s">
        <v>2561</v>
      </c>
      <c r="E3939" s="22">
        <f>IF(D3939="?OLD","!!!","")</f>
        <v/>
      </c>
      <c r="F3939" s="23" t="str">
        <f>IF(OR(E3939="",E3939="!!!"),"",IF(NOT(ISNA(VLOOKUP(E3939,E$1:E3938,1,FALSE()))),"OLD",IF(AND(E3939&lt;&gt;"",E3939&lt;&gt;"!!!"),"NEW","")))</f>
        <v> </v>
      </c>
      <c r="G3939" s="24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5" t="str">
        <f>IF(J3939&lt;&gt;1,"",IF(I3939="SBJ","CB","?"))</f>
        <v> </v>
      </c>
      <c r="I3939" s="26" t="str">
        <f>IF(OR(E3939="",E3939="!!!",F3939="NEW"),"",INDEX(B3938:B$2,-1+SUMPRODUCT(MAX(ROW(E3938:E$2)*(E3939=E3938:E$2)))))</f>
        <v> </v>
      </c>
      <c r="J3939" s="26" t="str">
        <f>IF(OR(E3939="",E3939="!!!",F3939="NEW"),"",COUNTBLANK(OFFSET(A$1,,,SUMPRODUCT(MAX(ROW(E$2:E3939)*(E3939=E$2:E3939)))))-COUNTBLANK(OFFSET(A$1,,,SUMPRODUCT(MAX(ROW(E$1:E3938)*(E2=E$1:E3938))))))</f>
        <v> </v>
      </c>
      <c r="K3939" s="26" t="str">
        <f>IF(OR(E3939="",E3939="!!!",F3939="NEW"),"",INDEX(J$1:J3938,SUMPRODUCT(MAX(ROW(E$1:E3938)*(E3939=E$1:E3938)))))</f>
        <v> </v>
      </c>
      <c r="L3939" s="27"/>
    </row>
    <row r="3940" spans="1:12">
      <c r="A3940" s="20" t="s">
        <v>1563</v>
      </c>
      <c r="B3940" s="21" t="s">
        <v>1137</v>
      </c>
      <c r="C3940" s="21" t="s">
        <v>1154</v>
      </c>
      <c r="D3940" s="21" t="s">
        <v>1074</v>
      </c>
      <c r="E3940" s="22">
        <f>IF(D3940="?OLD","!!!","")</f>
        <v/>
      </c>
      <c r="F3940" s="23" t="str">
        <f>IF(OR(E3940="",E3940="!!!"),"",IF(NOT(ISNA(VLOOKUP(E3940,E$1:E3939,1,FALSE()))),"OLD",IF(AND(E3940&lt;&gt;"",E3940&lt;&gt;"!!!"),"NEW","")))</f>
        <v> </v>
      </c>
      <c r="G3940" s="24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5" t="str">
        <f>IF(J3940&lt;&gt;1,"",IF(I3940="SBJ","CB","?"))</f>
        <v> </v>
      </c>
      <c r="I3940" s="26" t="str">
        <f>IF(OR(E3940="",E3940="!!!",F3940="NEW"),"",INDEX(B3939:B$2,-1+SUMPRODUCT(MAX(ROW(E3939:E$2)*(E3940=E3939:E$2)))))</f>
        <v> </v>
      </c>
      <c r="J3940" s="26" t="str">
        <f>IF(OR(E3940="",E3940="!!!",F3940="NEW"),"",COUNTBLANK(OFFSET(A$1,,,SUMPRODUCT(MAX(ROW(E$2:E3940)*(E3940=E$2:E3940)))))-COUNTBLANK(OFFSET(A$1,,,SUMPRODUCT(MAX(ROW(E$1:E3939)*(E2=E$1:E3939))))))</f>
        <v> </v>
      </c>
      <c r="K3940" s="26" t="str">
        <f>IF(OR(E3940="",E3940="!!!",F3940="NEW"),"",INDEX(J$1:J3939,SUMPRODUCT(MAX(ROW(E$1:E3939)*(E3940=E$1:E3939)))))</f>
        <v> </v>
      </c>
      <c r="L3940" s="27"/>
    </row>
    <row r="3941" spans="1:12">
      <c r="A3941" s="20" t="s">
        <v>1085</v>
      </c>
      <c r="E3941" s="22">
        <f>IF(D3941="?OLD","!!!","")</f>
        <v/>
      </c>
      <c r="F3941" s="23" t="str">
        <f>IF(OR(E3941="",E3941="!!!"),"",IF(NOT(ISNA(VLOOKUP(E3941,E$1:E3940,1,FALSE()))),"OLD",IF(AND(E3941&lt;&gt;"",E3941&lt;&gt;"!!!"),"NEW","")))</f>
        <v> </v>
      </c>
      <c r="G3941" s="24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5" t="str">
        <f>IF(J3941&lt;&gt;1,"",IF(I3941="SBJ","CB","?"))</f>
        <v> </v>
      </c>
      <c r="I3941" s="26" t="str">
        <f>IF(OR(E3941="",E3941="!!!",F3941="NEW"),"",INDEX(B3940:B$2,-1+SUMPRODUCT(MAX(ROW(E3940:E$2)*(E3941=E3940:E$2)))))</f>
        <v> </v>
      </c>
      <c r="J3941" s="26" t="str">
        <f>IF(OR(E3941="",E3941="!!!",F3941="NEW"),"",COUNTBLANK(OFFSET(A$1,,,SUMPRODUCT(MAX(ROW(E$2:E3941)*(E3941=E$2:E3941)))))-COUNTBLANK(OFFSET(A$1,,,SUMPRODUCT(MAX(ROW(E$1:E3940)*(E2=E$1:E3940))))))</f>
        <v> </v>
      </c>
      <c r="K3941" s="26" t="str">
        <f>IF(OR(E3941="",E3941="!!!",F3941="NEW"),"",INDEX(J$1:J3940,SUMPRODUCT(MAX(ROW(E$1:E3940)*(E3941=E$1:E3940)))))</f>
        <v> </v>
      </c>
      <c r="L3941" s="27"/>
    </row>
    <row r="3942" spans="1:12">
      <c r="A3942" s="20" t="s">
        <v>1242</v>
      </c>
      <c r="E3942" s="22">
        <f>IF(D3942="?OLD","!!!","")</f>
        <v/>
      </c>
      <c r="F3942" s="23" t="str">
        <f>IF(OR(E3942="",E3942="!!!"),"",IF(NOT(ISNA(VLOOKUP(E3942,E$1:E3941,1,FALSE()))),"OLD",IF(AND(E3942&lt;&gt;"",E3942&lt;&gt;"!!!"),"NEW","")))</f>
        <v> </v>
      </c>
      <c r="G3942" s="24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5" t="str">
        <f>IF(J3942&lt;&gt;1,"",IF(I3942="SBJ","CB","?"))</f>
        <v> </v>
      </c>
      <c r="I3942" s="26" t="str">
        <f>IF(OR(E3942="",E3942="!!!",F3942="NEW"),"",INDEX(B3941:B$2,-1+SUMPRODUCT(MAX(ROW(E3941:E$2)*(E3942=E3941:E$2)))))</f>
        <v> </v>
      </c>
      <c r="J3942" s="26" t="str">
        <f>IF(OR(E3942="",E3942="!!!",F3942="NEW"),"",COUNTBLANK(OFFSET(A$1,,,SUMPRODUCT(MAX(ROW(E$2:E3942)*(E3942=E$2:E3942)))))-COUNTBLANK(OFFSET(A$1,,,SUMPRODUCT(MAX(ROW(E$1:E3941)*(E2=E$1:E3941))))))</f>
        <v> </v>
      </c>
      <c r="K3942" s="26" t="str">
        <f>IF(OR(E3942="",E3942="!!!",F3942="NEW"),"",INDEX(J$1:J3941,SUMPRODUCT(MAX(ROW(E$1:E3941)*(E3942=E$1:E3941)))))</f>
        <v> </v>
      </c>
      <c r="L3942" s="27"/>
    </row>
    <row r="3943" spans="1:12">
      <c r="A3943" s="20" t="s">
        <v>2562</v>
      </c>
      <c r="E3943" s="22">
        <f>IF(D3943="?OLD","!!!","")</f>
        <v/>
      </c>
      <c r="F3943" s="23" t="str">
        <f>IF(OR(E3943="",E3943="!!!"),"",IF(NOT(ISNA(VLOOKUP(E3943,E$1:E3942,1,FALSE()))),"OLD",IF(AND(E3943&lt;&gt;"",E3943&lt;&gt;"!!!"),"NEW","")))</f>
        <v> </v>
      </c>
      <c r="G3943" s="24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5" t="str">
        <f>IF(J3943&lt;&gt;1,"",IF(I3943="SBJ","CB","?"))</f>
        <v> </v>
      </c>
      <c r="I3943" s="26" t="str">
        <f>IF(OR(E3943="",E3943="!!!",F3943="NEW"),"",INDEX(B3942:B$2,-1+SUMPRODUCT(MAX(ROW(E3942:E$2)*(E3943=E3942:E$2)))))</f>
        <v> </v>
      </c>
      <c r="J3943" s="26" t="str">
        <f>IF(OR(E3943="",E3943="!!!",F3943="NEW"),"",COUNTBLANK(OFFSET(A$1,,,SUMPRODUCT(MAX(ROW(E$2:E3943)*(E3943=E$2:E3943)))))-COUNTBLANK(OFFSET(A$1,,,SUMPRODUCT(MAX(ROW(E$1:E3942)*(E2=E$1:E3942))))))</f>
        <v> </v>
      </c>
      <c r="K3943" s="26" t="str">
        <f>IF(OR(E3943="",E3943="!!!",F3943="NEW"),"",INDEX(J$1:J3942,SUMPRODUCT(MAX(ROW(E$1:E3942)*(E3943=E$1:E3942)))))</f>
        <v> </v>
      </c>
      <c r="L3943" s="27"/>
    </row>
    <row r="3944" spans="1:12">
      <c r="A3944" s="20" t="s">
        <v>1346</v>
      </c>
      <c r="B3944" s="21" t="s">
        <v>1161</v>
      </c>
      <c r="C3944" s="21" t="s">
        <v>1081</v>
      </c>
      <c r="D3944" s="21" t="s">
        <v>1074</v>
      </c>
      <c r="E3944" s="22">
        <f>IF(D3944="?OLD","!!!","")</f>
        <v/>
      </c>
      <c r="F3944" s="23" t="str">
        <f>IF(OR(E3944="",E3944="!!!"),"",IF(NOT(ISNA(VLOOKUP(E3944,E$1:E3943,1,FALSE()))),"OLD",IF(AND(E3944&lt;&gt;"",E3944&lt;&gt;"!!!"),"NEW","")))</f>
        <v> </v>
      </c>
      <c r="G3944" s="24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5" t="str">
        <f>IF(J3944&lt;&gt;1,"",IF(I3944="SBJ","CB","?"))</f>
        <v> </v>
      </c>
      <c r="I3944" s="26" t="str">
        <f>IF(OR(E3944="",E3944="!!!",F3944="NEW"),"",INDEX(B3943:B$2,-1+SUMPRODUCT(MAX(ROW(E3943:E$2)*(E3944=E3943:E$2)))))</f>
        <v> </v>
      </c>
      <c r="J3944" s="26" t="str">
        <f>IF(OR(E3944="",E3944="!!!",F3944="NEW"),"",COUNTBLANK(OFFSET(A$1,,,SUMPRODUCT(MAX(ROW(E$2:E3944)*(E3944=E$2:E3944)))))-COUNTBLANK(OFFSET(A$1,,,SUMPRODUCT(MAX(ROW(E$1:E3943)*(E2=E$1:E3943))))))</f>
        <v> </v>
      </c>
      <c r="K3944" s="26" t="str">
        <f>IF(OR(E3944="",E3944="!!!",F3944="NEW"),"",INDEX(J$1:J3943,SUMPRODUCT(MAX(ROW(E$1:E3943)*(E3944=E$1:E3943)))))</f>
        <v> </v>
      </c>
      <c r="L3944" s="27"/>
    </row>
    <row r="3945" spans="1:12">
      <c r="A3945" s="20" t="s">
        <v>1187</v>
      </c>
      <c r="E3945" s="22">
        <f>IF(D3945="?OLD","!!!","")</f>
        <v/>
      </c>
      <c r="F3945" s="23" t="str">
        <f>IF(OR(E3945="",E3945="!!!"),"",IF(NOT(ISNA(VLOOKUP(E3945,E$1:E3944,1,FALSE()))),"OLD",IF(AND(E3945&lt;&gt;"",E3945&lt;&gt;"!!!"),"NEW","")))</f>
        <v> </v>
      </c>
      <c r="G3945" s="24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5" t="str">
        <f>IF(J3945&lt;&gt;1,"",IF(I3945="SBJ","CB","?"))</f>
        <v> </v>
      </c>
      <c r="I3945" s="26" t="str">
        <f>IF(OR(E3945="",E3945="!!!",F3945="NEW"),"",INDEX(B3944:B$2,-1+SUMPRODUCT(MAX(ROW(E3944:E$2)*(E3945=E3944:E$2)))))</f>
        <v> </v>
      </c>
      <c r="J3945" s="26" t="str">
        <f>IF(OR(E3945="",E3945="!!!",F3945="NEW"),"",COUNTBLANK(OFFSET(A$1,,,SUMPRODUCT(MAX(ROW(E$2:E3945)*(E3945=E$2:E3945)))))-COUNTBLANK(OFFSET(A$1,,,SUMPRODUCT(MAX(ROW(E$1:E3944)*(E2=E$1:E3944))))))</f>
        <v> </v>
      </c>
      <c r="K3945" s="26" t="str">
        <f>IF(OR(E3945="",E3945="!!!",F3945="NEW"),"",INDEX(J$1:J3944,SUMPRODUCT(MAX(ROW(E$1:E3944)*(E3945=E$1:E3944)))))</f>
        <v> </v>
      </c>
      <c r="L3945" s="27"/>
    </row>
    <row r="3946" spans="1:12">
      <c r="A3946" s="20" t="s">
        <v>2501</v>
      </c>
      <c r="E3946" s="22">
        <f>IF(D3946="?OLD","!!!","")</f>
        <v/>
      </c>
      <c r="F3946" s="23" t="str">
        <f>IF(OR(E3946="",E3946="!!!"),"",IF(NOT(ISNA(VLOOKUP(E3946,E$1:E3945,1,FALSE()))),"OLD",IF(AND(E3946&lt;&gt;"",E3946&lt;&gt;"!!!"),"NEW","")))</f>
        <v> </v>
      </c>
      <c r="G3946" s="24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5" t="str">
        <f>IF(J3946&lt;&gt;1,"",IF(I3946="SBJ","CB","?"))</f>
        <v> </v>
      </c>
      <c r="I3946" s="26" t="str">
        <f>IF(OR(E3946="",E3946="!!!",F3946="NEW"),"",INDEX(B3945:B$2,-1+SUMPRODUCT(MAX(ROW(E3945:E$2)*(E3946=E3945:E$2)))))</f>
        <v> </v>
      </c>
      <c r="J3946" s="26" t="str">
        <f>IF(OR(E3946="",E3946="!!!",F3946="NEW"),"",COUNTBLANK(OFFSET(A$1,,,SUMPRODUCT(MAX(ROW(E$2:E3946)*(E3946=E$2:E3946)))))-COUNTBLANK(OFFSET(A$1,,,SUMPRODUCT(MAX(ROW(E$1:E3945)*(E2=E$1:E3945))))))</f>
        <v> </v>
      </c>
      <c r="K3946" s="26" t="str">
        <f>IF(OR(E3946="",E3946="!!!",F3946="NEW"),"",INDEX(J$1:J3945,SUMPRODUCT(MAX(ROW(E$1:E3945)*(E3946=E$1:E3945)))))</f>
        <v> </v>
      </c>
      <c r="L3946" s="27"/>
    </row>
    <row r="3947" spans="1:12">
      <c r="A3947" s="20" t="s">
        <v>1272</v>
      </c>
      <c r="B3947" s="21" t="s">
        <v>1140</v>
      </c>
      <c r="C3947" s="21" t="s">
        <v>1167</v>
      </c>
      <c r="E3947" s="22">
        <f>IF(D3947="?OLD","!!!","")</f>
        <v/>
      </c>
      <c r="F3947" s="23" t="str">
        <f>IF(OR(E3947="",E3947="!!!"),"",IF(NOT(ISNA(VLOOKUP(E3947,E$1:E3946,1,FALSE()))),"OLD",IF(AND(E3947&lt;&gt;"",E3947&lt;&gt;"!!!"),"NEW","")))</f>
        <v> </v>
      </c>
      <c r="G3947" s="24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5" t="str">
        <f>IF(J3947&lt;&gt;1,"",IF(I3947="SBJ","CB","?"))</f>
        <v> </v>
      </c>
      <c r="I3947" s="26" t="str">
        <f>IF(OR(E3947="",E3947="!!!",F3947="NEW"),"",INDEX(B3946:B$2,-1+SUMPRODUCT(MAX(ROW(E3946:E$2)*(E3947=E3946:E$2)))))</f>
        <v> </v>
      </c>
      <c r="J3947" s="26" t="str">
        <f>IF(OR(E3947="",E3947="!!!",F3947="NEW"),"",COUNTBLANK(OFFSET(A$1,,,SUMPRODUCT(MAX(ROW(E$2:E3947)*(E3947=E$2:E3947)))))-COUNTBLANK(OFFSET(A$1,,,SUMPRODUCT(MAX(ROW(E$1:E3946)*(E2=E$1:E3946))))))</f>
        <v> </v>
      </c>
      <c r="K3947" s="26" t="str">
        <f>IF(OR(E3947="",E3947="!!!",F3947="NEW"),"",INDEX(J$1:J3946,SUMPRODUCT(MAX(ROW(E$1:E3946)*(E3947=E$1:E3946)))))</f>
        <v> </v>
      </c>
      <c r="L3947" s="27"/>
    </row>
    <row r="3948" spans="1:12">
      <c r="A3948" s="20" t="s">
        <v>1085</v>
      </c>
      <c r="E3948" s="22">
        <f>IF(D3948="?OLD","!!!","")</f>
        <v/>
      </c>
      <c r="F3948" s="23" t="str">
        <f>IF(OR(E3948="",E3948="!!!"),"",IF(NOT(ISNA(VLOOKUP(E3948,E$1:E3947,1,FALSE()))),"OLD",IF(AND(E3948&lt;&gt;"",E3948&lt;&gt;"!!!"),"NEW","")))</f>
        <v> </v>
      </c>
      <c r="G3948" s="24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5" t="str">
        <f>IF(J3948&lt;&gt;1,"",IF(I3948="SBJ","CB","?"))</f>
        <v> </v>
      </c>
      <c r="I3948" s="26" t="str">
        <f>IF(OR(E3948="",E3948="!!!",F3948="NEW"),"",INDEX(B3947:B$2,-1+SUMPRODUCT(MAX(ROW(E3947:E$2)*(E3948=E3947:E$2)))))</f>
        <v> </v>
      </c>
      <c r="J3948" s="26" t="str">
        <f>IF(OR(E3948="",E3948="!!!",F3948="NEW"),"",COUNTBLANK(OFFSET(A$1,,,SUMPRODUCT(MAX(ROW(E$2:E3948)*(E3948=E$2:E3948)))))-COUNTBLANK(OFFSET(A$1,,,SUMPRODUCT(MAX(ROW(E$1:E3947)*(E2=E$1:E3947))))))</f>
        <v> </v>
      </c>
      <c r="K3948" s="26" t="str">
        <f>IF(OR(E3948="",E3948="!!!",F3948="NEW"),"",INDEX(J$1:J3947,SUMPRODUCT(MAX(ROW(E$1:E3947)*(E3948=E$1:E3947)))))</f>
        <v> </v>
      </c>
      <c r="L3948" s="27"/>
    </row>
    <row r="3949" spans="1:12">
      <c r="A3949" s="20" t="s">
        <v>1156</v>
      </c>
      <c r="B3949" s="21" t="s">
        <v>1119</v>
      </c>
      <c r="C3949" s="21" t="s">
        <v>1081</v>
      </c>
      <c r="D3949" s="21" t="s">
        <v>1074</v>
      </c>
      <c r="E3949" s="22">
        <f>IF(D3949="?OLD","!!!","")</f>
        <v/>
      </c>
      <c r="F3949" s="23" t="str">
        <f>IF(OR(E3949="",E3949="!!!"),"",IF(NOT(ISNA(VLOOKUP(E3949,E$1:E3948,1,FALSE()))),"OLD",IF(AND(E3949&lt;&gt;"",E3949&lt;&gt;"!!!"),"NEW","")))</f>
        <v> </v>
      </c>
      <c r="G3949" s="24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5" t="str">
        <f>IF(J3949&lt;&gt;1,"",IF(I3949="SBJ","CB","?"))</f>
        <v> </v>
      </c>
      <c r="I3949" s="26" t="str">
        <f>IF(OR(E3949="",E3949="!!!",F3949="NEW"),"",INDEX(B3948:B$2,-1+SUMPRODUCT(MAX(ROW(E3948:E$2)*(E3949=E3948:E$2)))))</f>
        <v> </v>
      </c>
      <c r="J3949" s="26" t="str">
        <f>IF(OR(E3949="",E3949="!!!",F3949="NEW"),"",COUNTBLANK(OFFSET(A$1,,,SUMPRODUCT(MAX(ROW(E$2:E3949)*(E3949=E$2:E3949)))))-COUNTBLANK(OFFSET(A$1,,,SUMPRODUCT(MAX(ROW(E$1:E3948)*(E2=E$1:E3948))))))</f>
        <v> </v>
      </c>
      <c r="K3949" s="26" t="str">
        <f>IF(OR(E3949="",E3949="!!!",F3949="NEW"),"",INDEX(J$1:J3948,SUMPRODUCT(MAX(ROW(E$1:E3948)*(E3949=E$1:E3948)))))</f>
        <v> </v>
      </c>
      <c r="L3949" s="27"/>
    </row>
    <row r="3950" spans="1:12">
      <c r="A3950" s="20" t="s">
        <v>1492</v>
      </c>
      <c r="E3950" s="22">
        <f>IF(D3950="?OLD","!!!","")</f>
        <v/>
      </c>
      <c r="F3950" s="23" t="str">
        <f>IF(OR(E3950="",E3950="!!!"),"",IF(NOT(ISNA(VLOOKUP(E3950,E$1:E3949,1,FALSE()))),"OLD",IF(AND(E3950&lt;&gt;"",E3950&lt;&gt;"!!!"),"NEW","")))</f>
        <v> </v>
      </c>
      <c r="G3950" s="24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5" t="str">
        <f>IF(J3950&lt;&gt;1,"",IF(I3950="SBJ","CB","?"))</f>
        <v> </v>
      </c>
      <c r="I3950" s="26" t="str">
        <f>IF(OR(E3950="",E3950="!!!",F3950="NEW"),"",INDEX(B3949:B$2,-1+SUMPRODUCT(MAX(ROW(E3949:E$2)*(E3950=E3949:E$2)))))</f>
        <v> </v>
      </c>
      <c r="J3950" s="26" t="str">
        <f>IF(OR(E3950="",E3950="!!!",F3950="NEW"),"",COUNTBLANK(OFFSET(A$1,,,SUMPRODUCT(MAX(ROW(E$2:E3950)*(E3950=E$2:E3950)))))-COUNTBLANK(OFFSET(A$1,,,SUMPRODUCT(MAX(ROW(E$1:E3949)*(E2=E$1:E3949))))))</f>
        <v> </v>
      </c>
      <c r="K3950" s="26" t="str">
        <f>IF(OR(E3950="",E3950="!!!",F3950="NEW"),"",INDEX(J$1:J3949,SUMPRODUCT(MAX(ROW(E$1:E3949)*(E3950=E$1:E3949)))))</f>
        <v> </v>
      </c>
      <c r="L3950" s="27"/>
    </row>
    <row r="3951" spans="1:12">
      <c r="A3951" s="20" t="s">
        <v>2563</v>
      </c>
      <c r="E3951" s="22">
        <f>IF(D3951="?OLD","!!!","")</f>
        <v/>
      </c>
      <c r="F3951" s="23" t="str">
        <f>IF(OR(E3951="",E3951="!!!"),"",IF(NOT(ISNA(VLOOKUP(E3951,E$1:E3950,1,FALSE()))),"OLD",IF(AND(E3951&lt;&gt;"",E3951&lt;&gt;"!!!"),"NEW","")))</f>
        <v> </v>
      </c>
      <c r="G3951" s="24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5" t="str">
        <f>IF(J3951&lt;&gt;1,"",IF(I3951="SBJ","CB","?"))</f>
        <v> </v>
      </c>
      <c r="I3951" s="26" t="str">
        <f>IF(OR(E3951="",E3951="!!!",F3951="NEW"),"",INDEX(B3950:B$2,-1+SUMPRODUCT(MAX(ROW(E3950:E$2)*(E3951=E3950:E$2)))))</f>
        <v> </v>
      </c>
      <c r="J3951" s="26" t="str">
        <f>IF(OR(E3951="",E3951="!!!",F3951="NEW"),"",COUNTBLANK(OFFSET(A$1,,,SUMPRODUCT(MAX(ROW(E$2:E3951)*(E3951=E$2:E3951)))))-COUNTBLANK(OFFSET(A$1,,,SUMPRODUCT(MAX(ROW(E$1:E3950)*(E2=E$1:E3950))))))</f>
        <v> </v>
      </c>
      <c r="K3951" s="26" t="str">
        <f>IF(OR(E3951="",E3951="!!!",F3951="NEW"),"",INDEX(J$1:J3950,SUMPRODUCT(MAX(ROW(E$1:E3950)*(E3951=E$1:E3950)))))</f>
        <v> </v>
      </c>
      <c r="L3951" s="27"/>
    </row>
    <row r="3952" spans="1:12">
      <c r="A3952" s="20" t="s">
        <v>1346</v>
      </c>
      <c r="B3952" s="21" t="s">
        <v>1199</v>
      </c>
      <c r="C3952" s="21" t="s">
        <v>1081</v>
      </c>
      <c r="D3952" s="21" t="s">
        <v>1074</v>
      </c>
      <c r="E3952" s="22">
        <f>IF(D3952="?OLD","!!!","")</f>
        <v/>
      </c>
      <c r="F3952" s="23" t="str">
        <f>IF(OR(E3952="",E3952="!!!"),"",IF(NOT(ISNA(VLOOKUP(E3952,E$1:E3951,1,FALSE()))),"OLD",IF(AND(E3952&lt;&gt;"",E3952&lt;&gt;"!!!"),"NEW","")))</f>
        <v> </v>
      </c>
      <c r="G3952" s="24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5" t="str">
        <f>IF(J3952&lt;&gt;1,"",IF(I3952="SBJ","CB","?"))</f>
        <v> </v>
      </c>
      <c r="I3952" s="26" t="str">
        <f>IF(OR(E3952="",E3952="!!!",F3952="NEW"),"",INDEX(B3951:B$2,-1+SUMPRODUCT(MAX(ROW(E3951:E$2)*(E3952=E3951:E$2)))))</f>
        <v> </v>
      </c>
      <c r="J3952" s="26" t="str">
        <f>IF(OR(E3952="",E3952="!!!",F3952="NEW"),"",COUNTBLANK(OFFSET(A$1,,,SUMPRODUCT(MAX(ROW(E$2:E3952)*(E3952=E$2:E3952)))))-COUNTBLANK(OFFSET(A$1,,,SUMPRODUCT(MAX(ROW(E$1:E3951)*(E2=E$1:E3951))))))</f>
        <v> </v>
      </c>
      <c r="K3952" s="26" t="str">
        <f>IF(OR(E3952="",E3952="!!!",F3952="NEW"),"",INDEX(J$1:J3951,SUMPRODUCT(MAX(ROW(E$1:E3951)*(E3952=E$1:E3951)))))</f>
        <v> </v>
      </c>
      <c r="L3952" s="27"/>
    </row>
    <row r="3953" spans="1:12">
      <c r="A3953" s="20" t="s">
        <v>2564</v>
      </c>
      <c r="B3953" s="21" t="s">
        <v>1199</v>
      </c>
      <c r="C3953" s="21" t="s">
        <v>1073</v>
      </c>
      <c r="D3953" s="21" t="s">
        <v>1074</v>
      </c>
      <c r="E3953" s="22">
        <f>IF(D3953="?OLD","!!!","")</f>
        <v/>
      </c>
      <c r="F3953" s="23" t="str">
        <f>IF(OR(E3953="",E3953="!!!"),"",IF(NOT(ISNA(VLOOKUP(E3953,E$1:E3952,1,FALSE()))),"OLD",IF(AND(E3953&lt;&gt;"",E3953&lt;&gt;"!!!"),"NEW","")))</f>
        <v> </v>
      </c>
      <c r="G3953" s="24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5" t="str">
        <f>IF(J3953&lt;&gt;1,"",IF(I3953="SBJ","CB","?"))</f>
        <v> </v>
      </c>
      <c r="I3953" s="26" t="str">
        <f>IF(OR(E3953="",E3953="!!!",F3953="NEW"),"",INDEX(B3952:B$2,-1+SUMPRODUCT(MAX(ROW(E3952:E$2)*(E3953=E3952:E$2)))))</f>
        <v> </v>
      </c>
      <c r="J3953" s="26" t="str">
        <f>IF(OR(E3953="",E3953="!!!",F3953="NEW"),"",COUNTBLANK(OFFSET(A$1,,,SUMPRODUCT(MAX(ROW(E$2:E3953)*(E3953=E$2:E3953)))))-COUNTBLANK(OFFSET(A$1,,,SUMPRODUCT(MAX(ROW(E$1:E3952)*(E2=E$1:E3952))))))</f>
        <v> </v>
      </c>
      <c r="K3953" s="26" t="str">
        <f>IF(OR(E3953="",E3953="!!!",F3953="NEW"),"",INDEX(J$1:J3952,SUMPRODUCT(MAX(ROW(E$1:E3952)*(E3953=E$1:E3952)))))</f>
        <v> </v>
      </c>
      <c r="L3953" s="27"/>
    </row>
    <row r="3954" spans="1:12">
      <c r="A3954" s="20" t="s">
        <v>2565</v>
      </c>
      <c r="B3954" s="21" t="s">
        <v>1199</v>
      </c>
      <c r="C3954" s="21" t="s">
        <v>1073</v>
      </c>
      <c r="D3954" s="21" t="s">
        <v>1074</v>
      </c>
      <c r="E3954" s="22">
        <f>IF(D3954="?OLD","!!!","")</f>
        <v/>
      </c>
      <c r="F3954" s="23" t="str">
        <f>IF(OR(E3954="",E3954="!!!"),"",IF(NOT(ISNA(VLOOKUP(E3954,E$1:E3953,1,FALSE()))),"OLD",IF(AND(E3954&lt;&gt;"",E3954&lt;&gt;"!!!"),"NEW","")))</f>
        <v> </v>
      </c>
      <c r="G3954" s="24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5" t="str">
        <f>IF(J3954&lt;&gt;1,"",IF(I3954="SBJ","CB","?"))</f>
        <v> </v>
      </c>
      <c r="I3954" s="26" t="str">
        <f>IF(OR(E3954="",E3954="!!!",F3954="NEW"),"",INDEX(B3953:B$2,-1+SUMPRODUCT(MAX(ROW(E3953:E$2)*(E3954=E3953:E$2)))))</f>
        <v> </v>
      </c>
      <c r="J3954" s="26" t="str">
        <f>IF(OR(E3954="",E3954="!!!",F3954="NEW"),"",COUNTBLANK(OFFSET(A$1,,,SUMPRODUCT(MAX(ROW(E$2:E3954)*(E3954=E$2:E3954)))))-COUNTBLANK(OFFSET(A$1,,,SUMPRODUCT(MAX(ROW(E$1:E3953)*(E2=E$1:E3953))))))</f>
        <v> </v>
      </c>
      <c r="K3954" s="26" t="str">
        <f>IF(OR(E3954="",E3954="!!!",F3954="NEW"),"",INDEX(J$1:J3953,SUMPRODUCT(MAX(ROW(E$1:E3953)*(E3954=E$1:E3953)))))</f>
        <v> </v>
      </c>
      <c r="L3954" s="27"/>
    </row>
    <row r="3955" spans="1:12">
      <c r="A3955" s="20" t="s">
        <v>1085</v>
      </c>
      <c r="E3955" s="22">
        <f>IF(D3955="?OLD","!!!","")</f>
        <v/>
      </c>
      <c r="F3955" s="23" t="str">
        <f>IF(OR(E3955="",E3955="!!!"),"",IF(NOT(ISNA(VLOOKUP(E3955,E$1:E3954,1,FALSE()))),"OLD",IF(AND(E3955&lt;&gt;"",E3955&lt;&gt;"!!!"),"NEW","")))</f>
        <v> </v>
      </c>
      <c r="G3955" s="24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5" t="str">
        <f>IF(J3955&lt;&gt;1,"",IF(I3955="SBJ","CB","?"))</f>
        <v> </v>
      </c>
      <c r="I3955" s="26" t="str">
        <f>IF(OR(E3955="",E3955="!!!",F3955="NEW"),"",INDEX(B3954:B$2,-1+SUMPRODUCT(MAX(ROW(E3954:E$2)*(E3955=E3954:E$2)))))</f>
        <v> </v>
      </c>
      <c r="J3955" s="26" t="str">
        <f>IF(OR(E3955="",E3955="!!!",F3955="NEW"),"",COUNTBLANK(OFFSET(A$1,,,SUMPRODUCT(MAX(ROW(E$2:E3955)*(E3955=E$2:E3955)))))-COUNTBLANK(OFFSET(A$1,,,SUMPRODUCT(MAX(ROW(E$1:E3954)*(E2=E$1:E3954))))))</f>
        <v> </v>
      </c>
      <c r="K3955" s="26" t="str">
        <f>IF(OR(E3955="",E3955="!!!",F3955="NEW"),"",INDEX(J$1:J3954,SUMPRODUCT(MAX(ROW(E$1:E3954)*(E3955=E$1:E3954)))))</f>
        <v> </v>
      </c>
      <c r="L3955" s="27"/>
    </row>
    <row r="3956" spans="1:12">
      <c r="A3956" s="20" t="s">
        <v>2362</v>
      </c>
      <c r="E3956" s="22">
        <f>IF(D3956="?OLD","!!!","")</f>
        <v/>
      </c>
      <c r="F3956" s="23" t="str">
        <f>IF(OR(E3956="",E3956="!!!"),"",IF(NOT(ISNA(VLOOKUP(E3956,E$1:E3955,1,FALSE()))),"OLD",IF(AND(E3956&lt;&gt;"",E3956&lt;&gt;"!!!"),"NEW","")))</f>
        <v> </v>
      </c>
      <c r="G3956" s="24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5" t="str">
        <f>IF(J3956&lt;&gt;1,"",IF(I3956="SBJ","CB","?"))</f>
        <v> </v>
      </c>
      <c r="I3956" s="26" t="str">
        <f>IF(OR(E3956="",E3956="!!!",F3956="NEW"),"",INDEX(B3955:B$2,-1+SUMPRODUCT(MAX(ROW(E3955:E$2)*(E3956=E3955:E$2)))))</f>
        <v> </v>
      </c>
      <c r="J3956" s="26" t="str">
        <f>IF(OR(E3956="",E3956="!!!",F3956="NEW"),"",COUNTBLANK(OFFSET(A$1,,,SUMPRODUCT(MAX(ROW(E$2:E3956)*(E3956=E$2:E3956)))))-COUNTBLANK(OFFSET(A$1,,,SUMPRODUCT(MAX(ROW(E$1:E3955)*(E2=E$1:E3955))))))</f>
        <v> </v>
      </c>
      <c r="K3956" s="26" t="str">
        <f>IF(OR(E3956="",E3956="!!!",F3956="NEW"),"",INDEX(J$1:J3955,SUMPRODUCT(MAX(ROW(E$1:E3955)*(E3956=E$1:E3955)))))</f>
        <v> </v>
      </c>
      <c r="L3956" s="27"/>
    </row>
    <row r="3957" spans="1:12">
      <c r="A3957" s="20" t="s">
        <v>1086</v>
      </c>
      <c r="E3957" s="22">
        <f>IF(D3957="?OLD","!!!","")</f>
        <v/>
      </c>
      <c r="F3957" s="23" t="str">
        <f>IF(OR(E3957="",E3957="!!!"),"",IF(NOT(ISNA(VLOOKUP(E3957,E$1:E3956,1,FALSE()))),"OLD",IF(AND(E3957&lt;&gt;"",E3957&lt;&gt;"!!!"),"NEW","")))</f>
        <v> </v>
      </c>
      <c r="G3957" s="24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5" t="str">
        <f>IF(J3957&lt;&gt;1,"",IF(I3957="SBJ","CB","?"))</f>
        <v> </v>
      </c>
      <c r="I3957" s="26" t="str">
        <f>IF(OR(E3957="",E3957="!!!",F3957="NEW"),"",INDEX(B3956:B$2,-1+SUMPRODUCT(MAX(ROW(E3956:E$2)*(E3957=E3956:E$2)))))</f>
        <v> </v>
      </c>
      <c r="J3957" s="26" t="str">
        <f>IF(OR(E3957="",E3957="!!!",F3957="NEW"),"",COUNTBLANK(OFFSET(A$1,,,SUMPRODUCT(MAX(ROW(E$2:E3957)*(E3957=E$2:E3957)))))-COUNTBLANK(OFFSET(A$1,,,SUMPRODUCT(MAX(ROW(E$1:E3956)*(E2=E$1:E3956))))))</f>
        <v> </v>
      </c>
      <c r="K3957" s="26" t="str">
        <f>IF(OR(E3957="",E3957="!!!",F3957="NEW"),"",INDEX(J$1:J3956,SUMPRODUCT(MAX(ROW(E$1:E3956)*(E3957=E$1:E3956)))))</f>
        <v> </v>
      </c>
      <c r="L3957" s="27"/>
    </row>
    <row r="3958" spans="1:12">
      <c r="A3958" s="20" t="s">
        <v>1110</v>
      </c>
      <c r="B3958" s="21" t="s">
        <v>1088</v>
      </c>
      <c r="C3958" s="21" t="s">
        <v>1081</v>
      </c>
      <c r="D3958" s="21" t="s">
        <v>1074</v>
      </c>
      <c r="E3958" s="22">
        <f>IF(D3958="?OLD","!!!","")</f>
        <v/>
      </c>
      <c r="F3958" s="23" t="str">
        <f>IF(OR(E3958="",E3958="!!!"),"",IF(NOT(ISNA(VLOOKUP(E3958,E$1:E3957,1,FALSE()))),"OLD",IF(AND(E3958&lt;&gt;"",E3958&lt;&gt;"!!!"),"NEW","")))</f>
        <v> </v>
      </c>
      <c r="G3958" s="24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5" t="str">
        <f>IF(J3958&lt;&gt;1,"",IF(I3958="SBJ","CB","?"))</f>
        <v> </v>
      </c>
      <c r="I3958" s="26" t="str">
        <f>IF(OR(E3958="",E3958="!!!",F3958="NEW"),"",INDEX(B3957:B$2,-1+SUMPRODUCT(MAX(ROW(E3957:E$2)*(E3958=E3957:E$2)))))</f>
        <v> </v>
      </c>
      <c r="J3958" s="26" t="str">
        <f>IF(OR(E3958="",E3958="!!!",F3958="NEW"),"",COUNTBLANK(OFFSET(A$1,,,SUMPRODUCT(MAX(ROW(E$2:E3958)*(E3958=E$2:E3958)))))-COUNTBLANK(OFFSET(A$1,,,SUMPRODUCT(MAX(ROW(E$1:E3957)*(E2=E$1:E3957))))))</f>
        <v> </v>
      </c>
      <c r="K3958" s="26" t="str">
        <f>IF(OR(E3958="",E3958="!!!",F3958="NEW"),"",INDEX(J$1:J3957,SUMPRODUCT(MAX(ROW(E$1:E3957)*(E3958=E$1:E3957)))))</f>
        <v> </v>
      </c>
      <c r="L3958" s="27"/>
    </row>
    <row r="3959" spans="1:12">
      <c r="A3959" s="20" t="s">
        <v>11</v>
      </c>
      <c r="E3959" s="22">
        <f>IF(D3959="?OLD","!!!","")</f>
        <v/>
      </c>
      <c r="F3959" s="23" t="str">
        <f>IF(OR(E3959="",E3959="!!!"),"",IF(NOT(ISNA(VLOOKUP(E3959,E$1:E3958,1,FALSE()))),"OLD",IF(AND(E3959&lt;&gt;"",E3959&lt;&gt;"!!!"),"NEW","")))</f>
        <v> </v>
      </c>
      <c r="G3959" s="24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5" t="str">
        <f>IF(J3959&lt;&gt;1,"",IF(I3959="SBJ","CB","?"))</f>
        <v> </v>
      </c>
      <c r="I3959" s="26" t="str">
        <f>IF(OR(E3959="",E3959="!!!",F3959="NEW"),"",INDEX(B3958:B$2,-1+SUMPRODUCT(MAX(ROW(E3958:E$2)*(E3959=E3958:E$2)))))</f>
        <v> </v>
      </c>
      <c r="J3959" s="26" t="str">
        <f>IF(OR(E3959="",E3959="!!!",F3959="NEW"),"",COUNTBLANK(OFFSET(A$1,,,SUMPRODUCT(MAX(ROW(E$2:E3959)*(E3959=E$2:E3959)))))-COUNTBLANK(OFFSET(A$1,,,SUMPRODUCT(MAX(ROW(E$1:E3958)*(E2=E$1:E3958))))))</f>
        <v> </v>
      </c>
      <c r="K3959" s="26" t="str">
        <f>IF(OR(E3959="",E3959="!!!",F3959="NEW"),"",INDEX(J$1:J3958,SUMPRODUCT(MAX(ROW(E$1:E3958)*(E3959=E$1:E3958)))))</f>
        <v> </v>
      </c>
      <c r="L3959" s="27"/>
    </row>
    <row r="3960" spans="1:12">
      <c r="A3960" s="20" t="s">
        <v>1436</v>
      </c>
      <c r="E3960" s="22">
        <f>IF(D3960="?OLD","!!!","")</f>
        <v/>
      </c>
      <c r="F3960" s="23" t="str">
        <f>IF(OR(E3960="",E3960="!!!"),"",IF(NOT(ISNA(VLOOKUP(E3960,E$1:E3959,1,FALSE()))),"OLD",IF(AND(E3960&lt;&gt;"",E3960&lt;&gt;"!!!"),"NEW","")))</f>
        <v> </v>
      </c>
      <c r="G3960" s="24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5" t="str">
        <f>IF(J3960&lt;&gt;1,"",IF(I3960="SBJ","CB","?"))</f>
        <v> </v>
      </c>
      <c r="I3960" s="26" t="str">
        <f>IF(OR(E3960="",E3960="!!!",F3960="NEW"),"",INDEX(B3959:B$2,-1+SUMPRODUCT(MAX(ROW(E3959:E$2)*(E3960=E3959:E$2)))))</f>
        <v> </v>
      </c>
      <c r="J3960" s="26" t="str">
        <f>IF(OR(E3960="",E3960="!!!",F3960="NEW"),"",COUNTBLANK(OFFSET(A$1,,,SUMPRODUCT(MAX(ROW(E$2:E3960)*(E3960=E$2:E3960)))))-COUNTBLANK(OFFSET(A$1,,,SUMPRODUCT(MAX(ROW(E$1:E3959)*(E2=E$1:E3959))))))</f>
        <v> </v>
      </c>
      <c r="K3960" s="26" t="str">
        <f>IF(OR(E3960="",E3960="!!!",F3960="NEW"),"",INDEX(J$1:J3959,SUMPRODUCT(MAX(ROW(E$1:E3959)*(E3960=E$1:E3959)))))</f>
        <v> </v>
      </c>
      <c r="L3960" s="27"/>
    </row>
    <row r="3961" spans="1:12">
      <c r="A3961" s="20" t="s">
        <v>1124</v>
      </c>
      <c r="E3961" s="22">
        <f>IF(D3961="?OLD","!!!","")</f>
        <v/>
      </c>
      <c r="F3961" s="23" t="str">
        <f>IF(OR(E3961="",E3961="!!!"),"",IF(NOT(ISNA(VLOOKUP(E3961,E$1:E3960,1,FALSE()))),"OLD",IF(AND(E3961&lt;&gt;"",E3961&lt;&gt;"!!!"),"NEW","")))</f>
        <v> </v>
      </c>
      <c r="G3961" s="24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5" t="str">
        <f>IF(J3961&lt;&gt;1,"",IF(I3961="SBJ","CB","?"))</f>
        <v> </v>
      </c>
      <c r="I3961" s="26" t="str">
        <f>IF(OR(E3961="",E3961="!!!",F3961="NEW"),"",INDEX(B3960:B$2,-1+SUMPRODUCT(MAX(ROW(E3960:E$2)*(E3961=E3960:E$2)))))</f>
        <v> </v>
      </c>
      <c r="J3961" s="26" t="str">
        <f>IF(OR(E3961="",E3961="!!!",F3961="NEW"),"",COUNTBLANK(OFFSET(A$1,,,SUMPRODUCT(MAX(ROW(E$2:E3961)*(E3961=E$2:E3961)))))-COUNTBLANK(OFFSET(A$1,,,SUMPRODUCT(MAX(ROW(E$1:E3960)*(E2=E$1:E3960))))))</f>
        <v> </v>
      </c>
      <c r="K3961" s="26" t="str">
        <f>IF(OR(E3961="",E3961="!!!",F3961="NEW"),"",INDEX(J$1:J3960,SUMPRODUCT(MAX(ROW(E$1:E3960)*(E3961=E$1:E3960)))))</f>
        <v> </v>
      </c>
      <c r="L3961" s="27"/>
    </row>
    <row r="3962" spans="1:12">
      <c r="A3962" s="20" t="s">
        <v>1282</v>
      </c>
      <c r="E3962" s="22">
        <f>IF(D3962="?OLD","!!!","")</f>
        <v/>
      </c>
      <c r="F3962" s="23" t="str">
        <f>IF(OR(E3962="",E3962="!!!"),"",IF(NOT(ISNA(VLOOKUP(E3962,E$1:E3961,1,FALSE()))),"OLD",IF(AND(E3962&lt;&gt;"",E3962&lt;&gt;"!!!"),"NEW","")))</f>
        <v> </v>
      </c>
      <c r="G3962" s="24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5" t="str">
        <f>IF(J3962&lt;&gt;1,"",IF(I3962="SBJ","CB","?"))</f>
        <v> </v>
      </c>
      <c r="I3962" s="26" t="str">
        <f>IF(OR(E3962="",E3962="!!!",F3962="NEW"),"",INDEX(B3961:B$2,-1+SUMPRODUCT(MAX(ROW(E3961:E$2)*(E3962=E3961:E$2)))))</f>
        <v> </v>
      </c>
      <c r="J3962" s="26" t="str">
        <f>IF(OR(E3962="",E3962="!!!",F3962="NEW"),"",COUNTBLANK(OFFSET(A$1,,,SUMPRODUCT(MAX(ROW(E$2:E3962)*(E3962=E$2:E3962)))))-COUNTBLANK(OFFSET(A$1,,,SUMPRODUCT(MAX(ROW(E$1:E3961)*(E2=E$1:E3961))))))</f>
        <v> </v>
      </c>
      <c r="K3962" s="26" t="str">
        <f>IF(OR(E3962="",E3962="!!!",F3962="NEW"),"",INDEX(J$1:J3961,SUMPRODUCT(MAX(ROW(E$1:E3961)*(E3962=E$1:E3961)))))</f>
        <v> </v>
      </c>
      <c r="L3962" s="27"/>
    </row>
    <row r="3963" spans="1:12">
      <c r="A3963" s="20" t="s">
        <v>1085</v>
      </c>
      <c r="E3963" s="22">
        <f>IF(D3963="?OLD","!!!","")</f>
        <v/>
      </c>
      <c r="F3963" s="23" t="str">
        <f>IF(OR(E3963="",E3963="!!!"),"",IF(NOT(ISNA(VLOOKUP(E3963,E$1:E3962,1,FALSE()))),"OLD",IF(AND(E3963&lt;&gt;"",E3963&lt;&gt;"!!!"),"NEW","")))</f>
        <v> </v>
      </c>
      <c r="G3963" s="24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5" t="str">
        <f>IF(J3963&lt;&gt;1,"",IF(I3963="SBJ","CB","?"))</f>
        <v> </v>
      </c>
      <c r="I3963" s="26" t="str">
        <f>IF(OR(E3963="",E3963="!!!",F3963="NEW"),"",INDEX(B3962:B$2,-1+SUMPRODUCT(MAX(ROW(E3962:E$2)*(E3963=E3962:E$2)))))</f>
        <v> </v>
      </c>
      <c r="J3963" s="26" t="str">
        <f>IF(OR(E3963="",E3963="!!!",F3963="NEW"),"",COUNTBLANK(OFFSET(A$1,,,SUMPRODUCT(MAX(ROW(E$2:E3963)*(E3963=E$2:E3963)))))-COUNTBLANK(OFFSET(A$1,,,SUMPRODUCT(MAX(ROW(E$1:E3962)*(E2=E$1:E3962))))))</f>
        <v> </v>
      </c>
      <c r="K3963" s="26" t="str">
        <f>IF(OR(E3963="",E3963="!!!",F3963="NEW"),"",INDEX(J$1:J3962,SUMPRODUCT(MAX(ROW(E$1:E3962)*(E3963=E$1:E3962)))))</f>
        <v> </v>
      </c>
      <c r="L3963" s="27"/>
    </row>
    <row r="3964" spans="1:12">
      <c r="A3964" s="20" t="s">
        <v>1155</v>
      </c>
      <c r="E3964" s="22">
        <f>IF(D3964="?OLD","!!!","")</f>
        <v/>
      </c>
      <c r="F3964" s="23" t="str">
        <f>IF(OR(E3964="",E3964="!!!"),"",IF(NOT(ISNA(VLOOKUP(E3964,E$1:E3963,1,FALSE()))),"OLD",IF(AND(E3964&lt;&gt;"",E3964&lt;&gt;"!!!"),"NEW","")))</f>
        <v> </v>
      </c>
      <c r="G3964" s="24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5" t="str">
        <f>IF(J3964&lt;&gt;1,"",IF(I3964="SBJ","CB","?"))</f>
        <v> </v>
      </c>
      <c r="I3964" s="26" t="str">
        <f>IF(OR(E3964="",E3964="!!!",F3964="NEW"),"",INDEX(B3963:B$2,-1+SUMPRODUCT(MAX(ROW(E3963:E$2)*(E3964=E3963:E$2)))))</f>
        <v> </v>
      </c>
      <c r="J3964" s="26" t="str">
        <f>IF(OR(E3964="",E3964="!!!",F3964="NEW"),"",COUNTBLANK(OFFSET(A$1,,,SUMPRODUCT(MAX(ROW(E$2:E3964)*(E3964=E$2:E3964)))))-COUNTBLANK(OFFSET(A$1,,,SUMPRODUCT(MAX(ROW(E$1:E3963)*(E2=E$1:E3963))))))</f>
        <v> </v>
      </c>
      <c r="K3964" s="26" t="str">
        <f>IF(OR(E3964="",E3964="!!!",F3964="NEW"),"",INDEX(J$1:J3963,SUMPRODUCT(MAX(ROW(E$1:E3963)*(E3964=E$1:E3963)))))</f>
        <v> </v>
      </c>
      <c r="L3964" s="27"/>
    </row>
    <row r="3965" spans="1:12">
      <c r="A3965" s="20" t="s">
        <v>496</v>
      </c>
      <c r="E3965" s="22">
        <f>IF(D3965="?OLD","!!!","")</f>
        <v/>
      </c>
      <c r="F3965" s="23" t="str">
        <f>IF(OR(E3965="",E3965="!!!"),"",IF(NOT(ISNA(VLOOKUP(E3965,E$1:E3964,1,FALSE()))),"OLD",IF(AND(E3965&lt;&gt;"",E3965&lt;&gt;"!!!"),"NEW","")))</f>
        <v> </v>
      </c>
      <c r="G3965" s="24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5" t="str">
        <f>IF(J3965&lt;&gt;1,"",IF(I3965="SBJ","CB","?"))</f>
        <v> </v>
      </c>
      <c r="I3965" s="26" t="str">
        <f>IF(OR(E3965="",E3965="!!!",F3965="NEW"),"",INDEX(B3964:B$2,-1+SUMPRODUCT(MAX(ROW(E3964:E$2)*(E3965=E3964:E$2)))))</f>
        <v> </v>
      </c>
      <c r="J3965" s="26" t="str">
        <f>IF(OR(E3965="",E3965="!!!",F3965="NEW"),"",COUNTBLANK(OFFSET(A$1,,,SUMPRODUCT(MAX(ROW(E$2:E3965)*(E3965=E$2:E3965)))))-COUNTBLANK(OFFSET(A$1,,,SUMPRODUCT(MAX(ROW(E$1:E3964)*(E2=E$1:E3964))))))</f>
        <v> </v>
      </c>
      <c r="K3965" s="26" t="str">
        <f>IF(OR(E3965="",E3965="!!!",F3965="NEW"),"",INDEX(J$1:J3964,SUMPRODUCT(MAX(ROW(E$1:E3964)*(E3965=E$1:E3964)))))</f>
        <v> </v>
      </c>
      <c r="L3965" s="27"/>
    </row>
    <row r="3966" spans="1:12">
      <c r="A3966" s="20" t="s">
        <v>1821</v>
      </c>
      <c r="E3966" s="22">
        <f>IF(D3966="?OLD","!!!","")</f>
        <v/>
      </c>
      <c r="F3966" s="23" t="str">
        <f>IF(OR(E3966="",E3966="!!!"),"",IF(NOT(ISNA(VLOOKUP(E3966,E$1:E3965,1,FALSE()))),"OLD",IF(AND(E3966&lt;&gt;"",E3966&lt;&gt;"!!!"),"NEW","")))</f>
        <v> </v>
      </c>
      <c r="G3966" s="24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5" t="str">
        <f>IF(J3966&lt;&gt;1,"",IF(I3966="SBJ","CB","?"))</f>
        <v> </v>
      </c>
      <c r="I3966" s="26" t="str">
        <f>IF(OR(E3966="",E3966="!!!",F3966="NEW"),"",INDEX(B3965:B$2,-1+SUMPRODUCT(MAX(ROW(E3965:E$2)*(E3966=E3965:E$2)))))</f>
        <v> </v>
      </c>
      <c r="J3966" s="26" t="str">
        <f>IF(OR(E3966="",E3966="!!!",F3966="NEW"),"",COUNTBLANK(OFFSET(A$1,,,SUMPRODUCT(MAX(ROW(E$2:E3966)*(E3966=E$2:E3966)))))-COUNTBLANK(OFFSET(A$1,,,SUMPRODUCT(MAX(ROW(E$1:E3965)*(E2=E$1:E3965))))))</f>
        <v> </v>
      </c>
      <c r="K3966" s="26" t="str">
        <f>IF(OR(E3966="",E3966="!!!",F3966="NEW"),"",INDEX(J$1:J3965,SUMPRODUCT(MAX(ROW(E$1:E3965)*(E3966=E$1:E3965)))))</f>
        <v> </v>
      </c>
      <c r="L3966" s="27"/>
    </row>
    <row r="3967" spans="1:12">
      <c r="A3967" s="20" t="s">
        <v>1188</v>
      </c>
      <c r="B3967" s="21" t="s">
        <v>1097</v>
      </c>
      <c r="E3967" s="22">
        <f>IF(D3967="?OLD","!!!","")</f>
        <v/>
      </c>
      <c r="F3967" s="23" t="str">
        <f>IF(OR(E3967="",E3967="!!!"),"",IF(NOT(ISNA(VLOOKUP(E3967,E$1:E3966,1,FALSE()))),"OLD",IF(AND(E3967&lt;&gt;"",E3967&lt;&gt;"!!!"),"NEW","")))</f>
        <v> </v>
      </c>
      <c r="G3967" s="24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5" t="str">
        <f>IF(J3967&lt;&gt;1,"",IF(I3967="SBJ","CB","?"))</f>
        <v> </v>
      </c>
      <c r="I3967" s="26" t="str">
        <f>IF(OR(E3967="",E3967="!!!",F3967="NEW"),"",INDEX(B3966:B$2,-1+SUMPRODUCT(MAX(ROW(E3966:E$2)*(E3967=E3966:E$2)))))</f>
        <v> </v>
      </c>
      <c r="J3967" s="26" t="str">
        <f>IF(OR(E3967="",E3967="!!!",F3967="NEW"),"",COUNTBLANK(OFFSET(A$1,,,SUMPRODUCT(MAX(ROW(E$2:E3967)*(E3967=E$2:E3967)))))-COUNTBLANK(OFFSET(A$1,,,SUMPRODUCT(MAX(ROW(E$1:E3966)*(E2=E$1:E3966))))))</f>
        <v> </v>
      </c>
      <c r="K3967" s="26" t="str">
        <f>IF(OR(E3967="",E3967="!!!",F3967="NEW"),"",INDEX(J$1:J3966,SUMPRODUCT(MAX(ROW(E$1:E3966)*(E3967=E$1:E3966)))))</f>
        <v> </v>
      </c>
      <c r="L3967" s="27"/>
    </row>
    <row r="3968" spans="1:12">
      <c r="A3968" s="20" t="s">
        <v>1083</v>
      </c>
      <c r="E3968" s="22">
        <f>IF(D3968="?OLD","!!!","")</f>
        <v/>
      </c>
      <c r="F3968" s="23" t="str">
        <f>IF(OR(E3968="",E3968="!!!"),"",IF(NOT(ISNA(VLOOKUP(E3968,E$1:E3967,1,FALSE()))),"OLD",IF(AND(E3968&lt;&gt;"",E3968&lt;&gt;"!!!"),"NEW","")))</f>
        <v> </v>
      </c>
      <c r="G3968" s="24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5" t="str">
        <f>IF(J3968&lt;&gt;1,"",IF(I3968="SBJ","CB","?"))</f>
        <v> </v>
      </c>
      <c r="I3968" s="26" t="str">
        <f>IF(OR(E3968="",E3968="!!!",F3968="NEW"),"",INDEX(B3967:B$2,-1+SUMPRODUCT(MAX(ROW(E3967:E$2)*(E3968=E3967:E$2)))))</f>
        <v> </v>
      </c>
      <c r="J3968" s="26" t="str">
        <f>IF(OR(E3968="",E3968="!!!",F3968="NEW"),"",COUNTBLANK(OFFSET(A$1,,,SUMPRODUCT(MAX(ROW(E$2:E3968)*(E3968=E$2:E3968)))))-COUNTBLANK(OFFSET(A$1,,,SUMPRODUCT(MAX(ROW(E$1:E3967)*(E2=E$1:E3967))))))</f>
        <v> </v>
      </c>
      <c r="K3968" s="26" t="str">
        <f>IF(OR(E3968="",E3968="!!!",F3968="NEW"),"",INDEX(J$1:J3967,SUMPRODUCT(MAX(ROW(E$1:E3967)*(E3968=E$1:E3967)))))</f>
        <v> </v>
      </c>
      <c r="L3968" s="27"/>
    </row>
    <row r="3969" spans="1:12">
      <c r="A3969" s="20" t="s">
        <v>1381</v>
      </c>
      <c r="E3969" s="22">
        <f>IF(D3969="?OLD","!!!","")</f>
        <v/>
      </c>
      <c r="F3969" s="23" t="str">
        <f>IF(OR(E3969="",E3969="!!!"),"",IF(NOT(ISNA(VLOOKUP(E3969,E$1:E3968,1,FALSE()))),"OLD",IF(AND(E3969&lt;&gt;"",E3969&lt;&gt;"!!!"),"NEW","")))</f>
        <v> </v>
      </c>
      <c r="G3969" s="24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5" t="str">
        <f>IF(J3969&lt;&gt;1,"",IF(I3969="SBJ","CB","?"))</f>
        <v> </v>
      </c>
      <c r="I3969" s="26" t="str">
        <f>IF(OR(E3969="",E3969="!!!",F3969="NEW"),"",INDEX(B3968:B$2,-1+SUMPRODUCT(MAX(ROW(E3968:E$2)*(E3969=E3968:E$2)))))</f>
        <v> </v>
      </c>
      <c r="J3969" s="26" t="str">
        <f>IF(OR(E3969="",E3969="!!!",F3969="NEW"),"",COUNTBLANK(OFFSET(A$1,,,SUMPRODUCT(MAX(ROW(E$2:E3969)*(E3969=E$2:E3969)))))-COUNTBLANK(OFFSET(A$1,,,SUMPRODUCT(MAX(ROW(E$1:E3968)*(E2=E$1:E3968))))))</f>
        <v> </v>
      </c>
      <c r="K3969" s="26" t="str">
        <f>IF(OR(E3969="",E3969="!!!",F3969="NEW"),"",INDEX(J$1:J3968,SUMPRODUCT(MAX(ROW(E$1:E3968)*(E3969=E$1:E3968)))))</f>
        <v> </v>
      </c>
      <c r="L3969" s="27"/>
    </row>
    <row r="3970" spans="1:12">
      <c r="A3970" s="20" t="s">
        <v>2566</v>
      </c>
      <c r="B3970" s="21" t="s">
        <v>1094</v>
      </c>
      <c r="C3970" s="21" t="s">
        <v>1154</v>
      </c>
      <c r="E3970" s="22">
        <f>IF(D3970="?OLD","!!!","")</f>
        <v/>
      </c>
      <c r="F3970" s="23" t="str">
        <f>IF(OR(E3970="",E3970="!!!"),"",IF(NOT(ISNA(VLOOKUP(E3970,E$1:E3969,1,FALSE()))),"OLD",IF(AND(E3970&lt;&gt;"",E3970&lt;&gt;"!!!"),"NEW","")))</f>
        <v> </v>
      </c>
      <c r="G3970" s="24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5" t="str">
        <f>IF(J3970&lt;&gt;1,"",IF(I3970="SBJ","CB","?"))</f>
        <v> </v>
      </c>
      <c r="I3970" s="26" t="str">
        <f>IF(OR(E3970="",E3970="!!!",F3970="NEW"),"",INDEX(B3969:B$2,-1+SUMPRODUCT(MAX(ROW(E3969:E$2)*(E3970=E3969:E$2)))))</f>
        <v> </v>
      </c>
      <c r="J3970" s="26" t="str">
        <f>IF(OR(E3970="",E3970="!!!",F3970="NEW"),"",COUNTBLANK(OFFSET(A$1,,,SUMPRODUCT(MAX(ROW(E$2:E3970)*(E3970=E$2:E3970)))))-COUNTBLANK(OFFSET(A$1,,,SUMPRODUCT(MAX(ROW(E$1:E3969)*(E2=E$1:E3969))))))</f>
        <v> </v>
      </c>
      <c r="K3970" s="26" t="str">
        <f>IF(OR(E3970="",E3970="!!!",F3970="NEW"),"",INDEX(J$1:J3969,SUMPRODUCT(MAX(ROW(E$1:E3969)*(E3970=E$1:E3969)))))</f>
        <v> </v>
      </c>
      <c r="L3970" s="27"/>
    </row>
    <row r="3971" spans="1:12">
      <c r="A3971" s="20" t="s">
        <v>1112</v>
      </c>
      <c r="E3971" s="22">
        <f>IF(D3971="?OLD","!!!","")</f>
        <v/>
      </c>
      <c r="F3971" s="23" t="str">
        <f>IF(OR(E3971="",E3971="!!!"),"",IF(NOT(ISNA(VLOOKUP(E3971,E$1:E3970,1,FALSE()))),"OLD",IF(AND(E3971&lt;&gt;"",E3971&lt;&gt;"!!!"),"NEW","")))</f>
        <v> </v>
      </c>
      <c r="G3971" s="24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5" t="str">
        <f>IF(J3971&lt;&gt;1,"",IF(I3971="SBJ","CB","?"))</f>
        <v> </v>
      </c>
      <c r="I3971" s="26" t="str">
        <f>IF(OR(E3971="",E3971="!!!",F3971="NEW"),"",INDEX(B3970:B$2,-1+SUMPRODUCT(MAX(ROW(E3970:E$2)*(E3971=E3970:E$2)))))</f>
        <v> </v>
      </c>
      <c r="J3971" s="26" t="str">
        <f>IF(OR(E3971="",E3971="!!!",F3971="NEW"),"",COUNTBLANK(OFFSET(A$1,,,SUMPRODUCT(MAX(ROW(E$2:E3971)*(E3971=E$2:E3971)))))-COUNTBLANK(OFFSET(A$1,,,SUMPRODUCT(MAX(ROW(E$1:E3970)*(E2=E$1:E3970))))))</f>
        <v> </v>
      </c>
      <c r="K3971" s="26" t="str">
        <f>IF(OR(E3971="",E3971="!!!",F3971="NEW"),"",INDEX(J$1:J3970,SUMPRODUCT(MAX(ROW(E$1:E3970)*(E3971=E$1:E3970)))))</f>
        <v> </v>
      </c>
      <c r="L3971" s="27"/>
    </row>
    <row r="3972" spans="1:12">
      <c r="A3972" s="20" t="s">
        <v>661</v>
      </c>
      <c r="B3972" s="21" t="s">
        <v>1293</v>
      </c>
      <c r="C3972" s="21" t="s">
        <v>1073</v>
      </c>
      <c r="D3972" s="21" t="s">
        <v>1074</v>
      </c>
      <c r="E3972" s="22">
        <f>IF(D3972="?OLD","!!!","")</f>
        <v/>
      </c>
      <c r="F3972" s="23" t="str">
        <f>IF(OR(E3972="",E3972="!!!"),"",IF(NOT(ISNA(VLOOKUP(E3972,E$1:E3971,1,FALSE()))),"OLD",IF(AND(E3972&lt;&gt;"",E3972&lt;&gt;"!!!"),"NEW","")))</f>
        <v> </v>
      </c>
      <c r="G3972" s="24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5" t="str">
        <f>IF(J3972&lt;&gt;1,"",IF(I3972="SBJ","CB","?"))</f>
        <v> </v>
      </c>
      <c r="I3972" s="26" t="str">
        <f>IF(OR(E3972="",E3972="!!!",F3972="NEW"),"",INDEX(B3971:B$2,-1+SUMPRODUCT(MAX(ROW(E3971:E$2)*(E3972=E3971:E$2)))))</f>
        <v> </v>
      </c>
      <c r="J3972" s="26" t="str">
        <f>IF(OR(E3972="",E3972="!!!",F3972="NEW"),"",COUNTBLANK(OFFSET(A$1,,,SUMPRODUCT(MAX(ROW(E$2:E3972)*(E3972=E$2:E3972)))))-COUNTBLANK(OFFSET(A$1,,,SUMPRODUCT(MAX(ROW(E$1:E3971)*(E2=E$1:E3971))))))</f>
        <v> </v>
      </c>
      <c r="K3972" s="26" t="str">
        <f>IF(OR(E3972="",E3972="!!!",F3972="NEW"),"",INDEX(J$1:J3971,SUMPRODUCT(MAX(ROW(E$1:E3971)*(E3972=E$1:E3971)))))</f>
        <v> </v>
      </c>
      <c r="L3972" s="27"/>
    </row>
    <row r="3973" spans="1:12">
      <c r="A3973" s="20" t="s">
        <v>1076</v>
      </c>
      <c r="E3973" s="22">
        <f>IF(D3973="?OLD","!!!","")</f>
        <v/>
      </c>
      <c r="F3973" s="23" t="str">
        <f>IF(OR(E3973="",E3973="!!!"),"",IF(NOT(ISNA(VLOOKUP(E3973,E$1:E3972,1,FALSE()))),"OLD",IF(AND(E3973&lt;&gt;"",E3973&lt;&gt;"!!!"),"NEW","")))</f>
        <v> </v>
      </c>
      <c r="G3973" s="24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5" t="str">
        <f>IF(J3973&lt;&gt;1,"",IF(I3973="SBJ","CB","?"))</f>
        <v> </v>
      </c>
      <c r="I3973" s="26" t="str">
        <f>IF(OR(E3973="",E3973="!!!",F3973="NEW"),"",INDEX(B3972:B$2,-1+SUMPRODUCT(MAX(ROW(E3972:E$2)*(E3973=E3972:E$2)))))</f>
        <v> </v>
      </c>
      <c r="J3973" s="26" t="str">
        <f>IF(OR(E3973="",E3973="!!!",F3973="NEW"),"",COUNTBLANK(OFFSET(A$1,,,SUMPRODUCT(MAX(ROW(E$2:E3973)*(E3973=E$2:E3973)))))-COUNTBLANK(OFFSET(A$1,,,SUMPRODUCT(MAX(ROW(E$1:E3972)*(E2=E$1:E3972))))))</f>
        <v> </v>
      </c>
      <c r="K3973" s="26" t="str">
        <f>IF(OR(E3973="",E3973="!!!",F3973="NEW"),"",INDEX(J$1:J3972,SUMPRODUCT(MAX(ROW(E$1:E3972)*(E3973=E$1:E3972)))))</f>
        <v> </v>
      </c>
      <c r="L3973" s="27"/>
    </row>
    <row r="3974" spans="1:12">
      <c r="A3974" s="20" t="s">
        <v>1614</v>
      </c>
      <c r="E3974" s="22">
        <f>IF(D3974="?OLD","!!!","")</f>
        <v/>
      </c>
      <c r="F3974" s="23" t="str">
        <f>IF(OR(E3974="",E3974="!!!"),"",IF(NOT(ISNA(VLOOKUP(E3974,E$1:E3973,1,FALSE()))),"OLD",IF(AND(E3974&lt;&gt;"",E3974&lt;&gt;"!!!"),"NEW","")))</f>
        <v> </v>
      </c>
      <c r="G3974" s="24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5" t="str">
        <f>IF(J3974&lt;&gt;1,"",IF(I3974="SBJ","CB","?"))</f>
        <v> </v>
      </c>
      <c r="I3974" s="26" t="str">
        <f>IF(OR(E3974="",E3974="!!!",F3974="NEW"),"",INDEX(B3973:B$2,-1+SUMPRODUCT(MAX(ROW(E3973:E$2)*(E3974=E3973:E$2)))))</f>
        <v> </v>
      </c>
      <c r="J3974" s="26" t="str">
        <f>IF(OR(E3974="",E3974="!!!",F3974="NEW"),"",COUNTBLANK(OFFSET(A$1,,,SUMPRODUCT(MAX(ROW(E$2:E3974)*(E3974=E$2:E3974)))))-COUNTBLANK(OFFSET(A$1,,,SUMPRODUCT(MAX(ROW(E$1:E3973)*(E2=E$1:E3973))))))</f>
        <v> </v>
      </c>
      <c r="K3974" s="26" t="str">
        <f>IF(OR(E3974="",E3974="!!!",F3974="NEW"),"",INDEX(J$1:J3973,SUMPRODUCT(MAX(ROW(E$1:E3973)*(E3974=E$1:E3973)))))</f>
        <v> </v>
      </c>
      <c r="L3974" s="27"/>
    </row>
    <row r="3975" spans="1:12">
      <c r="A3975" s="20" t="s">
        <v>1085</v>
      </c>
      <c r="E3975" s="22">
        <f>IF(D3975="?OLD","!!!","")</f>
        <v/>
      </c>
      <c r="F3975" s="23" t="str">
        <f>IF(OR(E3975="",E3975="!!!"),"",IF(NOT(ISNA(VLOOKUP(E3975,E$1:E3974,1,FALSE()))),"OLD",IF(AND(E3975&lt;&gt;"",E3975&lt;&gt;"!!!"),"NEW","")))</f>
        <v> </v>
      </c>
      <c r="G3975" s="24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5" t="str">
        <f>IF(J3975&lt;&gt;1,"",IF(I3975="SBJ","CB","?"))</f>
        <v> </v>
      </c>
      <c r="I3975" s="26" t="str">
        <f>IF(OR(E3975="",E3975="!!!",F3975="NEW"),"",INDEX(B3974:B$2,-1+SUMPRODUCT(MAX(ROW(E3974:E$2)*(E3975=E3974:E$2)))))</f>
        <v> </v>
      </c>
      <c r="J3975" s="26" t="str">
        <f>IF(OR(E3975="",E3975="!!!",F3975="NEW"),"",COUNTBLANK(OFFSET(A$1,,,SUMPRODUCT(MAX(ROW(E$2:E3975)*(E3975=E$2:E3975)))))-COUNTBLANK(OFFSET(A$1,,,SUMPRODUCT(MAX(ROW(E$1:E3974)*(E2=E$1:E3974))))))</f>
        <v> </v>
      </c>
      <c r="K3975" s="26" t="str">
        <f>IF(OR(E3975="",E3975="!!!",F3975="NEW"),"",INDEX(J$1:J3974,SUMPRODUCT(MAX(ROW(E$1:E3974)*(E3975=E$1:E3974)))))</f>
        <v> </v>
      </c>
      <c r="L3975" s="27"/>
    </row>
    <row r="3976" spans="1:12">
      <c r="A3976" s="20" t="s">
        <v>1269</v>
      </c>
      <c r="E3976" s="22">
        <f>IF(D3976="?OLD","!!!","")</f>
        <v/>
      </c>
      <c r="F3976" s="23" t="str">
        <f>IF(OR(E3976="",E3976="!!!"),"",IF(NOT(ISNA(VLOOKUP(E3976,E$1:E3975,1,FALSE()))),"OLD",IF(AND(E3976&lt;&gt;"",E3976&lt;&gt;"!!!"),"NEW","")))</f>
        <v> </v>
      </c>
      <c r="G3976" s="24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5" t="str">
        <f>IF(J3976&lt;&gt;1,"",IF(I3976="SBJ","CB","?"))</f>
        <v> </v>
      </c>
      <c r="I3976" s="26" t="str">
        <f>IF(OR(E3976="",E3976="!!!",F3976="NEW"),"",INDEX(B3975:B$2,-1+SUMPRODUCT(MAX(ROW(E3975:E$2)*(E3976=E3975:E$2)))))</f>
        <v> </v>
      </c>
      <c r="J3976" s="26" t="str">
        <f>IF(OR(E3976="",E3976="!!!",F3976="NEW"),"",COUNTBLANK(OFFSET(A$1,,,SUMPRODUCT(MAX(ROW(E$2:E3976)*(E3976=E$2:E3976)))))-COUNTBLANK(OFFSET(A$1,,,SUMPRODUCT(MAX(ROW(E$1:E3975)*(E2=E$1:E3975))))))</f>
        <v> </v>
      </c>
      <c r="K3976" s="26" t="str">
        <f>IF(OR(E3976="",E3976="!!!",F3976="NEW"),"",INDEX(J$1:J3975,SUMPRODUCT(MAX(ROW(E$1:E3975)*(E3976=E$1:E3975)))))</f>
        <v> </v>
      </c>
      <c r="L3976" s="27"/>
    </row>
    <row r="3977" spans="1:12">
      <c r="A3977" s="20" t="s">
        <v>1156</v>
      </c>
      <c r="B3977" s="21" t="s">
        <v>2567</v>
      </c>
      <c r="C3977" s="21" t="s">
        <v>1081</v>
      </c>
      <c r="D3977" s="21" t="s">
        <v>1074</v>
      </c>
      <c r="E3977" s="22">
        <f>IF(D3977="?OLD","!!!","")</f>
        <v/>
      </c>
      <c r="F3977" s="23" t="str">
        <f>IF(OR(E3977="",E3977="!!!"),"",IF(NOT(ISNA(VLOOKUP(E3977,E$1:E3976,1,FALSE()))),"OLD",IF(AND(E3977&lt;&gt;"",E3977&lt;&gt;"!!!"),"NEW","")))</f>
        <v> </v>
      </c>
      <c r="G3977" s="24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5" t="str">
        <f>IF(J3977&lt;&gt;1,"",IF(I3977="SBJ","CB","?"))</f>
        <v> </v>
      </c>
      <c r="I3977" s="26" t="str">
        <f>IF(OR(E3977="",E3977="!!!",F3977="NEW"),"",INDEX(B3976:B$2,-1+SUMPRODUCT(MAX(ROW(E3976:E$2)*(E3977=E3976:E$2)))))</f>
        <v> </v>
      </c>
      <c r="J3977" s="26" t="str">
        <f>IF(OR(E3977="",E3977="!!!",F3977="NEW"),"",COUNTBLANK(OFFSET(A$1,,,SUMPRODUCT(MAX(ROW(E$2:E3977)*(E3977=E$2:E3977)))))-COUNTBLANK(OFFSET(A$1,,,SUMPRODUCT(MAX(ROW(E$1:E3976)*(E2=E$1:E3976))))))</f>
        <v> </v>
      </c>
      <c r="K3977" s="26" t="str">
        <f>IF(OR(E3977="",E3977="!!!",F3977="NEW"),"",INDEX(J$1:J3976,SUMPRODUCT(MAX(ROW(E$1:E3976)*(E3977=E$1:E3976)))))</f>
        <v> </v>
      </c>
      <c r="L3977" s="27"/>
    </row>
    <row r="3978" spans="1:12">
      <c r="A3978" s="20" t="s">
        <v>2568</v>
      </c>
      <c r="E3978" s="22">
        <f>IF(D3978="?OLD","!!!","")</f>
        <v/>
      </c>
      <c r="F3978" s="23" t="str">
        <f>IF(OR(E3978="",E3978="!!!"),"",IF(NOT(ISNA(VLOOKUP(E3978,E$1:E3977,1,FALSE()))),"OLD",IF(AND(E3978&lt;&gt;"",E3978&lt;&gt;"!!!"),"NEW","")))</f>
        <v> </v>
      </c>
      <c r="G3978" s="24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5" t="str">
        <f>IF(J3978&lt;&gt;1,"",IF(I3978="SBJ","CB","?"))</f>
        <v> </v>
      </c>
      <c r="I3978" s="26" t="str">
        <f>IF(OR(E3978="",E3978="!!!",F3978="NEW"),"",INDEX(B3977:B$2,-1+SUMPRODUCT(MAX(ROW(E3977:E$2)*(E3978=E3977:E$2)))))</f>
        <v> </v>
      </c>
      <c r="J3978" s="26" t="str">
        <f>IF(OR(E3978="",E3978="!!!",F3978="NEW"),"",COUNTBLANK(OFFSET(A$1,,,SUMPRODUCT(MAX(ROW(E$2:E3978)*(E3978=E$2:E3978)))))-COUNTBLANK(OFFSET(A$1,,,SUMPRODUCT(MAX(ROW(E$1:E3977)*(E2=E$1:E3977))))))</f>
        <v> </v>
      </c>
      <c r="K3978" s="26" t="str">
        <f>IF(OR(E3978="",E3978="!!!",F3978="NEW"),"",INDEX(J$1:J3977,SUMPRODUCT(MAX(ROW(E$1:E3977)*(E3978=E$1:E3977)))))</f>
        <v> </v>
      </c>
      <c r="L3978" s="27"/>
    </row>
    <row r="3979" spans="1:12">
      <c r="A3979" s="20" t="s">
        <v>2569</v>
      </c>
      <c r="E3979" s="22">
        <f>IF(D3979="?OLD","!!!","")</f>
        <v/>
      </c>
      <c r="F3979" s="23" t="str">
        <f>IF(OR(E3979="",E3979="!!!"),"",IF(NOT(ISNA(VLOOKUP(E3979,E$1:E3978,1,FALSE()))),"OLD",IF(AND(E3979&lt;&gt;"",E3979&lt;&gt;"!!!"),"NEW","")))</f>
        <v> </v>
      </c>
      <c r="G3979" s="24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5" t="str">
        <f>IF(J3979&lt;&gt;1,"",IF(I3979="SBJ","CB","?"))</f>
        <v> </v>
      </c>
      <c r="I3979" s="26" t="str">
        <f>IF(OR(E3979="",E3979="!!!",F3979="NEW"),"",INDEX(B3978:B$2,-1+SUMPRODUCT(MAX(ROW(E3978:E$2)*(E3979=E3978:E$2)))))</f>
        <v> </v>
      </c>
      <c r="J3979" s="26" t="str">
        <f>IF(OR(E3979="",E3979="!!!",F3979="NEW"),"",COUNTBLANK(OFFSET(A$1,,,SUMPRODUCT(MAX(ROW(E$2:E3979)*(E3979=E$2:E3979)))))-COUNTBLANK(OFFSET(A$1,,,SUMPRODUCT(MAX(ROW(E$1:E3978)*(E2=E$1:E3978))))))</f>
        <v> </v>
      </c>
      <c r="K3979" s="26" t="str">
        <f>IF(OR(E3979="",E3979="!!!",F3979="NEW"),"",INDEX(J$1:J3978,SUMPRODUCT(MAX(ROW(E$1:E3978)*(E3979=E$1:E3978)))))</f>
        <v> </v>
      </c>
      <c r="L3979" s="27"/>
    </row>
    <row r="3980" spans="1:12">
      <c r="A3980" s="20" t="s">
        <v>1187</v>
      </c>
      <c r="E3980" s="22">
        <f>IF(D3980="?OLD","!!!","")</f>
        <v/>
      </c>
      <c r="F3980" s="23" t="str">
        <f>IF(OR(E3980="",E3980="!!!"),"",IF(NOT(ISNA(VLOOKUP(E3980,E$1:E3979,1,FALSE()))),"OLD",IF(AND(E3980&lt;&gt;"",E3980&lt;&gt;"!!!"),"NEW","")))</f>
        <v> </v>
      </c>
      <c r="G3980" s="24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5" t="str">
        <f>IF(J3980&lt;&gt;1,"",IF(I3980="SBJ","CB","?"))</f>
        <v> </v>
      </c>
      <c r="I3980" s="26" t="str">
        <f>IF(OR(E3980="",E3980="!!!",F3980="NEW"),"",INDEX(B3979:B$2,-1+SUMPRODUCT(MAX(ROW(E3979:E$2)*(E3980=E3979:E$2)))))</f>
        <v> </v>
      </c>
      <c r="J3980" s="26" t="str">
        <f>IF(OR(E3980="",E3980="!!!",F3980="NEW"),"",COUNTBLANK(OFFSET(A$1,,,SUMPRODUCT(MAX(ROW(E$2:E3980)*(E3980=E$2:E3980)))))-COUNTBLANK(OFFSET(A$1,,,SUMPRODUCT(MAX(ROW(E$1:E3979)*(E2=E$1:E3979))))))</f>
        <v> </v>
      </c>
      <c r="K3980" s="26" t="str">
        <f>IF(OR(E3980="",E3980="!!!",F3980="NEW"),"",INDEX(J$1:J3979,SUMPRODUCT(MAX(ROW(E$1:E3979)*(E3980=E$1:E3979)))))</f>
        <v> </v>
      </c>
      <c r="L3980" s="27"/>
    </row>
    <row r="3981" spans="1:12">
      <c r="A3981" s="20" t="s">
        <v>2570</v>
      </c>
      <c r="B3981" s="21" t="s">
        <v>2571</v>
      </c>
      <c r="C3981" s="21" t="s">
        <v>1073</v>
      </c>
      <c r="D3981" s="21" t="s">
        <v>1074</v>
      </c>
      <c r="E3981" s="22">
        <f>IF(D3981="?OLD","!!!","")</f>
        <v/>
      </c>
      <c r="F3981" s="23" t="str">
        <f>IF(OR(E3981="",E3981="!!!"),"",IF(NOT(ISNA(VLOOKUP(E3981,E$1:E3980,1,FALSE()))),"OLD",IF(AND(E3981&lt;&gt;"",E3981&lt;&gt;"!!!"),"NEW","")))</f>
        <v> </v>
      </c>
      <c r="G3981" s="24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5" t="str">
        <f>IF(J3981&lt;&gt;1,"",IF(I3981="SBJ","CB","?"))</f>
        <v> </v>
      </c>
      <c r="I3981" s="26" t="str">
        <f>IF(OR(E3981="",E3981="!!!",F3981="NEW"),"",INDEX(B3980:B$2,-1+SUMPRODUCT(MAX(ROW(E3980:E$2)*(E3981=E3980:E$2)))))</f>
        <v> </v>
      </c>
      <c r="J3981" s="26" t="str">
        <f>IF(OR(E3981="",E3981="!!!",F3981="NEW"),"",COUNTBLANK(OFFSET(A$1,,,SUMPRODUCT(MAX(ROW(E$2:E3981)*(E3981=E$2:E3981)))))-COUNTBLANK(OFFSET(A$1,,,SUMPRODUCT(MAX(ROW(E$1:E3980)*(E2=E$1:E3980))))))</f>
        <v> </v>
      </c>
      <c r="K3981" s="26" t="str">
        <f>IF(OR(E3981="",E3981="!!!",F3981="NEW"),"",INDEX(J$1:J3980,SUMPRODUCT(MAX(ROW(E$1:E3980)*(E3981=E$1:E3980)))))</f>
        <v> </v>
      </c>
      <c r="L3981" s="27"/>
    </row>
    <row r="3982" spans="1:12">
      <c r="A3982" s="20" t="s">
        <v>1112</v>
      </c>
      <c r="E3982" s="22">
        <f>IF(D3982="?OLD","!!!","")</f>
        <v/>
      </c>
      <c r="F3982" s="23" t="str">
        <f>IF(OR(E3982="",E3982="!!!"),"",IF(NOT(ISNA(VLOOKUP(E3982,E$1:E3981,1,FALSE()))),"OLD",IF(AND(E3982&lt;&gt;"",E3982&lt;&gt;"!!!"),"NEW","")))</f>
        <v> </v>
      </c>
      <c r="G3982" s="24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5" t="str">
        <f>IF(J3982&lt;&gt;1,"",IF(I3982="SBJ","CB","?"))</f>
        <v> </v>
      </c>
      <c r="I3982" s="26" t="str">
        <f>IF(OR(E3982="",E3982="!!!",F3982="NEW"),"",INDEX(B3981:B$2,-1+SUMPRODUCT(MAX(ROW(E3981:E$2)*(E3982=E3981:E$2)))))</f>
        <v> </v>
      </c>
      <c r="J3982" s="26" t="str">
        <f>IF(OR(E3982="",E3982="!!!",F3982="NEW"),"",COUNTBLANK(OFFSET(A$1,,,SUMPRODUCT(MAX(ROW(E$2:E3982)*(E3982=E$2:E3982)))))-COUNTBLANK(OFFSET(A$1,,,SUMPRODUCT(MAX(ROW(E$1:E3981)*(E2=E$1:E3981))))))</f>
        <v> </v>
      </c>
      <c r="K3982" s="26" t="str">
        <f>IF(OR(E3982="",E3982="!!!",F3982="NEW"),"",INDEX(J$1:J3981,SUMPRODUCT(MAX(ROW(E$1:E3981)*(E3982=E$1:E3981)))))</f>
        <v> </v>
      </c>
      <c r="L3982" s="27"/>
    </row>
    <row r="3983" spans="1:12">
      <c r="A3983" s="20" t="s">
        <v>1110</v>
      </c>
      <c r="B3983" s="21" t="s">
        <v>1836</v>
      </c>
      <c r="C3983" s="21" t="s">
        <v>1081</v>
      </c>
      <c r="D3983" s="21" t="s">
        <v>1074</v>
      </c>
      <c r="E3983" s="22">
        <f>IF(D3983="?OLD","!!!","")</f>
        <v/>
      </c>
      <c r="F3983" s="23" t="str">
        <f>IF(OR(E3983="",E3983="!!!"),"",IF(NOT(ISNA(VLOOKUP(E3983,E$1:E3982,1,FALSE()))),"OLD",IF(AND(E3983&lt;&gt;"",E3983&lt;&gt;"!!!"),"NEW","")))</f>
        <v> </v>
      </c>
      <c r="G3983" s="24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5" t="str">
        <f>IF(J3983&lt;&gt;1,"",IF(I3983="SBJ","CB","?"))</f>
        <v> </v>
      </c>
      <c r="I3983" s="26" t="str">
        <f>IF(OR(E3983="",E3983="!!!",F3983="NEW"),"",INDEX(B3982:B$2,-1+SUMPRODUCT(MAX(ROW(E3982:E$2)*(E3983=E3982:E$2)))))</f>
        <v> </v>
      </c>
      <c r="J3983" s="26" t="str">
        <f>IF(OR(E3983="",E3983="!!!",F3983="NEW"),"",COUNTBLANK(OFFSET(A$1,,,SUMPRODUCT(MAX(ROW(E$2:E3983)*(E3983=E$2:E3983)))))-COUNTBLANK(OFFSET(A$1,,,SUMPRODUCT(MAX(ROW(E$1:E3982)*(E2=E$1:E3982))))))</f>
        <v> </v>
      </c>
      <c r="K3983" s="26" t="str">
        <f>IF(OR(E3983="",E3983="!!!",F3983="NEW"),"",INDEX(J$1:J3982,SUMPRODUCT(MAX(ROW(E$1:E3982)*(E3983=E$1:E3982)))))</f>
        <v> </v>
      </c>
      <c r="L3983" s="27"/>
    </row>
    <row r="3984" spans="1:12">
      <c r="A3984" s="20" t="s">
        <v>1825</v>
      </c>
      <c r="B3984" s="21" t="s">
        <v>1102</v>
      </c>
      <c r="C3984" s="21" t="s">
        <v>1154</v>
      </c>
      <c r="D3984" s="21" t="s">
        <v>1074</v>
      </c>
      <c r="E3984" s="22">
        <f>IF(D3984="?OLD","!!!","")</f>
        <v/>
      </c>
      <c r="F3984" s="23" t="str">
        <f>IF(OR(E3984="",E3984="!!!"),"",IF(NOT(ISNA(VLOOKUP(E3984,E$1:E3983,1,FALSE()))),"OLD",IF(AND(E3984&lt;&gt;"",E3984&lt;&gt;"!!!"),"NEW","")))</f>
        <v> </v>
      </c>
      <c r="G3984" s="24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5" t="str">
        <f>IF(J3984&lt;&gt;1,"",IF(I3984="SBJ","CB","?"))</f>
        <v> </v>
      </c>
      <c r="I3984" s="26" t="str">
        <f>IF(OR(E3984="",E3984="!!!",F3984="NEW"),"",INDEX(B3983:B$2,-1+SUMPRODUCT(MAX(ROW(E3983:E$2)*(E3984=E3983:E$2)))))</f>
        <v> </v>
      </c>
      <c r="J3984" s="26" t="str">
        <f>IF(OR(E3984="",E3984="!!!",F3984="NEW"),"",COUNTBLANK(OFFSET(A$1,,,SUMPRODUCT(MAX(ROW(E$2:E3984)*(E3984=E$2:E3984)))))-COUNTBLANK(OFFSET(A$1,,,SUMPRODUCT(MAX(ROW(E$1:E3983)*(E2=E$1:E3983))))))</f>
        <v> </v>
      </c>
      <c r="K3984" s="26" t="str">
        <f>IF(OR(E3984="",E3984="!!!",F3984="NEW"),"",INDEX(J$1:J3983,SUMPRODUCT(MAX(ROW(E$1:E3983)*(E3984=E$1:E3983)))))</f>
        <v> </v>
      </c>
      <c r="L3984" s="27"/>
    </row>
    <row r="3985" spans="1:12">
      <c r="A3985" s="20" t="s">
        <v>1713</v>
      </c>
      <c r="E3985" s="22">
        <f>IF(D3985="?OLD","!!!","")</f>
        <v/>
      </c>
      <c r="F3985" s="23" t="str">
        <f>IF(OR(E3985="",E3985="!!!"),"",IF(NOT(ISNA(VLOOKUP(E3985,E$1:E3984,1,FALSE()))),"OLD",IF(AND(E3985&lt;&gt;"",E3985&lt;&gt;"!!!"),"NEW","")))</f>
        <v> </v>
      </c>
      <c r="G3985" s="24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5" t="str">
        <f>IF(J3985&lt;&gt;1,"",IF(I3985="SBJ","CB","?"))</f>
        <v> </v>
      </c>
      <c r="I3985" s="26" t="str">
        <f>IF(OR(E3985="",E3985="!!!",F3985="NEW"),"",INDEX(B3984:B$2,-1+SUMPRODUCT(MAX(ROW(E3984:E$2)*(E3985=E3984:E$2)))))</f>
        <v> </v>
      </c>
      <c r="J3985" s="26" t="str">
        <f>IF(OR(E3985="",E3985="!!!",F3985="NEW"),"",COUNTBLANK(OFFSET(A$1,,,SUMPRODUCT(MAX(ROW(E$2:E3985)*(E3985=E$2:E3985)))))-COUNTBLANK(OFFSET(A$1,,,SUMPRODUCT(MAX(ROW(E$1:E3984)*(E2=E$1:E3984))))))</f>
        <v> </v>
      </c>
      <c r="K3985" s="26" t="str">
        <f>IF(OR(E3985="",E3985="!!!",F3985="NEW"),"",INDEX(J$1:J3984,SUMPRODUCT(MAX(ROW(E$1:E3984)*(E3985=E$1:E3984)))))</f>
        <v> </v>
      </c>
      <c r="L3985" s="27"/>
    </row>
    <row r="3986" spans="1:12">
      <c r="A3986" s="20" t="s">
        <v>1085</v>
      </c>
      <c r="E3986" s="22">
        <f>IF(D3986="?OLD","!!!","")</f>
        <v/>
      </c>
      <c r="F3986" s="23" t="str">
        <f>IF(OR(E3986="",E3986="!!!"),"",IF(NOT(ISNA(VLOOKUP(E3986,E$1:E3985,1,FALSE()))),"OLD",IF(AND(E3986&lt;&gt;"",E3986&lt;&gt;"!!!"),"NEW","")))</f>
        <v> </v>
      </c>
      <c r="G3986" s="24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5" t="str">
        <f>IF(J3986&lt;&gt;1,"",IF(I3986="SBJ","CB","?"))</f>
        <v> </v>
      </c>
      <c r="I3986" s="26" t="str">
        <f>IF(OR(E3986="",E3986="!!!",F3986="NEW"),"",INDEX(B3985:B$2,-1+SUMPRODUCT(MAX(ROW(E3985:E$2)*(E3986=E3985:E$2)))))</f>
        <v> </v>
      </c>
      <c r="J3986" s="26" t="str">
        <f>IF(OR(E3986="",E3986="!!!",F3986="NEW"),"",COUNTBLANK(OFFSET(A$1,,,SUMPRODUCT(MAX(ROW(E$2:E3986)*(E3986=E$2:E3986)))))-COUNTBLANK(OFFSET(A$1,,,SUMPRODUCT(MAX(ROW(E$1:E3985)*(E2=E$1:E3985))))))</f>
        <v> </v>
      </c>
      <c r="K3986" s="26" t="str">
        <f>IF(OR(E3986="",E3986="!!!",F3986="NEW"),"",INDEX(J$1:J3985,SUMPRODUCT(MAX(ROW(E$1:E3985)*(E3986=E$1:E3985)))))</f>
        <v> </v>
      </c>
      <c r="L3986" s="27"/>
    </row>
    <row r="3987" spans="1:12">
      <c r="A3987" s="20" t="s">
        <v>1242</v>
      </c>
      <c r="E3987" s="22">
        <f>IF(D3987="?OLD","!!!","")</f>
        <v/>
      </c>
      <c r="F3987" s="23" t="str">
        <f>IF(OR(E3987="",E3987="!!!"),"",IF(NOT(ISNA(VLOOKUP(E3987,E$1:E3986,1,FALSE()))),"OLD",IF(AND(E3987&lt;&gt;"",E3987&lt;&gt;"!!!"),"NEW","")))</f>
        <v> </v>
      </c>
      <c r="G3987" s="24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5" t="str">
        <f>IF(J3987&lt;&gt;1,"",IF(I3987="SBJ","CB","?"))</f>
        <v> </v>
      </c>
      <c r="I3987" s="26" t="str">
        <f>IF(OR(E3987="",E3987="!!!",F3987="NEW"),"",INDEX(B3986:B$2,-1+SUMPRODUCT(MAX(ROW(E3986:E$2)*(E3987=E3986:E$2)))))</f>
        <v> </v>
      </c>
      <c r="J3987" s="26" t="str">
        <f>IF(OR(E3987="",E3987="!!!",F3987="NEW"),"",COUNTBLANK(OFFSET(A$1,,,SUMPRODUCT(MAX(ROW(E$2:E3987)*(E3987=E$2:E3987)))))-COUNTBLANK(OFFSET(A$1,,,SUMPRODUCT(MAX(ROW(E$1:E3986)*(E2=E$1:E3986))))))</f>
        <v> </v>
      </c>
      <c r="K3987" s="26" t="str">
        <f>IF(OR(E3987="",E3987="!!!",F3987="NEW"),"",INDEX(J$1:J3986,SUMPRODUCT(MAX(ROW(E$1:E3986)*(E3987=E$1:E3986)))))</f>
        <v> </v>
      </c>
      <c r="L3987" s="27"/>
    </row>
    <row r="3988" spans="1:12">
      <c r="A3988" s="20" t="s">
        <v>1790</v>
      </c>
      <c r="E3988" s="22">
        <f>IF(D3988="?OLD","!!!","")</f>
        <v/>
      </c>
      <c r="F3988" s="23" t="str">
        <f>IF(OR(E3988="",E3988="!!!"),"",IF(NOT(ISNA(VLOOKUP(E3988,E$1:E3987,1,FALSE()))),"OLD",IF(AND(E3988&lt;&gt;"",E3988&lt;&gt;"!!!"),"NEW","")))</f>
        <v> </v>
      </c>
      <c r="G3988" s="24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5" t="str">
        <f>IF(J3988&lt;&gt;1,"",IF(I3988="SBJ","CB","?"))</f>
        <v> </v>
      </c>
      <c r="I3988" s="26" t="str">
        <f>IF(OR(E3988="",E3988="!!!",F3988="NEW"),"",INDEX(B3987:B$2,-1+SUMPRODUCT(MAX(ROW(E3987:E$2)*(E3988=E3987:E$2)))))</f>
        <v> </v>
      </c>
      <c r="J3988" s="26" t="str">
        <f>IF(OR(E3988="",E3988="!!!",F3988="NEW"),"",COUNTBLANK(OFFSET(A$1,,,SUMPRODUCT(MAX(ROW(E$2:E3988)*(E3988=E$2:E3988)))))-COUNTBLANK(OFFSET(A$1,,,SUMPRODUCT(MAX(ROW(E$1:E3987)*(E2=E$1:E3987))))))</f>
        <v> </v>
      </c>
      <c r="K3988" s="26" t="str">
        <f>IF(OR(E3988="",E3988="!!!",F3988="NEW"),"",INDEX(J$1:J3987,SUMPRODUCT(MAX(ROW(E$1:E3987)*(E3988=E$1:E3987)))))</f>
        <v> </v>
      </c>
      <c r="L3988" s="27"/>
    </row>
    <row r="3989" spans="1:12">
      <c r="A3989" s="20" t="s">
        <v>2572</v>
      </c>
      <c r="E3989" s="22">
        <f>IF(D3989="?OLD","!!!","")</f>
        <v/>
      </c>
      <c r="F3989" s="23" t="str">
        <f>IF(OR(E3989="",E3989="!!!"),"",IF(NOT(ISNA(VLOOKUP(E3989,E$1:E3988,1,FALSE()))),"OLD",IF(AND(E3989&lt;&gt;"",E3989&lt;&gt;"!!!"),"NEW","")))</f>
        <v> </v>
      </c>
      <c r="G3989" s="24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5" t="str">
        <f>IF(J3989&lt;&gt;1,"",IF(I3989="SBJ","CB","?"))</f>
        <v> </v>
      </c>
      <c r="I3989" s="26" t="str">
        <f>IF(OR(E3989="",E3989="!!!",F3989="NEW"),"",INDEX(B3988:B$2,-1+SUMPRODUCT(MAX(ROW(E3988:E$2)*(E3989=E3988:E$2)))))</f>
        <v> </v>
      </c>
      <c r="J3989" s="26" t="str">
        <f>IF(OR(E3989="",E3989="!!!",F3989="NEW"),"",COUNTBLANK(OFFSET(A$1,,,SUMPRODUCT(MAX(ROW(E$2:E3989)*(E3989=E$2:E3989)))))-COUNTBLANK(OFFSET(A$1,,,SUMPRODUCT(MAX(ROW(E$1:E3988)*(E2=E$1:E3988))))))</f>
        <v> </v>
      </c>
      <c r="K3989" s="26" t="str">
        <f>IF(OR(E3989="",E3989="!!!",F3989="NEW"),"",INDEX(J$1:J3988,SUMPRODUCT(MAX(ROW(E$1:E3988)*(E3989=E$1:E3988)))))</f>
        <v> </v>
      </c>
      <c r="L3989" s="27"/>
    </row>
    <row r="3990" spans="1:12">
      <c r="A3990" s="20" t="s">
        <v>2573</v>
      </c>
      <c r="B3990" s="21" t="s">
        <v>1568</v>
      </c>
      <c r="E3990" s="22">
        <f>IF(D3990="?OLD","!!!","")</f>
        <v/>
      </c>
      <c r="F3990" s="23" t="str">
        <f>IF(OR(E3990="",E3990="!!!"),"",IF(NOT(ISNA(VLOOKUP(E3990,E$1:E3989,1,FALSE()))),"OLD",IF(AND(E3990&lt;&gt;"",E3990&lt;&gt;"!!!"),"NEW","")))</f>
        <v> </v>
      </c>
      <c r="G3990" s="24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5" t="str">
        <f>IF(J3990&lt;&gt;1,"",IF(I3990="SBJ","CB","?"))</f>
        <v> </v>
      </c>
      <c r="I3990" s="26" t="str">
        <f>IF(OR(E3990="",E3990="!!!",F3990="NEW"),"",INDEX(B3989:B$2,-1+SUMPRODUCT(MAX(ROW(E3989:E$2)*(E3990=E3989:E$2)))))</f>
        <v> </v>
      </c>
      <c r="J3990" s="26" t="str">
        <f>IF(OR(E3990="",E3990="!!!",F3990="NEW"),"",COUNTBLANK(OFFSET(A$1,,,SUMPRODUCT(MAX(ROW(E$2:E3990)*(E3990=E$2:E3990)))))-COUNTBLANK(OFFSET(A$1,,,SUMPRODUCT(MAX(ROW(E$1:E3989)*(E2=E$1:E3989))))))</f>
        <v> </v>
      </c>
      <c r="K3990" s="26" t="str">
        <f>IF(OR(E3990="",E3990="!!!",F3990="NEW"),"",INDEX(J$1:J3989,SUMPRODUCT(MAX(ROW(E$1:E3989)*(E3990=E$1:E3989)))))</f>
        <v> </v>
      </c>
      <c r="L3990" s="27"/>
    </row>
    <row r="3991" spans="1:12">
      <c r="A3991" s="20" t="s">
        <v>1240</v>
      </c>
      <c r="E3991" s="22">
        <f>IF(D3991="?OLD","!!!","")</f>
        <v/>
      </c>
      <c r="F3991" s="23" t="str">
        <f>IF(OR(E3991="",E3991="!!!"),"",IF(NOT(ISNA(VLOOKUP(E3991,E$1:E3990,1,FALSE()))),"OLD",IF(AND(E3991&lt;&gt;"",E3991&lt;&gt;"!!!"),"NEW","")))</f>
        <v> </v>
      </c>
      <c r="G3991" s="24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5" t="str">
        <f>IF(J3991&lt;&gt;1,"",IF(I3991="SBJ","CB","?"))</f>
        <v> </v>
      </c>
      <c r="I3991" s="26" t="str">
        <f>IF(OR(E3991="",E3991="!!!",F3991="NEW"),"",INDEX(B3990:B$2,-1+SUMPRODUCT(MAX(ROW(E3990:E$2)*(E3991=E3990:E$2)))))</f>
        <v> </v>
      </c>
      <c r="J3991" s="26" t="str">
        <f>IF(OR(E3991="",E3991="!!!",F3991="NEW"),"",COUNTBLANK(OFFSET(A$1,,,SUMPRODUCT(MAX(ROW(E$2:E3991)*(E3991=E$2:E3991)))))-COUNTBLANK(OFFSET(A$1,,,SUMPRODUCT(MAX(ROW(E$1:E3990)*(E2=E$1:E3990))))))</f>
        <v> </v>
      </c>
      <c r="K3991" s="26" t="str">
        <f>IF(OR(E3991="",E3991="!!!",F3991="NEW"),"",INDEX(J$1:J3990,SUMPRODUCT(MAX(ROW(E$1:E3990)*(E3991=E$1:E3990)))))</f>
        <v> </v>
      </c>
      <c r="L3991" s="27"/>
    </row>
    <row r="3992" spans="1:12">
      <c r="A3992" s="20" t="s">
        <v>2574</v>
      </c>
      <c r="E3992" s="22">
        <f>IF(D3992="?OLD","!!!","")</f>
        <v/>
      </c>
      <c r="F3992" s="23" t="str">
        <f>IF(OR(E3992="",E3992="!!!"),"",IF(NOT(ISNA(VLOOKUP(E3992,E$1:E3991,1,FALSE()))),"OLD",IF(AND(E3992&lt;&gt;"",E3992&lt;&gt;"!!!"),"NEW","")))</f>
        <v> </v>
      </c>
      <c r="G3992" s="24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5" t="str">
        <f>IF(J3992&lt;&gt;1,"",IF(I3992="SBJ","CB","?"))</f>
        <v> </v>
      </c>
      <c r="I3992" s="26" t="str">
        <f>IF(OR(E3992="",E3992="!!!",F3992="NEW"),"",INDEX(B3991:B$2,-1+SUMPRODUCT(MAX(ROW(E3991:E$2)*(E3992=E3991:E$2)))))</f>
        <v> </v>
      </c>
      <c r="J3992" s="26" t="str">
        <f>IF(OR(E3992="",E3992="!!!",F3992="NEW"),"",COUNTBLANK(OFFSET(A$1,,,SUMPRODUCT(MAX(ROW(E$2:E3992)*(E3992=E$2:E3992)))))-COUNTBLANK(OFFSET(A$1,,,SUMPRODUCT(MAX(ROW(E$1:E3991)*(E2=E$1:E3991))))))</f>
        <v> </v>
      </c>
      <c r="K3992" s="26" t="str">
        <f>IF(OR(E3992="",E3992="!!!",F3992="NEW"),"",INDEX(J$1:J3991,SUMPRODUCT(MAX(ROW(E$1:E3991)*(E3992=E$1:E3991)))))</f>
        <v> </v>
      </c>
      <c r="L3992" s="27"/>
    </row>
    <row r="3993" spans="1:12">
      <c r="A3993" s="20" t="s">
        <v>1112</v>
      </c>
      <c r="E3993" s="22">
        <f>IF(D3993="?OLD","!!!","")</f>
        <v/>
      </c>
      <c r="F3993" s="23" t="str">
        <f>IF(OR(E3993="",E3993="!!!"),"",IF(NOT(ISNA(VLOOKUP(E3993,E$1:E3992,1,FALSE()))),"OLD",IF(AND(E3993&lt;&gt;"",E3993&lt;&gt;"!!!"),"NEW","")))</f>
        <v> </v>
      </c>
      <c r="G3993" s="24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5" t="str">
        <f>IF(J3993&lt;&gt;1,"",IF(I3993="SBJ","CB","?"))</f>
        <v> </v>
      </c>
      <c r="I3993" s="26" t="str">
        <f>IF(OR(E3993="",E3993="!!!",F3993="NEW"),"",INDEX(B3992:B$2,-1+SUMPRODUCT(MAX(ROW(E3992:E$2)*(E3993=E3992:E$2)))))</f>
        <v> </v>
      </c>
      <c r="J3993" s="26" t="str">
        <f>IF(OR(E3993="",E3993="!!!",F3993="NEW"),"",COUNTBLANK(OFFSET(A$1,,,SUMPRODUCT(MAX(ROW(E$2:E3993)*(E3993=E$2:E3993)))))-COUNTBLANK(OFFSET(A$1,,,SUMPRODUCT(MAX(ROW(E$1:E3992)*(E2=E$1:E3992))))))</f>
        <v> </v>
      </c>
      <c r="K3993" s="26" t="str">
        <f>IF(OR(E3993="",E3993="!!!",F3993="NEW"),"",INDEX(J$1:J3992,SUMPRODUCT(MAX(ROW(E$1:E3992)*(E3993=E$1:E3992)))))</f>
        <v> </v>
      </c>
      <c r="L3993" s="27"/>
    </row>
    <row r="3994" spans="1:12">
      <c r="A3994" s="20" t="s">
        <v>2276</v>
      </c>
      <c r="E3994" s="22">
        <f>IF(D3994="?OLD","!!!","")</f>
        <v/>
      </c>
      <c r="F3994" s="23" t="str">
        <f>IF(OR(E3994="",E3994="!!!"),"",IF(NOT(ISNA(VLOOKUP(E3994,E$1:E3993,1,FALSE()))),"OLD",IF(AND(E3994&lt;&gt;"",E3994&lt;&gt;"!!!"),"NEW","")))</f>
        <v> </v>
      </c>
      <c r="G3994" s="24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5" t="str">
        <f>IF(J3994&lt;&gt;1,"",IF(I3994="SBJ","CB","?"))</f>
        <v> </v>
      </c>
      <c r="I3994" s="26" t="str">
        <f>IF(OR(E3994="",E3994="!!!",F3994="NEW"),"",INDEX(B3993:B$2,-1+SUMPRODUCT(MAX(ROW(E3993:E$2)*(E3994=E3993:E$2)))))</f>
        <v> </v>
      </c>
      <c r="J3994" s="26" t="str">
        <f>IF(OR(E3994="",E3994="!!!",F3994="NEW"),"",COUNTBLANK(OFFSET(A$1,,,SUMPRODUCT(MAX(ROW(E$2:E3994)*(E3994=E$2:E3994)))))-COUNTBLANK(OFFSET(A$1,,,SUMPRODUCT(MAX(ROW(E$1:E3993)*(E2=E$1:E3993))))))</f>
        <v> </v>
      </c>
      <c r="K3994" s="26" t="str">
        <f>IF(OR(E3994="",E3994="!!!",F3994="NEW"),"",INDEX(J$1:J3993,SUMPRODUCT(MAX(ROW(E$1:E3993)*(E3994=E$1:E3993)))))</f>
        <v> </v>
      </c>
      <c r="L3994" s="27"/>
    </row>
    <row r="3995" spans="1:12">
      <c r="A3995" s="20" t="s">
        <v>496</v>
      </c>
      <c r="E3995" s="22">
        <f>IF(D3995="?OLD","!!!","")</f>
        <v/>
      </c>
      <c r="F3995" s="23" t="str">
        <f>IF(OR(E3995="",E3995="!!!"),"",IF(NOT(ISNA(VLOOKUP(E3995,E$1:E3994,1,FALSE()))),"OLD",IF(AND(E3995&lt;&gt;"",E3995&lt;&gt;"!!!"),"NEW","")))</f>
        <v> </v>
      </c>
      <c r="G3995" s="24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5" t="str">
        <f>IF(J3995&lt;&gt;1,"",IF(I3995="SBJ","CB","?"))</f>
        <v> </v>
      </c>
      <c r="I3995" s="26" t="str">
        <f>IF(OR(E3995="",E3995="!!!",F3995="NEW"),"",INDEX(B3994:B$2,-1+SUMPRODUCT(MAX(ROW(E3994:E$2)*(E3995=E3994:E$2)))))</f>
        <v> </v>
      </c>
      <c r="J3995" s="26" t="str">
        <f>IF(OR(E3995="",E3995="!!!",F3995="NEW"),"",COUNTBLANK(OFFSET(A$1,,,SUMPRODUCT(MAX(ROW(E$2:E3995)*(E3995=E$2:E3995)))))-COUNTBLANK(OFFSET(A$1,,,SUMPRODUCT(MAX(ROW(E$1:E3994)*(E2=E$1:E3994))))))</f>
        <v> </v>
      </c>
      <c r="K3995" s="26" t="str">
        <f>IF(OR(E3995="",E3995="!!!",F3995="NEW"),"",INDEX(J$1:J3994,SUMPRODUCT(MAX(ROW(E$1:E3994)*(E3995=E$1:E3994)))))</f>
        <v> </v>
      </c>
      <c r="L3995" s="27"/>
    </row>
    <row r="3996" spans="1:12">
      <c r="A3996" s="20" t="s">
        <v>1249</v>
      </c>
      <c r="B3996" s="21" t="s">
        <v>2575</v>
      </c>
      <c r="C3996" s="21" t="s">
        <v>1081</v>
      </c>
      <c r="D3996" s="21" t="s">
        <v>1074</v>
      </c>
      <c r="E3996" s="22">
        <f>IF(D3996="?OLD","!!!","")</f>
        <v/>
      </c>
      <c r="F3996" s="23" t="str">
        <f>IF(OR(E3996="",E3996="!!!"),"",IF(NOT(ISNA(VLOOKUP(E3996,E$1:E3995,1,FALSE()))),"OLD",IF(AND(E3996&lt;&gt;"",E3996&lt;&gt;"!!!"),"NEW","")))</f>
        <v> </v>
      </c>
      <c r="G3996" s="24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5" t="str">
        <f>IF(J3996&lt;&gt;1,"",IF(I3996="SBJ","CB","?"))</f>
        <v> </v>
      </c>
      <c r="I3996" s="26" t="str">
        <f>IF(OR(E3996="",E3996="!!!",F3996="NEW"),"",INDEX(B3995:B$2,-1+SUMPRODUCT(MAX(ROW(E3995:E$2)*(E3996=E3995:E$2)))))</f>
        <v> </v>
      </c>
      <c r="J3996" s="26" t="str">
        <f>IF(OR(E3996="",E3996="!!!",F3996="NEW"),"",COUNTBLANK(OFFSET(A$1,,,SUMPRODUCT(MAX(ROW(E$2:E3996)*(E3996=E$2:E3996)))))-COUNTBLANK(OFFSET(A$1,,,SUMPRODUCT(MAX(ROW(E$1:E3995)*(E2=E$1:E3995))))))</f>
        <v> </v>
      </c>
      <c r="K3996" s="26" t="str">
        <f>IF(OR(E3996="",E3996="!!!",F3996="NEW"),"",INDEX(J$1:J3995,SUMPRODUCT(MAX(ROW(E$1:E3995)*(E3996=E$1:E3995)))))</f>
        <v> </v>
      </c>
      <c r="L3996" s="27"/>
    </row>
    <row r="3997" spans="1:12">
      <c r="A3997" s="20" t="s">
        <v>2576</v>
      </c>
      <c r="E3997" s="22">
        <f>IF(D3997="?OLD","!!!","")</f>
        <v/>
      </c>
      <c r="F3997" s="23" t="str">
        <f>IF(OR(E3997="",E3997="!!!"),"",IF(NOT(ISNA(VLOOKUP(E3997,E$1:E3996,1,FALSE()))),"OLD",IF(AND(E3997&lt;&gt;"",E3997&lt;&gt;"!!!"),"NEW","")))</f>
        <v> </v>
      </c>
      <c r="G3997" s="24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5" t="str">
        <f>IF(J3997&lt;&gt;1,"",IF(I3997="SBJ","CB","?"))</f>
        <v> </v>
      </c>
      <c r="I3997" s="26" t="str">
        <f>IF(OR(E3997="",E3997="!!!",F3997="NEW"),"",INDEX(B3996:B$2,-1+SUMPRODUCT(MAX(ROW(E3996:E$2)*(E3997=E3996:E$2)))))</f>
        <v> </v>
      </c>
      <c r="J3997" s="26" t="str">
        <f>IF(OR(E3997="",E3997="!!!",F3997="NEW"),"",COUNTBLANK(OFFSET(A$1,,,SUMPRODUCT(MAX(ROW(E$2:E3997)*(E3997=E$2:E3997)))))-COUNTBLANK(OFFSET(A$1,,,SUMPRODUCT(MAX(ROW(E$1:E3996)*(E2=E$1:E3996))))))</f>
        <v> </v>
      </c>
      <c r="K3997" s="26" t="str">
        <f>IF(OR(E3997="",E3997="!!!",F3997="NEW"),"",INDEX(J$1:J3996,SUMPRODUCT(MAX(ROW(E$1:E3996)*(E3997=E$1:E3996)))))</f>
        <v> </v>
      </c>
      <c r="L3997" s="27"/>
    </row>
    <row r="3998" spans="1:12">
      <c r="A3998" s="20" t="s">
        <v>1106</v>
      </c>
      <c r="E3998" s="22">
        <f>IF(D3998="?OLD","!!!","")</f>
        <v/>
      </c>
      <c r="F3998" s="23" t="str">
        <f>IF(OR(E3998="",E3998="!!!"),"",IF(NOT(ISNA(VLOOKUP(E3998,E$1:E3997,1,FALSE()))),"OLD",IF(AND(E3998&lt;&gt;"",E3998&lt;&gt;"!!!"),"NEW","")))</f>
        <v> </v>
      </c>
      <c r="G3998" s="24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5" t="str">
        <f>IF(J3998&lt;&gt;1,"",IF(I3998="SBJ","CB","?"))</f>
        <v> </v>
      </c>
      <c r="I3998" s="26" t="str">
        <f>IF(OR(E3998="",E3998="!!!",F3998="NEW"),"",INDEX(B3997:B$2,-1+SUMPRODUCT(MAX(ROW(E3997:E$2)*(E3998=E3997:E$2)))))</f>
        <v> </v>
      </c>
      <c r="J3998" s="26" t="str">
        <f>IF(OR(E3998="",E3998="!!!",F3998="NEW"),"",COUNTBLANK(OFFSET(A$1,,,SUMPRODUCT(MAX(ROW(E$2:E3998)*(E3998=E$2:E3998)))))-COUNTBLANK(OFFSET(A$1,,,SUMPRODUCT(MAX(ROW(E$1:E3997)*(E2=E$1:E3997))))))</f>
        <v> </v>
      </c>
      <c r="K3998" s="26" t="str">
        <f>IF(OR(E3998="",E3998="!!!",F3998="NEW"),"",INDEX(J$1:J3997,SUMPRODUCT(MAX(ROW(E$1:E3997)*(E3998=E$1:E3997)))))</f>
        <v> </v>
      </c>
      <c r="L3998" s="27"/>
    </row>
    <row r="3999" spans="1:12">
      <c r="A3999" s="20"/>
    </row>
    <row r="4000" spans="1:12">
      <c r="A4000" s="20" t="s">
        <v>2577</v>
      </c>
    </row>
    <row r="4001" spans="1:12">
      <c r="A4001" s="20" t="s">
        <v>1540</v>
      </c>
      <c r="B4001" s="21" t="s">
        <v>1109</v>
      </c>
      <c r="C4001" s="21" t="s">
        <v>1081</v>
      </c>
      <c r="D4001" s="21" t="s">
        <v>1074</v>
      </c>
      <c r="E4001" s="22">
        <f>IF(D4001="?OLD","!!!","")</f>
        <v/>
      </c>
      <c r="F4001" s="23" t="str">
        <f>IF(OR(E4001="",E4001="!!!"),"",IF(NOT(ISNA(VLOOKUP(E4001,E$1:E4000,1,FALSE()))),"OLD",IF(AND(E4001&lt;&gt;"",E4001&lt;&gt;"!!!"),"NEW","")))</f>
        <v> </v>
      </c>
      <c r="G4001" s="24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5" t="str">
        <f>IF(J4001&lt;&gt;1,"",IF(I4001="SBJ","CB","?"))</f>
        <v> </v>
      </c>
      <c r="I4001" s="26" t="str">
        <f>IF(OR(E4001="",E4001="!!!",F4001="NEW"),"",INDEX(B4000:B$2,-1+SUMPRODUCT(MAX(ROW(E4000:E$2)*(E4001=E4000:E$2)))))</f>
        <v> </v>
      </c>
      <c r="J4001" s="26" t="str">
        <f>IF(OR(E4001="",E4001="!!!",F4001="NEW"),"",COUNTBLANK(OFFSET(A$1,,,SUMPRODUCT(MAX(ROW(E$2:E4001)*(E4001=E$2:E4001)))))-COUNTBLANK(OFFSET(A$1,,,SUMPRODUCT(MAX(ROW(E$1:E4000)*(E2=E$1:E4000))))))</f>
        <v> </v>
      </c>
      <c r="K4001" s="26" t="str">
        <f>IF(OR(E4001="",E4001="!!!",F4001="NEW"),"",INDEX(J$1:J4000,SUMPRODUCT(MAX(ROW(E$1:E4000)*(E4001=E$1:E4000)))))</f>
        <v> </v>
      </c>
      <c r="L4001" s="27"/>
    </row>
    <row r="4002" spans="1:12">
      <c r="A4002" s="20" t="s">
        <v>1536</v>
      </c>
      <c r="E4002" s="22">
        <f>IF(D4002="?OLD","!!!","")</f>
        <v/>
      </c>
      <c r="F4002" s="23" t="str">
        <f>IF(OR(E4002="",E4002="!!!"),"",IF(NOT(ISNA(VLOOKUP(E4002,E$1:E4001,1,FALSE()))),"OLD",IF(AND(E4002&lt;&gt;"",E4002&lt;&gt;"!!!"),"NEW","")))</f>
        <v> </v>
      </c>
      <c r="G4002" s="24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5" t="str">
        <f>IF(J4002&lt;&gt;1,"",IF(I4002="SBJ","CB","?"))</f>
        <v> </v>
      </c>
      <c r="I4002" s="26" t="str">
        <f>IF(OR(E4002="",E4002="!!!",F4002="NEW"),"",INDEX(B4001:B$2,-1+SUMPRODUCT(MAX(ROW(E4001:E$2)*(E4002=E4001:E$2)))))</f>
        <v> </v>
      </c>
      <c r="J4002" s="26" t="str">
        <f>IF(OR(E4002="",E4002="!!!",F4002="NEW"),"",COUNTBLANK(OFFSET(A$1,,,SUMPRODUCT(MAX(ROW(E$2:E4002)*(E4002=E$2:E4002)))))-COUNTBLANK(OFFSET(A$1,,,SUMPRODUCT(MAX(ROW(E$1:E4001)*(E2=E$1:E4001))))))</f>
        <v> </v>
      </c>
      <c r="K4002" s="26" t="str">
        <f>IF(OR(E4002="",E4002="!!!",F4002="NEW"),"",INDEX(J$1:J4001,SUMPRODUCT(MAX(ROW(E$1:E4001)*(E4002=E$1:E4001)))))</f>
        <v> </v>
      </c>
      <c r="L4002" s="27"/>
    </row>
    <row r="4003" spans="1:12">
      <c r="A4003" s="20" t="s">
        <v>2578</v>
      </c>
      <c r="E4003" s="22">
        <f>IF(D4003="?OLD","!!!","")</f>
        <v/>
      </c>
      <c r="F4003" s="23" t="str">
        <f>IF(OR(E4003="",E4003="!!!"),"",IF(NOT(ISNA(VLOOKUP(E4003,E$1:E4002,1,FALSE()))),"OLD",IF(AND(E4003&lt;&gt;"",E4003&lt;&gt;"!!!"),"NEW","")))</f>
        <v> </v>
      </c>
      <c r="G4003" s="24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5" t="str">
        <f>IF(J4003&lt;&gt;1,"",IF(I4003="SBJ","CB","?"))</f>
        <v> </v>
      </c>
      <c r="I4003" s="26" t="str">
        <f>IF(OR(E4003="",E4003="!!!",F4003="NEW"),"",INDEX(B4002:B$2,-1+SUMPRODUCT(MAX(ROW(E4002:E$2)*(E4003=E4002:E$2)))))</f>
        <v> </v>
      </c>
      <c r="J4003" s="26" t="str">
        <f>IF(OR(E4003="",E4003="!!!",F4003="NEW"),"",COUNTBLANK(OFFSET(A$1,,,SUMPRODUCT(MAX(ROW(E$2:E4003)*(E4003=E$2:E4003)))))-COUNTBLANK(OFFSET(A$1,,,SUMPRODUCT(MAX(ROW(E$1:E4002)*(E2=E$1:E4002))))))</f>
        <v> </v>
      </c>
      <c r="K4003" s="26" t="str">
        <f>IF(OR(E4003="",E4003="!!!",F4003="NEW"),"",INDEX(J$1:J4002,SUMPRODUCT(MAX(ROW(E$1:E4002)*(E4003=E$1:E4002)))))</f>
        <v> </v>
      </c>
      <c r="L4003" s="27"/>
    </row>
    <row r="4004" spans="1:12">
      <c r="A4004" s="20" t="s">
        <v>1317</v>
      </c>
      <c r="B4004" s="21" t="s">
        <v>1227</v>
      </c>
      <c r="E4004" s="22">
        <f>IF(D4004="?OLD","!!!","")</f>
        <v/>
      </c>
      <c r="F4004" s="23" t="str">
        <f>IF(OR(E4004="",E4004="!!!"),"",IF(NOT(ISNA(VLOOKUP(E4004,E$1:E4003,1,FALSE()))),"OLD",IF(AND(E4004&lt;&gt;"",E4004&lt;&gt;"!!!"),"NEW","")))</f>
        <v> </v>
      </c>
      <c r="G4004" s="24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5" t="str">
        <f>IF(J4004&lt;&gt;1,"",IF(I4004="SBJ","CB","?"))</f>
        <v> </v>
      </c>
      <c r="I4004" s="26" t="str">
        <f>IF(OR(E4004="",E4004="!!!",F4004="NEW"),"",INDEX(B4003:B$2,-1+SUMPRODUCT(MAX(ROW(E4003:E$2)*(E4004=E4003:E$2)))))</f>
        <v> </v>
      </c>
      <c r="J4004" s="26" t="str">
        <f>IF(OR(E4004="",E4004="!!!",F4004="NEW"),"",COUNTBLANK(OFFSET(A$1,,,SUMPRODUCT(MAX(ROW(E$2:E4004)*(E4004=E$2:E4004)))))-COUNTBLANK(OFFSET(A$1,,,SUMPRODUCT(MAX(ROW(E$1:E4003)*(E2=E$1:E4003))))))</f>
        <v> </v>
      </c>
      <c r="K4004" s="26" t="str">
        <f>IF(OR(E4004="",E4004="!!!",F4004="NEW"),"",INDEX(J$1:J4003,SUMPRODUCT(MAX(ROW(E$1:E4003)*(E4004=E$1:E4003)))))</f>
        <v> </v>
      </c>
      <c r="L4004" s="27"/>
    </row>
    <row r="4005" spans="1:12">
      <c r="A4005" s="20" t="s">
        <v>1106</v>
      </c>
      <c r="E4005" s="22">
        <f>IF(D4005="?OLD","!!!","")</f>
        <v/>
      </c>
      <c r="F4005" s="23" t="str">
        <f>IF(OR(E4005="",E4005="!!!"),"",IF(NOT(ISNA(VLOOKUP(E4005,E$1:E4004,1,FALSE()))),"OLD",IF(AND(E4005&lt;&gt;"",E4005&lt;&gt;"!!!"),"NEW","")))</f>
        <v> </v>
      </c>
      <c r="G4005" s="24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5" t="str">
        <f>IF(J4005&lt;&gt;1,"",IF(I4005="SBJ","CB","?"))</f>
        <v> </v>
      </c>
      <c r="I4005" s="26" t="str">
        <f>IF(OR(E4005="",E4005="!!!",F4005="NEW"),"",INDEX(B4004:B$2,-1+SUMPRODUCT(MAX(ROW(E4004:E$2)*(E4005=E4004:E$2)))))</f>
        <v> </v>
      </c>
      <c r="J4005" s="26" t="str">
        <f>IF(OR(E4005="",E4005="!!!",F4005="NEW"),"",COUNTBLANK(OFFSET(A$1,,,SUMPRODUCT(MAX(ROW(E$2:E4005)*(E4005=E$2:E4005)))))-COUNTBLANK(OFFSET(A$1,,,SUMPRODUCT(MAX(ROW(E$1:E4004)*(E2=E$1:E4004))))))</f>
        <v> </v>
      </c>
      <c r="K4005" s="26" t="str">
        <f>IF(OR(E4005="",E4005="!!!",F4005="NEW"),"",INDEX(J$1:J4004,SUMPRODUCT(MAX(ROW(E$1:E4004)*(E4005=E$1:E4004)))))</f>
        <v> </v>
      </c>
      <c r="L4005" s="27"/>
    </row>
    <row r="4006" spans="1:12">
      <c r="A4006" s="20"/>
    </row>
    <row r="4007" spans="1:12">
      <c r="A4007" s="20" t="s">
        <v>2579</v>
      </c>
    </row>
    <row r="4008" spans="1:12">
      <c r="A4008" s="20" t="s">
        <v>1268</v>
      </c>
      <c r="E4008" s="22">
        <f>IF(D4008="?OLD","!!!","")</f>
        <v/>
      </c>
      <c r="F4008" s="23" t="str">
        <f>IF(OR(E4008="",E4008="!!!"),"",IF(NOT(ISNA(VLOOKUP(E4008,E$1:E4007,1,FALSE()))),"OLD",IF(AND(E4008&lt;&gt;"",E4008&lt;&gt;"!!!"),"NEW","")))</f>
        <v> </v>
      </c>
      <c r="G4008" s="24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5" t="str">
        <f>IF(J4008&lt;&gt;1,"",IF(I4008="SBJ","CB","?"))</f>
        <v> </v>
      </c>
      <c r="I4008" s="26" t="str">
        <f>IF(OR(E4008="",E4008="!!!",F4008="NEW"),"",INDEX(B4007:B$2,-1+SUMPRODUCT(MAX(ROW(E4007:E$2)*(E4008=E4007:E$2)))))</f>
        <v> </v>
      </c>
      <c r="J4008" s="26" t="str">
        <f>IF(OR(E4008="",E4008="!!!",F4008="NEW"),"",COUNTBLANK(OFFSET(A$1,,,SUMPRODUCT(MAX(ROW(E$2:E4008)*(E4008=E$2:E4008)))))-COUNTBLANK(OFFSET(A$1,,,SUMPRODUCT(MAX(ROW(E$1:E4007)*(E2=E$1:E4007))))))</f>
        <v> </v>
      </c>
      <c r="K4008" s="26" t="str">
        <f>IF(OR(E4008="",E4008="!!!",F4008="NEW"),"",INDEX(J$1:J4007,SUMPRODUCT(MAX(ROW(E$1:E4007)*(E4008=E$1:E4007)))))</f>
        <v> </v>
      </c>
      <c r="L4008" s="27"/>
    </row>
    <row r="4009" spans="1:12">
      <c r="A4009" s="20" t="s">
        <v>1085</v>
      </c>
      <c r="E4009" s="22">
        <f>IF(D4009="?OLD","!!!","")</f>
        <v/>
      </c>
      <c r="F4009" s="23" t="str">
        <f>IF(OR(E4009="",E4009="!!!"),"",IF(NOT(ISNA(VLOOKUP(E4009,E$1:E4008,1,FALSE()))),"OLD",IF(AND(E4009&lt;&gt;"",E4009&lt;&gt;"!!!"),"NEW","")))</f>
        <v> </v>
      </c>
      <c r="G4009" s="24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5" t="str">
        <f>IF(J4009&lt;&gt;1,"",IF(I4009="SBJ","CB","?"))</f>
        <v> </v>
      </c>
      <c r="I4009" s="26" t="str">
        <f>IF(OR(E4009="",E4009="!!!",F4009="NEW"),"",INDEX(B4008:B$2,-1+SUMPRODUCT(MAX(ROW(E4008:E$2)*(E4009=E4008:E$2)))))</f>
        <v> </v>
      </c>
      <c r="J4009" s="26" t="str">
        <f>IF(OR(E4009="",E4009="!!!",F4009="NEW"),"",COUNTBLANK(OFFSET(A$1,,,SUMPRODUCT(MAX(ROW(E$2:E4009)*(E4009=E$2:E4009)))))-COUNTBLANK(OFFSET(A$1,,,SUMPRODUCT(MAX(ROW(E$1:E4008)*(E2=E$1:E4008))))))</f>
        <v> </v>
      </c>
      <c r="K4009" s="26" t="str">
        <f>IF(OR(E4009="",E4009="!!!",F4009="NEW"),"",INDEX(J$1:J4008,SUMPRODUCT(MAX(ROW(E$1:E4008)*(E4009=E$1:E4008)))))</f>
        <v> </v>
      </c>
      <c r="L4009" s="27"/>
    </row>
    <row r="4010" spans="1:12">
      <c r="A4010" s="20" t="s">
        <v>1087</v>
      </c>
      <c r="B4010" s="21" t="s">
        <v>1109</v>
      </c>
      <c r="C4010" s="21" t="s">
        <v>1081</v>
      </c>
      <c r="D4010" s="21" t="s">
        <v>1074</v>
      </c>
      <c r="E4010" s="22">
        <f>IF(D4010="?OLD","!!!","")</f>
        <v/>
      </c>
      <c r="F4010" s="23" t="str">
        <f>IF(OR(E4010="",E4010="!!!"),"",IF(NOT(ISNA(VLOOKUP(E4010,E$1:E4009,1,FALSE()))),"OLD",IF(AND(E4010&lt;&gt;"",E4010&lt;&gt;"!!!"),"NEW","")))</f>
        <v> </v>
      </c>
      <c r="G4010" s="24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5" t="str">
        <f>IF(J4010&lt;&gt;1,"",IF(I4010="SBJ","CB","?"))</f>
        <v> </v>
      </c>
      <c r="I4010" s="26" t="str">
        <f>IF(OR(E4010="",E4010="!!!",F4010="NEW"),"",INDEX(B4009:B$2,-1+SUMPRODUCT(MAX(ROW(E4009:E$2)*(E4010=E4009:E$2)))))</f>
        <v> </v>
      </c>
      <c r="J4010" s="26" t="str">
        <f>IF(OR(E4010="",E4010="!!!",F4010="NEW"),"",COUNTBLANK(OFFSET(A$1,,,SUMPRODUCT(MAX(ROW(E$2:E4010)*(E4010=E$2:E4010)))))-COUNTBLANK(OFFSET(A$1,,,SUMPRODUCT(MAX(ROW(E$1:E4009)*(E2=E$1:E4009))))))</f>
        <v> </v>
      </c>
      <c r="K4010" s="26" t="str">
        <f>IF(OR(E4010="",E4010="!!!",F4010="NEW"),"",INDEX(J$1:J4009,SUMPRODUCT(MAX(ROW(E$1:E4009)*(E4010=E$1:E4009)))))</f>
        <v> </v>
      </c>
      <c r="L4010" s="27"/>
    </row>
    <row r="4011" spans="1:12">
      <c r="A4011" s="20" t="s">
        <v>1251</v>
      </c>
      <c r="E4011" s="22">
        <f>IF(D4011="?OLD","!!!","")</f>
        <v/>
      </c>
      <c r="F4011" s="23" t="str">
        <f>IF(OR(E4011="",E4011="!!!"),"",IF(NOT(ISNA(VLOOKUP(E4011,E$1:E4010,1,FALSE()))),"OLD",IF(AND(E4011&lt;&gt;"",E4011&lt;&gt;"!!!"),"NEW","")))</f>
        <v> </v>
      </c>
      <c r="G4011" s="24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5" t="str">
        <f>IF(J4011&lt;&gt;1,"",IF(I4011="SBJ","CB","?"))</f>
        <v> </v>
      </c>
      <c r="I4011" s="26" t="str">
        <f>IF(OR(E4011="",E4011="!!!",F4011="NEW"),"",INDEX(B4010:B$2,-1+SUMPRODUCT(MAX(ROW(E4010:E$2)*(E4011=E4010:E$2)))))</f>
        <v> </v>
      </c>
      <c r="J4011" s="26" t="str">
        <f>IF(OR(E4011="",E4011="!!!",F4011="NEW"),"",COUNTBLANK(OFFSET(A$1,,,SUMPRODUCT(MAX(ROW(E$2:E4011)*(E4011=E$2:E4011)))))-COUNTBLANK(OFFSET(A$1,,,SUMPRODUCT(MAX(ROW(E$1:E4010)*(E2=E$1:E4010))))))</f>
        <v> </v>
      </c>
      <c r="K4011" s="26" t="str">
        <f>IF(OR(E4011="",E4011="!!!",F4011="NEW"),"",INDEX(J$1:J4010,SUMPRODUCT(MAX(ROW(E$1:E4010)*(E4011=E$1:E4010)))))</f>
        <v> </v>
      </c>
      <c r="L4011" s="27"/>
    </row>
    <row r="4012" spans="1:12">
      <c r="A4012" s="20" t="s">
        <v>1893</v>
      </c>
      <c r="B4012" s="21" t="s">
        <v>1072</v>
      </c>
      <c r="C4012" s="21" t="s">
        <v>1081</v>
      </c>
      <c r="D4012" s="21" t="s">
        <v>1074</v>
      </c>
      <c r="E4012" s="22">
        <f>IF(D4012="?OLD","!!!","")</f>
        <v/>
      </c>
      <c r="F4012" s="23" t="str">
        <f>IF(OR(E4012="",E4012="!!!"),"",IF(NOT(ISNA(VLOOKUP(E4012,E$1:E4011,1,FALSE()))),"OLD",IF(AND(E4012&lt;&gt;"",E4012&lt;&gt;"!!!"),"NEW","")))</f>
        <v> </v>
      </c>
      <c r="G4012" s="24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5" t="str">
        <f>IF(J4012&lt;&gt;1,"",IF(I4012="SBJ","CB","?"))</f>
        <v> </v>
      </c>
      <c r="I4012" s="26" t="str">
        <f>IF(OR(E4012="",E4012="!!!",F4012="NEW"),"",INDEX(B4011:B$2,-1+SUMPRODUCT(MAX(ROW(E4011:E$2)*(E4012=E4011:E$2)))))</f>
        <v> </v>
      </c>
      <c r="J4012" s="26" t="str">
        <f>IF(OR(E4012="",E4012="!!!",F4012="NEW"),"",COUNTBLANK(OFFSET(A$1,,,SUMPRODUCT(MAX(ROW(E$2:E4012)*(E4012=E$2:E4012)))))-COUNTBLANK(OFFSET(A$1,,,SUMPRODUCT(MAX(ROW(E$1:E4011)*(E2=E$1:E4011))))))</f>
        <v> </v>
      </c>
      <c r="K4012" s="26" t="str">
        <f>IF(OR(E4012="",E4012="!!!",F4012="NEW"),"",INDEX(J$1:J4011,SUMPRODUCT(MAX(ROW(E$1:E4011)*(E4012=E$1:E4011)))))</f>
        <v> </v>
      </c>
      <c r="L4012" s="27"/>
    </row>
    <row r="4013" spans="1:12">
      <c r="A4013" s="20" t="s">
        <v>2580</v>
      </c>
      <c r="E4013" s="22">
        <f>IF(D4013="?OLD","!!!","")</f>
        <v/>
      </c>
      <c r="F4013" s="23" t="str">
        <f>IF(OR(E4013="",E4013="!!!"),"",IF(NOT(ISNA(VLOOKUP(E4013,E$1:E4012,1,FALSE()))),"OLD",IF(AND(E4013&lt;&gt;"",E4013&lt;&gt;"!!!"),"NEW","")))</f>
        <v> </v>
      </c>
      <c r="G4013" s="24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5" t="str">
        <f>IF(J4013&lt;&gt;1,"",IF(I4013="SBJ","CB","?"))</f>
        <v> </v>
      </c>
      <c r="I4013" s="26" t="str">
        <f>IF(OR(E4013="",E4013="!!!",F4013="NEW"),"",INDEX(B4012:B$2,-1+SUMPRODUCT(MAX(ROW(E4012:E$2)*(E4013=E4012:E$2)))))</f>
        <v> </v>
      </c>
      <c r="J4013" s="26" t="str">
        <f>IF(OR(E4013="",E4013="!!!",F4013="NEW"),"",COUNTBLANK(OFFSET(A$1,,,SUMPRODUCT(MAX(ROW(E$2:E4013)*(E4013=E$2:E4013)))))-COUNTBLANK(OFFSET(A$1,,,SUMPRODUCT(MAX(ROW(E$1:E4012)*(E2=E$1:E4012))))))</f>
        <v> </v>
      </c>
      <c r="K4013" s="26" t="str">
        <f>IF(OR(E4013="",E4013="!!!",F4013="NEW"),"",INDEX(J$1:J4012,SUMPRODUCT(MAX(ROW(E$1:E4012)*(E4013=E$1:E4012)))))</f>
        <v> </v>
      </c>
      <c r="L4013" s="27"/>
    </row>
    <row r="4014" spans="1:12">
      <c r="A4014" s="20" t="s">
        <v>1187</v>
      </c>
      <c r="E4014" s="22">
        <f>IF(D4014="?OLD","!!!","")</f>
        <v/>
      </c>
      <c r="F4014" s="23" t="str">
        <f>IF(OR(E4014="",E4014="!!!"),"",IF(NOT(ISNA(VLOOKUP(E4014,E$1:E4013,1,FALSE()))),"OLD",IF(AND(E4014&lt;&gt;"",E4014&lt;&gt;"!!!"),"NEW","")))</f>
        <v> </v>
      </c>
      <c r="G4014" s="24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5" t="str">
        <f>IF(J4014&lt;&gt;1,"",IF(I4014="SBJ","CB","?"))</f>
        <v> </v>
      </c>
      <c r="I4014" s="26" t="str">
        <f>IF(OR(E4014="",E4014="!!!",F4014="NEW"),"",INDEX(B4013:B$2,-1+SUMPRODUCT(MAX(ROW(E4013:E$2)*(E4014=E4013:E$2)))))</f>
        <v> </v>
      </c>
      <c r="J4014" s="26" t="str">
        <f>IF(OR(E4014="",E4014="!!!",F4014="NEW"),"",COUNTBLANK(OFFSET(A$1,,,SUMPRODUCT(MAX(ROW(E$2:E4014)*(E4014=E$2:E4014)))))-COUNTBLANK(OFFSET(A$1,,,SUMPRODUCT(MAX(ROW(E$1:E4013)*(E2=E$1:E4013))))))</f>
        <v> </v>
      </c>
      <c r="K4014" s="26" t="str">
        <f>IF(OR(E4014="",E4014="!!!",F4014="NEW"),"",INDEX(J$1:J4013,SUMPRODUCT(MAX(ROW(E$1:E4013)*(E4014=E$1:E4013)))))</f>
        <v> </v>
      </c>
      <c r="L4014" s="27"/>
    </row>
    <row r="4015" spans="1:12">
      <c r="A4015" s="20" t="s">
        <v>2581</v>
      </c>
      <c r="E4015" s="22">
        <f>IF(D4015="?OLD","!!!","")</f>
        <v/>
      </c>
      <c r="F4015" s="23" t="str">
        <f>IF(OR(E4015="",E4015="!!!"),"",IF(NOT(ISNA(VLOOKUP(E4015,E$1:E4014,1,FALSE()))),"OLD",IF(AND(E4015&lt;&gt;"",E4015&lt;&gt;"!!!"),"NEW","")))</f>
        <v> </v>
      </c>
      <c r="G4015" s="24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5" t="str">
        <f>IF(J4015&lt;&gt;1,"",IF(I4015="SBJ","CB","?"))</f>
        <v> </v>
      </c>
      <c r="I4015" s="26" t="str">
        <f>IF(OR(E4015="",E4015="!!!",F4015="NEW"),"",INDEX(B4014:B$2,-1+SUMPRODUCT(MAX(ROW(E4014:E$2)*(E4015=E4014:E$2)))))</f>
        <v> </v>
      </c>
      <c r="J4015" s="26" t="str">
        <f>IF(OR(E4015="",E4015="!!!",F4015="NEW"),"",COUNTBLANK(OFFSET(A$1,,,SUMPRODUCT(MAX(ROW(E$2:E4015)*(E4015=E$2:E4015)))))-COUNTBLANK(OFFSET(A$1,,,SUMPRODUCT(MAX(ROW(E$1:E4014)*(E2=E$1:E4014))))))</f>
        <v> </v>
      </c>
      <c r="K4015" s="26" t="str">
        <f>IF(OR(E4015="",E4015="!!!",F4015="NEW"),"",INDEX(J$1:J4014,SUMPRODUCT(MAX(ROW(E$1:E4014)*(E4015=E$1:E4014)))))</f>
        <v> </v>
      </c>
      <c r="L4015" s="27"/>
    </row>
    <row r="4016" spans="1:12">
      <c r="A4016" s="20" t="s">
        <v>1439</v>
      </c>
      <c r="E4016" s="22">
        <f>IF(D4016="?OLD","!!!","")</f>
        <v/>
      </c>
      <c r="F4016" s="23" t="str">
        <f>IF(OR(E4016="",E4016="!!!"),"",IF(NOT(ISNA(VLOOKUP(E4016,E$1:E4015,1,FALSE()))),"OLD",IF(AND(E4016&lt;&gt;"",E4016&lt;&gt;"!!!"),"NEW","")))</f>
        <v> </v>
      </c>
      <c r="G4016" s="24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5" t="str">
        <f>IF(J4016&lt;&gt;1,"",IF(I4016="SBJ","CB","?"))</f>
        <v> </v>
      </c>
      <c r="I4016" s="26" t="str">
        <f>IF(OR(E4016="",E4016="!!!",F4016="NEW"),"",INDEX(B4015:B$2,-1+SUMPRODUCT(MAX(ROW(E4015:E$2)*(E4016=E4015:E$2)))))</f>
        <v> </v>
      </c>
      <c r="J4016" s="26" t="str">
        <f>IF(OR(E4016="",E4016="!!!",F4016="NEW"),"",COUNTBLANK(OFFSET(A$1,,,SUMPRODUCT(MAX(ROW(E$2:E4016)*(E4016=E$2:E4016)))))-COUNTBLANK(OFFSET(A$1,,,SUMPRODUCT(MAX(ROW(E$1:E4015)*(E2=E$1:E4015))))))</f>
        <v> </v>
      </c>
      <c r="K4016" s="26" t="str">
        <f>IF(OR(E4016="",E4016="!!!",F4016="NEW"),"",INDEX(J$1:J4015,SUMPRODUCT(MAX(ROW(E$1:E4015)*(E4016=E$1:E4015)))))</f>
        <v> </v>
      </c>
      <c r="L4016" s="27"/>
    </row>
    <row r="4017" spans="1:12">
      <c r="A4017" s="20" t="s">
        <v>1106</v>
      </c>
      <c r="E4017" s="22">
        <f>IF(D4017="?OLD","!!!","")</f>
        <v/>
      </c>
      <c r="F4017" s="23" t="str">
        <f>IF(OR(E4017="",E4017="!!!"),"",IF(NOT(ISNA(VLOOKUP(E4017,E$1:E4016,1,FALSE()))),"OLD",IF(AND(E4017&lt;&gt;"",E4017&lt;&gt;"!!!"),"NEW","")))</f>
        <v> </v>
      </c>
      <c r="G4017" s="24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5" t="str">
        <f>IF(J4017&lt;&gt;1,"",IF(I4017="SBJ","CB","?"))</f>
        <v> </v>
      </c>
      <c r="I4017" s="26" t="str">
        <f>IF(OR(E4017="",E4017="!!!",F4017="NEW"),"",INDEX(B4016:B$2,-1+SUMPRODUCT(MAX(ROW(E4016:E$2)*(E4017=E4016:E$2)))))</f>
        <v> </v>
      </c>
      <c r="J4017" s="26" t="str">
        <f>IF(OR(E4017="",E4017="!!!",F4017="NEW"),"",COUNTBLANK(OFFSET(A$1,,,SUMPRODUCT(MAX(ROW(E$2:E4017)*(E4017=E$2:E4017)))))-COUNTBLANK(OFFSET(A$1,,,SUMPRODUCT(MAX(ROW(E$1:E4016)*(E2=E$1:E4016))))))</f>
        <v> </v>
      </c>
      <c r="K4017" s="26" t="str">
        <f>IF(OR(E4017="",E4017="!!!",F4017="NEW"),"",INDEX(J$1:J4016,SUMPRODUCT(MAX(ROW(E$1:E4016)*(E4017=E$1:E4016)))))</f>
        <v> </v>
      </c>
      <c r="L4017" s="27"/>
    </row>
    <row r="4018" spans="1:12">
      <c r="A4018" s="20"/>
    </row>
    <row r="4019" spans="1:12">
      <c r="A4019" s="20" t="s">
        <v>2582</v>
      </c>
    </row>
    <row r="4020" spans="1:12">
      <c r="A4020" s="20" t="s">
        <v>1614</v>
      </c>
      <c r="E4020" s="22">
        <f>IF(D4020="?OLD","!!!","")</f>
        <v/>
      </c>
      <c r="F4020" s="23" t="str">
        <f>IF(OR(E4020="",E4020="!!!"),"",IF(NOT(ISNA(VLOOKUP(E4020,E$1:E4019,1,FALSE()))),"OLD",IF(AND(E4020&lt;&gt;"",E4020&lt;&gt;"!!!"),"NEW","")))</f>
        <v> </v>
      </c>
      <c r="G4020" s="24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5" t="str">
        <f>IF(J4020&lt;&gt;1,"",IF(I4020="SBJ","CB","?"))</f>
        <v> </v>
      </c>
      <c r="I4020" s="26" t="str">
        <f>IF(OR(E4020="",E4020="!!!",F4020="NEW"),"",INDEX(B4019:B$2,-1+SUMPRODUCT(MAX(ROW(E4019:E$2)*(E4020=E4019:E$2)))))</f>
        <v> </v>
      </c>
      <c r="J4020" s="26" t="str">
        <f>IF(OR(E4020="",E4020="!!!",F4020="NEW"),"",COUNTBLANK(OFFSET(A$1,,,SUMPRODUCT(MAX(ROW(E$2:E4020)*(E4020=E$2:E4020)))))-COUNTBLANK(OFFSET(A$1,,,SUMPRODUCT(MAX(ROW(E$1:E4019)*(E2=E$1:E4019))))))</f>
        <v> </v>
      </c>
      <c r="K4020" s="26" t="str">
        <f>IF(OR(E4020="",E4020="!!!",F4020="NEW"),"",INDEX(J$1:J4019,SUMPRODUCT(MAX(ROW(E$1:E4019)*(E4020=E$1:E4019)))))</f>
        <v> </v>
      </c>
      <c r="L4020" s="27"/>
    </row>
    <row r="4021" spans="1:12">
      <c r="A4021" s="20" t="s">
        <v>1085</v>
      </c>
      <c r="E4021" s="22">
        <f>IF(D4021="?OLD","!!!","")</f>
        <v/>
      </c>
      <c r="F4021" s="23" t="str">
        <f>IF(OR(E4021="",E4021="!!!"),"",IF(NOT(ISNA(VLOOKUP(E4021,E$1:E4020,1,FALSE()))),"OLD",IF(AND(E4021&lt;&gt;"",E4021&lt;&gt;"!!!"),"NEW","")))</f>
        <v> </v>
      </c>
      <c r="G4021" s="24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5" t="str">
        <f>IF(J4021&lt;&gt;1,"",IF(I4021="SBJ","CB","?"))</f>
        <v> </v>
      </c>
      <c r="I4021" s="26" t="str">
        <f>IF(OR(E4021="",E4021="!!!",F4021="NEW"),"",INDEX(B4020:B$2,-1+SUMPRODUCT(MAX(ROW(E4020:E$2)*(E4021=E4020:E$2)))))</f>
        <v> </v>
      </c>
      <c r="J4021" s="26" t="str">
        <f>IF(OR(E4021="",E4021="!!!",F4021="NEW"),"",COUNTBLANK(OFFSET(A$1,,,SUMPRODUCT(MAX(ROW(E$2:E4021)*(E4021=E$2:E4021)))))-COUNTBLANK(OFFSET(A$1,,,SUMPRODUCT(MAX(ROW(E$1:E4020)*(E2=E$1:E4020))))))</f>
        <v> </v>
      </c>
      <c r="K4021" s="26" t="str">
        <f>IF(OR(E4021="",E4021="!!!",F4021="NEW"),"",INDEX(J$1:J4020,SUMPRODUCT(MAX(ROW(E$1:E4020)*(E4021=E$1:E4020)))))</f>
        <v> </v>
      </c>
      <c r="L4021" s="27"/>
    </row>
    <row r="4022" spans="1:12">
      <c r="A4022" s="20" t="s">
        <v>1098</v>
      </c>
      <c r="E4022" s="22">
        <f>IF(D4022="?OLD","!!!","")</f>
        <v/>
      </c>
      <c r="F4022" s="23" t="str">
        <f>IF(OR(E4022="",E4022="!!!"),"",IF(NOT(ISNA(VLOOKUP(E4022,E$1:E4021,1,FALSE()))),"OLD",IF(AND(E4022&lt;&gt;"",E4022&lt;&gt;"!!!"),"NEW","")))</f>
        <v> </v>
      </c>
      <c r="G4022" s="24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5" t="str">
        <f>IF(J4022&lt;&gt;1,"",IF(I4022="SBJ","CB","?"))</f>
        <v> </v>
      </c>
      <c r="I4022" s="26" t="str">
        <f>IF(OR(E4022="",E4022="!!!",F4022="NEW"),"",INDEX(B4021:B$2,-1+SUMPRODUCT(MAX(ROW(E4021:E$2)*(E4022=E4021:E$2)))))</f>
        <v> </v>
      </c>
      <c r="J4022" s="26" t="str">
        <f>IF(OR(E4022="",E4022="!!!",F4022="NEW"),"",COUNTBLANK(OFFSET(A$1,,,SUMPRODUCT(MAX(ROW(E$2:E4022)*(E4022=E$2:E4022)))))-COUNTBLANK(OFFSET(A$1,,,SUMPRODUCT(MAX(ROW(E$1:E4021)*(E2=E$1:E4021))))))</f>
        <v> </v>
      </c>
      <c r="K4022" s="26" t="str">
        <f>IF(OR(E4022="",E4022="!!!",F4022="NEW"),"",INDEX(J$1:J4021,SUMPRODUCT(MAX(ROW(E$1:E4021)*(E4022=E$1:E4021)))))</f>
        <v> </v>
      </c>
      <c r="L4022" s="27"/>
    </row>
    <row r="4023" spans="1:12">
      <c r="A4023" s="20" t="s">
        <v>1143</v>
      </c>
      <c r="B4023" s="21" t="s">
        <v>1072</v>
      </c>
      <c r="C4023" s="21" t="s">
        <v>1073</v>
      </c>
      <c r="D4023" s="21" t="s">
        <v>1074</v>
      </c>
      <c r="E4023" s="22">
        <f>IF(D4023="?OLD","!!!","")</f>
        <v/>
      </c>
      <c r="F4023" s="23" t="str">
        <f>IF(OR(E4023="",E4023="!!!"),"",IF(NOT(ISNA(VLOOKUP(E4023,E$1:E4022,1,FALSE()))),"OLD",IF(AND(E4023&lt;&gt;"",E4023&lt;&gt;"!!!"),"NEW","")))</f>
        <v> </v>
      </c>
      <c r="G4023" s="24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5" t="str">
        <f>IF(J4023&lt;&gt;1,"",IF(I4023="SBJ","CB","?"))</f>
        <v> </v>
      </c>
      <c r="I4023" s="26" t="str">
        <f>IF(OR(E4023="",E4023="!!!",F4023="NEW"),"",INDEX(B4022:B$2,-1+SUMPRODUCT(MAX(ROW(E4022:E$2)*(E4023=E4022:E$2)))))</f>
        <v> </v>
      </c>
      <c r="J4023" s="26" t="str">
        <f>IF(OR(E4023="",E4023="!!!",F4023="NEW"),"",COUNTBLANK(OFFSET(A$1,,,SUMPRODUCT(MAX(ROW(E$2:E4023)*(E4023=E$2:E4023)))))-COUNTBLANK(OFFSET(A$1,,,SUMPRODUCT(MAX(ROW(E$1:E4022)*(E2=E$1:E4022))))))</f>
        <v> </v>
      </c>
      <c r="K4023" s="26" t="str">
        <f>IF(OR(E4023="",E4023="!!!",F4023="NEW"),"",INDEX(J$1:J4022,SUMPRODUCT(MAX(ROW(E$1:E4022)*(E4023=E$1:E4022)))))</f>
        <v> </v>
      </c>
      <c r="L4023" s="27"/>
    </row>
    <row r="4024" spans="1:12">
      <c r="A4024" s="20" t="s">
        <v>1600</v>
      </c>
      <c r="E4024" s="22">
        <f>IF(D4024="?OLD","!!!","")</f>
        <v/>
      </c>
      <c r="F4024" s="23" t="str">
        <f>IF(OR(E4024="",E4024="!!!"),"",IF(NOT(ISNA(VLOOKUP(E4024,E$1:E4023,1,FALSE()))),"OLD",IF(AND(E4024&lt;&gt;"",E4024&lt;&gt;"!!!"),"NEW","")))</f>
        <v> </v>
      </c>
      <c r="G4024" s="24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5" t="str">
        <f>IF(J4024&lt;&gt;1,"",IF(I4024="SBJ","CB","?"))</f>
        <v> </v>
      </c>
      <c r="I4024" s="26" t="str">
        <f>IF(OR(E4024="",E4024="!!!",F4024="NEW"),"",INDEX(B4023:B$2,-1+SUMPRODUCT(MAX(ROW(E4023:E$2)*(E4024=E4023:E$2)))))</f>
        <v> </v>
      </c>
      <c r="J4024" s="26" t="str">
        <f>IF(OR(E4024="",E4024="!!!",F4024="NEW"),"",COUNTBLANK(OFFSET(A$1,,,SUMPRODUCT(MAX(ROW(E$2:E4024)*(E4024=E$2:E4024)))))-COUNTBLANK(OFFSET(A$1,,,SUMPRODUCT(MAX(ROW(E$1:E4023)*(E2=E$1:E4023))))))</f>
        <v> </v>
      </c>
      <c r="K4024" s="26" t="str">
        <f>IF(OR(E4024="",E4024="!!!",F4024="NEW"),"",INDEX(J$1:J4023,SUMPRODUCT(MAX(ROW(E$1:E4023)*(E4024=E$1:E4023)))))</f>
        <v> </v>
      </c>
      <c r="L4024" s="27"/>
    </row>
    <row r="4025" spans="1:12">
      <c r="A4025" s="20" t="s">
        <v>1191</v>
      </c>
      <c r="B4025" s="21" t="s">
        <v>1109</v>
      </c>
      <c r="E4025" s="22">
        <f>IF(D4025="?OLD","!!!","")</f>
        <v/>
      </c>
      <c r="F4025" s="23" t="str">
        <f>IF(OR(E4025="",E4025="!!!"),"",IF(NOT(ISNA(VLOOKUP(E4025,E$1:E4024,1,FALSE()))),"OLD",IF(AND(E4025&lt;&gt;"",E4025&lt;&gt;"!!!"),"NEW","")))</f>
        <v> </v>
      </c>
      <c r="G4025" s="24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5" t="str">
        <f>IF(J4025&lt;&gt;1,"",IF(I4025="SBJ","CB","?"))</f>
        <v> </v>
      </c>
      <c r="I4025" s="26" t="str">
        <f>IF(OR(E4025="",E4025="!!!",F4025="NEW"),"",INDEX(B4024:B$2,-1+SUMPRODUCT(MAX(ROW(E4024:E$2)*(E4025=E4024:E$2)))))</f>
        <v> </v>
      </c>
      <c r="J4025" s="26" t="str">
        <f>IF(OR(E4025="",E4025="!!!",F4025="NEW"),"",COUNTBLANK(OFFSET(A$1,,,SUMPRODUCT(MAX(ROW(E$2:E4025)*(E4025=E$2:E4025)))))-COUNTBLANK(OFFSET(A$1,,,SUMPRODUCT(MAX(ROW(E$1:E4024)*(E2=E$1:E4024))))))</f>
        <v> </v>
      </c>
      <c r="K4025" s="26" t="str">
        <f>IF(OR(E4025="",E4025="!!!",F4025="NEW"),"",INDEX(J$1:J4024,SUMPRODUCT(MAX(ROW(E$1:E4024)*(E4025=E$1:E4024)))))</f>
        <v> </v>
      </c>
      <c r="L4025" s="27"/>
    </row>
    <row r="4026" spans="1:12">
      <c r="A4026" s="20" t="s">
        <v>2583</v>
      </c>
      <c r="E4026" s="22">
        <f>IF(D4026="?OLD","!!!","")</f>
        <v/>
      </c>
      <c r="F4026" s="23" t="str">
        <f>IF(OR(E4026="",E4026="!!!"),"",IF(NOT(ISNA(VLOOKUP(E4026,E$1:E4025,1,FALSE()))),"OLD",IF(AND(E4026&lt;&gt;"",E4026&lt;&gt;"!!!"),"NEW","")))</f>
        <v> </v>
      </c>
      <c r="G4026" s="24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5" t="str">
        <f>IF(J4026&lt;&gt;1,"",IF(I4026="SBJ","CB","?"))</f>
        <v> </v>
      </c>
      <c r="I4026" s="26" t="str">
        <f>IF(OR(E4026="",E4026="!!!",F4026="NEW"),"",INDEX(B4025:B$2,-1+SUMPRODUCT(MAX(ROW(E4025:E$2)*(E4026=E4025:E$2)))))</f>
        <v> </v>
      </c>
      <c r="J4026" s="26" t="str">
        <f>IF(OR(E4026="",E4026="!!!",F4026="NEW"),"",COUNTBLANK(OFFSET(A$1,,,SUMPRODUCT(MAX(ROW(E$2:E4026)*(E4026=E$2:E4026)))))-COUNTBLANK(OFFSET(A$1,,,SUMPRODUCT(MAX(ROW(E$1:E4025)*(E2=E$1:E4025))))))</f>
        <v> </v>
      </c>
      <c r="K4026" s="26" t="str">
        <f>IF(OR(E4026="",E4026="!!!",F4026="NEW"),"",INDEX(J$1:J4025,SUMPRODUCT(MAX(ROW(E$1:E4025)*(E4026=E$1:E4025)))))</f>
        <v> </v>
      </c>
      <c r="L4026" s="27"/>
    </row>
    <row r="4027" spans="1:12">
      <c r="A4027" s="20" t="s">
        <v>1085</v>
      </c>
      <c r="E4027" s="22">
        <f>IF(D4027="?OLD","!!!","")</f>
        <v/>
      </c>
      <c r="F4027" s="23" t="str">
        <f>IF(OR(E4027="",E4027="!!!"),"",IF(NOT(ISNA(VLOOKUP(E4027,E$1:E4026,1,FALSE()))),"OLD",IF(AND(E4027&lt;&gt;"",E4027&lt;&gt;"!!!"),"NEW","")))</f>
        <v> </v>
      </c>
      <c r="G4027" s="24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5" t="str">
        <f>IF(J4027&lt;&gt;1,"",IF(I4027="SBJ","CB","?"))</f>
        <v> </v>
      </c>
      <c r="I4027" s="26" t="str">
        <f>IF(OR(E4027="",E4027="!!!",F4027="NEW"),"",INDEX(B4026:B$2,-1+SUMPRODUCT(MAX(ROW(E4026:E$2)*(E4027=E4026:E$2)))))</f>
        <v> </v>
      </c>
      <c r="J4027" s="26" t="str">
        <f>IF(OR(E4027="",E4027="!!!",F4027="NEW"),"",COUNTBLANK(OFFSET(A$1,,,SUMPRODUCT(MAX(ROW(E$2:E4027)*(E4027=E$2:E4027)))))-COUNTBLANK(OFFSET(A$1,,,SUMPRODUCT(MAX(ROW(E$1:E4026)*(E2=E$1:E4026))))))</f>
        <v> </v>
      </c>
      <c r="K4027" s="26" t="str">
        <f>IF(OR(E4027="",E4027="!!!",F4027="NEW"),"",INDEX(J$1:J4026,SUMPRODUCT(MAX(ROW(E$1:E4026)*(E4027=E$1:E4026)))))</f>
        <v> </v>
      </c>
      <c r="L4027" s="27"/>
    </row>
    <row r="4028" spans="1:12">
      <c r="A4028" s="20" t="s">
        <v>1305</v>
      </c>
      <c r="B4028" s="21" t="s">
        <v>1088</v>
      </c>
      <c r="C4028" s="21" t="s">
        <v>1181</v>
      </c>
      <c r="E4028" s="22">
        <f>IF(D4028="?OLD","!!!","")</f>
        <v/>
      </c>
      <c r="F4028" s="23" t="str">
        <f>IF(OR(E4028="",E4028="!!!"),"",IF(NOT(ISNA(VLOOKUP(E4028,E$1:E4027,1,FALSE()))),"OLD",IF(AND(E4028&lt;&gt;"",E4028&lt;&gt;"!!!"),"NEW","")))</f>
        <v> </v>
      </c>
      <c r="G4028" s="24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5" t="str">
        <f>IF(J4028&lt;&gt;1,"",IF(I4028="SBJ","CB","?"))</f>
        <v> </v>
      </c>
      <c r="I4028" s="26" t="str">
        <f>IF(OR(E4028="",E4028="!!!",F4028="NEW"),"",INDEX(B4027:B$2,-1+SUMPRODUCT(MAX(ROW(E4027:E$2)*(E4028=E4027:E$2)))))</f>
        <v> </v>
      </c>
      <c r="J4028" s="26" t="str">
        <f>IF(OR(E4028="",E4028="!!!",F4028="NEW"),"",COUNTBLANK(OFFSET(A$1,,,SUMPRODUCT(MAX(ROW(E$2:E4028)*(E4028=E$2:E4028)))))-COUNTBLANK(OFFSET(A$1,,,SUMPRODUCT(MAX(ROW(E$1:E4027)*(E2=E$1:E4027))))))</f>
        <v> </v>
      </c>
      <c r="K4028" s="26" t="str">
        <f>IF(OR(E4028="",E4028="!!!",F4028="NEW"),"",INDEX(J$1:J4027,SUMPRODUCT(MAX(ROW(E$1:E4027)*(E4028=E$1:E4027)))))</f>
        <v> </v>
      </c>
      <c r="L4028" s="27"/>
    </row>
    <row r="4029" spans="1:12">
      <c r="A4029" s="20" t="s">
        <v>2584</v>
      </c>
      <c r="E4029" s="22">
        <f>IF(D4029="?OLD","!!!","")</f>
        <v/>
      </c>
      <c r="F4029" s="23" t="str">
        <f>IF(OR(E4029="",E4029="!!!"),"",IF(NOT(ISNA(VLOOKUP(E4029,E$1:E4028,1,FALSE()))),"OLD",IF(AND(E4029&lt;&gt;"",E4029&lt;&gt;"!!!"),"NEW","")))</f>
        <v> </v>
      </c>
      <c r="G4029" s="24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5" t="str">
        <f>IF(J4029&lt;&gt;1,"",IF(I4029="SBJ","CB","?"))</f>
        <v> </v>
      </c>
      <c r="I4029" s="26" t="str">
        <f>IF(OR(E4029="",E4029="!!!",F4029="NEW"),"",INDEX(B4028:B$2,-1+SUMPRODUCT(MAX(ROW(E4028:E$2)*(E4029=E4028:E$2)))))</f>
        <v> </v>
      </c>
      <c r="J4029" s="26" t="str">
        <f>IF(OR(E4029="",E4029="!!!",F4029="NEW"),"",COUNTBLANK(OFFSET(A$1,,,SUMPRODUCT(MAX(ROW(E$2:E4029)*(E4029=E$2:E4029)))))-COUNTBLANK(OFFSET(A$1,,,SUMPRODUCT(MAX(ROW(E$1:E4028)*(E2=E$1:E4028))))))</f>
        <v> </v>
      </c>
      <c r="K4029" s="26" t="str">
        <f>IF(OR(E4029="",E4029="!!!",F4029="NEW"),"",INDEX(J$1:J4028,SUMPRODUCT(MAX(ROW(E$1:E4028)*(E4029=E$1:E4028)))))</f>
        <v> </v>
      </c>
      <c r="L4029" s="27"/>
    </row>
    <row r="4030" spans="1:12">
      <c r="A4030" s="20" t="s">
        <v>2585</v>
      </c>
      <c r="E4030" s="22">
        <f>IF(D4030="?OLD","!!!","")</f>
        <v/>
      </c>
      <c r="F4030" s="23" t="str">
        <f>IF(OR(E4030="",E4030="!!!"),"",IF(NOT(ISNA(VLOOKUP(E4030,E$1:E4029,1,FALSE()))),"OLD",IF(AND(E4030&lt;&gt;"",E4030&lt;&gt;"!!!"),"NEW","")))</f>
        <v> </v>
      </c>
      <c r="G4030" s="24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5" t="str">
        <f>IF(J4030&lt;&gt;1,"",IF(I4030="SBJ","CB","?"))</f>
        <v> </v>
      </c>
      <c r="I4030" s="26" t="str">
        <f>IF(OR(E4030="",E4030="!!!",F4030="NEW"),"",INDEX(B4029:B$2,-1+SUMPRODUCT(MAX(ROW(E4029:E$2)*(E4030=E4029:E$2)))))</f>
        <v> </v>
      </c>
      <c r="J4030" s="26" t="str">
        <f>IF(OR(E4030="",E4030="!!!",F4030="NEW"),"",COUNTBLANK(OFFSET(A$1,,,SUMPRODUCT(MAX(ROW(E$2:E4030)*(E4030=E$2:E4030)))))-COUNTBLANK(OFFSET(A$1,,,SUMPRODUCT(MAX(ROW(E$1:E4029)*(E2=E$1:E4029))))))</f>
        <v> </v>
      </c>
      <c r="K4030" s="26" t="str">
        <f>IF(OR(E4030="",E4030="!!!",F4030="NEW"),"",INDEX(J$1:J4029,SUMPRODUCT(MAX(ROW(E$1:E4029)*(E4030=E$1:E4029)))))</f>
        <v> </v>
      </c>
      <c r="L4030" s="27"/>
    </row>
    <row r="4031" spans="1:12">
      <c r="A4031" s="20" t="s">
        <v>1106</v>
      </c>
      <c r="E4031" s="22">
        <f>IF(D4031="?OLD","!!!","")</f>
        <v/>
      </c>
      <c r="F4031" s="23" t="str">
        <f>IF(OR(E4031="",E4031="!!!"),"",IF(NOT(ISNA(VLOOKUP(E4031,E$1:E4030,1,FALSE()))),"OLD",IF(AND(E4031&lt;&gt;"",E4031&lt;&gt;"!!!"),"NEW","")))</f>
        <v> </v>
      </c>
      <c r="G4031" s="24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5" t="str">
        <f>IF(J4031&lt;&gt;1,"",IF(I4031="SBJ","CB","?"))</f>
        <v> </v>
      </c>
      <c r="I4031" s="26" t="str">
        <f>IF(OR(E4031="",E4031="!!!",F4031="NEW"),"",INDEX(B4030:B$2,-1+SUMPRODUCT(MAX(ROW(E4030:E$2)*(E4031=E4030:E$2)))))</f>
        <v> </v>
      </c>
      <c r="J4031" s="26" t="str">
        <f>IF(OR(E4031="",E4031="!!!",F4031="NEW"),"",COUNTBLANK(OFFSET(A$1,,,SUMPRODUCT(MAX(ROW(E$2:E4031)*(E4031=E$2:E4031)))))-COUNTBLANK(OFFSET(A$1,,,SUMPRODUCT(MAX(ROW(E$1:E4030)*(E2=E$1:E4030))))))</f>
        <v> </v>
      </c>
      <c r="K4031" s="26" t="str">
        <f>IF(OR(E4031="",E4031="!!!",F4031="NEW"),"",INDEX(J$1:J4030,SUMPRODUCT(MAX(ROW(E$1:E4030)*(E4031=E$1:E4030)))))</f>
        <v> </v>
      </c>
      <c r="L4031" s="27"/>
    </row>
    <row r="4032" spans="1:12">
      <c r="A4032" s="20"/>
    </row>
    <row r="4033" spans="1:12">
      <c r="A4033" s="20" t="s">
        <v>2586</v>
      </c>
    </row>
    <row r="4034" spans="1:12">
      <c r="A4034" s="20" t="s">
        <v>1214</v>
      </c>
      <c r="B4034" s="21" t="s">
        <v>1109</v>
      </c>
      <c r="E4034" s="22">
        <f>IF(D4034="?OLD","!!!","")</f>
        <v/>
      </c>
      <c r="F4034" s="23" t="str">
        <f>IF(OR(E4034="",E4034="!!!"),"",IF(NOT(ISNA(VLOOKUP(E4034,E$1:E4033,1,FALSE()))),"OLD",IF(AND(E4034&lt;&gt;"",E4034&lt;&gt;"!!!"),"NEW","")))</f>
        <v> </v>
      </c>
      <c r="G4034" s="24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5" t="str">
        <f>IF(J4034&lt;&gt;1,"",IF(I4034="SBJ","CB","?"))</f>
        <v> </v>
      </c>
      <c r="I4034" s="26" t="str">
        <f>IF(OR(E4034="",E4034="!!!",F4034="NEW"),"",INDEX(B4033:B$2,-1+SUMPRODUCT(MAX(ROW(E4033:E$2)*(E4034=E4033:E$2)))))</f>
        <v> </v>
      </c>
      <c r="J4034" s="26" t="str">
        <f>IF(OR(E4034="",E4034="!!!",F4034="NEW"),"",COUNTBLANK(OFFSET(A$1,,,SUMPRODUCT(MAX(ROW(E$2:E4034)*(E4034=E$2:E4034)))))-COUNTBLANK(OFFSET(A$1,,,SUMPRODUCT(MAX(ROW(E$1:E4033)*(E2=E$1:E4033))))))</f>
        <v> </v>
      </c>
      <c r="K4034" s="26" t="str">
        <f>IF(OR(E4034="",E4034="!!!",F4034="NEW"),"",INDEX(J$1:J4033,SUMPRODUCT(MAX(ROW(E$1:E4033)*(E4034=E$1:E4033)))))</f>
        <v> </v>
      </c>
      <c r="L4034" s="27"/>
    </row>
    <row r="4035" spans="1:12">
      <c r="A4035" s="20" t="s">
        <v>2587</v>
      </c>
      <c r="E4035" s="22">
        <f>IF(D4035="?OLD","!!!","")</f>
        <v/>
      </c>
      <c r="F4035" s="23" t="str">
        <f>IF(OR(E4035="",E4035="!!!"),"",IF(NOT(ISNA(VLOOKUP(E4035,E$1:E4034,1,FALSE()))),"OLD",IF(AND(E4035&lt;&gt;"",E4035&lt;&gt;"!!!"),"NEW","")))</f>
        <v> </v>
      </c>
      <c r="G4035" s="24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5" t="str">
        <f>IF(J4035&lt;&gt;1,"",IF(I4035="SBJ","CB","?"))</f>
        <v> </v>
      </c>
      <c r="I4035" s="26" t="str">
        <f>IF(OR(E4035="",E4035="!!!",F4035="NEW"),"",INDEX(B4034:B$2,-1+SUMPRODUCT(MAX(ROW(E4034:E$2)*(E4035=E4034:E$2)))))</f>
        <v> </v>
      </c>
      <c r="J4035" s="26" t="str">
        <f>IF(OR(E4035="",E4035="!!!",F4035="NEW"),"",COUNTBLANK(OFFSET(A$1,,,SUMPRODUCT(MAX(ROW(E$2:E4035)*(E4035=E$2:E4035)))))-COUNTBLANK(OFFSET(A$1,,,SUMPRODUCT(MAX(ROW(E$1:E4034)*(E2=E$1:E4034))))))</f>
        <v> </v>
      </c>
      <c r="K4035" s="26" t="str">
        <f>IF(OR(E4035="",E4035="!!!",F4035="NEW"),"",INDEX(J$1:J4034,SUMPRODUCT(MAX(ROW(E$1:E4034)*(E4035=E$1:E4034)))))</f>
        <v> </v>
      </c>
      <c r="L4035" s="27"/>
    </row>
    <row r="4036" spans="1:12">
      <c r="A4036" s="20" t="s">
        <v>1191</v>
      </c>
      <c r="E4036" s="22">
        <f>IF(D4036="?OLD","!!!","")</f>
        <v/>
      </c>
      <c r="F4036" s="23" t="str">
        <f>IF(OR(E4036="",E4036="!!!"),"",IF(NOT(ISNA(VLOOKUP(E4036,E$1:E4035,1,FALSE()))),"OLD",IF(AND(E4036&lt;&gt;"",E4036&lt;&gt;"!!!"),"NEW","")))</f>
        <v> </v>
      </c>
      <c r="G4036" s="24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5" t="str">
        <f>IF(J4036&lt;&gt;1,"",IF(I4036="SBJ","CB","?"))</f>
        <v> </v>
      </c>
      <c r="I4036" s="26" t="str">
        <f>IF(OR(E4036="",E4036="!!!",F4036="NEW"),"",INDEX(B4035:B$2,-1+SUMPRODUCT(MAX(ROW(E4035:E$2)*(E4036=E4035:E$2)))))</f>
        <v> </v>
      </c>
      <c r="J4036" s="26" t="str">
        <f>IF(OR(E4036="",E4036="!!!",F4036="NEW"),"",COUNTBLANK(OFFSET(A$1,,,SUMPRODUCT(MAX(ROW(E$2:E4036)*(E4036=E$2:E4036)))))-COUNTBLANK(OFFSET(A$1,,,SUMPRODUCT(MAX(ROW(E$1:E4035)*(E2=E$1:E4035))))))</f>
        <v> </v>
      </c>
      <c r="K4036" s="26" t="str">
        <f>IF(OR(E4036="",E4036="!!!",F4036="NEW"),"",INDEX(J$1:J4035,SUMPRODUCT(MAX(ROW(E$1:E4035)*(E4036=E$1:E4035)))))</f>
        <v> </v>
      </c>
      <c r="L4036" s="27"/>
    </row>
    <row r="4037" spans="1:12">
      <c r="A4037" s="20" t="s">
        <v>2588</v>
      </c>
      <c r="E4037" s="22">
        <f>IF(D4037="?OLD","!!!","")</f>
        <v/>
      </c>
      <c r="F4037" s="23" t="str">
        <f>IF(OR(E4037="",E4037="!!!"),"",IF(NOT(ISNA(VLOOKUP(E4037,E$1:E4036,1,FALSE()))),"OLD",IF(AND(E4037&lt;&gt;"",E4037&lt;&gt;"!!!"),"NEW","")))</f>
        <v> </v>
      </c>
      <c r="G4037" s="24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5" t="str">
        <f>IF(J4037&lt;&gt;1,"",IF(I4037="SBJ","CB","?"))</f>
        <v> </v>
      </c>
      <c r="I4037" s="26" t="str">
        <f>IF(OR(E4037="",E4037="!!!",F4037="NEW"),"",INDEX(B4036:B$2,-1+SUMPRODUCT(MAX(ROW(E4036:E$2)*(E4037=E4036:E$2)))))</f>
        <v> </v>
      </c>
      <c r="J4037" s="26" t="str">
        <f>IF(OR(E4037="",E4037="!!!",F4037="NEW"),"",COUNTBLANK(OFFSET(A$1,,,SUMPRODUCT(MAX(ROW(E$2:E4037)*(E4037=E$2:E4037)))))-COUNTBLANK(OFFSET(A$1,,,SUMPRODUCT(MAX(ROW(E$1:E4036)*(E2=E$1:E4036))))))</f>
        <v> </v>
      </c>
      <c r="K4037" s="26" t="str">
        <f>IF(OR(E4037="",E4037="!!!",F4037="NEW"),"",INDEX(J$1:J4036,SUMPRODUCT(MAX(ROW(E$1:E4036)*(E4037=E$1:E4036)))))</f>
        <v> </v>
      </c>
      <c r="L4037" s="27"/>
    </row>
    <row r="4038" spans="1:12">
      <c r="A4038" s="20" t="s">
        <v>1085</v>
      </c>
      <c r="E4038" s="22">
        <f>IF(D4038="?OLD","!!!","")</f>
        <v/>
      </c>
      <c r="F4038" s="23" t="str">
        <f>IF(OR(E4038="",E4038="!!!"),"",IF(NOT(ISNA(VLOOKUP(E4038,E$1:E4037,1,FALSE()))),"OLD",IF(AND(E4038&lt;&gt;"",E4038&lt;&gt;"!!!"),"NEW","")))</f>
        <v> </v>
      </c>
      <c r="G4038" s="24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5" t="str">
        <f>IF(J4038&lt;&gt;1,"",IF(I4038="SBJ","CB","?"))</f>
        <v> </v>
      </c>
      <c r="I4038" s="26" t="str">
        <f>IF(OR(E4038="",E4038="!!!",F4038="NEW"),"",INDEX(B4037:B$2,-1+SUMPRODUCT(MAX(ROW(E4037:E$2)*(E4038=E4037:E$2)))))</f>
        <v> </v>
      </c>
      <c r="J4038" s="26" t="str">
        <f>IF(OR(E4038="",E4038="!!!",F4038="NEW"),"",COUNTBLANK(OFFSET(A$1,,,SUMPRODUCT(MAX(ROW(E$2:E4038)*(E4038=E$2:E4038)))))-COUNTBLANK(OFFSET(A$1,,,SUMPRODUCT(MAX(ROW(E$1:E4037)*(E2=E$1:E4037))))))</f>
        <v> </v>
      </c>
      <c r="K4038" s="26" t="str">
        <f>IF(OR(E4038="",E4038="!!!",F4038="NEW"),"",INDEX(J$1:J4037,SUMPRODUCT(MAX(ROW(E$1:E4037)*(E4038=E$1:E4037)))))</f>
        <v> </v>
      </c>
      <c r="L4038" s="27"/>
    </row>
    <row r="4039" spans="1:12">
      <c r="A4039" s="20" t="s">
        <v>2589</v>
      </c>
      <c r="E4039" s="22">
        <f>IF(D4039="?OLD","!!!","")</f>
        <v/>
      </c>
      <c r="F4039" s="23" t="str">
        <f>IF(OR(E4039="",E4039="!!!"),"",IF(NOT(ISNA(VLOOKUP(E4039,E$1:E4038,1,FALSE()))),"OLD",IF(AND(E4039&lt;&gt;"",E4039&lt;&gt;"!!!"),"NEW","")))</f>
        <v> </v>
      </c>
      <c r="G4039" s="24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5" t="str">
        <f>IF(J4039&lt;&gt;1,"",IF(I4039="SBJ","CB","?"))</f>
        <v> </v>
      </c>
      <c r="I4039" s="26" t="str">
        <f>IF(OR(E4039="",E4039="!!!",F4039="NEW"),"",INDEX(B4038:B$2,-1+SUMPRODUCT(MAX(ROW(E4038:E$2)*(E4039=E4038:E$2)))))</f>
        <v> </v>
      </c>
      <c r="J4039" s="26" t="str">
        <f>IF(OR(E4039="",E4039="!!!",F4039="NEW"),"",COUNTBLANK(OFFSET(A$1,,,SUMPRODUCT(MAX(ROW(E$2:E4039)*(E4039=E$2:E4039)))))-COUNTBLANK(OFFSET(A$1,,,SUMPRODUCT(MAX(ROW(E$1:E4038)*(E2=E$1:E4038))))))</f>
        <v> </v>
      </c>
      <c r="K4039" s="26" t="str">
        <f>IF(OR(E4039="",E4039="!!!",F4039="NEW"),"",INDEX(J$1:J4038,SUMPRODUCT(MAX(ROW(E$1:E4038)*(E4039=E$1:E4038)))))</f>
        <v> </v>
      </c>
      <c r="L4039" s="27"/>
    </row>
    <row r="4040" spans="1:12">
      <c r="A4040" s="20" t="s">
        <v>1098</v>
      </c>
      <c r="E4040" s="22">
        <f>IF(D4040="?OLD","!!!","")</f>
        <v/>
      </c>
      <c r="F4040" s="23" t="str">
        <f>IF(OR(E4040="",E4040="!!!"),"",IF(NOT(ISNA(VLOOKUP(E4040,E$1:E4039,1,FALSE()))),"OLD",IF(AND(E4040&lt;&gt;"",E4040&lt;&gt;"!!!"),"NEW","")))</f>
        <v> </v>
      </c>
      <c r="G4040" s="24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5" t="str">
        <f>IF(J4040&lt;&gt;1,"",IF(I4040="SBJ","CB","?"))</f>
        <v> </v>
      </c>
      <c r="I4040" s="26" t="str">
        <f>IF(OR(E4040="",E4040="!!!",F4040="NEW"),"",INDEX(B4039:B$2,-1+SUMPRODUCT(MAX(ROW(E4039:E$2)*(E4040=E4039:E$2)))))</f>
        <v> </v>
      </c>
      <c r="J4040" s="26" t="str">
        <f>IF(OR(E4040="",E4040="!!!",F4040="NEW"),"",COUNTBLANK(OFFSET(A$1,,,SUMPRODUCT(MAX(ROW(E$2:E4040)*(E4040=E$2:E4040)))))-COUNTBLANK(OFFSET(A$1,,,SUMPRODUCT(MAX(ROW(E$1:E4039)*(E2=E$1:E4039))))))</f>
        <v> </v>
      </c>
      <c r="K4040" s="26" t="str">
        <f>IF(OR(E4040="",E4040="!!!",F4040="NEW"),"",INDEX(J$1:J4039,SUMPRODUCT(MAX(ROW(E$1:E4039)*(E4040=E$1:E4039)))))</f>
        <v> </v>
      </c>
      <c r="L4040" s="27"/>
    </row>
    <row r="4041" spans="1:12">
      <c r="A4041" s="20" t="s">
        <v>1548</v>
      </c>
      <c r="E4041" s="22">
        <f>IF(D4041="?OLD","!!!","")</f>
        <v/>
      </c>
      <c r="F4041" s="23" t="str">
        <f>IF(OR(E4041="",E4041="!!!"),"",IF(NOT(ISNA(VLOOKUP(E4041,E$1:E4040,1,FALSE()))),"OLD",IF(AND(E4041&lt;&gt;"",E4041&lt;&gt;"!!!"),"NEW","")))</f>
        <v> </v>
      </c>
      <c r="G4041" s="24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5" t="str">
        <f>IF(J4041&lt;&gt;1,"",IF(I4041="SBJ","CB","?"))</f>
        <v> </v>
      </c>
      <c r="I4041" s="26" t="str">
        <f>IF(OR(E4041="",E4041="!!!",F4041="NEW"),"",INDEX(B4040:B$2,-1+SUMPRODUCT(MAX(ROW(E4040:E$2)*(E4041=E4040:E$2)))))</f>
        <v> </v>
      </c>
      <c r="J4041" s="26" t="str">
        <f>IF(OR(E4041="",E4041="!!!",F4041="NEW"),"",COUNTBLANK(OFFSET(A$1,,,SUMPRODUCT(MAX(ROW(E$2:E4041)*(E4041=E$2:E4041)))))-COUNTBLANK(OFFSET(A$1,,,SUMPRODUCT(MAX(ROW(E$1:E4040)*(E2=E$1:E4040))))))</f>
        <v> </v>
      </c>
      <c r="K4041" s="26" t="str">
        <f>IF(OR(E4041="",E4041="!!!",F4041="NEW"),"",INDEX(J$1:J4040,SUMPRODUCT(MAX(ROW(E$1:E4040)*(E4041=E$1:E4040)))))</f>
        <v> </v>
      </c>
      <c r="L4041" s="27"/>
    </row>
    <row r="4042" spans="1:12">
      <c r="A4042" s="20" t="s">
        <v>2549</v>
      </c>
      <c r="E4042" s="22">
        <f>IF(D4042="?OLD","!!!","")</f>
        <v/>
      </c>
      <c r="F4042" s="23" t="str">
        <f>IF(OR(E4042="",E4042="!!!"),"",IF(NOT(ISNA(VLOOKUP(E4042,E$1:E4041,1,FALSE()))),"OLD",IF(AND(E4042&lt;&gt;"",E4042&lt;&gt;"!!!"),"NEW","")))</f>
        <v> </v>
      </c>
      <c r="G4042" s="24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5" t="str">
        <f>IF(J4042&lt;&gt;1,"",IF(I4042="SBJ","CB","?"))</f>
        <v> </v>
      </c>
      <c r="I4042" s="26" t="str">
        <f>IF(OR(E4042="",E4042="!!!",F4042="NEW"),"",INDEX(B4041:B$2,-1+SUMPRODUCT(MAX(ROW(E4041:E$2)*(E4042=E4041:E$2)))))</f>
        <v> </v>
      </c>
      <c r="J4042" s="26" t="str">
        <f>IF(OR(E4042="",E4042="!!!",F4042="NEW"),"",COUNTBLANK(OFFSET(A$1,,,SUMPRODUCT(MAX(ROW(E$2:E4042)*(E4042=E$2:E4042)))))-COUNTBLANK(OFFSET(A$1,,,SUMPRODUCT(MAX(ROW(E$1:E4041)*(E2=E$1:E4041))))))</f>
        <v> </v>
      </c>
      <c r="K4042" s="26" t="str">
        <f>IF(OR(E4042="",E4042="!!!",F4042="NEW"),"",INDEX(J$1:J4041,SUMPRODUCT(MAX(ROW(E$1:E4041)*(E4042=E$1:E4041)))))</f>
        <v> </v>
      </c>
      <c r="L4042" s="27"/>
    </row>
    <row r="4043" spans="1:12">
      <c r="A4043" s="20" t="s">
        <v>1106</v>
      </c>
      <c r="E4043" s="22">
        <f>IF(D4043="?OLD","!!!","")</f>
        <v/>
      </c>
      <c r="F4043" s="23" t="str">
        <f>IF(OR(E4043="",E4043="!!!"),"",IF(NOT(ISNA(VLOOKUP(E4043,E$1:E4042,1,FALSE()))),"OLD",IF(AND(E4043&lt;&gt;"",E4043&lt;&gt;"!!!"),"NEW","")))</f>
        <v> </v>
      </c>
      <c r="G4043" s="24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5" t="str">
        <f>IF(J4043&lt;&gt;1,"",IF(I4043="SBJ","CB","?"))</f>
        <v> </v>
      </c>
      <c r="I4043" s="26" t="str">
        <f>IF(OR(E4043="",E4043="!!!",F4043="NEW"),"",INDEX(B4042:B$2,-1+SUMPRODUCT(MAX(ROW(E4042:E$2)*(E4043=E4042:E$2)))))</f>
        <v> </v>
      </c>
      <c r="J4043" s="26" t="str">
        <f>IF(OR(E4043="",E4043="!!!",F4043="NEW"),"",COUNTBLANK(OFFSET(A$1,,,SUMPRODUCT(MAX(ROW(E$2:E4043)*(E4043=E$2:E4043)))))-COUNTBLANK(OFFSET(A$1,,,SUMPRODUCT(MAX(ROW(E$1:E4042)*(E2=E$1:E4042))))))</f>
        <v> </v>
      </c>
      <c r="K4043" s="26" t="str">
        <f>IF(OR(E4043="",E4043="!!!",F4043="NEW"),"",INDEX(J$1:J4042,SUMPRODUCT(MAX(ROW(E$1:E4042)*(E4043=E$1:E4042)))))</f>
        <v> </v>
      </c>
      <c r="L4043" s="27"/>
    </row>
    <row r="4044" spans="1:12">
      <c r="A4044" s="20"/>
    </row>
    <row r="4045" spans="1:12">
      <c r="A4045" s="20" t="s">
        <v>2590</v>
      </c>
    </row>
    <row r="4046" spans="1:12">
      <c r="A4046" s="20" t="s">
        <v>2591</v>
      </c>
      <c r="B4046" s="21" t="s">
        <v>1109</v>
      </c>
      <c r="E4046" s="22">
        <f>IF(D4046="?OLD","!!!","")</f>
        <v/>
      </c>
      <c r="F4046" s="23" t="str">
        <f>IF(OR(E4046="",E4046="!!!"),"",IF(NOT(ISNA(VLOOKUP(E4046,E$1:E4045,1,FALSE()))),"OLD",IF(AND(E4046&lt;&gt;"",E4046&lt;&gt;"!!!"),"NEW","")))</f>
        <v> </v>
      </c>
      <c r="G4046" s="24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5" t="str">
        <f>IF(J4046&lt;&gt;1,"",IF(I4046="SBJ","CB","?"))</f>
        <v> </v>
      </c>
      <c r="I4046" s="26" t="str">
        <f>IF(OR(E4046="",E4046="!!!",F4046="NEW"),"",INDEX(B4045:B$2,-1+SUMPRODUCT(MAX(ROW(E4045:E$2)*(E4046=E4045:E$2)))))</f>
        <v> </v>
      </c>
      <c r="J4046" s="26" t="str">
        <f>IF(OR(E4046="",E4046="!!!",F4046="NEW"),"",COUNTBLANK(OFFSET(A$1,,,SUMPRODUCT(MAX(ROW(E$2:E4046)*(E4046=E$2:E4046)))))-COUNTBLANK(OFFSET(A$1,,,SUMPRODUCT(MAX(ROW(E$1:E4045)*(E2=E$1:E4045))))))</f>
        <v> </v>
      </c>
      <c r="K4046" s="26" t="str">
        <f>IF(OR(E4046="",E4046="!!!",F4046="NEW"),"",INDEX(J$1:J4045,SUMPRODUCT(MAX(ROW(E$1:E4045)*(E4046=E$1:E4045)))))</f>
        <v> </v>
      </c>
      <c r="L4046" s="27"/>
    </row>
    <row r="4047" spans="1:12">
      <c r="A4047" s="20" t="s">
        <v>1122</v>
      </c>
      <c r="E4047" s="22">
        <f>IF(D4047="?OLD","!!!","")</f>
        <v/>
      </c>
      <c r="F4047" s="23" t="str">
        <f>IF(OR(E4047="",E4047="!!!"),"",IF(NOT(ISNA(VLOOKUP(E4047,E$1:E4046,1,FALSE()))),"OLD",IF(AND(E4047&lt;&gt;"",E4047&lt;&gt;"!!!"),"NEW","")))</f>
        <v> </v>
      </c>
      <c r="G4047" s="24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5" t="str">
        <f>IF(J4047&lt;&gt;1,"",IF(I4047="SBJ","CB","?"))</f>
        <v> </v>
      </c>
      <c r="I4047" s="26" t="str">
        <f>IF(OR(E4047="",E4047="!!!",F4047="NEW"),"",INDEX(B4046:B$2,-1+SUMPRODUCT(MAX(ROW(E4046:E$2)*(E4047=E4046:E$2)))))</f>
        <v> </v>
      </c>
      <c r="J4047" s="26" t="str">
        <f>IF(OR(E4047="",E4047="!!!",F4047="NEW"),"",COUNTBLANK(OFFSET(A$1,,,SUMPRODUCT(MAX(ROW(E$2:E4047)*(E4047=E$2:E4047)))))-COUNTBLANK(OFFSET(A$1,,,SUMPRODUCT(MAX(ROW(E$1:E4046)*(E2=E$1:E4046))))))</f>
        <v> </v>
      </c>
      <c r="K4047" s="26" t="str">
        <f>IF(OR(E4047="",E4047="!!!",F4047="NEW"),"",INDEX(J$1:J4046,SUMPRODUCT(MAX(ROW(E$1:E4046)*(E4047=E$1:E4046)))))</f>
        <v> </v>
      </c>
      <c r="L4047" s="27"/>
    </row>
    <row r="4048" spans="1:12">
      <c r="A4048" s="20" t="s">
        <v>2592</v>
      </c>
      <c r="E4048" s="22">
        <f>IF(D4048="?OLD","!!!","")</f>
        <v/>
      </c>
      <c r="F4048" s="23" t="str">
        <f>IF(OR(E4048="",E4048="!!!"),"",IF(NOT(ISNA(VLOOKUP(E4048,E$1:E4047,1,FALSE()))),"OLD",IF(AND(E4048&lt;&gt;"",E4048&lt;&gt;"!!!"),"NEW","")))</f>
        <v> </v>
      </c>
      <c r="G4048" s="24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5" t="str">
        <f>IF(J4048&lt;&gt;1,"",IF(I4048="SBJ","CB","?"))</f>
        <v> </v>
      </c>
      <c r="I4048" s="26" t="str">
        <f>IF(OR(E4048="",E4048="!!!",F4048="NEW"),"",INDEX(B4047:B$2,-1+SUMPRODUCT(MAX(ROW(E4047:E$2)*(E4048=E4047:E$2)))))</f>
        <v> </v>
      </c>
      <c r="J4048" s="26" t="str">
        <f>IF(OR(E4048="",E4048="!!!",F4048="NEW"),"",COUNTBLANK(OFFSET(A$1,,,SUMPRODUCT(MAX(ROW(E$2:E4048)*(E4048=E$2:E4048)))))-COUNTBLANK(OFFSET(A$1,,,SUMPRODUCT(MAX(ROW(E$1:E4047)*(E2=E$1:E4047))))))</f>
        <v> </v>
      </c>
      <c r="K4048" s="26" t="str">
        <f>IF(OR(E4048="",E4048="!!!",F4048="NEW"),"",INDEX(J$1:J4047,SUMPRODUCT(MAX(ROW(E$1:E4047)*(E4048=E$1:E4047)))))</f>
        <v> </v>
      </c>
      <c r="L4048" s="27"/>
    </row>
    <row r="4049" spans="1:12">
      <c r="A4049" s="20" t="s">
        <v>1098</v>
      </c>
      <c r="E4049" s="22">
        <f>IF(D4049="?OLD","!!!","")</f>
        <v/>
      </c>
      <c r="F4049" s="23" t="str">
        <f>IF(OR(E4049="",E4049="!!!"),"",IF(NOT(ISNA(VLOOKUP(E4049,E$1:E4048,1,FALSE()))),"OLD",IF(AND(E4049&lt;&gt;"",E4049&lt;&gt;"!!!"),"NEW","")))</f>
        <v> </v>
      </c>
      <c r="G4049" s="24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5" t="str">
        <f>IF(J4049&lt;&gt;1,"",IF(I4049="SBJ","CB","?"))</f>
        <v> </v>
      </c>
      <c r="I4049" s="26" t="str">
        <f>IF(OR(E4049="",E4049="!!!",F4049="NEW"),"",INDEX(B4048:B$2,-1+SUMPRODUCT(MAX(ROW(E4048:E$2)*(E4049=E4048:E$2)))))</f>
        <v> </v>
      </c>
      <c r="J4049" s="26" t="str">
        <f>IF(OR(E4049="",E4049="!!!",F4049="NEW"),"",COUNTBLANK(OFFSET(A$1,,,SUMPRODUCT(MAX(ROW(E$2:E4049)*(E4049=E$2:E4049)))))-COUNTBLANK(OFFSET(A$1,,,SUMPRODUCT(MAX(ROW(E$1:E4048)*(E2=E$1:E4048))))))</f>
        <v> </v>
      </c>
      <c r="K4049" s="26" t="str">
        <f>IF(OR(E4049="",E4049="!!!",F4049="NEW"),"",INDEX(J$1:J4048,SUMPRODUCT(MAX(ROW(E$1:E4048)*(E4049=E$1:E4048)))))</f>
        <v> </v>
      </c>
      <c r="L4049" s="27"/>
    </row>
    <row r="4050" spans="1:12">
      <c r="A4050" s="20" t="s">
        <v>2593</v>
      </c>
      <c r="E4050" s="22">
        <f>IF(D4050="?OLD","!!!","")</f>
        <v/>
      </c>
      <c r="F4050" s="23" t="str">
        <f>IF(OR(E4050="",E4050="!!!"),"",IF(NOT(ISNA(VLOOKUP(E4050,E$1:E4049,1,FALSE()))),"OLD",IF(AND(E4050&lt;&gt;"",E4050&lt;&gt;"!!!"),"NEW","")))</f>
        <v> </v>
      </c>
      <c r="G4050" s="24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5" t="str">
        <f>IF(J4050&lt;&gt;1,"",IF(I4050="SBJ","CB","?"))</f>
        <v> </v>
      </c>
      <c r="I4050" s="26" t="str">
        <f>IF(OR(E4050="",E4050="!!!",F4050="NEW"),"",INDEX(B4049:B$2,-1+SUMPRODUCT(MAX(ROW(E4049:E$2)*(E4050=E4049:E$2)))))</f>
        <v> </v>
      </c>
      <c r="J4050" s="26" t="str">
        <f>IF(OR(E4050="",E4050="!!!",F4050="NEW"),"",COUNTBLANK(OFFSET(A$1,,,SUMPRODUCT(MAX(ROW(E$2:E4050)*(E4050=E$2:E4050)))))-COUNTBLANK(OFFSET(A$1,,,SUMPRODUCT(MAX(ROW(E$1:E4049)*(E2=E$1:E4049))))))</f>
        <v> </v>
      </c>
      <c r="K4050" s="26" t="str">
        <f>IF(OR(E4050="",E4050="!!!",F4050="NEW"),"",INDEX(J$1:J4049,SUMPRODUCT(MAX(ROW(E$1:E4049)*(E4050=E$1:E4049)))))</f>
        <v> </v>
      </c>
      <c r="L4050" s="27"/>
    </row>
    <row r="4051" spans="1:12">
      <c r="A4051" s="20" t="s">
        <v>1997</v>
      </c>
      <c r="E4051" s="22">
        <f>IF(D4051="?OLD","!!!","")</f>
        <v/>
      </c>
      <c r="F4051" s="23" t="str">
        <f>IF(OR(E4051="",E4051="!!!"),"",IF(NOT(ISNA(VLOOKUP(E4051,E$1:E4050,1,FALSE()))),"OLD",IF(AND(E4051&lt;&gt;"",E4051&lt;&gt;"!!!"),"NEW","")))</f>
        <v> </v>
      </c>
      <c r="G4051" s="24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5" t="str">
        <f>IF(J4051&lt;&gt;1,"",IF(I4051="SBJ","CB","?"))</f>
        <v> </v>
      </c>
      <c r="I4051" s="26" t="str">
        <f>IF(OR(E4051="",E4051="!!!",F4051="NEW"),"",INDEX(B4050:B$2,-1+SUMPRODUCT(MAX(ROW(E4050:E$2)*(E4051=E4050:E$2)))))</f>
        <v> </v>
      </c>
      <c r="J4051" s="26" t="str">
        <f>IF(OR(E4051="",E4051="!!!",F4051="NEW"),"",COUNTBLANK(OFFSET(A$1,,,SUMPRODUCT(MAX(ROW(E$2:E4051)*(E4051=E$2:E4051)))))-COUNTBLANK(OFFSET(A$1,,,SUMPRODUCT(MAX(ROW(E$1:E4050)*(E2=E$1:E4050))))))</f>
        <v> </v>
      </c>
      <c r="K4051" s="26" t="str">
        <f>IF(OR(E4051="",E4051="!!!",F4051="NEW"),"",INDEX(J$1:J4050,SUMPRODUCT(MAX(ROW(E$1:E4050)*(E4051=E$1:E4050)))))</f>
        <v> </v>
      </c>
      <c r="L4051" s="27"/>
    </row>
    <row r="4052" spans="1:12">
      <c r="A4052" s="20" t="s">
        <v>2125</v>
      </c>
      <c r="E4052" s="22">
        <f>IF(D4052="?OLD","!!!","")</f>
        <v/>
      </c>
      <c r="F4052" s="23" t="str">
        <f>IF(OR(E4052="",E4052="!!!"),"",IF(NOT(ISNA(VLOOKUP(E4052,E$1:E4051,1,FALSE()))),"OLD",IF(AND(E4052&lt;&gt;"",E4052&lt;&gt;"!!!"),"NEW","")))</f>
        <v> </v>
      </c>
      <c r="G4052" s="24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5" t="str">
        <f>IF(J4052&lt;&gt;1,"",IF(I4052="SBJ","CB","?"))</f>
        <v> </v>
      </c>
      <c r="I4052" s="26" t="str">
        <f>IF(OR(E4052="",E4052="!!!",F4052="NEW"),"",INDEX(B4051:B$2,-1+SUMPRODUCT(MAX(ROW(E4051:E$2)*(E4052=E4051:E$2)))))</f>
        <v> </v>
      </c>
      <c r="J4052" s="26" t="str">
        <f>IF(OR(E4052="",E4052="!!!",F4052="NEW"),"",COUNTBLANK(OFFSET(A$1,,,SUMPRODUCT(MAX(ROW(E$2:E4052)*(E4052=E$2:E4052)))))-COUNTBLANK(OFFSET(A$1,,,SUMPRODUCT(MAX(ROW(E$1:E4051)*(E2=E$1:E4051))))))</f>
        <v> </v>
      </c>
      <c r="K4052" s="26" t="str">
        <f>IF(OR(E4052="",E4052="!!!",F4052="NEW"),"",INDEX(J$1:J4051,SUMPRODUCT(MAX(ROW(E$1:E4051)*(E4052=E$1:E4051)))))</f>
        <v> </v>
      </c>
      <c r="L4052" s="27"/>
    </row>
    <row r="4053" spans="1:12">
      <c r="A4053" s="20" t="s">
        <v>2594</v>
      </c>
      <c r="E4053" s="22">
        <f>IF(D4053="?OLD","!!!","")</f>
        <v/>
      </c>
      <c r="F4053" s="23" t="str">
        <f>IF(OR(E4053="",E4053="!!!"),"",IF(NOT(ISNA(VLOOKUP(E4053,E$1:E4052,1,FALSE()))),"OLD",IF(AND(E4053&lt;&gt;"",E4053&lt;&gt;"!!!"),"NEW","")))</f>
        <v> </v>
      </c>
      <c r="G4053" s="24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5" t="str">
        <f>IF(J4053&lt;&gt;1,"",IF(I4053="SBJ","CB","?"))</f>
        <v> </v>
      </c>
      <c r="I4053" s="26" t="str">
        <f>IF(OR(E4053="",E4053="!!!",F4053="NEW"),"",INDEX(B4052:B$2,-1+SUMPRODUCT(MAX(ROW(E4052:E$2)*(E4053=E4052:E$2)))))</f>
        <v> </v>
      </c>
      <c r="J4053" s="26" t="str">
        <f>IF(OR(E4053="",E4053="!!!",F4053="NEW"),"",COUNTBLANK(OFFSET(A$1,,,SUMPRODUCT(MAX(ROW(E$2:E4053)*(E4053=E$2:E4053)))))-COUNTBLANK(OFFSET(A$1,,,SUMPRODUCT(MAX(ROW(E$1:E4052)*(E2=E$1:E4052))))))</f>
        <v> </v>
      </c>
      <c r="K4053" s="26" t="str">
        <f>IF(OR(E4053="",E4053="!!!",F4053="NEW"),"",INDEX(J$1:J4052,SUMPRODUCT(MAX(ROW(E$1:E4052)*(E4053=E$1:E4052)))))</f>
        <v> </v>
      </c>
      <c r="L4053" s="27"/>
    </row>
    <row r="4054" spans="1:12">
      <c r="A4054" s="20" t="s">
        <v>1832</v>
      </c>
      <c r="B4054" s="21" t="s">
        <v>1072</v>
      </c>
      <c r="C4054" s="21" t="s">
        <v>1103</v>
      </c>
      <c r="E4054" s="22">
        <f>IF(D4054="?OLD","!!!","")</f>
        <v/>
      </c>
      <c r="F4054" s="23" t="str">
        <f>IF(OR(E4054="",E4054="!!!"),"",IF(NOT(ISNA(VLOOKUP(E4054,E$1:E4053,1,FALSE()))),"OLD",IF(AND(E4054&lt;&gt;"",E4054&lt;&gt;"!!!"),"NEW","")))</f>
        <v> </v>
      </c>
      <c r="G4054" s="24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5" t="str">
        <f>IF(J4054&lt;&gt;1,"",IF(I4054="SBJ","CB","?"))</f>
        <v> </v>
      </c>
      <c r="I4054" s="26" t="str">
        <f>IF(OR(E4054="",E4054="!!!",F4054="NEW"),"",INDEX(B4053:B$2,-1+SUMPRODUCT(MAX(ROW(E4053:E$2)*(E4054=E4053:E$2)))))</f>
        <v> </v>
      </c>
      <c r="J4054" s="26" t="str">
        <f>IF(OR(E4054="",E4054="!!!",F4054="NEW"),"",COUNTBLANK(OFFSET(A$1,,,SUMPRODUCT(MAX(ROW(E$2:E4054)*(E4054=E$2:E4054)))))-COUNTBLANK(OFFSET(A$1,,,SUMPRODUCT(MAX(ROW(E$1:E4053)*(E2=E$1:E4053))))))</f>
        <v> </v>
      </c>
      <c r="K4054" s="26" t="str">
        <f>IF(OR(E4054="",E4054="!!!",F4054="NEW"),"",INDEX(J$1:J4053,SUMPRODUCT(MAX(ROW(E$1:E4053)*(E4054=E$1:E4053)))))</f>
        <v> </v>
      </c>
      <c r="L4054" s="27"/>
    </row>
    <row r="4055" spans="1:12">
      <c r="A4055" s="20" t="s">
        <v>1106</v>
      </c>
      <c r="E4055" s="22">
        <f>IF(D4055="?OLD","!!!","")</f>
        <v/>
      </c>
      <c r="F4055" s="23" t="str">
        <f>IF(OR(E4055="",E4055="!!!"),"",IF(NOT(ISNA(VLOOKUP(E4055,E$1:E4054,1,FALSE()))),"OLD",IF(AND(E4055&lt;&gt;"",E4055&lt;&gt;"!!!"),"NEW","")))</f>
        <v> </v>
      </c>
      <c r="G4055" s="24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5" t="str">
        <f>IF(J4055&lt;&gt;1,"",IF(I4055="SBJ","CB","?"))</f>
        <v> </v>
      </c>
      <c r="I4055" s="26" t="str">
        <f>IF(OR(E4055="",E4055="!!!",F4055="NEW"),"",INDEX(B4054:B$2,-1+SUMPRODUCT(MAX(ROW(E4054:E$2)*(E4055=E4054:E$2)))))</f>
        <v> </v>
      </c>
      <c r="J4055" s="26" t="str">
        <f>IF(OR(E4055="",E4055="!!!",F4055="NEW"),"",COUNTBLANK(OFFSET(A$1,,,SUMPRODUCT(MAX(ROW(E$2:E4055)*(E4055=E$2:E4055)))))-COUNTBLANK(OFFSET(A$1,,,SUMPRODUCT(MAX(ROW(E$1:E4054)*(E2=E$1:E4054))))))</f>
        <v> </v>
      </c>
      <c r="K4055" s="26" t="str">
        <f>IF(OR(E4055="",E4055="!!!",F4055="NEW"),"",INDEX(J$1:J4054,SUMPRODUCT(MAX(ROW(E$1:E4054)*(E4055=E$1:E4054)))))</f>
        <v> </v>
      </c>
      <c r="L4055" s="27"/>
    </row>
    <row r="4056" spans="1:12">
      <c r="A4056" s="20"/>
    </row>
    <row r="4057" spans="1:12">
      <c r="A4057" s="20" t="s">
        <v>2595</v>
      </c>
    </row>
    <row r="4058" spans="1:12">
      <c r="A4058" s="20" t="s">
        <v>1133</v>
      </c>
      <c r="B4058" s="21" t="s">
        <v>1109</v>
      </c>
      <c r="C4058" s="21" t="s">
        <v>1081</v>
      </c>
      <c r="D4058" s="21" t="s">
        <v>1074</v>
      </c>
      <c r="E4058" s="22">
        <f>IF(D4058="?OLD","!!!","")</f>
        <v/>
      </c>
      <c r="F4058" s="23" t="str">
        <f>IF(OR(E4058="",E4058="!!!"),"",IF(NOT(ISNA(VLOOKUP(E4058,E$1:E4057,1,FALSE()))),"OLD",IF(AND(E4058&lt;&gt;"",E4058&lt;&gt;"!!!"),"NEW","")))</f>
        <v> </v>
      </c>
      <c r="G4058" s="24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5" t="str">
        <f>IF(J4058&lt;&gt;1,"",IF(I4058="SBJ","CB","?"))</f>
        <v> </v>
      </c>
      <c r="I4058" s="26" t="str">
        <f>IF(OR(E4058="",E4058="!!!",F4058="NEW"),"",INDEX(B4057:B$2,-1+SUMPRODUCT(MAX(ROW(E4057:E$2)*(E4058=E4057:E$2)))))</f>
        <v> </v>
      </c>
      <c r="J4058" s="26" t="str">
        <f>IF(OR(E4058="",E4058="!!!",F4058="NEW"),"",COUNTBLANK(OFFSET(A$1,,,SUMPRODUCT(MAX(ROW(E$2:E4058)*(E4058=E$2:E4058)))))-COUNTBLANK(OFFSET(A$1,,,SUMPRODUCT(MAX(ROW(E$1:E4057)*(E2=E$1:E4057))))))</f>
        <v> </v>
      </c>
      <c r="K4058" s="26" t="str">
        <f>IF(OR(E4058="",E4058="!!!",F4058="NEW"),"",INDEX(J$1:J4057,SUMPRODUCT(MAX(ROW(E$1:E4057)*(E4058=E$1:E4057)))))</f>
        <v> </v>
      </c>
      <c r="L4058" s="27"/>
    </row>
    <row r="4059" spans="1:12">
      <c r="A4059" s="20" t="s">
        <v>1255</v>
      </c>
      <c r="E4059" s="22">
        <f>IF(D4059="?OLD","!!!","")</f>
        <v/>
      </c>
      <c r="F4059" s="23" t="str">
        <f>IF(OR(E4059="",E4059="!!!"),"",IF(NOT(ISNA(VLOOKUP(E4059,E$1:E4058,1,FALSE()))),"OLD",IF(AND(E4059&lt;&gt;"",E4059&lt;&gt;"!!!"),"NEW","")))</f>
        <v> </v>
      </c>
      <c r="G4059" s="24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5" t="str">
        <f>IF(J4059&lt;&gt;1,"",IF(I4059="SBJ","CB","?"))</f>
        <v> </v>
      </c>
      <c r="I4059" s="26" t="str">
        <f>IF(OR(E4059="",E4059="!!!",F4059="NEW"),"",INDEX(B4058:B$2,-1+SUMPRODUCT(MAX(ROW(E4058:E$2)*(E4059=E4058:E$2)))))</f>
        <v> </v>
      </c>
      <c r="J4059" s="26" t="str">
        <f>IF(OR(E4059="",E4059="!!!",F4059="NEW"),"",COUNTBLANK(OFFSET(A$1,,,SUMPRODUCT(MAX(ROW(E$2:E4059)*(E4059=E$2:E4059)))))-COUNTBLANK(OFFSET(A$1,,,SUMPRODUCT(MAX(ROW(E$1:E4058)*(E2=E$1:E4058))))))</f>
        <v> </v>
      </c>
      <c r="K4059" s="26" t="str">
        <f>IF(OR(E4059="",E4059="!!!",F4059="NEW"),"",INDEX(J$1:J4058,SUMPRODUCT(MAX(ROW(E$1:E4058)*(E4059=E$1:E4058)))))</f>
        <v> </v>
      </c>
      <c r="L4059" s="27"/>
    </row>
    <row r="4060" spans="1:12">
      <c r="A4060" s="20" t="s">
        <v>1085</v>
      </c>
      <c r="E4060" s="22">
        <f>IF(D4060="?OLD","!!!","")</f>
        <v/>
      </c>
      <c r="F4060" s="23" t="str">
        <f>IF(OR(E4060="",E4060="!!!"),"",IF(NOT(ISNA(VLOOKUP(E4060,E$1:E4059,1,FALSE()))),"OLD",IF(AND(E4060&lt;&gt;"",E4060&lt;&gt;"!!!"),"NEW","")))</f>
        <v> </v>
      </c>
      <c r="G4060" s="24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5" t="str">
        <f>IF(J4060&lt;&gt;1,"",IF(I4060="SBJ","CB","?"))</f>
        <v> </v>
      </c>
      <c r="I4060" s="26" t="str">
        <f>IF(OR(E4060="",E4060="!!!",F4060="NEW"),"",INDEX(B4059:B$2,-1+SUMPRODUCT(MAX(ROW(E4059:E$2)*(E4060=E4059:E$2)))))</f>
        <v> </v>
      </c>
      <c r="J4060" s="26" t="str">
        <f>IF(OR(E4060="",E4060="!!!",F4060="NEW"),"",COUNTBLANK(OFFSET(A$1,,,SUMPRODUCT(MAX(ROW(E$2:E4060)*(E4060=E$2:E4060)))))-COUNTBLANK(OFFSET(A$1,,,SUMPRODUCT(MAX(ROW(E$1:E4059)*(E2=E$1:E4059))))))</f>
        <v> </v>
      </c>
      <c r="K4060" s="26" t="str">
        <f>IF(OR(E4060="",E4060="!!!",F4060="NEW"),"",INDEX(J$1:J4059,SUMPRODUCT(MAX(ROW(E$1:E4059)*(E4060=E$1:E4059)))))</f>
        <v> </v>
      </c>
      <c r="L4060" s="27"/>
    </row>
    <row r="4061" spans="1:12">
      <c r="A4061" s="20" t="s">
        <v>1242</v>
      </c>
      <c r="E4061" s="22">
        <f>IF(D4061="?OLD","!!!","")</f>
        <v/>
      </c>
      <c r="F4061" s="23" t="str">
        <f>IF(OR(E4061="",E4061="!!!"),"",IF(NOT(ISNA(VLOOKUP(E4061,E$1:E4060,1,FALSE()))),"OLD",IF(AND(E4061&lt;&gt;"",E4061&lt;&gt;"!!!"),"NEW","")))</f>
        <v> </v>
      </c>
      <c r="G4061" s="24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5" t="str">
        <f>IF(J4061&lt;&gt;1,"",IF(I4061="SBJ","CB","?"))</f>
        <v> </v>
      </c>
      <c r="I4061" s="26" t="str">
        <f>IF(OR(E4061="",E4061="!!!",F4061="NEW"),"",INDEX(B4060:B$2,-1+SUMPRODUCT(MAX(ROW(E4060:E$2)*(E4061=E4060:E$2)))))</f>
        <v> </v>
      </c>
      <c r="J4061" s="26" t="str">
        <f>IF(OR(E4061="",E4061="!!!",F4061="NEW"),"",COUNTBLANK(OFFSET(A$1,,,SUMPRODUCT(MAX(ROW(E$2:E4061)*(E4061=E$2:E4061)))))-COUNTBLANK(OFFSET(A$1,,,SUMPRODUCT(MAX(ROW(E$1:E4060)*(E2=E$1:E4060))))))</f>
        <v> </v>
      </c>
      <c r="K4061" s="26" t="str">
        <f>IF(OR(E4061="",E4061="!!!",F4061="NEW"),"",INDEX(J$1:J4060,SUMPRODUCT(MAX(ROW(E$1:E4060)*(E4061=E$1:E4060)))))</f>
        <v> </v>
      </c>
      <c r="L4061" s="27"/>
    </row>
    <row r="4062" spans="1:12">
      <c r="A4062" s="20" t="s">
        <v>1821</v>
      </c>
      <c r="E4062" s="22">
        <f>IF(D4062="?OLD","!!!","")</f>
        <v/>
      </c>
      <c r="F4062" s="23" t="str">
        <f>IF(OR(E4062="",E4062="!!!"),"",IF(NOT(ISNA(VLOOKUP(E4062,E$1:E4061,1,FALSE()))),"OLD",IF(AND(E4062&lt;&gt;"",E4062&lt;&gt;"!!!"),"NEW","")))</f>
        <v> </v>
      </c>
      <c r="G4062" s="24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5" t="str">
        <f>IF(J4062&lt;&gt;1,"",IF(I4062="SBJ","CB","?"))</f>
        <v> </v>
      </c>
      <c r="I4062" s="26" t="str">
        <f>IF(OR(E4062="",E4062="!!!",F4062="NEW"),"",INDEX(B4061:B$2,-1+SUMPRODUCT(MAX(ROW(E4061:E$2)*(E4062=E4061:E$2)))))</f>
        <v> </v>
      </c>
      <c r="J4062" s="26" t="str">
        <f>IF(OR(E4062="",E4062="!!!",F4062="NEW"),"",COUNTBLANK(OFFSET(A$1,,,SUMPRODUCT(MAX(ROW(E$2:E4062)*(E4062=E$2:E4062)))))-COUNTBLANK(OFFSET(A$1,,,SUMPRODUCT(MAX(ROW(E$1:E4061)*(E2=E$1:E4061))))))</f>
        <v> </v>
      </c>
      <c r="K4062" s="26" t="str">
        <f>IF(OR(E4062="",E4062="!!!",F4062="NEW"),"",INDEX(J$1:J4061,SUMPRODUCT(MAX(ROW(E$1:E4061)*(E4062=E$1:E4061)))))</f>
        <v> </v>
      </c>
      <c r="L4062" s="27"/>
    </row>
    <row r="4063" spans="1:12">
      <c r="A4063" s="20" t="s">
        <v>1822</v>
      </c>
      <c r="B4063" s="21" t="s">
        <v>1080</v>
      </c>
      <c r="E4063" s="22">
        <f>IF(D4063="?OLD","!!!","")</f>
        <v/>
      </c>
      <c r="F4063" s="23" t="str">
        <f>IF(OR(E4063="",E4063="!!!"),"",IF(NOT(ISNA(VLOOKUP(E4063,E$1:E4062,1,FALSE()))),"OLD",IF(AND(E4063&lt;&gt;"",E4063&lt;&gt;"!!!"),"NEW","")))</f>
        <v> </v>
      </c>
      <c r="G4063" s="24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5" t="str">
        <f>IF(J4063&lt;&gt;1,"",IF(I4063="SBJ","CB","?"))</f>
        <v> </v>
      </c>
      <c r="I4063" s="26" t="str">
        <f>IF(OR(E4063="",E4063="!!!",F4063="NEW"),"",INDEX(B4062:B$2,-1+SUMPRODUCT(MAX(ROW(E4062:E$2)*(E4063=E4062:E$2)))))</f>
        <v> </v>
      </c>
      <c r="J4063" s="26" t="str">
        <f>IF(OR(E4063="",E4063="!!!",F4063="NEW"),"",COUNTBLANK(OFFSET(A$1,,,SUMPRODUCT(MAX(ROW(E$2:E4063)*(E4063=E$2:E4063)))))-COUNTBLANK(OFFSET(A$1,,,SUMPRODUCT(MAX(ROW(E$1:E4062)*(E2=E$1:E4062))))))</f>
        <v> </v>
      </c>
      <c r="K4063" s="26" t="str">
        <f>IF(OR(E4063="",E4063="!!!",F4063="NEW"),"",INDEX(J$1:J4062,SUMPRODUCT(MAX(ROW(E$1:E4062)*(E4063=E$1:E4062)))))</f>
        <v> </v>
      </c>
      <c r="L4063" s="27"/>
    </row>
    <row r="4064" spans="1:12">
      <c r="A4064" s="20" t="s">
        <v>1106</v>
      </c>
      <c r="E4064" s="22">
        <f>IF(D4064="?OLD","!!!","")</f>
        <v/>
      </c>
      <c r="F4064" s="23" t="str">
        <f>IF(OR(E4064="",E4064="!!!"),"",IF(NOT(ISNA(VLOOKUP(E4064,E$1:E4063,1,FALSE()))),"OLD",IF(AND(E4064&lt;&gt;"",E4064&lt;&gt;"!!!"),"NEW","")))</f>
        <v> </v>
      </c>
      <c r="G4064" s="24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5" t="str">
        <f>IF(J4064&lt;&gt;1,"",IF(I4064="SBJ","CB","?"))</f>
        <v> </v>
      </c>
      <c r="I4064" s="26" t="str">
        <f>IF(OR(E4064="",E4064="!!!",F4064="NEW"),"",INDEX(B4063:B$2,-1+SUMPRODUCT(MAX(ROW(E4063:E$2)*(E4064=E4063:E$2)))))</f>
        <v> </v>
      </c>
      <c r="J4064" s="26" t="str">
        <f>IF(OR(E4064="",E4064="!!!",F4064="NEW"),"",COUNTBLANK(OFFSET(A$1,,,SUMPRODUCT(MAX(ROW(E$2:E4064)*(E4064=E$2:E4064)))))-COUNTBLANK(OFFSET(A$1,,,SUMPRODUCT(MAX(ROW(E$1:E4063)*(E2=E$1:E4063))))))</f>
        <v> </v>
      </c>
      <c r="K4064" s="26" t="str">
        <f>IF(OR(E4064="",E4064="!!!",F4064="NEW"),"",INDEX(J$1:J4063,SUMPRODUCT(MAX(ROW(E$1:E4063)*(E4064=E$1:E4063)))))</f>
        <v> </v>
      </c>
      <c r="L4064" s="27"/>
    </row>
    <row r="4065" spans="1:12">
      <c r="A4065" s="20"/>
    </row>
    <row r="4066" spans="1:12">
      <c r="A4066" s="20" t="s">
        <v>2596</v>
      </c>
    </row>
    <row r="4067" spans="1:12">
      <c r="A4067" s="20" t="s">
        <v>1133</v>
      </c>
      <c r="B4067" s="21" t="s">
        <v>1109</v>
      </c>
      <c r="C4067" s="21" t="s">
        <v>1081</v>
      </c>
      <c r="D4067" s="21" t="s">
        <v>1074</v>
      </c>
      <c r="E4067" s="22">
        <f>IF(D4067="?OLD","!!!","")</f>
        <v/>
      </c>
      <c r="F4067" s="23" t="str">
        <f>IF(OR(E4067="",E4067="!!!"),"",IF(NOT(ISNA(VLOOKUP(E4067,E$1:E4066,1,FALSE()))),"OLD",IF(AND(E4067&lt;&gt;"",E4067&lt;&gt;"!!!"),"NEW","")))</f>
        <v> </v>
      </c>
      <c r="G4067" s="24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5" t="str">
        <f>IF(J4067&lt;&gt;1,"",IF(I4067="SBJ","CB","?"))</f>
        <v> </v>
      </c>
      <c r="I4067" s="26" t="str">
        <f>IF(OR(E4067="",E4067="!!!",F4067="NEW"),"",INDEX(B4066:B$2,-1+SUMPRODUCT(MAX(ROW(E4066:E$2)*(E4067=E4066:E$2)))))</f>
        <v> </v>
      </c>
      <c r="J4067" s="26" t="str">
        <f>IF(OR(E4067="",E4067="!!!",F4067="NEW"),"",COUNTBLANK(OFFSET(A$1,,,SUMPRODUCT(MAX(ROW(E$2:E4067)*(E4067=E$2:E4067)))))-COUNTBLANK(OFFSET(A$1,,,SUMPRODUCT(MAX(ROW(E$1:E4066)*(E2=E$1:E4066))))))</f>
        <v> </v>
      </c>
      <c r="K4067" s="26" t="str">
        <f>IF(OR(E4067="",E4067="!!!",F4067="NEW"),"",INDEX(J$1:J4066,SUMPRODUCT(MAX(ROW(E$1:E4066)*(E4067=E$1:E4066)))))</f>
        <v> </v>
      </c>
      <c r="L4067" s="27"/>
    </row>
    <row r="4068" spans="1:12">
      <c r="A4068" s="20" t="s">
        <v>1244</v>
      </c>
      <c r="E4068" s="22">
        <f>IF(D4068="?OLD","!!!","")</f>
        <v/>
      </c>
      <c r="F4068" s="23" t="str">
        <f>IF(OR(E4068="",E4068="!!!"),"",IF(NOT(ISNA(VLOOKUP(E4068,E$1:E4067,1,FALSE()))),"OLD",IF(AND(E4068&lt;&gt;"",E4068&lt;&gt;"!!!"),"NEW","")))</f>
        <v> </v>
      </c>
      <c r="G4068" s="24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5" t="str">
        <f>IF(J4068&lt;&gt;1,"",IF(I4068="SBJ","CB","?"))</f>
        <v> </v>
      </c>
      <c r="I4068" s="26" t="str">
        <f>IF(OR(E4068="",E4068="!!!",F4068="NEW"),"",INDEX(B4067:B$2,-1+SUMPRODUCT(MAX(ROW(E4067:E$2)*(E4068=E4067:E$2)))))</f>
        <v> </v>
      </c>
      <c r="J4068" s="26" t="str">
        <f>IF(OR(E4068="",E4068="!!!",F4068="NEW"),"",COUNTBLANK(OFFSET(A$1,,,SUMPRODUCT(MAX(ROW(E$2:E4068)*(E4068=E$2:E4068)))))-COUNTBLANK(OFFSET(A$1,,,SUMPRODUCT(MAX(ROW(E$1:E4067)*(E2=E$1:E4067))))))</f>
        <v> </v>
      </c>
      <c r="K4068" s="26" t="str">
        <f>IF(OR(E4068="",E4068="!!!",F4068="NEW"),"",INDEX(J$1:J4067,SUMPRODUCT(MAX(ROW(E$1:E4067)*(E4068=E$1:E4067)))))</f>
        <v> </v>
      </c>
      <c r="L4068" s="27"/>
    </row>
    <row r="4069" spans="1:12">
      <c r="A4069" s="20" t="s">
        <v>1206</v>
      </c>
      <c r="E4069" s="22">
        <f>IF(D4069="?OLD","!!!","")</f>
        <v/>
      </c>
      <c r="F4069" s="23" t="str">
        <f>IF(OR(E4069="",E4069="!!!"),"",IF(NOT(ISNA(VLOOKUP(E4069,E$1:E4068,1,FALSE()))),"OLD",IF(AND(E4069&lt;&gt;"",E4069&lt;&gt;"!!!"),"NEW","")))</f>
        <v> </v>
      </c>
      <c r="G4069" s="24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5" t="str">
        <f>IF(J4069&lt;&gt;1,"",IF(I4069="SBJ","CB","?"))</f>
        <v> </v>
      </c>
      <c r="I4069" s="26" t="str">
        <f>IF(OR(E4069="",E4069="!!!",F4069="NEW"),"",INDEX(B4068:B$2,-1+SUMPRODUCT(MAX(ROW(E4068:E$2)*(E4069=E4068:E$2)))))</f>
        <v> </v>
      </c>
      <c r="J4069" s="26" t="str">
        <f>IF(OR(E4069="",E4069="!!!",F4069="NEW"),"",COUNTBLANK(OFFSET(A$1,,,SUMPRODUCT(MAX(ROW(E$2:E4069)*(E4069=E$2:E4069)))))-COUNTBLANK(OFFSET(A$1,,,SUMPRODUCT(MAX(ROW(E$1:E4068)*(E2=E$1:E4068))))))</f>
        <v> </v>
      </c>
      <c r="K4069" s="26" t="str">
        <f>IF(OR(E4069="",E4069="!!!",F4069="NEW"),"",INDEX(J$1:J4068,SUMPRODUCT(MAX(ROW(E$1:E4068)*(E4069=E$1:E4068)))))</f>
        <v> </v>
      </c>
      <c r="L4069" s="27"/>
    </row>
    <row r="4070" spans="1:12">
      <c r="A4070" s="20" t="s">
        <v>1249</v>
      </c>
      <c r="B4070" s="21" t="s">
        <v>1080</v>
      </c>
      <c r="C4070" s="21" t="s">
        <v>1081</v>
      </c>
      <c r="D4070" s="21" t="s">
        <v>1074</v>
      </c>
      <c r="E4070" s="22">
        <f>IF(D4070="?OLD","!!!","")</f>
        <v/>
      </c>
      <c r="F4070" s="23" t="str">
        <f>IF(OR(E4070="",E4070="!!!"),"",IF(NOT(ISNA(VLOOKUP(E4070,E$1:E4069,1,FALSE()))),"OLD",IF(AND(E4070&lt;&gt;"",E4070&lt;&gt;"!!!"),"NEW","")))</f>
        <v> </v>
      </c>
      <c r="G4070" s="24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5" t="str">
        <f>IF(J4070&lt;&gt;1,"",IF(I4070="SBJ","CB","?"))</f>
        <v> </v>
      </c>
      <c r="I4070" s="26" t="str">
        <f>IF(OR(E4070="",E4070="!!!",F4070="NEW"),"",INDEX(B4069:B$2,-1+SUMPRODUCT(MAX(ROW(E4069:E$2)*(E4070=E4069:E$2)))))</f>
        <v> </v>
      </c>
      <c r="J4070" s="26" t="str">
        <f>IF(OR(E4070="",E4070="!!!",F4070="NEW"),"",COUNTBLANK(OFFSET(A$1,,,SUMPRODUCT(MAX(ROW(E$2:E4070)*(E4070=E$2:E4070)))))-COUNTBLANK(OFFSET(A$1,,,SUMPRODUCT(MAX(ROW(E$1:E4069)*(E2=E$1:E4069))))))</f>
        <v> </v>
      </c>
      <c r="K4070" s="26" t="str">
        <f>IF(OR(E4070="",E4070="!!!",F4070="NEW"),"",INDEX(J$1:J4069,SUMPRODUCT(MAX(ROW(E$1:E4069)*(E4070=E$1:E4069)))))</f>
        <v> </v>
      </c>
      <c r="L4070" s="27"/>
    </row>
    <row r="4071" spans="1:12">
      <c r="A4071" s="20" t="s">
        <v>1424</v>
      </c>
      <c r="E4071" s="22">
        <f>IF(D4071="?OLD","!!!","")</f>
        <v/>
      </c>
      <c r="F4071" s="23" t="str">
        <f>IF(OR(E4071="",E4071="!!!"),"",IF(NOT(ISNA(VLOOKUP(E4071,E$1:E4070,1,FALSE()))),"OLD",IF(AND(E4071&lt;&gt;"",E4071&lt;&gt;"!!!"),"NEW","")))</f>
        <v> </v>
      </c>
      <c r="G4071" s="24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5" t="str">
        <f>IF(J4071&lt;&gt;1,"",IF(I4071="SBJ","CB","?"))</f>
        <v> </v>
      </c>
      <c r="I4071" s="26" t="str">
        <f>IF(OR(E4071="",E4071="!!!",F4071="NEW"),"",INDEX(B4070:B$2,-1+SUMPRODUCT(MAX(ROW(E4070:E$2)*(E4071=E4070:E$2)))))</f>
        <v> </v>
      </c>
      <c r="J4071" s="26" t="str">
        <f>IF(OR(E4071="",E4071="!!!",F4071="NEW"),"",COUNTBLANK(OFFSET(A$1,,,SUMPRODUCT(MAX(ROW(E$2:E4071)*(E4071=E$2:E4071)))))-COUNTBLANK(OFFSET(A$1,,,SUMPRODUCT(MAX(ROW(E$1:E4070)*(E2=E$1:E4070))))))</f>
        <v> </v>
      </c>
      <c r="K4071" s="26" t="str">
        <f>IF(OR(E4071="",E4071="!!!",F4071="NEW"),"",INDEX(J$1:J4070,SUMPRODUCT(MAX(ROW(E$1:E4070)*(E4071=E$1:E4070)))))</f>
        <v> </v>
      </c>
      <c r="L4071" s="27"/>
    </row>
    <row r="4072" spans="1:12">
      <c r="A4072" s="20" t="s">
        <v>1106</v>
      </c>
      <c r="E4072" s="22">
        <f>IF(D4072="?OLD","!!!","")</f>
        <v/>
      </c>
      <c r="F4072" s="23" t="str">
        <f>IF(OR(E4072="",E4072="!!!"),"",IF(NOT(ISNA(VLOOKUP(E4072,E$1:E4071,1,FALSE()))),"OLD",IF(AND(E4072&lt;&gt;"",E4072&lt;&gt;"!!!"),"NEW","")))</f>
        <v> </v>
      </c>
      <c r="G4072" s="24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5" t="str">
        <f>IF(J4072&lt;&gt;1,"",IF(I4072="SBJ","CB","?"))</f>
        <v> </v>
      </c>
      <c r="I4072" s="26" t="str">
        <f>IF(OR(E4072="",E4072="!!!",F4072="NEW"),"",INDEX(B4071:B$2,-1+SUMPRODUCT(MAX(ROW(E4071:E$2)*(E4072=E4071:E$2)))))</f>
        <v> </v>
      </c>
      <c r="J4072" s="26" t="str">
        <f>IF(OR(E4072="",E4072="!!!",F4072="NEW"),"",COUNTBLANK(OFFSET(A$1,,,SUMPRODUCT(MAX(ROW(E$2:E4072)*(E4072=E$2:E4072)))))-COUNTBLANK(OFFSET(A$1,,,SUMPRODUCT(MAX(ROW(E$1:E4071)*(E2=E$1:E4071))))))</f>
        <v> </v>
      </c>
      <c r="K4072" s="26" t="str">
        <f>IF(OR(E4072="",E4072="!!!",F4072="NEW"),"",INDEX(J$1:J4071,SUMPRODUCT(MAX(ROW(E$1:E4071)*(E4072=E$1:E4071)))))</f>
        <v> </v>
      </c>
      <c r="L4072" s="27"/>
    </row>
    <row r="4073" spans="1:12">
      <c r="A4073" s="20"/>
    </row>
    <row r="4074" spans="1:12">
      <c r="A4074" s="20" t="s">
        <v>2597</v>
      </c>
    </row>
    <row r="4075" spans="1:12">
      <c r="A4075" s="20" t="s">
        <v>2598</v>
      </c>
      <c r="E4075" s="22">
        <f>IF(D4075="?OLD","!!!","")</f>
        <v/>
      </c>
      <c r="F4075" s="23" t="str">
        <f>IF(OR(E4075="",E4075="!!!"),"",IF(NOT(ISNA(VLOOKUP(E4075,E$1:E4074,1,FALSE()))),"OLD",IF(AND(E4075&lt;&gt;"",E4075&lt;&gt;"!!!"),"NEW","")))</f>
        <v> </v>
      </c>
      <c r="G4075" s="24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5" t="str">
        <f>IF(J4075&lt;&gt;1,"",IF(I4075="SBJ","CB","?"))</f>
        <v> </v>
      </c>
      <c r="I4075" s="26" t="str">
        <f>IF(OR(E4075="",E4075="!!!",F4075="NEW"),"",INDEX(B4074:B$2,-1+SUMPRODUCT(MAX(ROW(E4074:E$2)*(E4075=E4074:E$2)))))</f>
        <v> </v>
      </c>
      <c r="J4075" s="26" t="str">
        <f>IF(OR(E4075="",E4075="!!!",F4075="NEW"),"",COUNTBLANK(OFFSET(A$1,,,SUMPRODUCT(MAX(ROW(E$2:E4075)*(E4075=E$2:E4075)))))-COUNTBLANK(OFFSET(A$1,,,SUMPRODUCT(MAX(ROW(E$1:E4074)*(E2=E$1:E4074))))))</f>
        <v> </v>
      </c>
      <c r="K4075" s="26" t="str">
        <f>IF(OR(E4075="",E4075="!!!",F4075="NEW"),"",INDEX(J$1:J4074,SUMPRODUCT(MAX(ROW(E$1:E4074)*(E4075=E$1:E4074)))))</f>
        <v> </v>
      </c>
      <c r="L4075" s="27"/>
    </row>
    <row r="4076" spans="1:12">
      <c r="A4076" s="20" t="s">
        <v>1322</v>
      </c>
      <c r="B4076" s="21" t="s">
        <v>1109</v>
      </c>
      <c r="E4076" s="22">
        <f>IF(D4076="?OLD","!!!","")</f>
        <v/>
      </c>
      <c r="F4076" s="23" t="str">
        <f>IF(OR(E4076="",E4076="!!!"),"",IF(NOT(ISNA(VLOOKUP(E4076,E$1:E4075,1,FALSE()))),"OLD",IF(AND(E4076&lt;&gt;"",E4076&lt;&gt;"!!!"),"NEW","")))</f>
        <v> </v>
      </c>
      <c r="G4076" s="24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5" t="str">
        <f>IF(J4076&lt;&gt;1,"",IF(I4076="SBJ","CB","?"))</f>
        <v> </v>
      </c>
      <c r="I4076" s="26" t="str">
        <f>IF(OR(E4076="",E4076="!!!",F4076="NEW"),"",INDEX(B4075:B$2,-1+SUMPRODUCT(MAX(ROW(E4075:E$2)*(E4076=E4075:E$2)))))</f>
        <v> </v>
      </c>
      <c r="J4076" s="26" t="str">
        <f>IF(OR(E4076="",E4076="!!!",F4076="NEW"),"",COUNTBLANK(OFFSET(A$1,,,SUMPRODUCT(MAX(ROW(E$2:E4076)*(E4076=E$2:E4076)))))-COUNTBLANK(OFFSET(A$1,,,SUMPRODUCT(MAX(ROW(E$1:E4075)*(E2=E$1:E4075))))))</f>
        <v> </v>
      </c>
      <c r="K4076" s="26" t="str">
        <f>IF(OR(E4076="",E4076="!!!",F4076="NEW"),"",INDEX(J$1:J4075,SUMPRODUCT(MAX(ROW(E$1:E4075)*(E4076=E$1:E4075)))))</f>
        <v> </v>
      </c>
      <c r="L4076" s="27"/>
    </row>
    <row r="4077" spans="1:12">
      <c r="A4077" s="20" t="s">
        <v>1085</v>
      </c>
      <c r="E4077" s="22">
        <f>IF(D4077="?OLD","!!!","")</f>
        <v/>
      </c>
      <c r="F4077" s="23" t="str">
        <f>IF(OR(E4077="",E4077="!!!"),"",IF(NOT(ISNA(VLOOKUP(E4077,E$1:E4076,1,FALSE()))),"OLD",IF(AND(E4077&lt;&gt;"",E4077&lt;&gt;"!!!"),"NEW","")))</f>
        <v> </v>
      </c>
      <c r="G4077" s="24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5" t="str">
        <f>IF(J4077&lt;&gt;1,"",IF(I4077="SBJ","CB","?"))</f>
        <v> </v>
      </c>
      <c r="I4077" s="26" t="str">
        <f>IF(OR(E4077="",E4077="!!!",F4077="NEW"),"",INDEX(B4076:B$2,-1+SUMPRODUCT(MAX(ROW(E4076:E$2)*(E4077=E4076:E$2)))))</f>
        <v> </v>
      </c>
      <c r="J4077" s="26" t="str">
        <f>IF(OR(E4077="",E4077="!!!",F4077="NEW"),"",COUNTBLANK(OFFSET(A$1,,,SUMPRODUCT(MAX(ROW(E$2:E4077)*(E4077=E$2:E4077)))))-COUNTBLANK(OFFSET(A$1,,,SUMPRODUCT(MAX(ROW(E$1:E4076)*(E2=E$1:E4076))))))</f>
        <v> </v>
      </c>
      <c r="K4077" s="26" t="str">
        <f>IF(OR(E4077="",E4077="!!!",F4077="NEW"),"",INDEX(J$1:J4076,SUMPRODUCT(MAX(ROW(E$1:E4076)*(E4077=E$1:E4076)))))</f>
        <v> </v>
      </c>
      <c r="L4077" s="27"/>
    </row>
    <row r="4078" spans="1:12">
      <c r="A4078" s="20" t="s">
        <v>1187</v>
      </c>
      <c r="E4078" s="22">
        <f>IF(D4078="?OLD","!!!","")</f>
        <v/>
      </c>
      <c r="F4078" s="23" t="str">
        <f>IF(OR(E4078="",E4078="!!!"),"",IF(NOT(ISNA(VLOOKUP(E4078,E$1:E4077,1,FALSE()))),"OLD",IF(AND(E4078&lt;&gt;"",E4078&lt;&gt;"!!!"),"NEW","")))</f>
        <v> </v>
      </c>
      <c r="G4078" s="24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5" t="str">
        <f>IF(J4078&lt;&gt;1,"",IF(I4078="SBJ","CB","?"))</f>
        <v> </v>
      </c>
      <c r="I4078" s="26" t="str">
        <f>IF(OR(E4078="",E4078="!!!",F4078="NEW"),"",INDEX(B4077:B$2,-1+SUMPRODUCT(MAX(ROW(E4077:E$2)*(E4078=E4077:E$2)))))</f>
        <v> </v>
      </c>
      <c r="J4078" s="26" t="str">
        <f>IF(OR(E4078="",E4078="!!!",F4078="NEW"),"",COUNTBLANK(OFFSET(A$1,,,SUMPRODUCT(MAX(ROW(E$2:E4078)*(E4078=E$2:E4078)))))-COUNTBLANK(OFFSET(A$1,,,SUMPRODUCT(MAX(ROW(E$1:E4077)*(E2=E$1:E4077))))))</f>
        <v> </v>
      </c>
      <c r="K4078" s="26" t="str">
        <f>IF(OR(E4078="",E4078="!!!",F4078="NEW"),"",INDEX(J$1:J4077,SUMPRODUCT(MAX(ROW(E$1:E4077)*(E4078=E$1:E4077)))))</f>
        <v> </v>
      </c>
      <c r="L4078" s="27"/>
    </row>
    <row r="4079" spans="1:12">
      <c r="A4079" s="20" t="s">
        <v>2451</v>
      </c>
      <c r="B4079" s="21" t="s">
        <v>1137</v>
      </c>
      <c r="C4079" s="21" t="s">
        <v>1181</v>
      </c>
      <c r="E4079" s="22">
        <f>IF(D4079="?OLD","!!!","")</f>
        <v/>
      </c>
      <c r="F4079" s="23" t="str">
        <f>IF(OR(E4079="",E4079="!!!"),"",IF(NOT(ISNA(VLOOKUP(E4079,E$1:E4078,1,FALSE()))),"OLD",IF(AND(E4079&lt;&gt;"",E4079&lt;&gt;"!!!"),"NEW","")))</f>
        <v> </v>
      </c>
      <c r="G4079" s="24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5" t="str">
        <f>IF(J4079&lt;&gt;1,"",IF(I4079="SBJ","CB","?"))</f>
        <v> </v>
      </c>
      <c r="I4079" s="26" t="str">
        <f>IF(OR(E4079="",E4079="!!!",F4079="NEW"),"",INDEX(B4078:B$2,-1+SUMPRODUCT(MAX(ROW(E4078:E$2)*(E4079=E4078:E$2)))))</f>
        <v> </v>
      </c>
      <c r="J4079" s="26" t="str">
        <f>IF(OR(E4079="",E4079="!!!",F4079="NEW"),"",COUNTBLANK(OFFSET(A$1,,,SUMPRODUCT(MAX(ROW(E$2:E4079)*(E4079=E$2:E4079)))))-COUNTBLANK(OFFSET(A$1,,,SUMPRODUCT(MAX(ROW(E$1:E4078)*(E2=E$1:E4078))))))</f>
        <v> </v>
      </c>
      <c r="K4079" s="26" t="str">
        <f>IF(OR(E4079="",E4079="!!!",F4079="NEW"),"",INDEX(J$1:J4078,SUMPRODUCT(MAX(ROW(E$1:E4078)*(E4079=E$1:E4078)))))</f>
        <v> </v>
      </c>
      <c r="L4079" s="27"/>
    </row>
    <row r="4080" spans="1:12">
      <c r="A4080" s="20" t="s">
        <v>1262</v>
      </c>
      <c r="B4080" s="21" t="s">
        <v>1119</v>
      </c>
      <c r="C4080" s="21" t="s">
        <v>1081</v>
      </c>
      <c r="D4080" s="21" t="s">
        <v>1074</v>
      </c>
      <c r="E4080" s="22">
        <f>IF(D4080="?OLD","!!!","")</f>
        <v/>
      </c>
      <c r="F4080" s="23" t="str">
        <f>IF(OR(E4080="",E4080="!!!"),"",IF(NOT(ISNA(VLOOKUP(E4080,E$1:E4079,1,FALSE()))),"OLD",IF(AND(E4080&lt;&gt;"",E4080&lt;&gt;"!!!"),"NEW","")))</f>
        <v> </v>
      </c>
      <c r="G4080" s="24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5" t="str">
        <f>IF(J4080&lt;&gt;1,"",IF(I4080="SBJ","CB","?"))</f>
        <v> </v>
      </c>
      <c r="I4080" s="26" t="str">
        <f>IF(OR(E4080="",E4080="!!!",F4080="NEW"),"",INDEX(B4079:B$2,-1+SUMPRODUCT(MAX(ROW(E4079:E$2)*(E4080=E4079:E$2)))))</f>
        <v> </v>
      </c>
      <c r="J4080" s="26" t="str">
        <f>IF(OR(E4080="",E4080="!!!",F4080="NEW"),"",COUNTBLANK(OFFSET(A$1,,,SUMPRODUCT(MAX(ROW(E$2:E4080)*(E4080=E$2:E4080)))))-COUNTBLANK(OFFSET(A$1,,,SUMPRODUCT(MAX(ROW(E$1:E4079)*(E2=E$1:E4079))))))</f>
        <v> </v>
      </c>
      <c r="K4080" s="26" t="str">
        <f>IF(OR(E4080="",E4080="!!!",F4080="NEW"),"",INDEX(J$1:J4079,SUMPRODUCT(MAX(ROW(E$1:E4079)*(E4080=E$1:E4079)))))</f>
        <v> </v>
      </c>
      <c r="L4080" s="27"/>
    </row>
    <row r="4081" spans="1:12">
      <c r="A4081" s="20" t="s">
        <v>2599</v>
      </c>
      <c r="E4081" s="22">
        <f>IF(D4081="?OLD","!!!","")</f>
        <v/>
      </c>
      <c r="F4081" s="23" t="str">
        <f>IF(OR(E4081="",E4081="!!!"),"",IF(NOT(ISNA(VLOOKUP(E4081,E$1:E4080,1,FALSE()))),"OLD",IF(AND(E4081&lt;&gt;"",E4081&lt;&gt;"!!!"),"NEW","")))</f>
        <v> </v>
      </c>
      <c r="G4081" s="24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5" t="str">
        <f>IF(J4081&lt;&gt;1,"",IF(I4081="SBJ","CB","?"))</f>
        <v> </v>
      </c>
      <c r="I4081" s="26" t="str">
        <f>IF(OR(E4081="",E4081="!!!",F4081="NEW"),"",INDEX(B4080:B$2,-1+SUMPRODUCT(MAX(ROW(E4080:E$2)*(E4081=E4080:E$2)))))</f>
        <v> </v>
      </c>
      <c r="J4081" s="26" t="str">
        <f>IF(OR(E4081="",E4081="!!!",F4081="NEW"),"",COUNTBLANK(OFFSET(A$1,,,SUMPRODUCT(MAX(ROW(E$2:E4081)*(E4081=E$2:E4081)))))-COUNTBLANK(OFFSET(A$1,,,SUMPRODUCT(MAX(ROW(E$1:E4080)*(E2=E$1:E4080))))))</f>
        <v> </v>
      </c>
      <c r="K4081" s="26" t="str">
        <f>IF(OR(E4081="",E4081="!!!",F4081="NEW"),"",INDEX(J$1:J4080,SUMPRODUCT(MAX(ROW(E$1:E4080)*(E4081=E$1:E4080)))))</f>
        <v> </v>
      </c>
      <c r="L4081" s="27"/>
    </row>
    <row r="4082" spans="1:12">
      <c r="A4082" s="20" t="s">
        <v>1085</v>
      </c>
      <c r="E4082" s="22">
        <f>IF(D4082="?OLD","!!!","")</f>
        <v/>
      </c>
      <c r="F4082" s="23" t="str">
        <f>IF(OR(E4082="",E4082="!!!"),"",IF(NOT(ISNA(VLOOKUP(E4082,E$1:E4081,1,FALSE()))),"OLD",IF(AND(E4082&lt;&gt;"",E4082&lt;&gt;"!!!"),"NEW","")))</f>
        <v> </v>
      </c>
      <c r="G4082" s="24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5" t="str">
        <f>IF(J4082&lt;&gt;1,"",IF(I4082="SBJ","CB","?"))</f>
        <v> </v>
      </c>
      <c r="I4082" s="26" t="str">
        <f>IF(OR(E4082="",E4082="!!!",F4082="NEW"),"",INDEX(B4081:B$2,-1+SUMPRODUCT(MAX(ROW(E4081:E$2)*(E4082=E4081:E$2)))))</f>
        <v> </v>
      </c>
      <c r="J4082" s="26" t="str">
        <f>IF(OR(E4082="",E4082="!!!",F4082="NEW"),"",COUNTBLANK(OFFSET(A$1,,,SUMPRODUCT(MAX(ROW(E$2:E4082)*(E4082=E$2:E4082)))))-COUNTBLANK(OFFSET(A$1,,,SUMPRODUCT(MAX(ROW(E$1:E4081)*(E2=E$1:E4081))))))</f>
        <v> </v>
      </c>
      <c r="K4082" s="26" t="str">
        <f>IF(OR(E4082="",E4082="!!!",F4082="NEW"),"",INDEX(J$1:J4081,SUMPRODUCT(MAX(ROW(E$1:E4081)*(E4082=E$1:E4081)))))</f>
        <v> </v>
      </c>
      <c r="L4082" s="27"/>
    </row>
    <row r="4083" spans="1:12">
      <c r="A4083" s="20" t="s">
        <v>1091</v>
      </c>
      <c r="E4083" s="22">
        <f>IF(D4083="?OLD","!!!","")</f>
        <v/>
      </c>
      <c r="F4083" s="23" t="str">
        <f>IF(OR(E4083="",E4083="!!!"),"",IF(NOT(ISNA(VLOOKUP(E4083,E$1:E4082,1,FALSE()))),"OLD",IF(AND(E4083&lt;&gt;"",E4083&lt;&gt;"!!!"),"NEW","")))</f>
        <v> </v>
      </c>
      <c r="G4083" s="24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5" t="str">
        <f>IF(J4083&lt;&gt;1,"",IF(I4083="SBJ","CB","?"))</f>
        <v> </v>
      </c>
      <c r="I4083" s="26" t="str">
        <f>IF(OR(E4083="",E4083="!!!",F4083="NEW"),"",INDEX(B4082:B$2,-1+SUMPRODUCT(MAX(ROW(E4082:E$2)*(E4083=E4082:E$2)))))</f>
        <v> </v>
      </c>
      <c r="J4083" s="26" t="str">
        <f>IF(OR(E4083="",E4083="!!!",F4083="NEW"),"",COUNTBLANK(OFFSET(A$1,,,SUMPRODUCT(MAX(ROW(E$2:E4083)*(E4083=E$2:E4083)))))-COUNTBLANK(OFFSET(A$1,,,SUMPRODUCT(MAX(ROW(E$1:E4082)*(E2=E$1:E4082))))))</f>
        <v> </v>
      </c>
      <c r="K4083" s="26" t="str">
        <f>IF(OR(E4083="",E4083="!!!",F4083="NEW"),"",INDEX(J$1:J4082,SUMPRODUCT(MAX(ROW(E$1:E4082)*(E4083=E$1:E4082)))))</f>
        <v> </v>
      </c>
      <c r="L4083" s="27"/>
    </row>
    <row r="4084" spans="1:12">
      <c r="A4084" s="20" t="s">
        <v>2600</v>
      </c>
      <c r="E4084" s="22">
        <f>IF(D4084="?OLD","!!!","")</f>
        <v/>
      </c>
      <c r="F4084" s="23" t="str">
        <f>IF(OR(E4084="",E4084="!!!"),"",IF(NOT(ISNA(VLOOKUP(E4084,E$1:E4083,1,FALSE()))),"OLD",IF(AND(E4084&lt;&gt;"",E4084&lt;&gt;"!!!"),"NEW","")))</f>
        <v> </v>
      </c>
      <c r="G4084" s="24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5" t="str">
        <f>IF(J4084&lt;&gt;1,"",IF(I4084="SBJ","CB","?"))</f>
        <v> </v>
      </c>
      <c r="I4084" s="26" t="str">
        <f>IF(OR(E4084="",E4084="!!!",F4084="NEW"),"",INDEX(B4083:B$2,-1+SUMPRODUCT(MAX(ROW(E4083:E$2)*(E4084=E4083:E$2)))))</f>
        <v> </v>
      </c>
      <c r="J4084" s="26" t="str">
        <f>IF(OR(E4084="",E4084="!!!",F4084="NEW"),"",COUNTBLANK(OFFSET(A$1,,,SUMPRODUCT(MAX(ROW(E$2:E4084)*(E4084=E$2:E4084)))))-COUNTBLANK(OFFSET(A$1,,,SUMPRODUCT(MAX(ROW(E$1:E4083)*(E2=E$1:E4083))))))</f>
        <v> </v>
      </c>
      <c r="K4084" s="26" t="str">
        <f>IF(OR(E4084="",E4084="!!!",F4084="NEW"),"",INDEX(J$1:J4083,SUMPRODUCT(MAX(ROW(E$1:E4083)*(E4084=E$1:E4083)))))</f>
        <v> </v>
      </c>
      <c r="L4084" s="27"/>
    </row>
    <row r="4085" spans="1:12">
      <c r="A4085" s="20" t="s">
        <v>1091</v>
      </c>
      <c r="E4085" s="22">
        <f>IF(D4085="?OLD","!!!","")</f>
        <v/>
      </c>
      <c r="F4085" s="23" t="str">
        <f>IF(OR(E4085="",E4085="!!!"),"",IF(NOT(ISNA(VLOOKUP(E4085,E$1:E4084,1,FALSE()))),"OLD",IF(AND(E4085&lt;&gt;"",E4085&lt;&gt;"!!!"),"NEW","")))</f>
        <v> </v>
      </c>
      <c r="G4085" s="24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5" t="str">
        <f>IF(J4085&lt;&gt;1,"",IF(I4085="SBJ","CB","?"))</f>
        <v> </v>
      </c>
      <c r="I4085" s="26" t="str">
        <f>IF(OR(E4085="",E4085="!!!",F4085="NEW"),"",INDEX(B4084:B$2,-1+SUMPRODUCT(MAX(ROW(E4084:E$2)*(E4085=E4084:E$2)))))</f>
        <v> </v>
      </c>
      <c r="J4085" s="26" t="str">
        <f>IF(OR(E4085="",E4085="!!!",F4085="NEW"),"",COUNTBLANK(OFFSET(A$1,,,SUMPRODUCT(MAX(ROW(E$2:E4085)*(E4085=E$2:E4085)))))-COUNTBLANK(OFFSET(A$1,,,SUMPRODUCT(MAX(ROW(E$1:E4084)*(E2=E$1:E4084))))))</f>
        <v> </v>
      </c>
      <c r="K4085" s="26" t="str">
        <f>IF(OR(E4085="",E4085="!!!",F4085="NEW"),"",INDEX(J$1:J4084,SUMPRODUCT(MAX(ROW(E$1:E4084)*(E4085=E$1:E4084)))))</f>
        <v> </v>
      </c>
      <c r="L4085" s="27"/>
    </row>
    <row r="4086" spans="1:12">
      <c r="A4086" s="20" t="s">
        <v>1505</v>
      </c>
      <c r="E4086" s="22">
        <f>IF(D4086="?OLD","!!!","")</f>
        <v/>
      </c>
      <c r="F4086" s="23" t="str">
        <f>IF(OR(E4086="",E4086="!!!"),"",IF(NOT(ISNA(VLOOKUP(E4086,E$1:E4085,1,FALSE()))),"OLD",IF(AND(E4086&lt;&gt;"",E4086&lt;&gt;"!!!"),"NEW","")))</f>
        <v> </v>
      </c>
      <c r="G4086" s="24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5" t="str">
        <f>IF(J4086&lt;&gt;1,"",IF(I4086="SBJ","CB","?"))</f>
        <v> </v>
      </c>
      <c r="I4086" s="26" t="str">
        <f>IF(OR(E4086="",E4086="!!!",F4086="NEW"),"",INDEX(B4085:B$2,-1+SUMPRODUCT(MAX(ROW(E4085:E$2)*(E4086=E4085:E$2)))))</f>
        <v> </v>
      </c>
      <c r="J4086" s="26" t="str">
        <f>IF(OR(E4086="",E4086="!!!",F4086="NEW"),"",COUNTBLANK(OFFSET(A$1,,,SUMPRODUCT(MAX(ROW(E$2:E4086)*(E4086=E$2:E4086)))))-COUNTBLANK(OFFSET(A$1,,,SUMPRODUCT(MAX(ROW(E$1:E4085)*(E2=E$1:E4085))))))</f>
        <v> </v>
      </c>
      <c r="K4086" s="26" t="str">
        <f>IF(OR(E4086="",E4086="!!!",F4086="NEW"),"",INDEX(J$1:J4085,SUMPRODUCT(MAX(ROW(E$1:E4085)*(E4086=E$1:E4085)))))</f>
        <v> </v>
      </c>
      <c r="L4086" s="27"/>
    </row>
    <row r="4087" spans="1:12">
      <c r="A4087" s="20" t="s">
        <v>1498</v>
      </c>
      <c r="B4087" s="21" t="s">
        <v>1180</v>
      </c>
      <c r="C4087" s="21" t="s">
        <v>1095</v>
      </c>
      <c r="D4087" s="21" t="s">
        <v>1074</v>
      </c>
      <c r="E4087" s="22">
        <f>IF(D4087="?OLD","!!!","")</f>
        <v/>
      </c>
      <c r="F4087" s="23" t="str">
        <f>IF(OR(E4087="",E4087="!!!"),"",IF(NOT(ISNA(VLOOKUP(E4087,E$1:E4086,1,FALSE()))),"OLD",IF(AND(E4087&lt;&gt;"",E4087&lt;&gt;"!!!"),"NEW","")))</f>
        <v> </v>
      </c>
      <c r="G4087" s="24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5" t="str">
        <f>IF(J4087&lt;&gt;1,"",IF(I4087="SBJ","CB","?"))</f>
        <v> </v>
      </c>
      <c r="I4087" s="26" t="str">
        <f>IF(OR(E4087="",E4087="!!!",F4087="NEW"),"",INDEX(B4086:B$2,-1+SUMPRODUCT(MAX(ROW(E4086:E$2)*(E4087=E4086:E$2)))))</f>
        <v> </v>
      </c>
      <c r="J4087" s="26" t="str">
        <f>IF(OR(E4087="",E4087="!!!",F4087="NEW"),"",COUNTBLANK(OFFSET(A$1,,,SUMPRODUCT(MAX(ROW(E$2:E4087)*(E4087=E$2:E4087)))))-COUNTBLANK(OFFSET(A$1,,,SUMPRODUCT(MAX(ROW(E$1:E4086)*(E2=E$1:E4086))))))</f>
        <v> </v>
      </c>
      <c r="K4087" s="26" t="str">
        <f>IF(OR(E4087="",E4087="!!!",F4087="NEW"),"",INDEX(J$1:J4086,SUMPRODUCT(MAX(ROW(E$1:E4086)*(E4087=E$1:E4086)))))</f>
        <v> </v>
      </c>
      <c r="L4087" s="27"/>
    </row>
    <row r="4088" spans="1:12">
      <c r="A4088" s="20" t="s">
        <v>1846</v>
      </c>
      <c r="E4088" s="22">
        <f>IF(D4088="?OLD","!!!","")</f>
        <v/>
      </c>
      <c r="F4088" s="23" t="str">
        <f>IF(OR(E4088="",E4088="!!!"),"",IF(NOT(ISNA(VLOOKUP(E4088,E$1:E4087,1,FALSE()))),"OLD",IF(AND(E4088&lt;&gt;"",E4088&lt;&gt;"!!!"),"NEW","")))</f>
        <v> </v>
      </c>
      <c r="G4088" s="24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5" t="str">
        <f>IF(J4088&lt;&gt;1,"",IF(I4088="SBJ","CB","?"))</f>
        <v> </v>
      </c>
      <c r="I4088" s="26" t="str">
        <f>IF(OR(E4088="",E4088="!!!",F4088="NEW"),"",INDEX(B4087:B$2,-1+SUMPRODUCT(MAX(ROW(E4087:E$2)*(E4088=E4087:E$2)))))</f>
        <v> </v>
      </c>
      <c r="J4088" s="26" t="str">
        <f>IF(OR(E4088="",E4088="!!!",F4088="NEW"),"",COUNTBLANK(OFFSET(A$1,,,SUMPRODUCT(MAX(ROW(E$2:E4088)*(E4088=E$2:E4088)))))-COUNTBLANK(OFFSET(A$1,,,SUMPRODUCT(MAX(ROW(E$1:E4087)*(E2=E$1:E4087))))))</f>
        <v> </v>
      </c>
      <c r="K4088" s="26" t="str">
        <f>IF(OR(E4088="",E4088="!!!",F4088="NEW"),"",INDEX(J$1:J4087,SUMPRODUCT(MAX(ROW(E$1:E4087)*(E4088=E$1:E4087)))))</f>
        <v> </v>
      </c>
      <c r="L4088" s="27"/>
    </row>
    <row r="4089" spans="1:12">
      <c r="A4089" s="20" t="s">
        <v>1085</v>
      </c>
      <c r="E4089" s="22">
        <f>IF(D4089="?OLD","!!!","")</f>
        <v/>
      </c>
      <c r="F4089" s="23" t="str">
        <f>IF(OR(E4089="",E4089="!!!"),"",IF(NOT(ISNA(VLOOKUP(E4089,E$1:E4088,1,FALSE()))),"OLD",IF(AND(E4089&lt;&gt;"",E4089&lt;&gt;"!!!"),"NEW","")))</f>
        <v> </v>
      </c>
      <c r="G4089" s="24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5" t="str">
        <f>IF(J4089&lt;&gt;1,"",IF(I4089="SBJ","CB","?"))</f>
        <v> </v>
      </c>
      <c r="I4089" s="26" t="str">
        <f>IF(OR(E4089="",E4089="!!!",F4089="NEW"),"",INDEX(B4088:B$2,-1+SUMPRODUCT(MAX(ROW(E4088:E$2)*(E4089=E4088:E$2)))))</f>
        <v> </v>
      </c>
      <c r="J4089" s="26" t="str">
        <f>IF(OR(E4089="",E4089="!!!",F4089="NEW"),"",COUNTBLANK(OFFSET(A$1,,,SUMPRODUCT(MAX(ROW(E$2:E4089)*(E4089=E$2:E4089)))))-COUNTBLANK(OFFSET(A$1,,,SUMPRODUCT(MAX(ROW(E$1:E4088)*(E2=E$1:E4088))))))</f>
        <v> </v>
      </c>
      <c r="K4089" s="26" t="str">
        <f>IF(OR(E4089="",E4089="!!!",F4089="NEW"),"",INDEX(J$1:J4088,SUMPRODUCT(MAX(ROW(E$1:E4088)*(E4089=E$1:E4088)))))</f>
        <v> </v>
      </c>
      <c r="L4089" s="27"/>
    </row>
    <row r="4090" spans="1:12">
      <c r="A4090" s="20" t="s">
        <v>1258</v>
      </c>
      <c r="E4090" s="22">
        <f>IF(D4090="?OLD","!!!","")</f>
        <v/>
      </c>
      <c r="F4090" s="23" t="str">
        <f>IF(OR(E4090="",E4090="!!!"),"",IF(NOT(ISNA(VLOOKUP(E4090,E$1:E4089,1,FALSE()))),"OLD",IF(AND(E4090&lt;&gt;"",E4090&lt;&gt;"!!!"),"NEW","")))</f>
        <v> </v>
      </c>
      <c r="G4090" s="24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5" t="str">
        <f>IF(J4090&lt;&gt;1,"",IF(I4090="SBJ","CB","?"))</f>
        <v> </v>
      </c>
      <c r="I4090" s="26" t="str">
        <f>IF(OR(E4090="",E4090="!!!",F4090="NEW"),"",INDEX(B4089:B$2,-1+SUMPRODUCT(MAX(ROW(E4089:E$2)*(E4090=E4089:E$2)))))</f>
        <v> </v>
      </c>
      <c r="J4090" s="26" t="str">
        <f>IF(OR(E4090="",E4090="!!!",F4090="NEW"),"",COUNTBLANK(OFFSET(A$1,,,SUMPRODUCT(MAX(ROW(E$2:E4090)*(E4090=E$2:E4090)))))-COUNTBLANK(OFFSET(A$1,,,SUMPRODUCT(MAX(ROW(E$1:E4089)*(E2=E$1:E4089))))))</f>
        <v> </v>
      </c>
      <c r="K4090" s="26" t="str">
        <f>IF(OR(E4090="",E4090="!!!",F4090="NEW"),"",INDEX(J$1:J4089,SUMPRODUCT(MAX(ROW(E$1:E4089)*(E4090=E$1:E4089)))))</f>
        <v> </v>
      </c>
      <c r="L4090" s="27"/>
    </row>
    <row r="4091" spans="1:12">
      <c r="A4091" s="20" t="s">
        <v>1083</v>
      </c>
      <c r="E4091" s="22">
        <f>IF(D4091="?OLD","!!!","")</f>
        <v/>
      </c>
      <c r="F4091" s="23" t="str">
        <f>IF(OR(E4091="",E4091="!!!"),"",IF(NOT(ISNA(VLOOKUP(E4091,E$1:E4090,1,FALSE()))),"OLD",IF(AND(E4091&lt;&gt;"",E4091&lt;&gt;"!!!"),"NEW","")))</f>
        <v> </v>
      </c>
      <c r="G4091" s="24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5" t="str">
        <f>IF(J4091&lt;&gt;1,"",IF(I4091="SBJ","CB","?"))</f>
        <v> </v>
      </c>
      <c r="I4091" s="26" t="str">
        <f>IF(OR(E4091="",E4091="!!!",F4091="NEW"),"",INDEX(B4090:B$2,-1+SUMPRODUCT(MAX(ROW(E4090:E$2)*(E4091=E4090:E$2)))))</f>
        <v> </v>
      </c>
      <c r="J4091" s="26" t="str">
        <f>IF(OR(E4091="",E4091="!!!",F4091="NEW"),"",COUNTBLANK(OFFSET(A$1,,,SUMPRODUCT(MAX(ROW(E$2:E4091)*(E4091=E$2:E4091)))))-COUNTBLANK(OFFSET(A$1,,,SUMPRODUCT(MAX(ROW(E$1:E4090)*(E2=E$1:E4090))))))</f>
        <v> </v>
      </c>
      <c r="K4091" s="26" t="str">
        <f>IF(OR(E4091="",E4091="!!!",F4091="NEW"),"",INDEX(J$1:J4090,SUMPRODUCT(MAX(ROW(E$1:E4090)*(E4091=E$1:E4090)))))</f>
        <v> </v>
      </c>
      <c r="L4091" s="27"/>
    </row>
    <row r="4092" spans="1:12">
      <c r="A4092" s="20" t="s">
        <v>2601</v>
      </c>
      <c r="B4092" s="21" t="s">
        <v>1180</v>
      </c>
      <c r="C4092" s="21" t="s">
        <v>1095</v>
      </c>
      <c r="D4092" s="21" t="s">
        <v>1074</v>
      </c>
      <c r="E4092" s="22">
        <f>IF(D4092="?OLD","!!!","")</f>
        <v/>
      </c>
      <c r="F4092" s="23" t="str">
        <f>IF(OR(E4092="",E4092="!!!"),"",IF(NOT(ISNA(VLOOKUP(E4092,E$1:E4091,1,FALSE()))),"OLD",IF(AND(E4092&lt;&gt;"",E4092&lt;&gt;"!!!"),"NEW","")))</f>
        <v> </v>
      </c>
      <c r="G4092" s="24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5" t="str">
        <f>IF(J4092&lt;&gt;1,"",IF(I4092="SBJ","CB","?"))</f>
        <v> </v>
      </c>
      <c r="I4092" s="26" t="str">
        <f>IF(OR(E4092="",E4092="!!!",F4092="NEW"),"",INDEX(B4091:B$2,-1+SUMPRODUCT(MAX(ROW(E4091:E$2)*(E4092=E4091:E$2)))))</f>
        <v> </v>
      </c>
      <c r="J4092" s="26" t="str">
        <f>IF(OR(E4092="",E4092="!!!",F4092="NEW"),"",COUNTBLANK(OFFSET(A$1,,,SUMPRODUCT(MAX(ROW(E$2:E4092)*(E4092=E$2:E4092)))))-COUNTBLANK(OFFSET(A$1,,,SUMPRODUCT(MAX(ROW(E$1:E4091)*(E2=E$1:E4091))))))</f>
        <v> </v>
      </c>
      <c r="K4092" s="26" t="str">
        <f>IF(OR(E4092="",E4092="!!!",F4092="NEW"),"",INDEX(J$1:J4091,SUMPRODUCT(MAX(ROW(E$1:E4091)*(E4092=E$1:E4091)))))</f>
        <v> </v>
      </c>
      <c r="L4092" s="27"/>
    </row>
    <row r="4093" spans="1:12">
      <c r="A4093" s="20" t="s">
        <v>2588</v>
      </c>
      <c r="E4093" s="22">
        <f>IF(D4093="?OLD","!!!","")</f>
        <v/>
      </c>
      <c r="F4093" s="23" t="str">
        <f>IF(OR(E4093="",E4093="!!!"),"",IF(NOT(ISNA(VLOOKUP(E4093,E$1:E4092,1,FALSE()))),"OLD",IF(AND(E4093&lt;&gt;"",E4093&lt;&gt;"!!!"),"NEW","")))</f>
        <v> </v>
      </c>
      <c r="G4093" s="24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5" t="str">
        <f>IF(J4093&lt;&gt;1,"",IF(I4093="SBJ","CB","?"))</f>
        <v> </v>
      </c>
      <c r="I4093" s="26" t="str">
        <f>IF(OR(E4093="",E4093="!!!",F4093="NEW"),"",INDEX(B4092:B$2,-1+SUMPRODUCT(MAX(ROW(E4092:E$2)*(E4093=E4092:E$2)))))</f>
        <v> </v>
      </c>
      <c r="J4093" s="26" t="str">
        <f>IF(OR(E4093="",E4093="!!!",F4093="NEW"),"",COUNTBLANK(OFFSET(A$1,,,SUMPRODUCT(MAX(ROW(E$2:E4093)*(E4093=E$2:E4093)))))-COUNTBLANK(OFFSET(A$1,,,SUMPRODUCT(MAX(ROW(E$1:E4092)*(E2=E$1:E4092))))))</f>
        <v> </v>
      </c>
      <c r="K4093" s="26" t="str">
        <f>IF(OR(E4093="",E4093="!!!",F4093="NEW"),"",INDEX(J$1:J4092,SUMPRODUCT(MAX(ROW(E$1:E4092)*(E4093=E$1:E4092)))))</f>
        <v> </v>
      </c>
      <c r="L4093" s="27"/>
    </row>
    <row r="4094" spans="1:12">
      <c r="A4094" s="20" t="s">
        <v>1189</v>
      </c>
      <c r="E4094" s="22">
        <f>IF(D4094="?OLD","!!!","")</f>
        <v/>
      </c>
      <c r="F4094" s="23" t="str">
        <f>IF(OR(E4094="",E4094="!!!"),"",IF(NOT(ISNA(VLOOKUP(E4094,E$1:E4093,1,FALSE()))),"OLD",IF(AND(E4094&lt;&gt;"",E4094&lt;&gt;"!!!"),"NEW","")))</f>
        <v> </v>
      </c>
      <c r="G4094" s="24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5" t="str">
        <f>IF(J4094&lt;&gt;1,"",IF(I4094="SBJ","CB","?"))</f>
        <v> </v>
      </c>
      <c r="I4094" s="26" t="str">
        <f>IF(OR(E4094="",E4094="!!!",F4094="NEW"),"",INDEX(B4093:B$2,-1+SUMPRODUCT(MAX(ROW(E4093:E$2)*(E4094=E4093:E$2)))))</f>
        <v> </v>
      </c>
      <c r="J4094" s="26" t="str">
        <f>IF(OR(E4094="",E4094="!!!",F4094="NEW"),"",COUNTBLANK(OFFSET(A$1,,,SUMPRODUCT(MAX(ROW(E$2:E4094)*(E4094=E$2:E4094)))))-COUNTBLANK(OFFSET(A$1,,,SUMPRODUCT(MAX(ROW(E$1:E4093)*(E2=E$1:E4093))))))</f>
        <v> </v>
      </c>
      <c r="K4094" s="26" t="str">
        <f>IF(OR(E4094="",E4094="!!!",F4094="NEW"),"",INDEX(J$1:J4093,SUMPRODUCT(MAX(ROW(E$1:E4093)*(E4094=E$1:E4093)))))</f>
        <v> </v>
      </c>
      <c r="L4094" s="27"/>
    </row>
    <row r="4095" spans="1:12">
      <c r="A4095" s="20"/>
    </row>
    <row r="4096" spans="1:12">
      <c r="A4096" s="20" t="s">
        <v>2602</v>
      </c>
    </row>
    <row r="4097" spans="1:12">
      <c r="A4097" s="20" t="s">
        <v>1133</v>
      </c>
      <c r="B4097" s="21" t="s">
        <v>1109</v>
      </c>
      <c r="C4097" s="21" t="s">
        <v>1081</v>
      </c>
      <c r="D4097" s="21" t="s">
        <v>1074</v>
      </c>
      <c r="E4097" s="22">
        <f>IF(D4097="?OLD","!!!","")</f>
        <v/>
      </c>
      <c r="F4097" s="23" t="str">
        <f>IF(OR(E4097="",E4097="!!!"),"",IF(NOT(ISNA(VLOOKUP(E4097,E$1:E4096,1,FALSE()))),"OLD",IF(AND(E4097&lt;&gt;"",E4097&lt;&gt;"!!!"),"NEW","")))</f>
        <v> </v>
      </c>
      <c r="G4097" s="24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5" t="str">
        <f>IF(J4097&lt;&gt;1,"",IF(I4097="SBJ","CB","?"))</f>
        <v> </v>
      </c>
      <c r="I4097" s="26" t="str">
        <f>IF(OR(E4097="",E4097="!!!",F4097="NEW"),"",INDEX(B4096:B$2,-1+SUMPRODUCT(MAX(ROW(E4096:E$2)*(E4097=E4096:E$2)))))</f>
        <v> </v>
      </c>
      <c r="J4097" s="26" t="str">
        <f>IF(OR(E4097="",E4097="!!!",F4097="NEW"),"",COUNTBLANK(OFFSET(A$1,,,SUMPRODUCT(MAX(ROW(E$2:E4097)*(E4097=E$2:E4097)))))-COUNTBLANK(OFFSET(A$1,,,SUMPRODUCT(MAX(ROW(E$1:E4096)*(E2=E$1:E4096))))))</f>
        <v> </v>
      </c>
      <c r="K4097" s="26" t="str">
        <f>IF(OR(E4097="",E4097="!!!",F4097="NEW"),"",INDEX(J$1:J4096,SUMPRODUCT(MAX(ROW(E$1:E4096)*(E4097=E$1:E4096)))))</f>
        <v> </v>
      </c>
      <c r="L4097" s="27"/>
    </row>
    <row r="4098" spans="1:12">
      <c r="A4098" s="20" t="s">
        <v>1135</v>
      </c>
      <c r="E4098" s="22">
        <f>IF(D4098="?OLD","!!!","")</f>
        <v/>
      </c>
      <c r="F4098" s="23" t="str">
        <f>IF(OR(E4098="",E4098="!!!"),"",IF(NOT(ISNA(VLOOKUP(E4098,E$1:E4097,1,FALSE()))),"OLD",IF(AND(E4098&lt;&gt;"",E4098&lt;&gt;"!!!"),"NEW","")))</f>
        <v> </v>
      </c>
      <c r="G4098" s="24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5" t="str">
        <f>IF(J4098&lt;&gt;1,"",IF(I4098="SBJ","CB","?"))</f>
        <v> </v>
      </c>
      <c r="I4098" s="26" t="str">
        <f>IF(OR(E4098="",E4098="!!!",F4098="NEW"),"",INDEX(B4097:B$2,-1+SUMPRODUCT(MAX(ROW(E4097:E$2)*(E4098=E4097:E$2)))))</f>
        <v> </v>
      </c>
      <c r="J4098" s="26" t="str">
        <f>IF(OR(E4098="",E4098="!!!",F4098="NEW"),"",COUNTBLANK(OFFSET(A$1,,,SUMPRODUCT(MAX(ROW(E$2:E4098)*(E4098=E$2:E4098)))))-COUNTBLANK(OFFSET(A$1,,,SUMPRODUCT(MAX(ROW(E$1:E4097)*(E2=E$1:E4097))))))</f>
        <v> </v>
      </c>
      <c r="K4098" s="26" t="str">
        <f>IF(OR(E4098="",E4098="!!!",F4098="NEW"),"",INDEX(J$1:J4097,SUMPRODUCT(MAX(ROW(E$1:E4097)*(E4098=E$1:E4097)))))</f>
        <v> </v>
      </c>
      <c r="L4098" s="27"/>
    </row>
    <row r="4099" spans="1:12">
      <c r="A4099" s="20" t="s">
        <v>1228</v>
      </c>
      <c r="B4099" s="21" t="s">
        <v>1072</v>
      </c>
      <c r="C4099" s="21" t="s">
        <v>1154</v>
      </c>
      <c r="D4099" s="21" t="s">
        <v>1074</v>
      </c>
      <c r="E4099" s="22">
        <f>IF(D4099="?OLD","!!!","")</f>
        <v/>
      </c>
      <c r="F4099" s="23" t="str">
        <f>IF(OR(E4099="",E4099="!!!"),"",IF(NOT(ISNA(VLOOKUP(E4099,E$1:E4098,1,FALSE()))),"OLD",IF(AND(E4099&lt;&gt;"",E4099&lt;&gt;"!!!"),"NEW","")))</f>
        <v> </v>
      </c>
      <c r="G4099" s="24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5" t="str">
        <f>IF(J4099&lt;&gt;1,"",IF(I4099="SBJ","CB","?"))</f>
        <v> </v>
      </c>
      <c r="I4099" s="26" t="str">
        <f>IF(OR(E4099="",E4099="!!!",F4099="NEW"),"",INDEX(B4098:B$2,-1+SUMPRODUCT(MAX(ROW(E4098:E$2)*(E4099=E4098:E$2)))))</f>
        <v> </v>
      </c>
      <c r="J4099" s="26" t="str">
        <f>IF(OR(E4099="",E4099="!!!",F4099="NEW"),"",COUNTBLANK(OFFSET(A$1,,,SUMPRODUCT(MAX(ROW(E$2:E4099)*(E4099=E$2:E4099)))))-COUNTBLANK(OFFSET(A$1,,,SUMPRODUCT(MAX(ROW(E$1:E4098)*(E2=E$1:E4098))))))</f>
        <v> </v>
      </c>
      <c r="K4099" s="26" t="str">
        <f>IF(OR(E4099="",E4099="!!!",F4099="NEW"),"",INDEX(J$1:J4098,SUMPRODUCT(MAX(ROW(E$1:E4098)*(E4099=E$1:E4098)))))</f>
        <v> </v>
      </c>
      <c r="L4099" s="27"/>
    </row>
    <row r="4100" spans="1:12">
      <c r="A4100" s="20" t="s">
        <v>2428</v>
      </c>
      <c r="E4100" s="22">
        <f>IF(D4100="?OLD","!!!","")</f>
        <v/>
      </c>
      <c r="F4100" s="23" t="str">
        <f>IF(OR(E4100="",E4100="!!!"),"",IF(NOT(ISNA(VLOOKUP(E4100,E$1:E4099,1,FALSE()))),"OLD",IF(AND(E4100&lt;&gt;"",E4100&lt;&gt;"!!!"),"NEW","")))</f>
        <v> </v>
      </c>
      <c r="G4100" s="24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5" t="str">
        <f>IF(J4100&lt;&gt;1,"",IF(I4100="SBJ","CB","?"))</f>
        <v> </v>
      </c>
      <c r="I4100" s="26" t="str">
        <f>IF(OR(E4100="",E4100="!!!",F4100="NEW"),"",INDEX(B4099:B$2,-1+SUMPRODUCT(MAX(ROW(E4099:E$2)*(E4100=E4099:E$2)))))</f>
        <v> </v>
      </c>
      <c r="J4100" s="26" t="str">
        <f>IF(OR(E4100="",E4100="!!!",F4100="NEW"),"",COUNTBLANK(OFFSET(A$1,,,SUMPRODUCT(MAX(ROW(E$2:E4100)*(E4100=E$2:E4100)))))-COUNTBLANK(OFFSET(A$1,,,SUMPRODUCT(MAX(ROW(E$1:E4099)*(E2=E$1:E4099))))))</f>
        <v> </v>
      </c>
      <c r="K4100" s="26" t="str">
        <f>IF(OR(E4100="",E4100="!!!",F4100="NEW"),"",INDEX(J$1:J4099,SUMPRODUCT(MAX(ROW(E$1:E4099)*(E4100=E$1:E4099)))))</f>
        <v> </v>
      </c>
      <c r="L4100" s="27"/>
    </row>
    <row r="4101" spans="1:12">
      <c r="A4101" s="20" t="s">
        <v>1091</v>
      </c>
      <c r="E4101" s="22">
        <f>IF(D4101="?OLD","!!!","")</f>
        <v/>
      </c>
      <c r="F4101" s="23" t="str">
        <f>IF(OR(E4101="",E4101="!!!"),"",IF(NOT(ISNA(VLOOKUP(E4101,E$1:E4100,1,FALSE()))),"OLD",IF(AND(E4101&lt;&gt;"",E4101&lt;&gt;"!!!"),"NEW","")))</f>
        <v> </v>
      </c>
      <c r="G4101" s="24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5" t="str">
        <f>IF(J4101&lt;&gt;1,"",IF(I4101="SBJ","CB","?"))</f>
        <v> </v>
      </c>
      <c r="I4101" s="26" t="str">
        <f>IF(OR(E4101="",E4101="!!!",F4101="NEW"),"",INDEX(B4100:B$2,-1+SUMPRODUCT(MAX(ROW(E4100:E$2)*(E4101=E4100:E$2)))))</f>
        <v> </v>
      </c>
      <c r="J4101" s="26" t="str">
        <f>IF(OR(E4101="",E4101="!!!",F4101="NEW"),"",COUNTBLANK(OFFSET(A$1,,,SUMPRODUCT(MAX(ROW(E$2:E4101)*(E4101=E$2:E4101)))))-COUNTBLANK(OFFSET(A$1,,,SUMPRODUCT(MAX(ROW(E$1:E4100)*(E2=E$1:E4100))))))</f>
        <v> </v>
      </c>
      <c r="K4101" s="26" t="str">
        <f>IF(OR(E4101="",E4101="!!!",F4101="NEW"),"",INDEX(J$1:J4100,SUMPRODUCT(MAX(ROW(E$1:E4100)*(E4101=E$1:E4100)))))</f>
        <v> </v>
      </c>
      <c r="L4101" s="27"/>
    </row>
    <row r="4102" spans="1:12">
      <c r="A4102" s="20" t="s">
        <v>2603</v>
      </c>
      <c r="E4102" s="22">
        <f>IF(D4102="?OLD","!!!","")</f>
        <v/>
      </c>
      <c r="F4102" s="23" t="str">
        <f>IF(OR(E4102="",E4102="!!!"),"",IF(NOT(ISNA(VLOOKUP(E4102,E$1:E4101,1,FALSE()))),"OLD",IF(AND(E4102&lt;&gt;"",E4102&lt;&gt;"!!!"),"NEW","")))</f>
        <v> </v>
      </c>
      <c r="G4102" s="24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5" t="str">
        <f>IF(J4102&lt;&gt;1,"",IF(I4102="SBJ","CB","?"))</f>
        <v> </v>
      </c>
      <c r="I4102" s="26" t="str">
        <f>IF(OR(E4102="",E4102="!!!",F4102="NEW"),"",INDEX(B4101:B$2,-1+SUMPRODUCT(MAX(ROW(E4101:E$2)*(E4102=E4101:E$2)))))</f>
        <v> </v>
      </c>
      <c r="J4102" s="26" t="str">
        <f>IF(OR(E4102="",E4102="!!!",F4102="NEW"),"",COUNTBLANK(OFFSET(A$1,,,SUMPRODUCT(MAX(ROW(E$2:E4102)*(E4102=E$2:E4102)))))-COUNTBLANK(OFFSET(A$1,,,SUMPRODUCT(MAX(ROW(E$1:E4101)*(E2=E$1:E4101))))))</f>
        <v> </v>
      </c>
      <c r="K4102" s="26" t="str">
        <f>IF(OR(E4102="",E4102="!!!",F4102="NEW"),"",INDEX(J$1:J4101,SUMPRODUCT(MAX(ROW(E$1:E4101)*(E4102=E$1:E4101)))))</f>
        <v> </v>
      </c>
      <c r="L4102" s="27"/>
    </row>
    <row r="4103" spans="1:12">
      <c r="A4103" s="20" t="s">
        <v>1106</v>
      </c>
      <c r="E4103" s="22">
        <f>IF(D4103="?OLD","!!!","")</f>
        <v/>
      </c>
      <c r="F4103" s="23" t="str">
        <f>IF(OR(E4103="",E4103="!!!"),"",IF(NOT(ISNA(VLOOKUP(E4103,E$1:E4102,1,FALSE()))),"OLD",IF(AND(E4103&lt;&gt;"",E4103&lt;&gt;"!!!"),"NEW","")))</f>
        <v> </v>
      </c>
      <c r="G4103" s="24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5" t="str">
        <f>IF(J4103&lt;&gt;1,"",IF(I4103="SBJ","CB","?"))</f>
        <v> </v>
      </c>
      <c r="I4103" s="26" t="str">
        <f>IF(OR(E4103="",E4103="!!!",F4103="NEW"),"",INDEX(B4102:B$2,-1+SUMPRODUCT(MAX(ROW(E4102:E$2)*(E4103=E4102:E$2)))))</f>
        <v> </v>
      </c>
      <c r="J4103" s="26" t="str">
        <f>IF(OR(E4103="",E4103="!!!",F4103="NEW"),"",COUNTBLANK(OFFSET(A$1,,,SUMPRODUCT(MAX(ROW(E$2:E4103)*(E4103=E$2:E4103)))))-COUNTBLANK(OFFSET(A$1,,,SUMPRODUCT(MAX(ROW(E$1:E4102)*(E2=E$1:E4102))))))</f>
        <v> </v>
      </c>
      <c r="K4103" s="26" t="str">
        <f>IF(OR(E4103="",E4103="!!!",F4103="NEW"),"",INDEX(J$1:J4102,SUMPRODUCT(MAX(ROW(E$1:E4102)*(E4103=E$1:E4102)))))</f>
        <v> </v>
      </c>
      <c r="L4103" s="27"/>
    </row>
    <row r="4104" spans="1:12">
      <c r="A4104" s="20"/>
    </row>
    <row r="4105" spans="1:12">
      <c r="A4105" s="20" t="s">
        <v>2604</v>
      </c>
    </row>
    <row r="4106" spans="1:12">
      <c r="A4106" s="20" t="s">
        <v>1133</v>
      </c>
      <c r="B4106" s="21" t="s">
        <v>1109</v>
      </c>
      <c r="C4106" s="21" t="s">
        <v>1081</v>
      </c>
      <c r="D4106" s="21" t="s">
        <v>1074</v>
      </c>
      <c r="E4106" s="22">
        <f>IF(D4106="?OLD","!!!","")</f>
        <v/>
      </c>
      <c r="F4106" s="23" t="str">
        <f>IF(OR(E4106="",E4106="!!!"),"",IF(NOT(ISNA(VLOOKUP(E4106,E$1:E4105,1,FALSE()))),"OLD",IF(AND(E4106&lt;&gt;"",E4106&lt;&gt;"!!!"),"NEW","")))</f>
        <v> </v>
      </c>
      <c r="G4106" s="24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5" t="str">
        <f>IF(J4106&lt;&gt;1,"",IF(I4106="SBJ","CB","?"))</f>
        <v> </v>
      </c>
      <c r="I4106" s="26" t="str">
        <f>IF(OR(E4106="",E4106="!!!",F4106="NEW"),"",INDEX(B4105:B$2,-1+SUMPRODUCT(MAX(ROW(E4105:E$2)*(E4106=E4105:E$2)))))</f>
        <v> </v>
      </c>
      <c r="J4106" s="26" t="str">
        <f>IF(OR(E4106="",E4106="!!!",F4106="NEW"),"",COUNTBLANK(OFFSET(A$1,,,SUMPRODUCT(MAX(ROW(E$2:E4106)*(E4106=E$2:E4106)))))-COUNTBLANK(OFFSET(A$1,,,SUMPRODUCT(MAX(ROW(E$1:E4105)*(E2=E$1:E4105))))))</f>
        <v> </v>
      </c>
      <c r="K4106" s="26" t="str">
        <f>IF(OR(E4106="",E4106="!!!",F4106="NEW"),"",INDEX(J$1:J4105,SUMPRODUCT(MAX(ROW(E$1:E4105)*(E4106=E$1:E4105)))))</f>
        <v> </v>
      </c>
      <c r="L4106" s="27"/>
    </row>
    <row r="4107" spans="1:12">
      <c r="A4107" s="20" t="s">
        <v>1091</v>
      </c>
      <c r="E4107" s="22">
        <f>IF(D4107="?OLD","!!!","")</f>
        <v/>
      </c>
      <c r="F4107" s="23" t="str">
        <f>IF(OR(E4107="",E4107="!!!"),"",IF(NOT(ISNA(VLOOKUP(E4107,E$1:E4106,1,FALSE()))),"OLD",IF(AND(E4107&lt;&gt;"",E4107&lt;&gt;"!!!"),"NEW","")))</f>
        <v> </v>
      </c>
      <c r="G4107" s="24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5" t="str">
        <f>IF(J4107&lt;&gt;1,"",IF(I4107="SBJ","CB","?"))</f>
        <v> </v>
      </c>
      <c r="I4107" s="26" t="str">
        <f>IF(OR(E4107="",E4107="!!!",F4107="NEW"),"",INDEX(B4106:B$2,-1+SUMPRODUCT(MAX(ROW(E4106:E$2)*(E4107=E4106:E$2)))))</f>
        <v> </v>
      </c>
      <c r="J4107" s="26" t="str">
        <f>IF(OR(E4107="",E4107="!!!",F4107="NEW"),"",COUNTBLANK(OFFSET(A$1,,,SUMPRODUCT(MAX(ROW(E$2:E4107)*(E4107=E$2:E4107)))))-COUNTBLANK(OFFSET(A$1,,,SUMPRODUCT(MAX(ROW(E$1:E4106)*(E2=E$1:E4106))))))</f>
        <v> </v>
      </c>
      <c r="K4107" s="26" t="str">
        <f>IF(OR(E4107="",E4107="!!!",F4107="NEW"),"",INDEX(J$1:J4106,SUMPRODUCT(MAX(ROW(E$1:E4106)*(E4107=E$1:E4106)))))</f>
        <v> </v>
      </c>
      <c r="L4107" s="27"/>
    </row>
    <row r="4108" spans="1:12">
      <c r="A4108" s="20" t="s">
        <v>1194</v>
      </c>
      <c r="E4108" s="22">
        <f>IF(D4108="?OLD","!!!","")</f>
        <v/>
      </c>
      <c r="F4108" s="23" t="str">
        <f>IF(OR(E4108="",E4108="!!!"),"",IF(NOT(ISNA(VLOOKUP(E4108,E$1:E4107,1,FALSE()))),"OLD",IF(AND(E4108&lt;&gt;"",E4108&lt;&gt;"!!!"),"NEW","")))</f>
        <v> </v>
      </c>
      <c r="G4108" s="24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5" t="str">
        <f>IF(J4108&lt;&gt;1,"",IF(I4108="SBJ","CB","?"))</f>
        <v> </v>
      </c>
      <c r="I4108" s="26" t="str">
        <f>IF(OR(E4108="",E4108="!!!",F4108="NEW"),"",INDEX(B4107:B$2,-1+SUMPRODUCT(MAX(ROW(E4107:E$2)*(E4108=E4107:E$2)))))</f>
        <v> </v>
      </c>
      <c r="J4108" s="26" t="str">
        <f>IF(OR(E4108="",E4108="!!!",F4108="NEW"),"",COUNTBLANK(OFFSET(A$1,,,SUMPRODUCT(MAX(ROW(E$2:E4108)*(E4108=E$2:E4108)))))-COUNTBLANK(OFFSET(A$1,,,SUMPRODUCT(MAX(ROW(E$1:E4107)*(E2=E$1:E4107))))))</f>
        <v> </v>
      </c>
      <c r="K4108" s="26" t="str">
        <f>IF(OR(E4108="",E4108="!!!",F4108="NEW"),"",INDEX(J$1:J4107,SUMPRODUCT(MAX(ROW(E$1:E4107)*(E4108=E$1:E4107)))))</f>
        <v> </v>
      </c>
      <c r="L4108" s="27"/>
    </row>
    <row r="4109" spans="1:12">
      <c r="A4109" s="20" t="s">
        <v>1138</v>
      </c>
      <c r="E4109" s="22">
        <f>IF(D4109="?OLD","!!!","")</f>
        <v/>
      </c>
      <c r="F4109" s="23" t="str">
        <f>IF(OR(E4109="",E4109="!!!"),"",IF(NOT(ISNA(VLOOKUP(E4109,E$1:E4108,1,FALSE()))),"OLD",IF(AND(E4109&lt;&gt;"",E4109&lt;&gt;"!!!"),"NEW","")))</f>
        <v> </v>
      </c>
      <c r="G4109" s="24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5" t="str">
        <f>IF(J4109&lt;&gt;1,"",IF(I4109="SBJ","CB","?"))</f>
        <v> </v>
      </c>
      <c r="I4109" s="26" t="str">
        <f>IF(OR(E4109="",E4109="!!!",F4109="NEW"),"",INDEX(B4108:B$2,-1+SUMPRODUCT(MAX(ROW(E4108:E$2)*(E4109=E4108:E$2)))))</f>
        <v> </v>
      </c>
      <c r="J4109" s="26" t="str">
        <f>IF(OR(E4109="",E4109="!!!",F4109="NEW"),"",COUNTBLANK(OFFSET(A$1,,,SUMPRODUCT(MAX(ROW(E$2:E4109)*(E4109=E$2:E4109)))))-COUNTBLANK(OFFSET(A$1,,,SUMPRODUCT(MAX(ROW(E$1:E4108)*(E2=E$1:E4108))))))</f>
        <v> </v>
      </c>
      <c r="K4109" s="26" t="str">
        <f>IF(OR(E4109="",E4109="!!!",F4109="NEW"),"",INDEX(J$1:J4108,SUMPRODUCT(MAX(ROW(E$1:E4108)*(E4109=E$1:E4108)))))</f>
        <v> </v>
      </c>
      <c r="L4109" s="27"/>
    </row>
    <row r="4110" spans="1:12">
      <c r="A4110" s="20" t="s">
        <v>1515</v>
      </c>
      <c r="B4110" s="21" t="s">
        <v>1180</v>
      </c>
      <c r="C4110" s="21" t="s">
        <v>1095</v>
      </c>
      <c r="D4110" s="21" t="s">
        <v>1074</v>
      </c>
      <c r="E4110" s="22">
        <f>IF(D4110="?OLD","!!!","")</f>
        <v/>
      </c>
      <c r="F4110" s="23" t="str">
        <f>IF(OR(E4110="",E4110="!!!"),"",IF(NOT(ISNA(VLOOKUP(E4110,E$1:E4109,1,FALSE()))),"OLD",IF(AND(E4110&lt;&gt;"",E4110&lt;&gt;"!!!"),"NEW","")))</f>
        <v> </v>
      </c>
      <c r="G4110" s="24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5" t="str">
        <f>IF(J4110&lt;&gt;1,"",IF(I4110="SBJ","CB","?"))</f>
        <v> </v>
      </c>
      <c r="I4110" s="26" t="str">
        <f>IF(OR(E4110="",E4110="!!!",F4110="NEW"),"",INDEX(B4109:B$2,-1+SUMPRODUCT(MAX(ROW(E4109:E$2)*(E4110=E4109:E$2)))))</f>
        <v> </v>
      </c>
      <c r="J4110" s="26" t="str">
        <f>IF(OR(E4110="",E4110="!!!",F4110="NEW"),"",COUNTBLANK(OFFSET(A$1,,,SUMPRODUCT(MAX(ROW(E$2:E4110)*(E4110=E$2:E4110)))))-COUNTBLANK(OFFSET(A$1,,,SUMPRODUCT(MAX(ROW(E$1:E4109)*(E2=E$1:E4109))))))</f>
        <v> </v>
      </c>
      <c r="K4110" s="26" t="str">
        <f>IF(OR(E4110="",E4110="!!!",F4110="NEW"),"",INDEX(J$1:J4109,SUMPRODUCT(MAX(ROW(E$1:E4109)*(E4110=E$1:E4109)))))</f>
        <v> </v>
      </c>
      <c r="L4110" s="27"/>
    </row>
    <row r="4111" spans="1:12">
      <c r="A4111" s="20" t="s">
        <v>2605</v>
      </c>
      <c r="E4111" s="22">
        <f>IF(D4111="?OLD","!!!","")</f>
        <v/>
      </c>
      <c r="F4111" s="23" t="str">
        <f>IF(OR(E4111="",E4111="!!!"),"",IF(NOT(ISNA(VLOOKUP(E4111,E$1:E4110,1,FALSE()))),"OLD",IF(AND(E4111&lt;&gt;"",E4111&lt;&gt;"!!!"),"NEW","")))</f>
        <v> </v>
      </c>
      <c r="G4111" s="24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5" t="str">
        <f>IF(J4111&lt;&gt;1,"",IF(I4111="SBJ","CB","?"))</f>
        <v> </v>
      </c>
      <c r="I4111" s="26" t="str">
        <f>IF(OR(E4111="",E4111="!!!",F4111="NEW"),"",INDEX(B4110:B$2,-1+SUMPRODUCT(MAX(ROW(E4110:E$2)*(E4111=E4110:E$2)))))</f>
        <v> </v>
      </c>
      <c r="J4111" s="26" t="str">
        <f>IF(OR(E4111="",E4111="!!!",F4111="NEW"),"",COUNTBLANK(OFFSET(A$1,,,SUMPRODUCT(MAX(ROW(E$2:E4111)*(E4111=E$2:E4111)))))-COUNTBLANK(OFFSET(A$1,,,SUMPRODUCT(MAX(ROW(E$1:E4110)*(E2=E$1:E4110))))))</f>
        <v> </v>
      </c>
      <c r="K4111" s="26" t="str">
        <f>IF(OR(E4111="",E4111="!!!",F4111="NEW"),"",INDEX(J$1:J4110,SUMPRODUCT(MAX(ROW(E$1:E4110)*(E4111=E$1:E4110)))))</f>
        <v> </v>
      </c>
      <c r="L4111" s="27"/>
    </row>
    <row r="4112" spans="1:12">
      <c r="A4112" s="20" t="s">
        <v>1085</v>
      </c>
      <c r="E4112" s="22">
        <f>IF(D4112="?OLD","!!!","")</f>
        <v/>
      </c>
      <c r="F4112" s="23" t="str">
        <f>IF(OR(E4112="",E4112="!!!"),"",IF(NOT(ISNA(VLOOKUP(E4112,E$1:E4111,1,FALSE()))),"OLD",IF(AND(E4112&lt;&gt;"",E4112&lt;&gt;"!!!"),"NEW","")))</f>
        <v> </v>
      </c>
      <c r="G4112" s="24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5" t="str">
        <f>IF(J4112&lt;&gt;1,"",IF(I4112="SBJ","CB","?"))</f>
        <v> </v>
      </c>
      <c r="I4112" s="26" t="str">
        <f>IF(OR(E4112="",E4112="!!!",F4112="NEW"),"",INDEX(B4111:B$2,-1+SUMPRODUCT(MAX(ROW(E4111:E$2)*(E4112=E4111:E$2)))))</f>
        <v> </v>
      </c>
      <c r="J4112" s="26" t="str">
        <f>IF(OR(E4112="",E4112="!!!",F4112="NEW"),"",COUNTBLANK(OFFSET(A$1,,,SUMPRODUCT(MAX(ROW(E$2:E4112)*(E4112=E$2:E4112)))))-COUNTBLANK(OFFSET(A$1,,,SUMPRODUCT(MAX(ROW(E$1:E4111)*(E2=E$1:E4111))))))</f>
        <v> </v>
      </c>
      <c r="K4112" s="26" t="str">
        <f>IF(OR(E4112="",E4112="!!!",F4112="NEW"),"",INDEX(J$1:J4111,SUMPRODUCT(MAX(ROW(E$1:E4111)*(E4112=E$1:E4111)))))</f>
        <v> </v>
      </c>
      <c r="L4112" s="27"/>
    </row>
    <row r="4113" spans="1:12">
      <c r="A4113" s="20" t="s">
        <v>1083</v>
      </c>
      <c r="E4113" s="22">
        <f>IF(D4113="?OLD","!!!","")</f>
        <v/>
      </c>
      <c r="F4113" s="23" t="str">
        <f>IF(OR(E4113="",E4113="!!!"),"",IF(NOT(ISNA(VLOOKUP(E4113,E$1:E4112,1,FALSE()))),"OLD",IF(AND(E4113&lt;&gt;"",E4113&lt;&gt;"!!!"),"NEW","")))</f>
        <v> </v>
      </c>
      <c r="G4113" s="24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5" t="str">
        <f>IF(J4113&lt;&gt;1,"",IF(I4113="SBJ","CB","?"))</f>
        <v> </v>
      </c>
      <c r="I4113" s="26" t="str">
        <f>IF(OR(E4113="",E4113="!!!",F4113="NEW"),"",INDEX(B4112:B$2,-1+SUMPRODUCT(MAX(ROW(E4112:E$2)*(E4113=E4112:E$2)))))</f>
        <v> </v>
      </c>
      <c r="J4113" s="26" t="str">
        <f>IF(OR(E4113="",E4113="!!!",F4113="NEW"),"",COUNTBLANK(OFFSET(A$1,,,SUMPRODUCT(MAX(ROW(E$2:E4113)*(E4113=E$2:E4113)))))-COUNTBLANK(OFFSET(A$1,,,SUMPRODUCT(MAX(ROW(E$1:E4112)*(E2=E$1:E4112))))))</f>
        <v> </v>
      </c>
      <c r="K4113" s="26" t="str">
        <f>IF(OR(E4113="",E4113="!!!",F4113="NEW"),"",INDEX(J$1:J4112,SUMPRODUCT(MAX(ROW(E$1:E4112)*(E4113=E$1:E4112)))))</f>
        <v> </v>
      </c>
      <c r="L4113" s="27"/>
    </row>
    <row r="4114" spans="1:12">
      <c r="A4114" s="20" t="s">
        <v>1321</v>
      </c>
      <c r="B4114" s="21" t="s">
        <v>1077</v>
      </c>
      <c r="C4114" s="21" t="s">
        <v>1154</v>
      </c>
      <c r="D4114" s="21" t="s">
        <v>1074</v>
      </c>
      <c r="E4114" s="22">
        <f>IF(D4114="?OLD","!!!","")</f>
        <v/>
      </c>
      <c r="F4114" s="23" t="str">
        <f>IF(OR(E4114="",E4114="!!!"),"",IF(NOT(ISNA(VLOOKUP(E4114,E$1:E4113,1,FALSE()))),"OLD",IF(AND(E4114&lt;&gt;"",E4114&lt;&gt;"!!!"),"NEW","")))</f>
        <v> </v>
      </c>
      <c r="G4114" s="24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5" t="str">
        <f>IF(J4114&lt;&gt;1,"",IF(I4114="SBJ","CB","?"))</f>
        <v> </v>
      </c>
      <c r="I4114" s="26" t="str">
        <f>IF(OR(E4114="",E4114="!!!",F4114="NEW"),"",INDEX(B4113:B$2,-1+SUMPRODUCT(MAX(ROW(E4113:E$2)*(E4114=E4113:E$2)))))</f>
        <v> </v>
      </c>
      <c r="J4114" s="26" t="str">
        <f>IF(OR(E4114="",E4114="!!!",F4114="NEW"),"",COUNTBLANK(OFFSET(A$1,,,SUMPRODUCT(MAX(ROW(E$2:E4114)*(E4114=E$2:E4114)))))-COUNTBLANK(OFFSET(A$1,,,SUMPRODUCT(MAX(ROW(E$1:E4113)*(E2=E$1:E4113))))))</f>
        <v> </v>
      </c>
      <c r="K4114" s="26" t="str">
        <f>IF(OR(E4114="",E4114="!!!",F4114="NEW"),"",INDEX(J$1:J4113,SUMPRODUCT(MAX(ROW(E$1:E4113)*(E4114=E$1:E4113)))))</f>
        <v> </v>
      </c>
      <c r="L4114" s="27"/>
    </row>
    <row r="4115" spans="1:12">
      <c r="A4115" s="20" t="s">
        <v>2606</v>
      </c>
      <c r="E4115" s="22">
        <f>IF(D4115="?OLD","!!!","")</f>
        <v/>
      </c>
      <c r="F4115" s="23" t="str">
        <f>IF(OR(E4115="",E4115="!!!"),"",IF(NOT(ISNA(VLOOKUP(E4115,E$1:E4114,1,FALSE()))),"OLD",IF(AND(E4115&lt;&gt;"",E4115&lt;&gt;"!!!"),"NEW","")))</f>
        <v> </v>
      </c>
      <c r="G4115" s="24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5" t="str">
        <f>IF(J4115&lt;&gt;1,"",IF(I4115="SBJ","CB","?"))</f>
        <v> </v>
      </c>
      <c r="I4115" s="26" t="str">
        <f>IF(OR(E4115="",E4115="!!!",F4115="NEW"),"",INDEX(B4114:B$2,-1+SUMPRODUCT(MAX(ROW(E4114:E$2)*(E4115=E4114:E$2)))))</f>
        <v> </v>
      </c>
      <c r="J4115" s="26" t="str">
        <f>IF(OR(E4115="",E4115="!!!",F4115="NEW"),"",COUNTBLANK(OFFSET(A$1,,,SUMPRODUCT(MAX(ROW(E$2:E4115)*(E4115=E$2:E4115)))))-COUNTBLANK(OFFSET(A$1,,,SUMPRODUCT(MAX(ROW(E$1:E4114)*(E2=E$1:E4114))))))</f>
        <v> </v>
      </c>
      <c r="K4115" s="26" t="str">
        <f>IF(OR(E4115="",E4115="!!!",F4115="NEW"),"",INDEX(J$1:J4114,SUMPRODUCT(MAX(ROW(E$1:E4114)*(E4115=E$1:E4114)))))</f>
        <v> </v>
      </c>
      <c r="L4115" s="27"/>
    </row>
    <row r="4116" spans="1:12">
      <c r="A4116" s="20" t="s">
        <v>1085</v>
      </c>
      <c r="E4116" s="22">
        <f>IF(D4116="?OLD","!!!","")</f>
        <v/>
      </c>
      <c r="F4116" s="23" t="str">
        <f>IF(OR(E4116="",E4116="!!!"),"",IF(NOT(ISNA(VLOOKUP(E4116,E$1:E4115,1,FALSE()))),"OLD",IF(AND(E4116&lt;&gt;"",E4116&lt;&gt;"!!!"),"NEW","")))</f>
        <v> </v>
      </c>
      <c r="G4116" s="24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5" t="str">
        <f>IF(J4116&lt;&gt;1,"",IF(I4116="SBJ","CB","?"))</f>
        <v> </v>
      </c>
      <c r="I4116" s="26" t="str">
        <f>IF(OR(E4116="",E4116="!!!",F4116="NEW"),"",INDEX(B4115:B$2,-1+SUMPRODUCT(MAX(ROW(E4115:E$2)*(E4116=E4115:E$2)))))</f>
        <v> </v>
      </c>
      <c r="J4116" s="26" t="str">
        <f>IF(OR(E4116="",E4116="!!!",F4116="NEW"),"",COUNTBLANK(OFFSET(A$1,,,SUMPRODUCT(MAX(ROW(E$2:E4116)*(E4116=E$2:E4116)))))-COUNTBLANK(OFFSET(A$1,,,SUMPRODUCT(MAX(ROW(E$1:E4115)*(E2=E$1:E4115))))))</f>
        <v> </v>
      </c>
      <c r="K4116" s="26" t="str">
        <f>IF(OR(E4116="",E4116="!!!",F4116="NEW"),"",INDEX(J$1:J4115,SUMPRODUCT(MAX(ROW(E$1:E4115)*(E4116=E$1:E4115)))))</f>
        <v> </v>
      </c>
      <c r="L4116" s="27"/>
    </row>
    <row r="4117" spans="1:12">
      <c r="A4117" s="20" t="s">
        <v>1117</v>
      </c>
      <c r="E4117" s="22">
        <f>IF(D4117="?OLD","!!!","")</f>
        <v/>
      </c>
      <c r="F4117" s="23" t="str">
        <f>IF(OR(E4117="",E4117="!!!"),"",IF(NOT(ISNA(VLOOKUP(E4117,E$1:E4116,1,FALSE()))),"OLD",IF(AND(E4117&lt;&gt;"",E4117&lt;&gt;"!!!"),"NEW","")))</f>
        <v> </v>
      </c>
      <c r="G4117" s="24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5" t="str">
        <f>IF(J4117&lt;&gt;1,"",IF(I4117="SBJ","CB","?"))</f>
        <v> </v>
      </c>
      <c r="I4117" s="26" t="str">
        <f>IF(OR(E4117="",E4117="!!!",F4117="NEW"),"",INDEX(B4116:B$2,-1+SUMPRODUCT(MAX(ROW(E4116:E$2)*(E4117=E4116:E$2)))))</f>
        <v> </v>
      </c>
      <c r="J4117" s="26" t="str">
        <f>IF(OR(E4117="",E4117="!!!",F4117="NEW"),"",COUNTBLANK(OFFSET(A$1,,,SUMPRODUCT(MAX(ROW(E$2:E4117)*(E4117=E$2:E4117)))))-COUNTBLANK(OFFSET(A$1,,,SUMPRODUCT(MAX(ROW(E$1:E4116)*(E2=E$1:E4116))))))</f>
        <v> </v>
      </c>
      <c r="K4117" s="26" t="str">
        <f>IF(OR(E4117="",E4117="!!!",F4117="NEW"),"",INDEX(J$1:J4116,SUMPRODUCT(MAX(ROW(E$1:E4116)*(E4117=E$1:E4116)))))</f>
        <v> </v>
      </c>
      <c r="L4117" s="27"/>
    </row>
    <row r="4118" spans="1:12">
      <c r="A4118" s="20" t="s">
        <v>1087</v>
      </c>
      <c r="B4118" s="21" t="s">
        <v>1077</v>
      </c>
      <c r="C4118" s="21" t="s">
        <v>1081</v>
      </c>
      <c r="D4118" s="21" t="s">
        <v>1074</v>
      </c>
      <c r="E4118" s="22">
        <f>IF(D4118="?OLD","!!!","")</f>
        <v/>
      </c>
      <c r="F4118" s="23" t="str">
        <f>IF(OR(E4118="",E4118="!!!"),"",IF(NOT(ISNA(VLOOKUP(E4118,E$1:E4117,1,FALSE()))),"OLD",IF(AND(E4118&lt;&gt;"",E4118&lt;&gt;"!!!"),"NEW","")))</f>
        <v> </v>
      </c>
      <c r="G4118" s="24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5" t="str">
        <f>IF(J4118&lt;&gt;1,"",IF(I4118="SBJ","CB","?"))</f>
        <v> </v>
      </c>
      <c r="I4118" s="26" t="str">
        <f>IF(OR(E4118="",E4118="!!!",F4118="NEW"),"",INDEX(B4117:B$2,-1+SUMPRODUCT(MAX(ROW(E4117:E$2)*(E4118=E4117:E$2)))))</f>
        <v> </v>
      </c>
      <c r="J4118" s="26" t="str">
        <f>IF(OR(E4118="",E4118="!!!",F4118="NEW"),"",COUNTBLANK(OFFSET(A$1,,,SUMPRODUCT(MAX(ROW(E$2:E4118)*(E4118=E$2:E4118)))))-COUNTBLANK(OFFSET(A$1,,,SUMPRODUCT(MAX(ROW(E$1:E4117)*(E2=E$1:E4117))))))</f>
        <v> </v>
      </c>
      <c r="K4118" s="26" t="str">
        <f>IF(OR(E4118="",E4118="!!!",F4118="NEW"),"",INDEX(J$1:J4117,SUMPRODUCT(MAX(ROW(E$1:E4117)*(E4118=E$1:E4117)))))</f>
        <v> </v>
      </c>
      <c r="L4118" s="27"/>
    </row>
    <row r="4119" spans="1:12">
      <c r="A4119" s="20" t="s">
        <v>2607</v>
      </c>
      <c r="E4119" s="22">
        <f>IF(D4119="?OLD","!!!","")</f>
        <v/>
      </c>
      <c r="F4119" s="23" t="str">
        <f>IF(OR(E4119="",E4119="!!!"),"",IF(NOT(ISNA(VLOOKUP(E4119,E$1:E4118,1,FALSE()))),"OLD",IF(AND(E4119&lt;&gt;"",E4119&lt;&gt;"!!!"),"NEW","")))</f>
        <v> </v>
      </c>
      <c r="G4119" s="24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5" t="str">
        <f>IF(J4119&lt;&gt;1,"",IF(I4119="SBJ","CB","?"))</f>
        <v> </v>
      </c>
      <c r="I4119" s="26" t="str">
        <f>IF(OR(E4119="",E4119="!!!",F4119="NEW"),"",INDEX(B4118:B$2,-1+SUMPRODUCT(MAX(ROW(E4118:E$2)*(E4119=E4118:E$2)))))</f>
        <v> </v>
      </c>
      <c r="J4119" s="26" t="str">
        <f>IF(OR(E4119="",E4119="!!!",F4119="NEW"),"",COUNTBLANK(OFFSET(A$1,,,SUMPRODUCT(MAX(ROW(E$2:E4119)*(E4119=E$2:E4119)))))-COUNTBLANK(OFFSET(A$1,,,SUMPRODUCT(MAX(ROW(E$1:E4118)*(E2=E$1:E4118))))))</f>
        <v> </v>
      </c>
      <c r="K4119" s="26" t="str">
        <f>IF(OR(E4119="",E4119="!!!",F4119="NEW"),"",INDEX(J$1:J4118,SUMPRODUCT(MAX(ROW(E$1:E4118)*(E4119=E$1:E4118)))))</f>
        <v> </v>
      </c>
      <c r="L4119" s="27"/>
    </row>
    <row r="4120" spans="1:12">
      <c r="A4120" s="20" t="s">
        <v>2608</v>
      </c>
      <c r="E4120" s="22">
        <f>IF(D4120="?OLD","!!!","")</f>
        <v/>
      </c>
      <c r="F4120" s="23" t="str">
        <f>IF(OR(E4120="",E4120="!!!"),"",IF(NOT(ISNA(VLOOKUP(E4120,E$1:E4119,1,FALSE()))),"OLD",IF(AND(E4120&lt;&gt;"",E4120&lt;&gt;"!!!"),"NEW","")))</f>
        <v> </v>
      </c>
      <c r="G4120" s="24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5" t="str">
        <f>IF(J4120&lt;&gt;1,"",IF(I4120="SBJ","CB","?"))</f>
        <v> </v>
      </c>
      <c r="I4120" s="26" t="str">
        <f>IF(OR(E4120="",E4120="!!!",F4120="NEW"),"",INDEX(B4119:B$2,-1+SUMPRODUCT(MAX(ROW(E4119:E$2)*(E4120=E4119:E$2)))))</f>
        <v> </v>
      </c>
      <c r="J4120" s="26" t="str">
        <f>IF(OR(E4120="",E4120="!!!",F4120="NEW"),"",COUNTBLANK(OFFSET(A$1,,,SUMPRODUCT(MAX(ROW(E$2:E4120)*(E4120=E$2:E4120)))))-COUNTBLANK(OFFSET(A$1,,,SUMPRODUCT(MAX(ROW(E$1:E4119)*(E2=E$1:E4119))))))</f>
        <v> </v>
      </c>
      <c r="K4120" s="26" t="str">
        <f>IF(OR(E4120="",E4120="!!!",F4120="NEW"),"",INDEX(J$1:J4119,SUMPRODUCT(MAX(ROW(E$1:E4119)*(E4120=E$1:E4119)))))</f>
        <v> </v>
      </c>
      <c r="L4120" s="27"/>
    </row>
    <row r="4121" spans="1:12">
      <c r="A4121" s="20" t="s">
        <v>2609</v>
      </c>
      <c r="E4121" s="22">
        <f>IF(D4121="?OLD","!!!","")</f>
        <v/>
      </c>
      <c r="F4121" s="23" t="str">
        <f>IF(OR(E4121="",E4121="!!!"),"",IF(NOT(ISNA(VLOOKUP(E4121,E$1:E4120,1,FALSE()))),"OLD",IF(AND(E4121&lt;&gt;"",E4121&lt;&gt;"!!!"),"NEW","")))</f>
        <v> </v>
      </c>
      <c r="G4121" s="24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5" t="str">
        <f>IF(J4121&lt;&gt;1,"",IF(I4121="SBJ","CB","?"))</f>
        <v> </v>
      </c>
      <c r="I4121" s="26" t="str">
        <f>IF(OR(E4121="",E4121="!!!",F4121="NEW"),"",INDEX(B4120:B$2,-1+SUMPRODUCT(MAX(ROW(E4120:E$2)*(E4121=E4120:E$2)))))</f>
        <v> </v>
      </c>
      <c r="J4121" s="26" t="str">
        <f>IF(OR(E4121="",E4121="!!!",F4121="NEW"),"",COUNTBLANK(OFFSET(A$1,,,SUMPRODUCT(MAX(ROW(E$2:E4121)*(E4121=E$2:E4121)))))-COUNTBLANK(OFFSET(A$1,,,SUMPRODUCT(MAX(ROW(E$1:E4120)*(E2=E$1:E4120))))))</f>
        <v> </v>
      </c>
      <c r="K4121" s="26" t="str">
        <f>IF(OR(E4121="",E4121="!!!",F4121="NEW"),"",INDEX(J$1:J4120,SUMPRODUCT(MAX(ROW(E$1:E4120)*(E4121=E$1:E4120)))))</f>
        <v> </v>
      </c>
      <c r="L4121" s="27"/>
    </row>
    <row r="4122" spans="1:12">
      <c r="A4122" s="20" t="s">
        <v>2610</v>
      </c>
      <c r="E4122" s="22">
        <f>IF(D4122="?OLD","!!!","")</f>
        <v/>
      </c>
      <c r="F4122" s="23" t="str">
        <f>IF(OR(E4122="",E4122="!!!"),"",IF(NOT(ISNA(VLOOKUP(E4122,E$1:E4121,1,FALSE()))),"OLD",IF(AND(E4122&lt;&gt;"",E4122&lt;&gt;"!!!"),"NEW","")))</f>
        <v> </v>
      </c>
      <c r="G4122" s="24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5" t="str">
        <f>IF(J4122&lt;&gt;1,"",IF(I4122="SBJ","CB","?"))</f>
        <v> </v>
      </c>
      <c r="I4122" s="26" t="str">
        <f>IF(OR(E4122="",E4122="!!!",F4122="NEW"),"",INDEX(B4121:B$2,-1+SUMPRODUCT(MAX(ROW(E4121:E$2)*(E4122=E4121:E$2)))))</f>
        <v> </v>
      </c>
      <c r="J4122" s="26" t="str">
        <f>IF(OR(E4122="",E4122="!!!",F4122="NEW"),"",COUNTBLANK(OFFSET(A$1,,,SUMPRODUCT(MAX(ROW(E$2:E4122)*(E4122=E$2:E4122)))))-COUNTBLANK(OFFSET(A$1,,,SUMPRODUCT(MAX(ROW(E$1:E4121)*(E2=E$1:E4121))))))</f>
        <v> </v>
      </c>
      <c r="K4122" s="26" t="str">
        <f>IF(OR(E4122="",E4122="!!!",F4122="NEW"),"",INDEX(J$1:J4121,SUMPRODUCT(MAX(ROW(E$1:E4121)*(E4122=E$1:E4121)))))</f>
        <v> </v>
      </c>
      <c r="L4122" s="27"/>
    </row>
    <row r="4123" spans="1:12">
      <c r="A4123" s="20" t="s">
        <v>1515</v>
      </c>
      <c r="B4123" s="21" t="s">
        <v>1115</v>
      </c>
      <c r="C4123" s="21" t="s">
        <v>1095</v>
      </c>
      <c r="D4123" s="21" t="s">
        <v>1074</v>
      </c>
      <c r="E4123" s="22">
        <f>IF(D4123="?OLD","!!!","")</f>
        <v/>
      </c>
      <c r="F4123" s="23" t="str">
        <f>IF(OR(E4123="",E4123="!!!"),"",IF(NOT(ISNA(VLOOKUP(E4123,E$1:E4122,1,FALSE()))),"OLD",IF(AND(E4123&lt;&gt;"",E4123&lt;&gt;"!!!"),"NEW","")))</f>
        <v> </v>
      </c>
      <c r="G4123" s="24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5" t="str">
        <f>IF(J4123&lt;&gt;1,"",IF(I4123="SBJ","CB","?"))</f>
        <v> </v>
      </c>
      <c r="I4123" s="26" t="str">
        <f>IF(OR(E4123="",E4123="!!!",F4123="NEW"),"",INDEX(B4122:B$2,-1+SUMPRODUCT(MAX(ROW(E4122:E$2)*(E4123=E4122:E$2)))))</f>
        <v> </v>
      </c>
      <c r="J4123" s="26" t="str">
        <f>IF(OR(E4123="",E4123="!!!",F4123="NEW"),"",COUNTBLANK(OFFSET(A$1,,,SUMPRODUCT(MAX(ROW(E$2:E4123)*(E4123=E$2:E4123)))))-COUNTBLANK(OFFSET(A$1,,,SUMPRODUCT(MAX(ROW(E$1:E4122)*(E2=E$1:E4122))))))</f>
        <v> </v>
      </c>
      <c r="K4123" s="26" t="str">
        <f>IF(OR(E4123="",E4123="!!!",F4123="NEW"),"",INDEX(J$1:J4122,SUMPRODUCT(MAX(ROW(E$1:E4122)*(E4123=E$1:E4122)))))</f>
        <v> </v>
      </c>
      <c r="L4123" s="27"/>
    </row>
    <row r="4124" spans="1:12">
      <c r="A4124" s="20" t="s">
        <v>2611</v>
      </c>
      <c r="E4124" s="22">
        <f>IF(D4124="?OLD","!!!","")</f>
        <v/>
      </c>
      <c r="F4124" s="23" t="str">
        <f>IF(OR(E4124="",E4124="!!!"),"",IF(NOT(ISNA(VLOOKUP(E4124,E$1:E4123,1,FALSE()))),"OLD",IF(AND(E4124&lt;&gt;"",E4124&lt;&gt;"!!!"),"NEW","")))</f>
        <v> </v>
      </c>
      <c r="G4124" s="24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5" t="str">
        <f>IF(J4124&lt;&gt;1,"",IF(I4124="SBJ","CB","?"))</f>
        <v> </v>
      </c>
      <c r="I4124" s="26" t="str">
        <f>IF(OR(E4124="",E4124="!!!",F4124="NEW"),"",INDEX(B4123:B$2,-1+SUMPRODUCT(MAX(ROW(E4123:E$2)*(E4124=E4123:E$2)))))</f>
        <v> </v>
      </c>
      <c r="J4124" s="26" t="str">
        <f>IF(OR(E4124="",E4124="!!!",F4124="NEW"),"",COUNTBLANK(OFFSET(A$1,,,SUMPRODUCT(MAX(ROW(E$2:E4124)*(E4124=E$2:E4124)))))-COUNTBLANK(OFFSET(A$1,,,SUMPRODUCT(MAX(ROW(E$1:E4123)*(E2=E$1:E4123))))))</f>
        <v> </v>
      </c>
      <c r="K4124" s="26" t="str">
        <f>IF(OR(E4124="",E4124="!!!",F4124="NEW"),"",INDEX(J$1:J4123,SUMPRODUCT(MAX(ROW(E$1:E4123)*(E4124=E$1:E4123)))))</f>
        <v> </v>
      </c>
      <c r="L4124" s="27"/>
    </row>
    <row r="4125" spans="1:12">
      <c r="A4125" s="20" t="s">
        <v>1106</v>
      </c>
      <c r="E4125" s="22">
        <f>IF(D4125="?OLD","!!!","")</f>
        <v/>
      </c>
      <c r="F4125" s="23" t="str">
        <f>IF(OR(E4125="",E4125="!!!"),"",IF(NOT(ISNA(VLOOKUP(E4125,E$1:E4124,1,FALSE()))),"OLD",IF(AND(E4125&lt;&gt;"",E4125&lt;&gt;"!!!"),"NEW","")))</f>
        <v> </v>
      </c>
      <c r="G4125" s="24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5" t="str">
        <f>IF(J4125&lt;&gt;1,"",IF(I4125="SBJ","CB","?"))</f>
        <v> </v>
      </c>
      <c r="I4125" s="26" t="str">
        <f>IF(OR(E4125="",E4125="!!!",F4125="NEW"),"",INDEX(B4124:B$2,-1+SUMPRODUCT(MAX(ROW(E4124:E$2)*(E4125=E4124:E$2)))))</f>
        <v> </v>
      </c>
      <c r="J4125" s="26" t="str">
        <f>IF(OR(E4125="",E4125="!!!",F4125="NEW"),"",COUNTBLANK(OFFSET(A$1,,,SUMPRODUCT(MAX(ROW(E$2:E4125)*(E4125=E$2:E4125)))))-COUNTBLANK(OFFSET(A$1,,,SUMPRODUCT(MAX(ROW(E$1:E4124)*(E2=E$1:E4124))))))</f>
        <v> </v>
      </c>
      <c r="K4125" s="26" t="str">
        <f>IF(OR(E4125="",E4125="!!!",F4125="NEW"),"",INDEX(J$1:J4124,SUMPRODUCT(MAX(ROW(E$1:E4124)*(E4125=E$1:E4124)))))</f>
        <v> </v>
      </c>
      <c r="L4125" s="27"/>
    </row>
    <row r="4126" spans="1:12">
      <c r="A4126" s="20"/>
    </row>
    <row r="4127" spans="1:12">
      <c r="A4127" s="20" t="s">
        <v>2612</v>
      </c>
    </row>
    <row r="4128" spans="1:12">
      <c r="A4128" s="20" t="s">
        <v>1133</v>
      </c>
      <c r="B4128" s="21" t="s">
        <v>1109</v>
      </c>
      <c r="C4128" s="21" t="s">
        <v>1081</v>
      </c>
      <c r="D4128" s="21" t="s">
        <v>1074</v>
      </c>
      <c r="E4128" s="22">
        <f>IF(D4128="?OLD","!!!","")</f>
        <v/>
      </c>
      <c r="F4128" s="23" t="str">
        <f>IF(OR(E4128="",E4128="!!!"),"",IF(NOT(ISNA(VLOOKUP(E4128,E$1:E4127,1,FALSE()))),"OLD",IF(AND(E4128&lt;&gt;"",E4128&lt;&gt;"!!!"),"NEW","")))</f>
        <v> </v>
      </c>
      <c r="G4128" s="24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5" t="str">
        <f>IF(J4128&lt;&gt;1,"",IF(I4128="SBJ","CB","?"))</f>
        <v> </v>
      </c>
      <c r="I4128" s="26" t="str">
        <f>IF(OR(E4128="",E4128="!!!",F4128="NEW"),"",INDEX(B4127:B$2,-1+SUMPRODUCT(MAX(ROW(E4127:E$2)*(E4128=E4127:E$2)))))</f>
        <v> </v>
      </c>
      <c r="J4128" s="26" t="str">
        <f>IF(OR(E4128="",E4128="!!!",F4128="NEW"),"",COUNTBLANK(OFFSET(A$1,,,SUMPRODUCT(MAX(ROW(E$2:E4128)*(E4128=E$2:E4128)))))-COUNTBLANK(OFFSET(A$1,,,SUMPRODUCT(MAX(ROW(E$1:E4127)*(E2=E$1:E4127))))))</f>
        <v> </v>
      </c>
      <c r="K4128" s="26" t="str">
        <f>IF(OR(E4128="",E4128="!!!",F4128="NEW"),"",INDEX(J$1:J4127,SUMPRODUCT(MAX(ROW(E$1:E4127)*(E4128=E$1:E4127)))))</f>
        <v> </v>
      </c>
      <c r="L4128" s="27"/>
    </row>
    <row r="4129" spans="1:12">
      <c r="A4129" s="20" t="s">
        <v>2613</v>
      </c>
      <c r="E4129" s="22">
        <f>IF(D4129="?OLD","!!!","")</f>
        <v/>
      </c>
      <c r="F4129" s="23" t="str">
        <f>IF(OR(E4129="",E4129="!!!"),"",IF(NOT(ISNA(VLOOKUP(E4129,E$1:E4128,1,FALSE()))),"OLD",IF(AND(E4129&lt;&gt;"",E4129&lt;&gt;"!!!"),"NEW","")))</f>
        <v> </v>
      </c>
      <c r="G4129" s="24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5" t="str">
        <f>IF(J4129&lt;&gt;1,"",IF(I4129="SBJ","CB","?"))</f>
        <v> </v>
      </c>
      <c r="I4129" s="26" t="str">
        <f>IF(OR(E4129="",E4129="!!!",F4129="NEW"),"",INDEX(B4128:B$2,-1+SUMPRODUCT(MAX(ROW(E4128:E$2)*(E4129=E4128:E$2)))))</f>
        <v> </v>
      </c>
      <c r="J4129" s="26" t="str">
        <f>IF(OR(E4129="",E4129="!!!",F4129="NEW"),"",COUNTBLANK(OFFSET(A$1,,,SUMPRODUCT(MAX(ROW(E$2:E4129)*(E4129=E$2:E4129)))))-COUNTBLANK(OFFSET(A$1,,,SUMPRODUCT(MAX(ROW(E$1:E4128)*(E2=E$1:E4128))))))</f>
        <v> </v>
      </c>
      <c r="K4129" s="26" t="str">
        <f>IF(OR(E4129="",E4129="!!!",F4129="NEW"),"",INDEX(J$1:J4128,SUMPRODUCT(MAX(ROW(E$1:E4128)*(E4129=E$1:E4128)))))</f>
        <v> </v>
      </c>
      <c r="L4129" s="27"/>
    </row>
    <row r="4130" spans="1:12">
      <c r="A4130" s="20" t="s">
        <v>2155</v>
      </c>
      <c r="E4130" s="22">
        <f>IF(D4130="?OLD","!!!","")</f>
        <v/>
      </c>
      <c r="F4130" s="23" t="str">
        <f>IF(OR(E4130="",E4130="!!!"),"",IF(NOT(ISNA(VLOOKUP(E4130,E$1:E4129,1,FALSE()))),"OLD",IF(AND(E4130&lt;&gt;"",E4130&lt;&gt;"!!!"),"NEW","")))</f>
        <v> </v>
      </c>
      <c r="G4130" s="24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5" t="str">
        <f>IF(J4130&lt;&gt;1,"",IF(I4130="SBJ","CB","?"))</f>
        <v> </v>
      </c>
      <c r="I4130" s="26" t="str">
        <f>IF(OR(E4130="",E4130="!!!",F4130="NEW"),"",INDEX(B4129:B$2,-1+SUMPRODUCT(MAX(ROW(E4129:E$2)*(E4130=E4129:E$2)))))</f>
        <v> </v>
      </c>
      <c r="J4130" s="26" t="str">
        <f>IF(OR(E4130="",E4130="!!!",F4130="NEW"),"",COUNTBLANK(OFFSET(A$1,,,SUMPRODUCT(MAX(ROW(E$2:E4130)*(E4130=E$2:E4130)))))-COUNTBLANK(OFFSET(A$1,,,SUMPRODUCT(MAX(ROW(E$1:E4129)*(E2=E$1:E4129))))))</f>
        <v> </v>
      </c>
      <c r="K4130" s="26" t="str">
        <f>IF(OR(E4130="",E4130="!!!",F4130="NEW"),"",INDEX(J$1:J4129,SUMPRODUCT(MAX(ROW(E$1:E4129)*(E4130=E$1:E4129)))))</f>
        <v> </v>
      </c>
      <c r="L4130" s="27"/>
    </row>
    <row r="4131" spans="1:12">
      <c r="A4131" s="20" t="s">
        <v>2609</v>
      </c>
      <c r="E4131" s="22">
        <f>IF(D4131="?OLD","!!!","")</f>
        <v/>
      </c>
      <c r="F4131" s="23" t="str">
        <f>IF(OR(E4131="",E4131="!!!"),"",IF(NOT(ISNA(VLOOKUP(E4131,E$1:E4130,1,FALSE()))),"OLD",IF(AND(E4131&lt;&gt;"",E4131&lt;&gt;"!!!"),"NEW","")))</f>
        <v> </v>
      </c>
      <c r="G4131" s="24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5" t="str">
        <f>IF(J4131&lt;&gt;1,"",IF(I4131="SBJ","CB","?"))</f>
        <v> </v>
      </c>
      <c r="I4131" s="26" t="str">
        <f>IF(OR(E4131="",E4131="!!!",F4131="NEW"),"",INDEX(B4130:B$2,-1+SUMPRODUCT(MAX(ROW(E4130:E$2)*(E4131=E4130:E$2)))))</f>
        <v> </v>
      </c>
      <c r="J4131" s="26" t="str">
        <f>IF(OR(E4131="",E4131="!!!",F4131="NEW"),"",COUNTBLANK(OFFSET(A$1,,,SUMPRODUCT(MAX(ROW(E$2:E4131)*(E4131=E$2:E4131)))))-COUNTBLANK(OFFSET(A$1,,,SUMPRODUCT(MAX(ROW(E$1:E4130)*(E2=E$1:E4130))))))</f>
        <v> </v>
      </c>
      <c r="K4131" s="26" t="str">
        <f>IF(OR(E4131="",E4131="!!!",F4131="NEW"),"",INDEX(J$1:J4130,SUMPRODUCT(MAX(ROW(E$1:E4130)*(E4131=E$1:E4130)))))</f>
        <v> </v>
      </c>
      <c r="L4131" s="27"/>
    </row>
    <row r="4132" spans="1:12">
      <c r="A4132" s="20" t="s">
        <v>2610</v>
      </c>
      <c r="B4132" s="21" t="s">
        <v>1227</v>
      </c>
      <c r="E4132" s="22">
        <f>IF(D4132="?OLD","!!!","")</f>
        <v/>
      </c>
      <c r="F4132" s="23" t="str">
        <f>IF(OR(E4132="",E4132="!!!"),"",IF(NOT(ISNA(VLOOKUP(E4132,E$1:E4131,1,FALSE()))),"OLD",IF(AND(E4132&lt;&gt;"",E4132&lt;&gt;"!!!"),"NEW","")))</f>
        <v> </v>
      </c>
      <c r="G4132" s="24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5" t="str">
        <f>IF(J4132&lt;&gt;1,"",IF(I4132="SBJ","CB","?"))</f>
        <v> </v>
      </c>
      <c r="I4132" s="26" t="str">
        <f>IF(OR(E4132="",E4132="!!!",F4132="NEW"),"",INDEX(B4131:B$2,-1+SUMPRODUCT(MAX(ROW(E4131:E$2)*(E4132=E4131:E$2)))))</f>
        <v> </v>
      </c>
      <c r="J4132" s="26" t="str">
        <f>IF(OR(E4132="",E4132="!!!",F4132="NEW"),"",COUNTBLANK(OFFSET(A$1,,,SUMPRODUCT(MAX(ROW(E$2:E4132)*(E4132=E$2:E4132)))))-COUNTBLANK(OFFSET(A$1,,,SUMPRODUCT(MAX(ROW(E$1:E4131)*(E2=E$1:E4131))))))</f>
        <v> </v>
      </c>
      <c r="K4132" s="26" t="str">
        <f>IF(OR(E4132="",E4132="!!!",F4132="NEW"),"",INDEX(J$1:J4131,SUMPRODUCT(MAX(ROW(E$1:E4131)*(E4132=E$1:E4131)))))</f>
        <v> </v>
      </c>
      <c r="L4132" s="27"/>
    </row>
    <row r="4133" spans="1:12">
      <c r="A4133" s="20" t="s">
        <v>2614</v>
      </c>
      <c r="B4133" s="21" t="s">
        <v>1137</v>
      </c>
      <c r="C4133" s="21" t="s">
        <v>1095</v>
      </c>
      <c r="D4133" s="21" t="s">
        <v>1074</v>
      </c>
      <c r="E4133" s="22">
        <f>IF(D4133="?OLD","!!!","")</f>
        <v/>
      </c>
      <c r="F4133" s="23" t="str">
        <f>IF(OR(E4133="",E4133="!!!"),"",IF(NOT(ISNA(VLOOKUP(E4133,E$1:E4132,1,FALSE()))),"OLD",IF(AND(E4133&lt;&gt;"",E4133&lt;&gt;"!!!"),"NEW","")))</f>
        <v> </v>
      </c>
      <c r="G4133" s="24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5" t="str">
        <f>IF(J4133&lt;&gt;1,"",IF(I4133="SBJ","CB","?"))</f>
        <v> </v>
      </c>
      <c r="I4133" s="26" t="str">
        <f>IF(OR(E4133="",E4133="!!!",F4133="NEW"),"",INDEX(B4132:B$2,-1+SUMPRODUCT(MAX(ROW(E4132:E$2)*(E4133=E4132:E$2)))))</f>
        <v> </v>
      </c>
      <c r="J4133" s="26" t="str">
        <f>IF(OR(E4133="",E4133="!!!",F4133="NEW"),"",COUNTBLANK(OFFSET(A$1,,,SUMPRODUCT(MAX(ROW(E$2:E4133)*(E4133=E$2:E4133)))))-COUNTBLANK(OFFSET(A$1,,,SUMPRODUCT(MAX(ROW(E$1:E4132)*(E2=E$1:E4132))))))</f>
        <v> </v>
      </c>
      <c r="K4133" s="26" t="str">
        <f>IF(OR(E4133="",E4133="!!!",F4133="NEW"),"",INDEX(J$1:J4132,SUMPRODUCT(MAX(ROW(E$1:E4132)*(E4133=E$1:E4132)))))</f>
        <v> </v>
      </c>
      <c r="L4133" s="27"/>
    </row>
    <row r="4134" spans="1:12">
      <c r="A4134" s="20" t="s">
        <v>1846</v>
      </c>
      <c r="E4134" s="22">
        <f>IF(D4134="?OLD","!!!","")</f>
        <v/>
      </c>
      <c r="F4134" s="23" t="str">
        <f>IF(OR(E4134="",E4134="!!!"),"",IF(NOT(ISNA(VLOOKUP(E4134,E$1:E4133,1,FALSE()))),"OLD",IF(AND(E4134&lt;&gt;"",E4134&lt;&gt;"!!!"),"NEW","")))</f>
        <v> </v>
      </c>
      <c r="G4134" s="24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5" t="str">
        <f>IF(J4134&lt;&gt;1,"",IF(I4134="SBJ","CB","?"))</f>
        <v> </v>
      </c>
      <c r="I4134" s="26" t="str">
        <f>IF(OR(E4134="",E4134="!!!",F4134="NEW"),"",INDEX(B4133:B$2,-1+SUMPRODUCT(MAX(ROW(E4133:E$2)*(E4134=E4133:E$2)))))</f>
        <v> </v>
      </c>
      <c r="J4134" s="26" t="str">
        <f>IF(OR(E4134="",E4134="!!!",F4134="NEW"),"",COUNTBLANK(OFFSET(A$1,,,SUMPRODUCT(MAX(ROW(E$2:E4134)*(E4134=E$2:E4134)))))-COUNTBLANK(OFFSET(A$1,,,SUMPRODUCT(MAX(ROW(E$1:E4133)*(E2=E$1:E4133))))))</f>
        <v> </v>
      </c>
      <c r="K4134" s="26" t="str">
        <f>IF(OR(E4134="",E4134="!!!",F4134="NEW"),"",INDEX(J$1:J4133,SUMPRODUCT(MAX(ROW(E$1:E4133)*(E4134=E$1:E4133)))))</f>
        <v> </v>
      </c>
      <c r="L4134" s="27"/>
    </row>
    <row r="4135" spans="1:12">
      <c r="A4135" s="20" t="s">
        <v>1085</v>
      </c>
      <c r="E4135" s="22">
        <f>IF(D4135="?OLD","!!!","")</f>
        <v/>
      </c>
      <c r="F4135" s="23" t="str">
        <f>IF(OR(E4135="",E4135="!!!"),"",IF(NOT(ISNA(VLOOKUP(E4135,E$1:E4134,1,FALSE()))),"OLD",IF(AND(E4135&lt;&gt;"",E4135&lt;&gt;"!!!"),"NEW","")))</f>
        <v> </v>
      </c>
      <c r="G4135" s="24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5" t="str">
        <f>IF(J4135&lt;&gt;1,"",IF(I4135="SBJ","CB","?"))</f>
        <v> </v>
      </c>
      <c r="I4135" s="26" t="str">
        <f>IF(OR(E4135="",E4135="!!!",F4135="NEW"),"",INDEX(B4134:B$2,-1+SUMPRODUCT(MAX(ROW(E4134:E$2)*(E4135=E4134:E$2)))))</f>
        <v> </v>
      </c>
      <c r="J4135" s="26" t="str">
        <f>IF(OR(E4135="",E4135="!!!",F4135="NEW"),"",COUNTBLANK(OFFSET(A$1,,,SUMPRODUCT(MAX(ROW(E$2:E4135)*(E4135=E$2:E4135)))))-COUNTBLANK(OFFSET(A$1,,,SUMPRODUCT(MAX(ROW(E$1:E4134)*(E2=E$1:E4134))))))</f>
        <v> </v>
      </c>
      <c r="K4135" s="26" t="str">
        <f>IF(OR(E4135="",E4135="!!!",F4135="NEW"),"",INDEX(J$1:J4134,SUMPRODUCT(MAX(ROW(E$1:E4134)*(E4135=E$1:E4134)))))</f>
        <v> </v>
      </c>
      <c r="L4135" s="27"/>
    </row>
    <row r="4136" spans="1:12">
      <c r="A4136" s="20" t="s">
        <v>1083</v>
      </c>
      <c r="E4136" s="22">
        <f>IF(D4136="?OLD","!!!","")</f>
        <v/>
      </c>
      <c r="F4136" s="23" t="str">
        <f>IF(OR(E4136="",E4136="!!!"),"",IF(NOT(ISNA(VLOOKUP(E4136,E$1:E4135,1,FALSE()))),"OLD",IF(AND(E4136&lt;&gt;"",E4136&lt;&gt;"!!!"),"NEW","")))</f>
        <v> </v>
      </c>
      <c r="G4136" s="24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5" t="str">
        <f>IF(J4136&lt;&gt;1,"",IF(I4136="SBJ","CB","?"))</f>
        <v> </v>
      </c>
      <c r="I4136" s="26" t="str">
        <f>IF(OR(E4136="",E4136="!!!",F4136="NEW"),"",INDEX(B4135:B$2,-1+SUMPRODUCT(MAX(ROW(E4135:E$2)*(E4136=E4135:E$2)))))</f>
        <v> </v>
      </c>
      <c r="J4136" s="26" t="str">
        <f>IF(OR(E4136="",E4136="!!!",F4136="NEW"),"",COUNTBLANK(OFFSET(A$1,,,SUMPRODUCT(MAX(ROW(E$2:E4136)*(E4136=E$2:E4136)))))-COUNTBLANK(OFFSET(A$1,,,SUMPRODUCT(MAX(ROW(E$1:E4135)*(E2=E$1:E4135))))))</f>
        <v> </v>
      </c>
      <c r="K4136" s="26" t="str">
        <f>IF(OR(E4136="",E4136="!!!",F4136="NEW"),"",INDEX(J$1:J4135,SUMPRODUCT(MAX(ROW(E$1:E4135)*(E4136=E$1:E4135)))))</f>
        <v> </v>
      </c>
      <c r="L4136" s="27"/>
    </row>
    <row r="4137" spans="1:12">
      <c r="A4137" s="20" t="s">
        <v>2155</v>
      </c>
      <c r="E4137" s="22">
        <f>IF(D4137="?OLD","!!!","")</f>
        <v/>
      </c>
      <c r="F4137" s="23" t="str">
        <f>IF(OR(E4137="",E4137="!!!"),"",IF(NOT(ISNA(VLOOKUP(E4137,E$1:E4136,1,FALSE()))),"OLD",IF(AND(E4137&lt;&gt;"",E4137&lt;&gt;"!!!"),"NEW","")))</f>
        <v> </v>
      </c>
      <c r="G4137" s="24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5" t="str">
        <f>IF(J4137&lt;&gt;1,"",IF(I4137="SBJ","CB","?"))</f>
        <v> </v>
      </c>
      <c r="I4137" s="26" t="str">
        <f>IF(OR(E4137="",E4137="!!!",F4137="NEW"),"",INDEX(B4136:B$2,-1+SUMPRODUCT(MAX(ROW(E4136:E$2)*(E4137=E4136:E$2)))))</f>
        <v> </v>
      </c>
      <c r="J4137" s="26" t="str">
        <f>IF(OR(E4137="",E4137="!!!",F4137="NEW"),"",COUNTBLANK(OFFSET(A$1,,,SUMPRODUCT(MAX(ROW(E$2:E4137)*(E4137=E$2:E4137)))))-COUNTBLANK(OFFSET(A$1,,,SUMPRODUCT(MAX(ROW(E$1:E4136)*(E2=E$1:E4136))))))</f>
        <v> </v>
      </c>
      <c r="K4137" s="26" t="str">
        <f>IF(OR(E4137="",E4137="!!!",F4137="NEW"),"",INDEX(J$1:J4136,SUMPRODUCT(MAX(ROW(E$1:E4136)*(E4137=E$1:E4136)))))</f>
        <v> </v>
      </c>
      <c r="L4137" s="27"/>
    </row>
    <row r="4138" spans="1:12">
      <c r="A4138" s="20" t="s">
        <v>1329</v>
      </c>
      <c r="E4138" s="22">
        <f>IF(D4138="?OLD","!!!","")</f>
        <v/>
      </c>
      <c r="F4138" s="23" t="str">
        <f>IF(OR(E4138="",E4138="!!!"),"",IF(NOT(ISNA(VLOOKUP(E4138,E$1:E4137,1,FALSE()))),"OLD",IF(AND(E4138&lt;&gt;"",E4138&lt;&gt;"!!!"),"NEW","")))</f>
        <v> </v>
      </c>
      <c r="G4138" s="24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5" t="str">
        <f>IF(J4138&lt;&gt;1,"",IF(I4138="SBJ","CB","?"))</f>
        <v> </v>
      </c>
      <c r="I4138" s="26" t="str">
        <f>IF(OR(E4138="",E4138="!!!",F4138="NEW"),"",INDEX(B4137:B$2,-1+SUMPRODUCT(MAX(ROW(E4137:E$2)*(E4138=E4137:E$2)))))</f>
        <v> </v>
      </c>
      <c r="J4138" s="26" t="str">
        <f>IF(OR(E4138="",E4138="!!!",F4138="NEW"),"",COUNTBLANK(OFFSET(A$1,,,SUMPRODUCT(MAX(ROW(E$2:E4138)*(E4138=E$2:E4138)))))-COUNTBLANK(OFFSET(A$1,,,SUMPRODUCT(MAX(ROW(E$1:E4137)*(E2=E$1:E4137))))))</f>
        <v> </v>
      </c>
      <c r="K4138" s="26" t="str">
        <f>IF(OR(E4138="",E4138="!!!",F4138="NEW"),"",INDEX(J$1:J4137,SUMPRODUCT(MAX(ROW(E$1:E4137)*(E4138=E$1:E4137)))))</f>
        <v> </v>
      </c>
      <c r="L4138" s="27"/>
    </row>
    <row r="4139" spans="1:12">
      <c r="A4139" s="20" t="s">
        <v>1238</v>
      </c>
      <c r="E4139" s="22">
        <f>IF(D4139="?OLD","!!!","")</f>
        <v/>
      </c>
      <c r="F4139" s="23" t="str">
        <f>IF(OR(E4139="",E4139="!!!"),"",IF(NOT(ISNA(VLOOKUP(E4139,E$1:E4138,1,FALSE()))),"OLD",IF(AND(E4139&lt;&gt;"",E4139&lt;&gt;"!!!"),"NEW","")))</f>
        <v> </v>
      </c>
      <c r="G4139" s="24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5" t="str">
        <f>IF(J4139&lt;&gt;1,"",IF(I4139="SBJ","CB","?"))</f>
        <v> </v>
      </c>
      <c r="I4139" s="26" t="str">
        <f>IF(OR(E4139="",E4139="!!!",F4139="NEW"),"",INDEX(B4138:B$2,-1+SUMPRODUCT(MAX(ROW(E4138:E$2)*(E4139=E4138:E$2)))))</f>
        <v> </v>
      </c>
      <c r="J4139" s="26" t="str">
        <f>IF(OR(E4139="",E4139="!!!",F4139="NEW"),"",COUNTBLANK(OFFSET(A$1,,,SUMPRODUCT(MAX(ROW(E$2:E4139)*(E4139=E$2:E4139)))))-COUNTBLANK(OFFSET(A$1,,,SUMPRODUCT(MAX(ROW(E$1:E4138)*(E2=E$1:E4138))))))</f>
        <v> </v>
      </c>
      <c r="K4139" s="26" t="str">
        <f>IF(OR(E4139="",E4139="!!!",F4139="NEW"),"",INDEX(J$1:J4138,SUMPRODUCT(MAX(ROW(E$1:E4138)*(E4139=E$1:E4138)))))</f>
        <v> </v>
      </c>
      <c r="L4139" s="27"/>
    </row>
    <row r="4140" spans="1:12">
      <c r="A4140" s="20" t="s">
        <v>1191</v>
      </c>
      <c r="B4140" s="21" t="s">
        <v>1077</v>
      </c>
      <c r="E4140" s="22">
        <f>IF(D4140="?OLD","!!!","")</f>
        <v/>
      </c>
      <c r="F4140" s="23" t="str">
        <f>IF(OR(E4140="",E4140="!!!"),"",IF(NOT(ISNA(VLOOKUP(E4140,E$1:E4139,1,FALSE()))),"OLD",IF(AND(E4140&lt;&gt;"",E4140&lt;&gt;"!!!"),"NEW","")))</f>
        <v> </v>
      </c>
      <c r="G4140" s="24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5" t="str">
        <f>IF(J4140&lt;&gt;1,"",IF(I4140="SBJ","CB","?"))</f>
        <v> </v>
      </c>
      <c r="I4140" s="26" t="str">
        <f>IF(OR(E4140="",E4140="!!!",F4140="NEW"),"",INDEX(B4139:B$2,-1+SUMPRODUCT(MAX(ROW(E4139:E$2)*(E4140=E4139:E$2)))))</f>
        <v> </v>
      </c>
      <c r="J4140" s="26" t="str">
        <f>IF(OR(E4140="",E4140="!!!",F4140="NEW"),"",COUNTBLANK(OFFSET(A$1,,,SUMPRODUCT(MAX(ROW(E$2:E4140)*(E4140=E$2:E4140)))))-COUNTBLANK(OFFSET(A$1,,,SUMPRODUCT(MAX(ROW(E$1:E4139)*(E2=E$1:E4139))))))</f>
        <v> </v>
      </c>
      <c r="K4140" s="26" t="str">
        <f>IF(OR(E4140="",E4140="!!!",F4140="NEW"),"",INDEX(J$1:J4139,SUMPRODUCT(MAX(ROW(E$1:E4139)*(E4140=E$1:E4139)))))</f>
        <v> </v>
      </c>
      <c r="L4140" s="27"/>
    </row>
    <row r="4141" spans="1:12">
      <c r="A4141" s="20" t="s">
        <v>2588</v>
      </c>
      <c r="E4141" s="22">
        <f>IF(D4141="?OLD","!!!","")</f>
        <v/>
      </c>
      <c r="F4141" s="23" t="str">
        <f>IF(OR(E4141="",E4141="!!!"),"",IF(NOT(ISNA(VLOOKUP(E4141,E$1:E4140,1,FALSE()))),"OLD",IF(AND(E4141&lt;&gt;"",E4141&lt;&gt;"!!!"),"NEW","")))</f>
        <v> </v>
      </c>
      <c r="G4141" s="24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5" t="str">
        <f>IF(J4141&lt;&gt;1,"",IF(I4141="SBJ","CB","?"))</f>
        <v> </v>
      </c>
      <c r="I4141" s="26" t="str">
        <f>IF(OR(E4141="",E4141="!!!",F4141="NEW"),"",INDEX(B4140:B$2,-1+SUMPRODUCT(MAX(ROW(E4140:E$2)*(E4141=E4140:E$2)))))</f>
        <v> </v>
      </c>
      <c r="J4141" s="26" t="str">
        <f>IF(OR(E4141="",E4141="!!!",F4141="NEW"),"",COUNTBLANK(OFFSET(A$1,,,SUMPRODUCT(MAX(ROW(E$2:E4141)*(E4141=E$2:E4141)))))-COUNTBLANK(OFFSET(A$1,,,SUMPRODUCT(MAX(ROW(E$1:E4140)*(E2=E$1:E4140))))))</f>
        <v> </v>
      </c>
      <c r="K4141" s="26" t="str">
        <f>IF(OR(E4141="",E4141="!!!",F4141="NEW"),"",INDEX(J$1:J4140,SUMPRODUCT(MAX(ROW(E$1:E4140)*(E4141=E$1:E4140)))))</f>
        <v> </v>
      </c>
      <c r="L4141" s="27"/>
    </row>
    <row r="4142" spans="1:12">
      <c r="A4142" s="20" t="s">
        <v>1085</v>
      </c>
      <c r="E4142" s="22">
        <f>IF(D4142="?OLD","!!!","")</f>
        <v/>
      </c>
      <c r="F4142" s="23" t="str">
        <f>IF(OR(E4142="",E4142="!!!"),"",IF(NOT(ISNA(VLOOKUP(E4142,E$1:E4141,1,FALSE()))),"OLD",IF(AND(E4142&lt;&gt;"",E4142&lt;&gt;"!!!"),"NEW","")))</f>
        <v> </v>
      </c>
      <c r="G4142" s="24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5" t="str">
        <f>IF(J4142&lt;&gt;1,"",IF(I4142="SBJ","CB","?"))</f>
        <v> </v>
      </c>
      <c r="I4142" s="26" t="str">
        <f>IF(OR(E4142="",E4142="!!!",F4142="NEW"),"",INDEX(B4141:B$2,-1+SUMPRODUCT(MAX(ROW(E4141:E$2)*(E4142=E4141:E$2)))))</f>
        <v> </v>
      </c>
      <c r="J4142" s="26" t="str">
        <f>IF(OR(E4142="",E4142="!!!",F4142="NEW"),"",COUNTBLANK(OFFSET(A$1,,,SUMPRODUCT(MAX(ROW(E$2:E4142)*(E4142=E$2:E4142)))))-COUNTBLANK(OFFSET(A$1,,,SUMPRODUCT(MAX(ROW(E$1:E4141)*(E2=E$1:E4141))))))</f>
        <v> </v>
      </c>
      <c r="K4142" s="26" t="str">
        <f>IF(OR(E4142="",E4142="!!!",F4142="NEW"),"",INDEX(J$1:J4141,SUMPRODUCT(MAX(ROW(E$1:E4141)*(E4142=E$1:E4141)))))</f>
        <v> </v>
      </c>
      <c r="L4142" s="27"/>
    </row>
    <row r="4143" spans="1:12">
      <c r="A4143" s="20" t="s">
        <v>1553</v>
      </c>
      <c r="E4143" s="22">
        <f>IF(D4143="?OLD","!!!","")</f>
        <v/>
      </c>
      <c r="F4143" s="23" t="str">
        <f>IF(OR(E4143="",E4143="!!!"),"",IF(NOT(ISNA(VLOOKUP(E4143,E$1:E4142,1,FALSE()))),"OLD",IF(AND(E4143&lt;&gt;"",E4143&lt;&gt;"!!!"),"NEW","")))</f>
        <v> </v>
      </c>
      <c r="G4143" s="24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5" t="str">
        <f>IF(J4143&lt;&gt;1,"",IF(I4143="SBJ","CB","?"))</f>
        <v> </v>
      </c>
      <c r="I4143" s="26" t="str">
        <f>IF(OR(E4143="",E4143="!!!",F4143="NEW"),"",INDEX(B4142:B$2,-1+SUMPRODUCT(MAX(ROW(E4142:E$2)*(E4143=E4142:E$2)))))</f>
        <v> </v>
      </c>
      <c r="J4143" s="26" t="str">
        <f>IF(OR(E4143="",E4143="!!!",F4143="NEW"),"",COUNTBLANK(OFFSET(A$1,,,SUMPRODUCT(MAX(ROW(E$2:E4143)*(E4143=E$2:E4143)))))-COUNTBLANK(OFFSET(A$1,,,SUMPRODUCT(MAX(ROW(E$1:E4142)*(E2=E$1:E4142))))))</f>
        <v> </v>
      </c>
      <c r="K4143" s="26" t="str">
        <f>IF(OR(E4143="",E4143="!!!",F4143="NEW"),"",INDEX(J$1:J4142,SUMPRODUCT(MAX(ROW(E$1:E4142)*(E4143=E$1:E4142)))))</f>
        <v> </v>
      </c>
      <c r="L4143" s="27"/>
    </row>
    <row r="4144" spans="1:12">
      <c r="A4144" s="20" t="s">
        <v>1079</v>
      </c>
      <c r="B4144" s="21" t="s">
        <v>1199</v>
      </c>
      <c r="C4144" s="21" t="s">
        <v>1081</v>
      </c>
      <c r="D4144" s="21" t="s">
        <v>1074</v>
      </c>
      <c r="E4144" s="22">
        <f>IF(D4144="?OLD","!!!","")</f>
        <v/>
      </c>
      <c r="F4144" s="23" t="str">
        <f>IF(OR(E4144="",E4144="!!!"),"",IF(NOT(ISNA(VLOOKUP(E4144,E$1:E4143,1,FALSE()))),"OLD",IF(AND(E4144&lt;&gt;"",E4144&lt;&gt;"!!!"),"NEW","")))</f>
        <v> </v>
      </c>
      <c r="G4144" s="24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5" t="str">
        <f>IF(J4144&lt;&gt;1,"",IF(I4144="SBJ","CB","?"))</f>
        <v> </v>
      </c>
      <c r="I4144" s="26" t="str">
        <f>IF(OR(E4144="",E4144="!!!",F4144="NEW"),"",INDEX(B4143:B$2,-1+SUMPRODUCT(MAX(ROW(E4143:E$2)*(E4144=E4143:E$2)))))</f>
        <v> </v>
      </c>
      <c r="J4144" s="26" t="str">
        <f>IF(OR(E4144="",E4144="!!!",F4144="NEW"),"",COUNTBLANK(OFFSET(A$1,,,SUMPRODUCT(MAX(ROW(E$2:E4144)*(E4144=E$2:E4144)))))-COUNTBLANK(OFFSET(A$1,,,SUMPRODUCT(MAX(ROW(E$1:E4143)*(E2=E$1:E4143))))))</f>
        <v> </v>
      </c>
      <c r="K4144" s="26" t="str">
        <f>IF(OR(E4144="",E4144="!!!",F4144="NEW"),"",INDEX(J$1:J4143,SUMPRODUCT(MAX(ROW(E$1:E4143)*(E4144=E$1:E4143)))))</f>
        <v> </v>
      </c>
      <c r="L4144" s="27"/>
    </row>
    <row r="4145" spans="1:12">
      <c r="A4145" s="20" t="s">
        <v>1492</v>
      </c>
      <c r="E4145" s="22">
        <f>IF(D4145="?OLD","!!!","")</f>
        <v/>
      </c>
      <c r="F4145" s="23" t="str">
        <f>IF(OR(E4145="",E4145="!!!"),"",IF(NOT(ISNA(VLOOKUP(E4145,E$1:E4144,1,FALSE()))),"OLD",IF(AND(E4145&lt;&gt;"",E4145&lt;&gt;"!!!"),"NEW","")))</f>
        <v> </v>
      </c>
      <c r="G4145" s="24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5" t="str">
        <f>IF(J4145&lt;&gt;1,"",IF(I4145="SBJ","CB","?"))</f>
        <v> </v>
      </c>
      <c r="I4145" s="26" t="str">
        <f>IF(OR(E4145="",E4145="!!!",F4145="NEW"),"",INDEX(B4144:B$2,-1+SUMPRODUCT(MAX(ROW(E4144:E$2)*(E4145=E4144:E$2)))))</f>
        <v> </v>
      </c>
      <c r="J4145" s="26" t="str">
        <f>IF(OR(E4145="",E4145="!!!",F4145="NEW"),"",COUNTBLANK(OFFSET(A$1,,,SUMPRODUCT(MAX(ROW(E$2:E4145)*(E4145=E$2:E4145)))))-COUNTBLANK(OFFSET(A$1,,,SUMPRODUCT(MAX(ROW(E$1:E4144)*(E2=E$1:E4144))))))</f>
        <v> </v>
      </c>
      <c r="K4145" s="26" t="str">
        <f>IF(OR(E4145="",E4145="!!!",F4145="NEW"),"",INDEX(J$1:J4144,SUMPRODUCT(MAX(ROW(E$1:E4144)*(E4145=E$1:E4144)))))</f>
        <v> </v>
      </c>
      <c r="L4145" s="27"/>
    </row>
    <row r="4146" spans="1:12">
      <c r="A4146" s="20" t="s">
        <v>1850</v>
      </c>
      <c r="E4146" s="22">
        <f>IF(D4146="?OLD","!!!","")</f>
        <v/>
      </c>
      <c r="F4146" s="23" t="str">
        <f>IF(OR(E4146="",E4146="!!!"),"",IF(NOT(ISNA(VLOOKUP(E4146,E$1:E4145,1,FALSE()))),"OLD",IF(AND(E4146&lt;&gt;"",E4146&lt;&gt;"!!!"),"NEW","")))</f>
        <v> </v>
      </c>
      <c r="G4146" s="24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5" t="str">
        <f>IF(J4146&lt;&gt;1,"",IF(I4146="SBJ","CB","?"))</f>
        <v> </v>
      </c>
      <c r="I4146" s="26" t="str">
        <f>IF(OR(E4146="",E4146="!!!",F4146="NEW"),"",INDEX(B4145:B$2,-1+SUMPRODUCT(MAX(ROW(E4145:E$2)*(E4146=E4145:E$2)))))</f>
        <v> </v>
      </c>
      <c r="J4146" s="26" t="str">
        <f>IF(OR(E4146="",E4146="!!!",F4146="NEW"),"",COUNTBLANK(OFFSET(A$1,,,SUMPRODUCT(MAX(ROW(E$2:E4146)*(E4146=E$2:E4146)))))-COUNTBLANK(OFFSET(A$1,,,SUMPRODUCT(MAX(ROW(E$1:E4145)*(E2=E$1:E4145))))))</f>
        <v> </v>
      </c>
      <c r="K4146" s="26" t="str">
        <f>IF(OR(E4146="",E4146="!!!",F4146="NEW"),"",INDEX(J$1:J4145,SUMPRODUCT(MAX(ROW(E$1:E4145)*(E4146=E$1:E4145)))))</f>
        <v> </v>
      </c>
      <c r="L4146" s="27"/>
    </row>
    <row r="4147" spans="1:12">
      <c r="A4147" s="20" t="s">
        <v>1085</v>
      </c>
      <c r="E4147" s="22">
        <f>IF(D4147="?OLD","!!!","")</f>
        <v/>
      </c>
      <c r="F4147" s="23" t="str">
        <f>IF(OR(E4147="",E4147="!!!"),"",IF(NOT(ISNA(VLOOKUP(E4147,E$1:E4146,1,FALSE()))),"OLD",IF(AND(E4147&lt;&gt;"",E4147&lt;&gt;"!!!"),"NEW","")))</f>
        <v> </v>
      </c>
      <c r="G4147" s="24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5" t="str">
        <f>IF(J4147&lt;&gt;1,"",IF(I4147="SBJ","CB","?"))</f>
        <v> </v>
      </c>
      <c r="I4147" s="26" t="str">
        <f>IF(OR(E4147="",E4147="!!!",F4147="NEW"),"",INDEX(B4146:B$2,-1+SUMPRODUCT(MAX(ROW(E4146:E$2)*(E4147=E4146:E$2)))))</f>
        <v> </v>
      </c>
      <c r="J4147" s="26" t="str">
        <f>IF(OR(E4147="",E4147="!!!",F4147="NEW"),"",COUNTBLANK(OFFSET(A$1,,,SUMPRODUCT(MAX(ROW(E$2:E4147)*(E4147=E$2:E4147)))))-COUNTBLANK(OFFSET(A$1,,,SUMPRODUCT(MAX(ROW(E$1:E4146)*(E2=E$1:E4146))))))</f>
        <v> </v>
      </c>
      <c r="K4147" s="26" t="str">
        <f>IF(OR(E4147="",E4147="!!!",F4147="NEW"),"",INDEX(J$1:J4146,SUMPRODUCT(MAX(ROW(E$1:E4146)*(E4147=E$1:E4146)))))</f>
        <v> </v>
      </c>
      <c r="L4147" s="27"/>
    </row>
    <row r="4148" spans="1:12">
      <c r="A4148" s="20" t="s">
        <v>1242</v>
      </c>
      <c r="E4148" s="22">
        <f>IF(D4148="?OLD","!!!","")</f>
        <v/>
      </c>
      <c r="F4148" s="23" t="str">
        <f>IF(OR(E4148="",E4148="!!!"),"",IF(NOT(ISNA(VLOOKUP(E4148,E$1:E4147,1,FALSE()))),"OLD",IF(AND(E4148&lt;&gt;"",E4148&lt;&gt;"!!!"),"NEW","")))</f>
        <v> </v>
      </c>
      <c r="G4148" s="24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5" t="str">
        <f>IF(J4148&lt;&gt;1,"",IF(I4148="SBJ","CB","?"))</f>
        <v> </v>
      </c>
      <c r="I4148" s="26" t="str">
        <f>IF(OR(E4148="",E4148="!!!",F4148="NEW"),"",INDEX(B4147:B$2,-1+SUMPRODUCT(MAX(ROW(E4147:E$2)*(E4148=E4147:E$2)))))</f>
        <v> </v>
      </c>
      <c r="J4148" s="26" t="str">
        <f>IF(OR(E4148="",E4148="!!!",F4148="NEW"),"",COUNTBLANK(OFFSET(A$1,,,SUMPRODUCT(MAX(ROW(E$2:E4148)*(E4148=E$2:E4148)))))-COUNTBLANK(OFFSET(A$1,,,SUMPRODUCT(MAX(ROW(E$1:E4147)*(E2=E$1:E4147))))))</f>
        <v> </v>
      </c>
      <c r="K4148" s="26" t="str">
        <f>IF(OR(E4148="",E4148="!!!",F4148="NEW"),"",INDEX(J$1:J4147,SUMPRODUCT(MAX(ROW(E$1:E4147)*(E4148=E$1:E4147)))))</f>
        <v> </v>
      </c>
      <c r="L4148" s="27"/>
    </row>
    <row r="4149" spans="1:12">
      <c r="A4149" s="20" t="s">
        <v>1087</v>
      </c>
      <c r="B4149" s="21" t="s">
        <v>1088</v>
      </c>
      <c r="C4149" s="21" t="s">
        <v>1081</v>
      </c>
      <c r="D4149" s="21" t="s">
        <v>1074</v>
      </c>
      <c r="E4149" s="22">
        <f>IF(D4149="?OLD","!!!","")</f>
        <v/>
      </c>
      <c r="F4149" s="23" t="str">
        <f>IF(OR(E4149="",E4149="!!!"),"",IF(NOT(ISNA(VLOOKUP(E4149,E$1:E4148,1,FALSE()))),"OLD",IF(AND(E4149&lt;&gt;"",E4149&lt;&gt;"!!!"),"NEW","")))</f>
        <v> </v>
      </c>
      <c r="G4149" s="24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5" t="str">
        <f>IF(J4149&lt;&gt;1,"",IF(I4149="SBJ","CB","?"))</f>
        <v> </v>
      </c>
      <c r="I4149" s="26" t="str">
        <f>IF(OR(E4149="",E4149="!!!",F4149="NEW"),"",INDEX(B4148:B$2,-1+SUMPRODUCT(MAX(ROW(E4148:E$2)*(E4149=E4148:E$2)))))</f>
        <v> </v>
      </c>
      <c r="J4149" s="26" t="str">
        <f>IF(OR(E4149="",E4149="!!!",F4149="NEW"),"",COUNTBLANK(OFFSET(A$1,,,SUMPRODUCT(MAX(ROW(E$2:E4149)*(E4149=E$2:E4149)))))-COUNTBLANK(OFFSET(A$1,,,SUMPRODUCT(MAX(ROW(E$1:E4148)*(E2=E$1:E4148))))))</f>
        <v> </v>
      </c>
      <c r="K4149" s="26" t="str">
        <f>IF(OR(E4149="",E4149="!!!",F4149="NEW"),"",INDEX(J$1:J4148,SUMPRODUCT(MAX(ROW(E$1:E4148)*(E4149=E$1:E4148)))))</f>
        <v> </v>
      </c>
      <c r="L4149" s="27"/>
    </row>
    <row r="4150" spans="1:12">
      <c r="A4150" s="20" t="s">
        <v>2615</v>
      </c>
      <c r="E4150" s="22">
        <f>IF(D4150="?OLD","!!!","")</f>
        <v/>
      </c>
      <c r="F4150" s="23" t="str">
        <f>IF(OR(E4150="",E4150="!!!"),"",IF(NOT(ISNA(VLOOKUP(E4150,E$1:E4149,1,FALSE()))),"OLD",IF(AND(E4150&lt;&gt;"",E4150&lt;&gt;"!!!"),"NEW","")))</f>
        <v> </v>
      </c>
      <c r="G4150" s="24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5" t="str">
        <f>IF(J4150&lt;&gt;1,"",IF(I4150="SBJ","CB","?"))</f>
        <v> </v>
      </c>
      <c r="I4150" s="26" t="str">
        <f>IF(OR(E4150="",E4150="!!!",F4150="NEW"),"",INDEX(B4149:B$2,-1+SUMPRODUCT(MAX(ROW(E4149:E$2)*(E4150=E4149:E$2)))))</f>
        <v> </v>
      </c>
      <c r="J4150" s="26" t="str">
        <f>IF(OR(E4150="",E4150="!!!",F4150="NEW"),"",COUNTBLANK(OFFSET(A$1,,,SUMPRODUCT(MAX(ROW(E$2:E4150)*(E4150=E$2:E4150)))))-COUNTBLANK(OFFSET(A$1,,,SUMPRODUCT(MAX(ROW(E$1:E4149)*(E2=E$1:E4149))))))</f>
        <v> </v>
      </c>
      <c r="K4150" s="26" t="str">
        <f>IF(OR(E4150="",E4150="!!!",F4150="NEW"),"",INDEX(J$1:J4149,SUMPRODUCT(MAX(ROW(E$1:E4149)*(E4150=E$1:E4149)))))</f>
        <v> </v>
      </c>
      <c r="L4150" s="27"/>
    </row>
    <row r="4151" spans="1:12">
      <c r="A4151" s="20" t="s">
        <v>2090</v>
      </c>
      <c r="E4151" s="22">
        <f>IF(D4151="?OLD","!!!","")</f>
        <v/>
      </c>
      <c r="F4151" s="23" t="str">
        <f>IF(OR(E4151="",E4151="!!!"),"",IF(NOT(ISNA(VLOOKUP(E4151,E$1:E4150,1,FALSE()))),"OLD",IF(AND(E4151&lt;&gt;"",E4151&lt;&gt;"!!!"),"NEW","")))</f>
        <v> </v>
      </c>
      <c r="G4151" s="24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5" t="str">
        <f>IF(J4151&lt;&gt;1,"",IF(I4151="SBJ","CB","?"))</f>
        <v> </v>
      </c>
      <c r="I4151" s="26" t="str">
        <f>IF(OR(E4151="",E4151="!!!",F4151="NEW"),"",INDEX(B4150:B$2,-1+SUMPRODUCT(MAX(ROW(E4150:E$2)*(E4151=E4150:E$2)))))</f>
        <v> </v>
      </c>
      <c r="J4151" s="26" t="str">
        <f>IF(OR(E4151="",E4151="!!!",F4151="NEW"),"",COUNTBLANK(OFFSET(A$1,,,SUMPRODUCT(MAX(ROW(E$2:E4151)*(E4151=E$2:E4151)))))-COUNTBLANK(OFFSET(A$1,,,SUMPRODUCT(MAX(ROW(E$1:E4150)*(E2=E$1:E4150))))))</f>
        <v> </v>
      </c>
      <c r="K4151" s="26" t="str">
        <f>IF(OR(E4151="",E4151="!!!",F4151="NEW"),"",INDEX(J$1:J4150,SUMPRODUCT(MAX(ROW(E$1:E4150)*(E4151=E$1:E4150)))))</f>
        <v> </v>
      </c>
      <c r="L4151" s="27"/>
    </row>
    <row r="4152" spans="1:12">
      <c r="A4152" s="20" t="s">
        <v>1085</v>
      </c>
      <c r="E4152" s="22">
        <f>IF(D4152="?OLD","!!!","")</f>
        <v/>
      </c>
      <c r="F4152" s="23" t="str">
        <f>IF(OR(E4152="",E4152="!!!"),"",IF(NOT(ISNA(VLOOKUP(E4152,E$1:E4151,1,FALSE()))),"OLD",IF(AND(E4152&lt;&gt;"",E4152&lt;&gt;"!!!"),"NEW","")))</f>
        <v> </v>
      </c>
      <c r="G4152" s="24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5" t="str">
        <f>IF(J4152&lt;&gt;1,"",IF(I4152="SBJ","CB","?"))</f>
        <v> </v>
      </c>
      <c r="I4152" s="26" t="str">
        <f>IF(OR(E4152="",E4152="!!!",F4152="NEW"),"",INDEX(B4151:B$2,-1+SUMPRODUCT(MAX(ROW(E4151:E$2)*(E4152=E4151:E$2)))))</f>
        <v> </v>
      </c>
      <c r="J4152" s="26" t="str">
        <f>IF(OR(E4152="",E4152="!!!",F4152="NEW"),"",COUNTBLANK(OFFSET(A$1,,,SUMPRODUCT(MAX(ROW(E$2:E4152)*(E4152=E$2:E4152)))))-COUNTBLANK(OFFSET(A$1,,,SUMPRODUCT(MAX(ROW(E$1:E4151)*(E2=E$1:E4151))))))</f>
        <v> </v>
      </c>
      <c r="K4152" s="26" t="str">
        <f>IF(OR(E4152="",E4152="!!!",F4152="NEW"),"",INDEX(J$1:J4151,SUMPRODUCT(MAX(ROW(E$1:E4151)*(E4152=E$1:E4151)))))</f>
        <v> </v>
      </c>
      <c r="L4152" s="27"/>
    </row>
    <row r="4153" spans="1:12">
      <c r="A4153" s="20" t="s">
        <v>1179</v>
      </c>
      <c r="E4153" s="22">
        <f>IF(D4153="?OLD","!!!","")</f>
        <v/>
      </c>
      <c r="F4153" s="23" t="str">
        <f>IF(OR(E4153="",E4153="!!!"),"",IF(NOT(ISNA(VLOOKUP(E4153,E$1:E4152,1,FALSE()))),"OLD",IF(AND(E4153&lt;&gt;"",E4153&lt;&gt;"!!!"),"NEW","")))</f>
        <v> </v>
      </c>
      <c r="G4153" s="24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5" t="str">
        <f>IF(J4153&lt;&gt;1,"",IF(I4153="SBJ","CB","?"))</f>
        <v> </v>
      </c>
      <c r="I4153" s="26" t="str">
        <f>IF(OR(E4153="",E4153="!!!",F4153="NEW"),"",INDEX(B4152:B$2,-1+SUMPRODUCT(MAX(ROW(E4152:E$2)*(E4153=E4152:E$2)))))</f>
        <v> </v>
      </c>
      <c r="J4153" s="26" t="str">
        <f>IF(OR(E4153="",E4153="!!!",F4153="NEW"),"",COUNTBLANK(OFFSET(A$1,,,SUMPRODUCT(MAX(ROW(E$2:E4153)*(E4153=E$2:E4153)))))-COUNTBLANK(OFFSET(A$1,,,SUMPRODUCT(MAX(ROW(E$1:E4152)*(E2=E$1:E4152))))))</f>
        <v> </v>
      </c>
      <c r="K4153" s="26" t="str">
        <f>IF(OR(E4153="",E4153="!!!",F4153="NEW"),"",INDEX(J$1:J4152,SUMPRODUCT(MAX(ROW(E$1:E4152)*(E4153=E$1:E4152)))))</f>
        <v> </v>
      </c>
      <c r="L4153" s="27"/>
    </row>
    <row r="4154" spans="1:12">
      <c r="A4154" s="20" t="s">
        <v>1087</v>
      </c>
      <c r="B4154" s="21" t="s">
        <v>1291</v>
      </c>
      <c r="C4154" s="21" t="s">
        <v>1081</v>
      </c>
      <c r="D4154" s="21" t="s">
        <v>1074</v>
      </c>
      <c r="E4154" s="22">
        <f>IF(D4154="?OLD","!!!","")</f>
        <v/>
      </c>
      <c r="F4154" s="23" t="str">
        <f>IF(OR(E4154="",E4154="!!!"),"",IF(NOT(ISNA(VLOOKUP(E4154,E$1:E4153,1,FALSE()))),"OLD",IF(AND(E4154&lt;&gt;"",E4154&lt;&gt;"!!!"),"NEW","")))</f>
        <v> </v>
      </c>
      <c r="G4154" s="24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5" t="str">
        <f>IF(J4154&lt;&gt;1,"",IF(I4154="SBJ","CB","?"))</f>
        <v> </v>
      </c>
      <c r="I4154" s="26" t="str">
        <f>IF(OR(E4154="",E4154="!!!",F4154="NEW"),"",INDEX(B4153:B$2,-1+SUMPRODUCT(MAX(ROW(E4153:E$2)*(E4154=E4153:E$2)))))</f>
        <v> </v>
      </c>
      <c r="J4154" s="26" t="str">
        <f>IF(OR(E4154="",E4154="!!!",F4154="NEW"),"",COUNTBLANK(OFFSET(A$1,,,SUMPRODUCT(MAX(ROW(E$2:E4154)*(E4154=E$2:E4154)))))-COUNTBLANK(OFFSET(A$1,,,SUMPRODUCT(MAX(ROW(E$1:E4153)*(E2=E$1:E4153))))))</f>
        <v> </v>
      </c>
      <c r="K4154" s="26" t="str">
        <f>IF(OR(E4154="",E4154="!!!",F4154="NEW"),"",INDEX(J$1:J4153,SUMPRODUCT(MAX(ROW(E$1:E4153)*(E4154=E$1:E4153)))))</f>
        <v> </v>
      </c>
      <c r="L4154" s="27"/>
    </row>
    <row r="4155" spans="1:12">
      <c r="A4155" s="20" t="s">
        <v>2616</v>
      </c>
      <c r="E4155" s="22">
        <f>IF(D4155="?OLD","!!!","")</f>
        <v/>
      </c>
      <c r="F4155" s="23" t="str">
        <f>IF(OR(E4155="",E4155="!!!"),"",IF(NOT(ISNA(VLOOKUP(E4155,E$1:E4154,1,FALSE()))),"OLD",IF(AND(E4155&lt;&gt;"",E4155&lt;&gt;"!!!"),"NEW","")))</f>
        <v> </v>
      </c>
      <c r="G4155" s="24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5" t="str">
        <f>IF(J4155&lt;&gt;1,"",IF(I4155="SBJ","CB","?"))</f>
        <v> </v>
      </c>
      <c r="I4155" s="26" t="str">
        <f>IF(OR(E4155="",E4155="!!!",F4155="NEW"),"",INDEX(B4154:B$2,-1+SUMPRODUCT(MAX(ROW(E4154:E$2)*(E4155=E4154:E$2)))))</f>
        <v> </v>
      </c>
      <c r="J4155" s="26" t="str">
        <f>IF(OR(E4155="",E4155="!!!",F4155="NEW"),"",COUNTBLANK(OFFSET(A$1,,,SUMPRODUCT(MAX(ROW(E$2:E4155)*(E4155=E$2:E4155)))))-COUNTBLANK(OFFSET(A$1,,,SUMPRODUCT(MAX(ROW(E$1:E4154)*(E2=E$1:E4154))))))</f>
        <v> </v>
      </c>
      <c r="K4155" s="26" t="str">
        <f>IF(OR(E4155="",E4155="!!!",F4155="NEW"),"",INDEX(J$1:J4154,SUMPRODUCT(MAX(ROW(E$1:E4154)*(E4155=E$1:E4154)))))</f>
        <v> </v>
      </c>
      <c r="L4155" s="27"/>
    </row>
    <row r="4156" spans="1:12">
      <c r="A4156" s="20" t="s">
        <v>1106</v>
      </c>
      <c r="E4156" s="22">
        <f>IF(D4156="?OLD","!!!","")</f>
        <v/>
      </c>
      <c r="F4156" s="23" t="str">
        <f>IF(OR(E4156="",E4156="!!!"),"",IF(NOT(ISNA(VLOOKUP(E4156,E$1:E4155,1,FALSE()))),"OLD",IF(AND(E4156&lt;&gt;"",E4156&lt;&gt;"!!!"),"NEW","")))</f>
        <v> </v>
      </c>
      <c r="G4156" s="24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5" t="str">
        <f>IF(J4156&lt;&gt;1,"",IF(I4156="SBJ","CB","?"))</f>
        <v> </v>
      </c>
      <c r="I4156" s="26" t="str">
        <f>IF(OR(E4156="",E4156="!!!",F4156="NEW"),"",INDEX(B4155:B$2,-1+SUMPRODUCT(MAX(ROW(E4155:E$2)*(E4156=E4155:E$2)))))</f>
        <v> </v>
      </c>
      <c r="J4156" s="26" t="str">
        <f>IF(OR(E4156="",E4156="!!!",F4156="NEW"),"",COUNTBLANK(OFFSET(A$1,,,SUMPRODUCT(MAX(ROW(E$2:E4156)*(E4156=E$2:E4156)))))-COUNTBLANK(OFFSET(A$1,,,SUMPRODUCT(MAX(ROW(E$1:E4155)*(E2=E$1:E4155))))))</f>
        <v> </v>
      </c>
      <c r="K4156" s="26" t="str">
        <f>IF(OR(E4156="",E4156="!!!",F4156="NEW"),"",INDEX(J$1:J4155,SUMPRODUCT(MAX(ROW(E$1:E4155)*(E4156=E$1:E4155)))))</f>
        <v> </v>
      </c>
      <c r="L4156" s="27"/>
    </row>
    <row r="4157" spans="1:12">
      <c r="A4157" s="20"/>
    </row>
    <row r="4158" spans="1:12">
      <c r="A4158" s="20" t="s">
        <v>2617</v>
      </c>
    </row>
    <row r="4159" spans="1:12">
      <c r="A4159" s="20" t="s">
        <v>1132</v>
      </c>
      <c r="B4159" s="21" t="s">
        <v>1072</v>
      </c>
      <c r="C4159" s="21" t="s">
        <v>1073</v>
      </c>
      <c r="D4159" s="21" t="s">
        <v>1074</v>
      </c>
      <c r="E4159" s="22">
        <f>IF(D4159="?OLD","!!!","")</f>
        <v/>
      </c>
      <c r="F4159" s="23" t="str">
        <f>IF(OR(E4159="",E4159="!!!"),"",IF(NOT(ISNA(VLOOKUP(E4159,E$1:E4158,1,FALSE()))),"OLD",IF(AND(E4159&lt;&gt;"",E4159&lt;&gt;"!!!"),"NEW","")))</f>
        <v> </v>
      </c>
      <c r="G4159" s="24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5" t="str">
        <f>IF(J4159&lt;&gt;1,"",IF(I4159="SBJ","CB","?"))</f>
        <v> </v>
      </c>
      <c r="I4159" s="26" t="str">
        <f>IF(OR(E4159="",E4159="!!!",F4159="NEW"),"",INDEX(B4158:B$2,-1+SUMPRODUCT(MAX(ROW(E4158:E$2)*(E4159=E4158:E$2)))))</f>
        <v> </v>
      </c>
      <c r="J4159" s="26" t="str">
        <f>IF(OR(E4159="",E4159="!!!",F4159="NEW"),"",COUNTBLANK(OFFSET(A$1,,,SUMPRODUCT(MAX(ROW(E$2:E4159)*(E4159=E$2:E4159)))))-COUNTBLANK(OFFSET(A$1,,,SUMPRODUCT(MAX(ROW(E$1:E4158)*(E2=E$1:E4158))))))</f>
        <v> </v>
      </c>
      <c r="K4159" s="26" t="str">
        <f>IF(OR(E4159="",E4159="!!!",F4159="NEW"),"",INDEX(J$1:J4158,SUMPRODUCT(MAX(ROW(E$1:E4158)*(E4159=E$1:E4158)))))</f>
        <v> </v>
      </c>
      <c r="L4159" s="27"/>
    </row>
    <row r="4160" spans="1:12">
      <c r="A4160" s="20" t="s">
        <v>1076</v>
      </c>
      <c r="E4160" s="22">
        <f>IF(D4160="?OLD","!!!","")</f>
        <v/>
      </c>
      <c r="F4160" s="23" t="str">
        <f>IF(OR(E4160="",E4160="!!!"),"",IF(NOT(ISNA(VLOOKUP(E4160,E$1:E4159,1,FALSE()))),"OLD",IF(AND(E4160&lt;&gt;"",E4160&lt;&gt;"!!!"),"NEW","")))</f>
        <v> </v>
      </c>
      <c r="G4160" s="24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5" t="str">
        <f>IF(J4160&lt;&gt;1,"",IF(I4160="SBJ","CB","?"))</f>
        <v> </v>
      </c>
      <c r="I4160" s="26" t="str">
        <f>IF(OR(E4160="",E4160="!!!",F4160="NEW"),"",INDEX(B4159:B$2,-1+SUMPRODUCT(MAX(ROW(E4159:E$2)*(E4160=E4159:E$2)))))</f>
        <v> </v>
      </c>
      <c r="J4160" s="26" t="str">
        <f>IF(OR(E4160="",E4160="!!!",F4160="NEW"),"",COUNTBLANK(OFFSET(A$1,,,SUMPRODUCT(MAX(ROW(E$2:E4160)*(E4160=E$2:E4160)))))-COUNTBLANK(OFFSET(A$1,,,SUMPRODUCT(MAX(ROW(E$1:E4159)*(E2=E$1:E4159))))))</f>
        <v> </v>
      </c>
      <c r="K4160" s="26" t="str">
        <f>IF(OR(E4160="",E4160="!!!",F4160="NEW"),"",INDEX(J$1:J4159,SUMPRODUCT(MAX(ROW(E$1:E4159)*(E4160=E$1:E4159)))))</f>
        <v> </v>
      </c>
      <c r="L4160" s="27"/>
    </row>
    <row r="4161" spans="1:12">
      <c r="A4161" s="20" t="s">
        <v>1261</v>
      </c>
      <c r="E4161" s="22">
        <f>IF(D4161="?OLD","!!!","")</f>
        <v/>
      </c>
      <c r="F4161" s="23" t="str">
        <f>IF(OR(E4161="",E4161="!!!"),"",IF(NOT(ISNA(VLOOKUP(E4161,E$1:E4160,1,FALSE()))),"OLD",IF(AND(E4161&lt;&gt;"",E4161&lt;&gt;"!!!"),"NEW","")))</f>
        <v> </v>
      </c>
      <c r="G4161" s="24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5" t="str">
        <f>IF(J4161&lt;&gt;1,"",IF(I4161="SBJ","CB","?"))</f>
        <v> </v>
      </c>
      <c r="I4161" s="26" t="str">
        <f>IF(OR(E4161="",E4161="!!!",F4161="NEW"),"",INDEX(B4160:B$2,-1+SUMPRODUCT(MAX(ROW(E4160:E$2)*(E4161=E4160:E$2)))))</f>
        <v> </v>
      </c>
      <c r="J4161" s="26" t="str">
        <f>IF(OR(E4161="",E4161="!!!",F4161="NEW"),"",COUNTBLANK(OFFSET(A$1,,,SUMPRODUCT(MAX(ROW(E$2:E4161)*(E4161=E$2:E4161)))))-COUNTBLANK(OFFSET(A$1,,,SUMPRODUCT(MAX(ROW(E$1:E4160)*(E2=E$1:E4160))))))</f>
        <v> </v>
      </c>
      <c r="K4161" s="26" t="str">
        <f>IF(OR(E4161="",E4161="!!!",F4161="NEW"),"",INDEX(J$1:J4160,SUMPRODUCT(MAX(ROW(E$1:E4160)*(E4161=E$1:E4160)))))</f>
        <v> </v>
      </c>
      <c r="L4161" s="27"/>
    </row>
    <row r="4162" spans="1:12">
      <c r="A4162" s="20" t="s">
        <v>1118</v>
      </c>
      <c r="B4162" s="21" t="s">
        <v>1119</v>
      </c>
      <c r="C4162" s="21" t="s">
        <v>1081</v>
      </c>
      <c r="D4162" s="21" t="s">
        <v>1074</v>
      </c>
      <c r="E4162" s="22">
        <f>IF(D4162="?OLD","!!!","")</f>
        <v/>
      </c>
      <c r="F4162" s="23" t="str">
        <f>IF(OR(E4162="",E4162="!!!"),"",IF(NOT(ISNA(VLOOKUP(E4162,E$1:E4161,1,FALSE()))),"OLD",IF(AND(E4162&lt;&gt;"",E4162&lt;&gt;"!!!"),"NEW","")))</f>
        <v> </v>
      </c>
      <c r="G4162" s="24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5" t="str">
        <f>IF(J4162&lt;&gt;1,"",IF(I4162="SBJ","CB","?"))</f>
        <v> </v>
      </c>
      <c r="I4162" s="26" t="str">
        <f>IF(OR(E4162="",E4162="!!!",F4162="NEW"),"",INDEX(B4161:B$2,-1+SUMPRODUCT(MAX(ROW(E4161:E$2)*(E4162=E4161:E$2)))))</f>
        <v> </v>
      </c>
      <c r="J4162" s="26" t="str">
        <f>IF(OR(E4162="",E4162="!!!",F4162="NEW"),"",COUNTBLANK(OFFSET(A$1,,,SUMPRODUCT(MAX(ROW(E$2:E4162)*(E4162=E$2:E4162)))))-COUNTBLANK(OFFSET(A$1,,,SUMPRODUCT(MAX(ROW(E$1:E4161)*(E2=E$1:E4161))))))</f>
        <v> </v>
      </c>
      <c r="K4162" s="26" t="str">
        <f>IF(OR(E4162="",E4162="!!!",F4162="NEW"),"",INDEX(J$1:J4161,SUMPRODUCT(MAX(ROW(E$1:E4161)*(E4162=E$1:E4161)))))</f>
        <v> </v>
      </c>
      <c r="L4162" s="27"/>
    </row>
    <row r="4163" spans="1:12">
      <c r="A4163" s="20" t="s">
        <v>2618</v>
      </c>
      <c r="E4163" s="22">
        <f>IF(D4163="?OLD","!!!","")</f>
        <v/>
      </c>
      <c r="F4163" s="23" t="str">
        <f>IF(OR(E4163="",E4163="!!!"),"",IF(NOT(ISNA(VLOOKUP(E4163,E$1:E4162,1,FALSE()))),"OLD",IF(AND(E4163&lt;&gt;"",E4163&lt;&gt;"!!!"),"NEW","")))</f>
        <v> </v>
      </c>
      <c r="G4163" s="24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5" t="str">
        <f>IF(J4163&lt;&gt;1,"",IF(I4163="SBJ","CB","?"))</f>
        <v> </v>
      </c>
      <c r="I4163" s="26" t="str">
        <f>IF(OR(E4163="",E4163="!!!",F4163="NEW"),"",INDEX(B4162:B$2,-1+SUMPRODUCT(MAX(ROW(E4162:E$2)*(E4163=E4162:E$2)))))</f>
        <v> </v>
      </c>
      <c r="J4163" s="26" t="str">
        <f>IF(OR(E4163="",E4163="!!!",F4163="NEW"),"",COUNTBLANK(OFFSET(A$1,,,SUMPRODUCT(MAX(ROW(E$2:E4163)*(E4163=E$2:E4163)))))-COUNTBLANK(OFFSET(A$1,,,SUMPRODUCT(MAX(ROW(E$1:E4162)*(E2=E$1:E4162))))))</f>
        <v> </v>
      </c>
      <c r="K4163" s="26" t="str">
        <f>IF(OR(E4163="",E4163="!!!",F4163="NEW"),"",INDEX(J$1:J4162,SUMPRODUCT(MAX(ROW(E$1:E4162)*(E4163=E$1:E4162)))))</f>
        <v> </v>
      </c>
      <c r="L4163" s="27"/>
    </row>
    <row r="4164" spans="1:12">
      <c r="A4164" s="20" t="s">
        <v>2619</v>
      </c>
      <c r="B4164" s="21" t="s">
        <v>1199</v>
      </c>
      <c r="E4164" s="22">
        <f>IF(D4164="?OLD","!!!","")</f>
        <v/>
      </c>
      <c r="F4164" s="23" t="str">
        <f>IF(OR(E4164="",E4164="!!!"),"",IF(NOT(ISNA(VLOOKUP(E4164,E$1:E4163,1,FALSE()))),"OLD",IF(AND(E4164&lt;&gt;"",E4164&lt;&gt;"!!!"),"NEW","")))</f>
        <v> </v>
      </c>
      <c r="G4164" s="24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5" t="str">
        <f>IF(J4164&lt;&gt;1,"",IF(I4164="SBJ","CB","?"))</f>
        <v> </v>
      </c>
      <c r="I4164" s="26" t="str">
        <f>IF(OR(E4164="",E4164="!!!",F4164="NEW"),"",INDEX(B4163:B$2,-1+SUMPRODUCT(MAX(ROW(E4163:E$2)*(E4164=E4163:E$2)))))</f>
        <v> </v>
      </c>
      <c r="J4164" s="26" t="str">
        <f>IF(OR(E4164="",E4164="!!!",F4164="NEW"),"",COUNTBLANK(OFFSET(A$1,,,SUMPRODUCT(MAX(ROW(E$2:E4164)*(E4164=E$2:E4164)))))-COUNTBLANK(OFFSET(A$1,,,SUMPRODUCT(MAX(ROW(E$1:E4163)*(E2=E$1:E4163))))))</f>
        <v> </v>
      </c>
      <c r="K4164" s="26" t="str">
        <f>IF(OR(E4164="",E4164="!!!",F4164="NEW"),"",INDEX(J$1:J4163,SUMPRODUCT(MAX(ROW(E$1:E4163)*(E4164=E$1:E4163)))))</f>
        <v> </v>
      </c>
      <c r="L4164" s="27"/>
    </row>
    <row r="4165" spans="1:12">
      <c r="A4165" s="20" t="s">
        <v>1085</v>
      </c>
      <c r="E4165" s="22">
        <f>IF(D4165="?OLD","!!!","")</f>
        <v/>
      </c>
      <c r="F4165" s="23" t="str">
        <f>IF(OR(E4165="",E4165="!!!"),"",IF(NOT(ISNA(VLOOKUP(E4165,E$1:E4164,1,FALSE()))),"OLD",IF(AND(E4165&lt;&gt;"",E4165&lt;&gt;"!!!"),"NEW","")))</f>
        <v> </v>
      </c>
      <c r="G4165" s="24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5" t="str">
        <f>IF(J4165&lt;&gt;1,"",IF(I4165="SBJ","CB","?"))</f>
        <v> </v>
      </c>
      <c r="I4165" s="26" t="str">
        <f>IF(OR(E4165="",E4165="!!!",F4165="NEW"),"",INDEX(B4164:B$2,-1+SUMPRODUCT(MAX(ROW(E4164:E$2)*(E4165=E4164:E$2)))))</f>
        <v> </v>
      </c>
      <c r="J4165" s="26" t="str">
        <f>IF(OR(E4165="",E4165="!!!",F4165="NEW"),"",COUNTBLANK(OFFSET(A$1,,,SUMPRODUCT(MAX(ROW(E$2:E4165)*(E4165=E$2:E4165)))))-COUNTBLANK(OFFSET(A$1,,,SUMPRODUCT(MAX(ROW(E$1:E4164)*(E2=E$1:E4164))))))</f>
        <v> </v>
      </c>
      <c r="K4165" s="26" t="str">
        <f>IF(OR(E4165="",E4165="!!!",F4165="NEW"),"",INDEX(J$1:J4164,SUMPRODUCT(MAX(ROW(E$1:E4164)*(E4165=E$1:E4164)))))</f>
        <v> </v>
      </c>
      <c r="L4165" s="27"/>
    </row>
    <row r="4166" spans="1:12">
      <c r="A4166" s="20" t="s">
        <v>1118</v>
      </c>
      <c r="B4166" s="21" t="s">
        <v>1077</v>
      </c>
      <c r="C4166" s="21" t="s">
        <v>1081</v>
      </c>
      <c r="D4166" s="21" t="s">
        <v>1074</v>
      </c>
      <c r="E4166" s="22">
        <f>IF(D4166="?OLD","!!!","")</f>
        <v/>
      </c>
      <c r="F4166" s="23" t="str">
        <f>IF(OR(E4166="",E4166="!!!"),"",IF(NOT(ISNA(VLOOKUP(E4166,E$1:E4165,1,FALSE()))),"OLD",IF(AND(E4166&lt;&gt;"",E4166&lt;&gt;"!!!"),"NEW","")))</f>
        <v> </v>
      </c>
      <c r="G4166" s="24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5" t="str">
        <f>IF(J4166&lt;&gt;1,"",IF(I4166="SBJ","CB","?"))</f>
        <v> </v>
      </c>
      <c r="I4166" s="26" t="str">
        <f>IF(OR(E4166="",E4166="!!!",F4166="NEW"),"",INDEX(B4165:B$2,-1+SUMPRODUCT(MAX(ROW(E4165:E$2)*(E4166=E4165:E$2)))))</f>
        <v> </v>
      </c>
      <c r="J4166" s="26" t="str">
        <f>IF(OR(E4166="",E4166="!!!",F4166="NEW"),"",COUNTBLANK(OFFSET(A$1,,,SUMPRODUCT(MAX(ROW(E$2:E4166)*(E4166=E$2:E4166)))))-COUNTBLANK(OFFSET(A$1,,,SUMPRODUCT(MAX(ROW(E$1:E4165)*(E2=E$1:E4165))))))</f>
        <v> </v>
      </c>
      <c r="K4166" s="26" t="str">
        <f>IF(OR(E4166="",E4166="!!!",F4166="NEW"),"",INDEX(J$1:J4165,SUMPRODUCT(MAX(ROW(E$1:E4165)*(E4166=E$1:E4165)))))</f>
        <v> </v>
      </c>
      <c r="L4166" s="27"/>
    </row>
    <row r="4167" spans="1:12">
      <c r="A4167" s="20" t="s">
        <v>2156</v>
      </c>
      <c r="E4167" s="22">
        <f>IF(D4167="?OLD","!!!","")</f>
        <v/>
      </c>
      <c r="F4167" s="23" t="str">
        <f>IF(OR(E4167="",E4167="!!!"),"",IF(NOT(ISNA(VLOOKUP(E4167,E$1:E4166,1,FALSE()))),"OLD",IF(AND(E4167&lt;&gt;"",E4167&lt;&gt;"!!!"),"NEW","")))</f>
        <v> </v>
      </c>
      <c r="G4167" s="24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5" t="str">
        <f>IF(J4167&lt;&gt;1,"",IF(I4167="SBJ","CB","?"))</f>
        <v> </v>
      </c>
      <c r="I4167" s="26" t="str">
        <f>IF(OR(E4167="",E4167="!!!",F4167="NEW"),"",INDEX(B4166:B$2,-1+SUMPRODUCT(MAX(ROW(E4166:E$2)*(E4167=E4166:E$2)))))</f>
        <v> </v>
      </c>
      <c r="J4167" s="26" t="str">
        <f>IF(OR(E4167="",E4167="!!!",F4167="NEW"),"",COUNTBLANK(OFFSET(A$1,,,SUMPRODUCT(MAX(ROW(E$2:E4167)*(E4167=E$2:E4167)))))-COUNTBLANK(OFFSET(A$1,,,SUMPRODUCT(MAX(ROW(E$1:E4166)*(E2=E$1:E4166))))))</f>
        <v> </v>
      </c>
      <c r="K4167" s="26" t="str">
        <f>IF(OR(E4167="",E4167="!!!",F4167="NEW"),"",INDEX(J$1:J4166,SUMPRODUCT(MAX(ROW(E$1:E4166)*(E4167=E$1:E4166)))))</f>
        <v> </v>
      </c>
      <c r="L4167" s="27"/>
    </row>
    <row r="4168" spans="1:12">
      <c r="A4168" s="20" t="s">
        <v>1225</v>
      </c>
      <c r="E4168" s="22">
        <f>IF(D4168="?OLD","!!!","")</f>
        <v/>
      </c>
      <c r="F4168" s="23" t="str">
        <f>IF(OR(E4168="",E4168="!!!"),"",IF(NOT(ISNA(VLOOKUP(E4168,E$1:E4167,1,FALSE()))),"OLD",IF(AND(E4168&lt;&gt;"",E4168&lt;&gt;"!!!"),"NEW","")))</f>
        <v> </v>
      </c>
      <c r="G4168" s="24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5" t="str">
        <f>IF(J4168&lt;&gt;1,"",IF(I4168="SBJ","CB","?"))</f>
        <v> </v>
      </c>
      <c r="I4168" s="26" t="str">
        <f>IF(OR(E4168="",E4168="!!!",F4168="NEW"),"",INDEX(B4167:B$2,-1+SUMPRODUCT(MAX(ROW(E4167:E$2)*(E4168=E4167:E$2)))))</f>
        <v> </v>
      </c>
      <c r="J4168" s="26" t="str">
        <f>IF(OR(E4168="",E4168="!!!",F4168="NEW"),"",COUNTBLANK(OFFSET(A$1,,,SUMPRODUCT(MAX(ROW(E$2:E4168)*(E4168=E$2:E4168)))))-COUNTBLANK(OFFSET(A$1,,,SUMPRODUCT(MAX(ROW(E$1:E4167)*(E2=E$1:E4167))))))</f>
        <v> </v>
      </c>
      <c r="K4168" s="26" t="str">
        <f>IF(OR(E4168="",E4168="!!!",F4168="NEW"),"",INDEX(J$1:J4167,SUMPRODUCT(MAX(ROW(E$1:E4167)*(E4168=E$1:E4167)))))</f>
        <v> </v>
      </c>
      <c r="L4168" s="27"/>
    </row>
    <row r="4169" spans="1:12">
      <c r="A4169" s="20" t="s">
        <v>2620</v>
      </c>
      <c r="E4169" s="22">
        <f>IF(D4169="?OLD","!!!","")</f>
        <v/>
      </c>
      <c r="F4169" s="23" t="str">
        <f>IF(OR(E4169="",E4169="!!!"),"",IF(NOT(ISNA(VLOOKUP(E4169,E$1:E4168,1,FALSE()))),"OLD",IF(AND(E4169&lt;&gt;"",E4169&lt;&gt;"!!!"),"NEW","")))</f>
        <v> </v>
      </c>
      <c r="G4169" s="24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5" t="str">
        <f>IF(J4169&lt;&gt;1,"",IF(I4169="SBJ","CB","?"))</f>
        <v> </v>
      </c>
      <c r="I4169" s="26" t="str">
        <f>IF(OR(E4169="",E4169="!!!",F4169="NEW"),"",INDEX(B4168:B$2,-1+SUMPRODUCT(MAX(ROW(E4168:E$2)*(E4169=E4168:E$2)))))</f>
        <v> </v>
      </c>
      <c r="J4169" s="26" t="str">
        <f>IF(OR(E4169="",E4169="!!!",F4169="NEW"),"",COUNTBLANK(OFFSET(A$1,,,SUMPRODUCT(MAX(ROW(E$2:E4169)*(E4169=E$2:E4169)))))-COUNTBLANK(OFFSET(A$1,,,SUMPRODUCT(MAX(ROW(E$1:E4168)*(E2=E$1:E4168))))))</f>
        <v> </v>
      </c>
      <c r="K4169" s="26" t="str">
        <f>IF(OR(E4169="",E4169="!!!",F4169="NEW"),"",INDEX(J$1:J4168,SUMPRODUCT(MAX(ROW(E$1:E4168)*(E4169=E$1:E4168)))))</f>
        <v> </v>
      </c>
      <c r="L4169" s="27"/>
    </row>
    <row r="4170" spans="1:12">
      <c r="A4170" s="20" t="s">
        <v>2621</v>
      </c>
      <c r="B4170" s="21" t="s">
        <v>1080</v>
      </c>
      <c r="E4170" s="22">
        <f>IF(D4170="?OLD","!!!","")</f>
        <v/>
      </c>
      <c r="F4170" s="23" t="str">
        <f>IF(OR(E4170="",E4170="!!!"),"",IF(NOT(ISNA(VLOOKUP(E4170,E$1:E4169,1,FALSE()))),"OLD",IF(AND(E4170&lt;&gt;"",E4170&lt;&gt;"!!!"),"NEW","")))</f>
        <v> </v>
      </c>
      <c r="G4170" s="24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5" t="str">
        <f>IF(J4170&lt;&gt;1,"",IF(I4170="SBJ","CB","?"))</f>
        <v> </v>
      </c>
      <c r="I4170" s="26" t="str">
        <f>IF(OR(E4170="",E4170="!!!",F4170="NEW"),"",INDEX(B4169:B$2,-1+SUMPRODUCT(MAX(ROW(E4169:E$2)*(E4170=E4169:E$2)))))</f>
        <v> </v>
      </c>
      <c r="J4170" s="26" t="str">
        <f>IF(OR(E4170="",E4170="!!!",F4170="NEW"),"",COUNTBLANK(OFFSET(A$1,,,SUMPRODUCT(MAX(ROW(E$2:E4170)*(E4170=E$2:E4170)))))-COUNTBLANK(OFFSET(A$1,,,SUMPRODUCT(MAX(ROW(E$1:E4169)*(E2=E$1:E4169))))))</f>
        <v> </v>
      </c>
      <c r="K4170" s="26" t="str">
        <f>IF(OR(E4170="",E4170="!!!",F4170="NEW"),"",INDEX(J$1:J4169,SUMPRODUCT(MAX(ROW(E$1:E4169)*(E4170=E$1:E4169)))))</f>
        <v> </v>
      </c>
      <c r="L4170" s="27"/>
    </row>
    <row r="4171" spans="1:12">
      <c r="A4171" s="20" t="s">
        <v>1076</v>
      </c>
      <c r="E4171" s="22">
        <f>IF(D4171="?OLD","!!!","")</f>
        <v/>
      </c>
      <c r="F4171" s="23" t="str">
        <f>IF(OR(E4171="",E4171="!!!"),"",IF(NOT(ISNA(VLOOKUP(E4171,E$1:E4170,1,FALSE()))),"OLD",IF(AND(E4171&lt;&gt;"",E4171&lt;&gt;"!!!"),"NEW","")))</f>
        <v> </v>
      </c>
      <c r="G4171" s="24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5" t="str">
        <f>IF(J4171&lt;&gt;1,"",IF(I4171="SBJ","CB","?"))</f>
        <v> </v>
      </c>
      <c r="I4171" s="26" t="str">
        <f>IF(OR(E4171="",E4171="!!!",F4171="NEW"),"",INDEX(B4170:B$2,-1+SUMPRODUCT(MAX(ROW(E4170:E$2)*(E4171=E4170:E$2)))))</f>
        <v> </v>
      </c>
      <c r="J4171" s="26" t="str">
        <f>IF(OR(E4171="",E4171="!!!",F4171="NEW"),"",COUNTBLANK(OFFSET(A$1,,,SUMPRODUCT(MAX(ROW(E$2:E4171)*(E4171=E$2:E4171)))))-COUNTBLANK(OFFSET(A$1,,,SUMPRODUCT(MAX(ROW(E$1:E4170)*(E2=E$1:E4170))))))</f>
        <v> </v>
      </c>
      <c r="K4171" s="26" t="str">
        <f>IF(OR(E4171="",E4171="!!!",F4171="NEW"),"",INDEX(J$1:J4170,SUMPRODUCT(MAX(ROW(E$1:E4170)*(E4171=E$1:E4170)))))</f>
        <v> </v>
      </c>
      <c r="L4171" s="27"/>
    </row>
    <row r="4172" spans="1:12">
      <c r="A4172" s="20" t="s">
        <v>2622</v>
      </c>
      <c r="E4172" s="22">
        <f>IF(D4172="?OLD","!!!","")</f>
        <v/>
      </c>
      <c r="F4172" s="23" t="str">
        <f>IF(OR(E4172="",E4172="!!!"),"",IF(NOT(ISNA(VLOOKUP(E4172,E$1:E4171,1,FALSE()))),"OLD",IF(AND(E4172&lt;&gt;"",E4172&lt;&gt;"!!!"),"NEW","")))</f>
        <v> </v>
      </c>
      <c r="G4172" s="24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5" t="str">
        <f>IF(J4172&lt;&gt;1,"",IF(I4172="SBJ","CB","?"))</f>
        <v> </v>
      </c>
      <c r="I4172" s="26" t="str">
        <f>IF(OR(E4172="",E4172="!!!",F4172="NEW"),"",INDEX(B4171:B$2,-1+SUMPRODUCT(MAX(ROW(E4171:E$2)*(E4172=E4171:E$2)))))</f>
        <v> </v>
      </c>
      <c r="J4172" s="26" t="str">
        <f>IF(OR(E4172="",E4172="!!!",F4172="NEW"),"",COUNTBLANK(OFFSET(A$1,,,SUMPRODUCT(MAX(ROW(E$2:E4172)*(E4172=E$2:E4172)))))-COUNTBLANK(OFFSET(A$1,,,SUMPRODUCT(MAX(ROW(E$1:E4171)*(E2=E$1:E4171))))))</f>
        <v> </v>
      </c>
      <c r="K4172" s="26" t="str">
        <f>IF(OR(E4172="",E4172="!!!",F4172="NEW"),"",INDEX(J$1:J4171,SUMPRODUCT(MAX(ROW(E$1:E4171)*(E4172=E$1:E4171)))))</f>
        <v> </v>
      </c>
      <c r="L4172" s="27"/>
    </row>
    <row r="4173" spans="1:12">
      <c r="A4173" s="20" t="s">
        <v>2623</v>
      </c>
      <c r="E4173" s="22">
        <f>IF(D4173="?OLD","!!!","")</f>
        <v/>
      </c>
      <c r="F4173" s="23" t="str">
        <f>IF(OR(E4173="",E4173="!!!"),"",IF(NOT(ISNA(VLOOKUP(E4173,E$1:E4172,1,FALSE()))),"OLD",IF(AND(E4173&lt;&gt;"",E4173&lt;&gt;"!!!"),"NEW","")))</f>
        <v> </v>
      </c>
      <c r="G4173" s="24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5" t="str">
        <f>IF(J4173&lt;&gt;1,"",IF(I4173="SBJ","CB","?"))</f>
        <v> </v>
      </c>
      <c r="I4173" s="26" t="str">
        <f>IF(OR(E4173="",E4173="!!!",F4173="NEW"),"",INDEX(B4172:B$2,-1+SUMPRODUCT(MAX(ROW(E4172:E$2)*(E4173=E4172:E$2)))))</f>
        <v> </v>
      </c>
      <c r="J4173" s="26" t="str">
        <f>IF(OR(E4173="",E4173="!!!",F4173="NEW"),"",COUNTBLANK(OFFSET(A$1,,,SUMPRODUCT(MAX(ROW(E$2:E4173)*(E4173=E$2:E4173)))))-COUNTBLANK(OFFSET(A$1,,,SUMPRODUCT(MAX(ROW(E$1:E4172)*(E2=E$1:E4172))))))</f>
        <v> </v>
      </c>
      <c r="K4173" s="26" t="str">
        <f>IF(OR(E4173="",E4173="!!!",F4173="NEW"),"",INDEX(J$1:J4172,SUMPRODUCT(MAX(ROW(E$1:E4172)*(E4173=E$1:E4172)))))</f>
        <v> </v>
      </c>
      <c r="L4173" s="27"/>
    </row>
    <row r="4174" spans="1:12">
      <c r="A4174" s="20" t="s">
        <v>2624</v>
      </c>
      <c r="B4174" s="21" t="s">
        <v>1180</v>
      </c>
      <c r="C4174" s="21" t="s">
        <v>1167</v>
      </c>
      <c r="E4174" s="22">
        <f>IF(D4174="?OLD","!!!","")</f>
        <v/>
      </c>
      <c r="F4174" s="23" t="str">
        <f>IF(OR(E4174="",E4174="!!!"),"",IF(NOT(ISNA(VLOOKUP(E4174,E$1:E4173,1,FALSE()))),"OLD",IF(AND(E4174&lt;&gt;"",E4174&lt;&gt;"!!!"),"NEW","")))</f>
        <v> </v>
      </c>
      <c r="G4174" s="24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5" t="str">
        <f>IF(J4174&lt;&gt;1,"",IF(I4174="SBJ","CB","?"))</f>
        <v> </v>
      </c>
      <c r="I4174" s="26" t="str">
        <f>IF(OR(E4174="",E4174="!!!",F4174="NEW"),"",INDEX(B4173:B$2,-1+SUMPRODUCT(MAX(ROW(E4173:E$2)*(E4174=E4173:E$2)))))</f>
        <v> </v>
      </c>
      <c r="J4174" s="26" t="str">
        <f>IF(OR(E4174="",E4174="!!!",F4174="NEW"),"",COUNTBLANK(OFFSET(A$1,,,SUMPRODUCT(MAX(ROW(E$2:E4174)*(E4174=E$2:E4174)))))-COUNTBLANK(OFFSET(A$1,,,SUMPRODUCT(MAX(ROW(E$1:E4173)*(E2=E$1:E4173))))))</f>
        <v> </v>
      </c>
      <c r="K4174" s="26" t="str">
        <f>IF(OR(E4174="",E4174="!!!",F4174="NEW"),"",INDEX(J$1:J4173,SUMPRODUCT(MAX(ROW(E$1:E4173)*(E4174=E$1:E4173)))))</f>
        <v> </v>
      </c>
      <c r="L4174" s="27"/>
    </row>
    <row r="4175" spans="1:12">
      <c r="A4175" s="20" t="s">
        <v>1085</v>
      </c>
      <c r="E4175" s="22">
        <f>IF(D4175="?OLD","!!!","")</f>
        <v/>
      </c>
      <c r="F4175" s="23" t="str">
        <f>IF(OR(E4175="",E4175="!!!"),"",IF(NOT(ISNA(VLOOKUP(E4175,E$1:E4174,1,FALSE()))),"OLD",IF(AND(E4175&lt;&gt;"",E4175&lt;&gt;"!!!"),"NEW","")))</f>
        <v> </v>
      </c>
      <c r="G4175" s="24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5" t="str">
        <f>IF(J4175&lt;&gt;1,"",IF(I4175="SBJ","CB","?"))</f>
        <v> </v>
      </c>
      <c r="I4175" s="26" t="str">
        <f>IF(OR(E4175="",E4175="!!!",F4175="NEW"),"",INDEX(B4174:B$2,-1+SUMPRODUCT(MAX(ROW(E4174:E$2)*(E4175=E4174:E$2)))))</f>
        <v> </v>
      </c>
      <c r="J4175" s="26" t="str">
        <f>IF(OR(E4175="",E4175="!!!",F4175="NEW"),"",COUNTBLANK(OFFSET(A$1,,,SUMPRODUCT(MAX(ROW(E$2:E4175)*(E4175=E$2:E4175)))))-COUNTBLANK(OFFSET(A$1,,,SUMPRODUCT(MAX(ROW(E$1:E4174)*(E2=E$1:E4174))))))</f>
        <v> </v>
      </c>
      <c r="K4175" s="26" t="str">
        <f>IF(OR(E4175="",E4175="!!!",F4175="NEW"),"",INDEX(J$1:J4174,SUMPRODUCT(MAX(ROW(E$1:E4174)*(E4175=E$1:E4174)))))</f>
        <v> </v>
      </c>
      <c r="L4175" s="27"/>
    </row>
    <row r="4176" spans="1:12">
      <c r="A4176" s="20" t="s">
        <v>2622</v>
      </c>
      <c r="E4176" s="22">
        <f>IF(D4176="?OLD","!!!","")</f>
        <v/>
      </c>
      <c r="F4176" s="23" t="str">
        <f>IF(OR(E4176="",E4176="!!!"),"",IF(NOT(ISNA(VLOOKUP(E4176,E$1:E4175,1,FALSE()))),"OLD",IF(AND(E4176&lt;&gt;"",E4176&lt;&gt;"!!!"),"NEW","")))</f>
        <v> </v>
      </c>
      <c r="G4176" s="24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5" t="str">
        <f>IF(J4176&lt;&gt;1,"",IF(I4176="SBJ","CB","?"))</f>
        <v> </v>
      </c>
      <c r="I4176" s="26" t="str">
        <f>IF(OR(E4176="",E4176="!!!",F4176="NEW"),"",INDEX(B4175:B$2,-1+SUMPRODUCT(MAX(ROW(E4175:E$2)*(E4176=E4175:E$2)))))</f>
        <v> </v>
      </c>
      <c r="J4176" s="26" t="str">
        <f>IF(OR(E4176="",E4176="!!!",F4176="NEW"),"",COUNTBLANK(OFFSET(A$1,,,SUMPRODUCT(MAX(ROW(E$2:E4176)*(E4176=E$2:E4176)))))-COUNTBLANK(OFFSET(A$1,,,SUMPRODUCT(MAX(ROW(E$1:E4175)*(E2=E$1:E4175))))))</f>
        <v> </v>
      </c>
      <c r="K4176" s="26" t="str">
        <f>IF(OR(E4176="",E4176="!!!",F4176="NEW"),"",INDEX(J$1:J4175,SUMPRODUCT(MAX(ROW(E$1:E4175)*(E4176=E$1:E4175)))))</f>
        <v> </v>
      </c>
      <c r="L4176" s="27"/>
    </row>
    <row r="4177" spans="1:12">
      <c r="A4177" s="20" t="s">
        <v>2625</v>
      </c>
      <c r="B4177" s="21" t="s">
        <v>1088</v>
      </c>
      <c r="C4177" s="21" t="s">
        <v>1167</v>
      </c>
      <c r="E4177" s="22">
        <f>IF(D4177="?OLD","!!!","")</f>
        <v/>
      </c>
      <c r="F4177" s="23" t="str">
        <f>IF(OR(E4177="",E4177="!!!"),"",IF(NOT(ISNA(VLOOKUP(E4177,E$1:E4176,1,FALSE()))),"OLD",IF(AND(E4177&lt;&gt;"",E4177&lt;&gt;"!!!"),"NEW","")))</f>
        <v> </v>
      </c>
      <c r="G4177" s="24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5" t="str">
        <f>IF(J4177&lt;&gt;1,"",IF(I4177="SBJ","CB","?"))</f>
        <v> </v>
      </c>
      <c r="I4177" s="26" t="str">
        <f>IF(OR(E4177="",E4177="!!!",F4177="NEW"),"",INDEX(B4176:B$2,-1+SUMPRODUCT(MAX(ROW(E4176:E$2)*(E4177=E4176:E$2)))))</f>
        <v> </v>
      </c>
      <c r="J4177" s="26" t="str">
        <f>IF(OR(E4177="",E4177="!!!",F4177="NEW"),"",COUNTBLANK(OFFSET(A$1,,,SUMPRODUCT(MAX(ROW(E$2:E4177)*(E4177=E$2:E4177)))))-COUNTBLANK(OFFSET(A$1,,,SUMPRODUCT(MAX(ROW(E$1:E4176)*(E2=E$1:E4176))))))</f>
        <v> </v>
      </c>
      <c r="K4177" s="26" t="str">
        <f>IF(OR(E4177="",E4177="!!!",F4177="NEW"),"",INDEX(J$1:J4176,SUMPRODUCT(MAX(ROW(E$1:E4176)*(E4177=E$1:E4176)))))</f>
        <v> </v>
      </c>
      <c r="L4177" s="27"/>
    </row>
    <row r="4178" spans="1:12">
      <c r="A4178" s="20" t="s">
        <v>1252</v>
      </c>
      <c r="E4178" s="22">
        <f>IF(D4178="?OLD","!!!","")</f>
        <v/>
      </c>
      <c r="F4178" s="23" t="str">
        <f>IF(OR(E4178="",E4178="!!!"),"",IF(NOT(ISNA(VLOOKUP(E4178,E$1:E4177,1,FALSE()))),"OLD",IF(AND(E4178&lt;&gt;"",E4178&lt;&gt;"!!!"),"NEW","")))</f>
        <v> </v>
      </c>
      <c r="G4178" s="24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5" t="str">
        <f>IF(J4178&lt;&gt;1,"",IF(I4178="SBJ","CB","?"))</f>
        <v> </v>
      </c>
      <c r="I4178" s="26" t="str">
        <f>IF(OR(E4178="",E4178="!!!",F4178="NEW"),"",INDEX(B4177:B$2,-1+SUMPRODUCT(MAX(ROW(E4177:E$2)*(E4178=E4177:E$2)))))</f>
        <v> </v>
      </c>
      <c r="J4178" s="26" t="str">
        <f>IF(OR(E4178="",E4178="!!!",F4178="NEW"),"",COUNTBLANK(OFFSET(A$1,,,SUMPRODUCT(MAX(ROW(E$2:E4178)*(E4178=E$2:E4178)))))-COUNTBLANK(OFFSET(A$1,,,SUMPRODUCT(MAX(ROW(E$1:E4177)*(E2=E$1:E4177))))))</f>
        <v> </v>
      </c>
      <c r="K4178" s="26" t="str">
        <f>IF(OR(E4178="",E4178="!!!",F4178="NEW"),"",INDEX(J$1:J4177,SUMPRODUCT(MAX(ROW(E$1:E4177)*(E4178=E$1:E4177)))))</f>
        <v> </v>
      </c>
      <c r="L4178" s="27"/>
    </row>
    <row r="4179" spans="1:12">
      <c r="A4179" s="20" t="s">
        <v>2626</v>
      </c>
      <c r="E4179" s="22">
        <f>IF(D4179="?OLD","!!!","")</f>
        <v/>
      </c>
      <c r="F4179" s="23" t="str">
        <f>IF(OR(E4179="",E4179="!!!"),"",IF(NOT(ISNA(VLOOKUP(E4179,E$1:E4178,1,FALSE()))),"OLD",IF(AND(E4179&lt;&gt;"",E4179&lt;&gt;"!!!"),"NEW","")))</f>
        <v> </v>
      </c>
      <c r="G4179" s="24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5" t="str">
        <f>IF(J4179&lt;&gt;1,"",IF(I4179="SBJ","CB","?"))</f>
        <v> </v>
      </c>
      <c r="I4179" s="26" t="str">
        <f>IF(OR(E4179="",E4179="!!!",F4179="NEW"),"",INDEX(B4178:B$2,-1+SUMPRODUCT(MAX(ROW(E4178:E$2)*(E4179=E4178:E$2)))))</f>
        <v> </v>
      </c>
      <c r="J4179" s="26" t="str">
        <f>IF(OR(E4179="",E4179="!!!",F4179="NEW"),"",COUNTBLANK(OFFSET(A$1,,,SUMPRODUCT(MAX(ROW(E$2:E4179)*(E4179=E$2:E4179)))))-COUNTBLANK(OFFSET(A$1,,,SUMPRODUCT(MAX(ROW(E$1:E4178)*(E2=E$1:E4178))))))</f>
        <v> </v>
      </c>
      <c r="K4179" s="26" t="str">
        <f>IF(OR(E4179="",E4179="!!!",F4179="NEW"),"",INDEX(J$1:J4178,SUMPRODUCT(MAX(ROW(E$1:E4178)*(E4179=E$1:E4178)))))</f>
        <v> </v>
      </c>
      <c r="L4179" s="27"/>
    </row>
    <row r="4180" spans="1:12">
      <c r="A4180" s="20" t="s">
        <v>1298</v>
      </c>
      <c r="B4180" s="21" t="s">
        <v>1205</v>
      </c>
      <c r="C4180" s="21" t="s">
        <v>1081</v>
      </c>
      <c r="D4180" s="21" t="s">
        <v>1074</v>
      </c>
      <c r="E4180" s="22">
        <f>IF(D4180="?OLD","!!!","")</f>
        <v/>
      </c>
      <c r="F4180" s="23" t="str">
        <f>IF(OR(E4180="",E4180="!!!"),"",IF(NOT(ISNA(VLOOKUP(E4180,E$1:E4179,1,FALSE()))),"OLD",IF(AND(E4180&lt;&gt;"",E4180&lt;&gt;"!!!"),"NEW","")))</f>
        <v> </v>
      </c>
      <c r="G4180" s="24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5" t="str">
        <f>IF(J4180&lt;&gt;1,"",IF(I4180="SBJ","CB","?"))</f>
        <v> </v>
      </c>
      <c r="I4180" s="26" t="str">
        <f>IF(OR(E4180="",E4180="!!!",F4180="NEW"),"",INDEX(B4179:B$2,-1+SUMPRODUCT(MAX(ROW(E4179:E$2)*(E4180=E4179:E$2)))))</f>
        <v> </v>
      </c>
      <c r="J4180" s="26" t="str">
        <f>IF(OR(E4180="",E4180="!!!",F4180="NEW"),"",COUNTBLANK(OFFSET(A$1,,,SUMPRODUCT(MAX(ROW(E$2:E4180)*(E4180=E$2:E4180)))))-COUNTBLANK(OFFSET(A$1,,,SUMPRODUCT(MAX(ROW(E$1:E4179)*(E2=E$1:E4179))))))</f>
        <v> </v>
      </c>
      <c r="K4180" s="26" t="str">
        <f>IF(OR(E4180="",E4180="!!!",F4180="NEW"),"",INDEX(J$1:J4179,SUMPRODUCT(MAX(ROW(E$1:E4179)*(E4180=E$1:E4179)))))</f>
        <v> </v>
      </c>
      <c r="L4180" s="27"/>
    </row>
    <row r="4181" spans="1:12">
      <c r="A4181" s="20" t="s">
        <v>2090</v>
      </c>
      <c r="E4181" s="22">
        <f>IF(D4181="?OLD","!!!","")</f>
        <v/>
      </c>
      <c r="F4181" s="23" t="str">
        <f>IF(OR(E4181="",E4181="!!!"),"",IF(NOT(ISNA(VLOOKUP(E4181,E$1:E4180,1,FALSE()))),"OLD",IF(AND(E4181&lt;&gt;"",E4181&lt;&gt;"!!!"),"NEW","")))</f>
        <v> </v>
      </c>
      <c r="G4181" s="24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5" t="str">
        <f>IF(J4181&lt;&gt;1,"",IF(I4181="SBJ","CB","?"))</f>
        <v> </v>
      </c>
      <c r="I4181" s="26" t="str">
        <f>IF(OR(E4181="",E4181="!!!",F4181="NEW"),"",INDEX(B4180:B$2,-1+SUMPRODUCT(MAX(ROW(E4180:E$2)*(E4181=E4180:E$2)))))</f>
        <v> </v>
      </c>
      <c r="J4181" s="26" t="str">
        <f>IF(OR(E4181="",E4181="!!!",F4181="NEW"),"",COUNTBLANK(OFFSET(A$1,,,SUMPRODUCT(MAX(ROW(E$2:E4181)*(E4181=E$2:E4181)))))-COUNTBLANK(OFFSET(A$1,,,SUMPRODUCT(MAX(ROW(E$1:E4180)*(E2=E$1:E4180))))))</f>
        <v> </v>
      </c>
      <c r="K4181" s="26" t="str">
        <f>IF(OR(E4181="",E4181="!!!",F4181="NEW"),"",INDEX(J$1:J4180,SUMPRODUCT(MAX(ROW(E$1:E4180)*(E4181=E$1:E4180)))))</f>
        <v> </v>
      </c>
      <c r="L4181" s="27"/>
    </row>
    <row r="4182" spans="1:12">
      <c r="A4182" s="20" t="s">
        <v>2627</v>
      </c>
      <c r="B4182" s="21" t="s">
        <v>1140</v>
      </c>
      <c r="C4182" s="21" t="s">
        <v>1081</v>
      </c>
      <c r="D4182" s="21" t="s">
        <v>1074</v>
      </c>
      <c r="E4182" s="22">
        <f>IF(D4182="?OLD","!!!","")</f>
        <v/>
      </c>
      <c r="F4182" s="23" t="str">
        <f>IF(OR(E4182="",E4182="!!!"),"",IF(NOT(ISNA(VLOOKUP(E4182,E$1:E4181,1,FALSE()))),"OLD",IF(AND(E4182&lt;&gt;"",E4182&lt;&gt;"!!!"),"NEW","")))</f>
        <v> </v>
      </c>
      <c r="G4182" s="24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5" t="str">
        <f>IF(J4182&lt;&gt;1,"",IF(I4182="SBJ","CB","?"))</f>
        <v> </v>
      </c>
      <c r="I4182" s="26" t="str">
        <f>IF(OR(E4182="",E4182="!!!",F4182="NEW"),"",INDEX(B4181:B$2,-1+SUMPRODUCT(MAX(ROW(E4181:E$2)*(E4182=E4181:E$2)))))</f>
        <v> </v>
      </c>
      <c r="J4182" s="26" t="str">
        <f>IF(OR(E4182="",E4182="!!!",F4182="NEW"),"",COUNTBLANK(OFFSET(A$1,,,SUMPRODUCT(MAX(ROW(E$2:E4182)*(E4182=E$2:E4182)))))-COUNTBLANK(OFFSET(A$1,,,SUMPRODUCT(MAX(ROW(E$1:E4181)*(E2=E$1:E4181))))))</f>
        <v> </v>
      </c>
      <c r="K4182" s="26" t="str">
        <f>IF(OR(E4182="",E4182="!!!",F4182="NEW"),"",INDEX(J$1:J4181,SUMPRODUCT(MAX(ROW(E$1:E4181)*(E4182=E$1:E4181)))))</f>
        <v> </v>
      </c>
      <c r="L4182" s="27"/>
    </row>
    <row r="4183" spans="1:12">
      <c r="A4183" s="20" t="s">
        <v>1098</v>
      </c>
      <c r="E4183" s="22">
        <f>IF(D4183="?OLD","!!!","")</f>
        <v/>
      </c>
      <c r="F4183" s="23" t="str">
        <f>IF(OR(E4183="",E4183="!!!"),"",IF(NOT(ISNA(VLOOKUP(E4183,E$1:E4182,1,FALSE()))),"OLD",IF(AND(E4183&lt;&gt;"",E4183&lt;&gt;"!!!"),"NEW","")))</f>
        <v> </v>
      </c>
      <c r="G4183" s="24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5" t="str">
        <f>IF(J4183&lt;&gt;1,"",IF(I4183="SBJ","CB","?"))</f>
        <v> </v>
      </c>
      <c r="I4183" s="26" t="str">
        <f>IF(OR(E4183="",E4183="!!!",F4183="NEW"),"",INDEX(B4182:B$2,-1+SUMPRODUCT(MAX(ROW(E4182:E$2)*(E4183=E4182:E$2)))))</f>
        <v> </v>
      </c>
      <c r="J4183" s="26" t="str">
        <f>IF(OR(E4183="",E4183="!!!",F4183="NEW"),"",COUNTBLANK(OFFSET(A$1,,,SUMPRODUCT(MAX(ROW(E$2:E4183)*(E4183=E$2:E4183)))))-COUNTBLANK(OFFSET(A$1,,,SUMPRODUCT(MAX(ROW(E$1:E4182)*(E2=E$1:E4182))))))</f>
        <v> </v>
      </c>
      <c r="K4183" s="26" t="str">
        <f>IF(OR(E4183="",E4183="!!!",F4183="NEW"),"",INDEX(J$1:J4182,SUMPRODUCT(MAX(ROW(E$1:E4182)*(E4183=E$1:E4182)))))</f>
        <v> </v>
      </c>
      <c r="L4183" s="27"/>
    </row>
    <row r="4184" spans="1:12">
      <c r="A4184" s="20" t="s">
        <v>1777</v>
      </c>
      <c r="B4184" s="21" t="s">
        <v>1115</v>
      </c>
      <c r="C4184" s="21" t="s">
        <v>1142</v>
      </c>
      <c r="D4184" s="21" t="s">
        <v>1074</v>
      </c>
      <c r="E4184" s="22">
        <f>IF(D4184="?OLD","!!!","")</f>
        <v/>
      </c>
      <c r="F4184" s="23" t="str">
        <f>IF(OR(E4184="",E4184="!!!"),"",IF(NOT(ISNA(VLOOKUP(E4184,E$1:E4183,1,FALSE()))),"OLD",IF(AND(E4184&lt;&gt;"",E4184&lt;&gt;"!!!"),"NEW","")))</f>
        <v> </v>
      </c>
      <c r="G4184" s="24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5" t="str">
        <f>IF(J4184&lt;&gt;1,"",IF(I4184="SBJ","CB","?"))</f>
        <v> </v>
      </c>
      <c r="I4184" s="26" t="str">
        <f>IF(OR(E4184="",E4184="!!!",F4184="NEW"),"",INDEX(B4183:B$2,-1+SUMPRODUCT(MAX(ROW(E4183:E$2)*(E4184=E4183:E$2)))))</f>
        <v> </v>
      </c>
      <c r="J4184" s="26" t="str">
        <f>IF(OR(E4184="",E4184="!!!",F4184="NEW"),"",COUNTBLANK(OFFSET(A$1,,,SUMPRODUCT(MAX(ROW(E$2:E4184)*(E4184=E$2:E4184)))))-COUNTBLANK(OFFSET(A$1,,,SUMPRODUCT(MAX(ROW(E$1:E4183)*(E2=E$1:E4183))))))</f>
        <v> </v>
      </c>
      <c r="K4184" s="26" t="str">
        <f>IF(OR(E4184="",E4184="!!!",F4184="NEW"),"",INDEX(J$1:J4183,SUMPRODUCT(MAX(ROW(E$1:E4183)*(E4184=E$1:E4183)))))</f>
        <v> </v>
      </c>
      <c r="L4184" s="27"/>
    </row>
    <row r="4185" spans="1:12">
      <c r="A4185" s="20" t="s">
        <v>1189</v>
      </c>
      <c r="E4185" s="22">
        <f>IF(D4185="?OLD","!!!","")</f>
        <v/>
      </c>
      <c r="F4185" s="23" t="str">
        <f>IF(OR(E4185="",E4185="!!!"),"",IF(NOT(ISNA(VLOOKUP(E4185,E$1:E4184,1,FALSE()))),"OLD",IF(AND(E4185&lt;&gt;"",E4185&lt;&gt;"!!!"),"NEW","")))</f>
        <v> </v>
      </c>
      <c r="G4185" s="24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5" t="str">
        <f>IF(J4185&lt;&gt;1,"",IF(I4185="SBJ","CB","?"))</f>
        <v> </v>
      </c>
      <c r="I4185" s="26" t="str">
        <f>IF(OR(E4185="",E4185="!!!",F4185="NEW"),"",INDEX(B4184:B$2,-1+SUMPRODUCT(MAX(ROW(E4184:E$2)*(E4185=E4184:E$2)))))</f>
        <v> </v>
      </c>
      <c r="J4185" s="26" t="str">
        <f>IF(OR(E4185="",E4185="!!!",F4185="NEW"),"",COUNTBLANK(OFFSET(A$1,,,SUMPRODUCT(MAX(ROW(E$2:E4185)*(E4185=E$2:E4185)))))-COUNTBLANK(OFFSET(A$1,,,SUMPRODUCT(MAX(ROW(E$1:E4184)*(E2=E$1:E4184))))))</f>
        <v> </v>
      </c>
      <c r="K4185" s="26" t="str">
        <f>IF(OR(E4185="",E4185="!!!",F4185="NEW"),"",INDEX(J$1:J4184,SUMPRODUCT(MAX(ROW(E$1:E4184)*(E4185=E$1:E4184)))))</f>
        <v> </v>
      </c>
      <c r="L4185" s="27"/>
    </row>
    <row r="4186" spans="1:12">
      <c r="A4186" s="20"/>
    </row>
    <row r="4187" spans="1:12">
      <c r="A4187" s="20" t="s">
        <v>2628</v>
      </c>
    </row>
    <row r="4188" spans="1:12">
      <c r="A4188" s="20" t="s">
        <v>2629</v>
      </c>
      <c r="B4188" s="21" t="s">
        <v>1109</v>
      </c>
      <c r="E4188" s="22">
        <f>IF(D4188="?OLD","!!!","")</f>
        <v/>
      </c>
      <c r="F4188" s="23" t="str">
        <f>IF(OR(E4188="",E4188="!!!"),"",IF(NOT(ISNA(VLOOKUP(E4188,E$1:E4187,1,FALSE()))),"OLD",IF(AND(E4188&lt;&gt;"",E4188&lt;&gt;"!!!"),"NEW","")))</f>
        <v> </v>
      </c>
      <c r="G4188" s="24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5" t="str">
        <f>IF(J4188&lt;&gt;1,"",IF(I4188="SBJ","CB","?"))</f>
        <v> </v>
      </c>
      <c r="I4188" s="26" t="str">
        <f>IF(OR(E4188="",E4188="!!!",F4188="NEW"),"",INDEX(B4187:B$2,-1+SUMPRODUCT(MAX(ROW(E4187:E$2)*(E4188=E4187:E$2)))))</f>
        <v> </v>
      </c>
      <c r="J4188" s="26" t="str">
        <f>IF(OR(E4188="",E4188="!!!",F4188="NEW"),"",COUNTBLANK(OFFSET(A$1,,,SUMPRODUCT(MAX(ROW(E$2:E4188)*(E4188=E$2:E4188)))))-COUNTBLANK(OFFSET(A$1,,,SUMPRODUCT(MAX(ROW(E$1:E4187)*(E2=E$1:E4187))))))</f>
        <v> </v>
      </c>
      <c r="K4188" s="26" t="str">
        <f>IF(OR(E4188="",E4188="!!!",F4188="NEW"),"",INDEX(J$1:J4187,SUMPRODUCT(MAX(ROW(E$1:E4187)*(E4188=E$1:E4187)))))</f>
        <v> </v>
      </c>
      <c r="L4188" s="27"/>
    </row>
    <row r="4189" spans="1:12">
      <c r="A4189" s="20" t="s">
        <v>2630</v>
      </c>
      <c r="B4189" s="21" t="s">
        <v>1180</v>
      </c>
      <c r="C4189" s="21" t="s">
        <v>1073</v>
      </c>
      <c r="D4189" s="21" t="s">
        <v>1074</v>
      </c>
      <c r="E4189" s="22">
        <f>IF(D4189="?OLD","!!!","")</f>
        <v/>
      </c>
      <c r="F4189" s="23" t="str">
        <f>IF(OR(E4189="",E4189="!!!"),"",IF(NOT(ISNA(VLOOKUP(E4189,E$1:E4188,1,FALSE()))),"OLD",IF(AND(E4189&lt;&gt;"",E4189&lt;&gt;"!!!"),"NEW","")))</f>
        <v> </v>
      </c>
      <c r="G4189" s="24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5" t="str">
        <f>IF(J4189&lt;&gt;1,"",IF(I4189="SBJ","CB","?"))</f>
        <v> </v>
      </c>
      <c r="I4189" s="26" t="str">
        <f>IF(OR(E4189="",E4189="!!!",F4189="NEW"),"",INDEX(B4188:B$2,-1+SUMPRODUCT(MAX(ROW(E4188:E$2)*(E4189=E4188:E$2)))))</f>
        <v> </v>
      </c>
      <c r="J4189" s="26" t="str">
        <f>IF(OR(E4189="",E4189="!!!",F4189="NEW"),"",COUNTBLANK(OFFSET(A$1,,,SUMPRODUCT(MAX(ROW(E$2:E4189)*(E4189=E$2:E4189)))))-COUNTBLANK(OFFSET(A$1,,,SUMPRODUCT(MAX(ROW(E$1:E4188)*(E2=E$1:E4188))))))</f>
        <v> </v>
      </c>
      <c r="K4189" s="26" t="str">
        <f>IF(OR(E4189="",E4189="!!!",F4189="NEW"),"",INDEX(J$1:J4188,SUMPRODUCT(MAX(ROW(E$1:E4188)*(E4189=E$1:E4188)))))</f>
        <v> </v>
      </c>
      <c r="L4189" s="27"/>
    </row>
    <row r="4190" spans="1:12">
      <c r="A4190" s="20" t="s">
        <v>2631</v>
      </c>
      <c r="E4190" s="22">
        <f>IF(D4190="?OLD","!!!","")</f>
        <v/>
      </c>
      <c r="F4190" s="23" t="str">
        <f>IF(OR(E4190="",E4190="!!!"),"",IF(NOT(ISNA(VLOOKUP(E4190,E$1:E4189,1,FALSE()))),"OLD",IF(AND(E4190&lt;&gt;"",E4190&lt;&gt;"!!!"),"NEW","")))</f>
        <v> </v>
      </c>
      <c r="G4190" s="24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5" t="str">
        <f>IF(J4190&lt;&gt;1,"",IF(I4190="SBJ","CB","?"))</f>
        <v> </v>
      </c>
      <c r="I4190" s="26" t="str">
        <f>IF(OR(E4190="",E4190="!!!",F4190="NEW"),"",INDEX(B4189:B$2,-1+SUMPRODUCT(MAX(ROW(E4189:E$2)*(E4190=E4189:E$2)))))</f>
        <v> </v>
      </c>
      <c r="J4190" s="26" t="str">
        <f>IF(OR(E4190="",E4190="!!!",F4190="NEW"),"",COUNTBLANK(OFFSET(A$1,,,SUMPRODUCT(MAX(ROW(E$2:E4190)*(E4190=E$2:E4190)))))-COUNTBLANK(OFFSET(A$1,,,SUMPRODUCT(MAX(ROW(E$1:E4189)*(E2=E$1:E4189))))))</f>
        <v> </v>
      </c>
      <c r="K4190" s="26" t="str">
        <f>IF(OR(E4190="",E4190="!!!",F4190="NEW"),"",INDEX(J$1:J4189,SUMPRODUCT(MAX(ROW(E$1:E4189)*(E4190=E$1:E4189)))))</f>
        <v> </v>
      </c>
      <c r="L4190" s="27"/>
    </row>
    <row r="4191" spans="1:12">
      <c r="A4191" s="20" t="s">
        <v>2632</v>
      </c>
      <c r="B4191" s="21" t="s">
        <v>1227</v>
      </c>
      <c r="E4191" s="22">
        <f>IF(D4191="?OLD","!!!","")</f>
        <v/>
      </c>
      <c r="F4191" s="23" t="str">
        <f>IF(OR(E4191="",E4191="!!!"),"",IF(NOT(ISNA(VLOOKUP(E4191,E$1:E4190,1,FALSE()))),"OLD",IF(AND(E4191&lt;&gt;"",E4191&lt;&gt;"!!!"),"NEW","")))</f>
        <v> </v>
      </c>
      <c r="G4191" s="24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5" t="str">
        <f>IF(J4191&lt;&gt;1,"",IF(I4191="SBJ","CB","?"))</f>
        <v> </v>
      </c>
      <c r="I4191" s="26" t="str">
        <f>IF(OR(E4191="",E4191="!!!",F4191="NEW"),"",INDEX(B4190:B$2,-1+SUMPRODUCT(MAX(ROW(E4190:E$2)*(E4191=E4190:E$2)))))</f>
        <v> </v>
      </c>
      <c r="J4191" s="26" t="str">
        <f>IF(OR(E4191="",E4191="!!!",F4191="NEW"),"",COUNTBLANK(OFFSET(A$1,,,SUMPRODUCT(MAX(ROW(E$2:E4191)*(E4191=E$2:E4191)))))-COUNTBLANK(OFFSET(A$1,,,SUMPRODUCT(MAX(ROW(E$1:E4190)*(E2=E$1:E4190))))))</f>
        <v> </v>
      </c>
      <c r="K4191" s="26" t="str">
        <f>IF(OR(E4191="",E4191="!!!",F4191="NEW"),"",INDEX(J$1:J4190,SUMPRODUCT(MAX(ROW(E$1:E4190)*(E4191=E$1:E4190)))))</f>
        <v> </v>
      </c>
      <c r="L4191" s="27"/>
    </row>
    <row r="4192" spans="1:12">
      <c r="A4192" s="20" t="s">
        <v>1085</v>
      </c>
      <c r="E4192" s="22">
        <f>IF(D4192="?OLD","!!!","")</f>
        <v/>
      </c>
      <c r="F4192" s="23" t="str">
        <f>IF(OR(E4192="",E4192="!!!"),"",IF(NOT(ISNA(VLOOKUP(E4192,E$1:E4191,1,FALSE()))),"OLD",IF(AND(E4192&lt;&gt;"",E4192&lt;&gt;"!!!"),"NEW","")))</f>
        <v> </v>
      </c>
      <c r="G4192" s="24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5" t="str">
        <f>IF(J4192&lt;&gt;1,"",IF(I4192="SBJ","CB","?"))</f>
        <v> </v>
      </c>
      <c r="I4192" s="26" t="str">
        <f>IF(OR(E4192="",E4192="!!!",F4192="NEW"),"",INDEX(B4191:B$2,-1+SUMPRODUCT(MAX(ROW(E4191:E$2)*(E4192=E4191:E$2)))))</f>
        <v> </v>
      </c>
      <c r="J4192" s="26" t="str">
        <f>IF(OR(E4192="",E4192="!!!",F4192="NEW"),"",COUNTBLANK(OFFSET(A$1,,,SUMPRODUCT(MAX(ROW(E$2:E4192)*(E4192=E$2:E4192)))))-COUNTBLANK(OFFSET(A$1,,,SUMPRODUCT(MAX(ROW(E$1:E4191)*(E2=E$1:E4191))))))</f>
        <v> </v>
      </c>
      <c r="K4192" s="26" t="str">
        <f>IF(OR(E4192="",E4192="!!!",F4192="NEW"),"",INDEX(J$1:J4191,SUMPRODUCT(MAX(ROW(E$1:E4191)*(E4192=E$1:E4191)))))</f>
        <v> </v>
      </c>
      <c r="L4192" s="27"/>
    </row>
    <row r="4193" spans="1:12">
      <c r="A4193" s="20" t="s">
        <v>1945</v>
      </c>
      <c r="E4193" s="22">
        <f>IF(D4193="?OLD","!!!","")</f>
        <v/>
      </c>
      <c r="F4193" s="23" t="str">
        <f>IF(OR(E4193="",E4193="!!!"),"",IF(NOT(ISNA(VLOOKUP(E4193,E$1:E4192,1,FALSE()))),"OLD",IF(AND(E4193&lt;&gt;"",E4193&lt;&gt;"!!!"),"NEW","")))</f>
        <v> </v>
      </c>
      <c r="G4193" s="24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5" t="str">
        <f>IF(J4193&lt;&gt;1,"",IF(I4193="SBJ","CB","?"))</f>
        <v> </v>
      </c>
      <c r="I4193" s="26" t="str">
        <f>IF(OR(E4193="",E4193="!!!",F4193="NEW"),"",INDEX(B4192:B$2,-1+SUMPRODUCT(MAX(ROW(E4192:E$2)*(E4193=E4192:E$2)))))</f>
        <v> </v>
      </c>
      <c r="J4193" s="26" t="str">
        <f>IF(OR(E4193="",E4193="!!!",F4193="NEW"),"",COUNTBLANK(OFFSET(A$1,,,SUMPRODUCT(MAX(ROW(E$2:E4193)*(E4193=E$2:E4193)))))-COUNTBLANK(OFFSET(A$1,,,SUMPRODUCT(MAX(ROW(E$1:E4192)*(E2=E$1:E4192))))))</f>
        <v> </v>
      </c>
      <c r="K4193" s="26" t="str">
        <f>IF(OR(E4193="",E4193="!!!",F4193="NEW"),"",INDEX(J$1:J4192,SUMPRODUCT(MAX(ROW(E$1:E4192)*(E4193=E$1:E4192)))))</f>
        <v> </v>
      </c>
      <c r="L4193" s="27"/>
    </row>
    <row r="4194" spans="1:12">
      <c r="A4194" s="20" t="s">
        <v>1832</v>
      </c>
      <c r="B4194" s="21" t="s">
        <v>1077</v>
      </c>
      <c r="E4194" s="22">
        <f>IF(D4194="?OLD","!!!","")</f>
        <v/>
      </c>
      <c r="F4194" s="23" t="str">
        <f>IF(OR(E4194="",E4194="!!!"),"",IF(NOT(ISNA(VLOOKUP(E4194,E$1:E4193,1,FALSE()))),"OLD",IF(AND(E4194&lt;&gt;"",E4194&lt;&gt;"!!!"),"NEW","")))</f>
        <v> </v>
      </c>
      <c r="G4194" s="24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5" t="str">
        <f>IF(J4194&lt;&gt;1,"",IF(I4194="SBJ","CB","?"))</f>
        <v> </v>
      </c>
      <c r="I4194" s="26" t="str">
        <f>IF(OR(E4194="",E4194="!!!",F4194="NEW"),"",INDEX(B4193:B$2,-1+SUMPRODUCT(MAX(ROW(E4193:E$2)*(E4194=E4193:E$2)))))</f>
        <v> </v>
      </c>
      <c r="J4194" s="26" t="str">
        <f>IF(OR(E4194="",E4194="!!!",F4194="NEW"),"",COUNTBLANK(OFFSET(A$1,,,SUMPRODUCT(MAX(ROW(E$2:E4194)*(E4194=E$2:E4194)))))-COUNTBLANK(OFFSET(A$1,,,SUMPRODUCT(MAX(ROW(E$1:E4193)*(E2=E$1:E4193))))))</f>
        <v> </v>
      </c>
      <c r="K4194" s="26" t="str">
        <f>IF(OR(E4194="",E4194="!!!",F4194="NEW"),"",INDEX(J$1:J4193,SUMPRODUCT(MAX(ROW(E$1:E4193)*(E4194=E$1:E4193)))))</f>
        <v> </v>
      </c>
      <c r="L4194" s="27"/>
    </row>
    <row r="4195" spans="1:12">
      <c r="A4195" s="20" t="s">
        <v>1098</v>
      </c>
      <c r="E4195" s="22">
        <f>IF(D4195="?OLD","!!!","")</f>
        <v/>
      </c>
      <c r="F4195" s="23" t="str">
        <f>IF(OR(E4195="",E4195="!!!"),"",IF(NOT(ISNA(VLOOKUP(E4195,E$1:E4194,1,FALSE()))),"OLD",IF(AND(E4195&lt;&gt;"",E4195&lt;&gt;"!!!"),"NEW","")))</f>
        <v> </v>
      </c>
      <c r="G4195" s="24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5" t="str">
        <f>IF(J4195&lt;&gt;1,"",IF(I4195="SBJ","CB","?"))</f>
        <v> </v>
      </c>
      <c r="I4195" s="26" t="str">
        <f>IF(OR(E4195="",E4195="!!!",F4195="NEW"),"",INDEX(B4194:B$2,-1+SUMPRODUCT(MAX(ROW(E4194:E$2)*(E4195=E4194:E$2)))))</f>
        <v> </v>
      </c>
      <c r="J4195" s="26" t="str">
        <f>IF(OR(E4195="",E4195="!!!",F4195="NEW"),"",COUNTBLANK(OFFSET(A$1,,,SUMPRODUCT(MAX(ROW(E$2:E4195)*(E4195=E$2:E4195)))))-COUNTBLANK(OFFSET(A$1,,,SUMPRODUCT(MAX(ROW(E$1:E4194)*(E2=E$1:E4194))))))</f>
        <v> </v>
      </c>
      <c r="K4195" s="26" t="str">
        <f>IF(OR(E4195="",E4195="!!!",F4195="NEW"),"",INDEX(J$1:J4194,SUMPRODUCT(MAX(ROW(E$1:E4194)*(E4195=E$1:E4194)))))</f>
        <v> </v>
      </c>
      <c r="L4195" s="27"/>
    </row>
    <row r="4196" spans="1:12">
      <c r="A4196" s="20" t="s">
        <v>2633</v>
      </c>
      <c r="E4196" s="22">
        <f>IF(D4196="?OLD","!!!","")</f>
        <v/>
      </c>
      <c r="F4196" s="23" t="str">
        <f>IF(OR(E4196="",E4196="!!!"),"",IF(NOT(ISNA(VLOOKUP(E4196,E$1:E4195,1,FALSE()))),"OLD",IF(AND(E4196&lt;&gt;"",E4196&lt;&gt;"!!!"),"NEW","")))</f>
        <v> </v>
      </c>
      <c r="G4196" s="24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5" t="str">
        <f>IF(J4196&lt;&gt;1,"",IF(I4196="SBJ","CB","?"))</f>
        <v> </v>
      </c>
      <c r="I4196" s="26" t="str">
        <f>IF(OR(E4196="",E4196="!!!",F4196="NEW"),"",INDEX(B4195:B$2,-1+SUMPRODUCT(MAX(ROW(E4195:E$2)*(E4196=E4195:E$2)))))</f>
        <v> </v>
      </c>
      <c r="J4196" s="26" t="str">
        <f>IF(OR(E4196="",E4196="!!!",F4196="NEW"),"",COUNTBLANK(OFFSET(A$1,,,SUMPRODUCT(MAX(ROW(E$2:E4196)*(E4196=E$2:E4196)))))-COUNTBLANK(OFFSET(A$1,,,SUMPRODUCT(MAX(ROW(E$1:E4195)*(E2=E$1:E4195))))))</f>
        <v> </v>
      </c>
      <c r="K4196" s="26" t="str">
        <f>IF(OR(E4196="",E4196="!!!",F4196="NEW"),"",INDEX(J$1:J4195,SUMPRODUCT(MAX(ROW(E$1:E4195)*(E4196=E$1:E4195)))))</f>
        <v> </v>
      </c>
      <c r="L4196" s="27"/>
    </row>
    <row r="4197" spans="1:12">
      <c r="A4197" s="20" t="s">
        <v>1997</v>
      </c>
      <c r="E4197" s="22">
        <f>IF(D4197="?OLD","!!!","")</f>
        <v/>
      </c>
      <c r="F4197" s="23" t="str">
        <f>IF(OR(E4197="",E4197="!!!"),"",IF(NOT(ISNA(VLOOKUP(E4197,E$1:E4196,1,FALSE()))),"OLD",IF(AND(E4197&lt;&gt;"",E4197&lt;&gt;"!!!"),"NEW","")))</f>
        <v> </v>
      </c>
      <c r="G4197" s="24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5" t="str">
        <f>IF(J4197&lt;&gt;1,"",IF(I4197="SBJ","CB","?"))</f>
        <v> </v>
      </c>
      <c r="I4197" s="26" t="str">
        <f>IF(OR(E4197="",E4197="!!!",F4197="NEW"),"",INDEX(B4196:B$2,-1+SUMPRODUCT(MAX(ROW(E4196:E$2)*(E4197=E4196:E$2)))))</f>
        <v> </v>
      </c>
      <c r="J4197" s="26" t="str">
        <f>IF(OR(E4197="",E4197="!!!",F4197="NEW"),"",COUNTBLANK(OFFSET(A$1,,,SUMPRODUCT(MAX(ROW(E$2:E4197)*(E4197=E$2:E4197)))))-COUNTBLANK(OFFSET(A$1,,,SUMPRODUCT(MAX(ROW(E$1:E4196)*(E2=E$1:E4196))))))</f>
        <v> </v>
      </c>
      <c r="K4197" s="26" t="str">
        <f>IF(OR(E4197="",E4197="!!!",F4197="NEW"),"",INDEX(J$1:J4196,SUMPRODUCT(MAX(ROW(E$1:E4196)*(E4197=E$1:E4196)))))</f>
        <v> </v>
      </c>
      <c r="L4197" s="27"/>
    </row>
    <row r="4198" spans="1:12">
      <c r="A4198" s="20" t="s">
        <v>2634</v>
      </c>
      <c r="E4198" s="22">
        <f>IF(D4198="?OLD","!!!","")</f>
        <v/>
      </c>
      <c r="F4198" s="23" t="str">
        <f>IF(OR(E4198="",E4198="!!!"),"",IF(NOT(ISNA(VLOOKUP(E4198,E$1:E4197,1,FALSE()))),"OLD",IF(AND(E4198&lt;&gt;"",E4198&lt;&gt;"!!!"),"NEW","")))</f>
        <v> </v>
      </c>
      <c r="G4198" s="24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5" t="str">
        <f>IF(J4198&lt;&gt;1,"",IF(I4198="SBJ","CB","?"))</f>
        <v> </v>
      </c>
      <c r="I4198" s="26" t="str">
        <f>IF(OR(E4198="",E4198="!!!",F4198="NEW"),"",INDEX(B4197:B$2,-1+SUMPRODUCT(MAX(ROW(E4197:E$2)*(E4198=E4197:E$2)))))</f>
        <v> </v>
      </c>
      <c r="J4198" s="26" t="str">
        <f>IF(OR(E4198="",E4198="!!!",F4198="NEW"),"",COUNTBLANK(OFFSET(A$1,,,SUMPRODUCT(MAX(ROW(E$2:E4198)*(E4198=E$2:E4198)))))-COUNTBLANK(OFFSET(A$1,,,SUMPRODUCT(MAX(ROW(E$1:E4197)*(E2=E$1:E4197))))))</f>
        <v> </v>
      </c>
      <c r="K4198" s="26" t="str">
        <f>IF(OR(E4198="",E4198="!!!",F4198="NEW"),"",INDEX(J$1:J4197,SUMPRODUCT(MAX(ROW(E$1:E4197)*(E4198=E$1:E4197)))))</f>
        <v> </v>
      </c>
      <c r="L4198" s="27"/>
    </row>
    <row r="4199" spans="1:12">
      <c r="A4199" s="20" t="s">
        <v>2632</v>
      </c>
      <c r="B4199" s="21" t="s">
        <v>1080</v>
      </c>
      <c r="E4199" s="22">
        <f>IF(D4199="?OLD","!!!","")</f>
        <v/>
      </c>
      <c r="F4199" s="23" t="str">
        <f>IF(OR(E4199="",E4199="!!!"),"",IF(NOT(ISNA(VLOOKUP(E4199,E$1:E4198,1,FALSE()))),"OLD",IF(AND(E4199&lt;&gt;"",E4199&lt;&gt;"!!!"),"NEW","")))</f>
        <v> </v>
      </c>
      <c r="G4199" s="24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5" t="str">
        <f>IF(J4199&lt;&gt;1,"",IF(I4199="SBJ","CB","?"))</f>
        <v> </v>
      </c>
      <c r="I4199" s="26" t="str">
        <f>IF(OR(E4199="",E4199="!!!",F4199="NEW"),"",INDEX(B4198:B$2,-1+SUMPRODUCT(MAX(ROW(E4198:E$2)*(E4199=E4198:E$2)))))</f>
        <v> </v>
      </c>
      <c r="J4199" s="26" t="str">
        <f>IF(OR(E4199="",E4199="!!!",F4199="NEW"),"",COUNTBLANK(OFFSET(A$1,,,SUMPRODUCT(MAX(ROW(E$2:E4199)*(E4199=E$2:E4199)))))-COUNTBLANK(OFFSET(A$1,,,SUMPRODUCT(MAX(ROW(E$1:E4198)*(E2=E$1:E4198))))))</f>
        <v> </v>
      </c>
      <c r="K4199" s="26" t="str">
        <f>IF(OR(E4199="",E4199="!!!",F4199="NEW"),"",INDEX(J$1:J4198,SUMPRODUCT(MAX(ROW(E$1:E4198)*(E4199=E$1:E4198)))))</f>
        <v> </v>
      </c>
      <c r="L4199" s="27"/>
    </row>
    <row r="4200" spans="1:12">
      <c r="A4200" s="20" t="s">
        <v>1106</v>
      </c>
      <c r="E4200" s="22">
        <f>IF(D4200="?OLD","!!!","")</f>
        <v/>
      </c>
      <c r="F4200" s="23" t="str">
        <f>IF(OR(E4200="",E4200="!!!"),"",IF(NOT(ISNA(VLOOKUP(E4200,E$1:E4199,1,FALSE()))),"OLD",IF(AND(E4200&lt;&gt;"",E4200&lt;&gt;"!!!"),"NEW","")))</f>
        <v> </v>
      </c>
      <c r="G4200" s="24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5" t="str">
        <f>IF(J4200&lt;&gt;1,"",IF(I4200="SBJ","CB","?"))</f>
        <v> </v>
      </c>
      <c r="I4200" s="26" t="str">
        <f>IF(OR(E4200="",E4200="!!!",F4200="NEW"),"",INDEX(B4199:B$2,-1+SUMPRODUCT(MAX(ROW(E4199:E$2)*(E4200=E4199:E$2)))))</f>
        <v> </v>
      </c>
      <c r="J4200" s="26" t="str">
        <f>IF(OR(E4200="",E4200="!!!",F4200="NEW"),"",COUNTBLANK(OFFSET(A$1,,,SUMPRODUCT(MAX(ROW(E$2:E4200)*(E4200=E$2:E4200)))))-COUNTBLANK(OFFSET(A$1,,,SUMPRODUCT(MAX(ROW(E$1:E4199)*(E2=E$1:E4199))))))</f>
        <v> </v>
      </c>
      <c r="K4200" s="26" t="str">
        <f>IF(OR(E4200="",E4200="!!!",F4200="NEW"),"",INDEX(J$1:J4199,SUMPRODUCT(MAX(ROW(E$1:E4199)*(E4200=E$1:E4199)))))</f>
        <v> </v>
      </c>
      <c r="L4200" s="27"/>
    </row>
    <row r="4201" spans="1:12">
      <c r="A4201" s="20"/>
    </row>
    <row r="4202" spans="1:12">
      <c r="A4202" s="20" t="s">
        <v>2635</v>
      </c>
    </row>
    <row r="4203" spans="1:12">
      <c r="A4203" s="20" t="s">
        <v>2636</v>
      </c>
      <c r="B4203" s="21" t="s">
        <v>1109</v>
      </c>
      <c r="C4203" s="21" t="s">
        <v>1073</v>
      </c>
      <c r="D4203" s="21" t="s">
        <v>1074</v>
      </c>
      <c r="E4203" s="22">
        <f>IF(D4203="?OLD","!!!","")</f>
        <v/>
      </c>
      <c r="F4203" s="23" t="str">
        <f>IF(OR(E4203="",E4203="!!!"),"",IF(NOT(ISNA(VLOOKUP(E4203,E$1:E4202,1,FALSE()))),"OLD",IF(AND(E4203&lt;&gt;"",E4203&lt;&gt;"!!!"),"NEW","")))</f>
        <v> </v>
      </c>
      <c r="G4203" s="24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5" t="str">
        <f>IF(J4203&lt;&gt;1,"",IF(I4203="SBJ","CB","?"))</f>
        <v> </v>
      </c>
      <c r="I4203" s="26" t="str">
        <f>IF(OR(E4203="",E4203="!!!",F4203="NEW"),"",INDEX(B4202:B$2,-1+SUMPRODUCT(MAX(ROW(E4202:E$2)*(E4203=E4202:E$2)))))</f>
        <v> </v>
      </c>
      <c r="J4203" s="26" t="str">
        <f>IF(OR(E4203="",E4203="!!!",F4203="NEW"),"",COUNTBLANK(OFFSET(A$1,,,SUMPRODUCT(MAX(ROW(E$2:E4203)*(E4203=E$2:E4203)))))-COUNTBLANK(OFFSET(A$1,,,SUMPRODUCT(MAX(ROW(E$1:E4202)*(E2=E$1:E4202))))))</f>
        <v> </v>
      </c>
      <c r="K4203" s="26" t="str">
        <f>IF(OR(E4203="",E4203="!!!",F4203="NEW"),"",INDEX(J$1:J4202,SUMPRODUCT(MAX(ROW(E$1:E4202)*(E4203=E$1:E4202)))))</f>
        <v> </v>
      </c>
      <c r="L4203" s="27"/>
    </row>
    <row r="4204" spans="1:12">
      <c r="A4204" s="20" t="s">
        <v>2637</v>
      </c>
      <c r="B4204" s="21" t="s">
        <v>1180</v>
      </c>
      <c r="C4204" s="21" t="s">
        <v>1073</v>
      </c>
      <c r="D4204" s="21" t="s">
        <v>1074</v>
      </c>
      <c r="E4204" s="22">
        <f>IF(D4204="?OLD","!!!","")</f>
        <v/>
      </c>
      <c r="F4204" s="23" t="str">
        <f>IF(OR(E4204="",E4204="!!!"),"",IF(NOT(ISNA(VLOOKUP(E4204,E$1:E4203,1,FALSE()))),"OLD",IF(AND(E4204&lt;&gt;"",E4204&lt;&gt;"!!!"),"NEW","")))</f>
        <v> </v>
      </c>
      <c r="G4204" s="24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5" t="str">
        <f>IF(J4204&lt;&gt;1,"",IF(I4204="SBJ","CB","?"))</f>
        <v> </v>
      </c>
      <c r="I4204" s="26" t="str">
        <f>IF(OR(E4204="",E4204="!!!",F4204="NEW"),"",INDEX(B4203:B$2,-1+SUMPRODUCT(MAX(ROW(E4203:E$2)*(E4204=E4203:E$2)))))</f>
        <v> </v>
      </c>
      <c r="J4204" s="26" t="str">
        <f>IF(OR(E4204="",E4204="!!!",F4204="NEW"),"",COUNTBLANK(OFFSET(A$1,,,SUMPRODUCT(MAX(ROW(E$2:E4204)*(E4204=E$2:E4204)))))-COUNTBLANK(OFFSET(A$1,,,SUMPRODUCT(MAX(ROW(E$1:E4203)*(E2=E$1:E4203))))))</f>
        <v> </v>
      </c>
      <c r="K4204" s="26" t="str">
        <f>IF(OR(E4204="",E4204="!!!",F4204="NEW"),"",INDEX(J$1:J4203,SUMPRODUCT(MAX(ROW(E$1:E4203)*(E4204=E$1:E4203)))))</f>
        <v> </v>
      </c>
      <c r="L4204" s="27"/>
    </row>
    <row r="4205" spans="1:12">
      <c r="A4205" s="20" t="s">
        <v>1083</v>
      </c>
      <c r="E4205" s="22">
        <f>IF(D4205="?OLD","!!!","")</f>
        <v/>
      </c>
      <c r="F4205" s="23" t="str">
        <f>IF(OR(E4205="",E4205="!!!"),"",IF(NOT(ISNA(VLOOKUP(E4205,E$1:E4204,1,FALSE()))),"OLD",IF(AND(E4205&lt;&gt;"",E4205&lt;&gt;"!!!"),"NEW","")))</f>
        <v> </v>
      </c>
      <c r="G4205" s="24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5" t="str">
        <f>IF(J4205&lt;&gt;1,"",IF(I4205="SBJ","CB","?"))</f>
        <v> </v>
      </c>
      <c r="I4205" s="26" t="str">
        <f>IF(OR(E4205="",E4205="!!!",F4205="NEW"),"",INDEX(B4204:B$2,-1+SUMPRODUCT(MAX(ROW(E4204:E$2)*(E4205=E4204:E$2)))))</f>
        <v> </v>
      </c>
      <c r="J4205" s="26" t="str">
        <f>IF(OR(E4205="",E4205="!!!",F4205="NEW"),"",COUNTBLANK(OFFSET(A$1,,,SUMPRODUCT(MAX(ROW(E$2:E4205)*(E4205=E$2:E4205)))))-COUNTBLANK(OFFSET(A$1,,,SUMPRODUCT(MAX(ROW(E$1:E4204)*(E2=E$1:E4204))))))</f>
        <v> </v>
      </c>
      <c r="K4205" s="26" t="str">
        <f>IF(OR(E4205="",E4205="!!!",F4205="NEW"),"",INDEX(J$1:J4204,SUMPRODUCT(MAX(ROW(E$1:E4204)*(E4205=E$1:E4204)))))</f>
        <v> </v>
      </c>
      <c r="L4205" s="27"/>
    </row>
    <row r="4206" spans="1:12">
      <c r="A4206" s="20" t="s">
        <v>2638</v>
      </c>
      <c r="B4206" s="21" t="s">
        <v>1180</v>
      </c>
      <c r="C4206" s="21" t="s">
        <v>1073</v>
      </c>
      <c r="D4206" s="21" t="s">
        <v>1074</v>
      </c>
      <c r="E4206" s="22">
        <f>IF(D4206="?OLD","!!!","")</f>
        <v/>
      </c>
      <c r="F4206" s="23" t="str">
        <f>IF(OR(E4206="",E4206="!!!"),"",IF(NOT(ISNA(VLOOKUP(E4206,E$1:E4205,1,FALSE()))),"OLD",IF(AND(E4206&lt;&gt;"",E4206&lt;&gt;"!!!"),"NEW","")))</f>
        <v> </v>
      </c>
      <c r="G4206" s="24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5" t="str">
        <f>IF(J4206&lt;&gt;1,"",IF(I4206="SBJ","CB","?"))</f>
        <v> </v>
      </c>
      <c r="I4206" s="26" t="str">
        <f>IF(OR(E4206="",E4206="!!!",F4206="NEW"),"",INDEX(B4205:B$2,-1+SUMPRODUCT(MAX(ROW(E4205:E$2)*(E4206=E4205:E$2)))))</f>
        <v> </v>
      </c>
      <c r="J4206" s="26" t="str">
        <f>IF(OR(E4206="",E4206="!!!",F4206="NEW"),"",COUNTBLANK(OFFSET(A$1,,,SUMPRODUCT(MAX(ROW(E$2:E4206)*(E4206=E$2:E4206)))))-COUNTBLANK(OFFSET(A$1,,,SUMPRODUCT(MAX(ROW(E$1:E4205)*(E2=E$1:E4205))))))</f>
        <v> </v>
      </c>
      <c r="K4206" s="26" t="str">
        <f>IF(OR(E4206="",E4206="!!!",F4206="NEW"),"",INDEX(J$1:J4205,SUMPRODUCT(MAX(ROW(E$1:E4205)*(E4206=E$1:E4205)))))</f>
        <v> </v>
      </c>
      <c r="L4206" s="27"/>
    </row>
    <row r="4207" spans="1:12">
      <c r="A4207" s="20" t="s">
        <v>2639</v>
      </c>
      <c r="B4207" s="21" t="s">
        <v>1137</v>
      </c>
      <c r="C4207" s="21" t="s">
        <v>1073</v>
      </c>
      <c r="D4207" s="21" t="s">
        <v>1074</v>
      </c>
      <c r="E4207" s="22">
        <f>IF(D4207="?OLD","!!!","")</f>
        <v/>
      </c>
      <c r="F4207" s="23" t="str">
        <f>IF(OR(E4207="",E4207="!!!"),"",IF(NOT(ISNA(VLOOKUP(E4207,E$1:E4206,1,FALSE()))),"OLD",IF(AND(E4207&lt;&gt;"",E4207&lt;&gt;"!!!"),"NEW","")))</f>
        <v> </v>
      </c>
      <c r="G4207" s="24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5" t="str">
        <f>IF(J4207&lt;&gt;1,"",IF(I4207="SBJ","CB","?"))</f>
        <v> </v>
      </c>
      <c r="I4207" s="26" t="str">
        <f>IF(OR(E4207="",E4207="!!!",F4207="NEW"),"",INDEX(B4206:B$2,-1+SUMPRODUCT(MAX(ROW(E4206:E$2)*(E4207=E4206:E$2)))))</f>
        <v> </v>
      </c>
      <c r="J4207" s="26" t="str">
        <f>IF(OR(E4207="",E4207="!!!",F4207="NEW"),"",COUNTBLANK(OFFSET(A$1,,,SUMPRODUCT(MAX(ROW(E$2:E4207)*(E4207=E$2:E4207)))))-COUNTBLANK(OFFSET(A$1,,,SUMPRODUCT(MAX(ROW(E$1:E4206)*(E2=E$1:E4206))))))</f>
        <v> </v>
      </c>
      <c r="K4207" s="26" t="str">
        <f>IF(OR(E4207="",E4207="!!!",F4207="NEW"),"",INDEX(J$1:J4206,SUMPRODUCT(MAX(ROW(E$1:E4206)*(E4207=E$1:E4206)))))</f>
        <v> </v>
      </c>
      <c r="L4207" s="27"/>
    </row>
    <row r="4208" spans="1:12">
      <c r="A4208" s="20" t="s">
        <v>2640</v>
      </c>
      <c r="E4208" s="22">
        <f>IF(D4208="?OLD","!!!","")</f>
        <v/>
      </c>
      <c r="F4208" s="23" t="str">
        <f>IF(OR(E4208="",E4208="!!!"),"",IF(NOT(ISNA(VLOOKUP(E4208,E$1:E4207,1,FALSE()))),"OLD",IF(AND(E4208&lt;&gt;"",E4208&lt;&gt;"!!!"),"NEW","")))</f>
        <v> </v>
      </c>
      <c r="G4208" s="24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5" t="str">
        <f>IF(J4208&lt;&gt;1,"",IF(I4208="SBJ","CB","?"))</f>
        <v> </v>
      </c>
      <c r="I4208" s="26" t="str">
        <f>IF(OR(E4208="",E4208="!!!",F4208="NEW"),"",INDEX(B4207:B$2,-1+SUMPRODUCT(MAX(ROW(E4207:E$2)*(E4208=E4207:E$2)))))</f>
        <v> </v>
      </c>
      <c r="J4208" s="26" t="str">
        <f>IF(OR(E4208="",E4208="!!!",F4208="NEW"),"",COUNTBLANK(OFFSET(A$1,,,SUMPRODUCT(MAX(ROW(E$2:E4208)*(E4208=E$2:E4208)))))-COUNTBLANK(OFFSET(A$1,,,SUMPRODUCT(MAX(ROW(E$1:E4207)*(E2=E$1:E4207))))))</f>
        <v> </v>
      </c>
      <c r="K4208" s="26" t="str">
        <f>IF(OR(E4208="",E4208="!!!",F4208="NEW"),"",INDEX(J$1:J4207,SUMPRODUCT(MAX(ROW(E$1:E4207)*(E4208=E$1:E4207)))))</f>
        <v> </v>
      </c>
      <c r="L4208" s="27"/>
    </row>
    <row r="4209" spans="1:12">
      <c r="A4209" s="20" t="s">
        <v>2641</v>
      </c>
      <c r="B4209" s="21" t="s">
        <v>1227</v>
      </c>
      <c r="E4209" s="22">
        <f>IF(D4209="?OLD","!!!","")</f>
        <v/>
      </c>
      <c r="F4209" s="23" t="str">
        <f>IF(OR(E4209="",E4209="!!!"),"",IF(NOT(ISNA(VLOOKUP(E4209,E$1:E4208,1,FALSE()))),"OLD",IF(AND(E4209&lt;&gt;"",E4209&lt;&gt;"!!!"),"NEW","")))</f>
        <v> </v>
      </c>
      <c r="G4209" s="24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5" t="str">
        <f>IF(J4209&lt;&gt;1,"",IF(I4209="SBJ","CB","?"))</f>
        <v> </v>
      </c>
      <c r="I4209" s="26" t="str">
        <f>IF(OR(E4209="",E4209="!!!",F4209="NEW"),"",INDEX(B4208:B$2,-1+SUMPRODUCT(MAX(ROW(E4208:E$2)*(E4209=E4208:E$2)))))</f>
        <v> </v>
      </c>
      <c r="J4209" s="26" t="str">
        <f>IF(OR(E4209="",E4209="!!!",F4209="NEW"),"",COUNTBLANK(OFFSET(A$1,,,SUMPRODUCT(MAX(ROW(E$2:E4209)*(E4209=E$2:E4209)))))-COUNTBLANK(OFFSET(A$1,,,SUMPRODUCT(MAX(ROW(E$1:E4208)*(E2=E$1:E4208))))))</f>
        <v> </v>
      </c>
      <c r="K4209" s="26" t="str">
        <f>IF(OR(E4209="",E4209="!!!",F4209="NEW"),"",INDEX(J$1:J4208,SUMPRODUCT(MAX(ROW(E$1:E4208)*(E4209=E$1:E4208)))))</f>
        <v> </v>
      </c>
      <c r="L4209" s="27"/>
    </row>
    <row r="4210" spans="1:12">
      <c r="A4210" s="20" t="s">
        <v>1106</v>
      </c>
      <c r="E4210" s="22">
        <f>IF(D4210="?OLD","!!!","")</f>
        <v/>
      </c>
      <c r="F4210" s="23" t="str">
        <f>IF(OR(E4210="",E4210="!!!"),"",IF(NOT(ISNA(VLOOKUP(E4210,E$1:E4209,1,FALSE()))),"OLD",IF(AND(E4210&lt;&gt;"",E4210&lt;&gt;"!!!"),"NEW","")))</f>
        <v> </v>
      </c>
      <c r="G4210" s="24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5" t="str">
        <f>IF(J4210&lt;&gt;1,"",IF(I4210="SBJ","CB","?"))</f>
        <v> </v>
      </c>
      <c r="I4210" s="26" t="str">
        <f>IF(OR(E4210="",E4210="!!!",F4210="NEW"),"",INDEX(B4209:B$2,-1+SUMPRODUCT(MAX(ROW(E4209:E$2)*(E4210=E4209:E$2)))))</f>
        <v> </v>
      </c>
      <c r="J4210" s="26" t="str">
        <f>IF(OR(E4210="",E4210="!!!",F4210="NEW"),"",COUNTBLANK(OFFSET(A$1,,,SUMPRODUCT(MAX(ROW(E$2:E4210)*(E4210=E$2:E4210)))))-COUNTBLANK(OFFSET(A$1,,,SUMPRODUCT(MAX(ROW(E$1:E4209)*(E2=E$1:E4209))))))</f>
        <v> </v>
      </c>
      <c r="K4210" s="26" t="str">
        <f>IF(OR(E4210="",E4210="!!!",F4210="NEW"),"",INDEX(J$1:J4209,SUMPRODUCT(MAX(ROW(E$1:E4209)*(E4210=E$1:E4209)))))</f>
        <v> </v>
      </c>
      <c r="L4210" s="27"/>
    </row>
    <row r="4211" spans="1:12">
      <c r="A4211" s="20"/>
    </row>
    <row r="4212" spans="1:12">
      <c r="A4212" s="20" t="s">
        <v>2642</v>
      </c>
    </row>
    <row r="4213" spans="1:12">
      <c r="A4213" s="20" t="s">
        <v>2643</v>
      </c>
      <c r="E4213" s="22">
        <f>IF(D4213="?OLD","!!!","")</f>
        <v/>
      </c>
      <c r="F4213" s="23" t="str">
        <f>IF(OR(E4213="",E4213="!!!"),"",IF(NOT(ISNA(VLOOKUP(E4213,E$1:E4212,1,FALSE()))),"OLD",IF(AND(E4213&lt;&gt;"",E4213&lt;&gt;"!!!"),"NEW","")))</f>
        <v> </v>
      </c>
      <c r="G4213" s="24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5" t="str">
        <f>IF(J4213&lt;&gt;1,"",IF(I4213="SBJ","CB","?"))</f>
        <v> </v>
      </c>
      <c r="I4213" s="26" t="str">
        <f>IF(OR(E4213="",E4213="!!!",F4213="NEW"),"",INDEX(B4212:B$2,-1+SUMPRODUCT(MAX(ROW(E4212:E$2)*(E4213=E4212:E$2)))))</f>
        <v> </v>
      </c>
      <c r="J4213" s="26" t="str">
        <f>IF(OR(E4213="",E4213="!!!",F4213="NEW"),"",COUNTBLANK(OFFSET(A$1,,,SUMPRODUCT(MAX(ROW(E$2:E4213)*(E4213=E$2:E4213)))))-COUNTBLANK(OFFSET(A$1,,,SUMPRODUCT(MAX(ROW(E$1:E4212)*(E2=E$1:E4212))))))</f>
        <v> </v>
      </c>
      <c r="K4213" s="26" t="str">
        <f>IF(OR(E4213="",E4213="!!!",F4213="NEW"),"",INDEX(J$1:J4212,SUMPRODUCT(MAX(ROW(E$1:E4212)*(E4213=E$1:E4212)))))</f>
        <v> </v>
      </c>
      <c r="L4213" s="27"/>
    </row>
    <row r="4214" spans="1:12">
      <c r="A4214" s="20" t="s">
        <v>2625</v>
      </c>
      <c r="B4214" s="21" t="s">
        <v>1109</v>
      </c>
      <c r="C4214" s="21" t="s">
        <v>1167</v>
      </c>
      <c r="E4214" s="22">
        <f>IF(D4214="?OLD","!!!","")</f>
        <v/>
      </c>
      <c r="F4214" s="23" t="str">
        <f>IF(OR(E4214="",E4214="!!!"),"",IF(NOT(ISNA(VLOOKUP(E4214,E$1:E4213,1,FALSE()))),"OLD",IF(AND(E4214&lt;&gt;"",E4214&lt;&gt;"!!!"),"NEW","")))</f>
        <v> </v>
      </c>
      <c r="G4214" s="24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5" t="str">
        <f>IF(J4214&lt;&gt;1,"",IF(I4214="SBJ","CB","?"))</f>
        <v> </v>
      </c>
      <c r="I4214" s="26" t="str">
        <f>IF(OR(E4214="",E4214="!!!",F4214="NEW"),"",INDEX(B4213:B$2,-1+SUMPRODUCT(MAX(ROW(E4213:E$2)*(E4214=E4213:E$2)))))</f>
        <v> </v>
      </c>
      <c r="J4214" s="26" t="str">
        <f>IF(OR(E4214="",E4214="!!!",F4214="NEW"),"",COUNTBLANK(OFFSET(A$1,,,SUMPRODUCT(MAX(ROW(E$2:E4214)*(E4214=E$2:E4214)))))-COUNTBLANK(OFFSET(A$1,,,SUMPRODUCT(MAX(ROW(E$1:E4213)*(E2=E$1:E4213))))))</f>
        <v> </v>
      </c>
      <c r="K4214" s="26" t="str">
        <f>IF(OR(E4214="",E4214="!!!",F4214="NEW"),"",INDEX(J$1:J4213,SUMPRODUCT(MAX(ROW(E$1:E4213)*(E4214=E$1:E4213)))))</f>
        <v> </v>
      </c>
      <c r="L4214" s="27"/>
    </row>
    <row r="4215" spans="1:12">
      <c r="A4215" s="20" t="s">
        <v>1252</v>
      </c>
      <c r="E4215" s="22">
        <f>IF(D4215="?OLD","!!!","")</f>
        <v/>
      </c>
      <c r="F4215" s="23" t="str">
        <f>IF(OR(E4215="",E4215="!!!"),"",IF(NOT(ISNA(VLOOKUP(E4215,E$1:E4214,1,FALSE()))),"OLD",IF(AND(E4215&lt;&gt;"",E4215&lt;&gt;"!!!"),"NEW","")))</f>
        <v> </v>
      </c>
      <c r="G4215" s="24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5" t="str">
        <f>IF(J4215&lt;&gt;1,"",IF(I4215="SBJ","CB","?"))</f>
        <v> </v>
      </c>
      <c r="I4215" s="26" t="str">
        <f>IF(OR(E4215="",E4215="!!!",F4215="NEW"),"",INDEX(B4214:B$2,-1+SUMPRODUCT(MAX(ROW(E4214:E$2)*(E4215=E4214:E$2)))))</f>
        <v> </v>
      </c>
      <c r="J4215" s="26" t="str">
        <f>IF(OR(E4215="",E4215="!!!",F4215="NEW"),"",COUNTBLANK(OFFSET(A$1,,,SUMPRODUCT(MAX(ROW(E$2:E4215)*(E4215=E$2:E4215)))))-COUNTBLANK(OFFSET(A$1,,,SUMPRODUCT(MAX(ROW(E$1:E4214)*(E2=E$1:E4214))))))</f>
        <v> </v>
      </c>
      <c r="K4215" s="26" t="str">
        <f>IF(OR(E4215="",E4215="!!!",F4215="NEW"),"",INDEX(J$1:J4214,SUMPRODUCT(MAX(ROW(E$1:E4214)*(E4215=E$1:E4214)))))</f>
        <v> </v>
      </c>
      <c r="L4215" s="27"/>
    </row>
    <row r="4216" spans="1:12">
      <c r="A4216" s="20" t="s">
        <v>2644</v>
      </c>
      <c r="E4216" s="22">
        <f>IF(D4216="?OLD","!!!","")</f>
        <v/>
      </c>
      <c r="F4216" s="23" t="str">
        <f>IF(OR(E4216="",E4216="!!!"),"",IF(NOT(ISNA(VLOOKUP(E4216,E$1:E4215,1,FALSE()))),"OLD",IF(AND(E4216&lt;&gt;"",E4216&lt;&gt;"!!!"),"NEW","")))</f>
        <v> </v>
      </c>
      <c r="G4216" s="24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5" t="str">
        <f>IF(J4216&lt;&gt;1,"",IF(I4216="SBJ","CB","?"))</f>
        <v> </v>
      </c>
      <c r="I4216" s="26" t="str">
        <f>IF(OR(E4216="",E4216="!!!",F4216="NEW"),"",INDEX(B4215:B$2,-1+SUMPRODUCT(MAX(ROW(E4215:E$2)*(E4216=E4215:E$2)))))</f>
        <v> </v>
      </c>
      <c r="J4216" s="26" t="str">
        <f>IF(OR(E4216="",E4216="!!!",F4216="NEW"),"",COUNTBLANK(OFFSET(A$1,,,SUMPRODUCT(MAX(ROW(E$2:E4216)*(E4216=E$2:E4216)))))-COUNTBLANK(OFFSET(A$1,,,SUMPRODUCT(MAX(ROW(E$1:E4215)*(E2=E$1:E4215))))))</f>
        <v> </v>
      </c>
      <c r="K4216" s="26" t="str">
        <f>IF(OR(E4216="",E4216="!!!",F4216="NEW"),"",INDEX(J$1:J4215,SUMPRODUCT(MAX(ROW(E$1:E4215)*(E4216=E$1:E4215)))))</f>
        <v> </v>
      </c>
      <c r="L4216" s="27"/>
    </row>
    <row r="4217" spans="1:12">
      <c r="A4217" s="20" t="s">
        <v>1415</v>
      </c>
      <c r="B4217" s="21" t="s">
        <v>1072</v>
      </c>
      <c r="C4217" s="21" t="s">
        <v>1154</v>
      </c>
      <c r="D4217" s="21" t="s">
        <v>1074</v>
      </c>
      <c r="E4217" s="22">
        <f>IF(D4217="?OLD","!!!","")</f>
        <v/>
      </c>
      <c r="F4217" s="23" t="str">
        <f>IF(OR(E4217="",E4217="!!!"),"",IF(NOT(ISNA(VLOOKUP(E4217,E$1:E4216,1,FALSE()))),"OLD",IF(AND(E4217&lt;&gt;"",E4217&lt;&gt;"!!!"),"NEW","")))</f>
        <v> </v>
      </c>
      <c r="G4217" s="24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5" t="str">
        <f>IF(J4217&lt;&gt;1,"",IF(I4217="SBJ","CB","?"))</f>
        <v> </v>
      </c>
      <c r="I4217" s="26" t="str">
        <f>IF(OR(E4217="",E4217="!!!",F4217="NEW"),"",INDEX(B4216:B$2,-1+SUMPRODUCT(MAX(ROW(E4216:E$2)*(E4217=E4216:E$2)))))</f>
        <v> </v>
      </c>
      <c r="J4217" s="26" t="str">
        <f>IF(OR(E4217="",E4217="!!!",F4217="NEW"),"",COUNTBLANK(OFFSET(A$1,,,SUMPRODUCT(MAX(ROW(E$2:E4217)*(E4217=E$2:E4217)))))-COUNTBLANK(OFFSET(A$1,,,SUMPRODUCT(MAX(ROW(E$1:E4216)*(E2=E$1:E4216))))))</f>
        <v> </v>
      </c>
      <c r="K4217" s="26" t="str">
        <f>IF(OR(E4217="",E4217="!!!",F4217="NEW"),"",INDEX(J$1:J4216,SUMPRODUCT(MAX(ROW(E$1:E4216)*(E4217=E$1:E4216)))))</f>
        <v> </v>
      </c>
      <c r="L4217" s="27"/>
    </row>
    <row r="4218" spans="1:12">
      <c r="A4218" s="20" t="s">
        <v>1085</v>
      </c>
      <c r="E4218" s="22">
        <f>IF(D4218="?OLD","!!!","")</f>
        <v/>
      </c>
      <c r="F4218" s="23" t="str">
        <f>IF(OR(E4218="",E4218="!!!"),"",IF(NOT(ISNA(VLOOKUP(E4218,E$1:E4217,1,FALSE()))),"OLD",IF(AND(E4218&lt;&gt;"",E4218&lt;&gt;"!!!"),"NEW","")))</f>
        <v> </v>
      </c>
      <c r="G4218" s="24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5" t="str">
        <f>IF(J4218&lt;&gt;1,"",IF(I4218="SBJ","CB","?"))</f>
        <v> </v>
      </c>
      <c r="I4218" s="26" t="str">
        <f>IF(OR(E4218="",E4218="!!!",F4218="NEW"),"",INDEX(B4217:B$2,-1+SUMPRODUCT(MAX(ROW(E4217:E$2)*(E4218=E4217:E$2)))))</f>
        <v> </v>
      </c>
      <c r="J4218" s="26" t="str">
        <f>IF(OR(E4218="",E4218="!!!",F4218="NEW"),"",COUNTBLANK(OFFSET(A$1,,,SUMPRODUCT(MAX(ROW(E$2:E4218)*(E4218=E$2:E4218)))))-COUNTBLANK(OFFSET(A$1,,,SUMPRODUCT(MAX(ROW(E$1:E4217)*(E2=E$1:E4217))))))</f>
        <v> </v>
      </c>
      <c r="K4218" s="26" t="str">
        <f>IF(OR(E4218="",E4218="!!!",F4218="NEW"),"",INDEX(J$1:J4217,SUMPRODUCT(MAX(ROW(E$1:E4217)*(E4218=E$1:E4217)))))</f>
        <v> </v>
      </c>
      <c r="L4218" s="27"/>
    </row>
    <row r="4219" spans="1:12">
      <c r="A4219" s="20" t="s">
        <v>1155</v>
      </c>
      <c r="E4219" s="22">
        <f>IF(D4219="?OLD","!!!","")</f>
        <v/>
      </c>
      <c r="F4219" s="23" t="str">
        <f>IF(OR(E4219="",E4219="!!!"),"",IF(NOT(ISNA(VLOOKUP(E4219,E$1:E4218,1,FALSE()))),"OLD",IF(AND(E4219&lt;&gt;"",E4219&lt;&gt;"!!!"),"NEW","")))</f>
        <v> </v>
      </c>
      <c r="G4219" s="24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5" t="str">
        <f>IF(J4219&lt;&gt;1,"",IF(I4219="SBJ","CB","?"))</f>
        <v> </v>
      </c>
      <c r="I4219" s="26" t="str">
        <f>IF(OR(E4219="",E4219="!!!",F4219="NEW"),"",INDEX(B4218:B$2,-1+SUMPRODUCT(MAX(ROW(E4218:E$2)*(E4219=E4218:E$2)))))</f>
        <v> </v>
      </c>
      <c r="J4219" s="26" t="str">
        <f>IF(OR(E4219="",E4219="!!!",F4219="NEW"),"",COUNTBLANK(OFFSET(A$1,,,SUMPRODUCT(MAX(ROW(E$2:E4219)*(E4219=E$2:E4219)))))-COUNTBLANK(OFFSET(A$1,,,SUMPRODUCT(MAX(ROW(E$1:E4218)*(E2=E$1:E4218))))))</f>
        <v> </v>
      </c>
      <c r="K4219" s="26" t="str">
        <f>IF(OR(E4219="",E4219="!!!",F4219="NEW"),"",INDEX(J$1:J4218,SUMPRODUCT(MAX(ROW(E$1:E4218)*(E4219=E$1:E4218)))))</f>
        <v> </v>
      </c>
      <c r="L4219" s="27"/>
    </row>
    <row r="4220" spans="1:12">
      <c r="A4220" s="20" t="s">
        <v>1087</v>
      </c>
      <c r="B4220" s="21" t="s">
        <v>1119</v>
      </c>
      <c r="C4220" s="21" t="s">
        <v>1081</v>
      </c>
      <c r="D4220" s="21" t="s">
        <v>1074</v>
      </c>
      <c r="E4220" s="22">
        <f>IF(D4220="?OLD","!!!","")</f>
        <v/>
      </c>
      <c r="F4220" s="23" t="str">
        <f>IF(OR(E4220="",E4220="!!!"),"",IF(NOT(ISNA(VLOOKUP(E4220,E$1:E4219,1,FALSE()))),"OLD",IF(AND(E4220&lt;&gt;"",E4220&lt;&gt;"!!!"),"NEW","")))</f>
        <v> </v>
      </c>
      <c r="G4220" s="24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5" t="str">
        <f>IF(J4220&lt;&gt;1,"",IF(I4220="SBJ","CB","?"))</f>
        <v> </v>
      </c>
      <c r="I4220" s="26" t="str">
        <f>IF(OR(E4220="",E4220="!!!",F4220="NEW"),"",INDEX(B4219:B$2,-1+SUMPRODUCT(MAX(ROW(E4219:E$2)*(E4220=E4219:E$2)))))</f>
        <v> </v>
      </c>
      <c r="J4220" s="26" t="str">
        <f>IF(OR(E4220="",E4220="!!!",F4220="NEW"),"",COUNTBLANK(OFFSET(A$1,,,SUMPRODUCT(MAX(ROW(E$2:E4220)*(E4220=E$2:E4220)))))-COUNTBLANK(OFFSET(A$1,,,SUMPRODUCT(MAX(ROW(E$1:E4219)*(E2=E$1:E4219))))))</f>
        <v> </v>
      </c>
      <c r="K4220" s="26" t="str">
        <f>IF(OR(E4220="",E4220="!!!",F4220="NEW"),"",INDEX(J$1:J4219,SUMPRODUCT(MAX(ROW(E$1:E4219)*(E4220=E$1:E4219)))))</f>
        <v> </v>
      </c>
      <c r="L4220" s="27"/>
    </row>
    <row r="4221" spans="1:12">
      <c r="A4221" s="20" t="s">
        <v>2409</v>
      </c>
      <c r="E4221" s="22">
        <f>IF(D4221="?OLD","!!!","")</f>
        <v/>
      </c>
      <c r="F4221" s="23" t="str">
        <f>IF(OR(E4221="",E4221="!!!"),"",IF(NOT(ISNA(VLOOKUP(E4221,E$1:E4220,1,FALSE()))),"OLD",IF(AND(E4221&lt;&gt;"",E4221&lt;&gt;"!!!"),"NEW","")))</f>
        <v> </v>
      </c>
      <c r="G4221" s="24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5" t="str">
        <f>IF(J4221&lt;&gt;1,"",IF(I4221="SBJ","CB","?"))</f>
        <v> </v>
      </c>
      <c r="I4221" s="26" t="str">
        <f>IF(OR(E4221="",E4221="!!!",F4221="NEW"),"",INDEX(B4220:B$2,-1+SUMPRODUCT(MAX(ROW(E4220:E$2)*(E4221=E4220:E$2)))))</f>
        <v> </v>
      </c>
      <c r="J4221" s="26" t="str">
        <f>IF(OR(E4221="",E4221="!!!",F4221="NEW"),"",COUNTBLANK(OFFSET(A$1,,,SUMPRODUCT(MAX(ROW(E$2:E4221)*(E4221=E$2:E4221)))))-COUNTBLANK(OFFSET(A$1,,,SUMPRODUCT(MAX(ROW(E$1:E4220)*(E2=E$1:E4220))))))</f>
        <v> </v>
      </c>
      <c r="K4221" s="26" t="str">
        <f>IF(OR(E4221="",E4221="!!!",F4221="NEW"),"",INDEX(J$1:J4220,SUMPRODUCT(MAX(ROW(E$1:E4220)*(E4221=E$1:E4220)))))</f>
        <v> </v>
      </c>
      <c r="L4221" s="27"/>
    </row>
    <row r="4222" spans="1:12">
      <c r="A4222" s="20" t="s">
        <v>1085</v>
      </c>
      <c r="E4222" s="22">
        <f>IF(D4222="?OLD","!!!","")</f>
        <v/>
      </c>
      <c r="F4222" s="23" t="str">
        <f>IF(OR(E4222="",E4222="!!!"),"",IF(NOT(ISNA(VLOOKUP(E4222,E$1:E4221,1,FALSE()))),"OLD",IF(AND(E4222&lt;&gt;"",E4222&lt;&gt;"!!!"),"NEW","")))</f>
        <v> </v>
      </c>
      <c r="G4222" s="24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5" t="str">
        <f>IF(J4222&lt;&gt;1,"",IF(I4222="SBJ","CB","?"))</f>
        <v> </v>
      </c>
      <c r="I4222" s="26" t="str">
        <f>IF(OR(E4222="",E4222="!!!",F4222="NEW"),"",INDEX(B4221:B$2,-1+SUMPRODUCT(MAX(ROW(E4221:E$2)*(E4222=E4221:E$2)))))</f>
        <v> </v>
      </c>
      <c r="J4222" s="26" t="str">
        <f>IF(OR(E4222="",E4222="!!!",F4222="NEW"),"",COUNTBLANK(OFFSET(A$1,,,SUMPRODUCT(MAX(ROW(E$2:E4222)*(E4222=E$2:E4222)))))-COUNTBLANK(OFFSET(A$1,,,SUMPRODUCT(MAX(ROW(E$1:E4221)*(E2=E$1:E4221))))))</f>
        <v> </v>
      </c>
      <c r="K4222" s="26" t="str">
        <f>IF(OR(E4222="",E4222="!!!",F4222="NEW"),"",INDEX(J$1:J4221,SUMPRODUCT(MAX(ROW(E$1:E4221)*(E4222=E$1:E4221)))))</f>
        <v> </v>
      </c>
      <c r="L4222" s="27"/>
    </row>
    <row r="4223" spans="1:12">
      <c r="A4223" s="20" t="s">
        <v>2645</v>
      </c>
      <c r="E4223" s="22">
        <f>IF(D4223="?OLD","!!!","")</f>
        <v/>
      </c>
      <c r="F4223" s="23" t="str">
        <f>IF(OR(E4223="",E4223="!!!"),"",IF(NOT(ISNA(VLOOKUP(E4223,E$1:E4222,1,FALSE()))),"OLD",IF(AND(E4223&lt;&gt;"",E4223&lt;&gt;"!!!"),"NEW","")))</f>
        <v> </v>
      </c>
      <c r="G4223" s="24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5" t="str">
        <f>IF(J4223&lt;&gt;1,"",IF(I4223="SBJ","CB","?"))</f>
        <v> </v>
      </c>
      <c r="I4223" s="26" t="str">
        <f>IF(OR(E4223="",E4223="!!!",F4223="NEW"),"",INDEX(B4222:B$2,-1+SUMPRODUCT(MAX(ROW(E4222:E$2)*(E4223=E4222:E$2)))))</f>
        <v> </v>
      </c>
      <c r="J4223" s="26" t="str">
        <f>IF(OR(E4223="",E4223="!!!",F4223="NEW"),"",COUNTBLANK(OFFSET(A$1,,,SUMPRODUCT(MAX(ROW(E$2:E4223)*(E4223=E$2:E4223)))))-COUNTBLANK(OFFSET(A$1,,,SUMPRODUCT(MAX(ROW(E$1:E4222)*(E2=E$1:E4222))))))</f>
        <v> </v>
      </c>
      <c r="K4223" s="26" t="str">
        <f>IF(OR(E4223="",E4223="!!!",F4223="NEW"),"",INDEX(J$1:J4222,SUMPRODUCT(MAX(ROW(E$1:E4222)*(E4223=E$1:E4222)))))</f>
        <v> </v>
      </c>
      <c r="L4223" s="27"/>
    </row>
    <row r="4224" spans="1:12">
      <c r="A4224" s="20" t="s">
        <v>1298</v>
      </c>
      <c r="B4224" s="21" t="s">
        <v>1227</v>
      </c>
      <c r="C4224" s="21" t="s">
        <v>1081</v>
      </c>
      <c r="D4224" s="21" t="s">
        <v>1074</v>
      </c>
      <c r="E4224" s="22">
        <f>IF(D4224="?OLD","!!!","")</f>
        <v/>
      </c>
      <c r="F4224" s="23" t="str">
        <f>IF(OR(E4224="",E4224="!!!"),"",IF(NOT(ISNA(VLOOKUP(E4224,E$1:E4223,1,FALSE()))),"OLD",IF(AND(E4224&lt;&gt;"",E4224&lt;&gt;"!!!"),"NEW","")))</f>
        <v> </v>
      </c>
      <c r="G4224" s="24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5" t="str">
        <f>IF(J4224&lt;&gt;1,"",IF(I4224="SBJ","CB","?"))</f>
        <v> </v>
      </c>
      <c r="I4224" s="26" t="str">
        <f>IF(OR(E4224="",E4224="!!!",F4224="NEW"),"",INDEX(B4223:B$2,-1+SUMPRODUCT(MAX(ROW(E4223:E$2)*(E4224=E4223:E$2)))))</f>
        <v> </v>
      </c>
      <c r="J4224" s="26" t="str">
        <f>IF(OR(E4224="",E4224="!!!",F4224="NEW"),"",COUNTBLANK(OFFSET(A$1,,,SUMPRODUCT(MAX(ROW(E$2:E4224)*(E4224=E$2:E4224)))))-COUNTBLANK(OFFSET(A$1,,,SUMPRODUCT(MAX(ROW(E$1:E4223)*(E2=E$1:E4223))))))</f>
        <v> </v>
      </c>
      <c r="K4224" s="26" t="str">
        <f>IF(OR(E4224="",E4224="!!!",F4224="NEW"),"",INDEX(J$1:J4223,SUMPRODUCT(MAX(ROW(E$1:E4223)*(E4224=E$1:E4223)))))</f>
        <v> </v>
      </c>
      <c r="L4224" s="27"/>
    </row>
    <row r="4225" spans="1:12">
      <c r="A4225" s="20" t="s">
        <v>446</v>
      </c>
      <c r="E4225" s="22">
        <f>IF(D4225="?OLD","!!!","")</f>
        <v/>
      </c>
      <c r="F4225" s="23" t="str">
        <f>IF(OR(E4225="",E4225="!!!"),"",IF(NOT(ISNA(VLOOKUP(E4225,E$1:E4224,1,FALSE()))),"OLD",IF(AND(E4225&lt;&gt;"",E4225&lt;&gt;"!!!"),"NEW","")))</f>
        <v> </v>
      </c>
      <c r="G4225" s="24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5" t="str">
        <f>IF(J4225&lt;&gt;1,"",IF(I4225="SBJ","CB","?"))</f>
        <v> </v>
      </c>
      <c r="I4225" s="26" t="str">
        <f>IF(OR(E4225="",E4225="!!!",F4225="NEW"),"",INDEX(B4224:B$2,-1+SUMPRODUCT(MAX(ROW(E4224:E$2)*(E4225=E4224:E$2)))))</f>
        <v> </v>
      </c>
      <c r="J4225" s="26" t="str">
        <f>IF(OR(E4225="",E4225="!!!",F4225="NEW"),"",COUNTBLANK(OFFSET(A$1,,,SUMPRODUCT(MAX(ROW(E$2:E4225)*(E4225=E$2:E4225)))))-COUNTBLANK(OFFSET(A$1,,,SUMPRODUCT(MAX(ROW(E$1:E4224)*(E2=E$1:E4224))))))</f>
        <v> </v>
      </c>
      <c r="K4225" s="26" t="str">
        <f>IF(OR(E4225="",E4225="!!!",F4225="NEW"),"",INDEX(J$1:J4224,SUMPRODUCT(MAX(ROW(E$1:E4224)*(E4225=E$1:E4224)))))</f>
        <v> </v>
      </c>
      <c r="L4225" s="27"/>
    </row>
    <row r="4226" spans="1:12">
      <c r="A4226" s="20" t="s">
        <v>1138</v>
      </c>
      <c r="E4226" s="22">
        <f>IF(D4226="?OLD","!!!","")</f>
        <v/>
      </c>
      <c r="F4226" s="23" t="str">
        <f>IF(OR(E4226="",E4226="!!!"),"",IF(NOT(ISNA(VLOOKUP(E4226,E$1:E4225,1,FALSE()))),"OLD",IF(AND(E4226&lt;&gt;"",E4226&lt;&gt;"!!!"),"NEW","")))</f>
        <v> </v>
      </c>
      <c r="G4226" s="24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5" t="str">
        <f>IF(J4226&lt;&gt;1,"",IF(I4226="SBJ","CB","?"))</f>
        <v> </v>
      </c>
      <c r="I4226" s="26" t="str">
        <f>IF(OR(E4226="",E4226="!!!",F4226="NEW"),"",INDEX(B4225:B$2,-1+SUMPRODUCT(MAX(ROW(E4225:E$2)*(E4226=E4225:E$2)))))</f>
        <v> </v>
      </c>
      <c r="J4226" s="26" t="str">
        <f>IF(OR(E4226="",E4226="!!!",F4226="NEW"),"",COUNTBLANK(OFFSET(A$1,,,SUMPRODUCT(MAX(ROW(E$2:E4226)*(E4226=E$2:E4226)))))-COUNTBLANK(OFFSET(A$1,,,SUMPRODUCT(MAX(ROW(E$1:E4225)*(E2=E$1:E4225))))))</f>
        <v> </v>
      </c>
      <c r="K4226" s="26" t="str">
        <f>IF(OR(E4226="",E4226="!!!",F4226="NEW"),"",INDEX(J$1:J4225,SUMPRODUCT(MAX(ROW(E$1:E4225)*(E4226=E$1:E4225)))))</f>
        <v> </v>
      </c>
      <c r="L4226" s="27"/>
    </row>
    <row r="4227" spans="1:12">
      <c r="A4227" s="20" t="s">
        <v>1173</v>
      </c>
      <c r="E4227" s="22">
        <f>IF(D4227="?OLD","!!!","")</f>
        <v/>
      </c>
      <c r="F4227" s="23" t="str">
        <f>IF(OR(E4227="",E4227="!!!"),"",IF(NOT(ISNA(VLOOKUP(E4227,E$1:E4226,1,FALSE()))),"OLD",IF(AND(E4227&lt;&gt;"",E4227&lt;&gt;"!!!"),"NEW","")))</f>
        <v> </v>
      </c>
      <c r="G4227" s="24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5" t="str">
        <f>IF(J4227&lt;&gt;1,"",IF(I4227="SBJ","CB","?"))</f>
        <v> </v>
      </c>
      <c r="I4227" s="26" t="str">
        <f>IF(OR(E4227="",E4227="!!!",F4227="NEW"),"",INDEX(B4226:B$2,-1+SUMPRODUCT(MAX(ROW(E4226:E$2)*(E4227=E4226:E$2)))))</f>
        <v> </v>
      </c>
      <c r="J4227" s="26" t="str">
        <f>IF(OR(E4227="",E4227="!!!",F4227="NEW"),"",COUNTBLANK(OFFSET(A$1,,,SUMPRODUCT(MAX(ROW(E$2:E4227)*(E4227=E$2:E4227)))))-COUNTBLANK(OFFSET(A$1,,,SUMPRODUCT(MAX(ROW(E$1:E4226)*(E2=E$1:E4226))))))</f>
        <v> </v>
      </c>
      <c r="K4227" s="26" t="str">
        <f>IF(OR(E4227="",E4227="!!!",F4227="NEW"),"",INDEX(J$1:J4226,SUMPRODUCT(MAX(ROW(E$1:E4226)*(E4227=E$1:E4226)))))</f>
        <v> </v>
      </c>
      <c r="L4227" s="27"/>
    </row>
    <row r="4228" spans="1:12">
      <c r="A4228" s="20" t="s">
        <v>1083</v>
      </c>
      <c r="E4228" s="22">
        <f>IF(D4228="?OLD","!!!","")</f>
        <v/>
      </c>
      <c r="F4228" s="23" t="str">
        <f>IF(OR(E4228="",E4228="!!!"),"",IF(NOT(ISNA(VLOOKUP(E4228,E$1:E4227,1,FALSE()))),"OLD",IF(AND(E4228&lt;&gt;"",E4228&lt;&gt;"!!!"),"NEW","")))</f>
        <v> </v>
      </c>
      <c r="G4228" s="24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5" t="str">
        <f>IF(J4228&lt;&gt;1,"",IF(I4228="SBJ","CB","?"))</f>
        <v> </v>
      </c>
      <c r="I4228" s="26" t="str">
        <f>IF(OR(E4228="",E4228="!!!",F4228="NEW"),"",INDEX(B4227:B$2,-1+SUMPRODUCT(MAX(ROW(E4227:E$2)*(E4228=E4227:E$2)))))</f>
        <v> </v>
      </c>
      <c r="J4228" s="26" t="str">
        <f>IF(OR(E4228="",E4228="!!!",F4228="NEW"),"",COUNTBLANK(OFFSET(A$1,,,SUMPRODUCT(MAX(ROW(E$2:E4228)*(E4228=E$2:E4228)))))-COUNTBLANK(OFFSET(A$1,,,SUMPRODUCT(MAX(ROW(E$1:E4227)*(E2=E$1:E4227))))))</f>
        <v> </v>
      </c>
      <c r="K4228" s="26" t="str">
        <f>IF(OR(E4228="",E4228="!!!",F4228="NEW"),"",INDEX(J$1:J4227,SUMPRODUCT(MAX(ROW(E$1:E4227)*(E4228=E$1:E4227)))))</f>
        <v> </v>
      </c>
      <c r="L4228" s="27"/>
    </row>
    <row r="4229" spans="1:12">
      <c r="A4229" s="20" t="s">
        <v>1098</v>
      </c>
      <c r="E4229" s="22">
        <f>IF(D4229="?OLD","!!!","")</f>
        <v/>
      </c>
      <c r="F4229" s="23" t="str">
        <f>IF(OR(E4229="",E4229="!!!"),"",IF(NOT(ISNA(VLOOKUP(E4229,E$1:E4228,1,FALSE()))),"OLD",IF(AND(E4229&lt;&gt;"",E4229&lt;&gt;"!!!"),"NEW","")))</f>
        <v> </v>
      </c>
      <c r="G4229" s="24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5" t="str">
        <f>IF(J4229&lt;&gt;1,"",IF(I4229="SBJ","CB","?"))</f>
        <v> </v>
      </c>
      <c r="I4229" s="26" t="str">
        <f>IF(OR(E4229="",E4229="!!!",F4229="NEW"),"",INDEX(B4228:B$2,-1+SUMPRODUCT(MAX(ROW(E4228:E$2)*(E4229=E4228:E$2)))))</f>
        <v> </v>
      </c>
      <c r="J4229" s="26" t="str">
        <f>IF(OR(E4229="",E4229="!!!",F4229="NEW"),"",COUNTBLANK(OFFSET(A$1,,,SUMPRODUCT(MAX(ROW(E$2:E4229)*(E4229=E$2:E4229)))))-COUNTBLANK(OFFSET(A$1,,,SUMPRODUCT(MAX(ROW(E$1:E4228)*(E2=E$1:E4228))))))</f>
        <v> </v>
      </c>
      <c r="K4229" s="26" t="str">
        <f>IF(OR(E4229="",E4229="!!!",F4229="NEW"),"",INDEX(J$1:J4228,SUMPRODUCT(MAX(ROW(E$1:E4228)*(E4229=E$1:E4228)))))</f>
        <v> </v>
      </c>
      <c r="L4229" s="27"/>
    </row>
    <row r="4230" spans="1:12">
      <c r="A4230" s="20" t="s">
        <v>1436</v>
      </c>
      <c r="E4230" s="22">
        <f>IF(D4230="?OLD","!!!","")</f>
        <v/>
      </c>
      <c r="F4230" s="23" t="str">
        <f>IF(OR(E4230="",E4230="!!!"),"",IF(NOT(ISNA(VLOOKUP(E4230,E$1:E4229,1,FALSE()))),"OLD",IF(AND(E4230&lt;&gt;"",E4230&lt;&gt;"!!!"),"NEW","")))</f>
        <v> </v>
      </c>
      <c r="G4230" s="24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5" t="str">
        <f>IF(J4230&lt;&gt;1,"",IF(I4230="SBJ","CB","?"))</f>
        <v> </v>
      </c>
      <c r="I4230" s="26" t="str">
        <f>IF(OR(E4230="",E4230="!!!",F4230="NEW"),"",INDEX(B4229:B$2,-1+SUMPRODUCT(MAX(ROW(E4229:E$2)*(E4230=E4229:E$2)))))</f>
        <v> </v>
      </c>
      <c r="J4230" s="26" t="str">
        <f>IF(OR(E4230="",E4230="!!!",F4230="NEW"),"",COUNTBLANK(OFFSET(A$1,,,SUMPRODUCT(MAX(ROW(E$2:E4230)*(E4230=E$2:E4230)))))-COUNTBLANK(OFFSET(A$1,,,SUMPRODUCT(MAX(ROW(E$1:E4229)*(E2=E$1:E4229))))))</f>
        <v> </v>
      </c>
      <c r="K4230" s="26" t="str">
        <f>IF(OR(E4230="",E4230="!!!",F4230="NEW"),"",INDEX(J$1:J4229,SUMPRODUCT(MAX(ROW(E$1:E4229)*(E4230=E$1:E4229)))))</f>
        <v> </v>
      </c>
      <c r="L4230" s="27"/>
    </row>
    <row r="4231" spans="1:12">
      <c r="A4231" s="20" t="s">
        <v>1457</v>
      </c>
      <c r="E4231" s="22">
        <f>IF(D4231="?OLD","!!!","")</f>
        <v/>
      </c>
      <c r="F4231" s="23" t="str">
        <f>IF(OR(E4231="",E4231="!!!"),"",IF(NOT(ISNA(VLOOKUP(E4231,E$1:E4230,1,FALSE()))),"OLD",IF(AND(E4231&lt;&gt;"",E4231&lt;&gt;"!!!"),"NEW","")))</f>
        <v> </v>
      </c>
      <c r="G4231" s="24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5" t="str">
        <f>IF(J4231&lt;&gt;1,"",IF(I4231="SBJ","CB","?"))</f>
        <v> </v>
      </c>
      <c r="I4231" s="26" t="str">
        <f>IF(OR(E4231="",E4231="!!!",F4231="NEW"),"",INDEX(B4230:B$2,-1+SUMPRODUCT(MAX(ROW(E4230:E$2)*(E4231=E4230:E$2)))))</f>
        <v> </v>
      </c>
      <c r="J4231" s="26" t="str">
        <f>IF(OR(E4231="",E4231="!!!",F4231="NEW"),"",COUNTBLANK(OFFSET(A$1,,,SUMPRODUCT(MAX(ROW(E$2:E4231)*(E4231=E$2:E4231)))))-COUNTBLANK(OFFSET(A$1,,,SUMPRODUCT(MAX(ROW(E$1:E4230)*(E2=E$1:E4230))))))</f>
        <v> </v>
      </c>
      <c r="K4231" s="26" t="str">
        <f>IF(OR(E4231="",E4231="!!!",F4231="NEW"),"",INDEX(J$1:J4230,SUMPRODUCT(MAX(ROW(E$1:E4230)*(E4231=E$1:E4230)))))</f>
        <v> </v>
      </c>
      <c r="L4231" s="27"/>
    </row>
    <row r="4232" spans="1:12">
      <c r="A4232" s="20" t="s">
        <v>1166</v>
      </c>
      <c r="B4232" s="21" t="s">
        <v>1115</v>
      </c>
      <c r="C4232" s="21" t="s">
        <v>1462</v>
      </c>
      <c r="D4232" s="21" t="s">
        <v>1074</v>
      </c>
      <c r="E4232" s="22">
        <f>IF(D4232="?OLD","!!!","")</f>
        <v/>
      </c>
      <c r="F4232" s="23" t="str">
        <f>IF(OR(E4232="",E4232="!!!"),"",IF(NOT(ISNA(VLOOKUP(E4232,E$1:E4231,1,FALSE()))),"OLD",IF(AND(E4232&lt;&gt;"",E4232&lt;&gt;"!!!"),"NEW","")))</f>
        <v> </v>
      </c>
      <c r="G4232" s="24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5" t="str">
        <f>IF(J4232&lt;&gt;1,"",IF(I4232="SBJ","CB","?"))</f>
        <v> </v>
      </c>
      <c r="I4232" s="26" t="str">
        <f>IF(OR(E4232="",E4232="!!!",F4232="NEW"),"",INDEX(B4231:B$2,-1+SUMPRODUCT(MAX(ROW(E4231:E$2)*(E4232=E4231:E$2)))))</f>
        <v> </v>
      </c>
      <c r="J4232" s="26" t="str">
        <f>IF(OR(E4232="",E4232="!!!",F4232="NEW"),"",COUNTBLANK(OFFSET(A$1,,,SUMPRODUCT(MAX(ROW(E$2:E4232)*(E4232=E$2:E4232)))))-COUNTBLANK(OFFSET(A$1,,,SUMPRODUCT(MAX(ROW(E$1:E4231)*(E2=E$1:E4231))))))</f>
        <v> </v>
      </c>
      <c r="K4232" s="26" t="str">
        <f>IF(OR(E4232="",E4232="!!!",F4232="NEW"),"",INDEX(J$1:J4231,SUMPRODUCT(MAX(ROW(E$1:E4231)*(E4232=E$1:E4231)))))</f>
        <v> </v>
      </c>
      <c r="L4232" s="27"/>
    </row>
    <row r="4233" spans="1:12">
      <c r="A4233" s="20" t="s">
        <v>2541</v>
      </c>
      <c r="E4233" s="22">
        <f>IF(D4233="?OLD","!!!","")</f>
        <v/>
      </c>
      <c r="F4233" s="23" t="str">
        <f>IF(OR(E4233="",E4233="!!!"),"",IF(NOT(ISNA(VLOOKUP(E4233,E$1:E4232,1,FALSE()))),"OLD",IF(AND(E4233&lt;&gt;"",E4233&lt;&gt;"!!!"),"NEW","")))</f>
        <v> </v>
      </c>
      <c r="G4233" s="24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5" t="str">
        <f>IF(J4233&lt;&gt;1,"",IF(I4233="SBJ","CB","?"))</f>
        <v> </v>
      </c>
      <c r="I4233" s="26" t="str">
        <f>IF(OR(E4233="",E4233="!!!",F4233="NEW"),"",INDEX(B4232:B$2,-1+SUMPRODUCT(MAX(ROW(E4232:E$2)*(E4233=E4232:E$2)))))</f>
        <v> </v>
      </c>
      <c r="J4233" s="26" t="str">
        <f>IF(OR(E4233="",E4233="!!!",F4233="NEW"),"",COUNTBLANK(OFFSET(A$1,,,SUMPRODUCT(MAX(ROW(E$2:E4233)*(E4233=E$2:E4233)))))-COUNTBLANK(OFFSET(A$1,,,SUMPRODUCT(MAX(ROW(E$1:E4232)*(E2=E$1:E4232))))))</f>
        <v> </v>
      </c>
      <c r="K4233" s="26" t="str">
        <f>IF(OR(E4233="",E4233="!!!",F4233="NEW"),"",INDEX(J$1:J4232,SUMPRODUCT(MAX(ROW(E$1:E4232)*(E4233=E$1:E4232)))))</f>
        <v> </v>
      </c>
      <c r="L4233" s="27"/>
    </row>
    <row r="4234" spans="1:12">
      <c r="A4234" s="20" t="s">
        <v>2646</v>
      </c>
      <c r="B4234" s="21" t="s">
        <v>1205</v>
      </c>
      <c r="E4234" s="22">
        <f>IF(D4234="?OLD","!!!","")</f>
        <v/>
      </c>
      <c r="F4234" s="23" t="str">
        <f>IF(OR(E4234="",E4234="!!!"),"",IF(NOT(ISNA(VLOOKUP(E4234,E$1:E4233,1,FALSE()))),"OLD",IF(AND(E4234&lt;&gt;"",E4234&lt;&gt;"!!!"),"NEW","")))</f>
        <v> </v>
      </c>
      <c r="G4234" s="24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5" t="str">
        <f>IF(J4234&lt;&gt;1,"",IF(I4234="SBJ","CB","?"))</f>
        <v> </v>
      </c>
      <c r="I4234" s="26" t="str">
        <f>IF(OR(E4234="",E4234="!!!",F4234="NEW"),"",INDEX(B4233:B$2,-1+SUMPRODUCT(MAX(ROW(E4233:E$2)*(E4234=E4233:E$2)))))</f>
        <v> </v>
      </c>
      <c r="J4234" s="26" t="str">
        <f>IF(OR(E4234="",E4234="!!!",F4234="NEW"),"",COUNTBLANK(OFFSET(A$1,,,SUMPRODUCT(MAX(ROW(E$2:E4234)*(E4234=E$2:E4234)))))-COUNTBLANK(OFFSET(A$1,,,SUMPRODUCT(MAX(ROW(E$1:E4233)*(E2=E$1:E4233))))))</f>
        <v> </v>
      </c>
      <c r="K4234" s="26" t="str">
        <f>IF(OR(E4234="",E4234="!!!",F4234="NEW"),"",INDEX(J$1:J4233,SUMPRODUCT(MAX(ROW(E$1:E4233)*(E4234=E$1:E4233)))))</f>
        <v> </v>
      </c>
      <c r="L4234" s="27"/>
    </row>
    <row r="4235" spans="1:12">
      <c r="A4235" s="20" t="s">
        <v>1189</v>
      </c>
      <c r="E4235" s="22">
        <f>IF(D4235="?OLD","!!!","")</f>
        <v/>
      </c>
      <c r="F4235" s="23" t="str">
        <f>IF(OR(E4235="",E4235="!!!"),"",IF(NOT(ISNA(VLOOKUP(E4235,E$1:E4234,1,FALSE()))),"OLD",IF(AND(E4235&lt;&gt;"",E4235&lt;&gt;"!!!"),"NEW","")))</f>
        <v> </v>
      </c>
      <c r="G4235" s="24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5" t="str">
        <f>IF(J4235&lt;&gt;1,"",IF(I4235="SBJ","CB","?"))</f>
        <v> </v>
      </c>
      <c r="I4235" s="26" t="str">
        <f>IF(OR(E4235="",E4235="!!!",F4235="NEW"),"",INDEX(B4234:B$2,-1+SUMPRODUCT(MAX(ROW(E4234:E$2)*(E4235=E4234:E$2)))))</f>
        <v> </v>
      </c>
      <c r="J4235" s="26" t="str">
        <f>IF(OR(E4235="",E4235="!!!",F4235="NEW"),"",COUNTBLANK(OFFSET(A$1,,,SUMPRODUCT(MAX(ROW(E$2:E4235)*(E4235=E$2:E4235)))))-COUNTBLANK(OFFSET(A$1,,,SUMPRODUCT(MAX(ROW(E$1:E4234)*(E2=E$1:E4234))))))</f>
        <v> </v>
      </c>
      <c r="K4235" s="26" t="str">
        <f>IF(OR(E4235="",E4235="!!!",F4235="NEW"),"",INDEX(J$1:J4234,SUMPRODUCT(MAX(ROW(E$1:E4234)*(E4235=E$1:E4234)))))</f>
        <v> </v>
      </c>
      <c r="L4235" s="27"/>
    </row>
    <row r="4236" spans="1:12">
      <c r="A4236" s="20"/>
    </row>
    <row r="4237" spans="1:12">
      <c r="A4237" s="20" t="s">
        <v>2647</v>
      </c>
    </row>
    <row r="4238" spans="1:12">
      <c r="A4238" s="20" t="s">
        <v>661</v>
      </c>
      <c r="E4238" s="22">
        <f>IF(D4238="?OLD","!!!","")</f>
        <v/>
      </c>
      <c r="F4238" s="23" t="str">
        <f>IF(OR(E4238="",E4238="!!!"),"",IF(NOT(ISNA(VLOOKUP(E4238,E$1:E4237,1,FALSE()))),"OLD",IF(AND(E4238&lt;&gt;"",E4238&lt;&gt;"!!!"),"NEW","")))</f>
        <v> </v>
      </c>
      <c r="G4238" s="24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5" t="str">
        <f>IF(J4238&lt;&gt;1,"",IF(I4238="SBJ","CB","?"))</f>
        <v> </v>
      </c>
      <c r="I4238" s="26" t="str">
        <f>IF(OR(E4238="",E4238="!!!",F4238="NEW"),"",INDEX(B4237:B$2,-1+SUMPRODUCT(MAX(ROW(E4237:E$2)*(E4238=E4237:E$2)))))</f>
        <v> </v>
      </c>
      <c r="J4238" s="26" t="str">
        <f>IF(OR(E4238="",E4238="!!!",F4238="NEW"),"",COUNTBLANK(OFFSET(A$1,,,SUMPRODUCT(MAX(ROW(E$2:E4238)*(E4238=E$2:E4238)))))-COUNTBLANK(OFFSET(A$1,,,SUMPRODUCT(MAX(ROW(E$1:E4237)*(E2=E$1:E4237))))))</f>
        <v> </v>
      </c>
      <c r="K4238" s="26" t="str">
        <f>IF(OR(E4238="",E4238="!!!",F4238="NEW"),"",INDEX(J$1:J4237,SUMPRODUCT(MAX(ROW(E$1:E4237)*(E4238=E$1:E4237)))))</f>
        <v> </v>
      </c>
      <c r="L4238" s="27"/>
    </row>
    <row r="4239" spans="1:12">
      <c r="A4239" s="20" t="s">
        <v>1076</v>
      </c>
      <c r="E4239" s="22">
        <f>IF(D4239="?OLD","!!!","")</f>
        <v/>
      </c>
      <c r="F4239" s="23" t="str">
        <f>IF(OR(E4239="",E4239="!!!"),"",IF(NOT(ISNA(VLOOKUP(E4239,E$1:E4238,1,FALSE()))),"OLD",IF(AND(E4239&lt;&gt;"",E4239&lt;&gt;"!!!"),"NEW","")))</f>
        <v> </v>
      </c>
      <c r="G4239" s="24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5" t="str">
        <f>IF(J4239&lt;&gt;1,"",IF(I4239="SBJ","CB","?"))</f>
        <v> </v>
      </c>
      <c r="I4239" s="26" t="str">
        <f>IF(OR(E4239="",E4239="!!!",F4239="NEW"),"",INDEX(B4238:B$2,-1+SUMPRODUCT(MAX(ROW(E4238:E$2)*(E4239=E4238:E$2)))))</f>
        <v> </v>
      </c>
      <c r="J4239" s="26" t="str">
        <f>IF(OR(E4239="",E4239="!!!",F4239="NEW"),"",COUNTBLANK(OFFSET(A$1,,,SUMPRODUCT(MAX(ROW(E$2:E4239)*(E4239=E$2:E4239)))))-COUNTBLANK(OFFSET(A$1,,,SUMPRODUCT(MAX(ROW(E$1:E4238)*(E2=E$1:E4238))))))</f>
        <v> </v>
      </c>
      <c r="K4239" s="26" t="str">
        <f>IF(OR(E4239="",E4239="!!!",F4239="NEW"),"",INDEX(J$1:J4238,SUMPRODUCT(MAX(ROW(E$1:E4238)*(E4239=E$1:E4238)))))</f>
        <v> </v>
      </c>
      <c r="L4239" s="27"/>
    </row>
    <row r="4240" spans="1:12">
      <c r="A4240" s="20" t="s">
        <v>1268</v>
      </c>
      <c r="E4240" s="22">
        <f>IF(D4240="?OLD","!!!","")</f>
        <v/>
      </c>
      <c r="F4240" s="23" t="str">
        <f>IF(OR(E4240="",E4240="!!!"),"",IF(NOT(ISNA(VLOOKUP(E4240,E$1:E4239,1,FALSE()))),"OLD",IF(AND(E4240&lt;&gt;"",E4240&lt;&gt;"!!!"),"NEW","")))</f>
        <v> </v>
      </c>
      <c r="G4240" s="24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5" t="str">
        <f>IF(J4240&lt;&gt;1,"",IF(I4240="SBJ","CB","?"))</f>
        <v> </v>
      </c>
      <c r="I4240" s="26" t="str">
        <f>IF(OR(E4240="",E4240="!!!",F4240="NEW"),"",INDEX(B4239:B$2,-1+SUMPRODUCT(MAX(ROW(E4239:E$2)*(E4240=E4239:E$2)))))</f>
        <v> </v>
      </c>
      <c r="J4240" s="26" t="str">
        <f>IF(OR(E4240="",E4240="!!!",F4240="NEW"),"",COUNTBLANK(OFFSET(A$1,,,SUMPRODUCT(MAX(ROW(E$2:E4240)*(E4240=E$2:E4240)))))-COUNTBLANK(OFFSET(A$1,,,SUMPRODUCT(MAX(ROW(E$1:E4239)*(E2=E$1:E4239))))))</f>
        <v> </v>
      </c>
      <c r="K4240" s="26" t="str">
        <f>IF(OR(E4240="",E4240="!!!",F4240="NEW"),"",INDEX(J$1:J4239,SUMPRODUCT(MAX(ROW(E$1:E4239)*(E4240=E$1:E4239)))))</f>
        <v> </v>
      </c>
      <c r="L4240" s="27"/>
    </row>
    <row r="4241" spans="1:12">
      <c r="A4241" s="20" t="s">
        <v>1085</v>
      </c>
      <c r="E4241" s="22">
        <f>IF(D4241="?OLD","!!!","")</f>
        <v/>
      </c>
      <c r="F4241" s="23" t="str">
        <f>IF(OR(E4241="",E4241="!!!"),"",IF(NOT(ISNA(VLOOKUP(E4241,E$1:E4240,1,FALSE()))),"OLD",IF(AND(E4241&lt;&gt;"",E4241&lt;&gt;"!!!"),"NEW","")))</f>
        <v> </v>
      </c>
      <c r="G4241" s="24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5" t="str">
        <f>IF(J4241&lt;&gt;1,"",IF(I4241="SBJ","CB","?"))</f>
        <v> </v>
      </c>
      <c r="I4241" s="26" t="str">
        <f>IF(OR(E4241="",E4241="!!!",F4241="NEW"),"",INDEX(B4240:B$2,-1+SUMPRODUCT(MAX(ROW(E4240:E$2)*(E4241=E4240:E$2)))))</f>
        <v> </v>
      </c>
      <c r="J4241" s="26" t="str">
        <f>IF(OR(E4241="",E4241="!!!",F4241="NEW"),"",COUNTBLANK(OFFSET(A$1,,,SUMPRODUCT(MAX(ROW(E$2:E4241)*(E4241=E$2:E4241)))))-COUNTBLANK(OFFSET(A$1,,,SUMPRODUCT(MAX(ROW(E$1:E4240)*(E2=E$1:E4240))))))</f>
        <v> </v>
      </c>
      <c r="K4241" s="26" t="str">
        <f>IF(OR(E4241="",E4241="!!!",F4241="NEW"),"",INDEX(J$1:J4240,SUMPRODUCT(MAX(ROW(E$1:E4240)*(E4241=E$1:E4240)))))</f>
        <v> </v>
      </c>
      <c r="L4241" s="27"/>
    </row>
    <row r="4242" spans="1:12">
      <c r="A4242" s="20" t="s">
        <v>2101</v>
      </c>
      <c r="E4242" s="22">
        <f>IF(D4242="?OLD","!!!","")</f>
        <v/>
      </c>
      <c r="F4242" s="23" t="str">
        <f>IF(OR(E4242="",E4242="!!!"),"",IF(NOT(ISNA(VLOOKUP(E4242,E$1:E4241,1,FALSE()))),"OLD",IF(AND(E4242&lt;&gt;"",E4242&lt;&gt;"!!!"),"NEW","")))</f>
        <v> </v>
      </c>
      <c r="G4242" s="24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5" t="str">
        <f>IF(J4242&lt;&gt;1,"",IF(I4242="SBJ","CB","?"))</f>
        <v> </v>
      </c>
      <c r="I4242" s="26" t="str">
        <f>IF(OR(E4242="",E4242="!!!",F4242="NEW"),"",INDEX(B4241:B$2,-1+SUMPRODUCT(MAX(ROW(E4241:E$2)*(E4242=E4241:E$2)))))</f>
        <v> </v>
      </c>
      <c r="J4242" s="26" t="str">
        <f>IF(OR(E4242="",E4242="!!!",F4242="NEW"),"",COUNTBLANK(OFFSET(A$1,,,SUMPRODUCT(MAX(ROW(E$2:E4242)*(E4242=E$2:E4242)))))-COUNTBLANK(OFFSET(A$1,,,SUMPRODUCT(MAX(ROW(E$1:E4241)*(E2=E$1:E4241))))))</f>
        <v> </v>
      </c>
      <c r="K4242" s="26" t="str">
        <f>IF(OR(E4242="",E4242="!!!",F4242="NEW"),"",INDEX(J$1:J4241,SUMPRODUCT(MAX(ROW(E$1:E4241)*(E4242=E$1:E4241)))))</f>
        <v> </v>
      </c>
      <c r="L4242" s="27"/>
    </row>
    <row r="4243" spans="1:12">
      <c r="A4243" s="20" t="s">
        <v>2102</v>
      </c>
      <c r="E4243" s="22">
        <f>IF(D4243="?OLD","!!!","")</f>
        <v/>
      </c>
      <c r="F4243" s="23" t="str">
        <f>IF(OR(E4243="",E4243="!!!"),"",IF(NOT(ISNA(VLOOKUP(E4243,E$1:E4242,1,FALSE()))),"OLD",IF(AND(E4243&lt;&gt;"",E4243&lt;&gt;"!!!"),"NEW","")))</f>
        <v> </v>
      </c>
      <c r="G4243" s="24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5" t="str">
        <f>IF(J4243&lt;&gt;1,"",IF(I4243="SBJ","CB","?"))</f>
        <v> </v>
      </c>
      <c r="I4243" s="26" t="str">
        <f>IF(OR(E4243="",E4243="!!!",F4243="NEW"),"",INDEX(B4242:B$2,-1+SUMPRODUCT(MAX(ROW(E4242:E$2)*(E4243=E4242:E$2)))))</f>
        <v> </v>
      </c>
      <c r="J4243" s="26" t="str">
        <f>IF(OR(E4243="",E4243="!!!",F4243="NEW"),"",COUNTBLANK(OFFSET(A$1,,,SUMPRODUCT(MAX(ROW(E$2:E4243)*(E4243=E$2:E4243)))))-COUNTBLANK(OFFSET(A$1,,,SUMPRODUCT(MAX(ROW(E$1:E4242)*(E2=E$1:E4242))))))</f>
        <v> </v>
      </c>
      <c r="K4243" s="26" t="str">
        <f>IF(OR(E4243="",E4243="!!!",F4243="NEW"),"",INDEX(J$1:J4242,SUMPRODUCT(MAX(ROW(E$1:E4242)*(E4243=E$1:E4242)))))</f>
        <v> </v>
      </c>
      <c r="L4243" s="27"/>
    </row>
    <row r="4244" spans="1:12">
      <c r="A4244" s="20" t="s">
        <v>1112</v>
      </c>
      <c r="E4244" s="22">
        <f>IF(D4244="?OLD","!!!","")</f>
        <v/>
      </c>
      <c r="F4244" s="23" t="str">
        <f>IF(OR(E4244="",E4244="!!!"),"",IF(NOT(ISNA(VLOOKUP(E4244,E$1:E4243,1,FALSE()))),"OLD",IF(AND(E4244&lt;&gt;"",E4244&lt;&gt;"!!!"),"NEW","")))</f>
        <v> </v>
      </c>
      <c r="G4244" s="24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5" t="str">
        <f>IF(J4244&lt;&gt;1,"",IF(I4244="SBJ","CB","?"))</f>
        <v> </v>
      </c>
      <c r="I4244" s="26" t="str">
        <f>IF(OR(E4244="",E4244="!!!",F4244="NEW"),"",INDEX(B4243:B$2,-1+SUMPRODUCT(MAX(ROW(E4243:E$2)*(E4244=E4243:E$2)))))</f>
        <v> </v>
      </c>
      <c r="J4244" s="26" t="str">
        <f>IF(OR(E4244="",E4244="!!!",F4244="NEW"),"",COUNTBLANK(OFFSET(A$1,,,SUMPRODUCT(MAX(ROW(E$2:E4244)*(E4244=E$2:E4244)))))-COUNTBLANK(OFFSET(A$1,,,SUMPRODUCT(MAX(ROW(E$1:E4243)*(E2=E$1:E4243))))))</f>
        <v> </v>
      </c>
      <c r="K4244" s="26" t="str">
        <f>IF(OR(E4244="",E4244="!!!",F4244="NEW"),"",INDEX(J$1:J4243,SUMPRODUCT(MAX(ROW(E$1:E4243)*(E4244=E$1:E4243)))))</f>
        <v> </v>
      </c>
      <c r="L4244" s="27"/>
    </row>
    <row r="4245" spans="1:12">
      <c r="A4245" s="20" t="s">
        <v>1118</v>
      </c>
      <c r="B4245" s="21" t="s">
        <v>1077</v>
      </c>
      <c r="C4245" s="21" t="s">
        <v>1081</v>
      </c>
      <c r="D4245" s="21" t="s">
        <v>1074</v>
      </c>
      <c r="E4245" s="22">
        <f>IF(D4245="?OLD","!!!","")</f>
        <v/>
      </c>
      <c r="F4245" s="23" t="str">
        <f>IF(OR(E4245="",E4245="!!!"),"",IF(NOT(ISNA(VLOOKUP(E4245,E$1:E4244,1,FALSE()))),"OLD",IF(AND(E4245&lt;&gt;"",E4245&lt;&gt;"!!!"),"NEW","")))</f>
        <v> </v>
      </c>
      <c r="G4245" s="24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5" t="str">
        <f>IF(J4245&lt;&gt;1,"",IF(I4245="SBJ","CB","?"))</f>
        <v> </v>
      </c>
      <c r="I4245" s="26" t="str">
        <f>IF(OR(E4245="",E4245="!!!",F4245="NEW"),"",INDEX(B4244:B$2,-1+SUMPRODUCT(MAX(ROW(E4244:E$2)*(E4245=E4244:E$2)))))</f>
        <v> </v>
      </c>
      <c r="J4245" s="26" t="str">
        <f>IF(OR(E4245="",E4245="!!!",F4245="NEW"),"",COUNTBLANK(OFFSET(A$1,,,SUMPRODUCT(MAX(ROW(E$2:E4245)*(E4245=E$2:E4245)))))-COUNTBLANK(OFFSET(A$1,,,SUMPRODUCT(MAX(ROW(E$1:E4244)*(E2=E$1:E4244))))))</f>
        <v> </v>
      </c>
      <c r="K4245" s="26" t="str">
        <f>IF(OR(E4245="",E4245="!!!",F4245="NEW"),"",INDEX(J$1:J4244,SUMPRODUCT(MAX(ROW(E$1:E4244)*(E4245=E$1:E4244)))))</f>
        <v> </v>
      </c>
      <c r="L4245" s="27"/>
    </row>
    <row r="4246" spans="1:12">
      <c r="A4246" s="20" t="s">
        <v>1191</v>
      </c>
      <c r="E4246" s="22">
        <f>IF(D4246="?OLD","!!!","")</f>
        <v/>
      </c>
      <c r="F4246" s="23" t="str">
        <f>IF(OR(E4246="",E4246="!!!"),"",IF(NOT(ISNA(VLOOKUP(E4246,E$1:E4245,1,FALSE()))),"OLD",IF(AND(E4246&lt;&gt;"",E4246&lt;&gt;"!!!"),"NEW","")))</f>
        <v> </v>
      </c>
      <c r="G4246" s="24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5" t="str">
        <f>IF(J4246&lt;&gt;1,"",IF(I4246="SBJ","CB","?"))</f>
        <v> </v>
      </c>
      <c r="I4246" s="26" t="str">
        <f>IF(OR(E4246="",E4246="!!!",F4246="NEW"),"",INDEX(B4245:B$2,-1+SUMPRODUCT(MAX(ROW(E4245:E$2)*(E4246=E4245:E$2)))))</f>
        <v> </v>
      </c>
      <c r="J4246" s="26" t="str">
        <f>IF(OR(E4246="",E4246="!!!",F4246="NEW"),"",COUNTBLANK(OFFSET(A$1,,,SUMPRODUCT(MAX(ROW(E$2:E4246)*(E4246=E$2:E4246)))))-COUNTBLANK(OFFSET(A$1,,,SUMPRODUCT(MAX(ROW(E$1:E4245)*(E2=E$1:E4245))))))</f>
        <v> </v>
      </c>
      <c r="K4246" s="26" t="str">
        <f>IF(OR(E4246="",E4246="!!!",F4246="NEW"),"",INDEX(J$1:J4245,SUMPRODUCT(MAX(ROW(E$1:E4245)*(E4246=E$1:E4245)))))</f>
        <v> </v>
      </c>
      <c r="L4246" s="27"/>
    </row>
    <row r="4247" spans="1:12">
      <c r="A4247" s="20" t="s">
        <v>2648</v>
      </c>
      <c r="E4247" s="22">
        <f>IF(D4247="?OLD","!!!","")</f>
        <v/>
      </c>
      <c r="F4247" s="23" t="str">
        <f>IF(OR(E4247="",E4247="!!!"),"",IF(NOT(ISNA(VLOOKUP(E4247,E$1:E4246,1,FALSE()))),"OLD",IF(AND(E4247&lt;&gt;"",E4247&lt;&gt;"!!!"),"NEW","")))</f>
        <v> </v>
      </c>
      <c r="G4247" s="24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5" t="str">
        <f>IF(J4247&lt;&gt;1,"",IF(I4247="SBJ","CB","?"))</f>
        <v> </v>
      </c>
      <c r="I4247" s="26" t="str">
        <f>IF(OR(E4247="",E4247="!!!",F4247="NEW"),"",INDEX(B4246:B$2,-1+SUMPRODUCT(MAX(ROW(E4246:E$2)*(E4247=E4246:E$2)))))</f>
        <v> </v>
      </c>
      <c r="J4247" s="26" t="str">
        <f>IF(OR(E4247="",E4247="!!!",F4247="NEW"),"",COUNTBLANK(OFFSET(A$1,,,SUMPRODUCT(MAX(ROW(E$2:E4247)*(E4247=E$2:E4247)))))-COUNTBLANK(OFFSET(A$1,,,SUMPRODUCT(MAX(ROW(E$1:E4246)*(E2=E$1:E4246))))))</f>
        <v> </v>
      </c>
      <c r="K4247" s="26" t="str">
        <f>IF(OR(E4247="",E4247="!!!",F4247="NEW"),"",INDEX(J$1:J4246,SUMPRODUCT(MAX(ROW(E$1:E4246)*(E4247=E$1:E4246)))))</f>
        <v> </v>
      </c>
      <c r="L4247" s="27"/>
    </row>
    <row r="4248" spans="1:12">
      <c r="A4248" s="20" t="s">
        <v>1138</v>
      </c>
      <c r="E4248" s="22">
        <f>IF(D4248="?OLD","!!!","")</f>
        <v/>
      </c>
      <c r="F4248" s="23" t="str">
        <f>IF(OR(E4248="",E4248="!!!"),"",IF(NOT(ISNA(VLOOKUP(E4248,E$1:E4247,1,FALSE()))),"OLD",IF(AND(E4248&lt;&gt;"",E4248&lt;&gt;"!!!"),"NEW","")))</f>
        <v> </v>
      </c>
      <c r="G4248" s="24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5" t="str">
        <f>IF(J4248&lt;&gt;1,"",IF(I4248="SBJ","CB","?"))</f>
        <v> </v>
      </c>
      <c r="I4248" s="26" t="str">
        <f>IF(OR(E4248="",E4248="!!!",F4248="NEW"),"",INDEX(B4247:B$2,-1+SUMPRODUCT(MAX(ROW(E4247:E$2)*(E4248=E4247:E$2)))))</f>
        <v> </v>
      </c>
      <c r="J4248" s="26" t="str">
        <f>IF(OR(E4248="",E4248="!!!",F4248="NEW"),"",COUNTBLANK(OFFSET(A$1,,,SUMPRODUCT(MAX(ROW(E$2:E4248)*(E4248=E$2:E4248)))))-COUNTBLANK(OFFSET(A$1,,,SUMPRODUCT(MAX(ROW(E$1:E4247)*(E2=E$1:E4247))))))</f>
        <v> </v>
      </c>
      <c r="K4248" s="26" t="str">
        <f>IF(OR(E4248="",E4248="!!!",F4248="NEW"),"",INDEX(J$1:J4247,SUMPRODUCT(MAX(ROW(E$1:E4247)*(E4248=E$1:E4247)))))</f>
        <v> </v>
      </c>
      <c r="L4248" s="27"/>
    </row>
    <row r="4249" spans="1:12">
      <c r="A4249" s="20" t="s">
        <v>2649</v>
      </c>
      <c r="E4249" s="22">
        <f>IF(D4249="?OLD","!!!","")</f>
        <v/>
      </c>
      <c r="F4249" s="23" t="str">
        <f>IF(OR(E4249="",E4249="!!!"),"",IF(NOT(ISNA(VLOOKUP(E4249,E$1:E4248,1,FALSE()))),"OLD",IF(AND(E4249&lt;&gt;"",E4249&lt;&gt;"!!!"),"NEW","")))</f>
        <v> </v>
      </c>
      <c r="G4249" s="24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5" t="str">
        <f>IF(J4249&lt;&gt;1,"",IF(I4249="SBJ","CB","?"))</f>
        <v> </v>
      </c>
      <c r="I4249" s="26" t="str">
        <f>IF(OR(E4249="",E4249="!!!",F4249="NEW"),"",INDEX(B4248:B$2,-1+SUMPRODUCT(MAX(ROW(E4248:E$2)*(E4249=E4248:E$2)))))</f>
        <v> </v>
      </c>
      <c r="J4249" s="26" t="str">
        <f>IF(OR(E4249="",E4249="!!!",F4249="NEW"),"",COUNTBLANK(OFFSET(A$1,,,SUMPRODUCT(MAX(ROW(E$2:E4249)*(E4249=E$2:E4249)))))-COUNTBLANK(OFFSET(A$1,,,SUMPRODUCT(MAX(ROW(E$1:E4248)*(E2=E$1:E4248))))))</f>
        <v> </v>
      </c>
      <c r="K4249" s="26" t="str">
        <f>IF(OR(E4249="",E4249="!!!",F4249="NEW"),"",INDEX(J$1:J4248,SUMPRODUCT(MAX(ROW(E$1:E4248)*(E4249=E$1:E4248)))))</f>
        <v> </v>
      </c>
      <c r="L4249" s="27"/>
    </row>
    <row r="4250" spans="1:12">
      <c r="A4250" s="20" t="s">
        <v>2605</v>
      </c>
      <c r="E4250" s="22">
        <f>IF(D4250="?OLD","!!!","")</f>
        <v/>
      </c>
      <c r="F4250" s="23" t="str">
        <f>IF(OR(E4250="",E4250="!!!"),"",IF(NOT(ISNA(VLOOKUP(E4250,E$1:E4249,1,FALSE()))),"OLD",IF(AND(E4250&lt;&gt;"",E4250&lt;&gt;"!!!"),"NEW","")))</f>
        <v> </v>
      </c>
      <c r="G4250" s="24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5" t="str">
        <f>IF(J4250&lt;&gt;1,"",IF(I4250="SBJ","CB","?"))</f>
        <v> </v>
      </c>
      <c r="I4250" s="26" t="str">
        <f>IF(OR(E4250="",E4250="!!!",F4250="NEW"),"",INDEX(B4249:B$2,-1+SUMPRODUCT(MAX(ROW(E4249:E$2)*(E4250=E4249:E$2)))))</f>
        <v> </v>
      </c>
      <c r="J4250" s="26" t="str">
        <f>IF(OR(E4250="",E4250="!!!",F4250="NEW"),"",COUNTBLANK(OFFSET(A$1,,,SUMPRODUCT(MAX(ROW(E$2:E4250)*(E4250=E$2:E4250)))))-COUNTBLANK(OFFSET(A$1,,,SUMPRODUCT(MAX(ROW(E$1:E4249)*(E2=E$1:E4249))))))</f>
        <v> </v>
      </c>
      <c r="K4250" s="26" t="str">
        <f>IF(OR(E4250="",E4250="!!!",F4250="NEW"),"",INDEX(J$1:J4249,SUMPRODUCT(MAX(ROW(E$1:E4249)*(E4250=E$1:E4249)))))</f>
        <v> </v>
      </c>
      <c r="L4250" s="27"/>
    </row>
    <row r="4251" spans="1:12">
      <c r="A4251" s="20" t="s">
        <v>1083</v>
      </c>
      <c r="E4251" s="22">
        <f>IF(D4251="?OLD","!!!","")</f>
        <v/>
      </c>
      <c r="F4251" s="23" t="str">
        <f>IF(OR(E4251="",E4251="!!!"),"",IF(NOT(ISNA(VLOOKUP(E4251,E$1:E4250,1,FALSE()))),"OLD",IF(AND(E4251&lt;&gt;"",E4251&lt;&gt;"!!!"),"NEW","")))</f>
        <v> </v>
      </c>
      <c r="G4251" s="24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5" t="str">
        <f>IF(J4251&lt;&gt;1,"",IF(I4251="SBJ","CB","?"))</f>
        <v> </v>
      </c>
      <c r="I4251" s="26" t="str">
        <f>IF(OR(E4251="",E4251="!!!",F4251="NEW"),"",INDEX(B4250:B$2,-1+SUMPRODUCT(MAX(ROW(E4250:E$2)*(E4251=E4250:E$2)))))</f>
        <v> </v>
      </c>
      <c r="J4251" s="26" t="str">
        <f>IF(OR(E4251="",E4251="!!!",F4251="NEW"),"",COUNTBLANK(OFFSET(A$1,,,SUMPRODUCT(MAX(ROW(E$2:E4251)*(E4251=E$2:E4251)))))-COUNTBLANK(OFFSET(A$1,,,SUMPRODUCT(MAX(ROW(E$1:E4250)*(E2=E$1:E4250))))))</f>
        <v> </v>
      </c>
      <c r="K4251" s="26" t="str">
        <f>IF(OR(E4251="",E4251="!!!",F4251="NEW"),"",INDEX(J$1:J4250,SUMPRODUCT(MAX(ROW(E$1:E4250)*(E4251=E$1:E4250)))))</f>
        <v> </v>
      </c>
      <c r="L4251" s="27"/>
    </row>
    <row r="4252" spans="1:12">
      <c r="A4252" s="20" t="s">
        <v>1138</v>
      </c>
      <c r="E4252" s="22">
        <f>IF(D4252="?OLD","!!!","")</f>
        <v/>
      </c>
      <c r="F4252" s="23" t="str">
        <f>IF(OR(E4252="",E4252="!!!"),"",IF(NOT(ISNA(VLOOKUP(E4252,E$1:E4251,1,FALSE()))),"OLD",IF(AND(E4252&lt;&gt;"",E4252&lt;&gt;"!!!"),"NEW","")))</f>
        <v> </v>
      </c>
      <c r="G4252" s="24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5" t="str">
        <f>IF(J4252&lt;&gt;1,"",IF(I4252="SBJ","CB","?"))</f>
        <v> </v>
      </c>
      <c r="I4252" s="26" t="str">
        <f>IF(OR(E4252="",E4252="!!!",F4252="NEW"),"",INDEX(B4251:B$2,-1+SUMPRODUCT(MAX(ROW(E4251:E$2)*(E4252=E4251:E$2)))))</f>
        <v> </v>
      </c>
      <c r="J4252" s="26" t="str">
        <f>IF(OR(E4252="",E4252="!!!",F4252="NEW"),"",COUNTBLANK(OFFSET(A$1,,,SUMPRODUCT(MAX(ROW(E$2:E4252)*(E4252=E$2:E4252)))))-COUNTBLANK(OFFSET(A$1,,,SUMPRODUCT(MAX(ROW(E$1:E4251)*(E2=E$1:E4251))))))</f>
        <v> </v>
      </c>
      <c r="K4252" s="26" t="str">
        <f>IF(OR(E4252="",E4252="!!!",F4252="NEW"),"",INDEX(J$1:J4251,SUMPRODUCT(MAX(ROW(E$1:E4251)*(E4252=E$1:E4251)))))</f>
        <v> </v>
      </c>
      <c r="L4252" s="27"/>
    </row>
    <row r="4253" spans="1:12">
      <c r="A4253" s="20" t="s">
        <v>2650</v>
      </c>
      <c r="E4253" s="22">
        <f>IF(D4253="?OLD","!!!","")</f>
        <v/>
      </c>
      <c r="F4253" s="23" t="str">
        <f>IF(OR(E4253="",E4253="!!!"),"",IF(NOT(ISNA(VLOOKUP(E4253,E$1:E4252,1,FALSE()))),"OLD",IF(AND(E4253&lt;&gt;"",E4253&lt;&gt;"!!!"),"NEW","")))</f>
        <v> </v>
      </c>
      <c r="G4253" s="24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5" t="str">
        <f>IF(J4253&lt;&gt;1,"",IF(I4253="SBJ","CB","?"))</f>
        <v> </v>
      </c>
      <c r="I4253" s="26" t="str">
        <f>IF(OR(E4253="",E4253="!!!",F4253="NEW"),"",INDEX(B4252:B$2,-1+SUMPRODUCT(MAX(ROW(E4252:E$2)*(E4253=E4252:E$2)))))</f>
        <v> </v>
      </c>
      <c r="J4253" s="26" t="str">
        <f>IF(OR(E4253="",E4253="!!!",F4253="NEW"),"",COUNTBLANK(OFFSET(A$1,,,SUMPRODUCT(MAX(ROW(E$2:E4253)*(E4253=E$2:E4253)))))-COUNTBLANK(OFFSET(A$1,,,SUMPRODUCT(MAX(ROW(E$1:E4252)*(E2=E$1:E4252))))))</f>
        <v> </v>
      </c>
      <c r="K4253" s="26" t="str">
        <f>IF(OR(E4253="",E4253="!!!",F4253="NEW"),"",INDEX(J$1:J4252,SUMPRODUCT(MAX(ROW(E$1:E4252)*(E4253=E$1:E4252)))))</f>
        <v> </v>
      </c>
      <c r="L4253" s="27"/>
    </row>
    <row r="4254" spans="1:12">
      <c r="A4254" s="20" t="s">
        <v>1346</v>
      </c>
      <c r="E4254" s="22">
        <f>IF(D4254="?OLD","!!!","")</f>
        <v/>
      </c>
      <c r="F4254" s="23" t="str">
        <f>IF(OR(E4254="",E4254="!!!"),"",IF(NOT(ISNA(VLOOKUP(E4254,E$1:E4253,1,FALSE()))),"OLD",IF(AND(E4254&lt;&gt;"",E4254&lt;&gt;"!!!"),"NEW","")))</f>
        <v> </v>
      </c>
      <c r="G4254" s="24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5" t="str">
        <f>IF(J4254&lt;&gt;1,"",IF(I4254="SBJ","CB","?"))</f>
        <v> </v>
      </c>
      <c r="I4254" s="26" t="str">
        <f>IF(OR(E4254="",E4254="!!!",F4254="NEW"),"",INDEX(B4253:B$2,-1+SUMPRODUCT(MAX(ROW(E4253:E$2)*(E4254=E4253:E$2)))))</f>
        <v> </v>
      </c>
      <c r="J4254" s="26" t="str">
        <f>IF(OR(E4254="",E4254="!!!",F4254="NEW"),"",COUNTBLANK(OFFSET(A$1,,,SUMPRODUCT(MAX(ROW(E$2:E4254)*(E4254=E$2:E4254)))))-COUNTBLANK(OFFSET(A$1,,,SUMPRODUCT(MAX(ROW(E$1:E4253)*(E2=E$1:E4253))))))</f>
        <v> </v>
      </c>
      <c r="K4254" s="26" t="str">
        <f>IF(OR(E4254="",E4254="!!!",F4254="NEW"),"",INDEX(J$1:J4253,SUMPRODUCT(MAX(ROW(E$1:E4253)*(E4254=E$1:E4253)))))</f>
        <v> </v>
      </c>
      <c r="L4254" s="27"/>
    </row>
    <row r="4255" spans="1:12">
      <c r="A4255" s="20" t="s">
        <v>2651</v>
      </c>
      <c r="E4255" s="22">
        <f>IF(D4255="?OLD","!!!","")</f>
        <v/>
      </c>
      <c r="F4255" s="23" t="str">
        <f>IF(OR(E4255="",E4255="!!!"),"",IF(NOT(ISNA(VLOOKUP(E4255,E$1:E4254,1,FALSE()))),"OLD",IF(AND(E4255&lt;&gt;"",E4255&lt;&gt;"!!!"),"NEW","")))</f>
        <v> </v>
      </c>
      <c r="G4255" s="24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5" t="str">
        <f>IF(J4255&lt;&gt;1,"",IF(I4255="SBJ","CB","?"))</f>
        <v> </v>
      </c>
      <c r="I4255" s="26" t="str">
        <f>IF(OR(E4255="",E4255="!!!",F4255="NEW"),"",INDEX(B4254:B$2,-1+SUMPRODUCT(MAX(ROW(E4254:E$2)*(E4255=E4254:E$2)))))</f>
        <v> </v>
      </c>
      <c r="J4255" s="26" t="str">
        <f>IF(OR(E4255="",E4255="!!!",F4255="NEW"),"",COUNTBLANK(OFFSET(A$1,,,SUMPRODUCT(MAX(ROW(E$2:E4255)*(E4255=E$2:E4255)))))-COUNTBLANK(OFFSET(A$1,,,SUMPRODUCT(MAX(ROW(E$1:E4254)*(E2=E$1:E4254))))))</f>
        <v> </v>
      </c>
      <c r="K4255" s="26" t="str">
        <f>IF(OR(E4255="",E4255="!!!",F4255="NEW"),"",INDEX(J$1:J4254,SUMPRODUCT(MAX(ROW(E$1:E4254)*(E4255=E$1:E4254)))))</f>
        <v> </v>
      </c>
      <c r="L4255" s="27"/>
    </row>
    <row r="4256" spans="1:12">
      <c r="A4256" s="20" t="s">
        <v>1106</v>
      </c>
      <c r="E4256" s="22">
        <f>IF(D4256="?OLD","!!!","")</f>
        <v/>
      </c>
      <c r="F4256" s="23" t="str">
        <f>IF(OR(E4256="",E4256="!!!"),"",IF(NOT(ISNA(VLOOKUP(E4256,E$1:E4255,1,FALSE()))),"OLD",IF(AND(E4256&lt;&gt;"",E4256&lt;&gt;"!!!"),"NEW","")))</f>
        <v> </v>
      </c>
      <c r="G4256" s="24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5" t="str">
        <f>IF(J4256&lt;&gt;1,"",IF(I4256="SBJ","CB","?"))</f>
        <v> </v>
      </c>
      <c r="I4256" s="26" t="str">
        <f>IF(OR(E4256="",E4256="!!!",F4256="NEW"),"",INDEX(B4255:B$2,-1+SUMPRODUCT(MAX(ROW(E4255:E$2)*(E4256=E4255:E$2)))))</f>
        <v> </v>
      </c>
      <c r="J4256" s="26" t="str">
        <f>IF(OR(E4256="",E4256="!!!",F4256="NEW"),"",COUNTBLANK(OFFSET(A$1,,,SUMPRODUCT(MAX(ROW(E$2:E4256)*(E4256=E$2:E4256)))))-COUNTBLANK(OFFSET(A$1,,,SUMPRODUCT(MAX(ROW(E$1:E4255)*(E2=E$1:E4255))))))</f>
        <v> </v>
      </c>
      <c r="K4256" s="26" t="str">
        <f>IF(OR(E4256="",E4256="!!!",F4256="NEW"),"",INDEX(J$1:J4255,SUMPRODUCT(MAX(ROW(E$1:E4255)*(E4256=E$1:E4255)))))</f>
        <v> </v>
      </c>
      <c r="L4256" s="27"/>
    </row>
    <row r="4257" spans="1:12">
      <c r="A4257" s="20"/>
    </row>
    <row r="4258" spans="1:12">
      <c r="A4258" s="20" t="s">
        <v>2652</v>
      </c>
    </row>
    <row r="4259" spans="1:12">
      <c r="A4259" s="20" t="s">
        <v>2653</v>
      </c>
      <c r="B4259" s="21" t="s">
        <v>1109</v>
      </c>
      <c r="E4259" s="22">
        <f>IF(D4259="?OLD","!!!","")</f>
        <v/>
      </c>
      <c r="F4259" s="23" t="str">
        <f>IF(OR(E4259="",E4259="!!!"),"",IF(NOT(ISNA(VLOOKUP(E4259,E$1:E4258,1,FALSE()))),"OLD",IF(AND(E4259&lt;&gt;"",E4259&lt;&gt;"!!!"),"NEW","")))</f>
        <v> </v>
      </c>
      <c r="G4259" s="24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5" t="str">
        <f>IF(J4259&lt;&gt;1,"",IF(I4259="SBJ","CB","?"))</f>
        <v> </v>
      </c>
      <c r="I4259" s="26" t="str">
        <f>IF(OR(E4259="",E4259="!!!",F4259="NEW"),"",INDEX(B4258:B$2,-1+SUMPRODUCT(MAX(ROW(E4258:E$2)*(E4259=E4258:E$2)))))</f>
        <v> </v>
      </c>
      <c r="J4259" s="26" t="str">
        <f>IF(OR(E4259="",E4259="!!!",F4259="NEW"),"",COUNTBLANK(OFFSET(A$1,,,SUMPRODUCT(MAX(ROW(E$2:E4259)*(E4259=E$2:E4259)))))-COUNTBLANK(OFFSET(A$1,,,SUMPRODUCT(MAX(ROW(E$1:E4258)*(E2=E$1:E4258))))))</f>
        <v> </v>
      </c>
      <c r="K4259" s="26" t="str">
        <f>IF(OR(E4259="",E4259="!!!",F4259="NEW"),"",INDEX(J$1:J4258,SUMPRODUCT(MAX(ROW(E$1:E4258)*(E4259=E$1:E4258)))))</f>
        <v> </v>
      </c>
      <c r="L4259" s="27"/>
    </row>
    <row r="4260" spans="1:12">
      <c r="A4260" s="20" t="s">
        <v>1515</v>
      </c>
      <c r="B4260" s="21" t="s">
        <v>1137</v>
      </c>
      <c r="C4260" s="21" t="s">
        <v>1095</v>
      </c>
      <c r="D4260" s="21" t="s">
        <v>1074</v>
      </c>
      <c r="E4260" s="22">
        <f>IF(D4260="?OLD","!!!","")</f>
        <v/>
      </c>
      <c r="F4260" s="23" t="str">
        <f>IF(OR(E4260="",E4260="!!!"),"",IF(NOT(ISNA(VLOOKUP(E4260,E$1:E4259,1,FALSE()))),"OLD",IF(AND(E4260&lt;&gt;"",E4260&lt;&gt;"!!!"),"NEW","")))</f>
        <v> </v>
      </c>
      <c r="G4260" s="24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5" t="str">
        <f>IF(J4260&lt;&gt;1,"",IF(I4260="SBJ","CB","?"))</f>
        <v> </v>
      </c>
      <c r="I4260" s="26" t="str">
        <f>IF(OR(E4260="",E4260="!!!",F4260="NEW"),"",INDEX(B4259:B$2,-1+SUMPRODUCT(MAX(ROW(E4259:E$2)*(E4260=E4259:E$2)))))</f>
        <v> </v>
      </c>
      <c r="J4260" s="26" t="str">
        <f>IF(OR(E4260="",E4260="!!!",F4260="NEW"),"",COUNTBLANK(OFFSET(A$1,,,SUMPRODUCT(MAX(ROW(E$2:E4260)*(E4260=E$2:E4260)))))-COUNTBLANK(OFFSET(A$1,,,SUMPRODUCT(MAX(ROW(E$1:E4259)*(E2=E$1:E4259))))))</f>
        <v> </v>
      </c>
      <c r="K4260" s="26" t="str">
        <f>IF(OR(E4260="",E4260="!!!",F4260="NEW"),"",INDEX(J$1:J4259,SUMPRODUCT(MAX(ROW(E$1:E4259)*(E4260=E$1:E4259)))))</f>
        <v> </v>
      </c>
      <c r="L4260" s="27"/>
    </row>
    <row r="4261" spans="1:12">
      <c r="A4261" s="20" t="s">
        <v>2654</v>
      </c>
      <c r="E4261" s="22">
        <f>IF(D4261="?OLD","!!!","")</f>
        <v/>
      </c>
      <c r="F4261" s="23" t="str">
        <f>IF(OR(E4261="",E4261="!!!"),"",IF(NOT(ISNA(VLOOKUP(E4261,E$1:E4260,1,FALSE()))),"OLD",IF(AND(E4261&lt;&gt;"",E4261&lt;&gt;"!!!"),"NEW","")))</f>
        <v> </v>
      </c>
      <c r="G4261" s="24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5" t="str">
        <f>IF(J4261&lt;&gt;1,"",IF(I4261="SBJ","CB","?"))</f>
        <v> </v>
      </c>
      <c r="I4261" s="26" t="str">
        <f>IF(OR(E4261="",E4261="!!!",F4261="NEW"),"",INDEX(B4260:B$2,-1+SUMPRODUCT(MAX(ROW(E4260:E$2)*(E4261=E4260:E$2)))))</f>
        <v> </v>
      </c>
      <c r="J4261" s="26" t="str">
        <f>IF(OR(E4261="",E4261="!!!",F4261="NEW"),"",COUNTBLANK(OFFSET(A$1,,,SUMPRODUCT(MAX(ROW(E$2:E4261)*(E4261=E$2:E4261)))))-COUNTBLANK(OFFSET(A$1,,,SUMPRODUCT(MAX(ROW(E$1:E4260)*(E2=E$1:E4260))))))</f>
        <v> </v>
      </c>
      <c r="K4261" s="26" t="str">
        <f>IF(OR(E4261="",E4261="!!!",F4261="NEW"),"",INDEX(J$1:J4260,SUMPRODUCT(MAX(ROW(E$1:E4260)*(E4261=E$1:E4260)))))</f>
        <v> </v>
      </c>
      <c r="L4261" s="27"/>
    </row>
    <row r="4262" spans="1:12">
      <c r="A4262" s="20" t="s">
        <v>1734</v>
      </c>
      <c r="E4262" s="22">
        <f>IF(D4262="?OLD","!!!","")</f>
        <v/>
      </c>
      <c r="F4262" s="23" t="str">
        <f>IF(OR(E4262="",E4262="!!!"),"",IF(NOT(ISNA(VLOOKUP(E4262,E$1:E4261,1,FALSE()))),"OLD",IF(AND(E4262&lt;&gt;"",E4262&lt;&gt;"!!!"),"NEW","")))</f>
        <v> </v>
      </c>
      <c r="G4262" s="24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5" t="str">
        <f>IF(J4262&lt;&gt;1,"",IF(I4262="SBJ","CB","?"))</f>
        <v> </v>
      </c>
      <c r="I4262" s="26" t="str">
        <f>IF(OR(E4262="",E4262="!!!",F4262="NEW"),"",INDEX(B4261:B$2,-1+SUMPRODUCT(MAX(ROW(E4261:E$2)*(E4262=E4261:E$2)))))</f>
        <v> </v>
      </c>
      <c r="J4262" s="26" t="str">
        <f>IF(OR(E4262="",E4262="!!!",F4262="NEW"),"",COUNTBLANK(OFFSET(A$1,,,SUMPRODUCT(MAX(ROW(E$2:E4262)*(E4262=E$2:E4262)))))-COUNTBLANK(OFFSET(A$1,,,SUMPRODUCT(MAX(ROW(E$1:E4261)*(E2=E$1:E4261))))))</f>
        <v> </v>
      </c>
      <c r="K4262" s="26" t="str">
        <f>IF(OR(E4262="",E4262="!!!",F4262="NEW"),"",INDEX(J$1:J4261,SUMPRODUCT(MAX(ROW(E$1:E4261)*(E4262=E$1:E4261)))))</f>
        <v> </v>
      </c>
      <c r="L4262" s="27"/>
    </row>
    <row r="4263" spans="1:12">
      <c r="A4263" s="20" t="s">
        <v>1126</v>
      </c>
      <c r="E4263" s="22">
        <f>IF(D4263="?OLD","!!!","")</f>
        <v/>
      </c>
      <c r="F4263" s="23" t="str">
        <f>IF(OR(E4263="",E4263="!!!"),"",IF(NOT(ISNA(VLOOKUP(E4263,E$1:E4262,1,FALSE()))),"OLD",IF(AND(E4263&lt;&gt;"",E4263&lt;&gt;"!!!"),"NEW","")))</f>
        <v> </v>
      </c>
      <c r="G4263" s="24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5" t="str">
        <f>IF(J4263&lt;&gt;1,"",IF(I4263="SBJ","CB","?"))</f>
        <v> </v>
      </c>
      <c r="I4263" s="26" t="str">
        <f>IF(OR(E4263="",E4263="!!!",F4263="NEW"),"",INDEX(B4262:B$2,-1+SUMPRODUCT(MAX(ROW(E4262:E$2)*(E4263=E4262:E$2)))))</f>
        <v> </v>
      </c>
      <c r="J4263" s="26" t="str">
        <f>IF(OR(E4263="",E4263="!!!",F4263="NEW"),"",COUNTBLANK(OFFSET(A$1,,,SUMPRODUCT(MAX(ROW(E$2:E4263)*(E4263=E$2:E4263)))))-COUNTBLANK(OFFSET(A$1,,,SUMPRODUCT(MAX(ROW(E$1:E4262)*(E2=E$1:E4262))))))</f>
        <v> </v>
      </c>
      <c r="K4263" s="26" t="str">
        <f>IF(OR(E4263="",E4263="!!!",F4263="NEW"),"",INDEX(J$1:J4262,SUMPRODUCT(MAX(ROW(E$1:E4262)*(E4263=E$1:E4262)))))</f>
        <v> </v>
      </c>
      <c r="L4263" s="27"/>
    </row>
    <row r="4264" spans="1:12">
      <c r="A4264" s="20" t="s">
        <v>2655</v>
      </c>
      <c r="E4264" s="22">
        <f>IF(D4264="?OLD","!!!","")</f>
        <v/>
      </c>
      <c r="F4264" s="23" t="str">
        <f>IF(OR(E4264="",E4264="!!!"),"",IF(NOT(ISNA(VLOOKUP(E4264,E$1:E4263,1,FALSE()))),"OLD",IF(AND(E4264&lt;&gt;"",E4264&lt;&gt;"!!!"),"NEW","")))</f>
        <v> </v>
      </c>
      <c r="G4264" s="24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5" t="str">
        <f>IF(J4264&lt;&gt;1,"",IF(I4264="SBJ","CB","?"))</f>
        <v> </v>
      </c>
      <c r="I4264" s="26" t="str">
        <f>IF(OR(E4264="",E4264="!!!",F4264="NEW"),"",INDEX(B4263:B$2,-1+SUMPRODUCT(MAX(ROW(E4263:E$2)*(E4264=E4263:E$2)))))</f>
        <v> </v>
      </c>
      <c r="J4264" s="26" t="str">
        <f>IF(OR(E4264="",E4264="!!!",F4264="NEW"),"",COUNTBLANK(OFFSET(A$1,,,SUMPRODUCT(MAX(ROW(E$2:E4264)*(E4264=E$2:E4264)))))-COUNTBLANK(OFFSET(A$1,,,SUMPRODUCT(MAX(ROW(E$1:E4263)*(E2=E$1:E4263))))))</f>
        <v> </v>
      </c>
      <c r="K4264" s="26" t="str">
        <f>IF(OR(E4264="",E4264="!!!",F4264="NEW"),"",INDEX(J$1:J4263,SUMPRODUCT(MAX(ROW(E$1:E4263)*(E4264=E$1:E4263)))))</f>
        <v> </v>
      </c>
      <c r="L4264" s="27"/>
    </row>
    <row r="4265" spans="1:12">
      <c r="A4265" s="20" t="s">
        <v>1106</v>
      </c>
      <c r="E4265" s="22">
        <f>IF(D4265="?OLD","!!!","")</f>
        <v/>
      </c>
      <c r="F4265" s="23" t="str">
        <f>IF(OR(E4265="",E4265="!!!"),"",IF(NOT(ISNA(VLOOKUP(E4265,E$1:E4264,1,FALSE()))),"OLD",IF(AND(E4265&lt;&gt;"",E4265&lt;&gt;"!!!"),"NEW","")))</f>
        <v> </v>
      </c>
      <c r="G4265" s="24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5" t="str">
        <f>IF(J4265&lt;&gt;1,"",IF(I4265="SBJ","CB","?"))</f>
        <v> </v>
      </c>
      <c r="I4265" s="26" t="str">
        <f>IF(OR(E4265="",E4265="!!!",F4265="NEW"),"",INDEX(B4264:B$2,-1+SUMPRODUCT(MAX(ROW(E4264:E$2)*(E4265=E4264:E$2)))))</f>
        <v> </v>
      </c>
      <c r="J4265" s="26" t="str">
        <f>IF(OR(E4265="",E4265="!!!",F4265="NEW"),"",COUNTBLANK(OFFSET(A$1,,,SUMPRODUCT(MAX(ROW(E$2:E4265)*(E4265=E$2:E4265)))))-COUNTBLANK(OFFSET(A$1,,,SUMPRODUCT(MAX(ROW(E$1:E4264)*(E2=E$1:E4264))))))</f>
        <v> </v>
      </c>
      <c r="K4265" s="26" t="str">
        <f>IF(OR(E4265="",E4265="!!!",F4265="NEW"),"",INDEX(J$1:J4264,SUMPRODUCT(MAX(ROW(E$1:E4264)*(E4265=E$1:E4264)))))</f>
        <v> </v>
      </c>
      <c r="L4265" s="27"/>
    </row>
    <row r="4266" spans="1:12">
      <c r="A4266" s="20"/>
    </row>
    <row r="4267" spans="1:12">
      <c r="A4267" s="20" t="s">
        <v>2656</v>
      </c>
    </row>
    <row r="4268" spans="1:12">
      <c r="A4268" s="20" t="s">
        <v>1108</v>
      </c>
      <c r="B4268" s="21" t="s">
        <v>1109</v>
      </c>
      <c r="C4268" s="21" t="s">
        <v>1081</v>
      </c>
      <c r="D4268" s="21" t="s">
        <v>1074</v>
      </c>
      <c r="E4268" s="22">
        <f>IF(D4268="?OLD","!!!","")</f>
        <v/>
      </c>
      <c r="F4268" s="23" t="str">
        <f>IF(OR(E4268="",E4268="!!!"),"",IF(NOT(ISNA(VLOOKUP(E4268,E$1:E4267,1,FALSE()))),"OLD",IF(AND(E4268&lt;&gt;"",E4268&lt;&gt;"!!!"),"NEW","")))</f>
        <v> </v>
      </c>
      <c r="G4268" s="24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5" t="str">
        <f>IF(J4268&lt;&gt;1,"",IF(I4268="SBJ","CB","?"))</f>
        <v> </v>
      </c>
      <c r="I4268" s="26" t="str">
        <f>IF(OR(E4268="",E4268="!!!",F4268="NEW"),"",INDEX(B4267:B$2,-1+SUMPRODUCT(MAX(ROW(E4267:E$2)*(E4268=E4267:E$2)))))</f>
        <v> </v>
      </c>
      <c r="J4268" s="26" t="str">
        <f>IF(OR(E4268="",E4268="!!!",F4268="NEW"),"",COUNTBLANK(OFFSET(A$1,,,SUMPRODUCT(MAX(ROW(E$2:E4268)*(E4268=E$2:E4268)))))-COUNTBLANK(OFFSET(A$1,,,SUMPRODUCT(MAX(ROW(E$1:E4267)*(E2=E$1:E4267))))))</f>
        <v> </v>
      </c>
      <c r="K4268" s="26" t="str">
        <f>IF(OR(E4268="",E4268="!!!",F4268="NEW"),"",INDEX(J$1:J4267,SUMPRODUCT(MAX(ROW(E$1:E4267)*(E4268=E$1:E4267)))))</f>
        <v> </v>
      </c>
      <c r="L4268" s="27"/>
    </row>
    <row r="4269" spans="1:12">
      <c r="A4269" s="20" t="s">
        <v>1747</v>
      </c>
      <c r="E4269" s="22">
        <f>IF(D4269="?OLD","!!!","")</f>
        <v/>
      </c>
      <c r="F4269" s="23" t="str">
        <f>IF(OR(E4269="",E4269="!!!"),"",IF(NOT(ISNA(VLOOKUP(E4269,E$1:E4268,1,FALSE()))),"OLD",IF(AND(E4269&lt;&gt;"",E4269&lt;&gt;"!!!"),"NEW","")))</f>
        <v> </v>
      </c>
      <c r="G4269" s="24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5" t="str">
        <f>IF(J4269&lt;&gt;1,"",IF(I4269="SBJ","CB","?"))</f>
        <v> </v>
      </c>
      <c r="I4269" s="26" t="str">
        <f>IF(OR(E4269="",E4269="!!!",F4269="NEW"),"",INDEX(B4268:B$2,-1+SUMPRODUCT(MAX(ROW(E4268:E$2)*(E4269=E4268:E$2)))))</f>
        <v> </v>
      </c>
      <c r="J4269" s="26" t="str">
        <f>IF(OR(E4269="",E4269="!!!",F4269="NEW"),"",COUNTBLANK(OFFSET(A$1,,,SUMPRODUCT(MAX(ROW(E$2:E4269)*(E4269=E$2:E4269)))))-COUNTBLANK(OFFSET(A$1,,,SUMPRODUCT(MAX(ROW(E$1:E4268)*(E2=E$1:E4268))))))</f>
        <v> </v>
      </c>
      <c r="K4269" s="26" t="str">
        <f>IF(OR(E4269="",E4269="!!!",F4269="NEW"),"",INDEX(J$1:J4268,SUMPRODUCT(MAX(ROW(E$1:E4268)*(E4269=E$1:E4268)))))</f>
        <v> </v>
      </c>
      <c r="L4269" s="27"/>
    </row>
    <row r="4270" spans="1:12">
      <c r="A4270" s="20" t="s">
        <v>1076</v>
      </c>
      <c r="E4270" s="22">
        <f>IF(D4270="?OLD","!!!","")</f>
        <v/>
      </c>
      <c r="F4270" s="23" t="str">
        <f>IF(OR(E4270="",E4270="!!!"),"",IF(NOT(ISNA(VLOOKUP(E4270,E$1:E4269,1,FALSE()))),"OLD",IF(AND(E4270&lt;&gt;"",E4270&lt;&gt;"!!!"),"NEW","")))</f>
        <v> </v>
      </c>
      <c r="G4270" s="24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5" t="str">
        <f>IF(J4270&lt;&gt;1,"",IF(I4270="SBJ","CB","?"))</f>
        <v> </v>
      </c>
      <c r="I4270" s="26" t="str">
        <f>IF(OR(E4270="",E4270="!!!",F4270="NEW"),"",INDEX(B4269:B$2,-1+SUMPRODUCT(MAX(ROW(E4269:E$2)*(E4270=E4269:E$2)))))</f>
        <v> </v>
      </c>
      <c r="J4270" s="26" t="str">
        <f>IF(OR(E4270="",E4270="!!!",F4270="NEW"),"",COUNTBLANK(OFFSET(A$1,,,SUMPRODUCT(MAX(ROW(E$2:E4270)*(E4270=E$2:E4270)))))-COUNTBLANK(OFFSET(A$1,,,SUMPRODUCT(MAX(ROW(E$1:E4269)*(E2=E$1:E4269))))))</f>
        <v> </v>
      </c>
      <c r="K4270" s="26" t="str">
        <f>IF(OR(E4270="",E4270="!!!",F4270="NEW"),"",INDEX(J$1:J4269,SUMPRODUCT(MAX(ROW(E$1:E4269)*(E4270=E$1:E4269)))))</f>
        <v> </v>
      </c>
      <c r="L4270" s="27"/>
    </row>
    <row r="4271" spans="1:12">
      <c r="A4271" s="20" t="s">
        <v>1086</v>
      </c>
      <c r="B4271" s="21" t="s">
        <v>1199</v>
      </c>
      <c r="C4271" s="21" t="s">
        <v>1181</v>
      </c>
      <c r="E4271" s="22">
        <f>IF(D4271="?OLD","!!!","")</f>
        <v/>
      </c>
      <c r="F4271" s="23" t="str">
        <f>IF(OR(E4271="",E4271="!!!"),"",IF(NOT(ISNA(VLOOKUP(E4271,E$1:E4270,1,FALSE()))),"OLD",IF(AND(E4271&lt;&gt;"",E4271&lt;&gt;"!!!"),"NEW","")))</f>
        <v> </v>
      </c>
      <c r="G4271" s="24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5" t="str">
        <f>IF(J4271&lt;&gt;1,"",IF(I4271="SBJ","CB","?"))</f>
        <v> </v>
      </c>
      <c r="I4271" s="26" t="str">
        <f>IF(OR(E4271="",E4271="!!!",F4271="NEW"),"",INDEX(B4270:B$2,-1+SUMPRODUCT(MAX(ROW(E4270:E$2)*(E4271=E4270:E$2)))))</f>
        <v> </v>
      </c>
      <c r="J4271" s="26" t="str">
        <f>IF(OR(E4271="",E4271="!!!",F4271="NEW"),"",COUNTBLANK(OFFSET(A$1,,,SUMPRODUCT(MAX(ROW(E$2:E4271)*(E4271=E$2:E4271)))))-COUNTBLANK(OFFSET(A$1,,,SUMPRODUCT(MAX(ROW(E$1:E4270)*(E2=E$1:E4270))))))</f>
        <v> </v>
      </c>
      <c r="K4271" s="26" t="str">
        <f>IF(OR(E4271="",E4271="!!!",F4271="NEW"),"",INDEX(J$1:J4270,SUMPRODUCT(MAX(ROW(E$1:E4270)*(E4271=E$1:E4270)))))</f>
        <v> </v>
      </c>
      <c r="L4271" s="27"/>
    </row>
    <row r="4272" spans="1:12">
      <c r="A4272" s="20" t="s">
        <v>1457</v>
      </c>
      <c r="E4272" s="22">
        <f>IF(D4272="?OLD","!!!","")</f>
        <v/>
      </c>
      <c r="F4272" s="23" t="str">
        <f>IF(OR(E4272="",E4272="!!!"),"",IF(NOT(ISNA(VLOOKUP(E4272,E$1:E4271,1,FALSE()))),"OLD",IF(AND(E4272&lt;&gt;"",E4272&lt;&gt;"!!!"),"NEW","")))</f>
        <v> </v>
      </c>
      <c r="G4272" s="24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5" t="str">
        <f>IF(J4272&lt;&gt;1,"",IF(I4272="SBJ","CB","?"))</f>
        <v> </v>
      </c>
      <c r="I4272" s="26" t="str">
        <f>IF(OR(E4272="",E4272="!!!",F4272="NEW"),"",INDEX(B4271:B$2,-1+SUMPRODUCT(MAX(ROW(E4271:E$2)*(E4272=E4271:E$2)))))</f>
        <v> </v>
      </c>
      <c r="J4272" s="26" t="str">
        <f>IF(OR(E4272="",E4272="!!!",F4272="NEW"),"",COUNTBLANK(OFFSET(A$1,,,SUMPRODUCT(MAX(ROW(E$2:E4272)*(E4272=E$2:E4272)))))-COUNTBLANK(OFFSET(A$1,,,SUMPRODUCT(MAX(ROW(E$1:E4271)*(E2=E$1:E4271))))))</f>
        <v> </v>
      </c>
      <c r="K4272" s="26" t="str">
        <f>IF(OR(E4272="",E4272="!!!",F4272="NEW"),"",INDEX(J$1:J4271,SUMPRODUCT(MAX(ROW(E$1:E4271)*(E4272=E$1:E4271)))))</f>
        <v> </v>
      </c>
      <c r="L4272" s="27"/>
    </row>
    <row r="4273" spans="1:12">
      <c r="A4273" s="20" t="s">
        <v>911</v>
      </c>
      <c r="B4273" s="21" t="s">
        <v>1119</v>
      </c>
      <c r="C4273" s="21" t="s">
        <v>1081</v>
      </c>
      <c r="D4273" s="21" t="s">
        <v>1074</v>
      </c>
      <c r="E4273" s="22">
        <f>IF(D4273="?OLD","!!!","")</f>
        <v/>
      </c>
      <c r="F4273" s="23" t="str">
        <f>IF(OR(E4273="",E4273="!!!"),"",IF(NOT(ISNA(VLOOKUP(E4273,E$1:E4272,1,FALSE()))),"OLD",IF(AND(E4273&lt;&gt;"",E4273&lt;&gt;"!!!"),"NEW","")))</f>
        <v> </v>
      </c>
      <c r="G4273" s="24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5" t="str">
        <f>IF(J4273&lt;&gt;1,"",IF(I4273="SBJ","CB","?"))</f>
        <v> </v>
      </c>
      <c r="I4273" s="26" t="str">
        <f>IF(OR(E4273="",E4273="!!!",F4273="NEW"),"",INDEX(B4272:B$2,-1+SUMPRODUCT(MAX(ROW(E4272:E$2)*(E4273=E4272:E$2)))))</f>
        <v> </v>
      </c>
      <c r="J4273" s="26" t="str">
        <f>IF(OR(E4273="",E4273="!!!",F4273="NEW"),"",COUNTBLANK(OFFSET(A$1,,,SUMPRODUCT(MAX(ROW(E$2:E4273)*(E4273=E$2:E4273)))))-COUNTBLANK(OFFSET(A$1,,,SUMPRODUCT(MAX(ROW(E$1:E4272)*(E2=E$1:E4272))))))</f>
        <v> </v>
      </c>
      <c r="K4273" s="26" t="str">
        <f>IF(OR(E4273="",E4273="!!!",F4273="NEW"),"",INDEX(J$1:J4272,SUMPRODUCT(MAX(ROW(E$1:E4272)*(E4273=E$1:E4272)))))</f>
        <v> </v>
      </c>
      <c r="L4273" s="27"/>
    </row>
    <row r="4274" spans="1:12">
      <c r="A4274" s="20" t="s">
        <v>2545</v>
      </c>
      <c r="E4274" s="22">
        <f>IF(D4274="?OLD","!!!","")</f>
        <v/>
      </c>
      <c r="F4274" s="23" t="str">
        <f>IF(OR(E4274="",E4274="!!!"),"",IF(NOT(ISNA(VLOOKUP(E4274,E$1:E4273,1,FALSE()))),"OLD",IF(AND(E4274&lt;&gt;"",E4274&lt;&gt;"!!!"),"NEW","")))</f>
        <v> </v>
      </c>
      <c r="G4274" s="24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5" t="str">
        <f>IF(J4274&lt;&gt;1,"",IF(I4274="SBJ","CB","?"))</f>
        <v> </v>
      </c>
      <c r="I4274" s="26" t="str">
        <f>IF(OR(E4274="",E4274="!!!",F4274="NEW"),"",INDEX(B4273:B$2,-1+SUMPRODUCT(MAX(ROW(E4273:E$2)*(E4274=E4273:E$2)))))</f>
        <v> </v>
      </c>
      <c r="J4274" s="26" t="str">
        <f>IF(OR(E4274="",E4274="!!!",F4274="NEW"),"",COUNTBLANK(OFFSET(A$1,,,SUMPRODUCT(MAX(ROW(E$2:E4274)*(E4274=E$2:E4274)))))-COUNTBLANK(OFFSET(A$1,,,SUMPRODUCT(MAX(ROW(E$1:E4273)*(E2=E$1:E4273))))))</f>
        <v> </v>
      </c>
      <c r="K4274" s="26" t="str">
        <f>IF(OR(E4274="",E4274="!!!",F4274="NEW"),"",INDEX(J$1:J4273,SUMPRODUCT(MAX(ROW(E$1:E4273)*(E4274=E$1:E4273)))))</f>
        <v> </v>
      </c>
      <c r="L4274" s="27"/>
    </row>
    <row r="4275" spans="1:12">
      <c r="A4275" s="20" t="s">
        <v>1091</v>
      </c>
      <c r="E4275" s="22">
        <f>IF(D4275="?OLD","!!!","")</f>
        <v/>
      </c>
      <c r="F4275" s="23" t="str">
        <f>IF(OR(E4275="",E4275="!!!"),"",IF(NOT(ISNA(VLOOKUP(E4275,E$1:E4274,1,FALSE()))),"OLD",IF(AND(E4275&lt;&gt;"",E4275&lt;&gt;"!!!"),"NEW","")))</f>
        <v> </v>
      </c>
      <c r="G4275" s="24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5" t="str">
        <f>IF(J4275&lt;&gt;1,"",IF(I4275="SBJ","CB","?"))</f>
        <v> </v>
      </c>
      <c r="I4275" s="26" t="str">
        <f>IF(OR(E4275="",E4275="!!!",F4275="NEW"),"",INDEX(B4274:B$2,-1+SUMPRODUCT(MAX(ROW(E4274:E$2)*(E4275=E4274:E$2)))))</f>
        <v> </v>
      </c>
      <c r="J4275" s="26" t="str">
        <f>IF(OR(E4275="",E4275="!!!",F4275="NEW"),"",COUNTBLANK(OFFSET(A$1,,,SUMPRODUCT(MAX(ROW(E$2:E4275)*(E4275=E$2:E4275)))))-COUNTBLANK(OFFSET(A$1,,,SUMPRODUCT(MAX(ROW(E$1:E4274)*(E2=E$1:E4274))))))</f>
        <v> </v>
      </c>
      <c r="K4275" s="26" t="str">
        <f>IF(OR(E4275="",E4275="!!!",F4275="NEW"),"",INDEX(J$1:J4274,SUMPRODUCT(MAX(ROW(E$1:E4274)*(E4275=E$1:E4274)))))</f>
        <v> </v>
      </c>
      <c r="L4275" s="27"/>
    </row>
    <row r="4276" spans="1:12">
      <c r="A4276" s="20" t="s">
        <v>1360</v>
      </c>
      <c r="E4276" s="22">
        <f>IF(D4276="?OLD","!!!","")</f>
        <v/>
      </c>
      <c r="F4276" s="23" t="str">
        <f>IF(OR(E4276="",E4276="!!!"),"",IF(NOT(ISNA(VLOOKUP(E4276,E$1:E4275,1,FALSE()))),"OLD",IF(AND(E4276&lt;&gt;"",E4276&lt;&gt;"!!!"),"NEW","")))</f>
        <v> </v>
      </c>
      <c r="G4276" s="24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5" t="str">
        <f>IF(J4276&lt;&gt;1,"",IF(I4276="SBJ","CB","?"))</f>
        <v> </v>
      </c>
      <c r="I4276" s="26" t="str">
        <f>IF(OR(E4276="",E4276="!!!",F4276="NEW"),"",INDEX(B4275:B$2,-1+SUMPRODUCT(MAX(ROW(E4275:E$2)*(E4276=E4275:E$2)))))</f>
        <v> </v>
      </c>
      <c r="J4276" s="26" t="str">
        <f>IF(OR(E4276="",E4276="!!!",F4276="NEW"),"",COUNTBLANK(OFFSET(A$1,,,SUMPRODUCT(MAX(ROW(E$2:E4276)*(E4276=E$2:E4276)))))-COUNTBLANK(OFFSET(A$1,,,SUMPRODUCT(MAX(ROW(E$1:E4275)*(E2=E$1:E4275))))))</f>
        <v> </v>
      </c>
      <c r="K4276" s="26" t="str">
        <f>IF(OR(E4276="",E4276="!!!",F4276="NEW"),"",INDEX(J$1:J4275,SUMPRODUCT(MAX(ROW(E$1:E4275)*(E4276=E$1:E4275)))))</f>
        <v> </v>
      </c>
      <c r="L4276" s="27"/>
    </row>
    <row r="4277" spans="1:12">
      <c r="A4277" s="20" t="s">
        <v>1189</v>
      </c>
      <c r="E4277" s="22">
        <f>IF(D4277="?OLD","!!!","")</f>
        <v/>
      </c>
      <c r="F4277" s="23" t="str">
        <f>IF(OR(E4277="",E4277="!!!"),"",IF(NOT(ISNA(VLOOKUP(E4277,E$1:E4276,1,FALSE()))),"OLD",IF(AND(E4277&lt;&gt;"",E4277&lt;&gt;"!!!"),"NEW","")))</f>
        <v> </v>
      </c>
      <c r="G4277" s="24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5" t="str">
        <f>IF(J4277&lt;&gt;1,"",IF(I4277="SBJ","CB","?"))</f>
        <v> </v>
      </c>
      <c r="I4277" s="26" t="str">
        <f>IF(OR(E4277="",E4277="!!!",F4277="NEW"),"",INDEX(B4276:B$2,-1+SUMPRODUCT(MAX(ROW(E4276:E$2)*(E4277=E4276:E$2)))))</f>
        <v> </v>
      </c>
      <c r="J4277" s="26" t="str">
        <f>IF(OR(E4277="",E4277="!!!",F4277="NEW"),"",COUNTBLANK(OFFSET(A$1,,,SUMPRODUCT(MAX(ROW(E$2:E4277)*(E4277=E$2:E4277)))))-COUNTBLANK(OFFSET(A$1,,,SUMPRODUCT(MAX(ROW(E$1:E4276)*(E2=E$1:E4276))))))</f>
        <v> </v>
      </c>
      <c r="K4277" s="26" t="str">
        <f>IF(OR(E4277="",E4277="!!!",F4277="NEW"),"",INDEX(J$1:J4276,SUMPRODUCT(MAX(ROW(E$1:E4276)*(E4277=E$1:E4276)))))</f>
        <v> </v>
      </c>
      <c r="L4277" s="27"/>
    </row>
    <row r="4278" spans="1:12">
      <c r="A4278" s="20"/>
    </row>
    <row r="4279" spans="1:12">
      <c r="A4279" s="20" t="s">
        <v>2657</v>
      </c>
    </row>
    <row r="4280" spans="1:12">
      <c r="A4280" s="20" t="s">
        <v>1170</v>
      </c>
      <c r="E4280" s="22">
        <f>IF(D4280="?OLD","!!!","")</f>
        <v/>
      </c>
      <c r="F4280" s="23" t="str">
        <f>IF(OR(E4280="",E4280="!!!"),"",IF(NOT(ISNA(VLOOKUP(E4280,E$1:E4279,1,FALSE()))),"OLD",IF(AND(E4280&lt;&gt;"",E4280&lt;&gt;"!!!"),"NEW","")))</f>
        <v> </v>
      </c>
      <c r="G4280" s="24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5" t="str">
        <f>IF(J4280&lt;&gt;1,"",IF(I4280="SBJ","CB","?"))</f>
        <v> </v>
      </c>
      <c r="I4280" s="26" t="str">
        <f>IF(OR(E4280="",E4280="!!!",F4280="NEW"),"",INDEX(B4279:B$2,-1+SUMPRODUCT(MAX(ROW(E4279:E$2)*(E4280=E4279:E$2)))))</f>
        <v> </v>
      </c>
      <c r="J4280" s="26" t="str">
        <f>IF(OR(E4280="",E4280="!!!",F4280="NEW"),"",COUNTBLANK(OFFSET(A$1,,,SUMPRODUCT(MAX(ROW(E$2:E4280)*(E4280=E$2:E4280)))))-COUNTBLANK(OFFSET(A$1,,,SUMPRODUCT(MAX(ROW(E$1:E4279)*(E2=E$1:E4279))))))</f>
        <v> </v>
      </c>
      <c r="K4280" s="26" t="str">
        <f>IF(OR(E4280="",E4280="!!!",F4280="NEW"),"",INDEX(J$1:J4279,SUMPRODUCT(MAX(ROW(E$1:E4279)*(E4280=E$1:E4279)))))</f>
        <v> </v>
      </c>
      <c r="L4280" s="27"/>
    </row>
    <row r="4281" spans="1:12">
      <c r="A4281" s="20" t="s">
        <v>1975</v>
      </c>
      <c r="B4281" s="21" t="s">
        <v>1072</v>
      </c>
      <c r="C4281" s="21" t="s">
        <v>1181</v>
      </c>
      <c r="E4281" s="22">
        <f>IF(D4281="?OLD","!!!","")</f>
        <v/>
      </c>
      <c r="F4281" s="23" t="str">
        <f>IF(OR(E4281="",E4281="!!!"),"",IF(NOT(ISNA(VLOOKUP(E4281,E$1:E4280,1,FALSE()))),"OLD",IF(AND(E4281&lt;&gt;"",E4281&lt;&gt;"!!!"),"NEW","")))</f>
        <v> </v>
      </c>
      <c r="G4281" s="24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5" t="str">
        <f>IF(J4281&lt;&gt;1,"",IF(I4281="SBJ","CB","?"))</f>
        <v> </v>
      </c>
      <c r="I4281" s="26" t="str">
        <f>IF(OR(E4281="",E4281="!!!",F4281="NEW"),"",INDEX(B4280:B$2,-1+SUMPRODUCT(MAX(ROW(E4280:E$2)*(E4281=E4280:E$2)))))</f>
        <v> </v>
      </c>
      <c r="J4281" s="26" t="str">
        <f>IF(OR(E4281="",E4281="!!!",F4281="NEW"),"",COUNTBLANK(OFFSET(A$1,,,SUMPRODUCT(MAX(ROW(E$2:E4281)*(E4281=E$2:E4281)))))-COUNTBLANK(OFFSET(A$1,,,SUMPRODUCT(MAX(ROW(E$1:E4280)*(E2=E$1:E4280))))))</f>
        <v> </v>
      </c>
      <c r="K4281" s="26" t="str">
        <f>IF(OR(E4281="",E4281="!!!",F4281="NEW"),"",INDEX(J$1:J4280,SUMPRODUCT(MAX(ROW(E$1:E4280)*(E4281=E$1:E4280)))))</f>
        <v> </v>
      </c>
      <c r="L4281" s="27"/>
    </row>
    <row r="4282" spans="1:12">
      <c r="A4282" s="20" t="s">
        <v>2175</v>
      </c>
      <c r="E4282" s="22">
        <f>IF(D4282="?OLD","!!!","")</f>
        <v/>
      </c>
      <c r="F4282" s="23" t="str">
        <f>IF(OR(E4282="",E4282="!!!"),"",IF(NOT(ISNA(VLOOKUP(E4282,E$1:E4281,1,FALSE()))),"OLD",IF(AND(E4282&lt;&gt;"",E4282&lt;&gt;"!!!"),"NEW","")))</f>
        <v> </v>
      </c>
      <c r="G4282" s="24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5" t="str">
        <f>IF(J4282&lt;&gt;1,"",IF(I4282="SBJ","CB","?"))</f>
        <v> </v>
      </c>
      <c r="I4282" s="26" t="str">
        <f>IF(OR(E4282="",E4282="!!!",F4282="NEW"),"",INDEX(B4281:B$2,-1+SUMPRODUCT(MAX(ROW(E4281:E$2)*(E4282=E4281:E$2)))))</f>
        <v> </v>
      </c>
      <c r="J4282" s="26" t="str">
        <f>IF(OR(E4282="",E4282="!!!",F4282="NEW"),"",COUNTBLANK(OFFSET(A$1,,,SUMPRODUCT(MAX(ROW(E$2:E4282)*(E4282=E$2:E4282)))))-COUNTBLANK(OFFSET(A$1,,,SUMPRODUCT(MAX(ROW(E$1:E4281)*(E2=E$1:E4281))))))</f>
        <v> </v>
      </c>
      <c r="K4282" s="26" t="str">
        <f>IF(OR(E4282="",E4282="!!!",F4282="NEW"),"",INDEX(J$1:J4281,SUMPRODUCT(MAX(ROW(E$1:E4281)*(E4282=E$1:E4281)))))</f>
        <v> </v>
      </c>
      <c r="L4282" s="27"/>
    </row>
    <row r="4283" spans="1:12">
      <c r="A4283" s="20" t="s">
        <v>1346</v>
      </c>
      <c r="B4283" s="21" t="s">
        <v>1072</v>
      </c>
      <c r="C4283" s="21" t="s">
        <v>1095</v>
      </c>
      <c r="D4283" s="21" t="s">
        <v>1074</v>
      </c>
      <c r="E4283" s="22">
        <f>IF(D4283="?OLD","!!!","")</f>
        <v/>
      </c>
      <c r="F4283" s="23" t="str">
        <f>IF(OR(E4283="",E4283="!!!"),"",IF(NOT(ISNA(VLOOKUP(E4283,E$1:E4282,1,FALSE()))),"OLD",IF(AND(E4283&lt;&gt;"",E4283&lt;&gt;"!!!"),"NEW","")))</f>
        <v> </v>
      </c>
      <c r="G4283" s="24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5" t="str">
        <f>IF(J4283&lt;&gt;1,"",IF(I4283="SBJ","CB","?"))</f>
        <v> </v>
      </c>
      <c r="I4283" s="26" t="str">
        <f>IF(OR(E4283="",E4283="!!!",F4283="NEW"),"",INDEX(B4282:B$2,-1+SUMPRODUCT(MAX(ROW(E4282:E$2)*(E4283=E4282:E$2)))))</f>
        <v> </v>
      </c>
      <c r="J4283" s="26" t="str">
        <f>IF(OR(E4283="",E4283="!!!",F4283="NEW"),"",COUNTBLANK(OFFSET(A$1,,,SUMPRODUCT(MAX(ROW(E$2:E4283)*(E4283=E$2:E4283)))))-COUNTBLANK(OFFSET(A$1,,,SUMPRODUCT(MAX(ROW(E$1:E4282)*(E2=E$1:E4282))))))</f>
        <v> </v>
      </c>
      <c r="K4283" s="26" t="str">
        <f>IF(OR(E4283="",E4283="!!!",F4283="NEW"),"",INDEX(J$1:J4282,SUMPRODUCT(MAX(ROW(E$1:E4282)*(E4283=E$1:E4282)))))</f>
        <v> </v>
      </c>
      <c r="L4283" s="27"/>
    </row>
    <row r="4284" spans="1:12">
      <c r="A4284" s="20" t="s">
        <v>2658</v>
      </c>
      <c r="E4284" s="22">
        <f>IF(D4284="?OLD","!!!","")</f>
        <v/>
      </c>
      <c r="F4284" s="23" t="str">
        <f>IF(OR(E4284="",E4284="!!!"),"",IF(NOT(ISNA(VLOOKUP(E4284,E$1:E4283,1,FALSE()))),"OLD",IF(AND(E4284&lt;&gt;"",E4284&lt;&gt;"!!!"),"NEW","")))</f>
        <v> </v>
      </c>
      <c r="G4284" s="24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5" t="str">
        <f>IF(J4284&lt;&gt;1,"",IF(I4284="SBJ","CB","?"))</f>
        <v> </v>
      </c>
      <c r="I4284" s="26" t="str">
        <f>IF(OR(E4284="",E4284="!!!",F4284="NEW"),"",INDEX(B4283:B$2,-1+SUMPRODUCT(MAX(ROW(E4283:E$2)*(E4284=E4283:E$2)))))</f>
        <v> </v>
      </c>
      <c r="J4284" s="26" t="str">
        <f>IF(OR(E4284="",E4284="!!!",F4284="NEW"),"",COUNTBLANK(OFFSET(A$1,,,SUMPRODUCT(MAX(ROW(E$2:E4284)*(E4284=E$2:E4284)))))-COUNTBLANK(OFFSET(A$1,,,SUMPRODUCT(MAX(ROW(E$1:E4283)*(E2=E$1:E4283))))))</f>
        <v> </v>
      </c>
      <c r="K4284" s="26" t="str">
        <f>IF(OR(E4284="",E4284="!!!",F4284="NEW"),"",INDEX(J$1:J4283,SUMPRODUCT(MAX(ROW(E$1:E4283)*(E4284=E$1:E4283)))))</f>
        <v> </v>
      </c>
      <c r="L4284" s="27"/>
    </row>
    <row r="4285" spans="1:12">
      <c r="A4285" s="20" t="s">
        <v>2659</v>
      </c>
      <c r="E4285" s="22">
        <f>IF(D4285="?OLD","!!!","")</f>
        <v/>
      </c>
      <c r="F4285" s="23" t="str">
        <f>IF(OR(E4285="",E4285="!!!"),"",IF(NOT(ISNA(VLOOKUP(E4285,E$1:E4284,1,FALSE()))),"OLD",IF(AND(E4285&lt;&gt;"",E4285&lt;&gt;"!!!"),"NEW","")))</f>
        <v> </v>
      </c>
      <c r="G4285" s="24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5" t="str">
        <f>IF(J4285&lt;&gt;1,"",IF(I4285="SBJ","CB","?"))</f>
        <v> </v>
      </c>
      <c r="I4285" s="26" t="str">
        <f>IF(OR(E4285="",E4285="!!!",F4285="NEW"),"",INDEX(B4284:B$2,-1+SUMPRODUCT(MAX(ROW(E4284:E$2)*(E4285=E4284:E$2)))))</f>
        <v> </v>
      </c>
      <c r="J4285" s="26" t="str">
        <f>IF(OR(E4285="",E4285="!!!",F4285="NEW"),"",COUNTBLANK(OFFSET(A$1,,,SUMPRODUCT(MAX(ROW(E$2:E4285)*(E4285=E$2:E4285)))))-COUNTBLANK(OFFSET(A$1,,,SUMPRODUCT(MAX(ROW(E$1:E4284)*(E2=E$1:E4284))))))</f>
        <v> </v>
      </c>
      <c r="K4285" s="26" t="str">
        <f>IF(OR(E4285="",E4285="!!!",F4285="NEW"),"",INDEX(J$1:J4284,SUMPRODUCT(MAX(ROW(E$1:E4284)*(E4285=E$1:E4284)))))</f>
        <v> </v>
      </c>
      <c r="L4285" s="27"/>
    </row>
    <row r="4286" spans="1:12">
      <c r="A4286" s="20" t="s">
        <v>1189</v>
      </c>
      <c r="E4286" s="22">
        <f>IF(D4286="?OLD","!!!","")</f>
        <v/>
      </c>
      <c r="F4286" s="23" t="str">
        <f>IF(OR(E4286="",E4286="!!!"),"",IF(NOT(ISNA(VLOOKUP(E4286,E$1:E4285,1,FALSE()))),"OLD",IF(AND(E4286&lt;&gt;"",E4286&lt;&gt;"!!!"),"NEW","")))</f>
        <v> </v>
      </c>
      <c r="G4286" s="24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5" t="str">
        <f>IF(J4286&lt;&gt;1,"",IF(I4286="SBJ","CB","?"))</f>
        <v> </v>
      </c>
      <c r="I4286" s="26" t="str">
        <f>IF(OR(E4286="",E4286="!!!",F4286="NEW"),"",INDEX(B4285:B$2,-1+SUMPRODUCT(MAX(ROW(E4285:E$2)*(E4286=E4285:E$2)))))</f>
        <v> </v>
      </c>
      <c r="J4286" s="26" t="str">
        <f>IF(OR(E4286="",E4286="!!!",F4286="NEW"),"",COUNTBLANK(OFFSET(A$1,,,SUMPRODUCT(MAX(ROW(E$2:E4286)*(E4286=E$2:E4286)))))-COUNTBLANK(OFFSET(A$1,,,SUMPRODUCT(MAX(ROW(E$1:E4285)*(E2=E$1:E4285))))))</f>
        <v> </v>
      </c>
      <c r="K4286" s="26" t="str">
        <f>IF(OR(E4286="",E4286="!!!",F4286="NEW"),"",INDEX(J$1:J4285,SUMPRODUCT(MAX(ROW(E$1:E4285)*(E4286=E$1:E4285)))))</f>
        <v> </v>
      </c>
      <c r="L4286" s="27"/>
    </row>
    <row r="4287" spans="1:12">
      <c r="A4287" s="20"/>
    </row>
    <row r="4288" spans="1:12">
      <c r="A4288" s="20" t="s">
        <v>2660</v>
      </c>
    </row>
    <row r="4289" spans="1:12">
      <c r="A4289" s="20" t="s">
        <v>1900</v>
      </c>
      <c r="E4289" s="22">
        <f>IF(D4289="?OLD","!!!","")</f>
        <v/>
      </c>
      <c r="F4289" s="23" t="str">
        <f>IF(OR(E4289="",E4289="!!!"),"",IF(NOT(ISNA(VLOOKUP(E4289,E$1:E4288,1,FALSE()))),"OLD",IF(AND(E4289&lt;&gt;"",E4289&lt;&gt;"!!!"),"NEW","")))</f>
        <v> </v>
      </c>
      <c r="G4289" s="24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5" t="str">
        <f>IF(J4289&lt;&gt;1,"",IF(I4289="SBJ","CB","?"))</f>
        <v> </v>
      </c>
      <c r="I4289" s="26" t="str">
        <f>IF(OR(E4289="",E4289="!!!",F4289="NEW"),"",INDEX(B4288:B$2,-1+SUMPRODUCT(MAX(ROW(E4288:E$2)*(E4289=E4288:E$2)))))</f>
        <v> </v>
      </c>
      <c r="J4289" s="26" t="str">
        <f>IF(OR(E4289="",E4289="!!!",F4289="NEW"),"",COUNTBLANK(OFFSET(A$1,,,SUMPRODUCT(MAX(ROW(E$2:E4289)*(E4289=E$2:E4289)))))-COUNTBLANK(OFFSET(A$1,,,SUMPRODUCT(MAX(ROW(E$1:E4288)*(E2=E$1:E4288))))))</f>
        <v> </v>
      </c>
      <c r="K4289" s="26" t="str">
        <f>IF(OR(E4289="",E4289="!!!",F4289="NEW"),"",INDEX(J$1:J4288,SUMPRODUCT(MAX(ROW(E$1:E4288)*(E4289=E$1:E4288)))))</f>
        <v> </v>
      </c>
      <c r="L4289" s="27"/>
    </row>
    <row r="4290" spans="1:12">
      <c r="A4290" s="20" t="s">
        <v>1118</v>
      </c>
      <c r="B4290" s="21" t="s">
        <v>1109</v>
      </c>
      <c r="C4290" s="21" t="s">
        <v>1081</v>
      </c>
      <c r="D4290" s="21" t="s">
        <v>1074</v>
      </c>
      <c r="E4290" s="22">
        <f>IF(D4290="?OLD","!!!","")</f>
        <v/>
      </c>
      <c r="F4290" s="23" t="str">
        <f>IF(OR(E4290="",E4290="!!!"),"",IF(NOT(ISNA(VLOOKUP(E4290,E$1:E4289,1,FALSE()))),"OLD",IF(AND(E4290&lt;&gt;"",E4290&lt;&gt;"!!!"),"NEW","")))</f>
        <v> </v>
      </c>
      <c r="G4290" s="24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5" t="str">
        <f>IF(J4290&lt;&gt;1,"",IF(I4290="SBJ","CB","?"))</f>
        <v> </v>
      </c>
      <c r="I4290" s="26" t="str">
        <f>IF(OR(E4290="",E4290="!!!",F4290="NEW"),"",INDEX(B4289:B$2,-1+SUMPRODUCT(MAX(ROW(E4289:E$2)*(E4290=E4289:E$2)))))</f>
        <v> </v>
      </c>
      <c r="J4290" s="26" t="str">
        <f>IF(OR(E4290="",E4290="!!!",F4290="NEW"),"",COUNTBLANK(OFFSET(A$1,,,SUMPRODUCT(MAX(ROW(E$2:E4290)*(E4290=E$2:E4290)))))-COUNTBLANK(OFFSET(A$1,,,SUMPRODUCT(MAX(ROW(E$1:E4289)*(E2=E$1:E4289))))))</f>
        <v> </v>
      </c>
      <c r="K4290" s="26" t="str">
        <f>IF(OR(E4290="",E4290="!!!",F4290="NEW"),"",INDEX(J$1:J4289,SUMPRODUCT(MAX(ROW(E$1:E4289)*(E4290=E$1:E4289)))))</f>
        <v> </v>
      </c>
      <c r="L4290" s="27"/>
    </row>
    <row r="4291" spans="1:12">
      <c r="A4291" s="20" t="s">
        <v>1237</v>
      </c>
      <c r="E4291" s="22">
        <f>IF(D4291="?OLD","!!!","")</f>
        <v/>
      </c>
      <c r="F4291" s="23" t="str">
        <f>IF(OR(E4291="",E4291="!!!"),"",IF(NOT(ISNA(VLOOKUP(E4291,E$1:E4290,1,FALSE()))),"OLD",IF(AND(E4291&lt;&gt;"",E4291&lt;&gt;"!!!"),"NEW","")))</f>
        <v> </v>
      </c>
      <c r="G4291" s="24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5" t="str">
        <f>IF(J4291&lt;&gt;1,"",IF(I4291="SBJ","CB","?"))</f>
        <v> </v>
      </c>
      <c r="I4291" s="26" t="str">
        <f>IF(OR(E4291="",E4291="!!!",F4291="NEW"),"",INDEX(B4290:B$2,-1+SUMPRODUCT(MAX(ROW(E4290:E$2)*(E4291=E4290:E$2)))))</f>
        <v> </v>
      </c>
      <c r="J4291" s="26" t="str">
        <f>IF(OR(E4291="",E4291="!!!",F4291="NEW"),"",COUNTBLANK(OFFSET(A$1,,,SUMPRODUCT(MAX(ROW(E$2:E4291)*(E4291=E$2:E4291)))))-COUNTBLANK(OFFSET(A$1,,,SUMPRODUCT(MAX(ROW(E$1:E4290)*(E2=E$1:E4290))))))</f>
        <v> </v>
      </c>
      <c r="K4291" s="26" t="str">
        <f>IF(OR(E4291="",E4291="!!!",F4291="NEW"),"",INDEX(J$1:J4290,SUMPRODUCT(MAX(ROW(E$1:E4290)*(E4291=E$1:E4290)))))</f>
        <v> </v>
      </c>
      <c r="L4291" s="27"/>
    </row>
    <row r="4292" spans="1:12">
      <c r="A4292" s="20" t="s">
        <v>1085</v>
      </c>
      <c r="E4292" s="22">
        <f>IF(D4292="?OLD","!!!","")</f>
        <v/>
      </c>
      <c r="F4292" s="23" t="str">
        <f>IF(OR(E4292="",E4292="!!!"),"",IF(NOT(ISNA(VLOOKUP(E4292,E$1:E4291,1,FALSE()))),"OLD",IF(AND(E4292&lt;&gt;"",E4292&lt;&gt;"!!!"),"NEW","")))</f>
        <v> </v>
      </c>
      <c r="G4292" s="24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5" t="str">
        <f>IF(J4292&lt;&gt;1,"",IF(I4292="SBJ","CB","?"))</f>
        <v> </v>
      </c>
      <c r="I4292" s="26" t="str">
        <f>IF(OR(E4292="",E4292="!!!",F4292="NEW"),"",INDEX(B4291:B$2,-1+SUMPRODUCT(MAX(ROW(E4291:E$2)*(E4292=E4291:E$2)))))</f>
        <v> </v>
      </c>
      <c r="J4292" s="26" t="str">
        <f>IF(OR(E4292="",E4292="!!!",F4292="NEW"),"",COUNTBLANK(OFFSET(A$1,,,SUMPRODUCT(MAX(ROW(E$2:E4292)*(E4292=E$2:E4292)))))-COUNTBLANK(OFFSET(A$1,,,SUMPRODUCT(MAX(ROW(E$1:E4291)*(E2=E$1:E4291))))))</f>
        <v> </v>
      </c>
      <c r="K4292" s="26" t="str">
        <f>IF(OR(E4292="",E4292="!!!",F4292="NEW"),"",INDEX(J$1:J4291,SUMPRODUCT(MAX(ROW(E$1:E4291)*(E4292=E$1:E4291)))))</f>
        <v> </v>
      </c>
      <c r="L4292" s="27"/>
    </row>
    <row r="4293" spans="1:12">
      <c r="A4293" s="20" t="s">
        <v>1086</v>
      </c>
      <c r="E4293" s="22">
        <f>IF(D4293="?OLD","!!!","")</f>
        <v/>
      </c>
      <c r="F4293" s="23" t="str">
        <f>IF(OR(E4293="",E4293="!!!"),"",IF(NOT(ISNA(VLOOKUP(E4293,E$1:E4292,1,FALSE()))),"OLD",IF(AND(E4293&lt;&gt;"",E4293&lt;&gt;"!!!"),"NEW","")))</f>
        <v> </v>
      </c>
      <c r="G4293" s="24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5" t="str">
        <f>IF(J4293&lt;&gt;1,"",IF(I4293="SBJ","CB","?"))</f>
        <v> </v>
      </c>
      <c r="I4293" s="26" t="str">
        <f>IF(OR(E4293="",E4293="!!!",F4293="NEW"),"",INDEX(B4292:B$2,-1+SUMPRODUCT(MAX(ROW(E4292:E$2)*(E4293=E4292:E$2)))))</f>
        <v> </v>
      </c>
      <c r="J4293" s="26" t="str">
        <f>IF(OR(E4293="",E4293="!!!",F4293="NEW"),"",COUNTBLANK(OFFSET(A$1,,,SUMPRODUCT(MAX(ROW(E$2:E4293)*(E4293=E$2:E4293)))))-COUNTBLANK(OFFSET(A$1,,,SUMPRODUCT(MAX(ROW(E$1:E4292)*(E2=E$1:E4292))))))</f>
        <v> </v>
      </c>
      <c r="K4293" s="26" t="str">
        <f>IF(OR(E4293="",E4293="!!!",F4293="NEW"),"",INDEX(J$1:J4292,SUMPRODUCT(MAX(ROW(E$1:E4292)*(E4293=E$1:E4292)))))</f>
        <v> </v>
      </c>
      <c r="L4293" s="27"/>
    </row>
    <row r="4294" spans="1:12">
      <c r="A4294" s="20" t="s">
        <v>911</v>
      </c>
      <c r="B4294" s="21" t="s">
        <v>1077</v>
      </c>
      <c r="C4294" s="21" t="s">
        <v>1081</v>
      </c>
      <c r="D4294" s="21" t="s">
        <v>1074</v>
      </c>
      <c r="E4294" s="22">
        <f>IF(D4294="?OLD","!!!","")</f>
        <v/>
      </c>
      <c r="F4294" s="23" t="str">
        <f>IF(OR(E4294="",E4294="!!!"),"",IF(NOT(ISNA(VLOOKUP(E4294,E$1:E4293,1,FALSE()))),"OLD",IF(AND(E4294&lt;&gt;"",E4294&lt;&gt;"!!!"),"NEW","")))</f>
        <v> </v>
      </c>
      <c r="G4294" s="24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5" t="str">
        <f>IF(J4294&lt;&gt;1,"",IF(I4294="SBJ","CB","?"))</f>
        <v> </v>
      </c>
      <c r="I4294" s="26" t="str">
        <f>IF(OR(E4294="",E4294="!!!",F4294="NEW"),"",INDEX(B4293:B$2,-1+SUMPRODUCT(MAX(ROW(E4293:E$2)*(E4294=E4293:E$2)))))</f>
        <v> </v>
      </c>
      <c r="J4294" s="26" t="str">
        <f>IF(OR(E4294="",E4294="!!!",F4294="NEW"),"",COUNTBLANK(OFFSET(A$1,,,SUMPRODUCT(MAX(ROW(E$2:E4294)*(E4294=E$2:E4294)))))-COUNTBLANK(OFFSET(A$1,,,SUMPRODUCT(MAX(ROW(E$1:E4293)*(E2=E$1:E4293))))))</f>
        <v> </v>
      </c>
      <c r="K4294" s="26" t="str">
        <f>IF(OR(E4294="",E4294="!!!",F4294="NEW"),"",INDEX(J$1:J4293,SUMPRODUCT(MAX(ROW(E$1:E4293)*(E4294=E$1:E4293)))))</f>
        <v> </v>
      </c>
      <c r="L4294" s="27"/>
    </row>
    <row r="4295" spans="1:12">
      <c r="A4295" s="20" t="s">
        <v>1091</v>
      </c>
      <c r="E4295" s="22">
        <f>IF(D4295="?OLD","!!!","")</f>
        <v/>
      </c>
      <c r="F4295" s="23" t="str">
        <f>IF(OR(E4295="",E4295="!!!"),"",IF(NOT(ISNA(VLOOKUP(E4295,E$1:E4294,1,FALSE()))),"OLD",IF(AND(E4295&lt;&gt;"",E4295&lt;&gt;"!!!"),"NEW","")))</f>
        <v> </v>
      </c>
      <c r="G4295" s="24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5" t="str">
        <f>IF(J4295&lt;&gt;1,"",IF(I4295="SBJ","CB","?"))</f>
        <v> </v>
      </c>
      <c r="I4295" s="26" t="str">
        <f>IF(OR(E4295="",E4295="!!!",F4295="NEW"),"",INDEX(B4294:B$2,-1+SUMPRODUCT(MAX(ROW(E4294:E$2)*(E4295=E4294:E$2)))))</f>
        <v> </v>
      </c>
      <c r="J4295" s="26" t="str">
        <f>IF(OR(E4295="",E4295="!!!",F4295="NEW"),"",COUNTBLANK(OFFSET(A$1,,,SUMPRODUCT(MAX(ROW(E$2:E4295)*(E4295=E$2:E4295)))))-COUNTBLANK(OFFSET(A$1,,,SUMPRODUCT(MAX(ROW(E$1:E4294)*(E2=E$1:E4294))))))</f>
        <v> </v>
      </c>
      <c r="K4295" s="26" t="str">
        <f>IF(OR(E4295="",E4295="!!!",F4295="NEW"),"",INDEX(J$1:J4294,SUMPRODUCT(MAX(ROW(E$1:E4294)*(E4295=E$1:E4294)))))</f>
        <v> </v>
      </c>
      <c r="L4295" s="27"/>
    </row>
    <row r="4296" spans="1:12">
      <c r="A4296" s="20" t="s">
        <v>2661</v>
      </c>
      <c r="E4296" s="22">
        <f>IF(D4296="?OLD","!!!","")</f>
        <v/>
      </c>
      <c r="F4296" s="23" t="str">
        <f>IF(OR(E4296="",E4296="!!!"),"",IF(NOT(ISNA(VLOOKUP(E4296,E$1:E4295,1,FALSE()))),"OLD",IF(AND(E4296&lt;&gt;"",E4296&lt;&gt;"!!!"),"NEW","")))</f>
        <v> </v>
      </c>
      <c r="G4296" s="24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5" t="str">
        <f>IF(J4296&lt;&gt;1,"",IF(I4296="SBJ","CB","?"))</f>
        <v> </v>
      </c>
      <c r="I4296" s="26" t="str">
        <f>IF(OR(E4296="",E4296="!!!",F4296="NEW"),"",INDEX(B4295:B$2,-1+SUMPRODUCT(MAX(ROW(E4295:E$2)*(E4296=E4295:E$2)))))</f>
        <v> </v>
      </c>
      <c r="J4296" s="26" t="str">
        <f>IF(OR(E4296="",E4296="!!!",F4296="NEW"),"",COUNTBLANK(OFFSET(A$1,,,SUMPRODUCT(MAX(ROW(E$2:E4296)*(E4296=E$2:E4296)))))-COUNTBLANK(OFFSET(A$1,,,SUMPRODUCT(MAX(ROW(E$1:E4295)*(E2=E$1:E4295))))))</f>
        <v> </v>
      </c>
      <c r="K4296" s="26" t="str">
        <f>IF(OR(E4296="",E4296="!!!",F4296="NEW"),"",INDEX(J$1:J4295,SUMPRODUCT(MAX(ROW(E$1:E4295)*(E4296=E$1:E4295)))))</f>
        <v> </v>
      </c>
      <c r="L4296" s="27"/>
    </row>
    <row r="4297" spans="1:12">
      <c r="A4297" s="20" t="s">
        <v>1138</v>
      </c>
      <c r="E4297" s="22">
        <f>IF(D4297="?OLD","!!!","")</f>
        <v/>
      </c>
      <c r="F4297" s="23" t="str">
        <f>IF(OR(E4297="",E4297="!!!"),"",IF(NOT(ISNA(VLOOKUP(E4297,E$1:E4296,1,FALSE()))),"OLD",IF(AND(E4297&lt;&gt;"",E4297&lt;&gt;"!!!"),"NEW","")))</f>
        <v> </v>
      </c>
      <c r="G4297" s="24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5" t="str">
        <f>IF(J4297&lt;&gt;1,"",IF(I4297="SBJ","CB","?"))</f>
        <v> </v>
      </c>
      <c r="I4297" s="26" t="str">
        <f>IF(OR(E4297="",E4297="!!!",F4297="NEW"),"",INDEX(B4296:B$2,-1+SUMPRODUCT(MAX(ROW(E4296:E$2)*(E4297=E4296:E$2)))))</f>
        <v> </v>
      </c>
      <c r="J4297" s="26" t="str">
        <f>IF(OR(E4297="",E4297="!!!",F4297="NEW"),"",COUNTBLANK(OFFSET(A$1,,,SUMPRODUCT(MAX(ROW(E$2:E4297)*(E4297=E$2:E4297)))))-COUNTBLANK(OFFSET(A$1,,,SUMPRODUCT(MAX(ROW(E$1:E4296)*(E2=E$1:E4296))))))</f>
        <v> </v>
      </c>
      <c r="K4297" s="26" t="str">
        <f>IF(OR(E4297="",E4297="!!!",F4297="NEW"),"",INDEX(J$1:J4296,SUMPRODUCT(MAX(ROW(E$1:E4296)*(E4297=E$1:E4296)))))</f>
        <v> </v>
      </c>
      <c r="L4297" s="27"/>
    </row>
    <row r="4298" spans="1:12">
      <c r="A4298" s="20" t="s">
        <v>1173</v>
      </c>
      <c r="E4298" s="22">
        <f>IF(D4298="?OLD","!!!","")</f>
        <v/>
      </c>
      <c r="F4298" s="23" t="str">
        <f>IF(OR(E4298="",E4298="!!!"),"",IF(NOT(ISNA(VLOOKUP(E4298,E$1:E4297,1,FALSE()))),"OLD",IF(AND(E4298&lt;&gt;"",E4298&lt;&gt;"!!!"),"NEW","")))</f>
        <v> </v>
      </c>
      <c r="G4298" s="24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5" t="str">
        <f>IF(J4298&lt;&gt;1,"",IF(I4298="SBJ","CB","?"))</f>
        <v> </v>
      </c>
      <c r="I4298" s="26" t="str">
        <f>IF(OR(E4298="",E4298="!!!",F4298="NEW"),"",INDEX(B4297:B$2,-1+SUMPRODUCT(MAX(ROW(E4297:E$2)*(E4298=E4297:E$2)))))</f>
        <v> </v>
      </c>
      <c r="J4298" s="26" t="str">
        <f>IF(OR(E4298="",E4298="!!!",F4298="NEW"),"",COUNTBLANK(OFFSET(A$1,,,SUMPRODUCT(MAX(ROW(E$2:E4298)*(E4298=E$2:E4298)))))-COUNTBLANK(OFFSET(A$1,,,SUMPRODUCT(MAX(ROW(E$1:E4297)*(E2=E$1:E4297))))))</f>
        <v> </v>
      </c>
      <c r="K4298" s="26" t="str">
        <f>IF(OR(E4298="",E4298="!!!",F4298="NEW"),"",INDEX(J$1:J4297,SUMPRODUCT(MAX(ROW(E$1:E4297)*(E4298=E$1:E4297)))))</f>
        <v> </v>
      </c>
      <c r="L4298" s="27"/>
    </row>
    <row r="4299" spans="1:12">
      <c r="A4299" s="20" t="s">
        <v>1106</v>
      </c>
      <c r="E4299" s="22">
        <f>IF(D4299="?OLD","!!!","")</f>
        <v/>
      </c>
      <c r="F4299" s="23" t="str">
        <f>IF(OR(E4299="",E4299="!!!"),"",IF(NOT(ISNA(VLOOKUP(E4299,E$1:E4298,1,FALSE()))),"OLD",IF(AND(E4299&lt;&gt;"",E4299&lt;&gt;"!!!"),"NEW","")))</f>
        <v> </v>
      </c>
      <c r="G4299" s="24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5" t="str">
        <f>IF(J4299&lt;&gt;1,"",IF(I4299="SBJ","CB","?"))</f>
        <v> </v>
      </c>
      <c r="I4299" s="26" t="str">
        <f>IF(OR(E4299="",E4299="!!!",F4299="NEW"),"",INDEX(B4298:B$2,-1+SUMPRODUCT(MAX(ROW(E4298:E$2)*(E4299=E4298:E$2)))))</f>
        <v> </v>
      </c>
      <c r="J4299" s="26" t="str">
        <f>IF(OR(E4299="",E4299="!!!",F4299="NEW"),"",COUNTBLANK(OFFSET(A$1,,,SUMPRODUCT(MAX(ROW(E$2:E4299)*(E4299=E$2:E4299)))))-COUNTBLANK(OFFSET(A$1,,,SUMPRODUCT(MAX(ROW(E$1:E4298)*(E2=E$1:E4298))))))</f>
        <v> </v>
      </c>
      <c r="K4299" s="26" t="str">
        <f>IF(OR(E4299="",E4299="!!!",F4299="NEW"),"",INDEX(J$1:J4298,SUMPRODUCT(MAX(ROW(E$1:E4298)*(E4299=E$1:E4298)))))</f>
        <v> </v>
      </c>
      <c r="L4299" s="27"/>
    </row>
    <row r="4300" spans="1:12">
      <c r="A4300" s="20"/>
    </row>
    <row r="4301" spans="1:12">
      <c r="A4301" s="20" t="s">
        <v>2662</v>
      </c>
    </row>
    <row r="4302" spans="1:12">
      <c r="A4302" s="20" t="s">
        <v>1108</v>
      </c>
      <c r="B4302" s="21" t="s">
        <v>1109</v>
      </c>
      <c r="C4302" s="21" t="s">
        <v>1081</v>
      </c>
      <c r="D4302" s="21" t="s">
        <v>1074</v>
      </c>
      <c r="E4302" s="22">
        <f>IF(D4302="?OLD","!!!","")</f>
        <v/>
      </c>
      <c r="F4302" s="23" t="str">
        <f>IF(OR(E4302="",E4302="!!!"),"",IF(NOT(ISNA(VLOOKUP(E4302,E$1:E4301,1,FALSE()))),"OLD",IF(AND(E4302&lt;&gt;"",E4302&lt;&gt;"!!!"),"NEW","")))</f>
        <v> </v>
      </c>
      <c r="G4302" s="24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5" t="str">
        <f>IF(J4302&lt;&gt;1,"",IF(I4302="SBJ","CB","?"))</f>
        <v> </v>
      </c>
      <c r="I4302" s="26" t="str">
        <f>IF(OR(E4302="",E4302="!!!",F4302="NEW"),"",INDEX(B4301:B$2,-1+SUMPRODUCT(MAX(ROW(E4301:E$2)*(E4302=E4301:E$2)))))</f>
        <v> </v>
      </c>
      <c r="J4302" s="26" t="str">
        <f>IF(OR(E4302="",E4302="!!!",F4302="NEW"),"",COUNTBLANK(OFFSET(A$1,,,SUMPRODUCT(MAX(ROW(E$2:E4302)*(E4302=E$2:E4302)))))-COUNTBLANK(OFFSET(A$1,,,SUMPRODUCT(MAX(ROW(E$1:E4301)*(E2=E$1:E4301))))))</f>
        <v> </v>
      </c>
      <c r="K4302" s="26" t="str">
        <f>IF(OR(E4302="",E4302="!!!",F4302="NEW"),"",INDEX(J$1:J4301,SUMPRODUCT(MAX(ROW(E$1:E4301)*(E4302=E$1:E4301)))))</f>
        <v> </v>
      </c>
      <c r="L4302" s="27"/>
    </row>
    <row r="4303" spans="1:12">
      <c r="A4303" s="20" t="s">
        <v>1229</v>
      </c>
      <c r="E4303" s="22">
        <f>IF(D4303="?OLD","!!!","")</f>
        <v/>
      </c>
      <c r="F4303" s="23" t="str">
        <f>IF(OR(E4303="",E4303="!!!"),"",IF(NOT(ISNA(VLOOKUP(E4303,E$1:E4302,1,FALSE()))),"OLD",IF(AND(E4303&lt;&gt;"",E4303&lt;&gt;"!!!"),"NEW","")))</f>
        <v> </v>
      </c>
      <c r="G4303" s="24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5" t="str">
        <f>IF(J4303&lt;&gt;1,"",IF(I4303="SBJ","CB","?"))</f>
        <v> </v>
      </c>
      <c r="I4303" s="26" t="str">
        <f>IF(OR(E4303="",E4303="!!!",F4303="NEW"),"",INDEX(B4302:B$2,-1+SUMPRODUCT(MAX(ROW(E4302:E$2)*(E4303=E4302:E$2)))))</f>
        <v> </v>
      </c>
      <c r="J4303" s="26" t="str">
        <f>IF(OR(E4303="",E4303="!!!",F4303="NEW"),"",COUNTBLANK(OFFSET(A$1,,,SUMPRODUCT(MAX(ROW(E$2:E4303)*(E4303=E$2:E4303)))))-COUNTBLANK(OFFSET(A$1,,,SUMPRODUCT(MAX(ROW(E$1:E4302)*(E2=E$1:E4302))))))</f>
        <v> </v>
      </c>
      <c r="K4303" s="26" t="str">
        <f>IF(OR(E4303="",E4303="!!!",F4303="NEW"),"",INDEX(J$1:J4302,SUMPRODUCT(MAX(ROW(E$1:E4302)*(E4303=E$1:E4302)))))</f>
        <v> </v>
      </c>
      <c r="L4303" s="27"/>
    </row>
    <row r="4304" spans="1:12">
      <c r="A4304" s="20" t="s">
        <v>2663</v>
      </c>
      <c r="E4304" s="22">
        <f>IF(D4304="?OLD","!!!","")</f>
        <v/>
      </c>
      <c r="F4304" s="23" t="str">
        <f>IF(OR(E4304="",E4304="!!!"),"",IF(NOT(ISNA(VLOOKUP(E4304,E$1:E4303,1,FALSE()))),"OLD",IF(AND(E4304&lt;&gt;"",E4304&lt;&gt;"!!!"),"NEW","")))</f>
        <v> </v>
      </c>
      <c r="G4304" s="24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5" t="str">
        <f>IF(J4304&lt;&gt;1,"",IF(I4304="SBJ","CB","?"))</f>
        <v> </v>
      </c>
      <c r="I4304" s="26" t="str">
        <f>IF(OR(E4304="",E4304="!!!",F4304="NEW"),"",INDEX(B4303:B$2,-1+SUMPRODUCT(MAX(ROW(E4303:E$2)*(E4304=E4303:E$2)))))</f>
        <v> </v>
      </c>
      <c r="J4304" s="26" t="str">
        <f>IF(OR(E4304="",E4304="!!!",F4304="NEW"),"",COUNTBLANK(OFFSET(A$1,,,SUMPRODUCT(MAX(ROW(E$2:E4304)*(E4304=E$2:E4304)))))-COUNTBLANK(OFFSET(A$1,,,SUMPRODUCT(MAX(ROW(E$1:E4303)*(E2=E$1:E4303))))))</f>
        <v> </v>
      </c>
      <c r="K4304" s="26" t="str">
        <f>IF(OR(E4304="",E4304="!!!",F4304="NEW"),"",INDEX(J$1:J4303,SUMPRODUCT(MAX(ROW(E$1:E4303)*(E4304=E$1:E4303)))))</f>
        <v> </v>
      </c>
      <c r="L4304" s="27"/>
    </row>
    <row r="4305" spans="1:12">
      <c r="A4305" s="20" t="s">
        <v>2664</v>
      </c>
      <c r="E4305" s="22">
        <f>IF(D4305="?OLD","!!!","")</f>
        <v/>
      </c>
      <c r="F4305" s="23" t="str">
        <f>IF(OR(E4305="",E4305="!!!"),"",IF(NOT(ISNA(VLOOKUP(E4305,E$1:E4304,1,FALSE()))),"OLD",IF(AND(E4305&lt;&gt;"",E4305&lt;&gt;"!!!"),"NEW","")))</f>
        <v> </v>
      </c>
      <c r="G4305" s="24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5" t="str">
        <f>IF(J4305&lt;&gt;1,"",IF(I4305="SBJ","CB","?"))</f>
        <v> </v>
      </c>
      <c r="I4305" s="26" t="str">
        <f>IF(OR(E4305="",E4305="!!!",F4305="NEW"),"",INDEX(B4304:B$2,-1+SUMPRODUCT(MAX(ROW(E4304:E$2)*(E4305=E4304:E$2)))))</f>
        <v> </v>
      </c>
      <c r="J4305" s="26" t="str">
        <f>IF(OR(E4305="",E4305="!!!",F4305="NEW"),"",COUNTBLANK(OFFSET(A$1,,,SUMPRODUCT(MAX(ROW(E$2:E4305)*(E4305=E$2:E4305)))))-COUNTBLANK(OFFSET(A$1,,,SUMPRODUCT(MAX(ROW(E$1:E4304)*(E2=E$1:E4304))))))</f>
        <v> </v>
      </c>
      <c r="K4305" s="26" t="str">
        <f>IF(OR(E4305="",E4305="!!!",F4305="NEW"),"",INDEX(J$1:J4304,SUMPRODUCT(MAX(ROW(E$1:E4304)*(E4305=E$1:E4304)))))</f>
        <v> </v>
      </c>
      <c r="L4305" s="27"/>
    </row>
    <row r="4306" spans="1:12">
      <c r="A4306" s="20" t="s">
        <v>1187</v>
      </c>
      <c r="E4306" s="22">
        <f>IF(D4306="?OLD","!!!","")</f>
        <v/>
      </c>
      <c r="F4306" s="23" t="str">
        <f>IF(OR(E4306="",E4306="!!!"),"",IF(NOT(ISNA(VLOOKUP(E4306,E$1:E4305,1,FALSE()))),"OLD",IF(AND(E4306&lt;&gt;"",E4306&lt;&gt;"!!!"),"NEW","")))</f>
        <v> </v>
      </c>
      <c r="G4306" s="24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5" t="str">
        <f>IF(J4306&lt;&gt;1,"",IF(I4306="SBJ","CB","?"))</f>
        <v> </v>
      </c>
      <c r="I4306" s="26" t="str">
        <f>IF(OR(E4306="",E4306="!!!",F4306="NEW"),"",INDEX(B4305:B$2,-1+SUMPRODUCT(MAX(ROW(E4305:E$2)*(E4306=E4305:E$2)))))</f>
        <v> </v>
      </c>
      <c r="J4306" s="26" t="str">
        <f>IF(OR(E4306="",E4306="!!!",F4306="NEW"),"",COUNTBLANK(OFFSET(A$1,,,SUMPRODUCT(MAX(ROW(E$2:E4306)*(E4306=E$2:E4306)))))-COUNTBLANK(OFFSET(A$1,,,SUMPRODUCT(MAX(ROW(E$1:E4305)*(E2=E$1:E4305))))))</f>
        <v> </v>
      </c>
      <c r="K4306" s="26" t="str">
        <f>IF(OR(E4306="",E4306="!!!",F4306="NEW"),"",INDEX(J$1:J4305,SUMPRODUCT(MAX(ROW(E$1:E4305)*(E4306=E$1:E4305)))))</f>
        <v> </v>
      </c>
      <c r="L4306" s="27"/>
    </row>
    <row r="4307" spans="1:12">
      <c r="A4307" s="20" t="s">
        <v>1173</v>
      </c>
      <c r="E4307" s="22">
        <f>IF(D4307="?OLD","!!!","")</f>
        <v/>
      </c>
      <c r="F4307" s="23" t="str">
        <f>IF(OR(E4307="",E4307="!!!"),"",IF(NOT(ISNA(VLOOKUP(E4307,E$1:E4306,1,FALSE()))),"OLD",IF(AND(E4307&lt;&gt;"",E4307&lt;&gt;"!!!"),"NEW","")))</f>
        <v> </v>
      </c>
      <c r="G4307" s="24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5" t="str">
        <f>IF(J4307&lt;&gt;1,"",IF(I4307="SBJ","CB","?"))</f>
        <v> </v>
      </c>
      <c r="I4307" s="26" t="str">
        <f>IF(OR(E4307="",E4307="!!!",F4307="NEW"),"",INDEX(B4306:B$2,-1+SUMPRODUCT(MAX(ROW(E4306:E$2)*(E4307=E4306:E$2)))))</f>
        <v> </v>
      </c>
      <c r="J4307" s="26" t="str">
        <f>IF(OR(E4307="",E4307="!!!",F4307="NEW"),"",COUNTBLANK(OFFSET(A$1,,,SUMPRODUCT(MAX(ROW(E$2:E4307)*(E4307=E$2:E4307)))))-COUNTBLANK(OFFSET(A$1,,,SUMPRODUCT(MAX(ROW(E$1:E4306)*(E2=E$1:E4306))))))</f>
        <v> </v>
      </c>
      <c r="K4307" s="26" t="str">
        <f>IF(OR(E4307="",E4307="!!!",F4307="NEW"),"",INDEX(J$1:J4306,SUMPRODUCT(MAX(ROW(E$1:E4306)*(E4307=E$1:E4306)))))</f>
        <v> </v>
      </c>
      <c r="L4307" s="27"/>
    </row>
    <row r="4308" spans="1:12">
      <c r="A4308" s="20" t="s">
        <v>1085</v>
      </c>
      <c r="E4308" s="22">
        <f>IF(D4308="?OLD","!!!","")</f>
        <v/>
      </c>
      <c r="F4308" s="23" t="str">
        <f>IF(OR(E4308="",E4308="!!!"),"",IF(NOT(ISNA(VLOOKUP(E4308,E$1:E4307,1,FALSE()))),"OLD",IF(AND(E4308&lt;&gt;"",E4308&lt;&gt;"!!!"),"NEW","")))</f>
        <v> </v>
      </c>
      <c r="G4308" s="24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5" t="str">
        <f>IF(J4308&lt;&gt;1,"",IF(I4308="SBJ","CB","?"))</f>
        <v> </v>
      </c>
      <c r="I4308" s="26" t="str">
        <f>IF(OR(E4308="",E4308="!!!",F4308="NEW"),"",INDEX(B4307:B$2,-1+SUMPRODUCT(MAX(ROW(E4307:E$2)*(E4308=E4307:E$2)))))</f>
        <v> </v>
      </c>
      <c r="J4308" s="26" t="str">
        <f>IF(OR(E4308="",E4308="!!!",F4308="NEW"),"",COUNTBLANK(OFFSET(A$1,,,SUMPRODUCT(MAX(ROW(E$2:E4308)*(E4308=E$2:E4308)))))-COUNTBLANK(OFFSET(A$1,,,SUMPRODUCT(MAX(ROW(E$1:E4307)*(E2=E$1:E4307))))))</f>
        <v> </v>
      </c>
      <c r="K4308" s="26" t="str">
        <f>IF(OR(E4308="",E4308="!!!",F4308="NEW"),"",INDEX(J$1:J4307,SUMPRODUCT(MAX(ROW(E$1:E4307)*(E4308=E$1:E4307)))))</f>
        <v> </v>
      </c>
      <c r="L4308" s="27"/>
    </row>
    <row r="4309" spans="1:12">
      <c r="A4309" s="20" t="s">
        <v>2663</v>
      </c>
      <c r="E4309" s="22">
        <f>IF(D4309="?OLD","!!!","")</f>
        <v/>
      </c>
      <c r="F4309" s="23" t="str">
        <f>IF(OR(E4309="",E4309="!!!"),"",IF(NOT(ISNA(VLOOKUP(E4309,E$1:E4308,1,FALSE()))),"OLD",IF(AND(E4309&lt;&gt;"",E4309&lt;&gt;"!!!"),"NEW","")))</f>
        <v> </v>
      </c>
      <c r="G4309" s="24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5" t="str">
        <f>IF(J4309&lt;&gt;1,"",IF(I4309="SBJ","CB","?"))</f>
        <v> </v>
      </c>
      <c r="I4309" s="26" t="str">
        <f>IF(OR(E4309="",E4309="!!!",F4309="NEW"),"",INDEX(B4308:B$2,-1+SUMPRODUCT(MAX(ROW(E4308:E$2)*(E4309=E4308:E$2)))))</f>
        <v> </v>
      </c>
      <c r="J4309" s="26" t="str">
        <f>IF(OR(E4309="",E4309="!!!",F4309="NEW"),"",COUNTBLANK(OFFSET(A$1,,,SUMPRODUCT(MAX(ROW(E$2:E4309)*(E4309=E$2:E4309)))))-COUNTBLANK(OFFSET(A$1,,,SUMPRODUCT(MAX(ROW(E$1:E4308)*(E2=E$1:E4308))))))</f>
        <v> </v>
      </c>
      <c r="K4309" s="26" t="str">
        <f>IF(OR(E4309="",E4309="!!!",F4309="NEW"),"",INDEX(J$1:J4308,SUMPRODUCT(MAX(ROW(E$1:E4308)*(E4309=E$1:E4308)))))</f>
        <v> </v>
      </c>
      <c r="L4309" s="27"/>
    </row>
    <row r="4310" spans="1:12">
      <c r="A4310" s="20" t="s">
        <v>193</v>
      </c>
      <c r="E4310" s="22">
        <f>IF(D4310="?OLD","!!!","")</f>
        <v/>
      </c>
      <c r="F4310" s="23" t="str">
        <f>IF(OR(E4310="",E4310="!!!"),"",IF(NOT(ISNA(VLOOKUP(E4310,E$1:E4309,1,FALSE()))),"OLD",IF(AND(E4310&lt;&gt;"",E4310&lt;&gt;"!!!"),"NEW","")))</f>
        <v> </v>
      </c>
      <c r="G4310" s="24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5" t="str">
        <f>IF(J4310&lt;&gt;1,"",IF(I4310="SBJ","CB","?"))</f>
        <v> </v>
      </c>
      <c r="I4310" s="26" t="str">
        <f>IF(OR(E4310="",E4310="!!!",F4310="NEW"),"",INDEX(B4309:B$2,-1+SUMPRODUCT(MAX(ROW(E4309:E$2)*(E4310=E4309:E$2)))))</f>
        <v> </v>
      </c>
      <c r="J4310" s="26" t="str">
        <f>IF(OR(E4310="",E4310="!!!",F4310="NEW"),"",COUNTBLANK(OFFSET(A$1,,,SUMPRODUCT(MAX(ROW(E$2:E4310)*(E4310=E$2:E4310)))))-COUNTBLANK(OFFSET(A$1,,,SUMPRODUCT(MAX(ROW(E$1:E4309)*(E2=E$1:E4309))))))</f>
        <v> </v>
      </c>
      <c r="K4310" s="26" t="str">
        <f>IF(OR(E4310="",E4310="!!!",F4310="NEW"),"",INDEX(J$1:J4309,SUMPRODUCT(MAX(ROW(E$1:E4309)*(E4310=E$1:E4309)))))</f>
        <v> </v>
      </c>
      <c r="L4310" s="27"/>
    </row>
    <row r="4311" spans="1:12">
      <c r="A4311" s="20" t="s">
        <v>1249</v>
      </c>
      <c r="B4311" s="21" t="s">
        <v>1199</v>
      </c>
      <c r="C4311" s="21" t="s">
        <v>1081</v>
      </c>
      <c r="D4311" s="21" t="s">
        <v>1074</v>
      </c>
      <c r="E4311" s="22">
        <f>IF(D4311="?OLD","!!!","")</f>
        <v/>
      </c>
      <c r="F4311" s="23" t="str">
        <f>IF(OR(E4311="",E4311="!!!"),"",IF(NOT(ISNA(VLOOKUP(E4311,E$1:E4310,1,FALSE()))),"OLD",IF(AND(E4311&lt;&gt;"",E4311&lt;&gt;"!!!"),"NEW","")))</f>
        <v> </v>
      </c>
      <c r="G4311" s="24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5" t="str">
        <f>IF(J4311&lt;&gt;1,"",IF(I4311="SBJ","CB","?"))</f>
        <v> </v>
      </c>
      <c r="I4311" s="26" t="str">
        <f>IF(OR(E4311="",E4311="!!!",F4311="NEW"),"",INDEX(B4310:B$2,-1+SUMPRODUCT(MAX(ROW(E4310:E$2)*(E4311=E4310:E$2)))))</f>
        <v> </v>
      </c>
      <c r="J4311" s="26" t="str">
        <f>IF(OR(E4311="",E4311="!!!",F4311="NEW"),"",COUNTBLANK(OFFSET(A$1,,,SUMPRODUCT(MAX(ROW(E$2:E4311)*(E4311=E$2:E4311)))))-COUNTBLANK(OFFSET(A$1,,,SUMPRODUCT(MAX(ROW(E$1:E4310)*(E2=E$1:E4310))))))</f>
        <v> </v>
      </c>
      <c r="K4311" s="26" t="str">
        <f>IF(OR(E4311="",E4311="!!!",F4311="NEW"),"",INDEX(J$1:J4310,SUMPRODUCT(MAX(ROW(E$1:E4310)*(E4311=E$1:E4310)))))</f>
        <v> </v>
      </c>
      <c r="L4311" s="27"/>
    </row>
    <row r="4312" spans="1:12">
      <c r="A4312" s="20" t="s">
        <v>1083</v>
      </c>
      <c r="E4312" s="22">
        <f>IF(D4312="?OLD","!!!","")</f>
        <v/>
      </c>
      <c r="F4312" s="23" t="str">
        <f>IF(OR(E4312="",E4312="!!!"),"",IF(NOT(ISNA(VLOOKUP(E4312,E$1:E4311,1,FALSE()))),"OLD",IF(AND(E4312&lt;&gt;"",E4312&lt;&gt;"!!!"),"NEW","")))</f>
        <v> </v>
      </c>
      <c r="G4312" s="24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5" t="str">
        <f>IF(J4312&lt;&gt;1,"",IF(I4312="SBJ","CB","?"))</f>
        <v> </v>
      </c>
      <c r="I4312" s="26" t="str">
        <f>IF(OR(E4312="",E4312="!!!",F4312="NEW"),"",INDEX(B4311:B$2,-1+SUMPRODUCT(MAX(ROW(E4311:E$2)*(E4312=E4311:E$2)))))</f>
        <v> </v>
      </c>
      <c r="J4312" s="26" t="str">
        <f>IF(OR(E4312="",E4312="!!!",F4312="NEW"),"",COUNTBLANK(OFFSET(A$1,,,SUMPRODUCT(MAX(ROW(E$2:E4312)*(E4312=E$2:E4312)))))-COUNTBLANK(OFFSET(A$1,,,SUMPRODUCT(MAX(ROW(E$1:E4311)*(E2=E$1:E4311))))))</f>
        <v> </v>
      </c>
      <c r="K4312" s="26" t="str">
        <f>IF(OR(E4312="",E4312="!!!",F4312="NEW"),"",INDEX(J$1:J4311,SUMPRODUCT(MAX(ROW(E$1:E4311)*(E4312=E$1:E4311)))))</f>
        <v> </v>
      </c>
      <c r="L4312" s="27"/>
    </row>
    <row r="4313" spans="1:12">
      <c r="A4313" s="20" t="s">
        <v>2086</v>
      </c>
      <c r="E4313" s="22">
        <f>IF(D4313="?OLD","!!!","")</f>
        <v/>
      </c>
      <c r="F4313" s="23" t="str">
        <f>IF(OR(E4313="",E4313="!!!"),"",IF(NOT(ISNA(VLOOKUP(E4313,E$1:E4312,1,FALSE()))),"OLD",IF(AND(E4313&lt;&gt;"",E4313&lt;&gt;"!!!"),"NEW","")))</f>
        <v> </v>
      </c>
      <c r="G4313" s="24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5" t="str">
        <f>IF(J4313&lt;&gt;1,"",IF(I4313="SBJ","CB","?"))</f>
        <v> </v>
      </c>
      <c r="I4313" s="26" t="str">
        <f>IF(OR(E4313="",E4313="!!!",F4313="NEW"),"",INDEX(B4312:B$2,-1+SUMPRODUCT(MAX(ROW(E4312:E$2)*(E4313=E4312:E$2)))))</f>
        <v> </v>
      </c>
      <c r="J4313" s="26" t="str">
        <f>IF(OR(E4313="",E4313="!!!",F4313="NEW"),"",COUNTBLANK(OFFSET(A$1,,,SUMPRODUCT(MAX(ROW(E$2:E4313)*(E4313=E$2:E4313)))))-COUNTBLANK(OFFSET(A$1,,,SUMPRODUCT(MAX(ROW(E$1:E4312)*(E2=E$1:E4312))))))</f>
        <v> </v>
      </c>
      <c r="K4313" s="26" t="str">
        <f>IF(OR(E4313="",E4313="!!!",F4313="NEW"),"",INDEX(J$1:J4312,SUMPRODUCT(MAX(ROW(E$1:E4312)*(E4313=E$1:E4312)))))</f>
        <v> </v>
      </c>
      <c r="L4313" s="27"/>
    </row>
    <row r="4314" spans="1:12">
      <c r="A4314" s="20" t="s">
        <v>2665</v>
      </c>
      <c r="B4314" s="21" t="s">
        <v>1205</v>
      </c>
      <c r="E4314" s="22">
        <f>IF(D4314="?OLD","!!!","")</f>
        <v/>
      </c>
      <c r="F4314" s="23" t="str">
        <f>IF(OR(E4314="",E4314="!!!"),"",IF(NOT(ISNA(VLOOKUP(E4314,E$1:E4313,1,FALSE()))),"OLD",IF(AND(E4314&lt;&gt;"",E4314&lt;&gt;"!!!"),"NEW","")))</f>
        <v> </v>
      </c>
      <c r="G4314" s="24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5" t="str">
        <f>IF(J4314&lt;&gt;1,"",IF(I4314="SBJ","CB","?"))</f>
        <v> </v>
      </c>
      <c r="I4314" s="26" t="str">
        <f>IF(OR(E4314="",E4314="!!!",F4314="NEW"),"",INDEX(B4313:B$2,-1+SUMPRODUCT(MAX(ROW(E4313:E$2)*(E4314=E4313:E$2)))))</f>
        <v> </v>
      </c>
      <c r="J4314" s="26" t="str">
        <f>IF(OR(E4314="",E4314="!!!",F4314="NEW"),"",COUNTBLANK(OFFSET(A$1,,,SUMPRODUCT(MAX(ROW(E$2:E4314)*(E4314=E$2:E4314)))))-COUNTBLANK(OFFSET(A$1,,,SUMPRODUCT(MAX(ROW(E$1:E4313)*(E2=E$1:E4313))))))</f>
        <v> </v>
      </c>
      <c r="K4314" s="26" t="str">
        <f>IF(OR(E4314="",E4314="!!!",F4314="NEW"),"",INDEX(J$1:J4313,SUMPRODUCT(MAX(ROW(E$1:E4313)*(E4314=E$1:E4313)))))</f>
        <v> </v>
      </c>
      <c r="L4314" s="27"/>
    </row>
    <row r="4315" spans="1:12">
      <c r="A4315" s="20" t="s">
        <v>1085</v>
      </c>
      <c r="E4315" s="22">
        <f>IF(D4315="?OLD","!!!","")</f>
        <v/>
      </c>
      <c r="F4315" s="23" t="str">
        <f>IF(OR(E4315="",E4315="!!!"),"",IF(NOT(ISNA(VLOOKUP(E4315,E$1:E4314,1,FALSE()))),"OLD",IF(AND(E4315&lt;&gt;"",E4315&lt;&gt;"!!!"),"NEW","")))</f>
        <v> </v>
      </c>
      <c r="G4315" s="24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5" t="str">
        <f>IF(J4315&lt;&gt;1,"",IF(I4315="SBJ","CB","?"))</f>
        <v> </v>
      </c>
      <c r="I4315" s="26" t="str">
        <f>IF(OR(E4315="",E4315="!!!",F4315="NEW"),"",INDEX(B4314:B$2,-1+SUMPRODUCT(MAX(ROW(E4314:E$2)*(E4315=E4314:E$2)))))</f>
        <v> </v>
      </c>
      <c r="J4315" s="26" t="str">
        <f>IF(OR(E4315="",E4315="!!!",F4315="NEW"),"",COUNTBLANK(OFFSET(A$1,,,SUMPRODUCT(MAX(ROW(E$2:E4315)*(E4315=E$2:E4315)))))-COUNTBLANK(OFFSET(A$1,,,SUMPRODUCT(MAX(ROW(E$1:E4314)*(E2=E$1:E4314))))))</f>
        <v> </v>
      </c>
      <c r="K4315" s="26" t="str">
        <f>IF(OR(E4315="",E4315="!!!",F4315="NEW"),"",INDEX(J$1:J4314,SUMPRODUCT(MAX(ROW(E$1:E4314)*(E4315=E$1:E4314)))))</f>
        <v> </v>
      </c>
      <c r="L4315" s="27"/>
    </row>
    <row r="4316" spans="1:12">
      <c r="A4316" s="20" t="s">
        <v>1305</v>
      </c>
      <c r="B4316" s="21" t="s">
        <v>1291</v>
      </c>
      <c r="C4316" s="21" t="s">
        <v>1181</v>
      </c>
      <c r="E4316" s="22">
        <f>IF(D4316="?OLD","!!!","")</f>
        <v/>
      </c>
      <c r="F4316" s="23" t="str">
        <f>IF(OR(E4316="",E4316="!!!"),"",IF(NOT(ISNA(VLOOKUP(E4316,E$1:E4315,1,FALSE()))),"OLD",IF(AND(E4316&lt;&gt;"",E4316&lt;&gt;"!!!"),"NEW","")))</f>
        <v> </v>
      </c>
      <c r="G4316" s="24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5" t="str">
        <f>IF(J4316&lt;&gt;1,"",IF(I4316="SBJ","CB","?"))</f>
        <v> </v>
      </c>
      <c r="I4316" s="26" t="str">
        <f>IF(OR(E4316="",E4316="!!!",F4316="NEW"),"",INDEX(B4315:B$2,-1+SUMPRODUCT(MAX(ROW(E4315:E$2)*(E4316=E4315:E$2)))))</f>
        <v> </v>
      </c>
      <c r="J4316" s="26" t="str">
        <f>IF(OR(E4316="",E4316="!!!",F4316="NEW"),"",COUNTBLANK(OFFSET(A$1,,,SUMPRODUCT(MAX(ROW(E$2:E4316)*(E4316=E$2:E4316)))))-COUNTBLANK(OFFSET(A$1,,,SUMPRODUCT(MAX(ROW(E$1:E4315)*(E2=E$1:E4315))))))</f>
        <v> </v>
      </c>
      <c r="K4316" s="26" t="str">
        <f>IF(OR(E4316="",E4316="!!!",F4316="NEW"),"",INDEX(J$1:J4315,SUMPRODUCT(MAX(ROW(E$1:E4315)*(E4316=E$1:E4315)))))</f>
        <v> </v>
      </c>
      <c r="L4316" s="27"/>
    </row>
    <row r="4317" spans="1:12">
      <c r="A4317" s="20" t="s">
        <v>2666</v>
      </c>
      <c r="E4317" s="22">
        <f>IF(D4317="?OLD","!!!","")</f>
        <v/>
      </c>
      <c r="F4317" s="23" t="str">
        <f>IF(OR(E4317="",E4317="!!!"),"",IF(NOT(ISNA(VLOOKUP(E4317,E$1:E4316,1,FALSE()))),"OLD",IF(AND(E4317&lt;&gt;"",E4317&lt;&gt;"!!!"),"NEW","")))</f>
        <v> </v>
      </c>
      <c r="G4317" s="24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5" t="str">
        <f>IF(J4317&lt;&gt;1,"",IF(I4317="SBJ","CB","?"))</f>
        <v> </v>
      </c>
      <c r="I4317" s="26" t="str">
        <f>IF(OR(E4317="",E4317="!!!",F4317="NEW"),"",INDEX(B4316:B$2,-1+SUMPRODUCT(MAX(ROW(E4316:E$2)*(E4317=E4316:E$2)))))</f>
        <v> </v>
      </c>
      <c r="J4317" s="26" t="str">
        <f>IF(OR(E4317="",E4317="!!!",F4317="NEW"),"",COUNTBLANK(OFFSET(A$1,,,SUMPRODUCT(MAX(ROW(E$2:E4317)*(E4317=E$2:E4317)))))-COUNTBLANK(OFFSET(A$1,,,SUMPRODUCT(MAX(ROW(E$1:E4316)*(E2=E$1:E4316))))))</f>
        <v> </v>
      </c>
      <c r="K4317" s="26" t="str">
        <f>IF(OR(E4317="",E4317="!!!",F4317="NEW"),"",INDEX(J$1:J4316,SUMPRODUCT(MAX(ROW(E$1:E4316)*(E4317=E$1:E4316)))))</f>
        <v> </v>
      </c>
      <c r="L4317" s="27"/>
    </row>
    <row r="4318" spans="1:12">
      <c r="A4318" s="20" t="s">
        <v>1336</v>
      </c>
      <c r="B4318" s="21" t="s">
        <v>1097</v>
      </c>
      <c r="C4318" s="21" t="s">
        <v>1081</v>
      </c>
      <c r="D4318" s="21" t="s">
        <v>1074</v>
      </c>
      <c r="E4318" s="22">
        <f>IF(D4318="?OLD","!!!","")</f>
        <v/>
      </c>
      <c r="F4318" s="23" t="str">
        <f>IF(OR(E4318="",E4318="!!!"),"",IF(NOT(ISNA(VLOOKUP(E4318,E$1:E4317,1,FALSE()))),"OLD",IF(AND(E4318&lt;&gt;"",E4318&lt;&gt;"!!!"),"NEW","")))</f>
        <v> </v>
      </c>
      <c r="G4318" s="24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5" t="str">
        <f>IF(J4318&lt;&gt;1,"",IF(I4318="SBJ","CB","?"))</f>
        <v> </v>
      </c>
      <c r="I4318" s="26" t="str">
        <f>IF(OR(E4318="",E4318="!!!",F4318="NEW"),"",INDEX(B4317:B$2,-1+SUMPRODUCT(MAX(ROW(E4317:E$2)*(E4318=E4317:E$2)))))</f>
        <v> </v>
      </c>
      <c r="J4318" s="26" t="str">
        <f>IF(OR(E4318="",E4318="!!!",F4318="NEW"),"",COUNTBLANK(OFFSET(A$1,,,SUMPRODUCT(MAX(ROW(E$2:E4318)*(E4318=E$2:E4318)))))-COUNTBLANK(OFFSET(A$1,,,SUMPRODUCT(MAX(ROW(E$1:E4317)*(E2=E$1:E4317))))))</f>
        <v> </v>
      </c>
      <c r="K4318" s="26" t="str">
        <f>IF(OR(E4318="",E4318="!!!",F4318="NEW"),"",INDEX(J$1:J4317,SUMPRODUCT(MAX(ROW(E$1:E4317)*(E4318=E$1:E4317)))))</f>
        <v> </v>
      </c>
      <c r="L4318" s="27"/>
    </row>
    <row r="4319" spans="1:12">
      <c r="A4319" s="20" t="s">
        <v>1249</v>
      </c>
      <c r="B4319" s="21" t="s">
        <v>2036</v>
      </c>
      <c r="C4319" s="21" t="s">
        <v>1081</v>
      </c>
      <c r="D4319" s="21" t="s">
        <v>1074</v>
      </c>
      <c r="E4319" s="22">
        <f>IF(D4319="?OLD","!!!","")</f>
        <v/>
      </c>
      <c r="F4319" s="23" t="str">
        <f>IF(OR(E4319="",E4319="!!!"),"",IF(NOT(ISNA(VLOOKUP(E4319,E$1:E4318,1,FALSE()))),"OLD",IF(AND(E4319&lt;&gt;"",E4319&lt;&gt;"!!!"),"NEW","")))</f>
        <v> </v>
      </c>
      <c r="G4319" s="24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5" t="str">
        <f>IF(J4319&lt;&gt;1,"",IF(I4319="SBJ","CB","?"))</f>
        <v> </v>
      </c>
      <c r="I4319" s="26" t="str">
        <f>IF(OR(E4319="",E4319="!!!",F4319="NEW"),"",INDEX(B4318:B$2,-1+SUMPRODUCT(MAX(ROW(E4318:E$2)*(E4319=E4318:E$2)))))</f>
        <v> </v>
      </c>
      <c r="J4319" s="26" t="str">
        <f>IF(OR(E4319="",E4319="!!!",F4319="NEW"),"",COUNTBLANK(OFFSET(A$1,,,SUMPRODUCT(MAX(ROW(E$2:E4319)*(E4319=E$2:E4319)))))-COUNTBLANK(OFFSET(A$1,,,SUMPRODUCT(MAX(ROW(E$1:E4318)*(E2=E$1:E4318))))))</f>
        <v> </v>
      </c>
      <c r="K4319" s="26" t="str">
        <f>IF(OR(E4319="",E4319="!!!",F4319="NEW"),"",INDEX(J$1:J4318,SUMPRODUCT(MAX(ROW(E$1:E4318)*(E4319=E$1:E4318)))))</f>
        <v> </v>
      </c>
      <c r="L4319" s="27"/>
    </row>
    <row r="4320" spans="1:12">
      <c r="A4320" s="20" t="s">
        <v>77</v>
      </c>
      <c r="E4320" s="22">
        <f>IF(D4320="?OLD","!!!","")</f>
        <v/>
      </c>
      <c r="F4320" s="23" t="str">
        <f>IF(OR(E4320="",E4320="!!!"),"",IF(NOT(ISNA(VLOOKUP(E4320,E$1:E4319,1,FALSE()))),"OLD",IF(AND(E4320&lt;&gt;"",E4320&lt;&gt;"!!!"),"NEW","")))</f>
        <v> </v>
      </c>
      <c r="G4320" s="24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5" t="str">
        <f>IF(J4320&lt;&gt;1,"",IF(I4320="SBJ","CB","?"))</f>
        <v> </v>
      </c>
      <c r="I4320" s="26" t="str">
        <f>IF(OR(E4320="",E4320="!!!",F4320="NEW"),"",INDEX(B4319:B$2,-1+SUMPRODUCT(MAX(ROW(E4319:E$2)*(E4320=E4319:E$2)))))</f>
        <v> </v>
      </c>
      <c r="J4320" s="26" t="str">
        <f>IF(OR(E4320="",E4320="!!!",F4320="NEW"),"",COUNTBLANK(OFFSET(A$1,,,SUMPRODUCT(MAX(ROW(E$2:E4320)*(E4320=E$2:E4320)))))-COUNTBLANK(OFFSET(A$1,,,SUMPRODUCT(MAX(ROW(E$1:E4319)*(E2=E$1:E4319))))))</f>
        <v> </v>
      </c>
      <c r="K4320" s="26" t="str">
        <f>IF(OR(E4320="",E4320="!!!",F4320="NEW"),"",INDEX(J$1:J4319,SUMPRODUCT(MAX(ROW(E$1:E4319)*(E4320=E$1:E4319)))))</f>
        <v> </v>
      </c>
      <c r="L4320" s="27"/>
    </row>
    <row r="4321" spans="1:12">
      <c r="A4321" s="20" t="s">
        <v>1106</v>
      </c>
      <c r="E4321" s="22">
        <f>IF(D4321="?OLD","!!!","")</f>
        <v/>
      </c>
      <c r="F4321" s="23" t="str">
        <f>IF(OR(E4321="",E4321="!!!"),"",IF(NOT(ISNA(VLOOKUP(E4321,E$1:E4320,1,FALSE()))),"OLD",IF(AND(E4321&lt;&gt;"",E4321&lt;&gt;"!!!"),"NEW","")))</f>
        <v> </v>
      </c>
      <c r="G4321" s="24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5" t="str">
        <f>IF(J4321&lt;&gt;1,"",IF(I4321="SBJ","CB","?"))</f>
        <v> </v>
      </c>
      <c r="I4321" s="26" t="str">
        <f>IF(OR(E4321="",E4321="!!!",F4321="NEW"),"",INDEX(B4320:B$2,-1+SUMPRODUCT(MAX(ROW(E4320:E$2)*(E4321=E4320:E$2)))))</f>
        <v> </v>
      </c>
      <c r="J4321" s="26" t="str">
        <f>IF(OR(E4321="",E4321="!!!",F4321="NEW"),"",COUNTBLANK(OFFSET(A$1,,,SUMPRODUCT(MAX(ROW(E$2:E4321)*(E4321=E$2:E4321)))))-COUNTBLANK(OFFSET(A$1,,,SUMPRODUCT(MAX(ROW(E$1:E4320)*(E2=E$1:E4320))))))</f>
        <v> </v>
      </c>
      <c r="K4321" s="26" t="str">
        <f>IF(OR(E4321="",E4321="!!!",F4321="NEW"),"",INDEX(J$1:J4320,SUMPRODUCT(MAX(ROW(E$1:E4320)*(E4321=E$1:E4320)))))</f>
        <v> </v>
      </c>
      <c r="L4321" s="27"/>
    </row>
    <row r="4322" spans="1:12">
      <c r="A4322" s="20"/>
    </row>
    <row r="4323" spans="1:12">
      <c r="A4323" s="20" t="s">
        <v>2667</v>
      </c>
    </row>
    <row r="4324" spans="1:12">
      <c r="A4324" s="20" t="s">
        <v>1315</v>
      </c>
      <c r="E4324" s="22">
        <f>IF(D4324="?OLD","!!!","")</f>
        <v/>
      </c>
      <c r="F4324" s="23" t="str">
        <f>IF(OR(E4324="",E4324="!!!"),"",IF(NOT(ISNA(VLOOKUP(E4324,E$1:E4323,1,FALSE()))),"OLD",IF(AND(E4324&lt;&gt;"",E4324&lt;&gt;"!!!"),"NEW","")))</f>
        <v> </v>
      </c>
      <c r="G4324" s="24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5" t="str">
        <f>IF(J4324&lt;&gt;1,"",IF(I4324="SBJ","CB","?"))</f>
        <v> </v>
      </c>
      <c r="I4324" s="26" t="str">
        <f>IF(OR(E4324="",E4324="!!!",F4324="NEW"),"",INDEX(B4323:B$2,-1+SUMPRODUCT(MAX(ROW(E4323:E$2)*(E4324=E4323:E$2)))))</f>
        <v> </v>
      </c>
      <c r="J4324" s="26" t="str">
        <f>IF(OR(E4324="",E4324="!!!",F4324="NEW"),"",COUNTBLANK(OFFSET(A$1,,,SUMPRODUCT(MAX(ROW(E$2:E4324)*(E4324=E$2:E4324)))))-COUNTBLANK(OFFSET(A$1,,,SUMPRODUCT(MAX(ROW(E$1:E4323)*(E2=E$1:E4323))))))</f>
        <v> </v>
      </c>
      <c r="K4324" s="26" t="str">
        <f>IF(OR(E4324="",E4324="!!!",F4324="NEW"),"",INDEX(J$1:J4323,SUMPRODUCT(MAX(ROW(E$1:E4323)*(E4324=E$1:E4323)))))</f>
        <v> </v>
      </c>
      <c r="L4324" s="27"/>
    </row>
    <row r="4325" spans="1:12">
      <c r="A4325" s="20" t="s">
        <v>1087</v>
      </c>
      <c r="B4325" s="21" t="s">
        <v>1109</v>
      </c>
      <c r="C4325" s="21" t="s">
        <v>1081</v>
      </c>
      <c r="D4325" s="21" t="s">
        <v>1074</v>
      </c>
      <c r="E4325" s="22">
        <f>IF(D4325="?OLD","!!!","")</f>
        <v/>
      </c>
      <c r="F4325" s="23" t="str">
        <f>IF(OR(E4325="",E4325="!!!"),"",IF(NOT(ISNA(VLOOKUP(E4325,E$1:E4324,1,FALSE()))),"OLD",IF(AND(E4325&lt;&gt;"",E4325&lt;&gt;"!!!"),"NEW","")))</f>
        <v> </v>
      </c>
      <c r="G4325" s="24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5" t="str">
        <f>IF(J4325&lt;&gt;1,"",IF(I4325="SBJ","CB","?"))</f>
        <v> </v>
      </c>
      <c r="I4325" s="26" t="str">
        <f>IF(OR(E4325="",E4325="!!!",F4325="NEW"),"",INDEX(B4324:B$2,-1+SUMPRODUCT(MAX(ROW(E4324:E$2)*(E4325=E4324:E$2)))))</f>
        <v> </v>
      </c>
      <c r="J4325" s="26" t="str">
        <f>IF(OR(E4325="",E4325="!!!",F4325="NEW"),"",COUNTBLANK(OFFSET(A$1,,,SUMPRODUCT(MAX(ROW(E$2:E4325)*(E4325=E$2:E4325)))))-COUNTBLANK(OFFSET(A$1,,,SUMPRODUCT(MAX(ROW(E$1:E4324)*(E2=E$1:E4324))))))</f>
        <v> </v>
      </c>
      <c r="K4325" s="26" t="str">
        <f>IF(OR(E4325="",E4325="!!!",F4325="NEW"),"",INDEX(J$1:J4324,SUMPRODUCT(MAX(ROW(E$1:E4324)*(E4325=E$1:E4324)))))</f>
        <v> </v>
      </c>
      <c r="L4325" s="27"/>
    </row>
    <row r="4326" spans="1:12">
      <c r="A4326" s="20" t="s">
        <v>2027</v>
      </c>
      <c r="E4326" s="22">
        <f>IF(D4326="?OLD","!!!","")</f>
        <v/>
      </c>
      <c r="F4326" s="23" t="str">
        <f>IF(OR(E4326="",E4326="!!!"),"",IF(NOT(ISNA(VLOOKUP(E4326,E$1:E4325,1,FALSE()))),"OLD",IF(AND(E4326&lt;&gt;"",E4326&lt;&gt;"!!!"),"NEW","")))</f>
        <v> </v>
      </c>
      <c r="G4326" s="24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5" t="str">
        <f>IF(J4326&lt;&gt;1,"",IF(I4326="SBJ","CB","?"))</f>
        <v> </v>
      </c>
      <c r="I4326" s="26" t="str">
        <f>IF(OR(E4326="",E4326="!!!",F4326="NEW"),"",INDEX(B4325:B$2,-1+SUMPRODUCT(MAX(ROW(E4325:E$2)*(E4326=E4325:E$2)))))</f>
        <v> </v>
      </c>
      <c r="J4326" s="26" t="str">
        <f>IF(OR(E4326="",E4326="!!!",F4326="NEW"),"",COUNTBLANK(OFFSET(A$1,,,SUMPRODUCT(MAX(ROW(E$2:E4326)*(E4326=E$2:E4326)))))-COUNTBLANK(OFFSET(A$1,,,SUMPRODUCT(MAX(ROW(E$1:E4325)*(E2=E$1:E4325))))))</f>
        <v> </v>
      </c>
      <c r="K4326" s="26" t="str">
        <f>IF(OR(E4326="",E4326="!!!",F4326="NEW"),"",INDEX(J$1:J4325,SUMPRODUCT(MAX(ROW(E$1:E4325)*(E4326=E$1:E4325)))))</f>
        <v> </v>
      </c>
      <c r="L4326" s="27"/>
    </row>
    <row r="4327" spans="1:12">
      <c r="A4327" s="20" t="s">
        <v>1290</v>
      </c>
      <c r="E4327" s="22">
        <f>IF(D4327="?OLD","!!!","")</f>
        <v/>
      </c>
      <c r="F4327" s="23" t="str">
        <f>IF(OR(E4327="",E4327="!!!"),"",IF(NOT(ISNA(VLOOKUP(E4327,E$1:E4326,1,FALSE()))),"OLD",IF(AND(E4327&lt;&gt;"",E4327&lt;&gt;"!!!"),"NEW","")))</f>
        <v> </v>
      </c>
      <c r="G4327" s="24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5" t="str">
        <f>IF(J4327&lt;&gt;1,"",IF(I4327="SBJ","CB","?"))</f>
        <v> </v>
      </c>
      <c r="I4327" s="26" t="str">
        <f>IF(OR(E4327="",E4327="!!!",F4327="NEW"),"",INDEX(B4326:B$2,-1+SUMPRODUCT(MAX(ROW(E4326:E$2)*(E4327=E4326:E$2)))))</f>
        <v> </v>
      </c>
      <c r="J4327" s="26" t="str">
        <f>IF(OR(E4327="",E4327="!!!",F4327="NEW"),"",COUNTBLANK(OFFSET(A$1,,,SUMPRODUCT(MAX(ROW(E$2:E4327)*(E4327=E$2:E4327)))))-COUNTBLANK(OFFSET(A$1,,,SUMPRODUCT(MAX(ROW(E$1:E4326)*(E2=E$1:E4326))))))</f>
        <v> </v>
      </c>
      <c r="K4327" s="26" t="str">
        <f>IF(OR(E4327="",E4327="!!!",F4327="NEW"),"",INDEX(J$1:J4326,SUMPRODUCT(MAX(ROW(E$1:E4326)*(E4327=E$1:E4326)))))</f>
        <v> </v>
      </c>
      <c r="L4327" s="27"/>
    </row>
    <row r="4328" spans="1:12">
      <c r="A4328" s="20" t="s">
        <v>1196</v>
      </c>
      <c r="B4328" s="21" t="s">
        <v>1137</v>
      </c>
      <c r="C4328" s="21" t="s">
        <v>1095</v>
      </c>
      <c r="D4328" s="21" t="s">
        <v>1074</v>
      </c>
      <c r="E4328" s="22">
        <f>IF(D4328="?OLD","!!!","")</f>
        <v/>
      </c>
      <c r="F4328" s="23" t="str">
        <f>IF(OR(E4328="",E4328="!!!"),"",IF(NOT(ISNA(VLOOKUP(E4328,E$1:E4327,1,FALSE()))),"OLD",IF(AND(E4328&lt;&gt;"",E4328&lt;&gt;"!!!"),"NEW","")))</f>
        <v> </v>
      </c>
      <c r="G4328" s="24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5" t="str">
        <f>IF(J4328&lt;&gt;1,"",IF(I4328="SBJ","CB","?"))</f>
        <v> </v>
      </c>
      <c r="I4328" s="26" t="str">
        <f>IF(OR(E4328="",E4328="!!!",F4328="NEW"),"",INDEX(B4327:B$2,-1+SUMPRODUCT(MAX(ROW(E4327:E$2)*(E4328=E4327:E$2)))))</f>
        <v> </v>
      </c>
      <c r="J4328" s="26" t="str">
        <f>IF(OR(E4328="",E4328="!!!",F4328="NEW"),"",COUNTBLANK(OFFSET(A$1,,,SUMPRODUCT(MAX(ROW(E$2:E4328)*(E4328=E$2:E4328)))))-COUNTBLANK(OFFSET(A$1,,,SUMPRODUCT(MAX(ROW(E$1:E4327)*(E2=E$1:E4327))))))</f>
        <v> </v>
      </c>
      <c r="K4328" s="26" t="str">
        <f>IF(OR(E4328="",E4328="!!!",F4328="NEW"),"",INDEX(J$1:J4327,SUMPRODUCT(MAX(ROW(E$1:E4327)*(E4328=E$1:E4327)))))</f>
        <v> </v>
      </c>
      <c r="L4328" s="27"/>
    </row>
    <row r="4329" spans="1:12">
      <c r="A4329" s="20" t="s">
        <v>1317</v>
      </c>
      <c r="B4329" s="21" t="s">
        <v>1080</v>
      </c>
      <c r="E4329" s="22">
        <f>IF(D4329="?OLD","!!!","")</f>
        <v/>
      </c>
      <c r="F4329" s="23" t="str">
        <f>IF(OR(E4329="",E4329="!!!"),"",IF(NOT(ISNA(VLOOKUP(E4329,E$1:E4328,1,FALSE()))),"OLD",IF(AND(E4329&lt;&gt;"",E4329&lt;&gt;"!!!"),"NEW","")))</f>
        <v> </v>
      </c>
      <c r="G4329" s="24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5" t="str">
        <f>IF(J4329&lt;&gt;1,"",IF(I4329="SBJ","CB","?"))</f>
        <v> </v>
      </c>
      <c r="I4329" s="26" t="str">
        <f>IF(OR(E4329="",E4329="!!!",F4329="NEW"),"",INDEX(B4328:B$2,-1+SUMPRODUCT(MAX(ROW(E4328:E$2)*(E4329=E4328:E$2)))))</f>
        <v> </v>
      </c>
      <c r="J4329" s="26" t="str">
        <f>IF(OR(E4329="",E4329="!!!",F4329="NEW"),"",COUNTBLANK(OFFSET(A$1,,,SUMPRODUCT(MAX(ROW(E$2:E4329)*(E4329=E$2:E4329)))))-COUNTBLANK(OFFSET(A$1,,,SUMPRODUCT(MAX(ROW(E$1:E4328)*(E2=E$1:E4328))))))</f>
        <v> </v>
      </c>
      <c r="K4329" s="26" t="str">
        <f>IF(OR(E4329="",E4329="!!!",F4329="NEW"),"",INDEX(J$1:J4328,SUMPRODUCT(MAX(ROW(E$1:E4328)*(E4329=E$1:E4328)))))</f>
        <v> </v>
      </c>
      <c r="L4329" s="27"/>
    </row>
    <row r="4330" spans="1:12">
      <c r="A4330" s="20" t="s">
        <v>2668</v>
      </c>
      <c r="E4330" s="22">
        <f>IF(D4330="?OLD","!!!","")</f>
        <v/>
      </c>
      <c r="F4330" s="23" t="str">
        <f>IF(OR(E4330="",E4330="!!!"),"",IF(NOT(ISNA(VLOOKUP(E4330,E$1:E4329,1,FALSE()))),"OLD",IF(AND(E4330&lt;&gt;"",E4330&lt;&gt;"!!!"),"NEW","")))</f>
        <v> </v>
      </c>
      <c r="G4330" s="24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5" t="str">
        <f>IF(J4330&lt;&gt;1,"",IF(I4330="SBJ","CB","?"))</f>
        <v> </v>
      </c>
      <c r="I4330" s="26" t="str">
        <f>IF(OR(E4330="",E4330="!!!",F4330="NEW"),"",INDEX(B4329:B$2,-1+SUMPRODUCT(MAX(ROW(E4329:E$2)*(E4330=E4329:E$2)))))</f>
        <v> </v>
      </c>
      <c r="J4330" s="26" t="str">
        <f>IF(OR(E4330="",E4330="!!!",F4330="NEW"),"",COUNTBLANK(OFFSET(A$1,,,SUMPRODUCT(MAX(ROW(E$2:E4330)*(E4330=E$2:E4330)))))-COUNTBLANK(OFFSET(A$1,,,SUMPRODUCT(MAX(ROW(E$1:E4329)*(E2=E$1:E4329))))))</f>
        <v> </v>
      </c>
      <c r="K4330" s="26" t="str">
        <f>IF(OR(E4330="",E4330="!!!",F4330="NEW"),"",INDEX(J$1:J4329,SUMPRODUCT(MAX(ROW(E$1:E4329)*(E4330=E$1:E4329)))))</f>
        <v> </v>
      </c>
      <c r="L4330" s="27"/>
    </row>
    <row r="4331" spans="1:12">
      <c r="A4331" s="20" t="s">
        <v>1187</v>
      </c>
      <c r="E4331" s="22">
        <f>IF(D4331="?OLD","!!!","")</f>
        <v/>
      </c>
      <c r="F4331" s="23" t="str">
        <f>IF(OR(E4331="",E4331="!!!"),"",IF(NOT(ISNA(VLOOKUP(E4331,E$1:E4330,1,FALSE()))),"OLD",IF(AND(E4331&lt;&gt;"",E4331&lt;&gt;"!!!"),"NEW","")))</f>
        <v> </v>
      </c>
      <c r="G4331" s="24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5" t="str">
        <f>IF(J4331&lt;&gt;1,"",IF(I4331="SBJ","CB","?"))</f>
        <v> </v>
      </c>
      <c r="I4331" s="26" t="str">
        <f>IF(OR(E4331="",E4331="!!!",F4331="NEW"),"",INDEX(B4330:B$2,-1+SUMPRODUCT(MAX(ROW(E4330:E$2)*(E4331=E4330:E$2)))))</f>
        <v> </v>
      </c>
      <c r="J4331" s="26" t="str">
        <f>IF(OR(E4331="",E4331="!!!",F4331="NEW"),"",COUNTBLANK(OFFSET(A$1,,,SUMPRODUCT(MAX(ROW(E$2:E4331)*(E4331=E$2:E4331)))))-COUNTBLANK(OFFSET(A$1,,,SUMPRODUCT(MAX(ROW(E$1:E4330)*(E2=E$1:E4330))))))</f>
        <v> </v>
      </c>
      <c r="K4331" s="26" t="str">
        <f>IF(OR(E4331="",E4331="!!!",F4331="NEW"),"",INDEX(J$1:J4330,SUMPRODUCT(MAX(ROW(E$1:E4330)*(E4331=E$1:E4330)))))</f>
        <v> </v>
      </c>
      <c r="L4331" s="27"/>
    </row>
    <row r="4332" spans="1:12">
      <c r="A4332" s="20" t="s">
        <v>1173</v>
      </c>
      <c r="E4332" s="22">
        <f>IF(D4332="?OLD","!!!","")</f>
        <v/>
      </c>
      <c r="F4332" s="23" t="str">
        <f>IF(OR(E4332="",E4332="!!!"),"",IF(NOT(ISNA(VLOOKUP(E4332,E$1:E4331,1,FALSE()))),"OLD",IF(AND(E4332&lt;&gt;"",E4332&lt;&gt;"!!!"),"NEW","")))</f>
        <v> </v>
      </c>
      <c r="G4332" s="24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5" t="str">
        <f>IF(J4332&lt;&gt;1,"",IF(I4332="SBJ","CB","?"))</f>
        <v> </v>
      </c>
      <c r="I4332" s="26" t="str">
        <f>IF(OR(E4332="",E4332="!!!",F4332="NEW"),"",INDEX(B4331:B$2,-1+SUMPRODUCT(MAX(ROW(E4331:E$2)*(E4332=E4331:E$2)))))</f>
        <v> </v>
      </c>
      <c r="J4332" s="26" t="str">
        <f>IF(OR(E4332="",E4332="!!!",F4332="NEW"),"",COUNTBLANK(OFFSET(A$1,,,SUMPRODUCT(MAX(ROW(E$2:E4332)*(E4332=E$2:E4332)))))-COUNTBLANK(OFFSET(A$1,,,SUMPRODUCT(MAX(ROW(E$1:E4331)*(E2=E$1:E4331))))))</f>
        <v> </v>
      </c>
      <c r="K4332" s="26" t="str">
        <f>IF(OR(E4332="",E4332="!!!",F4332="NEW"),"",INDEX(J$1:J4331,SUMPRODUCT(MAX(ROW(E$1:E4331)*(E4332=E$1:E4331)))))</f>
        <v> </v>
      </c>
      <c r="L4332" s="27"/>
    </row>
    <row r="4333" spans="1:12">
      <c r="A4333" s="20" t="s">
        <v>1083</v>
      </c>
      <c r="E4333" s="22">
        <f>IF(D4333="?OLD","!!!","")</f>
        <v/>
      </c>
      <c r="F4333" s="23" t="str">
        <f>IF(OR(E4333="",E4333="!!!"),"",IF(NOT(ISNA(VLOOKUP(E4333,E$1:E4332,1,FALSE()))),"OLD",IF(AND(E4333&lt;&gt;"",E4333&lt;&gt;"!!!"),"NEW","")))</f>
        <v> </v>
      </c>
      <c r="G4333" s="24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5" t="str">
        <f>IF(J4333&lt;&gt;1,"",IF(I4333="SBJ","CB","?"))</f>
        <v> </v>
      </c>
      <c r="I4333" s="26" t="str">
        <f>IF(OR(E4333="",E4333="!!!",F4333="NEW"),"",INDEX(B4332:B$2,-1+SUMPRODUCT(MAX(ROW(E4332:E$2)*(E4333=E4332:E$2)))))</f>
        <v> </v>
      </c>
      <c r="J4333" s="26" t="str">
        <f>IF(OR(E4333="",E4333="!!!",F4333="NEW"),"",COUNTBLANK(OFFSET(A$1,,,SUMPRODUCT(MAX(ROW(E$2:E4333)*(E4333=E$2:E4333)))))-COUNTBLANK(OFFSET(A$1,,,SUMPRODUCT(MAX(ROW(E$1:E4332)*(E2=E$1:E4332))))))</f>
        <v> </v>
      </c>
      <c r="K4333" s="26" t="str">
        <f>IF(OR(E4333="",E4333="!!!",F4333="NEW"),"",INDEX(J$1:J4332,SUMPRODUCT(MAX(ROW(E$1:E4332)*(E4333=E$1:E4332)))))</f>
        <v> </v>
      </c>
      <c r="L4333" s="27"/>
    </row>
    <row r="4334" spans="1:12">
      <c r="A4334" s="20" t="s">
        <v>2669</v>
      </c>
      <c r="E4334" s="22">
        <f>IF(D4334="?OLD","!!!","")</f>
        <v/>
      </c>
      <c r="F4334" s="23" t="str">
        <f>IF(OR(E4334="",E4334="!!!"),"",IF(NOT(ISNA(VLOOKUP(E4334,E$1:E4333,1,FALSE()))),"OLD",IF(AND(E4334&lt;&gt;"",E4334&lt;&gt;"!!!"),"NEW","")))</f>
        <v> </v>
      </c>
      <c r="G4334" s="24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5" t="str">
        <f>IF(J4334&lt;&gt;1,"",IF(I4334="SBJ","CB","?"))</f>
        <v> </v>
      </c>
      <c r="I4334" s="26" t="str">
        <f>IF(OR(E4334="",E4334="!!!",F4334="NEW"),"",INDEX(B4333:B$2,-1+SUMPRODUCT(MAX(ROW(E4333:E$2)*(E4334=E4333:E$2)))))</f>
        <v> </v>
      </c>
      <c r="J4334" s="26" t="str">
        <f>IF(OR(E4334="",E4334="!!!",F4334="NEW"),"",COUNTBLANK(OFFSET(A$1,,,SUMPRODUCT(MAX(ROW(E$2:E4334)*(E4334=E$2:E4334)))))-COUNTBLANK(OFFSET(A$1,,,SUMPRODUCT(MAX(ROW(E$1:E4333)*(E2=E$1:E4333))))))</f>
        <v> </v>
      </c>
      <c r="K4334" s="26" t="str">
        <f>IF(OR(E4334="",E4334="!!!",F4334="NEW"),"",INDEX(J$1:J4333,SUMPRODUCT(MAX(ROW(E$1:E4333)*(E4334=E$1:E4333)))))</f>
        <v> </v>
      </c>
      <c r="L4334" s="27"/>
    </row>
    <row r="4335" spans="1:12">
      <c r="A4335" s="20" t="s">
        <v>1380</v>
      </c>
      <c r="E4335" s="22">
        <f>IF(D4335="?OLD","!!!","")</f>
        <v/>
      </c>
      <c r="F4335" s="23" t="str">
        <f>IF(OR(E4335="",E4335="!!!"),"",IF(NOT(ISNA(VLOOKUP(E4335,E$1:E4334,1,FALSE()))),"OLD",IF(AND(E4335&lt;&gt;"",E4335&lt;&gt;"!!!"),"NEW","")))</f>
        <v> </v>
      </c>
      <c r="G4335" s="24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5" t="str">
        <f>IF(J4335&lt;&gt;1,"",IF(I4335="SBJ","CB","?"))</f>
        <v> </v>
      </c>
      <c r="I4335" s="26" t="str">
        <f>IF(OR(E4335="",E4335="!!!",F4335="NEW"),"",INDEX(B4334:B$2,-1+SUMPRODUCT(MAX(ROW(E4334:E$2)*(E4335=E4334:E$2)))))</f>
        <v> </v>
      </c>
      <c r="J4335" s="26" t="str">
        <f>IF(OR(E4335="",E4335="!!!",F4335="NEW"),"",COUNTBLANK(OFFSET(A$1,,,SUMPRODUCT(MAX(ROW(E$2:E4335)*(E4335=E$2:E4335)))))-COUNTBLANK(OFFSET(A$1,,,SUMPRODUCT(MAX(ROW(E$1:E4334)*(E2=E$1:E4334))))))</f>
        <v> </v>
      </c>
      <c r="K4335" s="26" t="str">
        <f>IF(OR(E4335="",E4335="!!!",F4335="NEW"),"",INDEX(J$1:J4334,SUMPRODUCT(MAX(ROW(E$1:E4334)*(E4335=E$1:E4334)))))</f>
        <v> </v>
      </c>
      <c r="L4335" s="27"/>
    </row>
    <row r="4336" spans="1:12">
      <c r="A4336" s="20" t="s">
        <v>2670</v>
      </c>
      <c r="B4336" s="21" t="s">
        <v>1115</v>
      </c>
      <c r="C4336" s="21" t="s">
        <v>1081</v>
      </c>
      <c r="D4336" s="21" t="s">
        <v>1074</v>
      </c>
      <c r="E4336" s="22">
        <f>IF(D4336="?OLD","!!!","")</f>
        <v/>
      </c>
      <c r="F4336" s="23" t="str">
        <f>IF(OR(E4336="",E4336="!!!"),"",IF(NOT(ISNA(VLOOKUP(E4336,E$1:E4335,1,FALSE()))),"OLD",IF(AND(E4336&lt;&gt;"",E4336&lt;&gt;"!!!"),"NEW","")))</f>
        <v> </v>
      </c>
      <c r="G4336" s="24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5" t="str">
        <f>IF(J4336&lt;&gt;1,"",IF(I4336="SBJ","CB","?"))</f>
        <v> </v>
      </c>
      <c r="I4336" s="26" t="str">
        <f>IF(OR(E4336="",E4336="!!!",F4336="NEW"),"",INDEX(B4335:B$2,-1+SUMPRODUCT(MAX(ROW(E4335:E$2)*(E4336=E4335:E$2)))))</f>
        <v> </v>
      </c>
      <c r="J4336" s="26" t="str">
        <f>IF(OR(E4336="",E4336="!!!",F4336="NEW"),"",COUNTBLANK(OFFSET(A$1,,,SUMPRODUCT(MAX(ROW(E$2:E4336)*(E4336=E$2:E4336)))))-COUNTBLANK(OFFSET(A$1,,,SUMPRODUCT(MAX(ROW(E$1:E4335)*(E2=E$1:E4335))))))</f>
        <v> </v>
      </c>
      <c r="K4336" s="26" t="str">
        <f>IF(OR(E4336="",E4336="!!!",F4336="NEW"),"",INDEX(J$1:J4335,SUMPRODUCT(MAX(ROW(E$1:E4335)*(E4336=E$1:E4335)))))</f>
        <v> </v>
      </c>
      <c r="L4336" s="27"/>
    </row>
    <row r="4337" spans="1:12">
      <c r="A4337" s="20" t="s">
        <v>1187</v>
      </c>
      <c r="E4337" s="22">
        <f>IF(D4337="?OLD","!!!","")</f>
        <v/>
      </c>
      <c r="F4337" s="23" t="str">
        <f>IF(OR(E4337="",E4337="!!!"),"",IF(NOT(ISNA(VLOOKUP(E4337,E$1:E4336,1,FALSE()))),"OLD",IF(AND(E4337&lt;&gt;"",E4337&lt;&gt;"!!!"),"NEW","")))</f>
        <v> </v>
      </c>
      <c r="G4337" s="24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5" t="str">
        <f>IF(J4337&lt;&gt;1,"",IF(I4337="SBJ","CB","?"))</f>
        <v> </v>
      </c>
      <c r="I4337" s="26" t="str">
        <f>IF(OR(E4337="",E4337="!!!",F4337="NEW"),"",INDEX(B4336:B$2,-1+SUMPRODUCT(MAX(ROW(E4336:E$2)*(E4337=E4336:E$2)))))</f>
        <v> </v>
      </c>
      <c r="J4337" s="26" t="str">
        <f>IF(OR(E4337="",E4337="!!!",F4337="NEW"),"",COUNTBLANK(OFFSET(A$1,,,SUMPRODUCT(MAX(ROW(E$2:E4337)*(E4337=E$2:E4337)))))-COUNTBLANK(OFFSET(A$1,,,SUMPRODUCT(MAX(ROW(E$1:E4336)*(E2=E$1:E4336))))))</f>
        <v> </v>
      </c>
      <c r="K4337" s="26" t="str">
        <f>IF(OR(E4337="",E4337="!!!",F4337="NEW"),"",INDEX(J$1:J4336,SUMPRODUCT(MAX(ROW(E$1:E4336)*(E4337=E$1:E4336)))))</f>
        <v> </v>
      </c>
      <c r="L4337" s="27"/>
    </row>
    <row r="4338" spans="1:12">
      <c r="A4338" s="20" t="s">
        <v>2671</v>
      </c>
      <c r="E4338" s="22">
        <f>IF(D4338="?OLD","!!!","")</f>
        <v/>
      </c>
      <c r="F4338" s="23" t="str">
        <f>IF(OR(E4338="",E4338="!!!"),"",IF(NOT(ISNA(VLOOKUP(E4338,E$1:E4337,1,FALSE()))),"OLD",IF(AND(E4338&lt;&gt;"",E4338&lt;&gt;"!!!"),"NEW","")))</f>
        <v> </v>
      </c>
      <c r="G4338" s="24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5" t="str">
        <f>IF(J4338&lt;&gt;1,"",IF(I4338="SBJ","CB","?"))</f>
        <v> </v>
      </c>
      <c r="I4338" s="26" t="str">
        <f>IF(OR(E4338="",E4338="!!!",F4338="NEW"),"",INDEX(B4337:B$2,-1+SUMPRODUCT(MAX(ROW(E4337:E$2)*(E4338=E4337:E$2)))))</f>
        <v> </v>
      </c>
      <c r="J4338" s="26" t="str">
        <f>IF(OR(E4338="",E4338="!!!",F4338="NEW"),"",COUNTBLANK(OFFSET(A$1,,,SUMPRODUCT(MAX(ROW(E$2:E4338)*(E4338=E$2:E4338)))))-COUNTBLANK(OFFSET(A$1,,,SUMPRODUCT(MAX(ROW(E$1:E4337)*(E2=E$1:E4337))))))</f>
        <v> </v>
      </c>
      <c r="K4338" s="26" t="str">
        <f>IF(OR(E4338="",E4338="!!!",F4338="NEW"),"",INDEX(J$1:J4337,SUMPRODUCT(MAX(ROW(E$1:E4337)*(E4338=E$1:E4337)))))</f>
        <v> </v>
      </c>
      <c r="L4338" s="27"/>
    </row>
    <row r="4339" spans="1:12">
      <c r="A4339" s="20" t="s">
        <v>2672</v>
      </c>
      <c r="E4339" s="22">
        <f>IF(D4339="?OLD","!!!","")</f>
        <v/>
      </c>
      <c r="F4339" s="23" t="str">
        <f>IF(OR(E4339="",E4339="!!!"),"",IF(NOT(ISNA(VLOOKUP(E4339,E$1:E4338,1,FALSE()))),"OLD",IF(AND(E4339&lt;&gt;"",E4339&lt;&gt;"!!!"),"NEW","")))</f>
        <v> </v>
      </c>
      <c r="G4339" s="24" t="str">
        <f>IF(OR(E4339="",E4339="!!!"),"",IF(OR(J4339=0,AND(J4339=1,K4339=1),AND(J4339=1,I4339="SBJ"),AND(J4339=1,I4339=0)),"?IN_FOCUS",IF(J4339&lt;=2,"?ACTIVATED",IF(J4339&lt;&gt;"","?FAMILIAR",IF(F4339="NEW",IF(ISNA(VLOOKUP(E4339,#REF!,1,FALSE())),"?TYPE_IDENTIFIABLE","?REFERENTIAL"),"_")))))</f>
        <v> </v>
      </c>
      <c r="H4339" s="25" t="str">
        <f>IF(J4339&lt;&gt;1,"",IF(I4339="SBJ","CB","?"))</f>
        <v> </v>
      </c>
      <c r="I4339" s="26" t="str">
        <f>IF(OR(E4339="",E4339="!!!",F4339="NEW"),"",INDEX(B4338:B$2,-1+SUMPRODUCT(MAX(ROW(E4338:E$2)*(E4339=E4338:E$2)))))</f>
        <v> </v>
      </c>
      <c r="J4339" s="26" t="str">
        <f>IF(OR(E4339="",E4339="!!!",F4339="NEW"),"",COUNTBLANK(OFFSET(A$1,,,SUMPRODUCT(MAX(ROW(E$2:E4339)*(E4339=E$2:E4339)))))-COUNTBLANK(OFFSET(A$1,,,SUMPRODUCT(MAX(ROW(E$1:E4338)*(E2=E$1:E4338))))))</f>
        <v> </v>
      </c>
      <c r="K4339" s="26" t="str">
        <f>IF(OR(E4339="",E4339="!!!",F4339="NEW"),"",INDEX(J$1:J4338,SUMPRODUCT(MAX(ROW(E$1:E4338)*(E4339=E$1:E4338)))))</f>
        <v> </v>
      </c>
      <c r="L4339" s="27"/>
    </row>
    <row r="4340" spans="1:12">
      <c r="A4340" s="20" t="s">
        <v>1189</v>
      </c>
      <c r="E4340" s="22">
        <f>IF(D4340="?OLD","!!!","")</f>
        <v/>
      </c>
      <c r="F4340" s="23" t="str">
        <f>IF(OR(E4340="",E4340="!!!"),"",IF(NOT(ISNA(VLOOKUP(E4340,E$1:E4339,1,FALSE()))),"OLD",IF(AND(E4340&lt;&gt;"",E4340&lt;&gt;"!!!"),"NEW","")))</f>
        <v> </v>
      </c>
      <c r="G4340" s="24" t="str">
        <f>IF(OR(E4340="",E4340="!!!"),"",IF(OR(J4340=0,AND(J4340=1,K4340=1),AND(J4340=1,I4340="SBJ"),AND(J4340=1,I4340=0)),"?IN_FOCUS",IF(J4340&lt;=2,"?ACTIVATED",IF(J4340&lt;&gt;"","?FAMILIAR",IF(F4340="NEW",IF(ISNA(VLOOKUP(E4340,#REF!,1,FALSE())),"?TYPE_IDENTIFIABLE","?REFERENTIAL"),"_")))))</f>
        <v> </v>
      </c>
      <c r="H4340" s="25" t="str">
        <f>IF(J4340&lt;&gt;1,"",IF(I4340="SBJ","CB","?"))</f>
        <v> </v>
      </c>
      <c r="I4340" s="26" t="str">
        <f>IF(OR(E4340="",E4340="!!!",F4340="NEW"),"",INDEX(B4339:B$2,-1+SUMPRODUCT(MAX(ROW(E4339:E$2)*(E4340=E4339:E$2)))))</f>
        <v> </v>
      </c>
      <c r="J4340" s="26" t="str">
        <f>IF(OR(E4340="",E4340="!!!",F4340="NEW"),"",COUNTBLANK(OFFSET(A$1,,,SUMPRODUCT(MAX(ROW(E$2:E4340)*(E4340=E$2:E4340)))))-COUNTBLANK(OFFSET(A$1,,,SUMPRODUCT(MAX(ROW(E$1:E4339)*(E2=E$1:E4339))))))</f>
        <v> </v>
      </c>
      <c r="K4340" s="26" t="str">
        <f>IF(OR(E4340="",E4340="!!!",F4340="NEW"),"",INDEX(J$1:J4339,SUMPRODUCT(MAX(ROW(E$1:E4339)*(E4340=E$1:E4339)))))</f>
        <v> </v>
      </c>
      <c r="L4340" s="27"/>
    </row>
    <row r="4341" spans="1:12">
      <c r="A4341" s="20"/>
    </row>
    <row r="4342" spans="1:12">
      <c r="A4342" s="20" t="s">
        <v>2673</v>
      </c>
    </row>
    <row r="4343" spans="1:12">
      <c r="A4343" s="20" t="s">
        <v>1332</v>
      </c>
      <c r="E4343" s="22">
        <f>IF(D4343="?OLD","!!!","")</f>
        <v/>
      </c>
      <c r="F4343" s="23" t="str">
        <f>IF(OR(E4343="",E4343="!!!"),"",IF(NOT(ISNA(VLOOKUP(E4343,E$1:E4342,1,FALSE()))),"OLD",IF(AND(E4343&lt;&gt;"",E4343&lt;&gt;"!!!"),"NEW","")))</f>
        <v> </v>
      </c>
      <c r="G4343" s="24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5" t="str">
        <f>IF(J4343&lt;&gt;1,"",IF(I4343="SBJ","CB","?"))</f>
        <v> </v>
      </c>
      <c r="I4343" s="26" t="str">
        <f>IF(OR(E4343="",E4343="!!!",F4343="NEW"),"",INDEX(B4342:B$2,-1+SUMPRODUCT(MAX(ROW(E4342:E$2)*(E4343=E4342:E$2)))))</f>
        <v> </v>
      </c>
      <c r="J4343" s="26" t="str">
        <f>IF(OR(E4343="",E4343="!!!",F4343="NEW"),"",COUNTBLANK(OFFSET(A$1,,,SUMPRODUCT(MAX(ROW(E$2:E4343)*(E4343=E$2:E4343)))))-COUNTBLANK(OFFSET(A$1,,,SUMPRODUCT(MAX(ROW(E$1:E4342)*(E2=E$1:E4342))))))</f>
        <v> </v>
      </c>
      <c r="K4343" s="26" t="str">
        <f>IF(OR(E4343="",E4343="!!!",F4343="NEW"),"",INDEX(J$1:J4342,SUMPRODUCT(MAX(ROW(E$1:E4342)*(E4343=E$1:E4342)))))</f>
        <v> </v>
      </c>
      <c r="L4343" s="27"/>
    </row>
    <row r="4344" spans="1:12">
      <c r="A4344" s="20" t="s">
        <v>1825</v>
      </c>
      <c r="B4344" s="21" t="s">
        <v>1072</v>
      </c>
      <c r="C4344" s="21" t="s">
        <v>1154</v>
      </c>
      <c r="D4344" s="21" t="s">
        <v>1074</v>
      </c>
      <c r="E4344" s="22">
        <f>IF(D4344="?OLD","!!!","")</f>
        <v/>
      </c>
      <c r="F4344" s="23" t="str">
        <f>IF(OR(E4344="",E4344="!!!"),"",IF(NOT(ISNA(VLOOKUP(E4344,E$1:E4343,1,FALSE()))),"OLD",IF(AND(E4344&lt;&gt;"",E4344&lt;&gt;"!!!"),"NEW","")))</f>
        <v> </v>
      </c>
      <c r="G4344" s="24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5" t="str">
        <f>IF(J4344&lt;&gt;1,"",IF(I4344="SBJ","CB","?"))</f>
        <v> </v>
      </c>
      <c r="I4344" s="26" t="str">
        <f>IF(OR(E4344="",E4344="!!!",F4344="NEW"),"",INDEX(B4343:B$2,-1+SUMPRODUCT(MAX(ROW(E4343:E$2)*(E4344=E4343:E$2)))))</f>
        <v> </v>
      </c>
      <c r="J4344" s="26" t="str">
        <f>IF(OR(E4344="",E4344="!!!",F4344="NEW"),"",COUNTBLANK(OFFSET(A$1,,,SUMPRODUCT(MAX(ROW(E$2:E4344)*(E4344=E$2:E4344)))))-COUNTBLANK(OFFSET(A$1,,,SUMPRODUCT(MAX(ROW(E$1:E4343)*(E2=E$1:E4343))))))</f>
        <v> </v>
      </c>
      <c r="K4344" s="26" t="str">
        <f>IF(OR(E4344="",E4344="!!!",F4344="NEW"),"",INDEX(J$1:J4343,SUMPRODUCT(MAX(ROW(E$1:E4343)*(E4344=E$1:E4343)))))</f>
        <v> </v>
      </c>
      <c r="L4344" s="27"/>
    </row>
    <row r="4345" spans="1:12">
      <c r="A4345" s="20" t="s">
        <v>2091</v>
      </c>
      <c r="E4345" s="22">
        <f>IF(D4345="?OLD","!!!","")</f>
        <v/>
      </c>
      <c r="F4345" s="23" t="str">
        <f>IF(OR(E4345="",E4345="!!!"),"",IF(NOT(ISNA(VLOOKUP(E4345,E$1:E4344,1,FALSE()))),"OLD",IF(AND(E4345&lt;&gt;"",E4345&lt;&gt;"!!!"),"NEW","")))</f>
        <v> </v>
      </c>
      <c r="G4345" s="24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5" t="str">
        <f>IF(J4345&lt;&gt;1,"",IF(I4345="SBJ","CB","?"))</f>
        <v> </v>
      </c>
      <c r="I4345" s="26" t="str">
        <f>IF(OR(E4345="",E4345="!!!",F4345="NEW"),"",INDEX(B4344:B$2,-1+SUMPRODUCT(MAX(ROW(E4344:E$2)*(E4345=E4344:E$2)))))</f>
        <v> </v>
      </c>
      <c r="J4345" s="26" t="str">
        <f>IF(OR(E4345="",E4345="!!!",F4345="NEW"),"",COUNTBLANK(OFFSET(A$1,,,SUMPRODUCT(MAX(ROW(E$2:E4345)*(E4345=E$2:E4345)))))-COUNTBLANK(OFFSET(A$1,,,SUMPRODUCT(MAX(ROW(E$1:E4344)*(E2=E$1:E4344))))))</f>
        <v> </v>
      </c>
      <c r="K4345" s="26" t="str">
        <f>IF(OR(E4345="",E4345="!!!",F4345="NEW"),"",INDEX(J$1:J4344,SUMPRODUCT(MAX(ROW(E$1:E4344)*(E4345=E$1:E4344)))))</f>
        <v> </v>
      </c>
      <c r="L4345" s="27"/>
    </row>
    <row r="4346" spans="1:12">
      <c r="A4346" s="20" t="s">
        <v>2632</v>
      </c>
      <c r="B4346" s="21" t="s">
        <v>1109</v>
      </c>
      <c r="E4346" s="22">
        <f>IF(D4346="?OLD","!!!","")</f>
        <v/>
      </c>
      <c r="F4346" s="23" t="str">
        <f>IF(OR(E4346="",E4346="!!!"),"",IF(NOT(ISNA(VLOOKUP(E4346,E$1:E4345,1,FALSE()))),"OLD",IF(AND(E4346&lt;&gt;"",E4346&lt;&gt;"!!!"),"NEW","")))</f>
        <v> </v>
      </c>
      <c r="G4346" s="24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5" t="str">
        <f>IF(J4346&lt;&gt;1,"",IF(I4346="SBJ","CB","?"))</f>
        <v> </v>
      </c>
      <c r="I4346" s="26" t="str">
        <f>IF(OR(E4346="",E4346="!!!",F4346="NEW"),"",INDEX(B4345:B$2,-1+SUMPRODUCT(MAX(ROW(E4345:E$2)*(E4346=E4345:E$2)))))</f>
        <v> </v>
      </c>
      <c r="J4346" s="26" t="str">
        <f>IF(OR(E4346="",E4346="!!!",F4346="NEW"),"",COUNTBLANK(OFFSET(A$1,,,SUMPRODUCT(MAX(ROW(E$2:E4346)*(E4346=E$2:E4346)))))-COUNTBLANK(OFFSET(A$1,,,SUMPRODUCT(MAX(ROW(E$1:E4345)*(E2=E$1:E4345))))))</f>
        <v> </v>
      </c>
      <c r="K4346" s="26" t="str">
        <f>IF(OR(E4346="",E4346="!!!",F4346="NEW"),"",INDEX(J$1:J4345,SUMPRODUCT(MAX(ROW(E$1:E4345)*(E4346=E$1:E4345)))))</f>
        <v> </v>
      </c>
      <c r="L4346" s="27"/>
    </row>
    <row r="4347" spans="1:12">
      <c r="A4347" s="20" t="s">
        <v>1085</v>
      </c>
      <c r="E4347" s="22">
        <f>IF(D4347="?OLD","!!!","")</f>
        <v/>
      </c>
      <c r="F4347" s="23" t="str">
        <f>IF(OR(E4347="",E4347="!!!"),"",IF(NOT(ISNA(VLOOKUP(E4347,E$1:E4346,1,FALSE()))),"OLD",IF(AND(E4347&lt;&gt;"",E4347&lt;&gt;"!!!"),"NEW","")))</f>
        <v> </v>
      </c>
      <c r="G4347" s="24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5" t="str">
        <f>IF(J4347&lt;&gt;1,"",IF(I4347="SBJ","CB","?"))</f>
        <v> </v>
      </c>
      <c r="I4347" s="26" t="str">
        <f>IF(OR(E4347="",E4347="!!!",F4347="NEW"),"",INDEX(B4346:B$2,-1+SUMPRODUCT(MAX(ROW(E4346:E$2)*(E4347=E4346:E$2)))))</f>
        <v> </v>
      </c>
      <c r="J4347" s="26" t="str">
        <f>IF(OR(E4347="",E4347="!!!",F4347="NEW"),"",COUNTBLANK(OFFSET(A$1,,,SUMPRODUCT(MAX(ROW(E$2:E4347)*(E4347=E$2:E4347)))))-COUNTBLANK(OFFSET(A$1,,,SUMPRODUCT(MAX(ROW(E$1:E4346)*(E2=E$1:E4346))))))</f>
        <v> </v>
      </c>
      <c r="K4347" s="26" t="str">
        <f>IF(OR(E4347="",E4347="!!!",F4347="NEW"),"",INDEX(J$1:J4346,SUMPRODUCT(MAX(ROW(E$1:E4346)*(E4347=E$1:E4346)))))</f>
        <v> </v>
      </c>
      <c r="L4347" s="27"/>
    </row>
    <row r="4348" spans="1:12">
      <c r="A4348" s="20" t="s">
        <v>2500</v>
      </c>
      <c r="E4348" s="22">
        <f>IF(D4348="?OLD","!!!","")</f>
        <v/>
      </c>
      <c r="F4348" s="23" t="str">
        <f>IF(OR(E4348="",E4348="!!!"),"",IF(NOT(ISNA(VLOOKUP(E4348,E$1:E4347,1,FALSE()))),"OLD",IF(AND(E4348&lt;&gt;"",E4348&lt;&gt;"!!!"),"NEW","")))</f>
        <v> </v>
      </c>
      <c r="G4348" s="24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5" t="str">
        <f>IF(J4348&lt;&gt;1,"",IF(I4348="SBJ","CB","?"))</f>
        <v> </v>
      </c>
      <c r="I4348" s="26" t="str">
        <f>IF(OR(E4348="",E4348="!!!",F4348="NEW"),"",INDEX(B4347:B$2,-1+SUMPRODUCT(MAX(ROW(E4347:E$2)*(E4348=E4347:E$2)))))</f>
        <v> </v>
      </c>
      <c r="J4348" s="26" t="str">
        <f>IF(OR(E4348="",E4348="!!!",F4348="NEW"),"",COUNTBLANK(OFFSET(A$1,,,SUMPRODUCT(MAX(ROW(E$2:E4348)*(E4348=E$2:E4348)))))-COUNTBLANK(OFFSET(A$1,,,SUMPRODUCT(MAX(ROW(E$1:E4347)*(E2=E$1:E4347))))))</f>
        <v> </v>
      </c>
      <c r="K4348" s="26" t="str">
        <f>IF(OR(E4348="",E4348="!!!",F4348="NEW"),"",INDEX(J$1:J4347,SUMPRODUCT(MAX(ROW(E$1:E4347)*(E4348=E$1:E4347)))))</f>
        <v> </v>
      </c>
      <c r="L4348" s="27"/>
    </row>
    <row r="4349" spans="1:12">
      <c r="A4349" s="20" t="s">
        <v>2674</v>
      </c>
      <c r="E4349" s="22">
        <f>IF(D4349="?OLD","!!!","")</f>
        <v/>
      </c>
      <c r="F4349" s="23" t="str">
        <f>IF(OR(E4349="",E4349="!!!"),"",IF(NOT(ISNA(VLOOKUP(E4349,E$1:E4348,1,FALSE()))),"OLD",IF(AND(E4349&lt;&gt;"",E4349&lt;&gt;"!!!"),"NEW","")))</f>
        <v> </v>
      </c>
      <c r="G4349" s="24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5" t="str">
        <f>IF(J4349&lt;&gt;1,"",IF(I4349="SBJ","CB","?"))</f>
        <v> </v>
      </c>
      <c r="I4349" s="26" t="str">
        <f>IF(OR(E4349="",E4349="!!!",F4349="NEW"),"",INDEX(B4348:B$2,-1+SUMPRODUCT(MAX(ROW(E4348:E$2)*(E4349=E4348:E$2)))))</f>
        <v> </v>
      </c>
      <c r="J4349" s="26" t="str">
        <f>IF(OR(E4349="",E4349="!!!",F4349="NEW"),"",COUNTBLANK(OFFSET(A$1,,,SUMPRODUCT(MAX(ROW(E$2:E4349)*(E4349=E$2:E4349)))))-COUNTBLANK(OFFSET(A$1,,,SUMPRODUCT(MAX(ROW(E$1:E4348)*(E2=E$1:E4348))))))</f>
        <v> </v>
      </c>
      <c r="K4349" s="26" t="str">
        <f>IF(OR(E4349="",E4349="!!!",F4349="NEW"),"",INDEX(J$1:J4348,SUMPRODUCT(MAX(ROW(E$1:E4348)*(E4349=E$1:E4348)))))</f>
        <v> </v>
      </c>
      <c r="L4349" s="27"/>
    </row>
    <row r="4350" spans="1:12">
      <c r="A4350" s="20" t="s">
        <v>1436</v>
      </c>
      <c r="B4350" s="21" t="s">
        <v>1205</v>
      </c>
      <c r="C4350" s="21" t="s">
        <v>1154</v>
      </c>
      <c r="D4350" s="21" t="s">
        <v>1074</v>
      </c>
      <c r="E4350" s="22">
        <f>IF(D4350="?OLD","!!!","")</f>
        <v/>
      </c>
      <c r="F4350" s="23" t="str">
        <f>IF(OR(E4350="",E4350="!!!"),"",IF(NOT(ISNA(VLOOKUP(E4350,E$1:E4349,1,FALSE()))),"OLD",IF(AND(E4350&lt;&gt;"",E4350&lt;&gt;"!!!"),"NEW","")))</f>
        <v> </v>
      </c>
      <c r="G4350" s="24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5" t="str">
        <f>IF(J4350&lt;&gt;1,"",IF(I4350="SBJ","CB","?"))</f>
        <v> </v>
      </c>
      <c r="I4350" s="26" t="str">
        <f>IF(OR(E4350="",E4350="!!!",F4350="NEW"),"",INDEX(B4349:B$2,-1+SUMPRODUCT(MAX(ROW(E4349:E$2)*(E4350=E4349:E$2)))))</f>
        <v> </v>
      </c>
      <c r="J4350" s="26" t="str">
        <f>IF(OR(E4350="",E4350="!!!",F4350="NEW"),"",COUNTBLANK(OFFSET(A$1,,,SUMPRODUCT(MAX(ROW(E$2:E4350)*(E4350=E$2:E4350)))))-COUNTBLANK(OFFSET(A$1,,,SUMPRODUCT(MAX(ROW(E$1:E4349)*(E2=E$1:E4349))))))</f>
        <v> </v>
      </c>
      <c r="K4350" s="26" t="str">
        <f>IF(OR(E4350="",E4350="!!!",F4350="NEW"),"",INDEX(J$1:J4349,SUMPRODUCT(MAX(ROW(E$1:E4349)*(E4350=E$1:E4349)))))</f>
        <v> </v>
      </c>
      <c r="L4350" s="27"/>
    </row>
    <row r="4351" spans="1:12">
      <c r="A4351" s="20" t="s">
        <v>1085</v>
      </c>
      <c r="E4351" s="22">
        <f>IF(D4351="?OLD","!!!","")</f>
        <v/>
      </c>
      <c r="F4351" s="23" t="str">
        <f>IF(OR(E4351="",E4351="!!!"),"",IF(NOT(ISNA(VLOOKUP(E4351,E$1:E4350,1,FALSE()))),"OLD",IF(AND(E4351&lt;&gt;"",E4351&lt;&gt;"!!!"),"NEW","")))</f>
        <v> </v>
      </c>
      <c r="G4351" s="24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5" t="str">
        <f>IF(J4351&lt;&gt;1,"",IF(I4351="SBJ","CB","?"))</f>
        <v> </v>
      </c>
      <c r="I4351" s="26" t="str">
        <f>IF(OR(E4351="",E4351="!!!",F4351="NEW"),"",INDEX(B4350:B$2,-1+SUMPRODUCT(MAX(ROW(E4350:E$2)*(E4351=E4350:E$2)))))</f>
        <v> </v>
      </c>
      <c r="J4351" s="26" t="str">
        <f>IF(OR(E4351="",E4351="!!!",F4351="NEW"),"",COUNTBLANK(OFFSET(A$1,,,SUMPRODUCT(MAX(ROW(E$2:E4351)*(E4351=E$2:E4351)))))-COUNTBLANK(OFFSET(A$1,,,SUMPRODUCT(MAX(ROW(E$1:E4350)*(E2=E$1:E4350))))))</f>
        <v> </v>
      </c>
      <c r="K4351" s="26" t="str">
        <f>IF(OR(E4351="",E4351="!!!",F4351="NEW"),"",INDEX(J$1:J4350,SUMPRODUCT(MAX(ROW(E$1:E4350)*(E4351=E$1:E4350)))))</f>
        <v> </v>
      </c>
      <c r="L4351" s="27"/>
    </row>
    <row r="4352" spans="1:12">
      <c r="A4352" s="20" t="s">
        <v>1086</v>
      </c>
      <c r="E4352" s="22">
        <f>IF(D4352="?OLD","!!!","")</f>
        <v/>
      </c>
      <c r="F4352" s="23" t="str">
        <f>IF(OR(E4352="",E4352="!!!"),"",IF(NOT(ISNA(VLOOKUP(E4352,E$1:E4351,1,FALSE()))),"OLD",IF(AND(E4352&lt;&gt;"",E4352&lt;&gt;"!!!"),"NEW","")))</f>
        <v> </v>
      </c>
      <c r="G4352" s="24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5" t="str">
        <f>IF(J4352&lt;&gt;1,"",IF(I4352="SBJ","CB","?"))</f>
        <v> </v>
      </c>
      <c r="I4352" s="26" t="str">
        <f>IF(OR(E4352="",E4352="!!!",F4352="NEW"),"",INDEX(B4351:B$2,-1+SUMPRODUCT(MAX(ROW(E4351:E$2)*(E4352=E4351:E$2)))))</f>
        <v> </v>
      </c>
      <c r="J4352" s="26" t="str">
        <f>IF(OR(E4352="",E4352="!!!",F4352="NEW"),"",COUNTBLANK(OFFSET(A$1,,,SUMPRODUCT(MAX(ROW(E$2:E4352)*(E4352=E$2:E4352)))))-COUNTBLANK(OFFSET(A$1,,,SUMPRODUCT(MAX(ROW(E$1:E4351)*(E2=E$1:E4351))))))</f>
        <v> </v>
      </c>
      <c r="K4352" s="26" t="str">
        <f>IF(OR(E4352="",E4352="!!!",F4352="NEW"),"",INDEX(J$1:J4351,SUMPRODUCT(MAX(ROW(E$1:E4351)*(E4352=E$1:E4351)))))</f>
        <v> </v>
      </c>
      <c r="L4352" s="27"/>
    </row>
    <row r="4353" spans="1:12">
      <c r="A4353" s="20" t="s">
        <v>1091</v>
      </c>
      <c r="E4353" s="22">
        <f>IF(D4353="?OLD","!!!","")</f>
        <v/>
      </c>
      <c r="F4353" s="23" t="str">
        <f>IF(OR(E4353="",E4353="!!!"),"",IF(NOT(ISNA(VLOOKUP(E4353,E$1:E4352,1,FALSE()))),"OLD",IF(AND(E4353&lt;&gt;"",E4353&lt;&gt;"!!!"),"NEW","")))</f>
        <v> </v>
      </c>
      <c r="G4353" s="24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5" t="str">
        <f>IF(J4353&lt;&gt;1,"",IF(I4353="SBJ","CB","?"))</f>
        <v> </v>
      </c>
      <c r="I4353" s="26" t="str">
        <f>IF(OR(E4353="",E4353="!!!",F4353="NEW"),"",INDEX(B4352:B$2,-1+SUMPRODUCT(MAX(ROW(E4352:E$2)*(E4353=E4352:E$2)))))</f>
        <v> </v>
      </c>
      <c r="J4353" s="26" t="str">
        <f>IF(OR(E4353="",E4353="!!!",F4353="NEW"),"",COUNTBLANK(OFFSET(A$1,,,SUMPRODUCT(MAX(ROW(E$2:E4353)*(E4353=E$2:E4353)))))-COUNTBLANK(OFFSET(A$1,,,SUMPRODUCT(MAX(ROW(E$1:E4352)*(E2=E$1:E4352))))))</f>
        <v> </v>
      </c>
      <c r="K4353" s="26" t="str">
        <f>IF(OR(E4353="",E4353="!!!",F4353="NEW"),"",INDEX(J$1:J4352,SUMPRODUCT(MAX(ROW(E$1:E4352)*(E4353=E$1:E4352)))))</f>
        <v> </v>
      </c>
      <c r="L4353" s="27"/>
    </row>
    <row r="4354" spans="1:12">
      <c r="A4354" s="20" t="s">
        <v>1608</v>
      </c>
      <c r="E4354" s="22">
        <f>IF(D4354="?OLD","!!!","")</f>
        <v/>
      </c>
      <c r="F4354" s="23" t="str">
        <f>IF(OR(E4354="",E4354="!!!"),"",IF(NOT(ISNA(VLOOKUP(E4354,E$1:E4353,1,FALSE()))),"OLD",IF(AND(E4354&lt;&gt;"",E4354&lt;&gt;"!!!"),"NEW","")))</f>
        <v> </v>
      </c>
      <c r="G4354" s="24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5" t="str">
        <f>IF(J4354&lt;&gt;1,"",IF(I4354="SBJ","CB","?"))</f>
        <v> </v>
      </c>
      <c r="I4354" s="26" t="str">
        <f>IF(OR(E4354="",E4354="!!!",F4354="NEW"),"",INDEX(B4353:B$2,-1+SUMPRODUCT(MAX(ROW(E4353:E$2)*(E4354=E4353:E$2)))))</f>
        <v> </v>
      </c>
      <c r="J4354" s="26" t="str">
        <f>IF(OR(E4354="",E4354="!!!",F4354="NEW"),"",COUNTBLANK(OFFSET(A$1,,,SUMPRODUCT(MAX(ROW(E$2:E4354)*(E4354=E$2:E4354)))))-COUNTBLANK(OFFSET(A$1,,,SUMPRODUCT(MAX(ROW(E$1:E4353)*(E2=E$1:E4353))))))</f>
        <v> </v>
      </c>
      <c r="K4354" s="26" t="str">
        <f>IF(OR(E4354="",E4354="!!!",F4354="NEW"),"",INDEX(J$1:J4353,SUMPRODUCT(MAX(ROW(E$1:E4353)*(E4354=E$1:E4353)))))</f>
        <v> </v>
      </c>
      <c r="L4354" s="27"/>
    </row>
    <row r="4355" spans="1:12">
      <c r="A4355" s="20" t="s">
        <v>1945</v>
      </c>
      <c r="B4355" s="21" t="s">
        <v>1291</v>
      </c>
      <c r="E4355" s="22">
        <f>IF(D4355="?OLD","!!!","")</f>
        <v/>
      </c>
      <c r="F4355" s="23" t="str">
        <f>IF(OR(E4355="",E4355="!!!"),"",IF(NOT(ISNA(VLOOKUP(E4355,E$1:E4354,1,FALSE()))),"OLD",IF(AND(E4355&lt;&gt;"",E4355&lt;&gt;"!!!"),"NEW","")))</f>
        <v> </v>
      </c>
      <c r="G4355" s="24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5" t="str">
        <f>IF(J4355&lt;&gt;1,"",IF(I4355="SBJ","CB","?"))</f>
        <v> </v>
      </c>
      <c r="I4355" s="26" t="str">
        <f>IF(OR(E4355="",E4355="!!!",F4355="NEW"),"",INDEX(B4354:B$2,-1+SUMPRODUCT(MAX(ROW(E4354:E$2)*(E4355=E4354:E$2)))))</f>
        <v> </v>
      </c>
      <c r="J4355" s="26" t="str">
        <f>IF(OR(E4355="",E4355="!!!",F4355="NEW"),"",COUNTBLANK(OFFSET(A$1,,,SUMPRODUCT(MAX(ROW(E$2:E4355)*(E4355=E$2:E4355)))))-COUNTBLANK(OFFSET(A$1,,,SUMPRODUCT(MAX(ROW(E$1:E4354)*(E2=E$1:E4354))))))</f>
        <v> </v>
      </c>
      <c r="K4355" s="26" t="str">
        <f>IF(OR(E4355="",E4355="!!!",F4355="NEW"),"",INDEX(J$1:J4354,SUMPRODUCT(MAX(ROW(E$1:E4354)*(E4355=E$1:E4354)))))</f>
        <v> </v>
      </c>
      <c r="L4355" s="27"/>
    </row>
    <row r="4356" spans="1:12">
      <c r="A4356" s="20" t="s">
        <v>1106</v>
      </c>
      <c r="E4356" s="22">
        <f>IF(D4356="?OLD","!!!","")</f>
        <v/>
      </c>
      <c r="F4356" s="23" t="str">
        <f>IF(OR(E4356="",E4356="!!!"),"",IF(NOT(ISNA(VLOOKUP(E4356,E$1:E4355,1,FALSE()))),"OLD",IF(AND(E4356&lt;&gt;"",E4356&lt;&gt;"!!!"),"NEW","")))</f>
        <v> </v>
      </c>
      <c r="G4356" s="24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5" t="str">
        <f>IF(J4356&lt;&gt;1,"",IF(I4356="SBJ","CB","?"))</f>
        <v> </v>
      </c>
      <c r="I4356" s="26" t="str">
        <f>IF(OR(E4356="",E4356="!!!",F4356="NEW"),"",INDEX(B4355:B$2,-1+SUMPRODUCT(MAX(ROW(E4355:E$2)*(E4356=E4355:E$2)))))</f>
        <v> </v>
      </c>
      <c r="J4356" s="26" t="str">
        <f>IF(OR(E4356="",E4356="!!!",F4356="NEW"),"",COUNTBLANK(OFFSET(A$1,,,SUMPRODUCT(MAX(ROW(E$2:E4356)*(E4356=E$2:E4356)))))-COUNTBLANK(OFFSET(A$1,,,SUMPRODUCT(MAX(ROW(E$1:E4355)*(E2=E$1:E4355))))))</f>
        <v> </v>
      </c>
      <c r="K4356" s="26" t="str">
        <f>IF(OR(E4356="",E4356="!!!",F4356="NEW"),"",INDEX(J$1:J4355,SUMPRODUCT(MAX(ROW(E$1:E4355)*(E4356=E$1:E4355)))))</f>
        <v> </v>
      </c>
      <c r="L4356" s="27"/>
    </row>
    <row r="4357" spans="1:12">
      <c r="A4357" s="20"/>
    </row>
    <row r="4358" spans="1:12">
      <c r="A4358" s="20" t="s">
        <v>2675</v>
      </c>
    </row>
    <row r="4359" spans="1:12">
      <c r="A4359" s="20" t="s">
        <v>2292</v>
      </c>
      <c r="E4359" s="22">
        <f>IF(D4359="?OLD","!!!","")</f>
        <v/>
      </c>
      <c r="F4359" s="23" t="str">
        <f>IF(OR(E4359="",E4359="!!!"),"",IF(NOT(ISNA(VLOOKUP(E4359,E$1:E4358,1,FALSE()))),"OLD",IF(AND(E4359&lt;&gt;"",E4359&lt;&gt;"!!!"),"NEW","")))</f>
        <v> </v>
      </c>
      <c r="G4359" s="24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5" t="str">
        <f>IF(J4359&lt;&gt;1,"",IF(I4359="SBJ","CB","?"))</f>
        <v> </v>
      </c>
      <c r="I4359" s="26" t="str">
        <f>IF(OR(E4359="",E4359="!!!",F4359="NEW"),"",INDEX(B4358:B$2,-1+SUMPRODUCT(MAX(ROW(E4358:E$2)*(E4359=E4358:E$2)))))</f>
        <v> </v>
      </c>
      <c r="J4359" s="26" t="str">
        <f>IF(OR(E4359="",E4359="!!!",F4359="NEW"),"",COUNTBLANK(OFFSET(A$1,,,SUMPRODUCT(MAX(ROW(E$2:E4359)*(E4359=E$2:E4359)))))-COUNTBLANK(OFFSET(A$1,,,SUMPRODUCT(MAX(ROW(E$1:E4358)*(E2=E$1:E4358))))))</f>
        <v> </v>
      </c>
      <c r="K4359" s="26" t="str">
        <f>IF(OR(E4359="",E4359="!!!",F4359="NEW"),"",INDEX(J$1:J4358,SUMPRODUCT(MAX(ROW(E$1:E4358)*(E4359=E$1:E4358)))))</f>
        <v> </v>
      </c>
      <c r="L4359" s="27"/>
    </row>
    <row r="4360" spans="1:12">
      <c r="A4360" s="20" t="s">
        <v>51</v>
      </c>
      <c r="E4360" s="22">
        <f>IF(D4360="?OLD","!!!","")</f>
        <v/>
      </c>
      <c r="F4360" s="23" t="str">
        <f>IF(OR(E4360="",E4360="!!!"),"",IF(NOT(ISNA(VLOOKUP(E4360,E$1:E4359,1,FALSE()))),"OLD",IF(AND(E4360&lt;&gt;"",E4360&lt;&gt;"!!!"),"NEW","")))</f>
        <v> </v>
      </c>
      <c r="G4360" s="24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5" t="str">
        <f>IF(J4360&lt;&gt;1,"",IF(I4360="SBJ","CB","?"))</f>
        <v> </v>
      </c>
      <c r="I4360" s="26" t="str">
        <f>IF(OR(E4360="",E4360="!!!",F4360="NEW"),"",INDEX(B4359:B$2,-1+SUMPRODUCT(MAX(ROW(E4359:E$2)*(E4360=E4359:E$2)))))</f>
        <v> </v>
      </c>
      <c r="J4360" s="26" t="str">
        <f>IF(OR(E4360="",E4360="!!!",F4360="NEW"),"",COUNTBLANK(OFFSET(A$1,,,SUMPRODUCT(MAX(ROW(E$2:E4360)*(E4360=E$2:E4360)))))-COUNTBLANK(OFFSET(A$1,,,SUMPRODUCT(MAX(ROW(E$1:E4359)*(E2=E$1:E4359))))))</f>
        <v> </v>
      </c>
      <c r="K4360" s="26" t="str">
        <f>IF(OR(E4360="",E4360="!!!",F4360="NEW"),"",INDEX(J$1:J4359,SUMPRODUCT(MAX(ROW(E$1:E4359)*(E4360=E$1:E4359)))))</f>
        <v> </v>
      </c>
      <c r="L4360" s="27"/>
    </row>
    <row r="4361" spans="1:12">
      <c r="A4361" s="20" t="s">
        <v>1192</v>
      </c>
      <c r="E4361" s="22">
        <f>IF(D4361="?OLD","!!!","")</f>
        <v/>
      </c>
      <c r="F4361" s="23" t="str">
        <f>IF(OR(E4361="",E4361="!!!"),"",IF(NOT(ISNA(VLOOKUP(E4361,E$1:E4360,1,FALSE()))),"OLD",IF(AND(E4361&lt;&gt;"",E4361&lt;&gt;"!!!"),"NEW","")))</f>
        <v> </v>
      </c>
      <c r="G4361" s="24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5" t="str">
        <f>IF(J4361&lt;&gt;1,"",IF(I4361="SBJ","CB","?"))</f>
        <v> </v>
      </c>
      <c r="I4361" s="26" t="str">
        <f>IF(OR(E4361="",E4361="!!!",F4361="NEW"),"",INDEX(B4360:B$2,-1+SUMPRODUCT(MAX(ROW(E4360:E$2)*(E4361=E4360:E$2)))))</f>
        <v> </v>
      </c>
      <c r="J4361" s="26" t="str">
        <f>IF(OR(E4361="",E4361="!!!",F4361="NEW"),"",COUNTBLANK(OFFSET(A$1,,,SUMPRODUCT(MAX(ROW(E$2:E4361)*(E4361=E$2:E4361)))))-COUNTBLANK(OFFSET(A$1,,,SUMPRODUCT(MAX(ROW(E$1:E4360)*(E2=E$1:E4360))))))</f>
        <v> </v>
      </c>
      <c r="K4361" s="26" t="str">
        <f>IF(OR(E4361="",E4361="!!!",F4361="NEW"),"",INDEX(J$1:J4360,SUMPRODUCT(MAX(ROW(E$1:E4360)*(E4361=E$1:E4360)))))</f>
        <v> </v>
      </c>
      <c r="L4361" s="27"/>
    </row>
    <row r="4362" spans="1:12">
      <c r="A4362" s="20" t="s">
        <v>1415</v>
      </c>
      <c r="B4362" s="21" t="s">
        <v>1180</v>
      </c>
      <c r="C4362" s="21" t="s">
        <v>1154</v>
      </c>
      <c r="D4362" s="21" t="s">
        <v>1074</v>
      </c>
      <c r="E4362" s="22">
        <f>IF(D4362="?OLD","!!!","")</f>
        <v/>
      </c>
      <c r="F4362" s="23" t="str">
        <f>IF(OR(E4362="",E4362="!!!"),"",IF(NOT(ISNA(VLOOKUP(E4362,E$1:E4361,1,FALSE()))),"OLD",IF(AND(E4362&lt;&gt;"",E4362&lt;&gt;"!!!"),"NEW","")))</f>
        <v> </v>
      </c>
      <c r="G4362" s="24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5" t="str">
        <f>IF(J4362&lt;&gt;1,"",IF(I4362="SBJ","CB","?"))</f>
        <v> </v>
      </c>
      <c r="I4362" s="26" t="str">
        <f>IF(OR(E4362="",E4362="!!!",F4362="NEW"),"",INDEX(B4361:B$2,-1+SUMPRODUCT(MAX(ROW(E4361:E$2)*(E4362=E4361:E$2)))))</f>
        <v> </v>
      </c>
      <c r="J4362" s="26" t="str">
        <f>IF(OR(E4362="",E4362="!!!",F4362="NEW"),"",COUNTBLANK(OFFSET(A$1,,,SUMPRODUCT(MAX(ROW(E$2:E4362)*(E4362=E$2:E4362)))))-COUNTBLANK(OFFSET(A$1,,,SUMPRODUCT(MAX(ROW(E$1:E4361)*(E2=E$1:E4361))))))</f>
        <v> </v>
      </c>
      <c r="K4362" s="26" t="str">
        <f>IF(OR(E4362="",E4362="!!!",F4362="NEW"),"",INDEX(J$1:J4361,SUMPRODUCT(MAX(ROW(E$1:E4361)*(E4362=E$1:E4361)))))</f>
        <v> </v>
      </c>
      <c r="L4362" s="27"/>
    </row>
    <row r="4363" spans="1:12">
      <c r="A4363" s="20" t="s">
        <v>1085</v>
      </c>
      <c r="E4363" s="22">
        <f>IF(D4363="?OLD","!!!","")</f>
        <v/>
      </c>
      <c r="F4363" s="23" t="str">
        <f>IF(OR(E4363="",E4363="!!!"),"",IF(NOT(ISNA(VLOOKUP(E4363,E$1:E4362,1,FALSE()))),"OLD",IF(AND(E4363&lt;&gt;"",E4363&lt;&gt;"!!!"),"NEW","")))</f>
        <v> </v>
      </c>
      <c r="G4363" s="24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5" t="str">
        <f>IF(J4363&lt;&gt;1,"",IF(I4363="SBJ","CB","?"))</f>
        <v> </v>
      </c>
      <c r="I4363" s="26" t="str">
        <f>IF(OR(E4363="",E4363="!!!",F4363="NEW"),"",INDEX(B4362:B$2,-1+SUMPRODUCT(MAX(ROW(E4362:E$2)*(E4363=E4362:E$2)))))</f>
        <v> </v>
      </c>
      <c r="J4363" s="26" t="str">
        <f>IF(OR(E4363="",E4363="!!!",F4363="NEW"),"",COUNTBLANK(OFFSET(A$1,,,SUMPRODUCT(MAX(ROW(E$2:E4363)*(E4363=E$2:E4363)))))-COUNTBLANK(OFFSET(A$1,,,SUMPRODUCT(MAX(ROW(E$1:E4362)*(E2=E$1:E4362))))))</f>
        <v> </v>
      </c>
      <c r="K4363" s="26" t="str">
        <f>IF(OR(E4363="",E4363="!!!",F4363="NEW"),"",INDEX(J$1:J4362,SUMPRODUCT(MAX(ROW(E$1:E4362)*(E4363=E$1:E4362)))))</f>
        <v> </v>
      </c>
      <c r="L4363" s="27"/>
    </row>
    <row r="4364" spans="1:12">
      <c r="A4364" s="20" t="s">
        <v>1192</v>
      </c>
      <c r="E4364" s="22">
        <f>IF(D4364="?OLD","!!!","")</f>
        <v/>
      </c>
      <c r="F4364" s="23" t="str">
        <f>IF(OR(E4364="",E4364="!!!"),"",IF(NOT(ISNA(VLOOKUP(E4364,E$1:E4363,1,FALSE()))),"OLD",IF(AND(E4364&lt;&gt;"",E4364&lt;&gt;"!!!"),"NEW","")))</f>
        <v> </v>
      </c>
      <c r="G4364" s="24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5" t="str">
        <f>IF(J4364&lt;&gt;1,"",IF(I4364="SBJ","CB","?"))</f>
        <v> </v>
      </c>
      <c r="I4364" s="26" t="str">
        <f>IF(OR(E4364="",E4364="!!!",F4364="NEW"),"",INDEX(B4363:B$2,-1+SUMPRODUCT(MAX(ROW(E4363:E$2)*(E4364=E4363:E$2)))))</f>
        <v> </v>
      </c>
      <c r="J4364" s="26" t="str">
        <f>IF(OR(E4364="",E4364="!!!",F4364="NEW"),"",COUNTBLANK(OFFSET(A$1,,,SUMPRODUCT(MAX(ROW(E$2:E4364)*(E4364=E$2:E4364)))))-COUNTBLANK(OFFSET(A$1,,,SUMPRODUCT(MAX(ROW(E$1:E4363)*(E2=E$1:E4363))))))</f>
        <v> </v>
      </c>
      <c r="K4364" s="26" t="str">
        <f>IF(OR(E4364="",E4364="!!!",F4364="NEW"),"",INDEX(J$1:J4363,SUMPRODUCT(MAX(ROW(E$1:E4363)*(E4364=E$1:E4363)))))</f>
        <v> </v>
      </c>
      <c r="L4364" s="27"/>
    </row>
    <row r="4365" spans="1:12">
      <c r="A4365" s="20" t="s">
        <v>1179</v>
      </c>
      <c r="B4365" s="21" t="s">
        <v>1115</v>
      </c>
      <c r="C4365" s="21" t="s">
        <v>1181</v>
      </c>
      <c r="E4365" s="22">
        <f>IF(D4365="?OLD","!!!","")</f>
        <v/>
      </c>
      <c r="F4365" s="23" t="str">
        <f>IF(OR(E4365="",E4365="!!!"),"",IF(NOT(ISNA(VLOOKUP(E4365,E$1:E4364,1,FALSE()))),"OLD",IF(AND(E4365&lt;&gt;"",E4365&lt;&gt;"!!!"),"NEW","")))</f>
        <v> </v>
      </c>
      <c r="G4365" s="24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5" t="str">
        <f>IF(J4365&lt;&gt;1,"",IF(I4365="SBJ","CB","?"))</f>
        <v> </v>
      </c>
      <c r="I4365" s="26" t="str">
        <f>IF(OR(E4365="",E4365="!!!",F4365="NEW"),"",INDEX(B4364:B$2,-1+SUMPRODUCT(MAX(ROW(E4364:E$2)*(E4365=E4364:E$2)))))</f>
        <v> </v>
      </c>
      <c r="J4365" s="26" t="str">
        <f>IF(OR(E4365="",E4365="!!!",F4365="NEW"),"",COUNTBLANK(OFFSET(A$1,,,SUMPRODUCT(MAX(ROW(E$2:E4365)*(E4365=E$2:E4365)))))-COUNTBLANK(OFFSET(A$1,,,SUMPRODUCT(MAX(ROW(E$1:E4364)*(E2=E$1:E4364))))))</f>
        <v> </v>
      </c>
      <c r="K4365" s="26" t="str">
        <f>IF(OR(E4365="",E4365="!!!",F4365="NEW"),"",INDEX(J$1:J4364,SUMPRODUCT(MAX(ROW(E$1:E4364)*(E4365=E$1:E4364)))))</f>
        <v> </v>
      </c>
      <c r="L4365" s="27"/>
    </row>
    <row r="4366" spans="1:12">
      <c r="A4366" s="20" t="s">
        <v>1945</v>
      </c>
      <c r="B4366" s="21" t="s">
        <v>1088</v>
      </c>
      <c r="E4366" s="22">
        <f>IF(D4366="?OLD","!!!","")</f>
        <v/>
      </c>
      <c r="F4366" s="23" t="str">
        <f>IF(OR(E4366="",E4366="!!!"),"",IF(NOT(ISNA(VLOOKUP(E4366,E$1:E4365,1,FALSE()))),"OLD",IF(AND(E4366&lt;&gt;"",E4366&lt;&gt;"!!!"),"NEW","")))</f>
        <v> </v>
      </c>
      <c r="G4366" s="24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5" t="str">
        <f>IF(J4366&lt;&gt;1,"",IF(I4366="SBJ","CB","?"))</f>
        <v> </v>
      </c>
      <c r="I4366" s="26" t="str">
        <f>IF(OR(E4366="",E4366="!!!",F4366="NEW"),"",INDEX(B4365:B$2,-1+SUMPRODUCT(MAX(ROW(E4365:E$2)*(E4366=E4365:E$2)))))</f>
        <v> </v>
      </c>
      <c r="J4366" s="26" t="str">
        <f>IF(OR(E4366="",E4366="!!!",F4366="NEW"),"",COUNTBLANK(OFFSET(A$1,,,SUMPRODUCT(MAX(ROW(E$2:E4366)*(E4366=E$2:E4366)))))-COUNTBLANK(OFFSET(A$1,,,SUMPRODUCT(MAX(ROW(E$1:E4365)*(E2=E$1:E4365))))))</f>
        <v> </v>
      </c>
      <c r="K4366" s="26" t="str">
        <f>IF(OR(E4366="",E4366="!!!",F4366="NEW"),"",INDEX(J$1:J4365,SUMPRODUCT(MAX(ROW(E$1:E4365)*(E4366=E$1:E4365)))))</f>
        <v> </v>
      </c>
      <c r="L4366" s="27"/>
    </row>
    <row r="4367" spans="1:12">
      <c r="A4367" s="20" t="s">
        <v>1091</v>
      </c>
      <c r="E4367" s="22">
        <f>IF(D4367="?OLD","!!!","")</f>
        <v/>
      </c>
      <c r="F4367" s="23" t="str">
        <f>IF(OR(E4367="",E4367="!!!"),"",IF(NOT(ISNA(VLOOKUP(E4367,E$1:E4366,1,FALSE()))),"OLD",IF(AND(E4367&lt;&gt;"",E4367&lt;&gt;"!!!"),"NEW","")))</f>
        <v> </v>
      </c>
      <c r="G4367" s="24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5" t="str">
        <f>IF(J4367&lt;&gt;1,"",IF(I4367="SBJ","CB","?"))</f>
        <v> </v>
      </c>
      <c r="I4367" s="26" t="str">
        <f>IF(OR(E4367="",E4367="!!!",F4367="NEW"),"",INDEX(B4366:B$2,-1+SUMPRODUCT(MAX(ROW(E4366:E$2)*(E4367=E4366:E$2)))))</f>
        <v> </v>
      </c>
      <c r="J4367" s="26" t="str">
        <f>IF(OR(E4367="",E4367="!!!",F4367="NEW"),"",COUNTBLANK(OFFSET(A$1,,,SUMPRODUCT(MAX(ROW(E$2:E4367)*(E4367=E$2:E4367)))))-COUNTBLANK(OFFSET(A$1,,,SUMPRODUCT(MAX(ROW(E$1:E4366)*(E2=E$1:E4366))))))</f>
        <v> </v>
      </c>
      <c r="K4367" s="26" t="str">
        <f>IF(OR(E4367="",E4367="!!!",F4367="NEW"),"",INDEX(J$1:J4366,SUMPRODUCT(MAX(ROW(E$1:E4366)*(E4367=E$1:E4366)))))</f>
        <v> </v>
      </c>
      <c r="L4367" s="27"/>
    </row>
    <row r="4368" spans="1:12">
      <c r="A4368" s="20" t="s">
        <v>1307</v>
      </c>
      <c r="E4368" s="22">
        <f>IF(D4368="?OLD","!!!","")</f>
        <v/>
      </c>
      <c r="F4368" s="23" t="str">
        <f>IF(OR(E4368="",E4368="!!!"),"",IF(NOT(ISNA(VLOOKUP(E4368,E$1:E4367,1,FALSE()))),"OLD",IF(AND(E4368&lt;&gt;"",E4368&lt;&gt;"!!!"),"NEW","")))</f>
        <v> </v>
      </c>
      <c r="G4368" s="24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5" t="str">
        <f>IF(J4368&lt;&gt;1,"",IF(I4368="SBJ","CB","?"))</f>
        <v> </v>
      </c>
      <c r="I4368" s="26" t="str">
        <f>IF(OR(E4368="",E4368="!!!",F4368="NEW"),"",INDEX(B4367:B$2,-1+SUMPRODUCT(MAX(ROW(E4367:E$2)*(E4368=E4367:E$2)))))</f>
        <v> </v>
      </c>
      <c r="J4368" s="26" t="str">
        <f>IF(OR(E4368="",E4368="!!!",F4368="NEW"),"",COUNTBLANK(OFFSET(A$1,,,SUMPRODUCT(MAX(ROW(E$2:E4368)*(E4368=E$2:E4368)))))-COUNTBLANK(OFFSET(A$1,,,SUMPRODUCT(MAX(ROW(E$1:E4367)*(E2=E$1:E4367))))))</f>
        <v> </v>
      </c>
      <c r="K4368" s="26" t="str">
        <f>IF(OR(E4368="",E4368="!!!",F4368="NEW"),"",INDEX(J$1:J4367,SUMPRODUCT(MAX(ROW(E$1:E4367)*(E4368=E$1:E4367)))))</f>
        <v> </v>
      </c>
      <c r="L4368" s="27"/>
    </row>
    <row r="4369" spans="1:12">
      <c r="A4369" s="20" t="s">
        <v>2362</v>
      </c>
      <c r="E4369" s="22">
        <f>IF(D4369="?OLD","!!!","")</f>
        <v/>
      </c>
      <c r="F4369" s="23" t="str">
        <f>IF(OR(E4369="",E4369="!!!"),"",IF(NOT(ISNA(VLOOKUP(E4369,E$1:E4368,1,FALSE()))),"OLD",IF(AND(E4369&lt;&gt;"",E4369&lt;&gt;"!!!"),"NEW","")))</f>
        <v> </v>
      </c>
      <c r="G4369" s="24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5" t="str">
        <f>IF(J4369&lt;&gt;1,"",IF(I4369="SBJ","CB","?"))</f>
        <v> </v>
      </c>
      <c r="I4369" s="26" t="str">
        <f>IF(OR(E4369="",E4369="!!!",F4369="NEW"),"",INDEX(B4368:B$2,-1+SUMPRODUCT(MAX(ROW(E4368:E$2)*(E4369=E4368:E$2)))))</f>
        <v> </v>
      </c>
      <c r="J4369" s="26" t="str">
        <f>IF(OR(E4369="",E4369="!!!",F4369="NEW"),"",COUNTBLANK(OFFSET(A$1,,,SUMPRODUCT(MAX(ROW(E$2:E4369)*(E4369=E$2:E4369)))))-COUNTBLANK(OFFSET(A$1,,,SUMPRODUCT(MAX(ROW(E$1:E4368)*(E2=E$1:E4368))))))</f>
        <v> </v>
      </c>
      <c r="K4369" s="26" t="str">
        <f>IF(OR(E4369="",E4369="!!!",F4369="NEW"),"",INDEX(J$1:J4368,SUMPRODUCT(MAX(ROW(E$1:E4368)*(E4369=E$1:E4368)))))</f>
        <v> </v>
      </c>
      <c r="L4369" s="27"/>
    </row>
    <row r="4370" spans="1:12">
      <c r="A4370" s="20" t="s">
        <v>1086</v>
      </c>
      <c r="E4370" s="22">
        <f>IF(D4370="?OLD","!!!","")</f>
        <v/>
      </c>
      <c r="F4370" s="23" t="str">
        <f>IF(OR(E4370="",E4370="!!!"),"",IF(NOT(ISNA(VLOOKUP(E4370,E$1:E4369,1,FALSE()))),"OLD",IF(AND(E4370&lt;&gt;"",E4370&lt;&gt;"!!!"),"NEW","")))</f>
        <v> </v>
      </c>
      <c r="G4370" s="24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5" t="str">
        <f>IF(J4370&lt;&gt;1,"",IF(I4370="SBJ","CB","?"))</f>
        <v> </v>
      </c>
      <c r="I4370" s="26" t="str">
        <f>IF(OR(E4370="",E4370="!!!",F4370="NEW"),"",INDEX(B4369:B$2,-1+SUMPRODUCT(MAX(ROW(E4369:E$2)*(E4370=E4369:E$2)))))</f>
        <v> </v>
      </c>
      <c r="J4370" s="26" t="str">
        <f>IF(OR(E4370="",E4370="!!!",F4370="NEW"),"",COUNTBLANK(OFFSET(A$1,,,SUMPRODUCT(MAX(ROW(E$2:E4370)*(E4370=E$2:E4370)))))-COUNTBLANK(OFFSET(A$1,,,SUMPRODUCT(MAX(ROW(E$1:E4369)*(E2=E$1:E4369))))))</f>
        <v> </v>
      </c>
      <c r="K4370" s="26" t="str">
        <f>IF(OR(E4370="",E4370="!!!",F4370="NEW"),"",INDEX(J$1:J4369,SUMPRODUCT(MAX(ROW(E$1:E4369)*(E4370=E$1:E4369)))))</f>
        <v> </v>
      </c>
      <c r="L4370" s="27"/>
    </row>
    <row r="4371" spans="1:12">
      <c r="A4371" s="20" t="s">
        <v>1414</v>
      </c>
      <c r="E4371" s="22">
        <f>IF(D4371="?OLD","!!!","")</f>
        <v/>
      </c>
      <c r="F4371" s="23" t="str">
        <f>IF(OR(E4371="",E4371="!!!"),"",IF(NOT(ISNA(VLOOKUP(E4371,E$1:E4370,1,FALSE()))),"OLD",IF(AND(E4371&lt;&gt;"",E4371&lt;&gt;"!!!"),"NEW","")))</f>
        <v> </v>
      </c>
      <c r="G4371" s="24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5" t="str">
        <f>IF(J4371&lt;&gt;1,"",IF(I4371="SBJ","CB","?"))</f>
        <v> </v>
      </c>
      <c r="I4371" s="26" t="str">
        <f>IF(OR(E4371="",E4371="!!!",F4371="NEW"),"",INDEX(B4370:B$2,-1+SUMPRODUCT(MAX(ROW(E4370:E$2)*(E4371=E4370:E$2)))))</f>
        <v> </v>
      </c>
      <c r="J4371" s="26" t="str">
        <f>IF(OR(E4371="",E4371="!!!",F4371="NEW"),"",COUNTBLANK(OFFSET(A$1,,,SUMPRODUCT(MAX(ROW(E$2:E4371)*(E4371=E$2:E4371)))))-COUNTBLANK(OFFSET(A$1,,,SUMPRODUCT(MAX(ROW(E$1:E4370)*(E2=E$1:E4370))))))</f>
        <v> </v>
      </c>
      <c r="K4371" s="26" t="str">
        <f>IF(OR(E4371="",E4371="!!!",F4371="NEW"),"",INDEX(J$1:J4370,SUMPRODUCT(MAX(ROW(E$1:E4370)*(E4371=E$1:E4370)))))</f>
        <v> </v>
      </c>
      <c r="L4371" s="27"/>
    </row>
    <row r="4372" spans="1:12">
      <c r="A4372" s="20" t="s">
        <v>1360</v>
      </c>
      <c r="E4372" s="22">
        <f>IF(D4372="?OLD","!!!","")</f>
        <v/>
      </c>
      <c r="F4372" s="23" t="str">
        <f>IF(OR(E4372="",E4372="!!!"),"",IF(NOT(ISNA(VLOOKUP(E4372,E$1:E4371,1,FALSE()))),"OLD",IF(AND(E4372&lt;&gt;"",E4372&lt;&gt;"!!!"),"NEW","")))</f>
        <v> </v>
      </c>
      <c r="G4372" s="24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5" t="str">
        <f>IF(J4372&lt;&gt;1,"",IF(I4372="SBJ","CB","?"))</f>
        <v> </v>
      </c>
      <c r="I4372" s="26" t="str">
        <f>IF(OR(E4372="",E4372="!!!",F4372="NEW"),"",INDEX(B4371:B$2,-1+SUMPRODUCT(MAX(ROW(E4371:E$2)*(E4372=E4371:E$2)))))</f>
        <v> </v>
      </c>
      <c r="J4372" s="26" t="str">
        <f>IF(OR(E4372="",E4372="!!!",F4372="NEW"),"",COUNTBLANK(OFFSET(A$1,,,SUMPRODUCT(MAX(ROW(E$2:E4372)*(E4372=E$2:E4372)))))-COUNTBLANK(OFFSET(A$1,,,SUMPRODUCT(MAX(ROW(E$1:E4371)*(E2=E$1:E4371))))))</f>
        <v> </v>
      </c>
      <c r="K4372" s="26" t="str">
        <f>IF(OR(E4372="",E4372="!!!",F4372="NEW"),"",INDEX(J$1:J4371,SUMPRODUCT(MAX(ROW(E$1:E4371)*(E4372=E$1:E4371)))))</f>
        <v> </v>
      </c>
      <c r="L4372" s="27"/>
    </row>
    <row r="4373" spans="1:12">
      <c r="A4373" s="20" t="s">
        <v>496</v>
      </c>
      <c r="E4373" s="22">
        <f>IF(D4373="?OLD","!!!","")</f>
        <v/>
      </c>
      <c r="F4373" s="23" t="str">
        <f>IF(OR(E4373="",E4373="!!!"),"",IF(NOT(ISNA(VLOOKUP(E4373,E$1:E4372,1,FALSE()))),"OLD",IF(AND(E4373&lt;&gt;"",E4373&lt;&gt;"!!!"),"NEW","")))</f>
        <v> </v>
      </c>
      <c r="G4373" s="24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5" t="str">
        <f>IF(J4373&lt;&gt;1,"",IF(I4373="SBJ","CB","?"))</f>
        <v> </v>
      </c>
      <c r="I4373" s="26" t="str">
        <f>IF(OR(E4373="",E4373="!!!",F4373="NEW"),"",INDEX(B4372:B$2,-1+SUMPRODUCT(MAX(ROW(E4372:E$2)*(E4373=E4372:E$2)))))</f>
        <v> </v>
      </c>
      <c r="J4373" s="26" t="str">
        <f>IF(OR(E4373="",E4373="!!!",F4373="NEW"),"",COUNTBLANK(OFFSET(A$1,,,SUMPRODUCT(MAX(ROW(E$2:E4373)*(E4373=E$2:E4373)))))-COUNTBLANK(OFFSET(A$1,,,SUMPRODUCT(MAX(ROW(E$1:E4372)*(E2=E$1:E4372))))))</f>
        <v> </v>
      </c>
      <c r="K4373" s="26" t="str">
        <f>IF(OR(E4373="",E4373="!!!",F4373="NEW"),"",INDEX(J$1:J4372,SUMPRODUCT(MAX(ROW(E$1:E4372)*(E4373=E$1:E4372)))))</f>
        <v> </v>
      </c>
      <c r="L4373" s="27"/>
    </row>
    <row r="4374" spans="1:12">
      <c r="A4374" s="20" t="s">
        <v>1790</v>
      </c>
      <c r="E4374" s="22">
        <f>IF(D4374="?OLD","!!!","")</f>
        <v/>
      </c>
      <c r="F4374" s="23" t="str">
        <f>IF(OR(E4374="",E4374="!!!"),"",IF(NOT(ISNA(VLOOKUP(E4374,E$1:E4373,1,FALSE()))),"OLD",IF(AND(E4374&lt;&gt;"",E4374&lt;&gt;"!!!"),"NEW","")))</f>
        <v> </v>
      </c>
      <c r="G4374" s="24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5" t="str">
        <f>IF(J4374&lt;&gt;1,"",IF(I4374="SBJ","CB","?"))</f>
        <v> </v>
      </c>
      <c r="I4374" s="26" t="str">
        <f>IF(OR(E4374="",E4374="!!!",F4374="NEW"),"",INDEX(B4373:B$2,-1+SUMPRODUCT(MAX(ROW(E4373:E$2)*(E4374=E4373:E$2)))))</f>
        <v> </v>
      </c>
      <c r="J4374" s="26" t="str">
        <f>IF(OR(E4374="",E4374="!!!",F4374="NEW"),"",COUNTBLANK(OFFSET(A$1,,,SUMPRODUCT(MAX(ROW(E$2:E4374)*(E4374=E$2:E4374)))))-COUNTBLANK(OFFSET(A$1,,,SUMPRODUCT(MAX(ROW(E$1:E4373)*(E2=E$1:E4373))))))</f>
        <v> </v>
      </c>
      <c r="K4374" s="26" t="str">
        <f>IF(OR(E4374="",E4374="!!!",F4374="NEW"),"",INDEX(J$1:J4373,SUMPRODUCT(MAX(ROW(E$1:E4373)*(E4374=E$1:E4373)))))</f>
        <v> </v>
      </c>
      <c r="L4374" s="27"/>
    </row>
    <row r="4375" spans="1:12">
      <c r="A4375" s="20" t="s">
        <v>2676</v>
      </c>
      <c r="E4375" s="22">
        <f>IF(D4375="?OLD","!!!","")</f>
        <v/>
      </c>
      <c r="F4375" s="23" t="str">
        <f>IF(OR(E4375="",E4375="!!!"),"",IF(NOT(ISNA(VLOOKUP(E4375,E$1:E4374,1,FALSE()))),"OLD",IF(AND(E4375&lt;&gt;"",E4375&lt;&gt;"!!!"),"NEW","")))</f>
        <v> </v>
      </c>
      <c r="G4375" s="24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5" t="str">
        <f>IF(J4375&lt;&gt;1,"",IF(I4375="SBJ","CB","?"))</f>
        <v> </v>
      </c>
      <c r="I4375" s="26" t="str">
        <f>IF(OR(E4375="",E4375="!!!",F4375="NEW"),"",INDEX(B4374:B$2,-1+SUMPRODUCT(MAX(ROW(E4374:E$2)*(E4375=E4374:E$2)))))</f>
        <v> </v>
      </c>
      <c r="J4375" s="26" t="str">
        <f>IF(OR(E4375="",E4375="!!!",F4375="NEW"),"",COUNTBLANK(OFFSET(A$1,,,SUMPRODUCT(MAX(ROW(E$2:E4375)*(E4375=E$2:E4375)))))-COUNTBLANK(OFFSET(A$1,,,SUMPRODUCT(MAX(ROW(E$1:E4374)*(E2=E$1:E4374))))))</f>
        <v> </v>
      </c>
      <c r="K4375" s="26" t="str">
        <f>IF(OR(E4375="",E4375="!!!",F4375="NEW"),"",INDEX(J$1:J4374,SUMPRODUCT(MAX(ROW(E$1:E4374)*(E4375=E$1:E4374)))))</f>
        <v> </v>
      </c>
      <c r="L4375" s="27"/>
    </row>
    <row r="4376" spans="1:12">
      <c r="A4376" s="20" t="s">
        <v>1775</v>
      </c>
      <c r="B4376" s="21" t="s">
        <v>1097</v>
      </c>
      <c r="E4376" s="22">
        <f>IF(D4376="?OLD","!!!","")</f>
        <v/>
      </c>
      <c r="F4376" s="23" t="str">
        <f>IF(OR(E4376="",E4376="!!!"),"",IF(NOT(ISNA(VLOOKUP(E4376,E$1:E4375,1,FALSE()))),"OLD",IF(AND(E4376&lt;&gt;"",E4376&lt;&gt;"!!!"),"NEW","")))</f>
        <v> </v>
      </c>
      <c r="G4376" s="24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5" t="str">
        <f>IF(J4376&lt;&gt;1,"",IF(I4376="SBJ","CB","?"))</f>
        <v> </v>
      </c>
      <c r="I4376" s="26" t="str">
        <f>IF(OR(E4376="",E4376="!!!",F4376="NEW"),"",INDEX(B4375:B$2,-1+SUMPRODUCT(MAX(ROW(E4375:E$2)*(E4376=E4375:E$2)))))</f>
        <v> </v>
      </c>
      <c r="J4376" s="26" t="str">
        <f>IF(OR(E4376="",E4376="!!!",F4376="NEW"),"",COUNTBLANK(OFFSET(A$1,,,SUMPRODUCT(MAX(ROW(E$2:E4376)*(E4376=E$2:E4376)))))-COUNTBLANK(OFFSET(A$1,,,SUMPRODUCT(MAX(ROW(E$1:E4375)*(E2=E$1:E4375))))))</f>
        <v> </v>
      </c>
      <c r="K4376" s="26" t="str">
        <f>IF(OR(E4376="",E4376="!!!",F4376="NEW"),"",INDEX(J$1:J4375,SUMPRODUCT(MAX(ROW(E$1:E4375)*(E4376=E$1:E4375)))))</f>
        <v> </v>
      </c>
      <c r="L4376" s="27"/>
    </row>
    <row r="4377" spans="1:12">
      <c r="A4377" s="20" t="s">
        <v>1106</v>
      </c>
      <c r="E4377" s="22">
        <f>IF(D4377="?OLD","!!!","")</f>
        <v/>
      </c>
      <c r="F4377" s="23" t="str">
        <f>IF(OR(E4377="",E4377="!!!"),"",IF(NOT(ISNA(VLOOKUP(E4377,E$1:E4376,1,FALSE()))),"OLD",IF(AND(E4377&lt;&gt;"",E4377&lt;&gt;"!!!"),"NEW","")))</f>
        <v> </v>
      </c>
      <c r="G4377" s="24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5" t="str">
        <f>IF(J4377&lt;&gt;1,"",IF(I4377="SBJ","CB","?"))</f>
        <v> </v>
      </c>
      <c r="I4377" s="26" t="str">
        <f>IF(OR(E4377="",E4377="!!!",F4377="NEW"),"",INDEX(B4376:B$2,-1+SUMPRODUCT(MAX(ROW(E4376:E$2)*(E4377=E4376:E$2)))))</f>
        <v> </v>
      </c>
      <c r="J4377" s="26" t="str">
        <f>IF(OR(E4377="",E4377="!!!",F4377="NEW"),"",COUNTBLANK(OFFSET(A$1,,,SUMPRODUCT(MAX(ROW(E$2:E4377)*(E4377=E$2:E4377)))))-COUNTBLANK(OFFSET(A$1,,,SUMPRODUCT(MAX(ROW(E$1:E4376)*(E2=E$1:E4376))))))</f>
        <v> </v>
      </c>
      <c r="K4377" s="26" t="str">
        <f>IF(OR(E4377="",E4377="!!!",F4377="NEW"),"",INDEX(J$1:J4376,SUMPRODUCT(MAX(ROW(E$1:E4376)*(E4377=E$1:E4376)))))</f>
        <v> </v>
      </c>
      <c r="L4377" s="27"/>
    </row>
    <row r="4378" spans="1:12">
      <c r="A4378" s="20"/>
    </row>
    <row r="4379" spans="1:12">
      <c r="A4379" s="20" t="s">
        <v>2677</v>
      </c>
    </row>
    <row r="4380" spans="1:12">
      <c r="A4380" s="20" t="s">
        <v>1233</v>
      </c>
      <c r="E4380" s="22">
        <f>IF(D4380="?OLD","!!!","")</f>
        <v/>
      </c>
      <c r="F4380" s="23" t="str">
        <f>IF(OR(E4380="",E4380="!!!"),"",IF(NOT(ISNA(VLOOKUP(E4380,E$1:E4379,1,FALSE()))),"OLD",IF(AND(E4380&lt;&gt;"",E4380&lt;&gt;"!!!"),"NEW","")))</f>
        <v> </v>
      </c>
      <c r="G4380" s="24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5" t="str">
        <f>IF(J4380&lt;&gt;1,"",IF(I4380="SBJ","CB","?"))</f>
        <v> </v>
      </c>
      <c r="I4380" s="26" t="str">
        <f>IF(OR(E4380="",E4380="!!!",F4380="NEW"),"",INDEX(B4379:B$2,-1+SUMPRODUCT(MAX(ROW(E4379:E$2)*(E4380=E4379:E$2)))))</f>
        <v> </v>
      </c>
      <c r="J4380" s="26" t="str">
        <f>IF(OR(E4380="",E4380="!!!",F4380="NEW"),"",COUNTBLANK(OFFSET(A$1,,,SUMPRODUCT(MAX(ROW(E$2:E4380)*(E4380=E$2:E4380)))))-COUNTBLANK(OFFSET(A$1,,,SUMPRODUCT(MAX(ROW(E$1:E4379)*(E2=E$1:E4379))))))</f>
        <v> </v>
      </c>
      <c r="K4380" s="26" t="str">
        <f>IF(OR(E4380="",E4380="!!!",F4380="NEW"),"",INDEX(J$1:J4379,SUMPRODUCT(MAX(ROW(E$1:E4379)*(E4380=E$1:E4379)))))</f>
        <v> </v>
      </c>
      <c r="L4380" s="27"/>
    </row>
    <row r="4381" spans="1:12">
      <c r="A4381" s="20" t="s">
        <v>1240</v>
      </c>
      <c r="E4381" s="22">
        <f>IF(D4381="?OLD","!!!","")</f>
        <v/>
      </c>
      <c r="F4381" s="23" t="str">
        <f>IF(OR(E4381="",E4381="!!!"),"",IF(NOT(ISNA(VLOOKUP(E4381,E$1:E4380,1,FALSE()))),"OLD",IF(AND(E4381&lt;&gt;"",E4381&lt;&gt;"!!!"),"NEW","")))</f>
        <v> </v>
      </c>
      <c r="G4381" s="24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5" t="str">
        <f>IF(J4381&lt;&gt;1,"",IF(I4381="SBJ","CB","?"))</f>
        <v> </v>
      </c>
      <c r="I4381" s="26" t="str">
        <f>IF(OR(E4381="",E4381="!!!",F4381="NEW"),"",INDEX(B4380:B$2,-1+SUMPRODUCT(MAX(ROW(E4380:E$2)*(E4381=E4380:E$2)))))</f>
        <v> </v>
      </c>
      <c r="J4381" s="26" t="str">
        <f>IF(OR(E4381="",E4381="!!!",F4381="NEW"),"",COUNTBLANK(OFFSET(A$1,,,SUMPRODUCT(MAX(ROW(E$2:E4381)*(E4381=E$2:E4381)))))-COUNTBLANK(OFFSET(A$1,,,SUMPRODUCT(MAX(ROW(E$1:E4380)*(E2=E$1:E4380))))))</f>
        <v> </v>
      </c>
      <c r="K4381" s="26" t="str">
        <f>IF(OR(E4381="",E4381="!!!",F4381="NEW"),"",INDEX(J$1:J4380,SUMPRODUCT(MAX(ROW(E$1:E4380)*(E4381=E$1:E4380)))))</f>
        <v> </v>
      </c>
      <c r="L4381" s="27"/>
    </row>
    <row r="4382" spans="1:12">
      <c r="A4382" s="20" t="s">
        <v>1825</v>
      </c>
      <c r="B4382" s="21" t="s">
        <v>1072</v>
      </c>
      <c r="C4382" s="21" t="s">
        <v>1154</v>
      </c>
      <c r="D4382" s="21" t="s">
        <v>1074</v>
      </c>
      <c r="E4382" s="22">
        <f>IF(D4382="?OLD","!!!","")</f>
        <v/>
      </c>
      <c r="F4382" s="23" t="str">
        <f>IF(OR(E4382="",E4382="!!!"),"",IF(NOT(ISNA(VLOOKUP(E4382,E$1:E4381,1,FALSE()))),"OLD",IF(AND(E4382&lt;&gt;"",E4382&lt;&gt;"!!!"),"NEW","")))</f>
        <v> </v>
      </c>
      <c r="G4382" s="24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5" t="str">
        <f>IF(J4382&lt;&gt;1,"",IF(I4382="SBJ","CB","?"))</f>
        <v> </v>
      </c>
      <c r="I4382" s="26" t="str">
        <f>IF(OR(E4382="",E4382="!!!",F4382="NEW"),"",INDEX(B4381:B$2,-1+SUMPRODUCT(MAX(ROW(E4381:E$2)*(E4382=E4381:E$2)))))</f>
        <v> </v>
      </c>
      <c r="J4382" s="26" t="str">
        <f>IF(OR(E4382="",E4382="!!!",F4382="NEW"),"",COUNTBLANK(OFFSET(A$1,,,SUMPRODUCT(MAX(ROW(E$2:E4382)*(E4382=E$2:E4382)))))-COUNTBLANK(OFFSET(A$1,,,SUMPRODUCT(MAX(ROW(E$1:E4381)*(E2=E$1:E4381))))))</f>
        <v> </v>
      </c>
      <c r="K4382" s="26" t="str">
        <f>IF(OR(E4382="",E4382="!!!",F4382="NEW"),"",INDEX(J$1:J4381,SUMPRODUCT(MAX(ROW(E$1:E4381)*(E4382=E$1:E4381)))))</f>
        <v> </v>
      </c>
      <c r="L4382" s="27"/>
    </row>
    <row r="4383" spans="1:12">
      <c r="A4383" s="20" t="s">
        <v>1562</v>
      </c>
      <c r="E4383" s="22">
        <f>IF(D4383="?OLD","!!!","")</f>
        <v/>
      </c>
      <c r="F4383" s="23" t="str">
        <f>IF(OR(E4383="",E4383="!!!"),"",IF(NOT(ISNA(VLOOKUP(E4383,E$1:E4382,1,FALSE()))),"OLD",IF(AND(E4383&lt;&gt;"",E4383&lt;&gt;"!!!"),"NEW","")))</f>
        <v> </v>
      </c>
      <c r="G4383" s="24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5" t="str">
        <f>IF(J4383&lt;&gt;1,"",IF(I4383="SBJ","CB","?"))</f>
        <v> </v>
      </c>
      <c r="I4383" s="26" t="str">
        <f>IF(OR(E4383="",E4383="!!!",F4383="NEW"),"",INDEX(B4382:B$2,-1+SUMPRODUCT(MAX(ROW(E4382:E$2)*(E4383=E4382:E$2)))))</f>
        <v> </v>
      </c>
      <c r="J4383" s="26" t="str">
        <f>IF(OR(E4383="",E4383="!!!",F4383="NEW"),"",COUNTBLANK(OFFSET(A$1,,,SUMPRODUCT(MAX(ROW(E$2:E4383)*(E4383=E$2:E4383)))))-COUNTBLANK(OFFSET(A$1,,,SUMPRODUCT(MAX(ROW(E$1:E4382)*(E2=E$1:E4382))))))</f>
        <v> </v>
      </c>
      <c r="K4383" s="26" t="str">
        <f>IF(OR(E4383="",E4383="!!!",F4383="NEW"),"",INDEX(J$1:J4382,SUMPRODUCT(MAX(ROW(E$1:E4382)*(E4383=E$1:E4382)))))</f>
        <v> </v>
      </c>
      <c r="L4383" s="27"/>
    </row>
    <row r="4384" spans="1:12">
      <c r="A4384" s="20" t="s">
        <v>1238</v>
      </c>
      <c r="E4384" s="22">
        <f>IF(D4384="?OLD","!!!","")</f>
        <v/>
      </c>
      <c r="F4384" s="23" t="str">
        <f>IF(OR(E4384="",E4384="!!!"),"",IF(NOT(ISNA(VLOOKUP(E4384,E$1:E4383,1,FALSE()))),"OLD",IF(AND(E4384&lt;&gt;"",E4384&lt;&gt;"!!!"),"NEW","")))</f>
        <v> </v>
      </c>
      <c r="G4384" s="24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5" t="str">
        <f>IF(J4384&lt;&gt;1,"",IF(I4384="SBJ","CB","?"))</f>
        <v> </v>
      </c>
      <c r="I4384" s="26" t="str">
        <f>IF(OR(E4384="",E4384="!!!",F4384="NEW"),"",INDEX(B4383:B$2,-1+SUMPRODUCT(MAX(ROW(E4383:E$2)*(E4384=E4383:E$2)))))</f>
        <v> </v>
      </c>
      <c r="J4384" s="26" t="str">
        <f>IF(OR(E4384="",E4384="!!!",F4384="NEW"),"",COUNTBLANK(OFFSET(A$1,,,SUMPRODUCT(MAX(ROW(E$2:E4384)*(E4384=E$2:E4384)))))-COUNTBLANK(OFFSET(A$1,,,SUMPRODUCT(MAX(ROW(E$1:E4383)*(E2=E$1:E4383))))))</f>
        <v> </v>
      </c>
      <c r="K4384" s="26" t="str">
        <f>IF(OR(E4384="",E4384="!!!",F4384="NEW"),"",INDEX(J$1:J4383,SUMPRODUCT(MAX(ROW(E$1:E4383)*(E4384=E$1:E4383)))))</f>
        <v> </v>
      </c>
      <c r="L4384" s="27"/>
    </row>
    <row r="4385" spans="1:12">
      <c r="A4385" s="20" t="s">
        <v>1825</v>
      </c>
      <c r="B4385" s="21" t="s">
        <v>1180</v>
      </c>
      <c r="C4385" s="21" t="s">
        <v>1154</v>
      </c>
      <c r="D4385" s="21" t="s">
        <v>1074</v>
      </c>
      <c r="E4385" s="22">
        <f>IF(D4385="?OLD","!!!","")</f>
        <v/>
      </c>
      <c r="F4385" s="23" t="str">
        <f>IF(OR(E4385="",E4385="!!!"),"",IF(NOT(ISNA(VLOOKUP(E4385,E$1:E4384,1,FALSE()))),"OLD",IF(AND(E4385&lt;&gt;"",E4385&lt;&gt;"!!!"),"NEW","")))</f>
        <v> </v>
      </c>
      <c r="G4385" s="24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5" t="str">
        <f>IF(J4385&lt;&gt;1,"",IF(I4385="SBJ","CB","?"))</f>
        <v> </v>
      </c>
      <c r="I4385" s="26" t="str">
        <f>IF(OR(E4385="",E4385="!!!",F4385="NEW"),"",INDEX(B4384:B$2,-1+SUMPRODUCT(MAX(ROW(E4384:E$2)*(E4385=E4384:E$2)))))</f>
        <v> </v>
      </c>
      <c r="J4385" s="26" t="str">
        <f>IF(OR(E4385="",E4385="!!!",F4385="NEW"),"",COUNTBLANK(OFFSET(A$1,,,SUMPRODUCT(MAX(ROW(E$2:E4385)*(E4385=E$2:E4385)))))-COUNTBLANK(OFFSET(A$1,,,SUMPRODUCT(MAX(ROW(E$1:E4384)*(E2=E$1:E4384))))))</f>
        <v> </v>
      </c>
      <c r="K4385" s="26" t="str">
        <f>IF(OR(E4385="",E4385="!!!",F4385="NEW"),"",INDEX(J$1:J4384,SUMPRODUCT(MAX(ROW(E$1:E4384)*(E4385=E$1:E4384)))))</f>
        <v> </v>
      </c>
      <c r="L4385" s="27"/>
    </row>
    <row r="4386" spans="1:12">
      <c r="A4386" s="20" t="s">
        <v>297</v>
      </c>
      <c r="E4386" s="22">
        <f>IF(D4386="?OLD","!!!","")</f>
        <v/>
      </c>
      <c r="F4386" s="23" t="str">
        <f>IF(OR(E4386="",E4386="!!!"),"",IF(NOT(ISNA(VLOOKUP(E4386,E$1:E4385,1,FALSE()))),"OLD",IF(AND(E4386&lt;&gt;"",E4386&lt;&gt;"!!!"),"NEW","")))</f>
        <v> </v>
      </c>
      <c r="G4386" s="24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5" t="str">
        <f>IF(J4386&lt;&gt;1,"",IF(I4386="SBJ","CB","?"))</f>
        <v> </v>
      </c>
      <c r="I4386" s="26" t="str">
        <f>IF(OR(E4386="",E4386="!!!",F4386="NEW"),"",INDEX(B4385:B$2,-1+SUMPRODUCT(MAX(ROW(E4385:E$2)*(E4386=E4385:E$2)))))</f>
        <v> </v>
      </c>
      <c r="J4386" s="26" t="str">
        <f>IF(OR(E4386="",E4386="!!!",F4386="NEW"),"",COUNTBLANK(OFFSET(A$1,,,SUMPRODUCT(MAX(ROW(E$2:E4386)*(E4386=E$2:E4386)))))-COUNTBLANK(OFFSET(A$1,,,SUMPRODUCT(MAX(ROW(E$1:E4385)*(E2=E$1:E4385))))))</f>
        <v> </v>
      </c>
      <c r="K4386" s="26" t="str">
        <f>IF(OR(E4386="",E4386="!!!",F4386="NEW"),"",INDEX(J$1:J4385,SUMPRODUCT(MAX(ROW(E$1:E4385)*(E4386=E$1:E4385)))))</f>
        <v> </v>
      </c>
      <c r="L4386" s="27"/>
    </row>
    <row r="4387" spans="1:12">
      <c r="A4387" s="20" t="s">
        <v>1083</v>
      </c>
      <c r="E4387" s="22">
        <f>IF(D4387="?OLD","!!!","")</f>
        <v/>
      </c>
      <c r="F4387" s="23" t="str">
        <f>IF(OR(E4387="",E4387="!!!"),"",IF(NOT(ISNA(VLOOKUP(E4387,E$1:E4386,1,FALSE()))),"OLD",IF(AND(E4387&lt;&gt;"",E4387&lt;&gt;"!!!"),"NEW","")))</f>
        <v> </v>
      </c>
      <c r="G4387" s="24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5" t="str">
        <f>IF(J4387&lt;&gt;1,"",IF(I4387="SBJ","CB","?"))</f>
        <v> </v>
      </c>
      <c r="I4387" s="26" t="str">
        <f>IF(OR(E4387="",E4387="!!!",F4387="NEW"),"",INDEX(B4386:B$2,-1+SUMPRODUCT(MAX(ROW(E4386:E$2)*(E4387=E4386:E$2)))))</f>
        <v> </v>
      </c>
      <c r="J4387" s="26" t="str">
        <f>IF(OR(E4387="",E4387="!!!",F4387="NEW"),"",COUNTBLANK(OFFSET(A$1,,,SUMPRODUCT(MAX(ROW(E$2:E4387)*(E4387=E$2:E4387)))))-COUNTBLANK(OFFSET(A$1,,,SUMPRODUCT(MAX(ROW(E$1:E4386)*(E2=E$1:E4386))))))</f>
        <v> </v>
      </c>
      <c r="K4387" s="26" t="str">
        <f>IF(OR(E4387="",E4387="!!!",F4387="NEW"),"",INDEX(J$1:J4386,SUMPRODUCT(MAX(ROW(E$1:E4386)*(E4387=E$1:E4386)))))</f>
        <v> </v>
      </c>
      <c r="L4387" s="27"/>
    </row>
    <row r="4388" spans="1:12">
      <c r="A4388" s="20" t="s">
        <v>1091</v>
      </c>
      <c r="E4388" s="22">
        <f>IF(D4388="?OLD","!!!","")</f>
        <v/>
      </c>
      <c r="F4388" s="23" t="str">
        <f>IF(OR(E4388="",E4388="!!!"),"",IF(NOT(ISNA(VLOOKUP(E4388,E$1:E4387,1,FALSE()))),"OLD",IF(AND(E4388&lt;&gt;"",E4388&lt;&gt;"!!!"),"NEW","")))</f>
        <v> </v>
      </c>
      <c r="G4388" s="24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5" t="str">
        <f>IF(J4388&lt;&gt;1,"",IF(I4388="SBJ","CB","?"))</f>
        <v> </v>
      </c>
      <c r="I4388" s="26" t="str">
        <f>IF(OR(E4388="",E4388="!!!",F4388="NEW"),"",INDEX(B4387:B$2,-1+SUMPRODUCT(MAX(ROW(E4387:E$2)*(E4388=E4387:E$2)))))</f>
        <v> </v>
      </c>
      <c r="J4388" s="26" t="str">
        <f>IF(OR(E4388="",E4388="!!!",F4388="NEW"),"",COUNTBLANK(OFFSET(A$1,,,SUMPRODUCT(MAX(ROW(E$2:E4388)*(E4388=E$2:E4388)))))-COUNTBLANK(OFFSET(A$1,,,SUMPRODUCT(MAX(ROW(E$1:E4387)*(E2=E$1:E4387))))))</f>
        <v> </v>
      </c>
      <c r="K4388" s="26" t="str">
        <f>IF(OR(E4388="",E4388="!!!",F4388="NEW"),"",INDEX(J$1:J4387,SUMPRODUCT(MAX(ROW(E$1:E4387)*(E4388=E$1:E4387)))))</f>
        <v> </v>
      </c>
      <c r="L4388" s="27"/>
    </row>
    <row r="4389" spans="1:12">
      <c r="A4389" s="20" t="s">
        <v>618</v>
      </c>
      <c r="E4389" s="22">
        <f>IF(D4389="?OLD","!!!","")</f>
        <v/>
      </c>
      <c r="F4389" s="23" t="str">
        <f>IF(OR(E4389="",E4389="!!!"),"",IF(NOT(ISNA(VLOOKUP(E4389,E$1:E4388,1,FALSE()))),"OLD",IF(AND(E4389&lt;&gt;"",E4389&lt;&gt;"!!!"),"NEW","")))</f>
        <v> </v>
      </c>
      <c r="G4389" s="24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5" t="str">
        <f>IF(J4389&lt;&gt;1,"",IF(I4389="SBJ","CB","?"))</f>
        <v> </v>
      </c>
      <c r="I4389" s="26" t="str">
        <f>IF(OR(E4389="",E4389="!!!",F4389="NEW"),"",INDEX(B4388:B$2,-1+SUMPRODUCT(MAX(ROW(E4388:E$2)*(E4389=E4388:E$2)))))</f>
        <v> </v>
      </c>
      <c r="J4389" s="26" t="str">
        <f>IF(OR(E4389="",E4389="!!!",F4389="NEW"),"",COUNTBLANK(OFFSET(A$1,,,SUMPRODUCT(MAX(ROW(E$2:E4389)*(E4389=E$2:E4389)))))-COUNTBLANK(OFFSET(A$1,,,SUMPRODUCT(MAX(ROW(E$1:E4388)*(E2=E$1:E4388))))))</f>
        <v> </v>
      </c>
      <c r="K4389" s="26" t="str">
        <f>IF(OR(E4389="",E4389="!!!",F4389="NEW"),"",INDEX(J$1:J4388,SUMPRODUCT(MAX(ROW(E$1:E4388)*(E4389=E$1:E4388)))))</f>
        <v> </v>
      </c>
      <c r="L4389" s="27"/>
    </row>
    <row r="4390" spans="1:12">
      <c r="A4390" s="20" t="s">
        <v>2678</v>
      </c>
      <c r="E4390" s="22">
        <f>IF(D4390="?OLD","!!!","")</f>
        <v/>
      </c>
      <c r="F4390" s="23" t="str">
        <f>IF(OR(E4390="",E4390="!!!"),"",IF(NOT(ISNA(VLOOKUP(E4390,E$1:E4389,1,FALSE()))),"OLD",IF(AND(E4390&lt;&gt;"",E4390&lt;&gt;"!!!"),"NEW","")))</f>
        <v> </v>
      </c>
      <c r="G4390" s="24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5" t="str">
        <f>IF(J4390&lt;&gt;1,"",IF(I4390="SBJ","CB","?"))</f>
        <v> </v>
      </c>
      <c r="I4390" s="26" t="str">
        <f>IF(OR(E4390="",E4390="!!!",F4390="NEW"),"",INDEX(B4389:B$2,-1+SUMPRODUCT(MAX(ROW(E4389:E$2)*(E4390=E4389:E$2)))))</f>
        <v> </v>
      </c>
      <c r="J4390" s="26" t="str">
        <f>IF(OR(E4390="",E4390="!!!",F4390="NEW"),"",COUNTBLANK(OFFSET(A$1,,,SUMPRODUCT(MAX(ROW(E$2:E4390)*(E4390=E$2:E4390)))))-COUNTBLANK(OFFSET(A$1,,,SUMPRODUCT(MAX(ROW(E$1:E4389)*(E2=E$1:E4389))))))</f>
        <v> </v>
      </c>
      <c r="K4390" s="26" t="str">
        <f>IF(OR(E4390="",E4390="!!!",F4390="NEW"),"",INDEX(J$1:J4389,SUMPRODUCT(MAX(ROW(E$1:E4389)*(E4390=E$1:E4389)))))</f>
        <v> </v>
      </c>
      <c r="L4390" s="27"/>
    </row>
    <row r="4391" spans="1:12">
      <c r="A4391" s="20" t="s">
        <v>1106</v>
      </c>
      <c r="E4391" s="22">
        <f>IF(D4391="?OLD","!!!","")</f>
        <v/>
      </c>
      <c r="F4391" s="23" t="str">
        <f>IF(OR(E4391="",E4391="!!!"),"",IF(NOT(ISNA(VLOOKUP(E4391,E$1:E4390,1,FALSE()))),"OLD",IF(AND(E4391&lt;&gt;"",E4391&lt;&gt;"!!!"),"NEW","")))</f>
        <v> </v>
      </c>
      <c r="G4391" s="24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5" t="str">
        <f>IF(J4391&lt;&gt;1,"",IF(I4391="SBJ","CB","?"))</f>
        <v> </v>
      </c>
      <c r="I4391" s="26" t="str">
        <f>IF(OR(E4391="",E4391="!!!",F4391="NEW"),"",INDEX(B4390:B$2,-1+SUMPRODUCT(MAX(ROW(E4390:E$2)*(E4391=E4390:E$2)))))</f>
        <v> </v>
      </c>
      <c r="J4391" s="26" t="str">
        <f>IF(OR(E4391="",E4391="!!!",F4391="NEW"),"",COUNTBLANK(OFFSET(A$1,,,SUMPRODUCT(MAX(ROW(E$2:E4391)*(E4391=E$2:E4391)))))-COUNTBLANK(OFFSET(A$1,,,SUMPRODUCT(MAX(ROW(E$1:E4390)*(E2=E$1:E4390))))))</f>
        <v> </v>
      </c>
      <c r="K4391" s="26" t="str">
        <f>IF(OR(E4391="",E4391="!!!",F4391="NEW"),"",INDEX(J$1:J4390,SUMPRODUCT(MAX(ROW(E$1:E4390)*(E4391=E$1:E4390)))))</f>
        <v> </v>
      </c>
      <c r="L4391" s="27"/>
    </row>
    <row r="4392" spans="1:12">
      <c r="A4392" s="20"/>
    </row>
    <row r="4393" spans="1:12">
      <c r="A4393" s="20" t="s">
        <v>2679</v>
      </c>
    </row>
    <row r="4394" spans="1:12">
      <c r="A4394" s="20" t="s">
        <v>2680</v>
      </c>
      <c r="E4394" s="22">
        <f>IF(D4394="?OLD","!!!","")</f>
        <v/>
      </c>
      <c r="F4394" s="23" t="str">
        <f>IF(OR(E4394="",E4394="!!!"),"",IF(NOT(ISNA(VLOOKUP(E4394,E$1:E4393,1,FALSE()))),"OLD",IF(AND(E4394&lt;&gt;"",E4394&lt;&gt;"!!!"),"NEW","")))</f>
        <v> </v>
      </c>
      <c r="G4394" s="24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5" t="str">
        <f>IF(J4394&lt;&gt;1,"",IF(I4394="SBJ","CB","?"))</f>
        <v> </v>
      </c>
      <c r="I4394" s="26" t="str">
        <f>IF(OR(E4394="",E4394="!!!",F4394="NEW"),"",INDEX(B4393:B$2,-1+SUMPRODUCT(MAX(ROW(E4393:E$2)*(E4394=E4393:E$2)))))</f>
        <v> </v>
      </c>
      <c r="J4394" s="26" t="str">
        <f>IF(OR(E4394="",E4394="!!!",F4394="NEW"),"",COUNTBLANK(OFFSET(A$1,,,SUMPRODUCT(MAX(ROW(E$2:E4394)*(E4394=E$2:E4394)))))-COUNTBLANK(OFFSET(A$1,,,SUMPRODUCT(MAX(ROW(E$1:E4393)*(E2=E$1:E4393))))))</f>
        <v> </v>
      </c>
      <c r="K4394" s="26" t="str">
        <f>IF(OR(E4394="",E4394="!!!",F4394="NEW"),"",INDEX(J$1:J4393,SUMPRODUCT(MAX(ROW(E$1:E4393)*(E4394=E$1:E4393)))))</f>
        <v> </v>
      </c>
      <c r="L4394" s="27"/>
    </row>
    <row r="4395" spans="1:12">
      <c r="A4395" s="20" t="s">
        <v>1020</v>
      </c>
      <c r="B4395" s="21" t="s">
        <v>1072</v>
      </c>
      <c r="C4395" s="21" t="s">
        <v>1073</v>
      </c>
      <c r="D4395" s="21" t="s">
        <v>1074</v>
      </c>
      <c r="E4395" s="22">
        <f>IF(D4395="?OLD","!!!","")</f>
        <v/>
      </c>
      <c r="F4395" s="23" t="str">
        <f>IF(OR(E4395="",E4395="!!!"),"",IF(NOT(ISNA(VLOOKUP(E4395,E$1:E4394,1,FALSE()))),"OLD",IF(AND(E4395&lt;&gt;"",E4395&lt;&gt;"!!!"),"NEW","")))</f>
        <v> </v>
      </c>
      <c r="G4395" s="24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5" t="str">
        <f>IF(J4395&lt;&gt;1,"",IF(I4395="SBJ","CB","?"))</f>
        <v> </v>
      </c>
      <c r="I4395" s="26" t="str">
        <f>IF(OR(E4395="",E4395="!!!",F4395="NEW"),"",INDEX(B4394:B$2,-1+SUMPRODUCT(MAX(ROW(E4394:E$2)*(E4395=E4394:E$2)))))</f>
        <v> </v>
      </c>
      <c r="J4395" s="26" t="str">
        <f>IF(OR(E4395="",E4395="!!!",F4395="NEW"),"",COUNTBLANK(OFFSET(A$1,,,SUMPRODUCT(MAX(ROW(E$2:E4395)*(E4395=E$2:E4395)))))-COUNTBLANK(OFFSET(A$1,,,SUMPRODUCT(MAX(ROW(E$1:E4394)*(E2=E$1:E4394))))))</f>
        <v> </v>
      </c>
      <c r="K4395" s="26" t="str">
        <f>IF(OR(E4395="",E4395="!!!",F4395="NEW"),"",INDEX(J$1:J4394,SUMPRODUCT(MAX(ROW(E$1:E4394)*(E4395=E$1:E4394)))))</f>
        <v> </v>
      </c>
      <c r="L4395" s="27"/>
    </row>
    <row r="4396" spans="1:12">
      <c r="A4396" s="20" t="s">
        <v>1106</v>
      </c>
      <c r="E4396" s="22">
        <f>IF(D4396="?OLD","!!!","")</f>
        <v/>
      </c>
      <c r="F4396" s="23" t="str">
        <f>IF(OR(E4396="",E4396="!!!"),"",IF(NOT(ISNA(VLOOKUP(E4396,E$1:E4395,1,FALSE()))),"OLD",IF(AND(E4396&lt;&gt;"",E4396&lt;&gt;"!!!"),"NEW","")))</f>
        <v> </v>
      </c>
      <c r="G4396" s="24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5" t="str">
        <f>IF(J4396&lt;&gt;1,"",IF(I4396="SBJ","CB","?"))</f>
        <v> </v>
      </c>
      <c r="I4396" s="26" t="str">
        <f>IF(OR(E4396="",E4396="!!!",F4396="NEW"),"",INDEX(B4395:B$2,-1+SUMPRODUCT(MAX(ROW(E4395:E$2)*(E4396=E4395:E$2)))))</f>
        <v> </v>
      </c>
      <c r="J4396" s="26" t="str">
        <f>IF(OR(E4396="",E4396="!!!",F4396="NEW"),"",COUNTBLANK(OFFSET(A$1,,,SUMPRODUCT(MAX(ROW(E$2:E4396)*(E4396=E$2:E4396)))))-COUNTBLANK(OFFSET(A$1,,,SUMPRODUCT(MAX(ROW(E$1:E4395)*(E2=E$1:E4395))))))</f>
        <v> </v>
      </c>
      <c r="K4396" s="26" t="str">
        <f>IF(OR(E4396="",E4396="!!!",F4396="NEW"),"",INDEX(J$1:J4395,SUMPRODUCT(MAX(ROW(E$1:E4395)*(E4396=E$1:E4395)))))</f>
        <v> </v>
      </c>
      <c r="L4396" s="27"/>
    </row>
    <row r="4397" spans="1:12">
      <c r="A4397" s="20"/>
    </row>
    <row r="4398" spans="1:12">
      <c r="A4398" s="20" t="s">
        <v>2681</v>
      </c>
    </row>
    <row r="4399" spans="1:12">
      <c r="A4399" s="20" t="s">
        <v>1261</v>
      </c>
      <c r="E4399" s="22">
        <f>IF(D4399="?OLD","!!!","")</f>
        <v/>
      </c>
      <c r="F4399" s="23" t="str">
        <f>IF(OR(E4399="",E4399="!!!"),"",IF(NOT(ISNA(VLOOKUP(E4399,E$1:E4398,1,FALSE()))),"OLD",IF(AND(E4399&lt;&gt;"",E4399&lt;&gt;"!!!"),"NEW","")))</f>
        <v> </v>
      </c>
      <c r="G4399" s="24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5" t="str">
        <f>IF(J4399&lt;&gt;1,"",IF(I4399="SBJ","CB","?"))</f>
        <v> </v>
      </c>
      <c r="I4399" s="26" t="str">
        <f>IF(OR(E4399="",E4399="!!!",F4399="NEW"),"",INDEX(B4398:B$2,-1+SUMPRODUCT(MAX(ROW(E4398:E$2)*(E4399=E4398:E$2)))))</f>
        <v> </v>
      </c>
      <c r="J4399" s="26" t="str">
        <f>IF(OR(E4399="",E4399="!!!",F4399="NEW"),"",COUNTBLANK(OFFSET(A$1,,,SUMPRODUCT(MAX(ROW(E$2:E4399)*(E4399=E$2:E4399)))))-COUNTBLANK(OFFSET(A$1,,,SUMPRODUCT(MAX(ROW(E$1:E4398)*(E2=E$1:E4398))))))</f>
        <v> </v>
      </c>
      <c r="K4399" s="26" t="str">
        <f>IF(OR(E4399="",E4399="!!!",F4399="NEW"),"",INDEX(J$1:J4398,SUMPRODUCT(MAX(ROW(E$1:E4398)*(E4399=E$1:E4398)))))</f>
        <v> </v>
      </c>
      <c r="L4399" s="27"/>
    </row>
    <row r="4400" spans="1:12">
      <c r="A4400" s="20" t="s">
        <v>2682</v>
      </c>
      <c r="E4400" s="22">
        <f>IF(D4400="?OLD","!!!","")</f>
        <v/>
      </c>
      <c r="F4400" s="23" t="str">
        <f>IF(OR(E4400="",E4400="!!!"),"",IF(NOT(ISNA(VLOOKUP(E4400,E$1:E4399,1,FALSE()))),"OLD",IF(AND(E4400&lt;&gt;"",E4400&lt;&gt;"!!!"),"NEW","")))</f>
        <v> </v>
      </c>
      <c r="G4400" s="24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5" t="str">
        <f>IF(J4400&lt;&gt;1,"",IF(I4400="SBJ","CB","?"))</f>
        <v> </v>
      </c>
      <c r="I4400" s="26" t="str">
        <f>IF(OR(E4400="",E4400="!!!",F4400="NEW"),"",INDEX(B4399:B$2,-1+SUMPRODUCT(MAX(ROW(E4399:E$2)*(E4400=E4399:E$2)))))</f>
        <v> </v>
      </c>
      <c r="J4400" s="26" t="str">
        <f>IF(OR(E4400="",E4400="!!!",F4400="NEW"),"",COUNTBLANK(OFFSET(A$1,,,SUMPRODUCT(MAX(ROW(E$2:E4400)*(E4400=E$2:E4400)))))-COUNTBLANK(OFFSET(A$1,,,SUMPRODUCT(MAX(ROW(E$1:E4399)*(E2=E$1:E4399))))))</f>
        <v> </v>
      </c>
      <c r="K4400" s="26" t="str">
        <f>IF(OR(E4400="",E4400="!!!",F4400="NEW"),"",INDEX(J$1:J4399,SUMPRODUCT(MAX(ROW(E$1:E4399)*(E4400=E$1:E4399)))))</f>
        <v> </v>
      </c>
      <c r="L4400" s="27"/>
    </row>
    <row r="4401" spans="1:12">
      <c r="A4401" s="20" t="s">
        <v>1020</v>
      </c>
      <c r="B4401" s="21" t="s">
        <v>1109</v>
      </c>
      <c r="C4401" s="21" t="s">
        <v>1073</v>
      </c>
      <c r="D4401" s="21" t="s">
        <v>1074</v>
      </c>
      <c r="E4401" s="22">
        <f>IF(D4401="?OLD","!!!","")</f>
        <v/>
      </c>
      <c r="F4401" s="23" t="str">
        <f>IF(OR(E4401="",E4401="!!!"),"",IF(NOT(ISNA(VLOOKUP(E4401,E$1:E4400,1,FALSE()))),"OLD",IF(AND(E4401&lt;&gt;"",E4401&lt;&gt;"!!!"),"NEW","")))</f>
        <v> </v>
      </c>
      <c r="G4401" s="24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5" t="str">
        <f>IF(J4401&lt;&gt;1,"",IF(I4401="SBJ","CB","?"))</f>
        <v> </v>
      </c>
      <c r="I4401" s="26" t="str">
        <f>IF(OR(E4401="",E4401="!!!",F4401="NEW"),"",INDEX(B4400:B$2,-1+SUMPRODUCT(MAX(ROW(E4400:E$2)*(E4401=E4400:E$2)))))</f>
        <v> </v>
      </c>
      <c r="J4401" s="26" t="str">
        <f>IF(OR(E4401="",E4401="!!!",F4401="NEW"),"",COUNTBLANK(OFFSET(A$1,,,SUMPRODUCT(MAX(ROW(E$2:E4401)*(E4401=E$2:E4401)))))-COUNTBLANK(OFFSET(A$1,,,SUMPRODUCT(MAX(ROW(E$1:E4400)*(E2=E$1:E4400))))))</f>
        <v> </v>
      </c>
      <c r="K4401" s="26" t="str">
        <f>IF(OR(E4401="",E4401="!!!",F4401="NEW"),"",INDEX(J$1:J4400,SUMPRODUCT(MAX(ROW(E$1:E4400)*(E4401=E$1:E4400)))))</f>
        <v> </v>
      </c>
      <c r="L4401" s="27"/>
    </row>
    <row r="4402" spans="1:12">
      <c r="A4402" s="20" t="s">
        <v>1085</v>
      </c>
      <c r="E4402" s="22">
        <f>IF(D4402="?OLD","!!!","")</f>
        <v/>
      </c>
      <c r="F4402" s="23" t="str">
        <f>IF(OR(E4402="",E4402="!!!"),"",IF(NOT(ISNA(VLOOKUP(E4402,E$1:E4401,1,FALSE()))),"OLD",IF(AND(E4402&lt;&gt;"",E4402&lt;&gt;"!!!"),"NEW","")))</f>
        <v> </v>
      </c>
      <c r="G4402" s="24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5" t="str">
        <f>IF(J4402&lt;&gt;1,"",IF(I4402="SBJ","CB","?"))</f>
        <v> </v>
      </c>
      <c r="I4402" s="26" t="str">
        <f>IF(OR(E4402="",E4402="!!!",F4402="NEW"),"",INDEX(B4401:B$2,-1+SUMPRODUCT(MAX(ROW(E4401:E$2)*(E4402=E4401:E$2)))))</f>
        <v> </v>
      </c>
      <c r="J4402" s="26" t="str">
        <f>IF(OR(E4402="",E4402="!!!",F4402="NEW"),"",COUNTBLANK(OFFSET(A$1,,,SUMPRODUCT(MAX(ROW(E$2:E4402)*(E4402=E$2:E4402)))))-COUNTBLANK(OFFSET(A$1,,,SUMPRODUCT(MAX(ROW(E$1:E4401)*(E2=E$1:E4401))))))</f>
        <v> </v>
      </c>
      <c r="K4402" s="26" t="str">
        <f>IF(OR(E4402="",E4402="!!!",F4402="NEW"),"",INDEX(J$1:J4401,SUMPRODUCT(MAX(ROW(E$1:E4401)*(E4402=E$1:E4401)))))</f>
        <v> </v>
      </c>
      <c r="L4402" s="27"/>
    </row>
    <row r="4403" spans="1:12">
      <c r="A4403" s="20" t="s">
        <v>1079</v>
      </c>
      <c r="B4403" s="21" t="s">
        <v>1080</v>
      </c>
      <c r="C4403" s="21" t="s">
        <v>1081</v>
      </c>
      <c r="D4403" s="21" t="s">
        <v>1074</v>
      </c>
      <c r="E4403" s="22">
        <f>IF(D4403="?OLD","!!!","")</f>
        <v/>
      </c>
      <c r="F4403" s="23" t="str">
        <f>IF(OR(E4403="",E4403="!!!"),"",IF(NOT(ISNA(VLOOKUP(E4403,E$1:E4402,1,FALSE()))),"OLD",IF(AND(E4403&lt;&gt;"",E4403&lt;&gt;"!!!"),"NEW","")))</f>
        <v> </v>
      </c>
      <c r="G4403" s="24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5" t="str">
        <f>IF(J4403&lt;&gt;1,"",IF(I4403="SBJ","CB","?"))</f>
        <v> </v>
      </c>
      <c r="I4403" s="26" t="str">
        <f>IF(OR(E4403="",E4403="!!!",F4403="NEW"),"",INDEX(B4402:B$2,-1+SUMPRODUCT(MAX(ROW(E4402:E$2)*(E4403=E4402:E$2)))))</f>
        <v> </v>
      </c>
      <c r="J4403" s="26" t="str">
        <f>IF(OR(E4403="",E4403="!!!",F4403="NEW"),"",COUNTBLANK(OFFSET(A$1,,,SUMPRODUCT(MAX(ROW(E$2:E4403)*(E4403=E$2:E4403)))))-COUNTBLANK(OFFSET(A$1,,,SUMPRODUCT(MAX(ROW(E$1:E4402)*(E2=E$1:E4402))))))</f>
        <v> </v>
      </c>
      <c r="K4403" s="26" t="str">
        <f>IF(OR(E4403="",E4403="!!!",F4403="NEW"),"",INDEX(J$1:J4402,SUMPRODUCT(MAX(ROW(E$1:E4402)*(E4403=E$1:E4402)))))</f>
        <v> </v>
      </c>
      <c r="L4403" s="27"/>
    </row>
    <row r="4404" spans="1:12">
      <c r="A4404" s="20" t="s">
        <v>1493</v>
      </c>
      <c r="E4404" s="22">
        <f>IF(D4404="?OLD","!!!","")</f>
        <v/>
      </c>
      <c r="F4404" s="23" t="str">
        <f>IF(OR(E4404="",E4404="!!!"),"",IF(NOT(ISNA(VLOOKUP(E4404,E$1:E4403,1,FALSE()))),"OLD",IF(AND(E4404&lt;&gt;"",E4404&lt;&gt;"!!!"),"NEW","")))</f>
        <v> </v>
      </c>
      <c r="G4404" s="24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5" t="str">
        <f>IF(J4404&lt;&gt;1,"",IF(I4404="SBJ","CB","?"))</f>
        <v> </v>
      </c>
      <c r="I4404" s="26" t="str">
        <f>IF(OR(E4404="",E4404="!!!",F4404="NEW"),"",INDEX(B4403:B$2,-1+SUMPRODUCT(MAX(ROW(E4403:E$2)*(E4404=E4403:E$2)))))</f>
        <v> </v>
      </c>
      <c r="J4404" s="26" t="str">
        <f>IF(OR(E4404="",E4404="!!!",F4404="NEW"),"",COUNTBLANK(OFFSET(A$1,,,SUMPRODUCT(MAX(ROW(E$2:E4404)*(E4404=E$2:E4404)))))-COUNTBLANK(OFFSET(A$1,,,SUMPRODUCT(MAX(ROW(E$1:E4403)*(E2=E$1:E4403))))))</f>
        <v> </v>
      </c>
      <c r="K4404" s="26" t="str">
        <f>IF(OR(E4404="",E4404="!!!",F4404="NEW"),"",INDEX(J$1:J4403,SUMPRODUCT(MAX(ROW(E$1:E4403)*(E4404=E$1:E4403)))))</f>
        <v> </v>
      </c>
      <c r="L4404" s="27"/>
    </row>
    <row r="4405" spans="1:12">
      <c r="A4405" s="20" t="s">
        <v>2683</v>
      </c>
      <c r="E4405" s="22">
        <f>IF(D4405="?OLD","!!!","")</f>
        <v/>
      </c>
      <c r="F4405" s="23" t="str">
        <f>IF(OR(E4405="",E4405="!!!"),"",IF(NOT(ISNA(VLOOKUP(E4405,E$1:E4404,1,FALSE()))),"OLD",IF(AND(E4405&lt;&gt;"",E4405&lt;&gt;"!!!"),"NEW","")))</f>
        <v> </v>
      </c>
      <c r="G4405" s="24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5" t="str">
        <f>IF(J4405&lt;&gt;1,"",IF(I4405="SBJ","CB","?"))</f>
        <v> </v>
      </c>
      <c r="I4405" s="26" t="str">
        <f>IF(OR(E4405="",E4405="!!!",F4405="NEW"),"",INDEX(B4404:B$2,-1+SUMPRODUCT(MAX(ROW(E4404:E$2)*(E4405=E4404:E$2)))))</f>
        <v> </v>
      </c>
      <c r="J4405" s="26" t="str">
        <f>IF(OR(E4405="",E4405="!!!",F4405="NEW"),"",COUNTBLANK(OFFSET(A$1,,,SUMPRODUCT(MAX(ROW(E$2:E4405)*(E4405=E$2:E4405)))))-COUNTBLANK(OFFSET(A$1,,,SUMPRODUCT(MAX(ROW(E$1:E4404)*(E2=E$1:E4404))))))</f>
        <v> </v>
      </c>
      <c r="K4405" s="26" t="str">
        <f>IF(OR(E4405="",E4405="!!!",F4405="NEW"),"",INDEX(J$1:J4404,SUMPRODUCT(MAX(ROW(E$1:E4404)*(E4405=E$1:E4404)))))</f>
        <v> </v>
      </c>
      <c r="L4405" s="27"/>
    </row>
    <row r="4406" spans="1:12">
      <c r="A4406" s="20" t="s">
        <v>1251</v>
      </c>
      <c r="E4406" s="22">
        <f>IF(D4406="?OLD","!!!","")</f>
        <v/>
      </c>
      <c r="F4406" s="23" t="str">
        <f>IF(OR(E4406="",E4406="!!!"),"",IF(NOT(ISNA(VLOOKUP(E4406,E$1:E4405,1,FALSE()))),"OLD",IF(AND(E4406&lt;&gt;"",E4406&lt;&gt;"!!!"),"NEW","")))</f>
        <v> </v>
      </c>
      <c r="G4406" s="24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5" t="str">
        <f>IF(J4406&lt;&gt;1,"",IF(I4406="SBJ","CB","?"))</f>
        <v> </v>
      </c>
      <c r="I4406" s="26" t="str">
        <f>IF(OR(E4406="",E4406="!!!",F4406="NEW"),"",INDEX(B4405:B$2,-1+SUMPRODUCT(MAX(ROW(E4405:E$2)*(E4406=E4405:E$2)))))</f>
        <v> </v>
      </c>
      <c r="J4406" s="26" t="str">
        <f>IF(OR(E4406="",E4406="!!!",F4406="NEW"),"",COUNTBLANK(OFFSET(A$1,,,SUMPRODUCT(MAX(ROW(E$2:E4406)*(E4406=E$2:E4406)))))-COUNTBLANK(OFFSET(A$1,,,SUMPRODUCT(MAX(ROW(E$1:E4405)*(E2=E$1:E4405))))))</f>
        <v> </v>
      </c>
      <c r="K4406" s="26" t="str">
        <f>IF(OR(E4406="",E4406="!!!",F4406="NEW"),"",INDEX(J$1:J4405,SUMPRODUCT(MAX(ROW(E$1:E4405)*(E4406=E$1:E4405)))))</f>
        <v> </v>
      </c>
      <c r="L4406" s="27"/>
    </row>
    <row r="4407" spans="1:12">
      <c r="A4407" s="20" t="s">
        <v>1893</v>
      </c>
      <c r="B4407" s="21" t="s">
        <v>1180</v>
      </c>
      <c r="C4407" s="21" t="s">
        <v>1081</v>
      </c>
      <c r="D4407" s="21" t="s">
        <v>1074</v>
      </c>
      <c r="E4407" s="22">
        <f>IF(D4407="?OLD","!!!","")</f>
        <v/>
      </c>
      <c r="F4407" s="23" t="str">
        <f>IF(OR(E4407="",E4407="!!!"),"",IF(NOT(ISNA(VLOOKUP(E4407,E$1:E4406,1,FALSE()))),"OLD",IF(AND(E4407&lt;&gt;"",E4407&lt;&gt;"!!!"),"NEW","")))</f>
        <v> </v>
      </c>
      <c r="G4407" s="24" t="str">
        <f>IF(OR(E4407="",E4407="!!!"),"",IF(OR(J4407=0,AND(J4407=1,K4407=1),AND(J4407=1,I4407="SBJ"),AND(J4407=1,I4407=0)),"?IN_FOCUS",IF(J4407&lt;=2,"?ACTIVATED",IF(J4407&lt;&gt;"","?FAMILIAR",IF(F4407="NEW",IF(ISNA(VLOOKUP(E4407,#REF!,1,FALSE())),"?TYPE_IDENTIFIABLE","?REFERENTIAL"),"_")))))</f>
        <v> </v>
      </c>
      <c r="H4407" s="25" t="str">
        <f>IF(J4407&lt;&gt;1,"",IF(I4407="SBJ","CB","?"))</f>
        <v> </v>
      </c>
      <c r="I4407" s="26" t="str">
        <f>IF(OR(E4407="",E4407="!!!",F4407="NEW"),"",INDEX(B4406:B$2,-1+SUMPRODUCT(MAX(ROW(E4406:E$2)*(E4407=E4406:E$2)))))</f>
        <v> </v>
      </c>
      <c r="J4407" s="26" t="str">
        <f>IF(OR(E4407="",E4407="!!!",F4407="NEW"),"",COUNTBLANK(OFFSET(A$1,,,SUMPRODUCT(MAX(ROW(E$2:E4407)*(E4407=E$2:E4407)))))-COUNTBLANK(OFFSET(A$1,,,SUMPRODUCT(MAX(ROW(E$1:E4406)*(E2=E$1:E4406))))))</f>
        <v> </v>
      </c>
      <c r="K4407" s="26" t="str">
        <f>IF(OR(E4407="",E4407="!!!",F4407="NEW"),"",INDEX(J$1:J4406,SUMPRODUCT(MAX(ROW(E$1:E4406)*(E4407=E$1:E4406)))))</f>
        <v> </v>
      </c>
      <c r="L4407" s="27"/>
    </row>
    <row r="4408" spans="1:12">
      <c r="A4408" s="20" t="s">
        <v>51</v>
      </c>
      <c r="E4408" s="22">
        <f>IF(D4408="?OLD","!!!","")</f>
        <v/>
      </c>
      <c r="F4408" s="23" t="str">
        <f>IF(OR(E4408="",E4408="!!!"),"",IF(NOT(ISNA(VLOOKUP(E4408,E$1:E4407,1,FALSE()))),"OLD",IF(AND(E4408&lt;&gt;"",E4408&lt;&gt;"!!!"),"NEW","")))</f>
        <v> </v>
      </c>
      <c r="G4408" s="24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5" t="str">
        <f>IF(J4408&lt;&gt;1,"",IF(I4408="SBJ","CB","?"))</f>
        <v> </v>
      </c>
      <c r="I4408" s="26" t="str">
        <f>IF(OR(E4408="",E4408="!!!",F4408="NEW"),"",INDEX(B4407:B$2,-1+SUMPRODUCT(MAX(ROW(E4407:E$2)*(E4408=E4407:E$2)))))</f>
        <v> </v>
      </c>
      <c r="J4408" s="26" t="str">
        <f>IF(OR(E4408="",E4408="!!!",F4408="NEW"),"",COUNTBLANK(OFFSET(A$1,,,SUMPRODUCT(MAX(ROW(E$2:E4408)*(E4408=E$2:E4408)))))-COUNTBLANK(OFFSET(A$1,,,SUMPRODUCT(MAX(ROW(E$1:E4407)*(E2=E$1:E4407))))))</f>
        <v> </v>
      </c>
      <c r="K4408" s="26" t="str">
        <f>IF(OR(E4408="",E4408="!!!",F4408="NEW"),"",INDEX(J$1:J4407,SUMPRODUCT(MAX(ROW(E$1:E4407)*(E4408=E$1:E4407)))))</f>
        <v> </v>
      </c>
      <c r="L4408" s="27"/>
    </row>
    <row r="4409" spans="1:12">
      <c r="A4409" s="20" t="s">
        <v>1106</v>
      </c>
      <c r="E4409" s="22">
        <f>IF(D4409="?OLD","!!!","")</f>
        <v/>
      </c>
      <c r="F4409" s="23" t="str">
        <f>IF(OR(E4409="",E4409="!!!"),"",IF(NOT(ISNA(VLOOKUP(E4409,E$1:E4408,1,FALSE()))),"OLD",IF(AND(E4409&lt;&gt;"",E4409&lt;&gt;"!!!"),"NEW","")))</f>
        <v> </v>
      </c>
      <c r="G4409" s="24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5" t="str">
        <f>IF(J4409&lt;&gt;1,"",IF(I4409="SBJ","CB","?"))</f>
        <v> </v>
      </c>
      <c r="I4409" s="26" t="str">
        <f>IF(OR(E4409="",E4409="!!!",F4409="NEW"),"",INDEX(B4408:B$2,-1+SUMPRODUCT(MAX(ROW(E4408:E$2)*(E4409=E4408:E$2)))))</f>
        <v> </v>
      </c>
      <c r="J4409" s="26" t="str">
        <f>IF(OR(E4409="",E4409="!!!",F4409="NEW"),"",COUNTBLANK(OFFSET(A$1,,,SUMPRODUCT(MAX(ROW(E$2:E4409)*(E4409=E$2:E4409)))))-COUNTBLANK(OFFSET(A$1,,,SUMPRODUCT(MAX(ROW(E$1:E4408)*(E2=E$1:E4408))))))</f>
        <v> </v>
      </c>
      <c r="K4409" s="26" t="str">
        <f>IF(OR(E4409="",E4409="!!!",F4409="NEW"),"",INDEX(J$1:J4408,SUMPRODUCT(MAX(ROW(E$1:E4408)*(E4409=E$1:E4408)))))</f>
        <v> </v>
      </c>
      <c r="L4409" s="27"/>
    </row>
    <row r="4410" spans="1:12">
      <c r="A4410" s="20"/>
    </row>
    <row r="4411" spans="1:12">
      <c r="A4411" s="20" t="s">
        <v>2684</v>
      </c>
    </row>
    <row r="4412" spans="1:12">
      <c r="A4412" s="20" t="s">
        <v>1133</v>
      </c>
      <c r="B4412" s="21" t="s">
        <v>1109</v>
      </c>
      <c r="C4412" s="21" t="s">
        <v>1081</v>
      </c>
      <c r="D4412" s="21" t="s">
        <v>1074</v>
      </c>
      <c r="E4412" s="22">
        <f>IF(D4412="?OLD","!!!","")</f>
        <v/>
      </c>
      <c r="F4412" s="23" t="str">
        <f>IF(OR(E4412="",E4412="!!!"),"",IF(NOT(ISNA(VLOOKUP(E4412,E$1:E4411,1,FALSE()))),"OLD",IF(AND(E4412&lt;&gt;"",E4412&lt;&gt;"!!!"),"NEW","")))</f>
        <v> </v>
      </c>
      <c r="G4412" s="24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5" t="str">
        <f>IF(J4412&lt;&gt;1,"",IF(I4412="SBJ","CB","?"))</f>
        <v> </v>
      </c>
      <c r="I4412" s="26" t="str">
        <f>IF(OR(E4412="",E4412="!!!",F4412="NEW"),"",INDEX(B4411:B$2,-1+SUMPRODUCT(MAX(ROW(E4411:E$2)*(E4412=E4411:E$2)))))</f>
        <v> </v>
      </c>
      <c r="J4412" s="26" t="str">
        <f>IF(OR(E4412="",E4412="!!!",F4412="NEW"),"",COUNTBLANK(OFFSET(A$1,,,SUMPRODUCT(MAX(ROW(E$2:E4412)*(E4412=E$2:E4412)))))-COUNTBLANK(OFFSET(A$1,,,SUMPRODUCT(MAX(ROW(E$1:E4411)*(E2=E$1:E4411))))))</f>
        <v> </v>
      </c>
      <c r="K4412" s="26" t="str">
        <f>IF(OR(E4412="",E4412="!!!",F4412="NEW"),"",INDEX(J$1:J4411,SUMPRODUCT(MAX(ROW(E$1:E4411)*(E4412=E$1:E4411)))))</f>
        <v> </v>
      </c>
      <c r="L4412" s="27"/>
    </row>
    <row r="4413" spans="1:12">
      <c r="A4413" s="20" t="s">
        <v>2685</v>
      </c>
      <c r="E4413" s="22">
        <f>IF(D4413="?OLD","!!!","")</f>
        <v/>
      </c>
      <c r="F4413" s="23" t="str">
        <f>IF(OR(E4413="",E4413="!!!"),"",IF(NOT(ISNA(VLOOKUP(E4413,E$1:E4412,1,FALSE()))),"OLD",IF(AND(E4413&lt;&gt;"",E4413&lt;&gt;"!!!"),"NEW","")))</f>
        <v> </v>
      </c>
      <c r="G4413" s="24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5" t="str">
        <f>IF(J4413&lt;&gt;1,"",IF(I4413="SBJ","CB","?"))</f>
        <v> </v>
      </c>
      <c r="I4413" s="26" t="str">
        <f>IF(OR(E4413="",E4413="!!!",F4413="NEW"),"",INDEX(B4412:B$2,-1+SUMPRODUCT(MAX(ROW(E4412:E$2)*(E4413=E4412:E$2)))))</f>
        <v> </v>
      </c>
      <c r="J4413" s="26" t="str">
        <f>IF(OR(E4413="",E4413="!!!",F4413="NEW"),"",COUNTBLANK(OFFSET(A$1,,,SUMPRODUCT(MAX(ROW(E$2:E4413)*(E4413=E$2:E4413)))))-COUNTBLANK(OFFSET(A$1,,,SUMPRODUCT(MAX(ROW(E$1:E4412)*(E2=E$1:E4412))))))</f>
        <v> </v>
      </c>
      <c r="K4413" s="26" t="str">
        <f>IF(OR(E4413="",E4413="!!!",F4413="NEW"),"",INDEX(J$1:J4412,SUMPRODUCT(MAX(ROW(E$1:E4412)*(E4413=E$1:E4412)))))</f>
        <v> </v>
      </c>
      <c r="L4413" s="27"/>
    </row>
    <row r="4414" spans="1:12">
      <c r="A4414" s="20" t="s">
        <v>2686</v>
      </c>
      <c r="E4414" s="22">
        <f>IF(D4414="?OLD","!!!","")</f>
        <v/>
      </c>
      <c r="F4414" s="23" t="str">
        <f>IF(OR(E4414="",E4414="!!!"),"",IF(NOT(ISNA(VLOOKUP(E4414,E$1:E4413,1,FALSE()))),"OLD",IF(AND(E4414&lt;&gt;"",E4414&lt;&gt;"!!!"),"NEW","")))</f>
        <v> </v>
      </c>
      <c r="G4414" s="24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5" t="str">
        <f>IF(J4414&lt;&gt;1,"",IF(I4414="SBJ","CB","?"))</f>
        <v> </v>
      </c>
      <c r="I4414" s="26" t="str">
        <f>IF(OR(E4414="",E4414="!!!",F4414="NEW"),"",INDEX(B4413:B$2,-1+SUMPRODUCT(MAX(ROW(E4413:E$2)*(E4414=E4413:E$2)))))</f>
        <v> </v>
      </c>
      <c r="J4414" s="26" t="str">
        <f>IF(OR(E4414="",E4414="!!!",F4414="NEW"),"",COUNTBLANK(OFFSET(A$1,,,SUMPRODUCT(MAX(ROW(E$2:E4414)*(E4414=E$2:E4414)))))-COUNTBLANK(OFFSET(A$1,,,SUMPRODUCT(MAX(ROW(E$1:E4413)*(E2=E$1:E4413))))))</f>
        <v> </v>
      </c>
      <c r="K4414" s="26" t="str">
        <f>IF(OR(E4414="",E4414="!!!",F4414="NEW"),"",INDEX(J$1:J4413,SUMPRODUCT(MAX(ROW(E$1:E4413)*(E4414=E$1:E4413)))))</f>
        <v> </v>
      </c>
      <c r="L4414" s="27"/>
    </row>
    <row r="4415" spans="1:12">
      <c r="A4415" s="20" t="s">
        <v>2687</v>
      </c>
      <c r="B4415" s="21" t="s">
        <v>1227</v>
      </c>
      <c r="E4415" s="22">
        <f>IF(D4415="?OLD","!!!","")</f>
        <v/>
      </c>
      <c r="F4415" s="23" t="str">
        <f>IF(OR(E4415="",E4415="!!!"),"",IF(NOT(ISNA(VLOOKUP(E4415,E$1:E4414,1,FALSE()))),"OLD",IF(AND(E4415&lt;&gt;"",E4415&lt;&gt;"!!!"),"NEW","")))</f>
        <v> </v>
      </c>
      <c r="G4415" s="24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5" t="str">
        <f>IF(J4415&lt;&gt;1,"",IF(I4415="SBJ","CB","?"))</f>
        <v> </v>
      </c>
      <c r="I4415" s="26" t="str">
        <f>IF(OR(E4415="",E4415="!!!",F4415="NEW"),"",INDEX(B4414:B$2,-1+SUMPRODUCT(MAX(ROW(E4414:E$2)*(E4415=E4414:E$2)))))</f>
        <v> </v>
      </c>
      <c r="J4415" s="26" t="str">
        <f>IF(OR(E4415="",E4415="!!!",F4415="NEW"),"",COUNTBLANK(OFFSET(A$1,,,SUMPRODUCT(MAX(ROW(E$2:E4415)*(E4415=E$2:E4415)))))-COUNTBLANK(OFFSET(A$1,,,SUMPRODUCT(MAX(ROW(E$1:E4414)*(E2=E$1:E4414))))))</f>
        <v> </v>
      </c>
      <c r="K4415" s="26" t="str">
        <f>IF(OR(E4415="",E4415="!!!",F4415="NEW"),"",INDEX(J$1:J4414,SUMPRODUCT(MAX(ROW(E$1:E4414)*(E4415=E$1:E4414)))))</f>
        <v> </v>
      </c>
      <c r="L4415" s="27"/>
    </row>
    <row r="4416" spans="1:12">
      <c r="A4416" s="20" t="s">
        <v>1085</v>
      </c>
      <c r="E4416" s="22">
        <f>IF(D4416="?OLD","!!!","")</f>
        <v/>
      </c>
      <c r="F4416" s="23" t="str">
        <f>IF(OR(E4416="",E4416="!!!"),"",IF(NOT(ISNA(VLOOKUP(E4416,E$1:E4415,1,FALSE()))),"OLD",IF(AND(E4416&lt;&gt;"",E4416&lt;&gt;"!!!"),"NEW","")))</f>
        <v> </v>
      </c>
      <c r="G4416" s="24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5" t="str">
        <f>IF(J4416&lt;&gt;1,"",IF(I4416="SBJ","CB","?"))</f>
        <v> </v>
      </c>
      <c r="I4416" s="26" t="str">
        <f>IF(OR(E4416="",E4416="!!!",F4416="NEW"),"",INDEX(B4415:B$2,-1+SUMPRODUCT(MAX(ROW(E4415:E$2)*(E4416=E4415:E$2)))))</f>
        <v> </v>
      </c>
      <c r="J4416" s="26" t="str">
        <f>IF(OR(E4416="",E4416="!!!",F4416="NEW"),"",COUNTBLANK(OFFSET(A$1,,,SUMPRODUCT(MAX(ROW(E$2:E4416)*(E4416=E$2:E4416)))))-COUNTBLANK(OFFSET(A$1,,,SUMPRODUCT(MAX(ROW(E$1:E4415)*(E2=E$1:E4415))))))</f>
        <v> </v>
      </c>
      <c r="K4416" s="26" t="str">
        <f>IF(OR(E4416="",E4416="!!!",F4416="NEW"),"",INDEX(J$1:J4415,SUMPRODUCT(MAX(ROW(E$1:E4415)*(E4416=E$1:E4415)))))</f>
        <v> </v>
      </c>
      <c r="L4416" s="27"/>
    </row>
    <row r="4417" spans="1:12">
      <c r="A4417" s="20" t="s">
        <v>2244</v>
      </c>
      <c r="B4417" s="21" t="s">
        <v>1119</v>
      </c>
      <c r="C4417" s="21" t="s">
        <v>1181</v>
      </c>
      <c r="E4417" s="22">
        <f>IF(D4417="?OLD","!!!","")</f>
        <v/>
      </c>
      <c r="F4417" s="23" t="str">
        <f>IF(OR(E4417="",E4417="!!!"),"",IF(NOT(ISNA(VLOOKUP(E4417,E$1:E4416,1,FALSE()))),"OLD",IF(AND(E4417&lt;&gt;"",E4417&lt;&gt;"!!!"),"NEW","")))</f>
        <v> </v>
      </c>
      <c r="G4417" s="24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5" t="str">
        <f>IF(J4417&lt;&gt;1,"",IF(I4417="SBJ","CB","?"))</f>
        <v> </v>
      </c>
      <c r="I4417" s="26" t="str">
        <f>IF(OR(E4417="",E4417="!!!",F4417="NEW"),"",INDEX(B4416:B$2,-1+SUMPRODUCT(MAX(ROW(E4416:E$2)*(E4417=E4416:E$2)))))</f>
        <v> </v>
      </c>
      <c r="J4417" s="26" t="str">
        <f>IF(OR(E4417="",E4417="!!!",F4417="NEW"),"",COUNTBLANK(OFFSET(A$1,,,SUMPRODUCT(MAX(ROW(E$2:E4417)*(E4417=E$2:E4417)))))-COUNTBLANK(OFFSET(A$1,,,SUMPRODUCT(MAX(ROW(E$1:E4416)*(E2=E$1:E4416))))))</f>
        <v> </v>
      </c>
      <c r="K4417" s="26" t="str">
        <f>IF(OR(E4417="",E4417="!!!",F4417="NEW"),"",INDEX(J$1:J4416,SUMPRODUCT(MAX(ROW(E$1:E4416)*(E4417=E$1:E4416)))))</f>
        <v> </v>
      </c>
      <c r="L4417" s="27"/>
    </row>
    <row r="4418" spans="1:12">
      <c r="A4418" s="20" t="s">
        <v>1091</v>
      </c>
      <c r="E4418" s="22">
        <f>IF(D4418="?OLD","!!!","")</f>
        <v/>
      </c>
      <c r="F4418" s="23" t="str">
        <f>IF(OR(E4418="",E4418="!!!"),"",IF(NOT(ISNA(VLOOKUP(E4418,E$1:E4417,1,FALSE()))),"OLD",IF(AND(E4418&lt;&gt;"",E4418&lt;&gt;"!!!"),"NEW","")))</f>
        <v> </v>
      </c>
      <c r="G4418" s="24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5" t="str">
        <f>IF(J4418&lt;&gt;1,"",IF(I4418="SBJ","CB","?"))</f>
        <v> </v>
      </c>
      <c r="I4418" s="26" t="str">
        <f>IF(OR(E4418="",E4418="!!!",F4418="NEW"),"",INDEX(B4417:B$2,-1+SUMPRODUCT(MAX(ROW(E4417:E$2)*(E4418=E4417:E$2)))))</f>
        <v> </v>
      </c>
      <c r="J4418" s="26" t="str">
        <f>IF(OR(E4418="",E4418="!!!",F4418="NEW"),"",COUNTBLANK(OFFSET(A$1,,,SUMPRODUCT(MAX(ROW(E$2:E4418)*(E4418=E$2:E4418)))))-COUNTBLANK(OFFSET(A$1,,,SUMPRODUCT(MAX(ROW(E$1:E4417)*(E2=E$1:E4417))))))</f>
        <v> </v>
      </c>
      <c r="K4418" s="26" t="str">
        <f>IF(OR(E4418="",E4418="!!!",F4418="NEW"),"",INDEX(J$1:J4417,SUMPRODUCT(MAX(ROW(E$1:E4417)*(E4418=E$1:E4417)))))</f>
        <v> </v>
      </c>
      <c r="L4418" s="27"/>
    </row>
    <row r="4419" spans="1:12">
      <c r="A4419" s="20" t="s">
        <v>2688</v>
      </c>
      <c r="E4419" s="22">
        <f>IF(D4419="?OLD","!!!","")</f>
        <v/>
      </c>
      <c r="F4419" s="23" t="str">
        <f>IF(OR(E4419="",E4419="!!!"),"",IF(NOT(ISNA(VLOOKUP(E4419,E$1:E4418,1,FALSE()))),"OLD",IF(AND(E4419&lt;&gt;"",E4419&lt;&gt;"!!!"),"NEW","")))</f>
        <v> </v>
      </c>
      <c r="G4419" s="24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5" t="str">
        <f>IF(J4419&lt;&gt;1,"",IF(I4419="SBJ","CB","?"))</f>
        <v> </v>
      </c>
      <c r="I4419" s="26" t="str">
        <f>IF(OR(E4419="",E4419="!!!",F4419="NEW"),"",INDEX(B4418:B$2,-1+SUMPRODUCT(MAX(ROW(E4418:E$2)*(E4419=E4418:E$2)))))</f>
        <v> </v>
      </c>
      <c r="J4419" s="26" t="str">
        <f>IF(OR(E4419="",E4419="!!!",F4419="NEW"),"",COUNTBLANK(OFFSET(A$1,,,SUMPRODUCT(MAX(ROW(E$2:E4419)*(E4419=E$2:E4419)))))-COUNTBLANK(OFFSET(A$1,,,SUMPRODUCT(MAX(ROW(E$1:E4418)*(E2=E$1:E4418))))))</f>
        <v> </v>
      </c>
      <c r="K4419" s="26" t="str">
        <f>IF(OR(E4419="",E4419="!!!",F4419="NEW"),"",INDEX(J$1:J4418,SUMPRODUCT(MAX(ROW(E$1:E4418)*(E4419=E$1:E4418)))))</f>
        <v> </v>
      </c>
      <c r="L4419" s="27"/>
    </row>
    <row r="4420" spans="1:12">
      <c r="A4420" s="20" t="s">
        <v>2689</v>
      </c>
      <c r="E4420" s="22">
        <f>IF(D4420="?OLD","!!!","")</f>
        <v/>
      </c>
      <c r="F4420" s="23" t="str">
        <f>IF(OR(E4420="",E4420="!!!"),"",IF(NOT(ISNA(VLOOKUP(E4420,E$1:E4419,1,FALSE()))),"OLD",IF(AND(E4420&lt;&gt;"",E4420&lt;&gt;"!!!"),"NEW","")))</f>
        <v> </v>
      </c>
      <c r="G4420" s="24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5" t="str">
        <f>IF(J4420&lt;&gt;1,"",IF(I4420="SBJ","CB","?"))</f>
        <v> </v>
      </c>
      <c r="I4420" s="26" t="str">
        <f>IF(OR(E4420="",E4420="!!!",F4420="NEW"),"",INDEX(B4419:B$2,-1+SUMPRODUCT(MAX(ROW(E4419:E$2)*(E4420=E4419:E$2)))))</f>
        <v> </v>
      </c>
      <c r="J4420" s="26" t="str">
        <f>IF(OR(E4420="",E4420="!!!",F4420="NEW"),"",COUNTBLANK(OFFSET(A$1,,,SUMPRODUCT(MAX(ROW(E$2:E4420)*(E4420=E$2:E4420)))))-COUNTBLANK(OFFSET(A$1,,,SUMPRODUCT(MAX(ROW(E$1:E4419)*(E2=E$1:E4419))))))</f>
        <v> </v>
      </c>
      <c r="K4420" s="26" t="str">
        <f>IF(OR(E4420="",E4420="!!!",F4420="NEW"),"",INDEX(J$1:J4419,SUMPRODUCT(MAX(ROW(E$1:E4419)*(E4420=E$1:E4419)))))</f>
        <v> </v>
      </c>
      <c r="L4420" s="27"/>
    </row>
    <row r="4421" spans="1:12">
      <c r="A4421" s="20" t="s">
        <v>1098</v>
      </c>
      <c r="E4421" s="22">
        <f>IF(D4421="?OLD","!!!","")</f>
        <v/>
      </c>
      <c r="F4421" s="23" t="str">
        <f>IF(OR(E4421="",E4421="!!!"),"",IF(NOT(ISNA(VLOOKUP(E4421,E$1:E4420,1,FALSE()))),"OLD",IF(AND(E4421&lt;&gt;"",E4421&lt;&gt;"!!!"),"NEW","")))</f>
        <v> </v>
      </c>
      <c r="G4421" s="24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5" t="str">
        <f>IF(J4421&lt;&gt;1,"",IF(I4421="SBJ","CB","?"))</f>
        <v> </v>
      </c>
      <c r="I4421" s="26" t="str">
        <f>IF(OR(E4421="",E4421="!!!",F4421="NEW"),"",INDEX(B4420:B$2,-1+SUMPRODUCT(MAX(ROW(E4420:E$2)*(E4421=E4420:E$2)))))</f>
        <v> </v>
      </c>
      <c r="J4421" s="26" t="str">
        <f>IF(OR(E4421="",E4421="!!!",F4421="NEW"),"",COUNTBLANK(OFFSET(A$1,,,SUMPRODUCT(MAX(ROW(E$2:E4421)*(E4421=E$2:E4421)))))-COUNTBLANK(OFFSET(A$1,,,SUMPRODUCT(MAX(ROW(E$1:E4420)*(E2=E$1:E4420))))))</f>
        <v> </v>
      </c>
      <c r="K4421" s="26" t="str">
        <f>IF(OR(E4421="",E4421="!!!",F4421="NEW"),"",INDEX(J$1:J4420,SUMPRODUCT(MAX(ROW(E$1:E4420)*(E4421=E$1:E4420)))))</f>
        <v> </v>
      </c>
      <c r="L4421" s="27"/>
    </row>
    <row r="4422" spans="1:12">
      <c r="A4422" s="20" t="s">
        <v>1271</v>
      </c>
      <c r="B4422" s="21" t="s">
        <v>1115</v>
      </c>
      <c r="C4422" s="21" t="s">
        <v>1095</v>
      </c>
      <c r="D4422" s="21" t="s">
        <v>1074</v>
      </c>
      <c r="E4422" s="22">
        <f>IF(D4422="?OLD","!!!","")</f>
        <v/>
      </c>
      <c r="F4422" s="23" t="str">
        <f>IF(OR(E4422="",E4422="!!!"),"",IF(NOT(ISNA(VLOOKUP(E4422,E$1:E4421,1,FALSE()))),"OLD",IF(AND(E4422&lt;&gt;"",E4422&lt;&gt;"!!!"),"NEW","")))</f>
        <v> </v>
      </c>
      <c r="G4422" s="24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5" t="str">
        <f>IF(J4422&lt;&gt;1,"",IF(I4422="SBJ","CB","?"))</f>
        <v> </v>
      </c>
      <c r="I4422" s="26" t="str">
        <f>IF(OR(E4422="",E4422="!!!",F4422="NEW"),"",INDEX(B4421:B$2,-1+SUMPRODUCT(MAX(ROW(E4421:E$2)*(E4422=E4421:E$2)))))</f>
        <v> </v>
      </c>
      <c r="J4422" s="26" t="str">
        <f>IF(OR(E4422="",E4422="!!!",F4422="NEW"),"",COUNTBLANK(OFFSET(A$1,,,SUMPRODUCT(MAX(ROW(E$2:E4422)*(E4422=E$2:E4422)))))-COUNTBLANK(OFFSET(A$1,,,SUMPRODUCT(MAX(ROW(E$1:E4421)*(E2=E$1:E4421))))))</f>
        <v> </v>
      </c>
      <c r="K4422" s="26" t="str">
        <f>IF(OR(E4422="",E4422="!!!",F4422="NEW"),"",INDEX(J$1:J4421,SUMPRODUCT(MAX(ROW(E$1:E4421)*(E4422=E$1:E4421)))))</f>
        <v> </v>
      </c>
      <c r="L4422" s="27"/>
    </row>
    <row r="4423" spans="1:12">
      <c r="A4423" s="20" t="s">
        <v>1715</v>
      </c>
      <c r="E4423" s="22">
        <f>IF(D4423="?OLD","!!!","")</f>
        <v/>
      </c>
      <c r="F4423" s="23" t="str">
        <f>IF(OR(E4423="",E4423="!!!"),"",IF(NOT(ISNA(VLOOKUP(E4423,E$1:E4422,1,FALSE()))),"OLD",IF(AND(E4423&lt;&gt;"",E4423&lt;&gt;"!!!"),"NEW","")))</f>
        <v> </v>
      </c>
      <c r="G4423" s="24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5" t="str">
        <f>IF(J4423&lt;&gt;1,"",IF(I4423="SBJ","CB","?"))</f>
        <v> </v>
      </c>
      <c r="I4423" s="26" t="str">
        <f>IF(OR(E4423="",E4423="!!!",F4423="NEW"),"",INDEX(B4422:B$2,-1+SUMPRODUCT(MAX(ROW(E4422:E$2)*(E4423=E4422:E$2)))))</f>
        <v> </v>
      </c>
      <c r="J4423" s="26" t="str">
        <f>IF(OR(E4423="",E4423="!!!",F4423="NEW"),"",COUNTBLANK(OFFSET(A$1,,,SUMPRODUCT(MAX(ROW(E$2:E4423)*(E4423=E$2:E4423)))))-COUNTBLANK(OFFSET(A$1,,,SUMPRODUCT(MAX(ROW(E$1:E4422)*(E2=E$1:E4422))))))</f>
        <v> </v>
      </c>
      <c r="K4423" s="26" t="str">
        <f>IF(OR(E4423="",E4423="!!!",F4423="NEW"),"",INDEX(J$1:J4422,SUMPRODUCT(MAX(ROW(E$1:E4422)*(E4423=E$1:E4422)))))</f>
        <v> </v>
      </c>
      <c r="L4423" s="27"/>
    </row>
    <row r="4424" spans="1:12">
      <c r="A4424" s="20" t="s">
        <v>1106</v>
      </c>
      <c r="E4424" s="22">
        <f>IF(D4424="?OLD","!!!","")</f>
        <v/>
      </c>
      <c r="F4424" s="23" t="str">
        <f>IF(OR(E4424="",E4424="!!!"),"",IF(NOT(ISNA(VLOOKUP(E4424,E$1:E4423,1,FALSE()))),"OLD",IF(AND(E4424&lt;&gt;"",E4424&lt;&gt;"!!!"),"NEW","")))</f>
        <v> </v>
      </c>
      <c r="G4424" s="24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5" t="str">
        <f>IF(J4424&lt;&gt;1,"",IF(I4424="SBJ","CB","?"))</f>
        <v> </v>
      </c>
      <c r="I4424" s="26" t="str">
        <f>IF(OR(E4424="",E4424="!!!",F4424="NEW"),"",INDEX(B4423:B$2,-1+SUMPRODUCT(MAX(ROW(E4423:E$2)*(E4424=E4423:E$2)))))</f>
        <v> </v>
      </c>
      <c r="J4424" s="26" t="str">
        <f>IF(OR(E4424="",E4424="!!!",F4424="NEW"),"",COUNTBLANK(OFFSET(A$1,,,SUMPRODUCT(MAX(ROW(E$2:E4424)*(E4424=E$2:E4424)))))-COUNTBLANK(OFFSET(A$1,,,SUMPRODUCT(MAX(ROW(E$1:E4423)*(E2=E$1:E4423))))))</f>
        <v> </v>
      </c>
      <c r="K4424" s="26" t="str">
        <f>IF(OR(E4424="",E4424="!!!",F4424="NEW"),"",INDEX(J$1:J4423,SUMPRODUCT(MAX(ROW(E$1:E4423)*(E4424=E$1:E4423)))))</f>
        <v> </v>
      </c>
      <c r="L4424" s="27"/>
    </row>
    <row r="4425" spans="1:12">
      <c r="A4425" s="20"/>
    </row>
    <row r="4426" spans="1:12">
      <c r="A4426" s="20" t="s">
        <v>2690</v>
      </c>
    </row>
    <row r="4427" spans="1:12">
      <c r="A4427" s="20" t="s">
        <v>2379</v>
      </c>
      <c r="B4427" s="21" t="s">
        <v>1227</v>
      </c>
      <c r="C4427" s="21" t="s">
        <v>1081</v>
      </c>
      <c r="D4427" s="21" t="s">
        <v>1074</v>
      </c>
      <c r="E4427" s="22">
        <f>IF(D4427="?OLD","!!!","")</f>
        <v/>
      </c>
      <c r="F4427" s="23" t="str">
        <f>IF(OR(E4427="",E4427="!!!"),"",IF(NOT(ISNA(VLOOKUP(E4427,E$1:E4426,1,FALSE()))),"OLD",IF(AND(E4427&lt;&gt;"",E4427&lt;&gt;"!!!"),"NEW","")))</f>
        <v> </v>
      </c>
      <c r="G4427" s="24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5" t="str">
        <f>IF(J4427&lt;&gt;1,"",IF(I4427="SBJ","CB","?"))</f>
        <v> </v>
      </c>
      <c r="I4427" s="26" t="str">
        <f>IF(OR(E4427="",E4427="!!!",F4427="NEW"),"",INDEX(B4426:B$2,-1+SUMPRODUCT(MAX(ROW(E4426:E$2)*(E4427=E4426:E$2)))))</f>
        <v> </v>
      </c>
      <c r="J4427" s="26" t="str">
        <f>IF(OR(E4427="",E4427="!!!",F4427="NEW"),"",COUNTBLANK(OFFSET(A$1,,,SUMPRODUCT(MAX(ROW(E$2:E4427)*(E4427=E$2:E4427)))))-COUNTBLANK(OFFSET(A$1,,,SUMPRODUCT(MAX(ROW(E$1:E4426)*(E2=E$1:E4426))))))</f>
        <v> </v>
      </c>
      <c r="K4427" s="26" t="str">
        <f>IF(OR(E4427="",E4427="!!!",F4427="NEW"),"",INDEX(J$1:J4426,SUMPRODUCT(MAX(ROW(E$1:E4426)*(E4427=E$1:E4426)))))</f>
        <v> </v>
      </c>
      <c r="L4427" s="27"/>
    </row>
    <row r="4428" spans="1:12">
      <c r="A4428" s="20" t="s">
        <v>1493</v>
      </c>
      <c r="E4428" s="22">
        <f>IF(D4428="?OLD","!!!","")</f>
        <v/>
      </c>
      <c r="F4428" s="23" t="str">
        <f>IF(OR(E4428="",E4428="!!!"),"",IF(NOT(ISNA(VLOOKUP(E4428,E$1:E4427,1,FALSE()))),"OLD",IF(AND(E4428&lt;&gt;"",E4428&lt;&gt;"!!!"),"NEW","")))</f>
        <v> </v>
      </c>
      <c r="G4428" s="24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5" t="str">
        <f>IF(J4428&lt;&gt;1,"",IF(I4428="SBJ","CB","?"))</f>
        <v> </v>
      </c>
      <c r="I4428" s="26" t="str">
        <f>IF(OR(E4428="",E4428="!!!",F4428="NEW"),"",INDEX(B4427:B$2,-1+SUMPRODUCT(MAX(ROW(E4427:E$2)*(E4428=E4427:E$2)))))</f>
        <v> </v>
      </c>
      <c r="J4428" s="26" t="str">
        <f>IF(OR(E4428="",E4428="!!!",F4428="NEW"),"",COUNTBLANK(OFFSET(A$1,,,SUMPRODUCT(MAX(ROW(E$2:E4428)*(E4428=E$2:E4428)))))-COUNTBLANK(OFFSET(A$1,,,SUMPRODUCT(MAX(ROW(E$1:E4427)*(E2=E$1:E4427))))))</f>
        <v> </v>
      </c>
      <c r="K4428" s="26" t="str">
        <f>IF(OR(E4428="",E4428="!!!",F4428="NEW"),"",INDEX(J$1:J4427,SUMPRODUCT(MAX(ROW(E$1:E4427)*(E4428=E$1:E4427)))))</f>
        <v> </v>
      </c>
      <c r="L4428" s="27"/>
    </row>
    <row r="4429" spans="1:12">
      <c r="A4429" s="20" t="s">
        <v>2691</v>
      </c>
      <c r="E4429" s="22">
        <f>IF(D4429="?OLD","!!!","")</f>
        <v/>
      </c>
      <c r="F4429" s="23" t="str">
        <f>IF(OR(E4429="",E4429="!!!"),"",IF(NOT(ISNA(VLOOKUP(E4429,E$1:E4428,1,FALSE()))),"OLD",IF(AND(E4429&lt;&gt;"",E4429&lt;&gt;"!!!"),"NEW","")))</f>
        <v> </v>
      </c>
      <c r="G4429" s="24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5" t="str">
        <f>IF(J4429&lt;&gt;1,"",IF(I4429="SBJ","CB","?"))</f>
        <v> </v>
      </c>
      <c r="I4429" s="26" t="str">
        <f>IF(OR(E4429="",E4429="!!!",F4429="NEW"),"",INDEX(B4428:B$2,-1+SUMPRODUCT(MAX(ROW(E4428:E$2)*(E4429=E4428:E$2)))))</f>
        <v> </v>
      </c>
      <c r="J4429" s="26" t="str">
        <f>IF(OR(E4429="",E4429="!!!",F4429="NEW"),"",COUNTBLANK(OFFSET(A$1,,,SUMPRODUCT(MAX(ROW(E$2:E4429)*(E4429=E$2:E4429)))))-COUNTBLANK(OFFSET(A$1,,,SUMPRODUCT(MAX(ROW(E$1:E4428)*(E2=E$1:E4428))))))</f>
        <v> </v>
      </c>
      <c r="K4429" s="26" t="str">
        <f>IF(OR(E4429="",E4429="!!!",F4429="NEW"),"",INDEX(J$1:J4428,SUMPRODUCT(MAX(ROW(E$1:E4428)*(E4429=E$1:E4428)))))</f>
        <v> </v>
      </c>
      <c r="L4429" s="27"/>
    </row>
    <row r="4430" spans="1:12">
      <c r="A4430" s="20" t="s">
        <v>1031</v>
      </c>
      <c r="E4430" s="22">
        <f>IF(D4430="?OLD","!!!","")</f>
        <v/>
      </c>
      <c r="F4430" s="23" t="str">
        <f>IF(OR(E4430="",E4430="!!!"),"",IF(NOT(ISNA(VLOOKUP(E4430,E$1:E4429,1,FALSE()))),"OLD",IF(AND(E4430&lt;&gt;"",E4430&lt;&gt;"!!!"),"NEW","")))</f>
        <v> </v>
      </c>
      <c r="G4430" s="24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5" t="str">
        <f>IF(J4430&lt;&gt;1,"",IF(I4430="SBJ","CB","?"))</f>
        <v> </v>
      </c>
      <c r="I4430" s="26" t="str">
        <f>IF(OR(E4430="",E4430="!!!",F4430="NEW"),"",INDEX(B4429:B$2,-1+SUMPRODUCT(MAX(ROW(E4429:E$2)*(E4430=E4429:E$2)))))</f>
        <v> </v>
      </c>
      <c r="J4430" s="26" t="str">
        <f>IF(OR(E4430="",E4430="!!!",F4430="NEW"),"",COUNTBLANK(OFFSET(A$1,,,SUMPRODUCT(MAX(ROW(E$2:E4430)*(E4430=E$2:E4430)))))-COUNTBLANK(OFFSET(A$1,,,SUMPRODUCT(MAX(ROW(E$1:E4429)*(E2=E$1:E4429))))))</f>
        <v> </v>
      </c>
      <c r="K4430" s="26" t="str">
        <f>IF(OR(E4430="",E4430="!!!",F4430="NEW"),"",INDEX(J$1:J4429,SUMPRODUCT(MAX(ROW(E$1:E4429)*(E4430=E$1:E4429)))))</f>
        <v> </v>
      </c>
      <c r="L4430" s="27"/>
    </row>
    <row r="4431" spans="1:12">
      <c r="A4431" s="20" t="s">
        <v>1091</v>
      </c>
      <c r="E4431" s="22">
        <f>IF(D4431="?OLD","!!!","")</f>
        <v/>
      </c>
      <c r="F4431" s="23" t="str">
        <f>IF(OR(E4431="",E4431="!!!"),"",IF(NOT(ISNA(VLOOKUP(E4431,E$1:E4430,1,FALSE()))),"OLD",IF(AND(E4431&lt;&gt;"",E4431&lt;&gt;"!!!"),"NEW","")))</f>
        <v> </v>
      </c>
      <c r="G4431" s="24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5" t="str">
        <f>IF(J4431&lt;&gt;1,"",IF(I4431="SBJ","CB","?"))</f>
        <v> </v>
      </c>
      <c r="I4431" s="26" t="str">
        <f>IF(OR(E4431="",E4431="!!!",F4431="NEW"),"",INDEX(B4430:B$2,-1+SUMPRODUCT(MAX(ROW(E4430:E$2)*(E4431=E4430:E$2)))))</f>
        <v> </v>
      </c>
      <c r="J4431" s="26" t="str">
        <f>IF(OR(E4431="",E4431="!!!",F4431="NEW"),"",COUNTBLANK(OFFSET(A$1,,,SUMPRODUCT(MAX(ROW(E$2:E4431)*(E4431=E$2:E4431)))))-COUNTBLANK(OFFSET(A$1,,,SUMPRODUCT(MAX(ROW(E$1:E4430)*(E2=E$1:E4430))))))</f>
        <v> </v>
      </c>
      <c r="K4431" s="26" t="str">
        <f>IF(OR(E4431="",E4431="!!!",F4431="NEW"),"",INDEX(J$1:J4430,SUMPRODUCT(MAX(ROW(E$1:E4430)*(E4431=E$1:E4430)))))</f>
        <v> </v>
      </c>
      <c r="L4431" s="27"/>
    </row>
    <row r="4432" spans="1:12">
      <c r="A4432" s="20" t="s">
        <v>2692</v>
      </c>
      <c r="E4432" s="22">
        <f>IF(D4432="?OLD","!!!","")</f>
        <v/>
      </c>
      <c r="F4432" s="23" t="str">
        <f>IF(OR(E4432="",E4432="!!!"),"",IF(NOT(ISNA(VLOOKUP(E4432,E$1:E4431,1,FALSE()))),"OLD",IF(AND(E4432&lt;&gt;"",E4432&lt;&gt;"!!!"),"NEW","")))</f>
        <v> </v>
      </c>
      <c r="G4432" s="24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5" t="str">
        <f>IF(J4432&lt;&gt;1,"",IF(I4432="SBJ","CB","?"))</f>
        <v> </v>
      </c>
      <c r="I4432" s="26" t="str">
        <f>IF(OR(E4432="",E4432="!!!",F4432="NEW"),"",INDEX(B4431:B$2,-1+SUMPRODUCT(MAX(ROW(E4431:E$2)*(E4432=E4431:E$2)))))</f>
        <v> </v>
      </c>
      <c r="J4432" s="26" t="str">
        <f>IF(OR(E4432="",E4432="!!!",F4432="NEW"),"",COUNTBLANK(OFFSET(A$1,,,SUMPRODUCT(MAX(ROW(E$2:E4432)*(E4432=E$2:E4432)))))-COUNTBLANK(OFFSET(A$1,,,SUMPRODUCT(MAX(ROW(E$1:E4431)*(E2=E$1:E4431))))))</f>
        <v> </v>
      </c>
      <c r="K4432" s="26" t="str">
        <f>IF(OR(E4432="",E4432="!!!",F4432="NEW"),"",INDEX(J$1:J4431,SUMPRODUCT(MAX(ROW(E$1:E4431)*(E4432=E$1:E4431)))))</f>
        <v> </v>
      </c>
      <c r="L4432" s="27"/>
    </row>
    <row r="4433" spans="1:12">
      <c r="A4433" s="20" t="s">
        <v>1166</v>
      </c>
      <c r="E4433" s="22">
        <f>IF(D4433="?OLD","!!!","")</f>
        <v/>
      </c>
      <c r="F4433" s="23" t="str">
        <f>IF(OR(E4433="",E4433="!!!"),"",IF(NOT(ISNA(VLOOKUP(E4433,E$1:E4432,1,FALSE()))),"OLD",IF(AND(E4433&lt;&gt;"",E4433&lt;&gt;"!!!"),"NEW","")))</f>
        <v> </v>
      </c>
      <c r="G4433" s="24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5" t="str">
        <f>IF(J4433&lt;&gt;1,"",IF(I4433="SBJ","CB","?"))</f>
        <v> </v>
      </c>
      <c r="I4433" s="26" t="str">
        <f>IF(OR(E4433="",E4433="!!!",F4433="NEW"),"",INDEX(B4432:B$2,-1+SUMPRODUCT(MAX(ROW(E4432:E$2)*(E4433=E4432:E$2)))))</f>
        <v> </v>
      </c>
      <c r="J4433" s="26" t="str">
        <f>IF(OR(E4433="",E4433="!!!",F4433="NEW"),"",COUNTBLANK(OFFSET(A$1,,,SUMPRODUCT(MAX(ROW(E$2:E4433)*(E4433=E$2:E4433)))))-COUNTBLANK(OFFSET(A$1,,,SUMPRODUCT(MAX(ROW(E$1:E4432)*(E2=E$1:E4432))))))</f>
        <v> </v>
      </c>
      <c r="K4433" s="26" t="str">
        <f>IF(OR(E4433="",E4433="!!!",F4433="NEW"),"",INDEX(J$1:J4432,SUMPRODUCT(MAX(ROW(E$1:E4432)*(E4433=E$1:E4432)))))</f>
        <v> </v>
      </c>
      <c r="L4433" s="27"/>
    </row>
    <row r="4434" spans="1:12">
      <c r="A4434" s="20" t="s">
        <v>1106</v>
      </c>
      <c r="E4434" s="22">
        <f>IF(D4434="?OLD","!!!","")</f>
        <v/>
      </c>
      <c r="F4434" s="23" t="str">
        <f>IF(OR(E4434="",E4434="!!!"),"",IF(NOT(ISNA(VLOOKUP(E4434,E$1:E4433,1,FALSE()))),"OLD",IF(AND(E4434&lt;&gt;"",E4434&lt;&gt;"!!!"),"NEW","")))</f>
        <v> </v>
      </c>
      <c r="G4434" s="24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5" t="str">
        <f>IF(J4434&lt;&gt;1,"",IF(I4434="SBJ","CB","?"))</f>
        <v> </v>
      </c>
      <c r="I4434" s="26" t="str">
        <f>IF(OR(E4434="",E4434="!!!",F4434="NEW"),"",INDEX(B4433:B$2,-1+SUMPRODUCT(MAX(ROW(E4433:E$2)*(E4434=E4433:E$2)))))</f>
        <v> </v>
      </c>
      <c r="J4434" s="26" t="str">
        <f>IF(OR(E4434="",E4434="!!!",F4434="NEW"),"",COUNTBLANK(OFFSET(A$1,,,SUMPRODUCT(MAX(ROW(E$2:E4434)*(E4434=E$2:E4434)))))-COUNTBLANK(OFFSET(A$1,,,SUMPRODUCT(MAX(ROW(E$1:E4433)*(E2=E$1:E4433))))))</f>
        <v> </v>
      </c>
      <c r="K4434" s="26" t="str">
        <f>IF(OR(E4434="",E4434="!!!",F4434="NEW"),"",INDEX(J$1:J4433,SUMPRODUCT(MAX(ROW(E$1:E4433)*(E4434=E$1:E4433)))))</f>
        <v> </v>
      </c>
      <c r="L4434" s="27"/>
    </row>
    <row r="4435" spans="1:12">
      <c r="A4435" s="20"/>
    </row>
    <row r="4436" spans="1:12">
      <c r="A4436" s="20" t="s">
        <v>2693</v>
      </c>
    </row>
    <row r="4437" spans="1:12">
      <c r="A4437" s="20" t="s">
        <v>1375</v>
      </c>
      <c r="B4437" s="21" t="s">
        <v>1109</v>
      </c>
      <c r="C4437" s="21" t="s">
        <v>1154</v>
      </c>
      <c r="D4437" s="21" t="s">
        <v>1074</v>
      </c>
      <c r="E4437" s="22">
        <f>IF(D4437="?OLD","!!!","")</f>
        <v/>
      </c>
      <c r="F4437" s="23" t="str">
        <f>IF(OR(E4437="",E4437="!!!"),"",IF(NOT(ISNA(VLOOKUP(E4437,E$1:E4436,1,FALSE()))),"OLD",IF(AND(E4437&lt;&gt;"",E4437&lt;&gt;"!!!"),"NEW","")))</f>
        <v> </v>
      </c>
      <c r="G4437" s="24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5" t="str">
        <f>IF(J4437&lt;&gt;1,"",IF(I4437="SBJ","CB","?"))</f>
        <v> </v>
      </c>
      <c r="I4437" s="26" t="str">
        <f>IF(OR(E4437="",E4437="!!!",F4437="NEW"),"",INDEX(B4436:B$2,-1+SUMPRODUCT(MAX(ROW(E4436:E$2)*(E4437=E4436:E$2)))))</f>
        <v> </v>
      </c>
      <c r="J4437" s="26" t="str">
        <f>IF(OR(E4437="",E4437="!!!",F4437="NEW"),"",COUNTBLANK(OFFSET(A$1,,,SUMPRODUCT(MAX(ROW(E$2:E4437)*(E4437=E$2:E4437)))))-COUNTBLANK(OFFSET(A$1,,,SUMPRODUCT(MAX(ROW(E$1:E4436)*(E2=E$1:E4436))))))</f>
        <v> </v>
      </c>
      <c r="K4437" s="26" t="str">
        <f>IF(OR(E4437="",E4437="!!!",F4437="NEW"),"",INDEX(J$1:J4436,SUMPRODUCT(MAX(ROW(E$1:E4436)*(E4437=E$1:E4436)))))</f>
        <v> </v>
      </c>
      <c r="L4437" s="27"/>
    </row>
    <row r="4438" spans="1:12">
      <c r="A4438" s="20" t="s">
        <v>1493</v>
      </c>
      <c r="E4438" s="22">
        <f>IF(D4438="?OLD","!!!","")</f>
        <v/>
      </c>
      <c r="F4438" s="23" t="str">
        <f>IF(OR(E4438="",E4438="!!!"),"",IF(NOT(ISNA(VLOOKUP(E4438,E$1:E4437,1,FALSE()))),"OLD",IF(AND(E4438&lt;&gt;"",E4438&lt;&gt;"!!!"),"NEW","")))</f>
        <v> </v>
      </c>
      <c r="G4438" s="24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5" t="str">
        <f>IF(J4438&lt;&gt;1,"",IF(I4438="SBJ","CB","?"))</f>
        <v> </v>
      </c>
      <c r="I4438" s="26" t="str">
        <f>IF(OR(E4438="",E4438="!!!",F4438="NEW"),"",INDEX(B4437:B$2,-1+SUMPRODUCT(MAX(ROW(E4437:E$2)*(E4438=E4437:E$2)))))</f>
        <v> </v>
      </c>
      <c r="J4438" s="26" t="str">
        <f>IF(OR(E4438="",E4438="!!!",F4438="NEW"),"",COUNTBLANK(OFFSET(A$1,,,SUMPRODUCT(MAX(ROW(E$2:E4438)*(E4438=E$2:E4438)))))-COUNTBLANK(OFFSET(A$1,,,SUMPRODUCT(MAX(ROW(E$1:E4437)*(E2=E$1:E4437))))))</f>
        <v> </v>
      </c>
      <c r="K4438" s="26" t="str">
        <f>IF(OR(E4438="",E4438="!!!",F4438="NEW"),"",INDEX(J$1:J4437,SUMPRODUCT(MAX(ROW(E$1:E4437)*(E4438=E$1:E4437)))))</f>
        <v> </v>
      </c>
      <c r="L4438" s="27"/>
    </row>
    <row r="4439" spans="1:12">
      <c r="A4439" s="20" t="s">
        <v>2694</v>
      </c>
      <c r="E4439" s="22">
        <f>IF(D4439="?OLD","!!!","")</f>
        <v/>
      </c>
      <c r="F4439" s="23" t="str">
        <f>IF(OR(E4439="",E4439="!!!"),"",IF(NOT(ISNA(VLOOKUP(E4439,E$1:E4438,1,FALSE()))),"OLD",IF(AND(E4439&lt;&gt;"",E4439&lt;&gt;"!!!"),"NEW","")))</f>
        <v> </v>
      </c>
      <c r="G4439" s="24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5" t="str">
        <f>IF(J4439&lt;&gt;1,"",IF(I4439="SBJ","CB","?"))</f>
        <v> </v>
      </c>
      <c r="I4439" s="26" t="str">
        <f>IF(OR(E4439="",E4439="!!!",F4439="NEW"),"",INDEX(B4438:B$2,-1+SUMPRODUCT(MAX(ROW(E4438:E$2)*(E4439=E4438:E$2)))))</f>
        <v> </v>
      </c>
      <c r="J4439" s="26" t="str">
        <f>IF(OR(E4439="",E4439="!!!",F4439="NEW"),"",COUNTBLANK(OFFSET(A$1,,,SUMPRODUCT(MAX(ROW(E$2:E4439)*(E4439=E$2:E4439)))))-COUNTBLANK(OFFSET(A$1,,,SUMPRODUCT(MAX(ROW(E$1:E4438)*(E2=E$1:E4438))))))</f>
        <v> </v>
      </c>
      <c r="K4439" s="26" t="str">
        <f>IF(OR(E4439="",E4439="!!!",F4439="NEW"),"",INDEX(J$1:J4438,SUMPRODUCT(MAX(ROW(E$1:E4438)*(E4439=E$1:E4438)))))</f>
        <v> </v>
      </c>
      <c r="L4439" s="27"/>
    </row>
    <row r="4440" spans="1:12">
      <c r="A4440" s="20" t="s">
        <v>1251</v>
      </c>
      <c r="E4440" s="22">
        <f>IF(D4440="?OLD","!!!","")</f>
        <v/>
      </c>
      <c r="F4440" s="23" t="str">
        <f>IF(OR(E4440="",E4440="!!!"),"",IF(NOT(ISNA(VLOOKUP(E4440,E$1:E4439,1,FALSE()))),"OLD",IF(AND(E4440&lt;&gt;"",E4440&lt;&gt;"!!!"),"NEW","")))</f>
        <v> </v>
      </c>
      <c r="G4440" s="24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5" t="str">
        <f>IF(J4440&lt;&gt;1,"",IF(I4440="SBJ","CB","?"))</f>
        <v> </v>
      </c>
      <c r="I4440" s="26" t="str">
        <f>IF(OR(E4440="",E4440="!!!",F4440="NEW"),"",INDEX(B4439:B$2,-1+SUMPRODUCT(MAX(ROW(E4439:E$2)*(E4440=E4439:E$2)))))</f>
        <v> </v>
      </c>
      <c r="J4440" s="26" t="str">
        <f>IF(OR(E4440="",E4440="!!!",F4440="NEW"),"",COUNTBLANK(OFFSET(A$1,,,SUMPRODUCT(MAX(ROW(E$2:E4440)*(E4440=E$2:E4440)))))-COUNTBLANK(OFFSET(A$1,,,SUMPRODUCT(MAX(ROW(E$1:E4439)*(E2=E$1:E4439))))))</f>
        <v> </v>
      </c>
      <c r="K4440" s="26" t="str">
        <f>IF(OR(E4440="",E4440="!!!",F4440="NEW"),"",INDEX(J$1:J4439,SUMPRODUCT(MAX(ROW(E$1:E4439)*(E4440=E$1:E4439)))))</f>
        <v> </v>
      </c>
      <c r="L4440" s="27"/>
    </row>
    <row r="4441" spans="1:12">
      <c r="A4441" s="20" t="s">
        <v>2695</v>
      </c>
      <c r="B4441" s="21" t="s">
        <v>1180</v>
      </c>
      <c r="C4441" s="21" t="s">
        <v>1095</v>
      </c>
      <c r="D4441" s="21" t="s">
        <v>1074</v>
      </c>
      <c r="E4441" s="22">
        <f>IF(D4441="?OLD","!!!","")</f>
        <v/>
      </c>
      <c r="F4441" s="23" t="str">
        <f>IF(OR(E4441="",E4441="!!!"),"",IF(NOT(ISNA(VLOOKUP(E4441,E$1:E4440,1,FALSE()))),"OLD",IF(AND(E4441&lt;&gt;"",E4441&lt;&gt;"!!!"),"NEW","")))</f>
        <v> </v>
      </c>
      <c r="G4441" s="24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5" t="str">
        <f>IF(J4441&lt;&gt;1,"",IF(I4441="SBJ","CB","?"))</f>
        <v> </v>
      </c>
      <c r="I4441" s="26" t="str">
        <f>IF(OR(E4441="",E4441="!!!",F4441="NEW"),"",INDEX(B4440:B$2,-1+SUMPRODUCT(MAX(ROW(E4440:E$2)*(E4441=E4440:E$2)))))</f>
        <v> </v>
      </c>
      <c r="J4441" s="26" t="str">
        <f>IF(OR(E4441="",E4441="!!!",F4441="NEW"),"",COUNTBLANK(OFFSET(A$1,,,SUMPRODUCT(MAX(ROW(E$2:E4441)*(E4441=E$2:E4441)))))-COUNTBLANK(OFFSET(A$1,,,SUMPRODUCT(MAX(ROW(E$1:E4440)*(E2=E$1:E4440))))))</f>
        <v> </v>
      </c>
      <c r="K4441" s="26" t="str">
        <f>IF(OR(E4441="",E4441="!!!",F4441="NEW"),"",INDEX(J$1:J4440,SUMPRODUCT(MAX(ROW(E$1:E4440)*(E4441=E$1:E4440)))))</f>
        <v> </v>
      </c>
      <c r="L4441" s="27"/>
    </row>
    <row r="4442" spans="1:12">
      <c r="A4442" s="20" t="s">
        <v>2051</v>
      </c>
      <c r="E4442" s="22">
        <f>IF(D4442="?OLD","!!!","")</f>
        <v/>
      </c>
      <c r="F4442" s="23" t="str">
        <f>IF(OR(E4442="",E4442="!!!"),"",IF(NOT(ISNA(VLOOKUP(E4442,E$1:E4441,1,FALSE()))),"OLD",IF(AND(E4442&lt;&gt;"",E4442&lt;&gt;"!!!"),"NEW","")))</f>
        <v> </v>
      </c>
      <c r="G4442" s="24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5" t="str">
        <f>IF(J4442&lt;&gt;1,"",IF(I4442="SBJ","CB","?"))</f>
        <v> </v>
      </c>
      <c r="I4442" s="26" t="str">
        <f>IF(OR(E4442="",E4442="!!!",F4442="NEW"),"",INDEX(B4441:B$2,-1+SUMPRODUCT(MAX(ROW(E4441:E$2)*(E4442=E4441:E$2)))))</f>
        <v> </v>
      </c>
      <c r="J4442" s="26" t="str">
        <f>IF(OR(E4442="",E4442="!!!",F4442="NEW"),"",COUNTBLANK(OFFSET(A$1,,,SUMPRODUCT(MAX(ROW(E$2:E4442)*(E4442=E$2:E4442)))))-COUNTBLANK(OFFSET(A$1,,,SUMPRODUCT(MAX(ROW(E$1:E4441)*(E2=E$1:E4441))))))</f>
        <v> </v>
      </c>
      <c r="K4442" s="26" t="str">
        <f>IF(OR(E4442="",E4442="!!!",F4442="NEW"),"",INDEX(J$1:J4441,SUMPRODUCT(MAX(ROW(E$1:E4441)*(E4442=E$1:E4441)))))</f>
        <v> </v>
      </c>
      <c r="L4442" s="27"/>
    </row>
    <row r="4443" spans="1:12">
      <c r="A4443" s="20" t="s">
        <v>1085</v>
      </c>
      <c r="E4443" s="22">
        <f>IF(D4443="?OLD","!!!","")</f>
        <v/>
      </c>
      <c r="F4443" s="23" t="str">
        <f>IF(OR(E4443="",E4443="!!!"),"",IF(NOT(ISNA(VLOOKUP(E4443,E$1:E4442,1,FALSE()))),"OLD",IF(AND(E4443&lt;&gt;"",E4443&lt;&gt;"!!!"),"NEW","")))</f>
        <v> </v>
      </c>
      <c r="G4443" s="24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5" t="str">
        <f>IF(J4443&lt;&gt;1,"",IF(I4443="SBJ","CB","?"))</f>
        <v> </v>
      </c>
      <c r="I4443" s="26" t="str">
        <f>IF(OR(E4443="",E4443="!!!",F4443="NEW"),"",INDEX(B4442:B$2,-1+SUMPRODUCT(MAX(ROW(E4442:E$2)*(E4443=E4442:E$2)))))</f>
        <v> </v>
      </c>
      <c r="J4443" s="26" t="str">
        <f>IF(OR(E4443="",E4443="!!!",F4443="NEW"),"",COUNTBLANK(OFFSET(A$1,,,SUMPRODUCT(MAX(ROW(E$2:E4443)*(E4443=E$2:E4443)))))-COUNTBLANK(OFFSET(A$1,,,SUMPRODUCT(MAX(ROW(E$1:E4442)*(E2=E$1:E4442))))))</f>
        <v> </v>
      </c>
      <c r="K4443" s="26" t="str">
        <f>IF(OR(E4443="",E4443="!!!",F4443="NEW"),"",INDEX(J$1:J4442,SUMPRODUCT(MAX(ROW(E$1:E4442)*(E4443=E$1:E4442)))))</f>
        <v> </v>
      </c>
      <c r="L4443" s="27"/>
    </row>
    <row r="4444" spans="1:12">
      <c r="A4444" s="20" t="s">
        <v>1086</v>
      </c>
      <c r="E4444" s="22">
        <f>IF(D4444="?OLD","!!!","")</f>
        <v/>
      </c>
      <c r="F4444" s="23" t="str">
        <f>IF(OR(E4444="",E4444="!!!"),"",IF(NOT(ISNA(VLOOKUP(E4444,E$1:E4443,1,FALSE()))),"OLD",IF(AND(E4444&lt;&gt;"",E4444&lt;&gt;"!!!"),"NEW","")))</f>
        <v> </v>
      </c>
      <c r="G4444" s="24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5" t="str">
        <f>IF(J4444&lt;&gt;1,"",IF(I4444="SBJ","CB","?"))</f>
        <v> </v>
      </c>
      <c r="I4444" s="26" t="str">
        <f>IF(OR(E4444="",E4444="!!!",F4444="NEW"),"",INDEX(B4443:B$2,-1+SUMPRODUCT(MAX(ROW(E4443:E$2)*(E4444=E4443:E$2)))))</f>
        <v> </v>
      </c>
      <c r="J4444" s="26" t="str">
        <f>IF(OR(E4444="",E4444="!!!",F4444="NEW"),"",COUNTBLANK(OFFSET(A$1,,,SUMPRODUCT(MAX(ROW(E$2:E4444)*(E4444=E$2:E4444)))))-COUNTBLANK(OFFSET(A$1,,,SUMPRODUCT(MAX(ROW(E$1:E4443)*(E2=E$1:E4443))))))</f>
        <v> </v>
      </c>
      <c r="K4444" s="26" t="str">
        <f>IF(OR(E4444="",E4444="!!!",F4444="NEW"),"",INDEX(J$1:J4443,SUMPRODUCT(MAX(ROW(E$1:E4443)*(E4444=E$1:E4443)))))</f>
        <v> </v>
      </c>
      <c r="L4444" s="27"/>
    </row>
    <row r="4445" spans="1:12">
      <c r="A4445" s="20" t="s">
        <v>1188</v>
      </c>
      <c r="B4445" s="21" t="s">
        <v>1077</v>
      </c>
      <c r="E4445" s="22">
        <f>IF(D4445="?OLD","!!!","")</f>
        <v/>
      </c>
      <c r="F4445" s="23" t="str">
        <f>IF(OR(E4445="",E4445="!!!"),"",IF(NOT(ISNA(VLOOKUP(E4445,E$1:E4444,1,FALSE()))),"OLD",IF(AND(E4445&lt;&gt;"",E4445&lt;&gt;"!!!"),"NEW","")))</f>
        <v> </v>
      </c>
      <c r="G4445" s="24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5" t="str">
        <f>IF(J4445&lt;&gt;1,"",IF(I4445="SBJ","CB","?"))</f>
        <v> </v>
      </c>
      <c r="I4445" s="26" t="str">
        <f>IF(OR(E4445="",E4445="!!!",F4445="NEW"),"",INDEX(B4444:B$2,-1+SUMPRODUCT(MAX(ROW(E4444:E$2)*(E4445=E4444:E$2)))))</f>
        <v> </v>
      </c>
      <c r="J4445" s="26" t="str">
        <f>IF(OR(E4445="",E4445="!!!",F4445="NEW"),"",COUNTBLANK(OFFSET(A$1,,,SUMPRODUCT(MAX(ROW(E$2:E4445)*(E4445=E$2:E4445)))))-COUNTBLANK(OFFSET(A$1,,,SUMPRODUCT(MAX(ROW(E$1:E4444)*(E2=E$1:E4444))))))</f>
        <v> </v>
      </c>
      <c r="K4445" s="26" t="str">
        <f>IF(OR(E4445="",E4445="!!!",F4445="NEW"),"",INDEX(J$1:J4444,SUMPRODUCT(MAX(ROW(E$1:E4444)*(E4445=E$1:E4444)))))</f>
        <v> </v>
      </c>
      <c r="L4445" s="27"/>
    </row>
    <row r="4446" spans="1:12">
      <c r="A4446" s="20" t="s">
        <v>1083</v>
      </c>
      <c r="E4446" s="22">
        <f>IF(D4446="?OLD","!!!","")</f>
        <v/>
      </c>
      <c r="F4446" s="23" t="str">
        <f>IF(OR(E4446="",E4446="!!!"),"",IF(NOT(ISNA(VLOOKUP(E4446,E$1:E4445,1,FALSE()))),"OLD",IF(AND(E4446&lt;&gt;"",E4446&lt;&gt;"!!!"),"NEW","")))</f>
        <v> </v>
      </c>
      <c r="G4446" s="24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5" t="str">
        <f>IF(J4446&lt;&gt;1,"",IF(I4446="SBJ","CB","?"))</f>
        <v> </v>
      </c>
      <c r="I4446" s="26" t="str">
        <f>IF(OR(E4446="",E4446="!!!",F4446="NEW"),"",INDEX(B4445:B$2,-1+SUMPRODUCT(MAX(ROW(E4445:E$2)*(E4446=E4445:E$2)))))</f>
        <v> </v>
      </c>
      <c r="J4446" s="26" t="str">
        <f>IF(OR(E4446="",E4446="!!!",F4446="NEW"),"",COUNTBLANK(OFFSET(A$1,,,SUMPRODUCT(MAX(ROW(E$2:E4446)*(E4446=E$2:E4446)))))-COUNTBLANK(OFFSET(A$1,,,SUMPRODUCT(MAX(ROW(E$1:E4445)*(E2=E$1:E4445))))))</f>
        <v> </v>
      </c>
      <c r="K4446" s="26" t="str">
        <f>IF(OR(E4446="",E4446="!!!",F4446="NEW"),"",INDEX(J$1:J4445,SUMPRODUCT(MAX(ROW(E$1:E4445)*(E4446=E$1:E4445)))))</f>
        <v> </v>
      </c>
      <c r="L4446" s="27"/>
    </row>
    <row r="4447" spans="1:12">
      <c r="A4447" s="20" t="s">
        <v>2049</v>
      </c>
      <c r="E4447" s="22">
        <f>IF(D4447="?OLD","!!!","")</f>
        <v/>
      </c>
      <c r="F4447" s="23" t="str">
        <f>IF(OR(E4447="",E4447="!!!"),"",IF(NOT(ISNA(VLOOKUP(E4447,E$1:E4446,1,FALSE()))),"OLD",IF(AND(E4447&lt;&gt;"",E4447&lt;&gt;"!!!"),"NEW","")))</f>
        <v> </v>
      </c>
      <c r="G4447" s="24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5" t="str">
        <f>IF(J4447&lt;&gt;1,"",IF(I4447="SBJ","CB","?"))</f>
        <v> </v>
      </c>
      <c r="I4447" s="26" t="str">
        <f>IF(OR(E4447="",E4447="!!!",F4447="NEW"),"",INDEX(B4446:B$2,-1+SUMPRODUCT(MAX(ROW(E4446:E$2)*(E4447=E4446:E$2)))))</f>
        <v> </v>
      </c>
      <c r="J4447" s="26" t="str">
        <f>IF(OR(E4447="",E4447="!!!",F4447="NEW"),"",COUNTBLANK(OFFSET(A$1,,,SUMPRODUCT(MAX(ROW(E$2:E4447)*(E4447=E$2:E4447)))))-COUNTBLANK(OFFSET(A$1,,,SUMPRODUCT(MAX(ROW(E$1:E4446)*(E2=E$1:E4446))))))</f>
        <v> </v>
      </c>
      <c r="K4447" s="26" t="str">
        <f>IF(OR(E4447="",E4447="!!!",F4447="NEW"),"",INDEX(J$1:J4446,SUMPRODUCT(MAX(ROW(E$1:E4446)*(E4447=E$1:E4446)))))</f>
        <v> </v>
      </c>
      <c r="L4447" s="27"/>
    </row>
    <row r="4448" spans="1:12">
      <c r="A4448" s="20" t="s">
        <v>1085</v>
      </c>
      <c r="E4448" s="22">
        <f>IF(D4448="?OLD","!!!","")</f>
        <v/>
      </c>
      <c r="F4448" s="23" t="str">
        <f>IF(OR(E4448="",E4448="!!!"),"",IF(NOT(ISNA(VLOOKUP(E4448,E$1:E4447,1,FALSE()))),"OLD",IF(AND(E4448&lt;&gt;"",E4448&lt;&gt;"!!!"),"NEW","")))</f>
        <v> </v>
      </c>
      <c r="G4448" s="24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5" t="str">
        <f>IF(J4448&lt;&gt;1,"",IF(I4448="SBJ","CB","?"))</f>
        <v> </v>
      </c>
      <c r="I4448" s="26" t="str">
        <f>IF(OR(E4448="",E4448="!!!",F4448="NEW"),"",INDEX(B4447:B$2,-1+SUMPRODUCT(MAX(ROW(E4447:E$2)*(E4448=E4447:E$2)))))</f>
        <v> </v>
      </c>
      <c r="J4448" s="26" t="str">
        <f>IF(OR(E4448="",E4448="!!!",F4448="NEW"),"",COUNTBLANK(OFFSET(A$1,,,SUMPRODUCT(MAX(ROW(E$2:E4448)*(E4448=E$2:E4448)))))-COUNTBLANK(OFFSET(A$1,,,SUMPRODUCT(MAX(ROW(E$1:E4447)*(E2=E$1:E4447))))))</f>
        <v> </v>
      </c>
      <c r="K4448" s="26" t="str">
        <f>IF(OR(E4448="",E4448="!!!",F4448="NEW"),"",INDEX(J$1:J4447,SUMPRODUCT(MAX(ROW(E$1:E4447)*(E4448=E$1:E4447)))))</f>
        <v> </v>
      </c>
      <c r="L4448" s="27"/>
    </row>
    <row r="4449" spans="1:12">
      <c r="A4449" s="20" t="s">
        <v>1091</v>
      </c>
      <c r="E4449" s="22">
        <f>IF(D4449="?OLD","!!!","")</f>
        <v/>
      </c>
      <c r="F4449" s="23" t="str">
        <f>IF(OR(E4449="",E4449="!!!"),"",IF(NOT(ISNA(VLOOKUP(E4449,E$1:E4448,1,FALSE()))),"OLD",IF(AND(E4449&lt;&gt;"",E4449&lt;&gt;"!!!"),"NEW","")))</f>
        <v> </v>
      </c>
      <c r="G4449" s="24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5" t="str">
        <f>IF(J4449&lt;&gt;1,"",IF(I4449="SBJ","CB","?"))</f>
        <v> </v>
      </c>
      <c r="I4449" s="26" t="str">
        <f>IF(OR(E4449="",E4449="!!!",F4449="NEW"),"",INDEX(B4448:B$2,-1+SUMPRODUCT(MAX(ROW(E4448:E$2)*(E4449=E4448:E$2)))))</f>
        <v> </v>
      </c>
      <c r="J4449" s="26" t="str">
        <f>IF(OR(E4449="",E4449="!!!",F4449="NEW"),"",COUNTBLANK(OFFSET(A$1,,,SUMPRODUCT(MAX(ROW(E$2:E4449)*(E4449=E$2:E4449)))))-COUNTBLANK(OFFSET(A$1,,,SUMPRODUCT(MAX(ROW(E$1:E4448)*(E2=E$1:E4448))))))</f>
        <v> </v>
      </c>
      <c r="K4449" s="26" t="str">
        <f>IF(OR(E4449="",E4449="!!!",F4449="NEW"),"",INDEX(J$1:J4448,SUMPRODUCT(MAX(ROW(E$1:E4448)*(E4449=E$1:E4448)))))</f>
        <v> </v>
      </c>
      <c r="L4449" s="27"/>
    </row>
    <row r="4450" spans="1:12">
      <c r="A4450" s="20" t="s">
        <v>1360</v>
      </c>
      <c r="E4450" s="22">
        <f>IF(D4450="?OLD","!!!","")</f>
        <v/>
      </c>
      <c r="F4450" s="23" t="str">
        <f>IF(OR(E4450="",E4450="!!!"),"",IF(NOT(ISNA(VLOOKUP(E4450,E$1:E4449,1,FALSE()))),"OLD",IF(AND(E4450&lt;&gt;"",E4450&lt;&gt;"!!!"),"NEW","")))</f>
        <v> </v>
      </c>
      <c r="G4450" s="24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5" t="str">
        <f>IF(J4450&lt;&gt;1,"",IF(I4450="SBJ","CB","?"))</f>
        <v> </v>
      </c>
      <c r="I4450" s="26" t="str">
        <f>IF(OR(E4450="",E4450="!!!",F4450="NEW"),"",INDEX(B4449:B$2,-1+SUMPRODUCT(MAX(ROW(E4449:E$2)*(E4450=E4449:E$2)))))</f>
        <v> </v>
      </c>
      <c r="J4450" s="26" t="str">
        <f>IF(OR(E4450="",E4450="!!!",F4450="NEW"),"",COUNTBLANK(OFFSET(A$1,,,SUMPRODUCT(MAX(ROW(E$2:E4450)*(E4450=E$2:E4450)))))-COUNTBLANK(OFFSET(A$1,,,SUMPRODUCT(MAX(ROW(E$1:E4449)*(E2=E$1:E4449))))))</f>
        <v> </v>
      </c>
      <c r="K4450" s="26" t="str">
        <f>IF(OR(E4450="",E4450="!!!",F4450="NEW"),"",INDEX(J$1:J4449,SUMPRODUCT(MAX(ROW(E$1:E4449)*(E4450=E$1:E4449)))))</f>
        <v> </v>
      </c>
      <c r="L4450" s="27"/>
    </row>
    <row r="4451" spans="1:12">
      <c r="A4451" s="20" t="s">
        <v>1218</v>
      </c>
      <c r="E4451" s="22">
        <f>IF(D4451="?OLD","!!!","")</f>
        <v/>
      </c>
      <c r="F4451" s="23" t="str">
        <f>IF(OR(E4451="",E4451="!!!"),"",IF(NOT(ISNA(VLOOKUP(E4451,E$1:E4450,1,FALSE()))),"OLD",IF(AND(E4451&lt;&gt;"",E4451&lt;&gt;"!!!"),"NEW","")))</f>
        <v> </v>
      </c>
      <c r="G4451" s="24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5" t="str">
        <f>IF(J4451&lt;&gt;1,"",IF(I4451="SBJ","CB","?"))</f>
        <v> </v>
      </c>
      <c r="I4451" s="26" t="str">
        <f>IF(OR(E4451="",E4451="!!!",F4451="NEW"),"",INDEX(B4450:B$2,-1+SUMPRODUCT(MAX(ROW(E4450:E$2)*(E4451=E4450:E$2)))))</f>
        <v> </v>
      </c>
      <c r="J4451" s="26" t="str">
        <f>IF(OR(E4451="",E4451="!!!",F4451="NEW"),"",COUNTBLANK(OFFSET(A$1,,,SUMPRODUCT(MAX(ROW(E$2:E4451)*(E4451=E$2:E4451)))))-COUNTBLANK(OFFSET(A$1,,,SUMPRODUCT(MAX(ROW(E$1:E4450)*(E2=E$1:E4450))))))</f>
        <v> </v>
      </c>
      <c r="K4451" s="26" t="str">
        <f>IF(OR(E4451="",E4451="!!!",F4451="NEW"),"",INDEX(J$1:J4450,SUMPRODUCT(MAX(ROW(E$1:E4450)*(E4451=E$1:E4450)))))</f>
        <v> </v>
      </c>
      <c r="L4451" s="27"/>
    </row>
    <row r="4452" spans="1:12">
      <c r="A4452" s="20" t="s">
        <v>1189</v>
      </c>
      <c r="E4452" s="22">
        <f>IF(D4452="?OLD","!!!","")</f>
        <v/>
      </c>
      <c r="F4452" s="23" t="str">
        <f>IF(OR(E4452="",E4452="!!!"),"",IF(NOT(ISNA(VLOOKUP(E4452,E$1:E4451,1,FALSE()))),"OLD",IF(AND(E4452&lt;&gt;"",E4452&lt;&gt;"!!!"),"NEW","")))</f>
        <v> </v>
      </c>
      <c r="G4452" s="24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5" t="str">
        <f>IF(J4452&lt;&gt;1,"",IF(I4452="SBJ","CB","?"))</f>
        <v> </v>
      </c>
      <c r="I4452" s="26" t="str">
        <f>IF(OR(E4452="",E4452="!!!",F4452="NEW"),"",INDEX(B4451:B$2,-1+SUMPRODUCT(MAX(ROW(E4451:E$2)*(E4452=E4451:E$2)))))</f>
        <v> </v>
      </c>
      <c r="J4452" s="26" t="str">
        <f>IF(OR(E4452="",E4452="!!!",F4452="NEW"),"",COUNTBLANK(OFFSET(A$1,,,SUMPRODUCT(MAX(ROW(E$2:E4452)*(E4452=E$2:E4452)))))-COUNTBLANK(OFFSET(A$1,,,SUMPRODUCT(MAX(ROW(E$1:E4451)*(E2=E$1:E4451))))))</f>
        <v> </v>
      </c>
      <c r="K4452" s="26" t="str">
        <f>IF(OR(E4452="",E4452="!!!",F4452="NEW"),"",INDEX(J$1:J4451,SUMPRODUCT(MAX(ROW(E$1:E4451)*(E4452=E$1:E4451)))))</f>
        <v> </v>
      </c>
      <c r="L4452" s="27"/>
    </row>
    <row r="4453" spans="1:12">
      <c r="A4453" s="20"/>
    </row>
    <row r="4454" spans="1:12">
      <c r="A4454" s="20" t="s">
        <v>2696</v>
      </c>
    </row>
    <row r="4455" spans="1:12">
      <c r="A4455" s="20" t="s">
        <v>2697</v>
      </c>
      <c r="E4455" s="22">
        <f>IF(D4455="?OLD","!!!","")</f>
        <v/>
      </c>
      <c r="F4455" s="23" t="str">
        <f>IF(OR(E4455="",E4455="!!!"),"",IF(NOT(ISNA(VLOOKUP(E4455,E$1:E4454,1,FALSE()))),"OLD",IF(AND(E4455&lt;&gt;"",E4455&lt;&gt;"!!!"),"NEW","")))</f>
        <v> </v>
      </c>
      <c r="G4455" s="24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5" t="str">
        <f>IF(J4455&lt;&gt;1,"",IF(I4455="SBJ","CB","?"))</f>
        <v> </v>
      </c>
      <c r="I4455" s="26" t="str">
        <f>IF(OR(E4455="",E4455="!!!",F4455="NEW"),"",INDEX(B4454:B$2,-1+SUMPRODUCT(MAX(ROW(E4454:E$2)*(E4455=E4454:E$2)))))</f>
        <v> </v>
      </c>
      <c r="J4455" s="26" t="str">
        <f>IF(OR(E4455="",E4455="!!!",F4455="NEW"),"",COUNTBLANK(OFFSET(A$1,,,SUMPRODUCT(MAX(ROW(E$2:E4455)*(E4455=E$2:E4455)))))-COUNTBLANK(OFFSET(A$1,,,SUMPRODUCT(MAX(ROW(E$1:E4454)*(E2=E$1:E4454))))))</f>
        <v> </v>
      </c>
      <c r="K4455" s="26" t="str">
        <f>IF(OR(E4455="",E4455="!!!",F4455="NEW"),"",INDEX(J$1:J4454,SUMPRODUCT(MAX(ROW(E$1:E4454)*(E4455=E$1:E4454)))))</f>
        <v> </v>
      </c>
      <c r="L4455" s="27"/>
    </row>
    <row r="4456" spans="1:12">
      <c r="A4456" s="20" t="s">
        <v>1193</v>
      </c>
      <c r="E4456" s="22">
        <f>IF(D4456="?OLD","!!!","")</f>
        <v/>
      </c>
      <c r="F4456" s="23" t="str">
        <f>IF(OR(E4456="",E4456="!!!"),"",IF(NOT(ISNA(VLOOKUP(E4456,E$1:E4455,1,FALSE()))),"OLD",IF(AND(E4456&lt;&gt;"",E4456&lt;&gt;"!!!"),"NEW","")))</f>
        <v> </v>
      </c>
      <c r="G4456" s="24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5" t="str">
        <f>IF(J4456&lt;&gt;1,"",IF(I4456="SBJ","CB","?"))</f>
        <v> </v>
      </c>
      <c r="I4456" s="26" t="str">
        <f>IF(OR(E4456="",E4456="!!!",F4456="NEW"),"",INDEX(B4455:B$2,-1+SUMPRODUCT(MAX(ROW(E4455:E$2)*(E4456=E4455:E$2)))))</f>
        <v> </v>
      </c>
      <c r="J4456" s="26" t="str">
        <f>IF(OR(E4456="",E4456="!!!",F4456="NEW"),"",COUNTBLANK(OFFSET(A$1,,,SUMPRODUCT(MAX(ROW(E$2:E4456)*(E4456=E$2:E4456)))))-COUNTBLANK(OFFSET(A$1,,,SUMPRODUCT(MAX(ROW(E$1:E4455)*(E2=E$1:E4455))))))</f>
        <v> </v>
      </c>
      <c r="K4456" s="26" t="str">
        <f>IF(OR(E4456="",E4456="!!!",F4456="NEW"),"",INDEX(J$1:J4455,SUMPRODUCT(MAX(ROW(E$1:E4455)*(E4456=E$1:E4455)))))</f>
        <v> </v>
      </c>
      <c r="L4456" s="27"/>
    </row>
    <row r="4457" spans="1:12">
      <c r="A4457" s="20" t="s">
        <v>2698</v>
      </c>
      <c r="E4457" s="22">
        <f>IF(D4457="?OLD","!!!","")</f>
        <v/>
      </c>
      <c r="F4457" s="23" t="str">
        <f>IF(OR(E4457="",E4457="!!!"),"",IF(NOT(ISNA(VLOOKUP(E4457,E$1:E4456,1,FALSE()))),"OLD",IF(AND(E4457&lt;&gt;"",E4457&lt;&gt;"!!!"),"NEW","")))</f>
        <v> </v>
      </c>
      <c r="G4457" s="24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5" t="str">
        <f>IF(J4457&lt;&gt;1,"",IF(I4457="SBJ","CB","?"))</f>
        <v> </v>
      </c>
      <c r="I4457" s="26" t="str">
        <f>IF(OR(E4457="",E4457="!!!",F4457="NEW"),"",INDEX(B4456:B$2,-1+SUMPRODUCT(MAX(ROW(E4456:E$2)*(E4457=E4456:E$2)))))</f>
        <v> </v>
      </c>
      <c r="J4457" s="26" t="str">
        <f>IF(OR(E4457="",E4457="!!!",F4457="NEW"),"",COUNTBLANK(OFFSET(A$1,,,SUMPRODUCT(MAX(ROW(E$2:E4457)*(E4457=E$2:E4457)))))-COUNTBLANK(OFFSET(A$1,,,SUMPRODUCT(MAX(ROW(E$1:E4456)*(E2=E$1:E4456))))))</f>
        <v> </v>
      </c>
      <c r="K4457" s="26" t="str">
        <f>IF(OR(E4457="",E4457="!!!",F4457="NEW"),"",INDEX(J$1:J4456,SUMPRODUCT(MAX(ROW(E$1:E4456)*(E4457=E$1:E4456)))))</f>
        <v> </v>
      </c>
      <c r="L4457" s="27"/>
    </row>
    <row r="4458" spans="1:12">
      <c r="A4458" s="20" t="s">
        <v>2510</v>
      </c>
      <c r="B4458" s="21" t="s">
        <v>1072</v>
      </c>
      <c r="C4458" s="21" t="s">
        <v>1462</v>
      </c>
      <c r="D4458" s="21" t="s">
        <v>1074</v>
      </c>
      <c r="E4458" s="22">
        <f>IF(D4458="?OLD","!!!","")</f>
        <v/>
      </c>
      <c r="F4458" s="23" t="str">
        <f>IF(OR(E4458="",E4458="!!!"),"",IF(NOT(ISNA(VLOOKUP(E4458,E$1:E4457,1,FALSE()))),"OLD",IF(AND(E4458&lt;&gt;"",E4458&lt;&gt;"!!!"),"NEW","")))</f>
        <v> </v>
      </c>
      <c r="G4458" s="24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5" t="str">
        <f>IF(J4458&lt;&gt;1,"",IF(I4458="SBJ","CB","?"))</f>
        <v> </v>
      </c>
      <c r="I4458" s="26" t="str">
        <f>IF(OR(E4458="",E4458="!!!",F4458="NEW"),"",INDEX(B4457:B$2,-1+SUMPRODUCT(MAX(ROW(E4457:E$2)*(E4458=E4457:E$2)))))</f>
        <v> </v>
      </c>
      <c r="J4458" s="26" t="str">
        <f>IF(OR(E4458="",E4458="!!!",F4458="NEW"),"",COUNTBLANK(OFFSET(A$1,,,SUMPRODUCT(MAX(ROW(E$2:E4458)*(E4458=E$2:E4458)))))-COUNTBLANK(OFFSET(A$1,,,SUMPRODUCT(MAX(ROW(E$1:E4457)*(E2=E$1:E4457))))))</f>
        <v> </v>
      </c>
      <c r="K4458" s="26" t="str">
        <f>IF(OR(E4458="",E4458="!!!",F4458="NEW"),"",INDEX(J$1:J4457,SUMPRODUCT(MAX(ROW(E$1:E4457)*(E4458=E$1:E4457)))))</f>
        <v> </v>
      </c>
      <c r="L4458" s="27"/>
    </row>
    <row r="4459" spans="1:12">
      <c r="A4459" s="20" t="s">
        <v>2699</v>
      </c>
      <c r="E4459" s="22">
        <f>IF(D4459="?OLD","!!!","")</f>
        <v/>
      </c>
      <c r="F4459" s="23" t="str">
        <f>IF(OR(E4459="",E4459="!!!"),"",IF(NOT(ISNA(VLOOKUP(E4459,E$1:E4458,1,FALSE()))),"OLD",IF(AND(E4459&lt;&gt;"",E4459&lt;&gt;"!!!"),"NEW","")))</f>
        <v> </v>
      </c>
      <c r="G4459" s="24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5" t="str">
        <f>IF(J4459&lt;&gt;1,"",IF(I4459="SBJ","CB","?"))</f>
        <v> </v>
      </c>
      <c r="I4459" s="26" t="str">
        <f>IF(OR(E4459="",E4459="!!!",F4459="NEW"),"",INDEX(B4458:B$2,-1+SUMPRODUCT(MAX(ROW(E4458:E$2)*(E4459=E4458:E$2)))))</f>
        <v> </v>
      </c>
      <c r="J4459" s="26" t="str">
        <f>IF(OR(E4459="",E4459="!!!",F4459="NEW"),"",COUNTBLANK(OFFSET(A$1,,,SUMPRODUCT(MAX(ROW(E$2:E4459)*(E4459=E$2:E4459)))))-COUNTBLANK(OFFSET(A$1,,,SUMPRODUCT(MAX(ROW(E$1:E4458)*(E2=E$1:E4458))))))</f>
        <v> </v>
      </c>
      <c r="K4459" s="26" t="str">
        <f>IF(OR(E4459="",E4459="!!!",F4459="NEW"),"",INDEX(J$1:J4458,SUMPRODUCT(MAX(ROW(E$1:E4458)*(E4459=E$1:E4458)))))</f>
        <v> </v>
      </c>
      <c r="L4459" s="27"/>
    </row>
    <row r="4460" spans="1:12">
      <c r="A4460" s="20" t="s">
        <v>51</v>
      </c>
      <c r="E4460" s="22">
        <f>IF(D4460="?OLD","!!!","")</f>
        <v/>
      </c>
      <c r="F4460" s="23" t="str">
        <f>IF(OR(E4460="",E4460="!!!"),"",IF(NOT(ISNA(VLOOKUP(E4460,E$1:E4459,1,FALSE()))),"OLD",IF(AND(E4460&lt;&gt;"",E4460&lt;&gt;"!!!"),"NEW","")))</f>
        <v> </v>
      </c>
      <c r="G4460" s="24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5" t="str">
        <f>IF(J4460&lt;&gt;1,"",IF(I4460="SBJ","CB","?"))</f>
        <v> </v>
      </c>
      <c r="I4460" s="26" t="str">
        <f>IF(OR(E4460="",E4460="!!!",F4460="NEW"),"",INDEX(B4459:B$2,-1+SUMPRODUCT(MAX(ROW(E4459:E$2)*(E4460=E4459:E$2)))))</f>
        <v> </v>
      </c>
      <c r="J4460" s="26" t="str">
        <f>IF(OR(E4460="",E4460="!!!",F4460="NEW"),"",COUNTBLANK(OFFSET(A$1,,,SUMPRODUCT(MAX(ROW(E$2:E4460)*(E4460=E$2:E4460)))))-COUNTBLANK(OFFSET(A$1,,,SUMPRODUCT(MAX(ROW(E$1:E4459)*(E2=E$1:E4459))))))</f>
        <v> </v>
      </c>
      <c r="K4460" s="26" t="str">
        <f>IF(OR(E4460="",E4460="!!!",F4460="NEW"),"",INDEX(J$1:J4459,SUMPRODUCT(MAX(ROW(E$1:E4459)*(E4460=E$1:E4459)))))</f>
        <v> </v>
      </c>
      <c r="L4460" s="27"/>
    </row>
    <row r="4461" spans="1:12">
      <c r="A4461" s="20" t="s">
        <v>1106</v>
      </c>
      <c r="E4461" s="22">
        <f>IF(D4461="?OLD","!!!","")</f>
        <v/>
      </c>
      <c r="F4461" s="23" t="str">
        <f>IF(OR(E4461="",E4461="!!!"),"",IF(NOT(ISNA(VLOOKUP(E4461,E$1:E4460,1,FALSE()))),"OLD",IF(AND(E4461&lt;&gt;"",E4461&lt;&gt;"!!!"),"NEW","")))</f>
        <v> </v>
      </c>
      <c r="G4461" s="24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5" t="str">
        <f>IF(J4461&lt;&gt;1,"",IF(I4461="SBJ","CB","?"))</f>
        <v> </v>
      </c>
      <c r="I4461" s="26" t="str">
        <f>IF(OR(E4461="",E4461="!!!",F4461="NEW"),"",INDEX(B4460:B$2,-1+SUMPRODUCT(MAX(ROW(E4460:E$2)*(E4461=E4460:E$2)))))</f>
        <v> </v>
      </c>
      <c r="J4461" s="26" t="str">
        <f>IF(OR(E4461="",E4461="!!!",F4461="NEW"),"",COUNTBLANK(OFFSET(A$1,,,SUMPRODUCT(MAX(ROW(E$2:E4461)*(E4461=E$2:E4461)))))-COUNTBLANK(OFFSET(A$1,,,SUMPRODUCT(MAX(ROW(E$1:E4460)*(E2=E$1:E4460))))))</f>
        <v> </v>
      </c>
      <c r="K4461" s="26" t="str">
        <f>IF(OR(E4461="",E4461="!!!",F4461="NEW"),"",INDEX(J$1:J4460,SUMPRODUCT(MAX(ROW(E$1:E4460)*(E4461=E$1:E4460)))))</f>
        <v> </v>
      </c>
      <c r="L4461" s="27"/>
    </row>
    <row r="4462" spans="1:12">
      <c r="A4462" s="20"/>
    </row>
    <row r="4463" spans="1:12">
      <c r="A4463" s="20" t="s">
        <v>2700</v>
      </c>
    </row>
    <row r="4464" spans="1:12">
      <c r="A4464" s="20" t="s">
        <v>1132</v>
      </c>
      <c r="B4464" s="21" t="s">
        <v>1072</v>
      </c>
      <c r="C4464" s="21" t="s">
        <v>1073</v>
      </c>
      <c r="D4464" s="21" t="s">
        <v>1074</v>
      </c>
      <c r="E4464" s="22">
        <f>IF(D4464="?OLD","!!!","")</f>
        <v/>
      </c>
      <c r="F4464" s="23" t="str">
        <f>IF(OR(E4464="",E4464="!!!"),"",IF(NOT(ISNA(VLOOKUP(E4464,E$1:E4463,1,FALSE()))),"OLD",IF(AND(E4464&lt;&gt;"",E4464&lt;&gt;"!!!"),"NEW","")))</f>
        <v> </v>
      </c>
      <c r="G4464" s="24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5" t="str">
        <f>IF(J4464&lt;&gt;1,"",IF(I4464="SBJ","CB","?"))</f>
        <v> </v>
      </c>
      <c r="I4464" s="26" t="str">
        <f>IF(OR(E4464="",E4464="!!!",F4464="NEW"),"",INDEX(B4463:B$2,-1+SUMPRODUCT(MAX(ROW(E4463:E$2)*(E4464=E4463:E$2)))))</f>
        <v> </v>
      </c>
      <c r="J4464" s="26" t="str">
        <f>IF(OR(E4464="",E4464="!!!",F4464="NEW"),"",COUNTBLANK(OFFSET(A$1,,,SUMPRODUCT(MAX(ROW(E$2:E4464)*(E4464=E$2:E4464)))))-COUNTBLANK(OFFSET(A$1,,,SUMPRODUCT(MAX(ROW(E$1:E4463)*(E2=E$1:E4463))))))</f>
        <v> </v>
      </c>
      <c r="K4464" s="26" t="str">
        <f>IF(OR(E4464="",E4464="!!!",F4464="NEW"),"",INDEX(J$1:J4463,SUMPRODUCT(MAX(ROW(E$1:E4463)*(E4464=E$1:E4463)))))</f>
        <v> </v>
      </c>
      <c r="L4464" s="27"/>
    </row>
    <row r="4465" spans="1:12">
      <c r="A4465" s="20" t="s">
        <v>1076</v>
      </c>
      <c r="E4465" s="22">
        <f>IF(D4465="?OLD","!!!","")</f>
        <v/>
      </c>
      <c r="F4465" s="23" t="str">
        <f>IF(OR(E4465="",E4465="!!!"),"",IF(NOT(ISNA(VLOOKUP(E4465,E$1:E4464,1,FALSE()))),"OLD",IF(AND(E4465&lt;&gt;"",E4465&lt;&gt;"!!!"),"NEW","")))</f>
        <v> </v>
      </c>
      <c r="G4465" s="24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5" t="str">
        <f>IF(J4465&lt;&gt;1,"",IF(I4465="SBJ","CB","?"))</f>
        <v> </v>
      </c>
      <c r="I4465" s="26" t="str">
        <f>IF(OR(E4465="",E4465="!!!",F4465="NEW"),"",INDEX(B4464:B$2,-1+SUMPRODUCT(MAX(ROW(E4464:E$2)*(E4465=E4464:E$2)))))</f>
        <v> </v>
      </c>
      <c r="J4465" s="26" t="str">
        <f>IF(OR(E4465="",E4465="!!!",F4465="NEW"),"",COUNTBLANK(OFFSET(A$1,,,SUMPRODUCT(MAX(ROW(E$2:E4465)*(E4465=E$2:E4465)))))-COUNTBLANK(OFFSET(A$1,,,SUMPRODUCT(MAX(ROW(E$1:E4464)*(E2=E$1:E4464))))))</f>
        <v> </v>
      </c>
      <c r="K4465" s="26" t="str">
        <f>IF(OR(E4465="",E4465="!!!",F4465="NEW"),"",INDEX(J$1:J4464,SUMPRODUCT(MAX(ROW(E$1:E4464)*(E4465=E$1:E4464)))))</f>
        <v> </v>
      </c>
      <c r="L4465" s="27"/>
    </row>
    <row r="4466" spans="1:12">
      <c r="A4466" s="20" t="s">
        <v>1315</v>
      </c>
      <c r="E4466" s="22">
        <f>IF(D4466="?OLD","!!!","")</f>
        <v/>
      </c>
      <c r="F4466" s="23" t="str">
        <f>IF(OR(E4466="",E4466="!!!"),"",IF(NOT(ISNA(VLOOKUP(E4466,E$1:E4465,1,FALSE()))),"OLD",IF(AND(E4466&lt;&gt;"",E4466&lt;&gt;"!!!"),"NEW","")))</f>
        <v> </v>
      </c>
      <c r="G4466" s="24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5" t="str">
        <f>IF(J4466&lt;&gt;1,"",IF(I4466="SBJ","CB","?"))</f>
        <v> </v>
      </c>
      <c r="I4466" s="26" t="str">
        <f>IF(OR(E4466="",E4466="!!!",F4466="NEW"),"",INDEX(B4465:B$2,-1+SUMPRODUCT(MAX(ROW(E4465:E$2)*(E4466=E4465:E$2)))))</f>
        <v> </v>
      </c>
      <c r="J4466" s="26" t="str">
        <f>IF(OR(E4466="",E4466="!!!",F4466="NEW"),"",COUNTBLANK(OFFSET(A$1,,,SUMPRODUCT(MAX(ROW(E$2:E4466)*(E4466=E$2:E4466)))))-COUNTBLANK(OFFSET(A$1,,,SUMPRODUCT(MAX(ROW(E$1:E4465)*(E2=E$1:E4465))))))</f>
        <v> </v>
      </c>
      <c r="K4466" s="26" t="str">
        <f>IF(OR(E4466="",E4466="!!!",F4466="NEW"),"",INDEX(J$1:J4465,SUMPRODUCT(MAX(ROW(E$1:E4465)*(E4466=E$1:E4465)))))</f>
        <v> </v>
      </c>
      <c r="L4466" s="27"/>
    </row>
    <row r="4467" spans="1:12">
      <c r="A4467" s="20" t="s">
        <v>2701</v>
      </c>
      <c r="E4467" s="22">
        <f>IF(D4467="?OLD","!!!","")</f>
        <v/>
      </c>
      <c r="F4467" s="23" t="str">
        <f>IF(OR(E4467="",E4467="!!!"),"",IF(NOT(ISNA(VLOOKUP(E4467,E$1:E4466,1,FALSE()))),"OLD",IF(AND(E4467&lt;&gt;"",E4467&lt;&gt;"!!!"),"NEW","")))</f>
        <v> </v>
      </c>
      <c r="G4467" s="24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5" t="str">
        <f>IF(J4467&lt;&gt;1,"",IF(I4467="SBJ","CB","?"))</f>
        <v> </v>
      </c>
      <c r="I4467" s="26" t="str">
        <f>IF(OR(E4467="",E4467="!!!",F4467="NEW"),"",INDEX(B4466:B$2,-1+SUMPRODUCT(MAX(ROW(E4466:E$2)*(E4467=E4466:E$2)))))</f>
        <v> </v>
      </c>
      <c r="J4467" s="26" t="str">
        <f>IF(OR(E4467="",E4467="!!!",F4467="NEW"),"",COUNTBLANK(OFFSET(A$1,,,SUMPRODUCT(MAX(ROW(E$2:E4467)*(E4467=E$2:E4467)))))-COUNTBLANK(OFFSET(A$1,,,SUMPRODUCT(MAX(ROW(E$1:E4466)*(E2=E$1:E4466))))))</f>
        <v> </v>
      </c>
      <c r="K4467" s="26" t="str">
        <f>IF(OR(E4467="",E4467="!!!",F4467="NEW"),"",INDEX(J$1:J4466,SUMPRODUCT(MAX(ROW(E$1:E4466)*(E4467=E$1:E4466)))))</f>
        <v> </v>
      </c>
      <c r="L4467" s="27"/>
    </row>
    <row r="4468" spans="1:12">
      <c r="A4468" s="20" t="s">
        <v>1085</v>
      </c>
      <c r="E4468" s="22">
        <f>IF(D4468="?OLD","!!!","")</f>
        <v/>
      </c>
      <c r="F4468" s="23" t="str">
        <f>IF(OR(E4468="",E4468="!!!"),"",IF(NOT(ISNA(VLOOKUP(E4468,E$1:E4467,1,FALSE()))),"OLD",IF(AND(E4468&lt;&gt;"",E4468&lt;&gt;"!!!"),"NEW","")))</f>
        <v> </v>
      </c>
      <c r="G4468" s="24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5" t="str">
        <f>IF(J4468&lt;&gt;1,"",IF(I4468="SBJ","CB","?"))</f>
        <v> </v>
      </c>
      <c r="I4468" s="26" t="str">
        <f>IF(OR(E4468="",E4468="!!!",F4468="NEW"),"",INDEX(B4467:B$2,-1+SUMPRODUCT(MAX(ROW(E4467:E$2)*(E4468=E4467:E$2)))))</f>
        <v> </v>
      </c>
      <c r="J4468" s="26" t="str">
        <f>IF(OR(E4468="",E4468="!!!",F4468="NEW"),"",COUNTBLANK(OFFSET(A$1,,,SUMPRODUCT(MAX(ROW(E$2:E4468)*(E4468=E$2:E4468)))))-COUNTBLANK(OFFSET(A$1,,,SUMPRODUCT(MAX(ROW(E$1:E4467)*(E2=E$1:E4467))))))</f>
        <v> </v>
      </c>
      <c r="K4468" s="26" t="str">
        <f>IF(OR(E4468="",E4468="!!!",F4468="NEW"),"",INDEX(J$1:J4467,SUMPRODUCT(MAX(ROW(E$1:E4467)*(E4468=E$1:E4467)))))</f>
        <v> </v>
      </c>
      <c r="L4468" s="27"/>
    </row>
    <row r="4469" spans="1:12">
      <c r="A4469" s="20" t="s">
        <v>1086</v>
      </c>
      <c r="E4469" s="22">
        <f>IF(D4469="?OLD","!!!","")</f>
        <v/>
      </c>
      <c r="F4469" s="23" t="str">
        <f>IF(OR(E4469="",E4469="!!!"),"",IF(NOT(ISNA(VLOOKUP(E4469,E$1:E4468,1,FALSE()))),"OLD",IF(AND(E4469&lt;&gt;"",E4469&lt;&gt;"!!!"),"NEW","")))</f>
        <v> </v>
      </c>
      <c r="G4469" s="24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5" t="str">
        <f>IF(J4469&lt;&gt;1,"",IF(I4469="SBJ","CB","?"))</f>
        <v> </v>
      </c>
      <c r="I4469" s="26" t="str">
        <f>IF(OR(E4469="",E4469="!!!",F4469="NEW"),"",INDEX(B4468:B$2,-1+SUMPRODUCT(MAX(ROW(E4468:E$2)*(E4469=E4468:E$2)))))</f>
        <v> </v>
      </c>
      <c r="J4469" s="26" t="str">
        <f>IF(OR(E4469="",E4469="!!!",F4469="NEW"),"",COUNTBLANK(OFFSET(A$1,,,SUMPRODUCT(MAX(ROW(E$2:E4469)*(E4469=E$2:E4469)))))-COUNTBLANK(OFFSET(A$1,,,SUMPRODUCT(MAX(ROW(E$1:E4468)*(E2=E$1:E4468))))))</f>
        <v> </v>
      </c>
      <c r="K4469" s="26" t="str">
        <f>IF(OR(E4469="",E4469="!!!",F4469="NEW"),"",INDEX(J$1:J4468,SUMPRODUCT(MAX(ROW(E$1:E4468)*(E4469=E$1:E4468)))))</f>
        <v> </v>
      </c>
      <c r="L4469" s="27"/>
    </row>
    <row r="4470" spans="1:12">
      <c r="A4470" s="20" t="s">
        <v>1156</v>
      </c>
      <c r="B4470" s="21" t="s">
        <v>1119</v>
      </c>
      <c r="C4470" s="21" t="s">
        <v>1081</v>
      </c>
      <c r="D4470" s="21" t="s">
        <v>1074</v>
      </c>
      <c r="E4470" s="22">
        <f>IF(D4470="?OLD","!!!","")</f>
        <v/>
      </c>
      <c r="F4470" s="23" t="str">
        <f>IF(OR(E4470="",E4470="!!!"),"",IF(NOT(ISNA(VLOOKUP(E4470,E$1:E4469,1,FALSE()))),"OLD",IF(AND(E4470&lt;&gt;"",E4470&lt;&gt;"!!!"),"NEW","")))</f>
        <v> </v>
      </c>
      <c r="G4470" s="24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5" t="str">
        <f>IF(J4470&lt;&gt;1,"",IF(I4470="SBJ","CB","?"))</f>
        <v> </v>
      </c>
      <c r="I4470" s="26" t="str">
        <f>IF(OR(E4470="",E4470="!!!",F4470="NEW"),"",INDEX(B4469:B$2,-1+SUMPRODUCT(MAX(ROW(E4469:E$2)*(E4470=E4469:E$2)))))</f>
        <v> </v>
      </c>
      <c r="J4470" s="26" t="str">
        <f>IF(OR(E4470="",E4470="!!!",F4470="NEW"),"",COUNTBLANK(OFFSET(A$1,,,SUMPRODUCT(MAX(ROW(E$2:E4470)*(E4470=E$2:E4470)))))-COUNTBLANK(OFFSET(A$1,,,SUMPRODUCT(MAX(ROW(E$1:E4469)*(E2=E$1:E4469))))))</f>
        <v> </v>
      </c>
      <c r="K4470" s="26" t="str">
        <f>IF(OR(E4470="",E4470="!!!",F4470="NEW"),"",INDEX(J$1:J4469,SUMPRODUCT(MAX(ROW(E$1:E4469)*(E4470=E$1:E4469)))))</f>
        <v> </v>
      </c>
      <c r="L4470" s="27"/>
    </row>
    <row r="4471" spans="1:12">
      <c r="A4471" s="20" t="s">
        <v>2702</v>
      </c>
      <c r="E4471" s="22">
        <f>IF(D4471="?OLD","!!!","")</f>
        <v/>
      </c>
      <c r="F4471" s="23" t="str">
        <f>IF(OR(E4471="",E4471="!!!"),"",IF(NOT(ISNA(VLOOKUP(E4471,E$1:E4470,1,FALSE()))),"OLD",IF(AND(E4471&lt;&gt;"",E4471&lt;&gt;"!!!"),"NEW","")))</f>
        <v> </v>
      </c>
      <c r="G4471" s="24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5" t="str">
        <f>IF(J4471&lt;&gt;1,"",IF(I4471="SBJ","CB","?"))</f>
        <v> </v>
      </c>
      <c r="I4471" s="26" t="str">
        <f>IF(OR(E4471="",E4471="!!!",F4471="NEW"),"",INDEX(B4470:B$2,-1+SUMPRODUCT(MAX(ROW(E4470:E$2)*(E4471=E4470:E$2)))))</f>
        <v> </v>
      </c>
      <c r="J4471" s="26" t="str">
        <f>IF(OR(E4471="",E4471="!!!",F4471="NEW"),"",COUNTBLANK(OFFSET(A$1,,,SUMPRODUCT(MAX(ROW(E$2:E4471)*(E4471=E$2:E4471)))))-COUNTBLANK(OFFSET(A$1,,,SUMPRODUCT(MAX(ROW(E$1:E4470)*(E2=E$1:E4470))))))</f>
        <v> </v>
      </c>
      <c r="K4471" s="26" t="str">
        <f>IF(OR(E4471="",E4471="!!!",F4471="NEW"),"",INDEX(J$1:J4470,SUMPRODUCT(MAX(ROW(E$1:E4470)*(E4471=E$1:E4470)))))</f>
        <v> </v>
      </c>
      <c r="L4471" s="27"/>
    </row>
    <row r="4472" spans="1:12">
      <c r="A4472" s="20" t="s">
        <v>2703</v>
      </c>
      <c r="E4472" s="22">
        <f>IF(D4472="?OLD","!!!","")</f>
        <v/>
      </c>
      <c r="F4472" s="23" t="str">
        <f>IF(OR(E4472="",E4472="!!!"),"",IF(NOT(ISNA(VLOOKUP(E4472,E$1:E4471,1,FALSE()))),"OLD",IF(AND(E4472&lt;&gt;"",E4472&lt;&gt;"!!!"),"NEW","")))</f>
        <v> </v>
      </c>
      <c r="G4472" s="24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5" t="str">
        <f>IF(J4472&lt;&gt;1,"",IF(I4472="SBJ","CB","?"))</f>
        <v> </v>
      </c>
      <c r="I4472" s="26" t="str">
        <f>IF(OR(E4472="",E4472="!!!",F4472="NEW"),"",INDEX(B4471:B$2,-1+SUMPRODUCT(MAX(ROW(E4471:E$2)*(E4472=E4471:E$2)))))</f>
        <v> </v>
      </c>
      <c r="J4472" s="26" t="str">
        <f>IF(OR(E4472="",E4472="!!!",F4472="NEW"),"",COUNTBLANK(OFFSET(A$1,,,SUMPRODUCT(MAX(ROW(E$2:E4472)*(E4472=E$2:E4472)))))-COUNTBLANK(OFFSET(A$1,,,SUMPRODUCT(MAX(ROW(E$1:E4471)*(E2=E$1:E4471))))))</f>
        <v> </v>
      </c>
      <c r="K4472" s="26" t="str">
        <f>IF(OR(E4472="",E4472="!!!",F4472="NEW"),"",INDEX(J$1:J4471,SUMPRODUCT(MAX(ROW(E$1:E4471)*(E4472=E$1:E4471)))))</f>
        <v> </v>
      </c>
      <c r="L4472" s="27"/>
    </row>
    <row r="4473" spans="1:12">
      <c r="A4473" s="20" t="s">
        <v>1106</v>
      </c>
      <c r="E4473" s="22">
        <f>IF(D4473="?OLD","!!!","")</f>
        <v/>
      </c>
      <c r="F4473" s="23" t="str">
        <f>IF(OR(E4473="",E4473="!!!"),"",IF(NOT(ISNA(VLOOKUP(E4473,E$1:E4472,1,FALSE()))),"OLD",IF(AND(E4473&lt;&gt;"",E4473&lt;&gt;"!!!"),"NEW","")))</f>
        <v> </v>
      </c>
      <c r="G4473" s="24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5" t="str">
        <f>IF(J4473&lt;&gt;1,"",IF(I4473="SBJ","CB","?"))</f>
        <v> </v>
      </c>
      <c r="I4473" s="26" t="str">
        <f>IF(OR(E4473="",E4473="!!!",F4473="NEW"),"",INDEX(B4472:B$2,-1+SUMPRODUCT(MAX(ROW(E4472:E$2)*(E4473=E4472:E$2)))))</f>
        <v> </v>
      </c>
      <c r="J4473" s="26" t="str">
        <f>IF(OR(E4473="",E4473="!!!",F4473="NEW"),"",COUNTBLANK(OFFSET(A$1,,,SUMPRODUCT(MAX(ROW(E$2:E4473)*(E4473=E$2:E4473)))))-COUNTBLANK(OFFSET(A$1,,,SUMPRODUCT(MAX(ROW(E$1:E4472)*(E2=E$1:E4472))))))</f>
        <v> </v>
      </c>
      <c r="K4473" s="26" t="str">
        <f>IF(OR(E4473="",E4473="!!!",F4473="NEW"),"",INDEX(J$1:J4472,SUMPRODUCT(MAX(ROW(E$1:E4472)*(E4473=E$1:E4472)))))</f>
        <v> </v>
      </c>
      <c r="L4473" s="27"/>
    </row>
    <row r="4474" spans="1:12">
      <c r="A4474" s="20"/>
    </row>
    <row r="4475" spans="1:12">
      <c r="A4475" s="20" t="s">
        <v>2704</v>
      </c>
    </row>
    <row r="4476" spans="1:12">
      <c r="A4476" s="20" t="s">
        <v>1604</v>
      </c>
      <c r="E4476" s="22">
        <f>IF(D4476="?OLD","!!!","")</f>
        <v/>
      </c>
      <c r="F4476" s="23" t="str">
        <f>IF(OR(E4476="",E4476="!!!"),"",IF(NOT(ISNA(VLOOKUP(E4476,E$1:E4475,1,FALSE()))),"OLD",IF(AND(E4476&lt;&gt;"",E4476&lt;&gt;"!!!"),"NEW","")))</f>
        <v> </v>
      </c>
      <c r="G4476" s="24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5" t="str">
        <f>IF(J4476&lt;&gt;1,"",IF(I4476="SBJ","CB","?"))</f>
        <v> </v>
      </c>
      <c r="I4476" s="26" t="str">
        <f>IF(OR(E4476="",E4476="!!!",F4476="NEW"),"",INDEX(B4475:B$2,-1+SUMPRODUCT(MAX(ROW(E4475:E$2)*(E4476=E4475:E$2)))))</f>
        <v> </v>
      </c>
      <c r="J4476" s="26" t="str">
        <f>IF(OR(E4476="",E4476="!!!",F4476="NEW"),"",COUNTBLANK(OFFSET(A$1,,,SUMPRODUCT(MAX(ROW(E$2:E4476)*(E4476=E$2:E4476)))))-COUNTBLANK(OFFSET(A$1,,,SUMPRODUCT(MAX(ROW(E$1:E4475)*(E2=E$1:E4475))))))</f>
        <v> </v>
      </c>
      <c r="K4476" s="26" t="str">
        <f>IF(OR(E4476="",E4476="!!!",F4476="NEW"),"",INDEX(J$1:J4475,SUMPRODUCT(MAX(ROW(E$1:E4475)*(E4476=E$1:E4475)))))</f>
        <v> </v>
      </c>
      <c r="L4476" s="27"/>
    </row>
    <row r="4477" spans="1:12">
      <c r="A4477" s="20" t="s">
        <v>1442</v>
      </c>
      <c r="E4477" s="22">
        <f>IF(D4477="?OLD","!!!","")</f>
        <v/>
      </c>
      <c r="F4477" s="23" t="str">
        <f>IF(OR(E4477="",E4477="!!!"),"",IF(NOT(ISNA(VLOOKUP(E4477,E$1:E4476,1,FALSE()))),"OLD",IF(AND(E4477&lt;&gt;"",E4477&lt;&gt;"!!!"),"NEW","")))</f>
        <v> </v>
      </c>
      <c r="G4477" s="24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5" t="str">
        <f>IF(J4477&lt;&gt;1,"",IF(I4477="SBJ","CB","?"))</f>
        <v> </v>
      </c>
      <c r="I4477" s="26" t="str">
        <f>IF(OR(E4477="",E4477="!!!",F4477="NEW"),"",INDEX(B4476:B$2,-1+SUMPRODUCT(MAX(ROW(E4476:E$2)*(E4477=E4476:E$2)))))</f>
        <v> </v>
      </c>
      <c r="J4477" s="26" t="str">
        <f>IF(OR(E4477="",E4477="!!!",F4477="NEW"),"",COUNTBLANK(OFFSET(A$1,,,SUMPRODUCT(MAX(ROW(E$2:E4477)*(E4477=E$2:E4477)))))-COUNTBLANK(OFFSET(A$1,,,SUMPRODUCT(MAX(ROW(E$1:E4476)*(E2=E$1:E4476))))))</f>
        <v> </v>
      </c>
      <c r="K4477" s="26" t="str">
        <f>IF(OR(E4477="",E4477="!!!",F4477="NEW"),"",INDEX(J$1:J4476,SUMPRODUCT(MAX(ROW(E$1:E4476)*(E4477=E$1:E4476)))))</f>
        <v> </v>
      </c>
      <c r="L4477" s="27"/>
    </row>
    <row r="4478" spans="1:12">
      <c r="A4478" s="20" t="s">
        <v>2705</v>
      </c>
      <c r="E4478" s="22">
        <f>IF(D4478="?OLD","!!!","")</f>
        <v/>
      </c>
      <c r="F4478" s="23" t="str">
        <f>IF(OR(E4478="",E4478="!!!"),"",IF(NOT(ISNA(VLOOKUP(E4478,E$1:E4477,1,FALSE()))),"OLD",IF(AND(E4478&lt;&gt;"",E4478&lt;&gt;"!!!"),"NEW","")))</f>
        <v> </v>
      </c>
      <c r="G4478" s="24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5" t="str">
        <f>IF(J4478&lt;&gt;1,"",IF(I4478="SBJ","CB","?"))</f>
        <v> </v>
      </c>
      <c r="I4478" s="26" t="str">
        <f>IF(OR(E4478="",E4478="!!!",F4478="NEW"),"",INDEX(B4477:B$2,-1+SUMPRODUCT(MAX(ROW(E4477:E$2)*(E4478=E4477:E$2)))))</f>
        <v> </v>
      </c>
      <c r="J4478" s="26" t="str">
        <f>IF(OR(E4478="",E4478="!!!",F4478="NEW"),"",COUNTBLANK(OFFSET(A$1,,,SUMPRODUCT(MAX(ROW(E$2:E4478)*(E4478=E$2:E4478)))))-COUNTBLANK(OFFSET(A$1,,,SUMPRODUCT(MAX(ROW(E$1:E4477)*(E2=E$1:E4477))))))</f>
        <v> </v>
      </c>
      <c r="K4478" s="26" t="str">
        <f>IF(OR(E4478="",E4478="!!!",F4478="NEW"),"",INDEX(J$1:J4477,SUMPRODUCT(MAX(ROW(E$1:E4477)*(E4478=E$1:E4477)))))</f>
        <v> </v>
      </c>
      <c r="L4478" s="27"/>
    </row>
    <row r="4479" spans="1:12">
      <c r="A4479" s="20" t="s">
        <v>1251</v>
      </c>
      <c r="E4479" s="22">
        <f>IF(D4479="?OLD","!!!","")</f>
        <v/>
      </c>
      <c r="F4479" s="23" t="str">
        <f>IF(OR(E4479="",E4479="!!!"),"",IF(NOT(ISNA(VLOOKUP(E4479,E$1:E4478,1,FALSE()))),"OLD",IF(AND(E4479&lt;&gt;"",E4479&lt;&gt;"!!!"),"NEW","")))</f>
        <v> </v>
      </c>
      <c r="G4479" s="24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5" t="str">
        <f>IF(J4479&lt;&gt;1,"",IF(I4479="SBJ","CB","?"))</f>
        <v> </v>
      </c>
      <c r="I4479" s="26" t="str">
        <f>IF(OR(E4479="",E4479="!!!",F4479="NEW"),"",INDEX(B4478:B$2,-1+SUMPRODUCT(MAX(ROW(E4478:E$2)*(E4479=E4478:E$2)))))</f>
        <v> </v>
      </c>
      <c r="J4479" s="26" t="str">
        <f>IF(OR(E4479="",E4479="!!!",F4479="NEW"),"",COUNTBLANK(OFFSET(A$1,,,SUMPRODUCT(MAX(ROW(E$2:E4479)*(E4479=E$2:E4479)))))-COUNTBLANK(OFFSET(A$1,,,SUMPRODUCT(MAX(ROW(E$1:E4478)*(E2=E$1:E4478))))))</f>
        <v> </v>
      </c>
      <c r="K4479" s="26" t="str">
        <f>IF(OR(E4479="",E4479="!!!",F4479="NEW"),"",INDEX(J$1:J4478,SUMPRODUCT(MAX(ROW(E$1:E4478)*(E4479=E$1:E4478)))))</f>
        <v> </v>
      </c>
      <c r="L4479" s="27"/>
    </row>
    <row r="4480" spans="1:12">
      <c r="A4480" s="20" t="s">
        <v>2143</v>
      </c>
      <c r="B4480" s="21" t="s">
        <v>1180</v>
      </c>
      <c r="C4480" s="21" t="s">
        <v>1081</v>
      </c>
      <c r="D4480" s="21" t="s">
        <v>1074</v>
      </c>
      <c r="E4480" s="22">
        <f>IF(D4480="?OLD","!!!","")</f>
        <v/>
      </c>
      <c r="F4480" s="23" t="str">
        <f>IF(OR(E4480="",E4480="!!!"),"",IF(NOT(ISNA(VLOOKUP(E4480,E$1:E4479,1,FALSE()))),"OLD",IF(AND(E4480&lt;&gt;"",E4480&lt;&gt;"!!!"),"NEW","")))</f>
        <v> </v>
      </c>
      <c r="G4480" s="24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5" t="str">
        <f>IF(J4480&lt;&gt;1,"",IF(I4480="SBJ","CB","?"))</f>
        <v> </v>
      </c>
      <c r="I4480" s="26" t="str">
        <f>IF(OR(E4480="",E4480="!!!",F4480="NEW"),"",INDEX(B4479:B$2,-1+SUMPRODUCT(MAX(ROW(E4479:E$2)*(E4480=E4479:E$2)))))</f>
        <v> </v>
      </c>
      <c r="J4480" s="26" t="str">
        <f>IF(OR(E4480="",E4480="!!!",F4480="NEW"),"",COUNTBLANK(OFFSET(A$1,,,SUMPRODUCT(MAX(ROW(E$2:E4480)*(E4480=E$2:E4480)))))-COUNTBLANK(OFFSET(A$1,,,SUMPRODUCT(MAX(ROW(E$1:E4479)*(E2=E$1:E4479))))))</f>
        <v> </v>
      </c>
      <c r="K4480" s="26" t="str">
        <f>IF(OR(E4480="",E4480="!!!",F4480="NEW"),"",INDEX(J$1:J4479,SUMPRODUCT(MAX(ROW(E$1:E4479)*(E4480=E$1:E4479)))))</f>
        <v> </v>
      </c>
      <c r="L4480" s="27"/>
    </row>
    <row r="4481" spans="1:12">
      <c r="A4481" s="20" t="s">
        <v>1083</v>
      </c>
      <c r="E4481" s="22">
        <f>IF(D4481="?OLD","!!!","")</f>
        <v/>
      </c>
      <c r="F4481" s="23" t="str">
        <f>IF(OR(E4481="",E4481="!!!"),"",IF(NOT(ISNA(VLOOKUP(E4481,E$1:E4480,1,FALSE()))),"OLD",IF(AND(E4481&lt;&gt;"",E4481&lt;&gt;"!!!"),"NEW","")))</f>
        <v> </v>
      </c>
      <c r="G4481" s="24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5" t="str">
        <f>IF(J4481&lt;&gt;1,"",IF(I4481="SBJ","CB","?"))</f>
        <v> </v>
      </c>
      <c r="I4481" s="26" t="str">
        <f>IF(OR(E4481="",E4481="!!!",F4481="NEW"),"",INDEX(B4480:B$2,-1+SUMPRODUCT(MAX(ROW(E4480:E$2)*(E4481=E4480:E$2)))))</f>
        <v> </v>
      </c>
      <c r="J4481" s="26" t="str">
        <f>IF(OR(E4481="",E4481="!!!",F4481="NEW"),"",COUNTBLANK(OFFSET(A$1,,,SUMPRODUCT(MAX(ROW(E$2:E4481)*(E4481=E$2:E4481)))))-COUNTBLANK(OFFSET(A$1,,,SUMPRODUCT(MAX(ROW(E$1:E4480)*(E2=E$1:E4480))))))</f>
        <v> </v>
      </c>
      <c r="K4481" s="26" t="str">
        <f>IF(OR(E4481="",E4481="!!!",F4481="NEW"),"",INDEX(J$1:J4480,SUMPRODUCT(MAX(ROW(E$1:E4480)*(E4481=E$1:E4480)))))</f>
        <v> </v>
      </c>
      <c r="L4481" s="27"/>
    </row>
    <row r="4482" spans="1:12">
      <c r="A4482" s="20" t="s">
        <v>2706</v>
      </c>
      <c r="E4482" s="22">
        <f>IF(D4482="?OLD","!!!","")</f>
        <v/>
      </c>
      <c r="F4482" s="23" t="str">
        <f>IF(OR(E4482="",E4482="!!!"),"",IF(NOT(ISNA(VLOOKUP(E4482,E$1:E4481,1,FALSE()))),"OLD",IF(AND(E4482&lt;&gt;"",E4482&lt;&gt;"!!!"),"NEW","")))</f>
        <v> </v>
      </c>
      <c r="G4482" s="24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5" t="str">
        <f>IF(J4482&lt;&gt;1,"",IF(I4482="SBJ","CB","?"))</f>
        <v> </v>
      </c>
      <c r="I4482" s="26" t="str">
        <f>IF(OR(E4482="",E4482="!!!",F4482="NEW"),"",INDEX(B4481:B$2,-1+SUMPRODUCT(MAX(ROW(E4481:E$2)*(E4482=E4481:E$2)))))</f>
        <v> </v>
      </c>
      <c r="J4482" s="26" t="str">
        <f>IF(OR(E4482="",E4482="!!!",F4482="NEW"),"",COUNTBLANK(OFFSET(A$1,,,SUMPRODUCT(MAX(ROW(E$2:E4482)*(E4482=E$2:E4482)))))-COUNTBLANK(OFFSET(A$1,,,SUMPRODUCT(MAX(ROW(E$1:E4481)*(E2=E$1:E4481))))))</f>
        <v> </v>
      </c>
      <c r="K4482" s="26" t="str">
        <f>IF(OR(E4482="",E4482="!!!",F4482="NEW"),"",INDEX(J$1:J4481,SUMPRODUCT(MAX(ROW(E$1:E4481)*(E4482=E$1:E4481)))))</f>
        <v> </v>
      </c>
      <c r="L4482" s="27"/>
    </row>
    <row r="4483" spans="1:12">
      <c r="A4483" s="20" t="s">
        <v>1526</v>
      </c>
      <c r="E4483" s="22">
        <f>IF(D4483="?OLD","!!!","")</f>
        <v/>
      </c>
      <c r="F4483" s="23" t="str">
        <f>IF(OR(E4483="",E4483="!!!"),"",IF(NOT(ISNA(VLOOKUP(E4483,E$1:E4482,1,FALSE()))),"OLD",IF(AND(E4483&lt;&gt;"",E4483&lt;&gt;"!!!"),"NEW","")))</f>
        <v> </v>
      </c>
      <c r="G4483" s="24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5" t="str">
        <f>IF(J4483&lt;&gt;1,"",IF(I4483="SBJ","CB","?"))</f>
        <v> </v>
      </c>
      <c r="I4483" s="26" t="str">
        <f>IF(OR(E4483="",E4483="!!!",F4483="NEW"),"",INDEX(B4482:B$2,-1+SUMPRODUCT(MAX(ROW(E4482:E$2)*(E4483=E4482:E$2)))))</f>
        <v> </v>
      </c>
      <c r="J4483" s="26" t="str">
        <f>IF(OR(E4483="",E4483="!!!",F4483="NEW"),"",COUNTBLANK(OFFSET(A$1,,,SUMPRODUCT(MAX(ROW(E$2:E4483)*(E4483=E$2:E4483)))))-COUNTBLANK(OFFSET(A$1,,,SUMPRODUCT(MAX(ROW(E$1:E4482)*(E2=E$1:E4482))))))</f>
        <v> </v>
      </c>
      <c r="K4483" s="26" t="str">
        <f>IF(OR(E4483="",E4483="!!!",F4483="NEW"),"",INDEX(J$1:J4482,SUMPRODUCT(MAX(ROW(E$1:E4482)*(E4483=E$1:E4482)))))</f>
        <v> </v>
      </c>
      <c r="L4483" s="27"/>
    </row>
    <row r="4484" spans="1:12">
      <c r="A4484" s="20" t="s">
        <v>1193</v>
      </c>
      <c r="E4484" s="22">
        <f>IF(D4484="?OLD","!!!","")</f>
        <v/>
      </c>
      <c r="F4484" s="23" t="str">
        <f>IF(OR(E4484="",E4484="!!!"),"",IF(NOT(ISNA(VLOOKUP(E4484,E$1:E4483,1,FALSE()))),"OLD",IF(AND(E4484&lt;&gt;"",E4484&lt;&gt;"!!!"),"NEW","")))</f>
        <v> </v>
      </c>
      <c r="G4484" s="24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5" t="str">
        <f>IF(J4484&lt;&gt;1,"",IF(I4484="SBJ","CB","?"))</f>
        <v> </v>
      </c>
      <c r="I4484" s="26" t="str">
        <f>IF(OR(E4484="",E4484="!!!",F4484="NEW"),"",INDEX(B4483:B$2,-1+SUMPRODUCT(MAX(ROW(E4483:E$2)*(E4484=E4483:E$2)))))</f>
        <v> </v>
      </c>
      <c r="J4484" s="26" t="str">
        <f>IF(OR(E4484="",E4484="!!!",F4484="NEW"),"",COUNTBLANK(OFFSET(A$1,,,SUMPRODUCT(MAX(ROW(E$2:E4484)*(E4484=E$2:E4484)))))-COUNTBLANK(OFFSET(A$1,,,SUMPRODUCT(MAX(ROW(E$1:E4483)*(E2=E$1:E4483))))))</f>
        <v> </v>
      </c>
      <c r="K4484" s="26" t="str">
        <f>IF(OR(E4484="",E4484="!!!",F4484="NEW"),"",INDEX(J$1:J4483,SUMPRODUCT(MAX(ROW(E$1:E4483)*(E4484=E$1:E4483)))))</f>
        <v> </v>
      </c>
      <c r="L4484" s="27"/>
    </row>
    <row r="4485" spans="1:12">
      <c r="A4485" s="20" t="s">
        <v>2707</v>
      </c>
      <c r="B4485" s="21" t="s">
        <v>1137</v>
      </c>
      <c r="C4485" s="21" t="s">
        <v>1462</v>
      </c>
      <c r="D4485" s="21" t="s">
        <v>1074</v>
      </c>
      <c r="E4485" s="22">
        <f>IF(D4485="?OLD","!!!","")</f>
        <v/>
      </c>
      <c r="F4485" s="23" t="str">
        <f>IF(OR(E4485="",E4485="!!!"),"",IF(NOT(ISNA(VLOOKUP(E4485,E$1:E4484,1,FALSE()))),"OLD",IF(AND(E4485&lt;&gt;"",E4485&lt;&gt;"!!!"),"NEW","")))</f>
        <v> </v>
      </c>
      <c r="G4485" s="24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5" t="str">
        <f>IF(J4485&lt;&gt;1,"",IF(I4485="SBJ","CB","?"))</f>
        <v> </v>
      </c>
      <c r="I4485" s="26" t="str">
        <f>IF(OR(E4485="",E4485="!!!",F4485="NEW"),"",INDEX(B4484:B$2,-1+SUMPRODUCT(MAX(ROW(E4484:E$2)*(E4485=E4484:E$2)))))</f>
        <v> </v>
      </c>
      <c r="J4485" s="26" t="str">
        <f>IF(OR(E4485="",E4485="!!!",F4485="NEW"),"",COUNTBLANK(OFFSET(A$1,,,SUMPRODUCT(MAX(ROW(E$2:E4485)*(E4485=E$2:E4485)))))-COUNTBLANK(OFFSET(A$1,,,SUMPRODUCT(MAX(ROW(E$1:E4484)*(E2=E$1:E4484))))))</f>
        <v> </v>
      </c>
      <c r="K4485" s="26" t="str">
        <f>IF(OR(E4485="",E4485="!!!",F4485="NEW"),"",INDEX(J$1:J4484,SUMPRODUCT(MAX(ROW(E$1:E4484)*(E4485=E$1:E4484)))))</f>
        <v> </v>
      </c>
      <c r="L4485" s="27"/>
    </row>
    <row r="4486" spans="1:12">
      <c r="A4486" s="20" t="s">
        <v>1106</v>
      </c>
      <c r="E4486" s="22">
        <f>IF(D4486="?OLD","!!!","")</f>
        <v/>
      </c>
      <c r="F4486" s="23" t="str">
        <f>IF(OR(E4486="",E4486="!!!"),"",IF(NOT(ISNA(VLOOKUP(E4486,E$1:E4485,1,FALSE()))),"OLD",IF(AND(E4486&lt;&gt;"",E4486&lt;&gt;"!!!"),"NEW","")))</f>
        <v> </v>
      </c>
      <c r="G4486" s="24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5" t="str">
        <f>IF(J4486&lt;&gt;1,"",IF(I4486="SBJ","CB","?"))</f>
        <v> </v>
      </c>
      <c r="I4486" s="26" t="str">
        <f>IF(OR(E4486="",E4486="!!!",F4486="NEW"),"",INDEX(B4485:B$2,-1+SUMPRODUCT(MAX(ROW(E4485:E$2)*(E4486=E4485:E$2)))))</f>
        <v> </v>
      </c>
      <c r="J4486" s="26" t="str">
        <f>IF(OR(E4486="",E4486="!!!",F4486="NEW"),"",COUNTBLANK(OFFSET(A$1,,,SUMPRODUCT(MAX(ROW(E$2:E4486)*(E4486=E$2:E4486)))))-COUNTBLANK(OFFSET(A$1,,,SUMPRODUCT(MAX(ROW(E$1:E4485)*(E2=E$1:E4485))))))</f>
        <v> </v>
      </c>
      <c r="K4486" s="26" t="str">
        <f>IF(OR(E4486="",E4486="!!!",F4486="NEW"),"",INDEX(J$1:J4485,SUMPRODUCT(MAX(ROW(E$1:E4485)*(E4486=E$1:E4485)))))</f>
        <v> </v>
      </c>
      <c r="L4486" s="27"/>
    </row>
    <row r="4487" spans="1:12">
      <c r="A4487" s="20"/>
    </row>
    <row r="4488" spans="1:12">
      <c r="A4488" s="20" t="s">
        <v>2708</v>
      </c>
    </row>
    <row r="4489" spans="1:12">
      <c r="A4489" s="20" t="s">
        <v>1130</v>
      </c>
      <c r="E4489" s="22">
        <f>IF(D4489="?OLD","!!!","")</f>
        <v/>
      </c>
      <c r="F4489" s="23" t="str">
        <f>IF(OR(E4489="",E4489="!!!"),"",IF(NOT(ISNA(VLOOKUP(E4489,E$1:E4488,1,FALSE()))),"OLD",IF(AND(E4489&lt;&gt;"",E4489&lt;&gt;"!!!"),"NEW","")))</f>
        <v> </v>
      </c>
      <c r="G4489" s="24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5" t="str">
        <f>IF(J4489&lt;&gt;1,"",IF(I4489="SBJ","CB","?"))</f>
        <v> </v>
      </c>
      <c r="I4489" s="26" t="str">
        <f>IF(OR(E4489="",E4489="!!!",F4489="NEW"),"",INDEX(B4488:B$2,-1+SUMPRODUCT(MAX(ROW(E4488:E$2)*(E4489=E4488:E$2)))))</f>
        <v> </v>
      </c>
      <c r="J4489" s="26" t="str">
        <f>IF(OR(E4489="",E4489="!!!",F4489="NEW"),"",COUNTBLANK(OFFSET(A$1,,,SUMPRODUCT(MAX(ROW(E$2:E4489)*(E4489=E$2:E4489)))))-COUNTBLANK(OFFSET(A$1,,,SUMPRODUCT(MAX(ROW(E$1:E4488)*(E2=E$1:E4488))))))</f>
        <v> </v>
      </c>
      <c r="K4489" s="26" t="str">
        <f>IF(OR(E4489="",E4489="!!!",F4489="NEW"),"",INDEX(J$1:J4488,SUMPRODUCT(MAX(ROW(E$1:E4488)*(E4489=E$1:E4488)))))</f>
        <v> </v>
      </c>
      <c r="L4489" s="27"/>
    </row>
    <row r="4490" spans="1:12">
      <c r="A4490" s="20" t="s">
        <v>1085</v>
      </c>
      <c r="E4490" s="22">
        <f>IF(D4490="?OLD","!!!","")</f>
        <v/>
      </c>
      <c r="F4490" s="23" t="str">
        <f>IF(OR(E4490="",E4490="!!!"),"",IF(NOT(ISNA(VLOOKUP(E4490,E$1:E4489,1,FALSE()))),"OLD",IF(AND(E4490&lt;&gt;"",E4490&lt;&gt;"!!!"),"NEW","")))</f>
        <v> </v>
      </c>
      <c r="G4490" s="24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5" t="str">
        <f>IF(J4490&lt;&gt;1,"",IF(I4490="SBJ","CB","?"))</f>
        <v> </v>
      </c>
      <c r="I4490" s="26" t="str">
        <f>IF(OR(E4490="",E4490="!!!",F4490="NEW"),"",INDEX(B4489:B$2,-1+SUMPRODUCT(MAX(ROW(E4489:E$2)*(E4490=E4489:E$2)))))</f>
        <v> </v>
      </c>
      <c r="J4490" s="26" t="str">
        <f>IF(OR(E4490="",E4490="!!!",F4490="NEW"),"",COUNTBLANK(OFFSET(A$1,,,SUMPRODUCT(MAX(ROW(E$2:E4490)*(E4490=E$2:E4490)))))-COUNTBLANK(OFFSET(A$1,,,SUMPRODUCT(MAX(ROW(E$1:E4489)*(E2=E$1:E4489))))))</f>
        <v> </v>
      </c>
      <c r="K4490" s="26" t="str">
        <f>IF(OR(E4490="",E4490="!!!",F4490="NEW"),"",INDEX(J$1:J4489,SUMPRODUCT(MAX(ROW(E$1:E4489)*(E4490=E$1:E4489)))))</f>
        <v> </v>
      </c>
      <c r="L4490" s="27"/>
    </row>
    <row r="4491" spans="1:12">
      <c r="A4491" s="20" t="s">
        <v>20</v>
      </c>
      <c r="B4491" s="21" t="s">
        <v>1072</v>
      </c>
      <c r="C4491" s="21" t="s">
        <v>1073</v>
      </c>
      <c r="D4491" s="21" t="s">
        <v>1074</v>
      </c>
      <c r="E4491" s="22">
        <f>IF(D4491="?OLD","!!!","")</f>
        <v/>
      </c>
      <c r="F4491" s="23" t="str">
        <f>IF(OR(E4491="",E4491="!!!"),"",IF(NOT(ISNA(VLOOKUP(E4491,E$1:E4490,1,FALSE()))),"OLD",IF(AND(E4491&lt;&gt;"",E4491&lt;&gt;"!!!"),"NEW","")))</f>
        <v> </v>
      </c>
      <c r="G4491" s="24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5" t="str">
        <f>IF(J4491&lt;&gt;1,"",IF(I4491="SBJ","CB","?"))</f>
        <v> </v>
      </c>
      <c r="I4491" s="26" t="str">
        <f>IF(OR(E4491="",E4491="!!!",F4491="NEW"),"",INDEX(B4490:B$2,-1+SUMPRODUCT(MAX(ROW(E4490:E$2)*(E4491=E4490:E$2)))))</f>
        <v> </v>
      </c>
      <c r="J4491" s="26" t="str">
        <f>IF(OR(E4491="",E4491="!!!",F4491="NEW"),"",COUNTBLANK(OFFSET(A$1,,,SUMPRODUCT(MAX(ROW(E$2:E4491)*(E4491=E$2:E4491)))))-COUNTBLANK(OFFSET(A$1,,,SUMPRODUCT(MAX(ROW(E$1:E4490)*(E2=E$1:E4490))))))</f>
        <v> </v>
      </c>
      <c r="K4491" s="26" t="str">
        <f>IF(OR(E4491="",E4491="!!!",F4491="NEW"),"",INDEX(J$1:J4490,SUMPRODUCT(MAX(ROW(E$1:E4490)*(E4491=E$1:E4490)))))</f>
        <v> </v>
      </c>
      <c r="L4491" s="27"/>
    </row>
    <row r="4492" spans="1:12">
      <c r="A4492" s="20" t="s">
        <v>1106</v>
      </c>
      <c r="E4492" s="22">
        <f>IF(D4492="?OLD","!!!","")</f>
        <v/>
      </c>
      <c r="F4492" s="23" t="str">
        <f>IF(OR(E4492="",E4492="!!!"),"",IF(NOT(ISNA(VLOOKUP(E4492,E$1:E4491,1,FALSE()))),"OLD",IF(AND(E4492&lt;&gt;"",E4492&lt;&gt;"!!!"),"NEW","")))</f>
        <v> </v>
      </c>
      <c r="G4492" s="24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5" t="str">
        <f>IF(J4492&lt;&gt;1,"",IF(I4492="SBJ","CB","?"))</f>
        <v> </v>
      </c>
      <c r="I4492" s="26" t="str">
        <f>IF(OR(E4492="",E4492="!!!",F4492="NEW"),"",INDEX(B4491:B$2,-1+SUMPRODUCT(MAX(ROW(E4491:E$2)*(E4492=E4491:E$2)))))</f>
        <v> </v>
      </c>
      <c r="J4492" s="26" t="str">
        <f>IF(OR(E4492="",E4492="!!!",F4492="NEW"),"",COUNTBLANK(OFFSET(A$1,,,SUMPRODUCT(MAX(ROW(E$2:E4492)*(E4492=E$2:E4492)))))-COUNTBLANK(OFFSET(A$1,,,SUMPRODUCT(MAX(ROW(E$1:E4491)*(E2=E$1:E4491))))))</f>
        <v> </v>
      </c>
      <c r="K4492" s="26" t="str">
        <f>IF(OR(E4492="",E4492="!!!",F4492="NEW"),"",INDEX(J$1:J4491,SUMPRODUCT(MAX(ROW(E$1:E4491)*(E4492=E$1:E4491)))))</f>
        <v> </v>
      </c>
      <c r="L4492" s="27"/>
    </row>
    <row r="4493" spans="1:12">
      <c r="A4493" s="20"/>
    </row>
    <row r="4494" spans="1:12">
      <c r="A4494" s="20" t="s">
        <v>2709</v>
      </c>
    </row>
    <row r="4495" spans="1:12">
      <c r="A4495" s="20" t="s">
        <v>661</v>
      </c>
      <c r="E4495" s="22">
        <f>IF(D4495="?OLD","!!!","")</f>
        <v/>
      </c>
      <c r="F4495" s="23" t="str">
        <f>IF(OR(E4495="",E4495="!!!"),"",IF(NOT(ISNA(VLOOKUP(E4495,E$1:E4494,1,FALSE()))),"OLD",IF(AND(E4495&lt;&gt;"",E4495&lt;&gt;"!!!"),"NEW","")))</f>
        <v> </v>
      </c>
      <c r="G4495" s="24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5" t="str">
        <f>IF(J4495&lt;&gt;1,"",IF(I4495="SBJ","CB","?"))</f>
        <v> </v>
      </c>
      <c r="I4495" s="26" t="str">
        <f>IF(OR(E4495="",E4495="!!!",F4495="NEW"),"",INDEX(B4494:B$2,-1+SUMPRODUCT(MAX(ROW(E4494:E$2)*(E4495=E4494:E$2)))))</f>
        <v> </v>
      </c>
      <c r="J4495" s="26" t="str">
        <f>IF(OR(E4495="",E4495="!!!",F4495="NEW"),"",COUNTBLANK(OFFSET(A$1,,,SUMPRODUCT(MAX(ROW(E$2:E4495)*(E4495=E$2:E4495)))))-COUNTBLANK(OFFSET(A$1,,,SUMPRODUCT(MAX(ROW(E$1:E4494)*(E2=E$1:E4494))))))</f>
        <v> </v>
      </c>
      <c r="K4495" s="26" t="str">
        <f>IF(OR(E4495="",E4495="!!!",F4495="NEW"),"",INDEX(J$1:J4494,SUMPRODUCT(MAX(ROW(E$1:E4494)*(E4495=E$1:E4494)))))</f>
        <v> </v>
      </c>
      <c r="L4495" s="27"/>
    </row>
    <row r="4496" spans="1:12">
      <c r="A4496" s="20" t="s">
        <v>1076</v>
      </c>
      <c r="E4496" s="22">
        <f>IF(D4496="?OLD","!!!","")</f>
        <v/>
      </c>
      <c r="F4496" s="23" t="str">
        <f>IF(OR(E4496="",E4496="!!!"),"",IF(NOT(ISNA(VLOOKUP(E4496,E$1:E4495,1,FALSE()))),"OLD",IF(AND(E4496&lt;&gt;"",E4496&lt;&gt;"!!!"),"NEW","")))</f>
        <v> </v>
      </c>
      <c r="G4496" s="24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5" t="str">
        <f>IF(J4496&lt;&gt;1,"",IF(I4496="SBJ","CB","?"))</f>
        <v> </v>
      </c>
      <c r="I4496" s="26" t="str">
        <f>IF(OR(E4496="",E4496="!!!",F4496="NEW"),"",INDEX(B4495:B$2,-1+SUMPRODUCT(MAX(ROW(E4495:E$2)*(E4496=E4495:E$2)))))</f>
        <v> </v>
      </c>
      <c r="J4496" s="26" t="str">
        <f>IF(OR(E4496="",E4496="!!!",F4496="NEW"),"",COUNTBLANK(OFFSET(A$1,,,SUMPRODUCT(MAX(ROW(E$2:E4496)*(E4496=E$2:E4496)))))-COUNTBLANK(OFFSET(A$1,,,SUMPRODUCT(MAX(ROW(E$1:E4495)*(E2=E$1:E4495))))))</f>
        <v> </v>
      </c>
      <c r="K4496" s="26" t="str">
        <f>IF(OR(E4496="",E4496="!!!",F4496="NEW"),"",INDEX(J$1:J4495,SUMPRODUCT(MAX(ROW(E$1:E4495)*(E4496=E$1:E4495)))))</f>
        <v> </v>
      </c>
      <c r="L4496" s="27"/>
    </row>
    <row r="4497" spans="1:12">
      <c r="A4497" s="20" t="s">
        <v>1130</v>
      </c>
      <c r="E4497" s="22">
        <f>IF(D4497="?OLD","!!!","")</f>
        <v/>
      </c>
      <c r="F4497" s="23" t="str">
        <f>IF(OR(E4497="",E4497="!!!"),"",IF(NOT(ISNA(VLOOKUP(E4497,E$1:E4496,1,FALSE()))),"OLD",IF(AND(E4497&lt;&gt;"",E4497&lt;&gt;"!!!"),"NEW","")))</f>
        <v> </v>
      </c>
      <c r="G4497" s="24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5" t="str">
        <f>IF(J4497&lt;&gt;1,"",IF(I4497="SBJ","CB","?"))</f>
        <v> </v>
      </c>
      <c r="I4497" s="26" t="str">
        <f>IF(OR(E4497="",E4497="!!!",F4497="NEW"),"",INDEX(B4496:B$2,-1+SUMPRODUCT(MAX(ROW(E4496:E$2)*(E4497=E4496:E$2)))))</f>
        <v> </v>
      </c>
      <c r="J4497" s="26" t="str">
        <f>IF(OR(E4497="",E4497="!!!",F4497="NEW"),"",COUNTBLANK(OFFSET(A$1,,,SUMPRODUCT(MAX(ROW(E$2:E4497)*(E4497=E$2:E4497)))))-COUNTBLANK(OFFSET(A$1,,,SUMPRODUCT(MAX(ROW(E$1:E4496)*(E2=E$1:E4496))))))</f>
        <v> </v>
      </c>
      <c r="K4497" s="26" t="str">
        <f>IF(OR(E4497="",E4497="!!!",F4497="NEW"),"",INDEX(J$1:J4496,SUMPRODUCT(MAX(ROW(E$1:E4496)*(E4497=E$1:E4496)))))</f>
        <v> </v>
      </c>
      <c r="L4497" s="27"/>
    </row>
    <row r="4498" spans="1:12">
      <c r="A4498" s="20" t="s">
        <v>1298</v>
      </c>
      <c r="B4498" s="21" t="s">
        <v>1080</v>
      </c>
      <c r="C4498" s="21" t="s">
        <v>1081</v>
      </c>
      <c r="D4498" s="21" t="s">
        <v>1074</v>
      </c>
      <c r="E4498" s="22">
        <f>IF(D4498="?OLD","!!!","")</f>
        <v/>
      </c>
      <c r="F4498" s="23" t="str">
        <f>IF(OR(E4498="",E4498="!!!"),"",IF(NOT(ISNA(VLOOKUP(E4498,E$1:E4497,1,FALSE()))),"OLD",IF(AND(E4498&lt;&gt;"",E4498&lt;&gt;"!!!"),"NEW","")))</f>
        <v> </v>
      </c>
      <c r="G4498" s="24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5" t="str">
        <f>IF(J4498&lt;&gt;1,"",IF(I4498="SBJ","CB","?"))</f>
        <v> </v>
      </c>
      <c r="I4498" s="26" t="str">
        <f>IF(OR(E4498="",E4498="!!!",F4498="NEW"),"",INDEX(B4497:B$2,-1+SUMPRODUCT(MAX(ROW(E4497:E$2)*(E4498=E4497:E$2)))))</f>
        <v> </v>
      </c>
      <c r="J4498" s="26" t="str">
        <f>IF(OR(E4498="",E4498="!!!",F4498="NEW"),"",COUNTBLANK(OFFSET(A$1,,,SUMPRODUCT(MAX(ROW(E$2:E4498)*(E4498=E$2:E4498)))))-COUNTBLANK(OFFSET(A$1,,,SUMPRODUCT(MAX(ROW(E$1:E4497)*(E2=E$1:E4497))))))</f>
        <v> </v>
      </c>
      <c r="K4498" s="26" t="str">
        <f>IF(OR(E4498="",E4498="!!!",F4498="NEW"),"",INDEX(J$1:J4497,SUMPRODUCT(MAX(ROW(E$1:E4497)*(E4498=E$1:E4497)))))</f>
        <v> </v>
      </c>
      <c r="L4498" s="27"/>
    </row>
    <row r="4499" spans="1:12">
      <c r="A4499" s="20" t="s">
        <v>1106</v>
      </c>
      <c r="E4499" s="22">
        <f>IF(D4499="?OLD","!!!","")</f>
        <v/>
      </c>
      <c r="F4499" s="23" t="str">
        <f>IF(OR(E4499="",E4499="!!!"),"",IF(NOT(ISNA(VLOOKUP(E4499,E$1:E4498,1,FALSE()))),"OLD",IF(AND(E4499&lt;&gt;"",E4499&lt;&gt;"!!!"),"NEW","")))</f>
        <v> </v>
      </c>
      <c r="G4499" s="24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5" t="str">
        <f>IF(J4499&lt;&gt;1,"",IF(I4499="SBJ","CB","?"))</f>
        <v> </v>
      </c>
      <c r="I4499" s="26" t="str">
        <f>IF(OR(E4499="",E4499="!!!",F4499="NEW"),"",INDEX(B4498:B$2,-1+SUMPRODUCT(MAX(ROW(E4498:E$2)*(E4499=E4498:E$2)))))</f>
        <v> </v>
      </c>
      <c r="J4499" s="26" t="str">
        <f>IF(OR(E4499="",E4499="!!!",F4499="NEW"),"",COUNTBLANK(OFFSET(A$1,,,SUMPRODUCT(MAX(ROW(E$2:E4499)*(E4499=E$2:E4499)))))-COUNTBLANK(OFFSET(A$1,,,SUMPRODUCT(MAX(ROW(E$1:E4498)*(E2=E$1:E4498))))))</f>
        <v> </v>
      </c>
      <c r="K4499" s="26" t="str">
        <f>IF(OR(E4499="",E4499="!!!",F4499="NEW"),"",INDEX(J$1:J4498,SUMPRODUCT(MAX(ROW(E$1:E4498)*(E4499=E$1:E4498)))))</f>
        <v> </v>
      </c>
      <c r="L4499" s="27"/>
    </row>
    <row r="4500" spans="1:12">
      <c r="A4500" s="20"/>
    </row>
    <row r="4501" spans="1:12">
      <c r="A4501" s="20" t="s">
        <v>2710</v>
      </c>
    </row>
    <row r="4502" spans="1:12">
      <c r="A4502" s="20" t="s">
        <v>2711</v>
      </c>
      <c r="E4502" s="22">
        <f>IF(D4502="?OLD","!!!","")</f>
        <v/>
      </c>
      <c r="F4502" s="23" t="str">
        <f>IF(OR(E4502="",E4502="!!!"),"",IF(NOT(ISNA(VLOOKUP(E4502,E$1:E4501,1,FALSE()))),"OLD",IF(AND(E4502&lt;&gt;"",E4502&lt;&gt;"!!!"),"NEW","")))</f>
        <v> </v>
      </c>
      <c r="G4502" s="24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5" t="str">
        <f>IF(J4502&lt;&gt;1,"",IF(I4502="SBJ","CB","?"))</f>
        <v> </v>
      </c>
      <c r="I4502" s="26" t="str">
        <f>IF(OR(E4502="",E4502="!!!",F4502="NEW"),"",INDEX(B4501:B$2,-1+SUMPRODUCT(MAX(ROW(E4501:E$2)*(E4502=E4501:E$2)))))</f>
        <v> </v>
      </c>
      <c r="J4502" s="26" t="str">
        <f>IF(OR(E4502="",E4502="!!!",F4502="NEW"),"",COUNTBLANK(OFFSET(A$1,,,SUMPRODUCT(MAX(ROW(E$2:E4502)*(E4502=E$2:E4502)))))-COUNTBLANK(OFFSET(A$1,,,SUMPRODUCT(MAX(ROW(E$1:E4501)*(E2=E$1:E4501))))))</f>
        <v> </v>
      </c>
      <c r="K4502" s="26" t="str">
        <f>IF(OR(E4502="",E4502="!!!",F4502="NEW"),"",INDEX(J$1:J4501,SUMPRODUCT(MAX(ROW(E$1:E4501)*(E4502=E$1:E4501)))))</f>
        <v> </v>
      </c>
      <c r="L4502" s="27"/>
    </row>
    <row r="4503" spans="1:12">
      <c r="A4503" s="20" t="s">
        <v>1076</v>
      </c>
      <c r="E4503" s="22">
        <f>IF(D4503="?OLD","!!!","")</f>
        <v/>
      </c>
      <c r="F4503" s="23" t="str">
        <f>IF(OR(E4503="",E4503="!!!"),"",IF(NOT(ISNA(VLOOKUP(E4503,E$1:E4502,1,FALSE()))),"OLD",IF(AND(E4503&lt;&gt;"",E4503&lt;&gt;"!!!"),"NEW","")))</f>
        <v> </v>
      </c>
      <c r="G4503" s="24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5" t="str">
        <f>IF(J4503&lt;&gt;1,"",IF(I4503="SBJ","CB","?"))</f>
        <v> </v>
      </c>
      <c r="I4503" s="26" t="str">
        <f>IF(OR(E4503="",E4503="!!!",F4503="NEW"),"",INDEX(B4502:B$2,-1+SUMPRODUCT(MAX(ROW(E4502:E$2)*(E4503=E4502:E$2)))))</f>
        <v> </v>
      </c>
      <c r="J4503" s="26" t="str">
        <f>IF(OR(E4503="",E4503="!!!",F4503="NEW"),"",COUNTBLANK(OFFSET(A$1,,,SUMPRODUCT(MAX(ROW(E$2:E4503)*(E4503=E$2:E4503)))))-COUNTBLANK(OFFSET(A$1,,,SUMPRODUCT(MAX(ROW(E$1:E4502)*(E2=E$1:E4502))))))</f>
        <v> </v>
      </c>
      <c r="K4503" s="26" t="str">
        <f>IF(OR(E4503="",E4503="!!!",F4503="NEW"),"",INDEX(J$1:J4502,SUMPRODUCT(MAX(ROW(E$1:E4502)*(E4503=E$1:E4502)))))</f>
        <v> </v>
      </c>
      <c r="L4503" s="27"/>
    </row>
    <row r="4504" spans="1:12">
      <c r="A4504" s="20" t="s">
        <v>20</v>
      </c>
      <c r="B4504" s="21" t="s">
        <v>1072</v>
      </c>
      <c r="C4504" s="21" t="s">
        <v>1073</v>
      </c>
      <c r="D4504" s="21" t="s">
        <v>1074</v>
      </c>
      <c r="E4504" s="22">
        <f>IF(D4504="?OLD","!!!","")</f>
        <v/>
      </c>
      <c r="F4504" s="23" t="str">
        <f>IF(OR(E4504="",E4504="!!!"),"",IF(NOT(ISNA(VLOOKUP(E4504,E$1:E4503,1,FALSE()))),"OLD",IF(AND(E4504&lt;&gt;"",E4504&lt;&gt;"!!!"),"NEW","")))</f>
        <v> </v>
      </c>
      <c r="G4504" s="24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5" t="str">
        <f>IF(J4504&lt;&gt;1,"",IF(I4504="SBJ","CB","?"))</f>
        <v> </v>
      </c>
      <c r="I4504" s="26" t="str">
        <f>IF(OR(E4504="",E4504="!!!",F4504="NEW"),"",INDEX(B4503:B$2,-1+SUMPRODUCT(MAX(ROW(E4503:E$2)*(E4504=E4503:E$2)))))</f>
        <v> </v>
      </c>
      <c r="J4504" s="26" t="str">
        <f>IF(OR(E4504="",E4504="!!!",F4504="NEW"),"",COUNTBLANK(OFFSET(A$1,,,SUMPRODUCT(MAX(ROW(E$2:E4504)*(E4504=E$2:E4504)))))-COUNTBLANK(OFFSET(A$1,,,SUMPRODUCT(MAX(ROW(E$1:E4503)*(E2=E$1:E4503))))))</f>
        <v> </v>
      </c>
      <c r="K4504" s="26" t="str">
        <f>IF(OR(E4504="",E4504="!!!",F4504="NEW"),"",INDEX(J$1:J4503,SUMPRODUCT(MAX(ROW(E$1:E4503)*(E4504=E$1:E4503)))))</f>
        <v> </v>
      </c>
      <c r="L4504" s="27"/>
    </row>
    <row r="4505" spans="1:12">
      <c r="A4505" s="20" t="s">
        <v>1129</v>
      </c>
      <c r="B4505" s="21" t="s">
        <v>1180</v>
      </c>
      <c r="C4505" s="21" t="s">
        <v>1073</v>
      </c>
      <c r="D4505" s="21" t="s">
        <v>1074</v>
      </c>
      <c r="E4505" s="22">
        <f>IF(D4505="?OLD","!!!","")</f>
        <v/>
      </c>
      <c r="F4505" s="23" t="str">
        <f>IF(OR(E4505="",E4505="!!!"),"",IF(NOT(ISNA(VLOOKUP(E4505,E$1:E4504,1,FALSE()))),"OLD",IF(AND(E4505&lt;&gt;"",E4505&lt;&gt;"!!!"),"NEW","")))</f>
        <v> </v>
      </c>
      <c r="G4505" s="24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5" t="str">
        <f>IF(J4505&lt;&gt;1,"",IF(I4505="SBJ","CB","?"))</f>
        <v> </v>
      </c>
      <c r="I4505" s="26" t="str">
        <f>IF(OR(E4505="",E4505="!!!",F4505="NEW"),"",INDEX(B4504:B$2,-1+SUMPRODUCT(MAX(ROW(E4504:E$2)*(E4505=E4504:E$2)))))</f>
        <v> </v>
      </c>
      <c r="J4505" s="26" t="str">
        <f>IF(OR(E4505="",E4505="!!!",F4505="NEW"),"",COUNTBLANK(OFFSET(A$1,,,SUMPRODUCT(MAX(ROW(E$2:E4505)*(E4505=E$2:E4505)))))-COUNTBLANK(OFFSET(A$1,,,SUMPRODUCT(MAX(ROW(E$1:E4504)*(E2=E$1:E4504))))))</f>
        <v> </v>
      </c>
      <c r="K4505" s="26" t="str">
        <f>IF(OR(E4505="",E4505="!!!",F4505="NEW"),"",INDEX(J$1:J4504,SUMPRODUCT(MAX(ROW(E$1:E4504)*(E4505=E$1:E4504)))))</f>
        <v> </v>
      </c>
      <c r="L4505" s="27"/>
    </row>
    <row r="4506" spans="1:12">
      <c r="A4506" s="20" t="s">
        <v>1106</v>
      </c>
      <c r="E4506" s="22">
        <f>IF(D4506="?OLD","!!!","")</f>
        <v/>
      </c>
      <c r="F4506" s="23" t="str">
        <f>IF(OR(E4506="",E4506="!!!"),"",IF(NOT(ISNA(VLOOKUP(E4506,E$1:E4505,1,FALSE()))),"OLD",IF(AND(E4506&lt;&gt;"",E4506&lt;&gt;"!!!"),"NEW","")))</f>
        <v> </v>
      </c>
      <c r="G4506" s="24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5" t="str">
        <f>IF(J4506&lt;&gt;1,"",IF(I4506="SBJ","CB","?"))</f>
        <v> </v>
      </c>
      <c r="I4506" s="26" t="str">
        <f>IF(OR(E4506="",E4506="!!!",F4506="NEW"),"",INDEX(B4505:B$2,-1+SUMPRODUCT(MAX(ROW(E4505:E$2)*(E4506=E4505:E$2)))))</f>
        <v> </v>
      </c>
      <c r="J4506" s="26" t="str">
        <f>IF(OR(E4506="",E4506="!!!",F4506="NEW"),"",COUNTBLANK(OFFSET(A$1,,,SUMPRODUCT(MAX(ROW(E$2:E4506)*(E4506=E$2:E4506)))))-COUNTBLANK(OFFSET(A$1,,,SUMPRODUCT(MAX(ROW(E$1:E4505)*(E2=E$1:E4505))))))</f>
        <v> </v>
      </c>
      <c r="K4506" s="26" t="str">
        <f>IF(OR(E4506="",E4506="!!!",F4506="NEW"),"",INDEX(J$1:J4505,SUMPRODUCT(MAX(ROW(E$1:E4505)*(E4506=E$1:E4505)))))</f>
        <v> </v>
      </c>
      <c r="L4506" s="27"/>
    </row>
    <row r="4507" spans="1:12">
      <c r="A450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2025-07-10T18:09:43Z</dcterms:created>
  <dcterms:modified xsi:type="dcterms:W3CDTF">2025-07-10T18:09:43Z</dcterms:modified>
</cp:coreProperties>
</file>